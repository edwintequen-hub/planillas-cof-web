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Aplicaciones Metropol\planillas-cof-web\backend\plantilla\"/>
    </mc:Choice>
  </mc:AlternateContent>
  <xr:revisionPtr revIDLastSave="0" documentId="13_ncr:1_{EF8D6806-825F-4445-A70C-DD8DC1D83475}" xr6:coauthVersionLast="47" xr6:coauthVersionMax="47" xr10:uidLastSave="{00000000-0000-0000-0000-000000000000}"/>
  <bookViews>
    <workbookView xWindow="-110" yWindow="-110" windowWidth="19420" windowHeight="10300" xr2:uid="{A66A86B3-041A-4ABF-BEB2-EBD29B37C27C}"/>
  </bookViews>
  <sheets>
    <sheet name="Planilla" sheetId="1" r:id="rId1"/>
  </sheets>
  <externalReferences>
    <externalReference r:id="rId2"/>
  </externalReferences>
  <definedNames>
    <definedName name="_xlnm._FilterDatabase" localSheetId="0" hidden="1">Planilla!$AB$12:$AV$53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X547" i="1" l="1" a="1"/>
  <c r="AX547" i="1" s="1"/>
  <c r="BR13" i="1" s="1"/>
  <c r="AU547" i="1"/>
  <c r="AT547" i="1"/>
  <c r="AI547" i="1"/>
  <c r="AE547" i="1"/>
  <c r="AB547" i="1"/>
  <c r="W547" i="1"/>
  <c r="T547" i="1"/>
  <c r="S547" i="1"/>
  <c r="H547" i="1"/>
  <c r="D547" i="1"/>
  <c r="A547" i="1"/>
  <c r="AX546" i="1" a="1"/>
  <c r="AX546" i="1" s="1"/>
  <c r="AU546" i="1"/>
  <c r="AT546" i="1"/>
  <c r="AI546" i="1"/>
  <c r="AE546" i="1"/>
  <c r="AB546" i="1"/>
  <c r="AN546" i="1" s="1"/>
  <c r="W546" i="1"/>
  <c r="T546" i="1"/>
  <c r="S546" i="1"/>
  <c r="H546" i="1"/>
  <c r="D546" i="1"/>
  <c r="A546" i="1"/>
  <c r="AX545" i="1" a="1"/>
  <c r="AX545" i="1" s="1"/>
  <c r="AU545" i="1"/>
  <c r="AT545" i="1"/>
  <c r="AI545" i="1"/>
  <c r="AE545" i="1"/>
  <c r="AB545" i="1"/>
  <c r="AL545" i="1" s="1"/>
  <c r="W545" i="1"/>
  <c r="T545" i="1"/>
  <c r="S545" i="1"/>
  <c r="H545" i="1"/>
  <c r="D545" i="1"/>
  <c r="A545" i="1"/>
  <c r="P545" i="1" s="1"/>
  <c r="AX544" i="1" a="1"/>
  <c r="AX544" i="1" s="1"/>
  <c r="AU544" i="1"/>
  <c r="AT544" i="1"/>
  <c r="AI544" i="1"/>
  <c r="AE544" i="1"/>
  <c r="AB544" i="1"/>
  <c r="AP544" i="1" s="1" a="1"/>
  <c r="AP544" i="1" s="1"/>
  <c r="W544" i="1"/>
  <c r="T544" i="1"/>
  <c r="S544" i="1"/>
  <c r="H544" i="1"/>
  <c r="D544" i="1"/>
  <c r="A544" i="1"/>
  <c r="K543" i="1" s="1"/>
  <c r="AX543" i="1" a="1"/>
  <c r="AX543" i="1" s="1"/>
  <c r="AU543" i="1"/>
  <c r="AT543" i="1"/>
  <c r="AI543" i="1"/>
  <c r="AE543" i="1"/>
  <c r="AB543" i="1"/>
  <c r="W543" i="1"/>
  <c r="T543" i="1"/>
  <c r="S543" i="1"/>
  <c r="H543" i="1"/>
  <c r="D543" i="1"/>
  <c r="A543" i="1"/>
  <c r="J543" i="1" s="1"/>
  <c r="AX542" i="1" a="1"/>
  <c r="AX542" i="1" s="1"/>
  <c r="AU542" i="1"/>
  <c r="AT542" i="1"/>
  <c r="AI542" i="1"/>
  <c r="AE542" i="1"/>
  <c r="AB542" i="1"/>
  <c r="W542" i="1"/>
  <c r="T542" i="1"/>
  <c r="S542" i="1"/>
  <c r="H542" i="1"/>
  <c r="D542" i="1"/>
  <c r="A542" i="1"/>
  <c r="K542" i="1" s="1"/>
  <c r="AX541" i="1" a="1"/>
  <c r="AX541" i="1" s="1"/>
  <c r="AU541" i="1"/>
  <c r="AT541" i="1"/>
  <c r="AI541" i="1"/>
  <c r="AE541" i="1"/>
  <c r="AB541" i="1"/>
  <c r="AK541" i="1" s="1"/>
  <c r="W541" i="1"/>
  <c r="T541" i="1"/>
  <c r="S541" i="1"/>
  <c r="H541" i="1"/>
  <c r="D541" i="1"/>
  <c r="A541" i="1"/>
  <c r="AX540" i="1"/>
  <c r="AX540" i="1" a="1"/>
  <c r="AU540" i="1"/>
  <c r="AT540" i="1"/>
  <c r="AQ540" i="1"/>
  <c r="AI540" i="1"/>
  <c r="AE540" i="1"/>
  <c r="AB540" i="1"/>
  <c r="AM540" i="1" s="1"/>
  <c r="W540" i="1"/>
  <c r="T540" i="1"/>
  <c r="S540" i="1"/>
  <c r="H540" i="1"/>
  <c r="D540" i="1"/>
  <c r="A540" i="1"/>
  <c r="N539" i="1" s="1" a="1"/>
  <c r="N539" i="1" s="1"/>
  <c r="AX539" i="1" a="1"/>
  <c r="AX539" i="1" s="1"/>
  <c r="AU539" i="1"/>
  <c r="AT539" i="1"/>
  <c r="AI539" i="1"/>
  <c r="AE539" i="1"/>
  <c r="AB539" i="1"/>
  <c r="AL539" i="1" s="1"/>
  <c r="W539" i="1"/>
  <c r="T539" i="1"/>
  <c r="S539" i="1"/>
  <c r="H539" i="1"/>
  <c r="D539" i="1"/>
  <c r="A539" i="1"/>
  <c r="P539" i="1" s="1"/>
  <c r="AX538" i="1" a="1"/>
  <c r="AX538" i="1" s="1"/>
  <c r="AU538" i="1"/>
  <c r="AT538" i="1"/>
  <c r="AI538" i="1"/>
  <c r="AE538" i="1"/>
  <c r="AB538" i="1"/>
  <c r="AQ538" i="1" s="1"/>
  <c r="W538" i="1"/>
  <c r="T538" i="1"/>
  <c r="S538" i="1"/>
  <c r="H538" i="1"/>
  <c r="D538" i="1"/>
  <c r="A538" i="1"/>
  <c r="M538" i="1" s="1"/>
  <c r="AX537" i="1" a="1"/>
  <c r="AX537" i="1" s="1"/>
  <c r="AU537" i="1"/>
  <c r="AT537" i="1"/>
  <c r="AK537" i="1"/>
  <c r="AI537" i="1"/>
  <c r="AE537" i="1"/>
  <c r="AB537" i="1"/>
  <c r="W537" i="1"/>
  <c r="T537" i="1"/>
  <c r="S537" i="1"/>
  <c r="H537" i="1"/>
  <c r="D537" i="1"/>
  <c r="A537" i="1"/>
  <c r="AX536" i="1" a="1"/>
  <c r="AX536" i="1" s="1"/>
  <c r="AU536" i="1"/>
  <c r="AT536" i="1"/>
  <c r="AI536" i="1"/>
  <c r="AE536" i="1"/>
  <c r="AB536" i="1"/>
  <c r="AQ536" i="1" s="1"/>
  <c r="W536" i="1"/>
  <c r="T536" i="1"/>
  <c r="S536" i="1"/>
  <c r="H536" i="1"/>
  <c r="D536" i="1"/>
  <c r="A536" i="1"/>
  <c r="AX535" i="1" a="1"/>
  <c r="AX535" i="1" s="1"/>
  <c r="AU535" i="1"/>
  <c r="AT535" i="1"/>
  <c r="AI535" i="1"/>
  <c r="AE535" i="1"/>
  <c r="AB535" i="1"/>
  <c r="AK535" i="1" s="1"/>
  <c r="W535" i="1"/>
  <c r="T535" i="1"/>
  <c r="S535" i="1"/>
  <c r="H535" i="1"/>
  <c r="D535" i="1"/>
  <c r="A535" i="1"/>
  <c r="P535" i="1" s="1"/>
  <c r="AX534" i="1" a="1"/>
  <c r="AX534" i="1" s="1"/>
  <c r="AU534" i="1"/>
  <c r="AT534" i="1"/>
  <c r="AI534" i="1"/>
  <c r="AE534" i="1"/>
  <c r="AB534" i="1"/>
  <c r="AP534" i="1" s="1" a="1"/>
  <c r="AP534" i="1" s="1"/>
  <c r="W534" i="1"/>
  <c r="T534" i="1"/>
  <c r="S534" i="1"/>
  <c r="H534" i="1"/>
  <c r="D534" i="1"/>
  <c r="A534" i="1"/>
  <c r="N534" i="1" s="1" a="1"/>
  <c r="N534" i="1" s="1"/>
  <c r="AX533" i="1" a="1"/>
  <c r="AX533" i="1" s="1"/>
  <c r="AU533" i="1"/>
  <c r="AT533" i="1"/>
  <c r="AI533" i="1"/>
  <c r="AE533" i="1"/>
  <c r="AB533" i="1"/>
  <c r="AK533" i="1" s="1"/>
  <c r="W533" i="1"/>
  <c r="T533" i="1"/>
  <c r="S533" i="1"/>
  <c r="H533" i="1"/>
  <c r="D533" i="1"/>
  <c r="A533" i="1"/>
  <c r="AX532" i="1" a="1"/>
  <c r="AX532" i="1" s="1"/>
  <c r="AU532" i="1"/>
  <c r="AT532" i="1"/>
  <c r="AI532" i="1"/>
  <c r="AE532" i="1"/>
  <c r="AB532" i="1"/>
  <c r="AQ532" i="1" s="1"/>
  <c r="W532" i="1"/>
  <c r="T532" i="1"/>
  <c r="S532" i="1"/>
  <c r="J532" i="1"/>
  <c r="H532" i="1"/>
  <c r="D532" i="1"/>
  <c r="A532" i="1"/>
  <c r="AX531" i="1" a="1"/>
  <c r="AX531" i="1" s="1"/>
  <c r="AU531" i="1"/>
  <c r="AT531" i="1"/>
  <c r="AI531" i="1"/>
  <c r="AE531" i="1"/>
  <c r="AB531" i="1"/>
  <c r="AQ531" i="1" s="1"/>
  <c r="W531" i="1"/>
  <c r="T531" i="1"/>
  <c r="S531" i="1"/>
  <c r="H531" i="1"/>
  <c r="D531" i="1"/>
  <c r="A531" i="1"/>
  <c r="P531" i="1" s="1"/>
  <c r="AX530" i="1" a="1"/>
  <c r="AX530" i="1" s="1"/>
  <c r="AU530" i="1"/>
  <c r="AT530" i="1"/>
  <c r="AI530" i="1"/>
  <c r="AE530" i="1"/>
  <c r="AB530" i="1"/>
  <c r="W530" i="1"/>
  <c r="T530" i="1"/>
  <c r="S530" i="1"/>
  <c r="H530" i="1"/>
  <c r="D530" i="1"/>
  <c r="A530" i="1"/>
  <c r="AX529" i="1" a="1"/>
  <c r="AX529" i="1" s="1"/>
  <c r="AU529" i="1"/>
  <c r="AT529" i="1"/>
  <c r="AK529" i="1"/>
  <c r="AI529" i="1"/>
  <c r="AE529" i="1"/>
  <c r="AB529" i="1"/>
  <c r="AM529" i="1" s="1"/>
  <c r="W529" i="1"/>
  <c r="T529" i="1"/>
  <c r="S529" i="1"/>
  <c r="H529" i="1"/>
  <c r="D529" i="1"/>
  <c r="A529" i="1"/>
  <c r="M529" i="1" s="1"/>
  <c r="AX528" i="1" a="1"/>
  <c r="AX528" i="1" s="1"/>
  <c r="AU528" i="1"/>
  <c r="AT528" i="1"/>
  <c r="AI528" i="1"/>
  <c r="AE528" i="1"/>
  <c r="AB528" i="1"/>
  <c r="W528" i="1"/>
  <c r="T528" i="1"/>
  <c r="S528" i="1"/>
  <c r="O528" i="1" a="1"/>
  <c r="O528" i="1" s="1"/>
  <c r="J528" i="1"/>
  <c r="H528" i="1"/>
  <c r="D528" i="1"/>
  <c r="A528" i="1"/>
  <c r="P528" i="1" s="1"/>
  <c r="AX527" i="1" a="1"/>
  <c r="AX527" i="1" s="1"/>
  <c r="AU527" i="1"/>
  <c r="AT527" i="1"/>
  <c r="AI527" i="1"/>
  <c r="AE527" i="1"/>
  <c r="AB527" i="1"/>
  <c r="AK527" i="1" s="1"/>
  <c r="W527" i="1"/>
  <c r="T527" i="1"/>
  <c r="S527" i="1"/>
  <c r="H527" i="1"/>
  <c r="D527" i="1"/>
  <c r="A527" i="1"/>
  <c r="AX526" i="1" a="1"/>
  <c r="AX526" i="1" s="1"/>
  <c r="AU526" i="1"/>
  <c r="AT526" i="1"/>
  <c r="AK526" i="1"/>
  <c r="AI526" i="1"/>
  <c r="AE526" i="1"/>
  <c r="AB526" i="1"/>
  <c r="W526" i="1"/>
  <c r="T526" i="1"/>
  <c r="S526" i="1"/>
  <c r="H526" i="1"/>
  <c r="D526" i="1"/>
  <c r="A526" i="1"/>
  <c r="J526" i="1" s="1"/>
  <c r="AX525" i="1" a="1"/>
  <c r="AX525" i="1" s="1"/>
  <c r="AU525" i="1"/>
  <c r="AT525" i="1"/>
  <c r="AO525" i="1" a="1"/>
  <c r="AO525" i="1" s="1"/>
  <c r="AK525" i="1"/>
  <c r="AI525" i="1"/>
  <c r="AE525" i="1"/>
  <c r="AB525" i="1"/>
  <c r="AQ525" i="1" s="1"/>
  <c r="W525" i="1"/>
  <c r="T525" i="1"/>
  <c r="S525" i="1"/>
  <c r="H525" i="1"/>
  <c r="D525" i="1"/>
  <c r="A525" i="1"/>
  <c r="AX524" i="1" a="1"/>
  <c r="AX524" i="1" s="1"/>
  <c r="AU524" i="1"/>
  <c r="AT524" i="1"/>
  <c r="AI524" i="1"/>
  <c r="AE524" i="1"/>
  <c r="AB524" i="1"/>
  <c r="W524" i="1"/>
  <c r="T524" i="1"/>
  <c r="S524" i="1"/>
  <c r="H524" i="1"/>
  <c r="D524" i="1"/>
  <c r="A524" i="1"/>
  <c r="L524" i="1" s="1"/>
  <c r="AX523" i="1" a="1"/>
  <c r="AX523" i="1" s="1"/>
  <c r="AU523" i="1"/>
  <c r="AT523" i="1"/>
  <c r="AK523" i="1"/>
  <c r="AI523" i="1"/>
  <c r="AE523" i="1"/>
  <c r="AB523" i="1"/>
  <c r="AQ523" i="1" s="1"/>
  <c r="W523" i="1"/>
  <c r="T523" i="1"/>
  <c r="S523" i="1"/>
  <c r="H523" i="1"/>
  <c r="D523" i="1"/>
  <c r="A523" i="1"/>
  <c r="AX522" i="1" a="1"/>
  <c r="AX522" i="1" s="1"/>
  <c r="AU522" i="1"/>
  <c r="AT522" i="1"/>
  <c r="AI522" i="1"/>
  <c r="AE522" i="1"/>
  <c r="AB522" i="1"/>
  <c r="W522" i="1"/>
  <c r="T522" i="1"/>
  <c r="S522" i="1"/>
  <c r="J522" i="1"/>
  <c r="H522" i="1"/>
  <c r="D522" i="1"/>
  <c r="A522" i="1"/>
  <c r="AX521" i="1" a="1"/>
  <c r="AX521" i="1" s="1"/>
  <c r="AU521" i="1"/>
  <c r="AT521" i="1"/>
  <c r="AI521" i="1"/>
  <c r="AE521" i="1"/>
  <c r="AB521" i="1"/>
  <c r="AM521" i="1" s="1"/>
  <c r="W521" i="1"/>
  <c r="T521" i="1"/>
  <c r="S521" i="1"/>
  <c r="M521" i="1"/>
  <c r="H521" i="1"/>
  <c r="D521" i="1"/>
  <c r="A521" i="1"/>
  <c r="O521" i="1" s="1" a="1"/>
  <c r="O521" i="1" s="1"/>
  <c r="AX520" i="1" a="1"/>
  <c r="AX520" i="1" s="1"/>
  <c r="AU520" i="1"/>
  <c r="AT520" i="1"/>
  <c r="AI520" i="1"/>
  <c r="AE520" i="1"/>
  <c r="AB520" i="1"/>
  <c r="W520" i="1"/>
  <c r="T520" i="1"/>
  <c r="S520" i="1"/>
  <c r="H520" i="1"/>
  <c r="D520" i="1"/>
  <c r="A520" i="1"/>
  <c r="O520" i="1" s="1" a="1"/>
  <c r="O520" i="1" s="1"/>
  <c r="AX519" i="1" a="1"/>
  <c r="AX519" i="1" s="1"/>
  <c r="AU519" i="1"/>
  <c r="AT519" i="1"/>
  <c r="AK519" i="1"/>
  <c r="AI519" i="1"/>
  <c r="AE519" i="1"/>
  <c r="AB519" i="1"/>
  <c r="AO519" i="1" s="1" a="1"/>
  <c r="AO519" i="1" s="1"/>
  <c r="W519" i="1"/>
  <c r="T519" i="1"/>
  <c r="S519" i="1"/>
  <c r="H519" i="1"/>
  <c r="D519" i="1"/>
  <c r="A519" i="1"/>
  <c r="AX518" i="1" a="1"/>
  <c r="AX518" i="1" s="1"/>
  <c r="AU518" i="1"/>
  <c r="AT518" i="1"/>
  <c r="AI518" i="1"/>
  <c r="AE518" i="1"/>
  <c r="AB518" i="1"/>
  <c r="W518" i="1"/>
  <c r="T518" i="1"/>
  <c r="S518" i="1"/>
  <c r="J518" i="1"/>
  <c r="H518" i="1"/>
  <c r="D518" i="1"/>
  <c r="A518" i="1"/>
  <c r="N518" i="1" s="1" a="1"/>
  <c r="N518" i="1" s="1"/>
  <c r="AX517" i="1" a="1"/>
  <c r="AX517" i="1" s="1"/>
  <c r="AU517" i="1"/>
  <c r="AT517" i="1"/>
  <c r="AI517" i="1"/>
  <c r="AE517" i="1"/>
  <c r="AB517" i="1"/>
  <c r="AK517" i="1" s="1"/>
  <c r="W517" i="1"/>
  <c r="T517" i="1"/>
  <c r="S517" i="1"/>
  <c r="H517" i="1"/>
  <c r="D517" i="1"/>
  <c r="A517" i="1"/>
  <c r="P516" i="1" s="1"/>
  <c r="AX516" i="1" a="1"/>
  <c r="AX516" i="1" s="1"/>
  <c r="AU516" i="1"/>
  <c r="AT516" i="1"/>
  <c r="AI516" i="1"/>
  <c r="AE516" i="1"/>
  <c r="AB516" i="1"/>
  <c r="AQ516" i="1" s="1"/>
  <c r="W516" i="1"/>
  <c r="T516" i="1"/>
  <c r="S516" i="1"/>
  <c r="J516" i="1"/>
  <c r="H516" i="1"/>
  <c r="D516" i="1"/>
  <c r="A516" i="1"/>
  <c r="M515" i="1" s="1"/>
  <c r="AX515" i="1" a="1"/>
  <c r="AX515" i="1" s="1"/>
  <c r="AU515" i="1"/>
  <c r="AT515" i="1"/>
  <c r="AI515" i="1"/>
  <c r="AE515" i="1"/>
  <c r="AB515" i="1"/>
  <c r="W515" i="1"/>
  <c r="T515" i="1"/>
  <c r="S515" i="1"/>
  <c r="H515" i="1"/>
  <c r="D515" i="1"/>
  <c r="A515" i="1"/>
  <c r="P515" i="1" s="1"/>
  <c r="AX514" i="1" a="1"/>
  <c r="AX514" i="1" s="1"/>
  <c r="AU514" i="1"/>
  <c r="AT514" i="1"/>
  <c r="AK514" i="1"/>
  <c r="AI514" i="1"/>
  <c r="AE514" i="1"/>
  <c r="AB514" i="1"/>
  <c r="AO513" i="1" s="1" a="1"/>
  <c r="AO513" i="1" s="1"/>
  <c r="W514" i="1"/>
  <c r="T514" i="1"/>
  <c r="S514" i="1"/>
  <c r="H514" i="1"/>
  <c r="D514" i="1"/>
  <c r="A514" i="1"/>
  <c r="AX513" i="1" a="1"/>
  <c r="AX513" i="1" s="1"/>
  <c r="AU513" i="1"/>
  <c r="AT513" i="1"/>
  <c r="AI513" i="1"/>
  <c r="AE513" i="1"/>
  <c r="AB513" i="1"/>
  <c r="W513" i="1"/>
  <c r="T513" i="1"/>
  <c r="S513" i="1"/>
  <c r="J513" i="1"/>
  <c r="H513" i="1"/>
  <c r="D513" i="1"/>
  <c r="A513" i="1"/>
  <c r="AX512" i="1" a="1"/>
  <c r="AX512" i="1" s="1"/>
  <c r="AU512" i="1"/>
  <c r="AT512" i="1"/>
  <c r="AI512" i="1"/>
  <c r="AE512" i="1"/>
  <c r="AB512" i="1"/>
  <c r="W512" i="1"/>
  <c r="T512" i="1"/>
  <c r="S512" i="1"/>
  <c r="H512" i="1"/>
  <c r="D512" i="1"/>
  <c r="A512" i="1"/>
  <c r="AX511" i="1" a="1"/>
  <c r="AX511" i="1" s="1"/>
  <c r="AU511" i="1"/>
  <c r="AT511" i="1"/>
  <c r="AI511" i="1"/>
  <c r="AE511" i="1"/>
  <c r="AB511" i="1"/>
  <c r="W511" i="1"/>
  <c r="T511" i="1"/>
  <c r="S511" i="1"/>
  <c r="H511" i="1"/>
  <c r="D511" i="1"/>
  <c r="A511" i="1"/>
  <c r="AX510" i="1" a="1"/>
  <c r="AX510" i="1" s="1"/>
  <c r="AU510" i="1"/>
  <c r="AT510" i="1"/>
  <c r="AI510" i="1"/>
  <c r="AE510" i="1"/>
  <c r="AB510" i="1"/>
  <c r="W510" i="1"/>
  <c r="T510" i="1"/>
  <c r="S510" i="1"/>
  <c r="H510" i="1"/>
  <c r="D510" i="1"/>
  <c r="A510" i="1"/>
  <c r="AX509" i="1" a="1"/>
  <c r="AX509" i="1" s="1"/>
  <c r="AU509" i="1"/>
  <c r="AT509" i="1"/>
  <c r="AI509" i="1"/>
  <c r="AE509" i="1"/>
  <c r="AB509" i="1"/>
  <c r="AN508" i="1" s="1"/>
  <c r="W509" i="1"/>
  <c r="T509" i="1"/>
  <c r="S509" i="1"/>
  <c r="N509" i="1" a="1"/>
  <c r="N509" i="1" s="1"/>
  <c r="H509" i="1"/>
  <c r="D509" i="1"/>
  <c r="A509" i="1"/>
  <c r="J509" i="1" s="1"/>
  <c r="AX508" i="1" a="1"/>
  <c r="AX508" i="1" s="1"/>
  <c r="AU508" i="1"/>
  <c r="AT508" i="1"/>
  <c r="AI508" i="1"/>
  <c r="AE508" i="1"/>
  <c r="AB508" i="1"/>
  <c r="AK508" i="1" s="1"/>
  <c r="W508" i="1"/>
  <c r="T508" i="1"/>
  <c r="S508" i="1"/>
  <c r="H508" i="1"/>
  <c r="D508" i="1"/>
  <c r="A508" i="1"/>
  <c r="AX507" i="1" a="1"/>
  <c r="AX507" i="1" s="1"/>
  <c r="AU507" i="1"/>
  <c r="AT507" i="1"/>
  <c r="AL507" i="1"/>
  <c r="AI507" i="1"/>
  <c r="AE507" i="1"/>
  <c r="AB507" i="1"/>
  <c r="AP506" i="1" s="1" a="1"/>
  <c r="AP506" i="1" s="1"/>
  <c r="W507" i="1"/>
  <c r="T507" i="1"/>
  <c r="S507" i="1"/>
  <c r="H507" i="1"/>
  <c r="D507" i="1"/>
  <c r="A507" i="1"/>
  <c r="AX506" i="1" a="1"/>
  <c r="AX506" i="1" s="1"/>
  <c r="AU506" i="1"/>
  <c r="AT506" i="1"/>
  <c r="AQ506" i="1"/>
  <c r="AI506" i="1"/>
  <c r="AE506" i="1"/>
  <c r="AB506" i="1"/>
  <c r="W506" i="1"/>
  <c r="T506" i="1"/>
  <c r="S506" i="1"/>
  <c r="H506" i="1"/>
  <c r="D506" i="1"/>
  <c r="A506" i="1"/>
  <c r="AX505" i="1" a="1"/>
  <c r="AX505" i="1" s="1"/>
  <c r="AU505" i="1"/>
  <c r="AT505" i="1"/>
  <c r="AK505" i="1"/>
  <c r="AI505" i="1"/>
  <c r="AE505" i="1"/>
  <c r="AB505" i="1"/>
  <c r="AQ505" i="1" s="1"/>
  <c r="W505" i="1"/>
  <c r="T505" i="1"/>
  <c r="S505" i="1"/>
  <c r="H505" i="1"/>
  <c r="D505" i="1"/>
  <c r="A505" i="1"/>
  <c r="P505" i="1" s="1"/>
  <c r="AX504" i="1" a="1"/>
  <c r="AX504" i="1" s="1"/>
  <c r="AU504" i="1"/>
  <c r="AT504" i="1"/>
  <c r="AP504" i="1" a="1"/>
  <c r="AP504" i="1" s="1"/>
  <c r="AI504" i="1"/>
  <c r="AE504" i="1"/>
  <c r="AB504" i="1"/>
  <c r="AM504" i="1" s="1"/>
  <c r="W504" i="1"/>
  <c r="T504" i="1"/>
  <c r="S504" i="1"/>
  <c r="J504" i="1"/>
  <c r="H504" i="1"/>
  <c r="D504" i="1"/>
  <c r="A504" i="1"/>
  <c r="AX503" i="1" a="1"/>
  <c r="AX503" i="1" s="1"/>
  <c r="AU503" i="1"/>
  <c r="AT503" i="1"/>
  <c r="AP503" i="1" a="1"/>
  <c r="AP503" i="1" s="1"/>
  <c r="AI503" i="1"/>
  <c r="AE503" i="1"/>
  <c r="AB503" i="1"/>
  <c r="W503" i="1"/>
  <c r="T503" i="1"/>
  <c r="S503" i="1"/>
  <c r="H503" i="1"/>
  <c r="D503" i="1"/>
  <c r="A503" i="1"/>
  <c r="K502" i="1" s="1"/>
  <c r="AX502" i="1" a="1"/>
  <c r="AX502" i="1" s="1"/>
  <c r="AU502" i="1"/>
  <c r="AT502" i="1"/>
  <c r="AK502" i="1"/>
  <c r="AI502" i="1"/>
  <c r="AE502" i="1"/>
  <c r="AB502" i="1"/>
  <c r="W502" i="1"/>
  <c r="T502" i="1"/>
  <c r="S502" i="1"/>
  <c r="H502" i="1"/>
  <c r="D502" i="1"/>
  <c r="A502" i="1"/>
  <c r="AX501" i="1" a="1"/>
  <c r="AX501" i="1" s="1"/>
  <c r="AU501" i="1"/>
  <c r="AT501" i="1"/>
  <c r="AI501" i="1"/>
  <c r="AE501" i="1"/>
  <c r="AB501" i="1"/>
  <c r="W501" i="1"/>
  <c r="T501" i="1"/>
  <c r="S501" i="1"/>
  <c r="H501" i="1"/>
  <c r="D501" i="1"/>
  <c r="A501" i="1"/>
  <c r="P501" i="1" s="1"/>
  <c r="AX500" i="1" a="1"/>
  <c r="AX500" i="1" s="1"/>
  <c r="AU500" i="1"/>
  <c r="AT500" i="1"/>
  <c r="AP500" i="1" a="1"/>
  <c r="AP500" i="1" s="1"/>
  <c r="AI500" i="1"/>
  <c r="AE500" i="1"/>
  <c r="AB500" i="1"/>
  <c r="AN500" i="1" s="1"/>
  <c r="W500" i="1"/>
  <c r="T500" i="1"/>
  <c r="S500" i="1"/>
  <c r="H500" i="1"/>
  <c r="D500" i="1"/>
  <c r="A500" i="1"/>
  <c r="AX499" i="1" a="1"/>
  <c r="AX499" i="1" s="1"/>
  <c r="AU499" i="1"/>
  <c r="AT499" i="1"/>
  <c r="AP499" i="1" a="1"/>
  <c r="AP499" i="1" s="1"/>
  <c r="AI499" i="1"/>
  <c r="AE499" i="1"/>
  <c r="AB499" i="1"/>
  <c r="W499" i="1"/>
  <c r="T499" i="1"/>
  <c r="S499" i="1"/>
  <c r="H499" i="1"/>
  <c r="D499" i="1"/>
  <c r="A499" i="1"/>
  <c r="AX498" i="1" a="1"/>
  <c r="AX498" i="1" s="1"/>
  <c r="AU498" i="1"/>
  <c r="AT498" i="1"/>
  <c r="AI498" i="1"/>
  <c r="AE498" i="1"/>
  <c r="AB498" i="1"/>
  <c r="W498" i="1"/>
  <c r="T498" i="1"/>
  <c r="S498" i="1"/>
  <c r="H498" i="1"/>
  <c r="D498" i="1"/>
  <c r="A498" i="1"/>
  <c r="M498" i="1" s="1"/>
  <c r="AX497" i="1" a="1"/>
  <c r="AX497" i="1" s="1"/>
  <c r="AU497" i="1"/>
  <c r="AT497" i="1"/>
  <c r="AI497" i="1"/>
  <c r="AE497" i="1"/>
  <c r="AB497" i="1"/>
  <c r="AQ497" i="1" s="1"/>
  <c r="W497" i="1"/>
  <c r="T497" i="1"/>
  <c r="S497" i="1"/>
  <c r="H497" i="1"/>
  <c r="D497" i="1"/>
  <c r="A497" i="1"/>
  <c r="AX496" i="1" a="1"/>
  <c r="AX496" i="1" s="1"/>
  <c r="AU496" i="1"/>
  <c r="AT496" i="1"/>
  <c r="AP496" i="1" a="1"/>
  <c r="AP496" i="1" s="1"/>
  <c r="AI496" i="1"/>
  <c r="AE496" i="1"/>
  <c r="AB496" i="1"/>
  <c r="W496" i="1"/>
  <c r="T496" i="1"/>
  <c r="S496" i="1"/>
  <c r="H496" i="1"/>
  <c r="D496" i="1"/>
  <c r="A496" i="1"/>
  <c r="AX495" i="1" a="1"/>
  <c r="AX495" i="1" s="1"/>
  <c r="AU495" i="1"/>
  <c r="AT495" i="1"/>
  <c r="AI495" i="1"/>
  <c r="AE495" i="1"/>
  <c r="AB495" i="1"/>
  <c r="W495" i="1"/>
  <c r="T495" i="1"/>
  <c r="S495" i="1"/>
  <c r="H495" i="1"/>
  <c r="D495" i="1"/>
  <c r="A495" i="1"/>
  <c r="AX494" i="1" a="1"/>
  <c r="AX494" i="1" s="1"/>
  <c r="AU494" i="1"/>
  <c r="AT494" i="1"/>
  <c r="AI494" i="1"/>
  <c r="AE494" i="1"/>
  <c r="AB494" i="1"/>
  <c r="AO494" i="1" s="1" a="1"/>
  <c r="AO494" i="1" s="1"/>
  <c r="W494" i="1"/>
  <c r="T494" i="1"/>
  <c r="S494" i="1"/>
  <c r="H494" i="1"/>
  <c r="D494" i="1"/>
  <c r="A494" i="1"/>
  <c r="AX493" i="1" a="1"/>
  <c r="AX493" i="1" s="1"/>
  <c r="AU493" i="1"/>
  <c r="AT493" i="1"/>
  <c r="AI493" i="1"/>
  <c r="AE493" i="1"/>
  <c r="AB493" i="1"/>
  <c r="W493" i="1"/>
  <c r="T493" i="1"/>
  <c r="S493" i="1"/>
  <c r="H493" i="1"/>
  <c r="D493" i="1"/>
  <c r="A493" i="1"/>
  <c r="P493" i="1" s="1"/>
  <c r="AX492" i="1" a="1"/>
  <c r="AX492" i="1" s="1"/>
  <c r="AU492" i="1"/>
  <c r="AT492" i="1"/>
  <c r="AK492" i="1"/>
  <c r="AI492" i="1"/>
  <c r="AE492" i="1"/>
  <c r="AB492" i="1"/>
  <c r="W492" i="1"/>
  <c r="T492" i="1"/>
  <c r="S492" i="1"/>
  <c r="H492" i="1"/>
  <c r="D492" i="1"/>
  <c r="A492" i="1"/>
  <c r="AX491" i="1" a="1"/>
  <c r="AX491" i="1" s="1"/>
  <c r="AU491" i="1"/>
  <c r="AT491" i="1"/>
  <c r="AI491" i="1"/>
  <c r="AE491" i="1"/>
  <c r="AB491" i="1"/>
  <c r="AM491" i="1" s="1"/>
  <c r="W491" i="1"/>
  <c r="T491" i="1"/>
  <c r="S491" i="1"/>
  <c r="H491" i="1"/>
  <c r="D491" i="1"/>
  <c r="A491" i="1"/>
  <c r="J491" i="1" s="1"/>
  <c r="AX490" i="1" a="1"/>
  <c r="AX490" i="1" s="1"/>
  <c r="AU490" i="1"/>
  <c r="AT490" i="1"/>
  <c r="AO490" i="1" a="1"/>
  <c r="AO490" i="1" s="1"/>
  <c r="AI490" i="1"/>
  <c r="AE490" i="1"/>
  <c r="AB490" i="1"/>
  <c r="W490" i="1"/>
  <c r="T490" i="1"/>
  <c r="S490" i="1"/>
  <c r="H490" i="1"/>
  <c r="D490" i="1"/>
  <c r="A490" i="1"/>
  <c r="AX489" i="1" a="1"/>
  <c r="AX489" i="1" s="1"/>
  <c r="AU489" i="1"/>
  <c r="AT489" i="1"/>
  <c r="AI489" i="1"/>
  <c r="AE489" i="1"/>
  <c r="AB489" i="1"/>
  <c r="W489" i="1"/>
  <c r="T489" i="1"/>
  <c r="S489" i="1"/>
  <c r="L489" i="1"/>
  <c r="H489" i="1"/>
  <c r="D489" i="1"/>
  <c r="A489" i="1"/>
  <c r="J489" i="1" s="1"/>
  <c r="AX488" i="1" a="1"/>
  <c r="AX488" i="1" s="1"/>
  <c r="AU488" i="1"/>
  <c r="AT488" i="1"/>
  <c r="AI488" i="1"/>
  <c r="AE488" i="1"/>
  <c r="AB488" i="1"/>
  <c r="W488" i="1"/>
  <c r="T488" i="1"/>
  <c r="S488" i="1"/>
  <c r="M488" i="1"/>
  <c r="H488" i="1"/>
  <c r="D488" i="1"/>
  <c r="A488" i="1"/>
  <c r="AX487" i="1" a="1"/>
  <c r="AX487" i="1" s="1"/>
  <c r="AU487" i="1"/>
  <c r="AT487" i="1"/>
  <c r="AI487" i="1"/>
  <c r="AE487" i="1"/>
  <c r="AB487" i="1"/>
  <c r="W487" i="1"/>
  <c r="T487" i="1"/>
  <c r="S487" i="1"/>
  <c r="H487" i="1"/>
  <c r="D487" i="1"/>
  <c r="A487" i="1"/>
  <c r="AX486" i="1" a="1"/>
  <c r="AX486" i="1" s="1"/>
  <c r="AU486" i="1"/>
  <c r="AT486" i="1"/>
  <c r="AK486" i="1"/>
  <c r="AI486" i="1"/>
  <c r="AE486" i="1"/>
  <c r="AB486" i="1"/>
  <c r="W486" i="1"/>
  <c r="T486" i="1"/>
  <c r="S486" i="1"/>
  <c r="H486" i="1"/>
  <c r="D486" i="1"/>
  <c r="A486" i="1"/>
  <c r="AX485" i="1" a="1"/>
  <c r="AX485" i="1" s="1"/>
  <c r="AU485" i="1"/>
  <c r="AT485" i="1"/>
  <c r="AI485" i="1"/>
  <c r="AE485" i="1"/>
  <c r="AB485" i="1"/>
  <c r="W485" i="1"/>
  <c r="T485" i="1"/>
  <c r="S485" i="1"/>
  <c r="J485" i="1"/>
  <c r="H485" i="1"/>
  <c r="D485" i="1"/>
  <c r="A485" i="1"/>
  <c r="AX484" i="1" a="1"/>
  <c r="AX484" i="1" s="1"/>
  <c r="AU484" i="1"/>
  <c r="AT484" i="1"/>
  <c r="AN484" i="1"/>
  <c r="AI484" i="1"/>
  <c r="AE484" i="1"/>
  <c r="AB484" i="1"/>
  <c r="W484" i="1"/>
  <c r="T484" i="1"/>
  <c r="S484" i="1"/>
  <c r="H484" i="1"/>
  <c r="D484" i="1"/>
  <c r="A484" i="1"/>
  <c r="J484" i="1" s="1"/>
  <c r="AX483" i="1" a="1"/>
  <c r="AX483" i="1" s="1"/>
  <c r="AU483" i="1"/>
  <c r="AT483" i="1"/>
  <c r="AI483" i="1"/>
  <c r="AE483" i="1"/>
  <c r="AB483" i="1"/>
  <c r="W483" i="1"/>
  <c r="T483" i="1"/>
  <c r="S483" i="1"/>
  <c r="H483" i="1"/>
  <c r="D483" i="1"/>
  <c r="A483" i="1"/>
  <c r="P483" i="1" s="1"/>
  <c r="AX482" i="1" a="1"/>
  <c r="AX482" i="1" s="1"/>
  <c r="AU482" i="1"/>
  <c r="AT482" i="1"/>
  <c r="AM482" i="1"/>
  <c r="AI482" i="1"/>
  <c r="AE482" i="1"/>
  <c r="AB482" i="1"/>
  <c r="W482" i="1"/>
  <c r="T482" i="1"/>
  <c r="S482" i="1"/>
  <c r="H482" i="1"/>
  <c r="D482" i="1"/>
  <c r="A482" i="1"/>
  <c r="N481" i="1" s="1" a="1"/>
  <c r="N481" i="1" s="1"/>
  <c r="AX481" i="1" a="1"/>
  <c r="AX481" i="1" s="1"/>
  <c r="AU481" i="1"/>
  <c r="AT481" i="1"/>
  <c r="AK481" i="1"/>
  <c r="AI481" i="1"/>
  <c r="AE481" i="1"/>
  <c r="AB481" i="1"/>
  <c r="W481" i="1"/>
  <c r="T481" i="1"/>
  <c r="S481" i="1"/>
  <c r="H481" i="1"/>
  <c r="D481" i="1"/>
  <c r="A481" i="1"/>
  <c r="AX480" i="1" a="1"/>
  <c r="AX480" i="1" s="1"/>
  <c r="AU480" i="1"/>
  <c r="AT480" i="1"/>
  <c r="AN480" i="1"/>
  <c r="AI480" i="1"/>
  <c r="AE480" i="1"/>
  <c r="AB480" i="1"/>
  <c r="W480" i="1"/>
  <c r="T480" i="1"/>
  <c r="S480" i="1"/>
  <c r="H480" i="1"/>
  <c r="D480" i="1"/>
  <c r="A480" i="1"/>
  <c r="AX479" i="1" a="1"/>
  <c r="AX479" i="1" s="1"/>
  <c r="AU479" i="1"/>
  <c r="AT479" i="1"/>
  <c r="AI479" i="1"/>
  <c r="AE479" i="1"/>
  <c r="AB479" i="1"/>
  <c r="W479" i="1"/>
  <c r="T479" i="1"/>
  <c r="S479" i="1"/>
  <c r="H479" i="1"/>
  <c r="D479" i="1"/>
  <c r="A479" i="1"/>
  <c r="AX478" i="1" a="1"/>
  <c r="AX478" i="1" s="1"/>
  <c r="AU478" i="1"/>
  <c r="AT478" i="1"/>
  <c r="AI478" i="1"/>
  <c r="AE478" i="1"/>
  <c r="AB478" i="1"/>
  <c r="W478" i="1"/>
  <c r="T478" i="1"/>
  <c r="S478" i="1"/>
  <c r="H478" i="1"/>
  <c r="D478" i="1"/>
  <c r="A478" i="1"/>
  <c r="AX477" i="1" a="1"/>
  <c r="AX477" i="1" s="1"/>
  <c r="AU477" i="1"/>
  <c r="AT477" i="1"/>
  <c r="AI477" i="1"/>
  <c r="AE477" i="1"/>
  <c r="AB477" i="1"/>
  <c r="W477" i="1"/>
  <c r="T477" i="1"/>
  <c r="S477" i="1"/>
  <c r="H477" i="1"/>
  <c r="D477" i="1"/>
  <c r="A477" i="1"/>
  <c r="AX476" i="1" a="1"/>
  <c r="AX476" i="1" s="1"/>
  <c r="AU476" i="1"/>
  <c r="AT476" i="1"/>
  <c r="AI476" i="1"/>
  <c r="AE476" i="1"/>
  <c r="AB476" i="1"/>
  <c r="AP475" i="1" s="1" a="1"/>
  <c r="AP475" i="1" s="1"/>
  <c r="W476" i="1"/>
  <c r="T476" i="1"/>
  <c r="S476" i="1"/>
  <c r="H476" i="1"/>
  <c r="D476" i="1"/>
  <c r="A476" i="1"/>
  <c r="AX475" i="1" a="1"/>
  <c r="AX475" i="1" s="1"/>
  <c r="AU475" i="1"/>
  <c r="AT475" i="1"/>
  <c r="AI475" i="1"/>
  <c r="AE475" i="1"/>
  <c r="AB475" i="1"/>
  <c r="W475" i="1"/>
  <c r="T475" i="1"/>
  <c r="S475" i="1"/>
  <c r="M475" i="1"/>
  <c r="H475" i="1"/>
  <c r="D475" i="1"/>
  <c r="A475" i="1"/>
  <c r="AX474" i="1" a="1"/>
  <c r="AX474" i="1" s="1"/>
  <c r="AU474" i="1"/>
  <c r="AT474" i="1"/>
  <c r="AK474" i="1"/>
  <c r="AI474" i="1"/>
  <c r="AE474" i="1"/>
  <c r="AB474" i="1"/>
  <c r="AQ474" i="1" s="1"/>
  <c r="W474" i="1"/>
  <c r="T474" i="1"/>
  <c r="S474" i="1"/>
  <c r="H474" i="1"/>
  <c r="D474" i="1"/>
  <c r="A474" i="1"/>
  <c r="K474" i="1" s="1"/>
  <c r="AX473" i="1" a="1"/>
  <c r="AX473" i="1" s="1"/>
  <c r="AU473" i="1"/>
  <c r="AT473" i="1"/>
  <c r="AI473" i="1"/>
  <c r="AE473" i="1"/>
  <c r="AB473" i="1"/>
  <c r="AO473" i="1" s="1" a="1"/>
  <c r="AO473" i="1" s="1"/>
  <c r="W473" i="1"/>
  <c r="T473" i="1"/>
  <c r="S473" i="1"/>
  <c r="H473" i="1"/>
  <c r="D473" i="1"/>
  <c r="A473" i="1"/>
  <c r="J473" i="1" s="1"/>
  <c r="AX472" i="1" a="1"/>
  <c r="AX472" i="1" s="1"/>
  <c r="AU472" i="1"/>
  <c r="AT472" i="1"/>
  <c r="AI472" i="1"/>
  <c r="AE472" i="1"/>
  <c r="AB472" i="1"/>
  <c r="AL471" i="1" s="1"/>
  <c r="W472" i="1"/>
  <c r="T472" i="1"/>
  <c r="S472" i="1"/>
  <c r="P472" i="1"/>
  <c r="J472" i="1"/>
  <c r="H472" i="1"/>
  <c r="D472" i="1"/>
  <c r="A472" i="1"/>
  <c r="AX471" i="1" a="1"/>
  <c r="AX471" i="1" s="1"/>
  <c r="AU471" i="1"/>
  <c r="AT471" i="1"/>
  <c r="AI471" i="1"/>
  <c r="AE471" i="1"/>
  <c r="AB471" i="1"/>
  <c r="W471" i="1"/>
  <c r="T471" i="1"/>
  <c r="S471" i="1"/>
  <c r="L471" i="1"/>
  <c r="H471" i="1"/>
  <c r="D471" i="1"/>
  <c r="A471" i="1"/>
  <c r="AX470" i="1" a="1"/>
  <c r="AX470" i="1" s="1"/>
  <c r="AU470" i="1"/>
  <c r="AT470" i="1"/>
  <c r="AI470" i="1"/>
  <c r="AE470" i="1"/>
  <c r="AB470" i="1"/>
  <c r="AL470" i="1" s="1"/>
  <c r="W470" i="1"/>
  <c r="T470" i="1"/>
  <c r="S470" i="1"/>
  <c r="H470" i="1"/>
  <c r="D470" i="1"/>
  <c r="A470" i="1"/>
  <c r="L470" i="1" s="1"/>
  <c r="AX469" i="1" a="1"/>
  <c r="AX469" i="1" s="1"/>
  <c r="AU469" i="1"/>
  <c r="AT469" i="1"/>
  <c r="AI469" i="1"/>
  <c r="AE469" i="1"/>
  <c r="AB469" i="1"/>
  <c r="W469" i="1"/>
  <c r="T469" i="1"/>
  <c r="S469" i="1"/>
  <c r="H469" i="1"/>
  <c r="D469" i="1"/>
  <c r="A469" i="1"/>
  <c r="AX468" i="1" a="1"/>
  <c r="AX468" i="1" s="1"/>
  <c r="AU468" i="1"/>
  <c r="AT468" i="1"/>
  <c r="AM468" i="1"/>
  <c r="AI468" i="1"/>
  <c r="AE468" i="1"/>
  <c r="AB468" i="1"/>
  <c r="W468" i="1"/>
  <c r="T468" i="1"/>
  <c r="S468" i="1"/>
  <c r="H468" i="1"/>
  <c r="D468" i="1"/>
  <c r="A468" i="1"/>
  <c r="O467" i="1" s="1" a="1"/>
  <c r="O467" i="1" s="1"/>
  <c r="AX467" i="1" a="1"/>
  <c r="AX467" i="1" s="1"/>
  <c r="AU467" i="1"/>
  <c r="AT467" i="1"/>
  <c r="AI467" i="1"/>
  <c r="AE467" i="1"/>
  <c r="AB467" i="1"/>
  <c r="AM467" i="1" s="1"/>
  <c r="W467" i="1"/>
  <c r="T467" i="1"/>
  <c r="S467" i="1"/>
  <c r="H467" i="1"/>
  <c r="D467" i="1"/>
  <c r="A467" i="1"/>
  <c r="AX466" i="1" a="1"/>
  <c r="AX466" i="1" s="1"/>
  <c r="AU466" i="1"/>
  <c r="AT466" i="1"/>
  <c r="AI466" i="1"/>
  <c r="AE466" i="1"/>
  <c r="AB466" i="1"/>
  <c r="W466" i="1"/>
  <c r="T466" i="1"/>
  <c r="S466" i="1"/>
  <c r="L466" i="1"/>
  <c r="H466" i="1"/>
  <c r="D466" i="1"/>
  <c r="A466" i="1"/>
  <c r="J466" i="1" s="1"/>
  <c r="AX465" i="1" a="1"/>
  <c r="AX465" i="1" s="1"/>
  <c r="AU465" i="1"/>
  <c r="AT465" i="1"/>
  <c r="AI465" i="1"/>
  <c r="AE465" i="1"/>
  <c r="AB465" i="1"/>
  <c r="W465" i="1"/>
  <c r="T465" i="1"/>
  <c r="S465" i="1"/>
  <c r="H465" i="1"/>
  <c r="D465" i="1"/>
  <c r="A465" i="1"/>
  <c r="K465" i="1" s="1"/>
  <c r="AX464" i="1" a="1"/>
  <c r="AX464" i="1" s="1"/>
  <c r="AU464" i="1"/>
  <c r="AT464" i="1"/>
  <c r="AI464" i="1"/>
  <c r="AE464" i="1"/>
  <c r="AB464" i="1"/>
  <c r="AQ463" i="1" s="1"/>
  <c r="W464" i="1"/>
  <c r="T464" i="1"/>
  <c r="S464" i="1"/>
  <c r="H464" i="1"/>
  <c r="D464" i="1"/>
  <c r="A464" i="1"/>
  <c r="P464" i="1" s="1"/>
  <c r="AX463" i="1" a="1"/>
  <c r="AX463" i="1" s="1"/>
  <c r="AU463" i="1"/>
  <c r="AT463" i="1"/>
  <c r="AI463" i="1"/>
  <c r="AE463" i="1"/>
  <c r="AB463" i="1"/>
  <c r="AK463" i="1" s="1"/>
  <c r="W463" i="1"/>
  <c r="T463" i="1"/>
  <c r="S463" i="1"/>
  <c r="H463" i="1"/>
  <c r="D463" i="1"/>
  <c r="A463" i="1"/>
  <c r="AX462" i="1" a="1"/>
  <c r="AX462" i="1" s="1"/>
  <c r="AU462" i="1"/>
  <c r="AT462" i="1"/>
  <c r="AI462" i="1"/>
  <c r="AE462" i="1"/>
  <c r="AB462" i="1"/>
  <c r="AN462" i="1" s="1"/>
  <c r="W462" i="1"/>
  <c r="T462" i="1"/>
  <c r="S462" i="1"/>
  <c r="H462" i="1"/>
  <c r="D462" i="1"/>
  <c r="A462" i="1"/>
  <c r="O462" i="1" s="1" a="1"/>
  <c r="O462" i="1" s="1"/>
  <c r="AX461" i="1" a="1"/>
  <c r="AX461" i="1" s="1"/>
  <c r="AU461" i="1"/>
  <c r="AT461" i="1"/>
  <c r="AK461" i="1"/>
  <c r="AI461" i="1"/>
  <c r="AE461" i="1"/>
  <c r="AB461" i="1"/>
  <c r="W461" i="1"/>
  <c r="T461" i="1"/>
  <c r="S461" i="1"/>
  <c r="H461" i="1"/>
  <c r="D461" i="1"/>
  <c r="A461" i="1"/>
  <c r="M461" i="1" s="1"/>
  <c r="AX460" i="1" a="1"/>
  <c r="AX460" i="1" s="1"/>
  <c r="AU460" i="1"/>
  <c r="AT460" i="1"/>
  <c r="AI460" i="1"/>
  <c r="AE460" i="1"/>
  <c r="AB460" i="1"/>
  <c r="W460" i="1"/>
  <c r="T460" i="1"/>
  <c r="S460" i="1"/>
  <c r="H460" i="1"/>
  <c r="D460" i="1"/>
  <c r="A460" i="1"/>
  <c r="AX459" i="1" a="1"/>
  <c r="AX459" i="1" s="1"/>
  <c r="AU459" i="1"/>
  <c r="AT459" i="1"/>
  <c r="AP459" i="1" a="1"/>
  <c r="AP459" i="1" s="1"/>
  <c r="AI459" i="1"/>
  <c r="AE459" i="1"/>
  <c r="AB459" i="1"/>
  <c r="W459" i="1"/>
  <c r="T459" i="1"/>
  <c r="S459" i="1"/>
  <c r="H459" i="1"/>
  <c r="D459" i="1"/>
  <c r="A459" i="1"/>
  <c r="AX458" i="1" a="1"/>
  <c r="AX458" i="1" s="1"/>
  <c r="AU458" i="1"/>
  <c r="AT458" i="1"/>
  <c r="AI458" i="1"/>
  <c r="AE458" i="1"/>
  <c r="AB458" i="1"/>
  <c r="W458" i="1"/>
  <c r="T458" i="1"/>
  <c r="S458" i="1"/>
  <c r="H458" i="1"/>
  <c r="D458" i="1"/>
  <c r="A458" i="1"/>
  <c r="AX457" i="1" a="1"/>
  <c r="AX457" i="1" s="1"/>
  <c r="AU457" i="1"/>
  <c r="AT457" i="1"/>
  <c r="AK457" i="1"/>
  <c r="AI457" i="1"/>
  <c r="AE457" i="1"/>
  <c r="AB457" i="1"/>
  <c r="AO457" i="1" s="1" a="1"/>
  <c r="AO457" i="1" s="1"/>
  <c r="W457" i="1"/>
  <c r="T457" i="1"/>
  <c r="S457" i="1"/>
  <c r="H457" i="1"/>
  <c r="D457" i="1"/>
  <c r="A457" i="1"/>
  <c r="AX456" i="1" a="1"/>
  <c r="AX456" i="1" s="1"/>
  <c r="AU456" i="1"/>
  <c r="AT456" i="1"/>
  <c r="AI456" i="1"/>
  <c r="AE456" i="1"/>
  <c r="AB456" i="1"/>
  <c r="AN456" i="1" s="1"/>
  <c r="W456" i="1"/>
  <c r="T456" i="1"/>
  <c r="S456" i="1"/>
  <c r="J456" i="1"/>
  <c r="H456" i="1"/>
  <c r="D456" i="1"/>
  <c r="A456" i="1"/>
  <c r="AX455" i="1" a="1"/>
  <c r="AX455" i="1" s="1"/>
  <c r="AU455" i="1"/>
  <c r="AT455" i="1"/>
  <c r="AI455" i="1"/>
  <c r="AE455" i="1"/>
  <c r="AB455" i="1"/>
  <c r="W455" i="1"/>
  <c r="T455" i="1"/>
  <c r="S455" i="1"/>
  <c r="K455" i="1"/>
  <c r="H455" i="1"/>
  <c r="D455" i="1"/>
  <c r="A455" i="1"/>
  <c r="O455" i="1" s="1" a="1"/>
  <c r="O455" i="1" s="1"/>
  <c r="AX454" i="1" a="1"/>
  <c r="AX454" i="1" s="1"/>
  <c r="AU454" i="1"/>
  <c r="AT454" i="1"/>
  <c r="AI454" i="1"/>
  <c r="AE454" i="1"/>
  <c r="AB454" i="1"/>
  <c r="AK454" i="1" s="1"/>
  <c r="W454" i="1"/>
  <c r="T454" i="1"/>
  <c r="S454" i="1"/>
  <c r="H454" i="1"/>
  <c r="D454" i="1"/>
  <c r="A454" i="1"/>
  <c r="AX453" i="1" a="1"/>
  <c r="AX453" i="1" s="1"/>
  <c r="AU453" i="1"/>
  <c r="AT453" i="1"/>
  <c r="AK453" i="1"/>
  <c r="AI453" i="1"/>
  <c r="AE453" i="1"/>
  <c r="AB453" i="1"/>
  <c r="W453" i="1"/>
  <c r="T453" i="1"/>
  <c r="S453" i="1"/>
  <c r="H453" i="1"/>
  <c r="D453" i="1"/>
  <c r="A453" i="1"/>
  <c r="AX452" i="1" a="1"/>
  <c r="AX452" i="1" s="1"/>
  <c r="AU452" i="1"/>
  <c r="AT452" i="1"/>
  <c r="AI452" i="1"/>
  <c r="AE452" i="1"/>
  <c r="AB452" i="1"/>
  <c r="AP452" i="1" s="1" a="1"/>
  <c r="AP452" i="1" s="1"/>
  <c r="W452" i="1"/>
  <c r="T452" i="1"/>
  <c r="S452" i="1"/>
  <c r="H452" i="1"/>
  <c r="D452" i="1"/>
  <c r="A452" i="1"/>
  <c r="AX451" i="1" a="1"/>
  <c r="AX451" i="1" s="1"/>
  <c r="AU451" i="1"/>
  <c r="AT451" i="1"/>
  <c r="AI451" i="1"/>
  <c r="AE451" i="1"/>
  <c r="AB451" i="1"/>
  <c r="W451" i="1"/>
  <c r="T451" i="1"/>
  <c r="S451" i="1"/>
  <c r="H451" i="1"/>
  <c r="D451" i="1"/>
  <c r="A451" i="1"/>
  <c r="O450" i="1" s="1" a="1"/>
  <c r="O450" i="1" s="1"/>
  <c r="AX450" i="1" a="1"/>
  <c r="AX450" i="1" s="1"/>
  <c r="AU450" i="1"/>
  <c r="AT450" i="1"/>
  <c r="AI450" i="1"/>
  <c r="AE450" i="1"/>
  <c r="AB450" i="1"/>
  <c r="W450" i="1"/>
  <c r="T450" i="1"/>
  <c r="S450" i="1"/>
  <c r="J450" i="1"/>
  <c r="H450" i="1"/>
  <c r="D450" i="1"/>
  <c r="A450" i="1"/>
  <c r="AX449" i="1" a="1"/>
  <c r="AX449" i="1" s="1"/>
  <c r="AU449" i="1"/>
  <c r="AT449" i="1"/>
  <c r="AI449" i="1"/>
  <c r="AE449" i="1"/>
  <c r="AB449" i="1"/>
  <c r="AK449" i="1" s="1"/>
  <c r="W449" i="1"/>
  <c r="T449" i="1"/>
  <c r="S449" i="1"/>
  <c r="M449" i="1"/>
  <c r="H449" i="1"/>
  <c r="D449" i="1"/>
  <c r="A449" i="1"/>
  <c r="AX448" i="1" a="1"/>
  <c r="AX448" i="1" s="1"/>
  <c r="AU448" i="1"/>
  <c r="AT448" i="1"/>
  <c r="AI448" i="1"/>
  <c r="AE448" i="1"/>
  <c r="AB448" i="1"/>
  <c r="W448" i="1"/>
  <c r="T448" i="1"/>
  <c r="S448" i="1"/>
  <c r="H448" i="1"/>
  <c r="D448" i="1"/>
  <c r="A448" i="1"/>
  <c r="K447" i="1" s="1"/>
  <c r="AX447" i="1" a="1"/>
  <c r="AX447" i="1" s="1"/>
  <c r="AU447" i="1"/>
  <c r="AT447" i="1"/>
  <c r="AK447" i="1"/>
  <c r="AI447" i="1"/>
  <c r="AE447" i="1"/>
  <c r="AB447" i="1"/>
  <c r="W447" i="1"/>
  <c r="T447" i="1"/>
  <c r="S447" i="1"/>
  <c r="H447" i="1"/>
  <c r="D447" i="1"/>
  <c r="A447" i="1"/>
  <c r="AX446" i="1" a="1"/>
  <c r="AX446" i="1" s="1"/>
  <c r="AU446" i="1"/>
  <c r="AT446" i="1"/>
  <c r="AQ446" i="1"/>
  <c r="AK446" i="1"/>
  <c r="AI446" i="1"/>
  <c r="AE446" i="1"/>
  <c r="AB446" i="1"/>
  <c r="W446" i="1"/>
  <c r="T446" i="1"/>
  <c r="S446" i="1"/>
  <c r="H446" i="1"/>
  <c r="D446" i="1"/>
  <c r="A446" i="1"/>
  <c r="P446" i="1" s="1"/>
  <c r="AX445" i="1" a="1"/>
  <c r="AX445" i="1" s="1"/>
  <c r="AU445" i="1"/>
  <c r="AT445" i="1"/>
  <c r="AL445" i="1"/>
  <c r="AI445" i="1"/>
  <c r="AE445" i="1"/>
  <c r="AB445" i="1"/>
  <c r="W445" i="1"/>
  <c r="T445" i="1"/>
  <c r="S445" i="1"/>
  <c r="H445" i="1"/>
  <c r="D445" i="1"/>
  <c r="A445" i="1"/>
  <c r="J445" i="1" s="1"/>
  <c r="AX444" i="1" a="1"/>
  <c r="AX444" i="1" s="1"/>
  <c r="AU444" i="1"/>
  <c r="AT444" i="1"/>
  <c r="AK444" i="1"/>
  <c r="AI444" i="1"/>
  <c r="AE444" i="1"/>
  <c r="AB444" i="1"/>
  <c r="W444" i="1"/>
  <c r="T444" i="1"/>
  <c r="S444" i="1"/>
  <c r="H444" i="1"/>
  <c r="D444" i="1"/>
  <c r="A444" i="1"/>
  <c r="AX443" i="1" a="1"/>
  <c r="AX443" i="1" s="1"/>
  <c r="AU443" i="1"/>
  <c r="AT443" i="1"/>
  <c r="AL443" i="1"/>
  <c r="AI443" i="1"/>
  <c r="AE443" i="1"/>
  <c r="AB443" i="1"/>
  <c r="W443" i="1"/>
  <c r="T443" i="1"/>
  <c r="S443" i="1"/>
  <c r="N443" i="1" a="1"/>
  <c r="N443" i="1" s="1"/>
  <c r="H443" i="1"/>
  <c r="D443" i="1"/>
  <c r="A443" i="1"/>
  <c r="AX442" i="1" a="1"/>
  <c r="AX442" i="1" s="1"/>
  <c r="AU442" i="1"/>
  <c r="AT442" i="1"/>
  <c r="AK442" i="1"/>
  <c r="AI442" i="1"/>
  <c r="AE442" i="1"/>
  <c r="AB442" i="1"/>
  <c r="W442" i="1"/>
  <c r="T442" i="1"/>
  <c r="S442" i="1"/>
  <c r="H442" i="1"/>
  <c r="D442" i="1"/>
  <c r="A442" i="1"/>
  <c r="AX441" i="1" a="1"/>
  <c r="AX441" i="1" s="1"/>
  <c r="AU441" i="1"/>
  <c r="AT441" i="1"/>
  <c r="AI441" i="1"/>
  <c r="AE441" i="1"/>
  <c r="AB441" i="1"/>
  <c r="AN441" i="1" s="1"/>
  <c r="W441" i="1"/>
  <c r="T441" i="1"/>
  <c r="S441" i="1"/>
  <c r="H441" i="1"/>
  <c r="D441" i="1"/>
  <c r="A441" i="1"/>
  <c r="AX440" i="1" a="1"/>
  <c r="AX440" i="1" s="1"/>
  <c r="AU440" i="1"/>
  <c r="AT440" i="1"/>
  <c r="AQ440" i="1"/>
  <c r="AI440" i="1"/>
  <c r="AE440" i="1"/>
  <c r="AB440" i="1"/>
  <c r="AK440" i="1" s="1"/>
  <c r="W440" i="1"/>
  <c r="T440" i="1"/>
  <c r="S440" i="1"/>
  <c r="H440" i="1"/>
  <c r="D440" i="1"/>
  <c r="A440" i="1"/>
  <c r="AX439" i="1" a="1"/>
  <c r="AX439" i="1" s="1"/>
  <c r="AU439" i="1"/>
  <c r="AT439" i="1"/>
  <c r="AI439" i="1"/>
  <c r="AE439" i="1"/>
  <c r="AB439" i="1"/>
  <c r="W439" i="1"/>
  <c r="T439" i="1"/>
  <c r="S439" i="1"/>
  <c r="O439" i="1" a="1"/>
  <c r="O439" i="1" s="1"/>
  <c r="J439" i="1"/>
  <c r="H439" i="1"/>
  <c r="D439" i="1"/>
  <c r="A439" i="1"/>
  <c r="AX438" i="1" a="1"/>
  <c r="AX438" i="1" s="1"/>
  <c r="AU438" i="1"/>
  <c r="AT438" i="1"/>
  <c r="AI438" i="1"/>
  <c r="AE438" i="1"/>
  <c r="AB438" i="1"/>
  <c r="W438" i="1"/>
  <c r="T438" i="1"/>
  <c r="S438" i="1"/>
  <c r="H438" i="1"/>
  <c r="D438" i="1"/>
  <c r="A438" i="1"/>
  <c r="K438" i="1" s="1"/>
  <c r="AX437" i="1" a="1"/>
  <c r="AX437" i="1" s="1"/>
  <c r="AU437" i="1"/>
  <c r="AT437" i="1"/>
  <c r="AK437" i="1"/>
  <c r="AI437" i="1"/>
  <c r="AE437" i="1"/>
  <c r="AB437" i="1"/>
  <c r="W437" i="1"/>
  <c r="T437" i="1"/>
  <c r="S437" i="1"/>
  <c r="J437" i="1"/>
  <c r="H437" i="1"/>
  <c r="D437" i="1"/>
  <c r="A437" i="1"/>
  <c r="AX436" i="1" a="1"/>
  <c r="AX436" i="1" s="1"/>
  <c r="AU436" i="1"/>
  <c r="AT436" i="1"/>
  <c r="AI436" i="1"/>
  <c r="AE436" i="1"/>
  <c r="AB436" i="1"/>
  <c r="AK436" i="1" s="1"/>
  <c r="W436" i="1"/>
  <c r="T436" i="1"/>
  <c r="S436" i="1"/>
  <c r="H436" i="1"/>
  <c r="D436" i="1"/>
  <c r="A436" i="1"/>
  <c r="J436" i="1" s="1"/>
  <c r="AX435" i="1" a="1"/>
  <c r="AX435" i="1" s="1"/>
  <c r="AU435" i="1"/>
  <c r="AT435" i="1"/>
  <c r="AI435" i="1"/>
  <c r="AE435" i="1"/>
  <c r="AB435" i="1"/>
  <c r="AO434" i="1" s="1" a="1"/>
  <c r="AO434" i="1" s="1"/>
  <c r="W435" i="1"/>
  <c r="T435" i="1"/>
  <c r="S435" i="1"/>
  <c r="H435" i="1"/>
  <c r="D435" i="1"/>
  <c r="A435" i="1"/>
  <c r="L435" i="1" s="1"/>
  <c r="AX434" i="1" a="1"/>
  <c r="AX434" i="1" s="1"/>
  <c r="AU434" i="1"/>
  <c r="AT434" i="1"/>
  <c r="AI434" i="1"/>
  <c r="AE434" i="1"/>
  <c r="AB434" i="1"/>
  <c r="AK434" i="1" s="1"/>
  <c r="W434" i="1"/>
  <c r="T434" i="1"/>
  <c r="S434" i="1"/>
  <c r="H434" i="1"/>
  <c r="D434" i="1"/>
  <c r="A434" i="1"/>
  <c r="AX433" i="1" a="1"/>
  <c r="AX433" i="1" s="1"/>
  <c r="AU433" i="1"/>
  <c r="AT433" i="1"/>
  <c r="AI433" i="1"/>
  <c r="AE433" i="1"/>
  <c r="AB433" i="1"/>
  <c r="AQ433" i="1" s="1"/>
  <c r="W433" i="1"/>
  <c r="T433" i="1"/>
  <c r="S433" i="1"/>
  <c r="J433" i="1"/>
  <c r="H433" i="1"/>
  <c r="D433" i="1"/>
  <c r="A433" i="1"/>
  <c r="N432" i="1" s="1" a="1"/>
  <c r="N432" i="1" s="1"/>
  <c r="AX432" i="1" a="1"/>
  <c r="AX432" i="1" s="1"/>
  <c r="AU432" i="1"/>
  <c r="AT432" i="1"/>
  <c r="AI432" i="1"/>
  <c r="AE432" i="1"/>
  <c r="AB432" i="1"/>
  <c r="AN432" i="1" s="1"/>
  <c r="W432" i="1"/>
  <c r="T432" i="1"/>
  <c r="S432" i="1"/>
  <c r="H432" i="1"/>
  <c r="D432" i="1"/>
  <c r="A432" i="1"/>
  <c r="J432" i="1" s="1"/>
  <c r="AX431" i="1" a="1"/>
  <c r="AX431" i="1" s="1"/>
  <c r="AU431" i="1"/>
  <c r="AT431" i="1"/>
  <c r="AI431" i="1"/>
  <c r="AE431" i="1"/>
  <c r="AB431" i="1"/>
  <c r="AO430" i="1" s="1" a="1"/>
  <c r="AO430" i="1" s="1"/>
  <c r="W431" i="1"/>
  <c r="T431" i="1"/>
  <c r="S431" i="1"/>
  <c r="H431" i="1"/>
  <c r="D431" i="1"/>
  <c r="A431" i="1"/>
  <c r="L431" i="1" s="1"/>
  <c r="AX430" i="1" a="1"/>
  <c r="AX430" i="1" s="1"/>
  <c r="AU430" i="1"/>
  <c r="AT430" i="1"/>
  <c r="AQ430" i="1"/>
  <c r="AI430" i="1"/>
  <c r="AE430" i="1"/>
  <c r="AB430" i="1"/>
  <c r="AK430" i="1" s="1"/>
  <c r="W430" i="1"/>
  <c r="T430" i="1"/>
  <c r="S430" i="1"/>
  <c r="H430" i="1"/>
  <c r="D430" i="1"/>
  <c r="A430" i="1"/>
  <c r="AX429" i="1" a="1"/>
  <c r="AX429" i="1" s="1"/>
  <c r="AU429" i="1"/>
  <c r="AT429" i="1"/>
  <c r="AI429" i="1"/>
  <c r="AE429" i="1"/>
  <c r="AB429" i="1"/>
  <c r="AK429" i="1" s="1"/>
  <c r="W429" i="1"/>
  <c r="T429" i="1"/>
  <c r="S429" i="1"/>
  <c r="H429" i="1"/>
  <c r="D429" i="1"/>
  <c r="A429" i="1"/>
  <c r="AX428" i="1" a="1"/>
  <c r="AX428" i="1" s="1"/>
  <c r="AU428" i="1"/>
  <c r="AT428" i="1"/>
  <c r="AI428" i="1"/>
  <c r="AE428" i="1"/>
  <c r="AB428" i="1"/>
  <c r="AQ428" i="1" s="1"/>
  <c r="W428" i="1"/>
  <c r="T428" i="1"/>
  <c r="S428" i="1"/>
  <c r="H428" i="1"/>
  <c r="D428" i="1"/>
  <c r="A428" i="1"/>
  <c r="N428" i="1" s="1" a="1"/>
  <c r="N428" i="1" s="1"/>
  <c r="AX427" i="1" a="1"/>
  <c r="AX427" i="1" s="1"/>
  <c r="AU427" i="1"/>
  <c r="AT427" i="1"/>
  <c r="AI427" i="1"/>
  <c r="AE427" i="1"/>
  <c r="AB427" i="1"/>
  <c r="W427" i="1"/>
  <c r="T427" i="1"/>
  <c r="S427" i="1"/>
  <c r="H427" i="1"/>
  <c r="D427" i="1"/>
  <c r="A427" i="1"/>
  <c r="AX426" i="1" a="1"/>
  <c r="AX426" i="1" s="1"/>
  <c r="AU426" i="1"/>
  <c r="AT426" i="1"/>
  <c r="AI426" i="1"/>
  <c r="AE426" i="1"/>
  <c r="AB426" i="1"/>
  <c r="W426" i="1"/>
  <c r="T426" i="1"/>
  <c r="S426" i="1"/>
  <c r="H426" i="1"/>
  <c r="D426" i="1"/>
  <c r="A426" i="1"/>
  <c r="AX425" i="1" a="1"/>
  <c r="AX425" i="1" s="1"/>
  <c r="AU425" i="1"/>
  <c r="AT425" i="1"/>
  <c r="AI425" i="1"/>
  <c r="AE425" i="1"/>
  <c r="AB425" i="1"/>
  <c r="W425" i="1"/>
  <c r="T425" i="1"/>
  <c r="S425" i="1"/>
  <c r="H425" i="1"/>
  <c r="D425" i="1"/>
  <c r="A425" i="1"/>
  <c r="N425" i="1" s="1" a="1"/>
  <c r="N425" i="1" s="1"/>
  <c r="AX424" i="1" a="1"/>
  <c r="AX424" i="1" s="1"/>
  <c r="AU424" i="1"/>
  <c r="AT424" i="1"/>
  <c r="AI424" i="1"/>
  <c r="AE424" i="1"/>
  <c r="AB424" i="1"/>
  <c r="AK424" i="1" s="1"/>
  <c r="W424" i="1"/>
  <c r="T424" i="1"/>
  <c r="S424" i="1"/>
  <c r="J424" i="1"/>
  <c r="H424" i="1"/>
  <c r="D424" i="1"/>
  <c r="A424" i="1"/>
  <c r="AX423" i="1" a="1"/>
  <c r="AX423" i="1" s="1"/>
  <c r="AU423" i="1"/>
  <c r="AT423" i="1"/>
  <c r="AI423" i="1"/>
  <c r="AE423" i="1"/>
  <c r="AB423" i="1"/>
  <c r="AQ422" i="1" s="1"/>
  <c r="W423" i="1"/>
  <c r="T423" i="1"/>
  <c r="S423" i="1"/>
  <c r="N423" i="1" a="1"/>
  <c r="N423" i="1" s="1"/>
  <c r="H423" i="1"/>
  <c r="D423" i="1"/>
  <c r="A423" i="1"/>
  <c r="L423" i="1" s="1"/>
  <c r="AX422" i="1" a="1"/>
  <c r="AX422" i="1" s="1"/>
  <c r="AU422" i="1"/>
  <c r="AT422" i="1"/>
  <c r="AI422" i="1"/>
  <c r="AE422" i="1"/>
  <c r="AB422" i="1"/>
  <c r="W422" i="1"/>
  <c r="T422" i="1"/>
  <c r="S422" i="1"/>
  <c r="H422" i="1"/>
  <c r="D422" i="1"/>
  <c r="A422" i="1"/>
  <c r="AX421" i="1" a="1"/>
  <c r="AX421" i="1" s="1"/>
  <c r="AU421" i="1"/>
  <c r="AT421" i="1"/>
  <c r="AO421" i="1" a="1"/>
  <c r="AO421" i="1" s="1"/>
  <c r="AI421" i="1"/>
  <c r="AE421" i="1"/>
  <c r="AB421" i="1"/>
  <c r="AQ420" i="1" s="1"/>
  <c r="W421" i="1"/>
  <c r="T421" i="1"/>
  <c r="S421" i="1"/>
  <c r="H421" i="1"/>
  <c r="D421" i="1"/>
  <c r="A421" i="1"/>
  <c r="AX420" i="1" a="1"/>
  <c r="AX420" i="1" s="1"/>
  <c r="AU420" i="1"/>
  <c r="AT420" i="1"/>
  <c r="AK420" i="1"/>
  <c r="AI420" i="1"/>
  <c r="AE420" i="1"/>
  <c r="AB420" i="1"/>
  <c r="W420" i="1"/>
  <c r="T420" i="1"/>
  <c r="S420" i="1"/>
  <c r="H420" i="1"/>
  <c r="D420" i="1"/>
  <c r="A420" i="1"/>
  <c r="AX419" i="1" a="1"/>
  <c r="AX419" i="1" s="1"/>
  <c r="AU419" i="1"/>
  <c r="AT419" i="1"/>
  <c r="AI419" i="1"/>
  <c r="AE419" i="1"/>
  <c r="AB419" i="1"/>
  <c r="AN419" i="1" s="1"/>
  <c r="W419" i="1"/>
  <c r="T419" i="1"/>
  <c r="S419" i="1"/>
  <c r="H419" i="1"/>
  <c r="D419" i="1"/>
  <c r="A419" i="1"/>
  <c r="P419" i="1" s="1"/>
  <c r="AX418" i="1" a="1"/>
  <c r="AX418" i="1" s="1"/>
  <c r="AU418" i="1"/>
  <c r="AT418" i="1"/>
  <c r="AI418" i="1"/>
  <c r="AE418" i="1"/>
  <c r="AB418" i="1"/>
  <c r="AK418" i="1" s="1"/>
  <c r="W418" i="1"/>
  <c r="T418" i="1"/>
  <c r="S418" i="1"/>
  <c r="H418" i="1"/>
  <c r="D418" i="1"/>
  <c r="A418" i="1"/>
  <c r="AX417" i="1" a="1"/>
  <c r="AX417" i="1" s="1"/>
  <c r="AU417" i="1"/>
  <c r="AT417" i="1"/>
  <c r="AI417" i="1"/>
  <c r="AE417" i="1"/>
  <c r="AB417" i="1"/>
  <c r="W417" i="1"/>
  <c r="T417" i="1"/>
  <c r="S417" i="1"/>
  <c r="J417" i="1"/>
  <c r="H417" i="1"/>
  <c r="D417" i="1"/>
  <c r="A417" i="1"/>
  <c r="AX416" i="1" a="1"/>
  <c r="AX416" i="1" s="1"/>
  <c r="AU416" i="1"/>
  <c r="AT416" i="1"/>
  <c r="AI416" i="1"/>
  <c r="AE416" i="1"/>
  <c r="AB416" i="1"/>
  <c r="W416" i="1"/>
  <c r="T416" i="1"/>
  <c r="S416" i="1"/>
  <c r="H416" i="1"/>
  <c r="D416" i="1"/>
  <c r="A416" i="1"/>
  <c r="N416" i="1" s="1" a="1"/>
  <c r="N416" i="1" s="1"/>
  <c r="AX415" i="1" a="1"/>
  <c r="AX415" i="1" s="1"/>
  <c r="AU415" i="1"/>
  <c r="AT415" i="1"/>
  <c r="AL415" i="1"/>
  <c r="AI415" i="1"/>
  <c r="AE415" i="1"/>
  <c r="AB415" i="1"/>
  <c r="W415" i="1"/>
  <c r="T415" i="1"/>
  <c r="S415" i="1"/>
  <c r="H415" i="1"/>
  <c r="D415" i="1"/>
  <c r="A415" i="1"/>
  <c r="AX414" i="1" a="1"/>
  <c r="AX414" i="1" s="1"/>
  <c r="AU414" i="1"/>
  <c r="AT414" i="1"/>
  <c r="AI414" i="1"/>
  <c r="AE414" i="1"/>
  <c r="AB414" i="1"/>
  <c r="AL414" i="1" s="1"/>
  <c r="W414" i="1"/>
  <c r="T414" i="1"/>
  <c r="S414" i="1"/>
  <c r="M414" i="1"/>
  <c r="H414" i="1"/>
  <c r="D414" i="1"/>
  <c r="A414" i="1"/>
  <c r="AX413" i="1" a="1"/>
  <c r="AX413" i="1" s="1"/>
  <c r="AU413" i="1"/>
  <c r="AT413" i="1"/>
  <c r="AI413" i="1"/>
  <c r="AE413" i="1"/>
  <c r="AB413" i="1"/>
  <c r="AO412" i="1" s="1" a="1"/>
  <c r="AO412" i="1" s="1"/>
  <c r="W413" i="1"/>
  <c r="T413" i="1"/>
  <c r="S413" i="1"/>
  <c r="H413" i="1"/>
  <c r="D413" i="1"/>
  <c r="A413" i="1"/>
  <c r="J413" i="1" s="1"/>
  <c r="AX412" i="1" a="1"/>
  <c r="AX412" i="1" s="1"/>
  <c r="AU412" i="1"/>
  <c r="AT412" i="1"/>
  <c r="AK412" i="1"/>
  <c r="AI412" i="1"/>
  <c r="AE412" i="1"/>
  <c r="AB412" i="1"/>
  <c r="AQ412" i="1" s="1"/>
  <c r="W412" i="1"/>
  <c r="T412" i="1"/>
  <c r="S412" i="1"/>
  <c r="H412" i="1"/>
  <c r="D412" i="1"/>
  <c r="A412" i="1"/>
  <c r="J412" i="1" s="1"/>
  <c r="AX411" i="1" a="1"/>
  <c r="AX411" i="1" s="1"/>
  <c r="AU411" i="1"/>
  <c r="AT411" i="1"/>
  <c r="AI411" i="1"/>
  <c r="AE411" i="1"/>
  <c r="AB411" i="1"/>
  <c r="AP411" i="1" s="1" a="1"/>
  <c r="AP411" i="1" s="1"/>
  <c r="W411" i="1"/>
  <c r="T411" i="1"/>
  <c r="S411" i="1"/>
  <c r="H411" i="1"/>
  <c r="D411" i="1"/>
  <c r="A411" i="1"/>
  <c r="J411" i="1" s="1"/>
  <c r="AX410" i="1" a="1"/>
  <c r="AX410" i="1" s="1"/>
  <c r="AU410" i="1"/>
  <c r="AT410" i="1"/>
  <c r="AI410" i="1"/>
  <c r="AE410" i="1"/>
  <c r="AB410" i="1"/>
  <c r="W410" i="1"/>
  <c r="T410" i="1"/>
  <c r="S410" i="1"/>
  <c r="H410" i="1"/>
  <c r="D410" i="1"/>
  <c r="A410" i="1"/>
  <c r="K410" i="1" s="1"/>
  <c r="AX409" i="1" a="1"/>
  <c r="AX409" i="1" s="1"/>
  <c r="AU409" i="1"/>
  <c r="AT409" i="1"/>
  <c r="AI409" i="1"/>
  <c r="AE409" i="1"/>
  <c r="AB409" i="1"/>
  <c r="W409" i="1"/>
  <c r="T409" i="1"/>
  <c r="S409" i="1"/>
  <c r="J409" i="1"/>
  <c r="H409" i="1"/>
  <c r="D409" i="1"/>
  <c r="A409" i="1"/>
  <c r="AX408" i="1" a="1"/>
  <c r="AX408" i="1" s="1"/>
  <c r="AU408" i="1"/>
  <c r="AT408" i="1"/>
  <c r="AI408" i="1"/>
  <c r="AE408" i="1"/>
  <c r="AB408" i="1"/>
  <c r="AK408" i="1" s="1"/>
  <c r="W408" i="1"/>
  <c r="T408" i="1"/>
  <c r="S408" i="1"/>
  <c r="H408" i="1"/>
  <c r="D408" i="1"/>
  <c r="A408" i="1"/>
  <c r="M407" i="1" s="1"/>
  <c r="AX407" i="1" a="1"/>
  <c r="AX407" i="1" s="1"/>
  <c r="AU407" i="1"/>
  <c r="AT407" i="1"/>
  <c r="AP407" i="1" a="1"/>
  <c r="AP407" i="1" s="1"/>
  <c r="AI407" i="1"/>
  <c r="AE407" i="1"/>
  <c r="AB407" i="1"/>
  <c r="W407" i="1"/>
  <c r="T407" i="1"/>
  <c r="S407" i="1"/>
  <c r="H407" i="1"/>
  <c r="D407" i="1"/>
  <c r="A407" i="1"/>
  <c r="J407" i="1" s="1"/>
  <c r="AX406" i="1" a="1"/>
  <c r="AX406" i="1" s="1"/>
  <c r="AU406" i="1"/>
  <c r="AT406" i="1"/>
  <c r="AI406" i="1"/>
  <c r="AE406" i="1"/>
  <c r="AB406" i="1"/>
  <c r="W406" i="1"/>
  <c r="T406" i="1"/>
  <c r="S406" i="1"/>
  <c r="H406" i="1"/>
  <c r="D406" i="1"/>
  <c r="A406" i="1"/>
  <c r="K406" i="1" s="1"/>
  <c r="AX405" i="1" a="1"/>
  <c r="AX405" i="1" s="1"/>
  <c r="AU405" i="1"/>
  <c r="AT405" i="1"/>
  <c r="AI405" i="1"/>
  <c r="AE405" i="1"/>
  <c r="AB405" i="1"/>
  <c r="AP404" i="1" s="1" a="1"/>
  <c r="AP404" i="1" s="1"/>
  <c r="W405" i="1"/>
  <c r="T405" i="1"/>
  <c r="S405" i="1"/>
  <c r="H405" i="1"/>
  <c r="D405" i="1"/>
  <c r="A405" i="1"/>
  <c r="P405" i="1" s="1"/>
  <c r="AX404" i="1" a="1"/>
  <c r="AX404" i="1" s="1"/>
  <c r="AU404" i="1"/>
  <c r="AT404" i="1"/>
  <c r="AK404" i="1"/>
  <c r="AI404" i="1"/>
  <c r="AE404" i="1"/>
  <c r="AB404" i="1"/>
  <c r="W404" i="1"/>
  <c r="T404" i="1"/>
  <c r="S404" i="1"/>
  <c r="H404" i="1"/>
  <c r="D404" i="1"/>
  <c r="A404" i="1"/>
  <c r="O403" i="1" s="1" a="1"/>
  <c r="O403" i="1" s="1"/>
  <c r="AX403" i="1" a="1"/>
  <c r="AX403" i="1" s="1"/>
  <c r="AU403" i="1"/>
  <c r="AT403" i="1"/>
  <c r="AM403" i="1"/>
  <c r="AI403" i="1"/>
  <c r="AE403" i="1"/>
  <c r="AB403" i="1"/>
  <c r="AO402" i="1" s="1" a="1"/>
  <c r="AO402" i="1" s="1"/>
  <c r="W403" i="1"/>
  <c r="T403" i="1"/>
  <c r="S403" i="1"/>
  <c r="J403" i="1"/>
  <c r="H403" i="1"/>
  <c r="D403" i="1"/>
  <c r="A403" i="1"/>
  <c r="AX402" i="1" a="1"/>
  <c r="AX402" i="1" s="1"/>
  <c r="AU402" i="1"/>
  <c r="AT402" i="1"/>
  <c r="AK402" i="1"/>
  <c r="AI402" i="1"/>
  <c r="AE402" i="1"/>
  <c r="AB402" i="1"/>
  <c r="W402" i="1"/>
  <c r="T402" i="1"/>
  <c r="S402" i="1"/>
  <c r="H402" i="1"/>
  <c r="D402" i="1"/>
  <c r="A402" i="1"/>
  <c r="AX401" i="1" a="1"/>
  <c r="AX401" i="1" s="1"/>
  <c r="AU401" i="1"/>
  <c r="AT401" i="1"/>
  <c r="AK401" i="1"/>
  <c r="AI401" i="1"/>
  <c r="AE401" i="1"/>
  <c r="AB401" i="1"/>
  <c r="W401" i="1"/>
  <c r="T401" i="1"/>
  <c r="S401" i="1"/>
  <c r="H401" i="1"/>
  <c r="D401" i="1"/>
  <c r="A401" i="1"/>
  <c r="AX400" i="1"/>
  <c r="AX400" i="1" a="1"/>
  <c r="AU400" i="1"/>
  <c r="AT400" i="1"/>
  <c r="AI400" i="1"/>
  <c r="AE400" i="1"/>
  <c r="AB400" i="1"/>
  <c r="AK400" i="1" s="1"/>
  <c r="W400" i="1"/>
  <c r="T400" i="1"/>
  <c r="S400" i="1"/>
  <c r="H400" i="1"/>
  <c r="D400" i="1"/>
  <c r="A400" i="1"/>
  <c r="AX399" i="1" a="1"/>
  <c r="AX399" i="1" s="1"/>
  <c r="AU399" i="1"/>
  <c r="AT399" i="1"/>
  <c r="AI399" i="1"/>
  <c r="AE399" i="1"/>
  <c r="AB399" i="1"/>
  <c r="AN399" i="1" s="1"/>
  <c r="W399" i="1"/>
  <c r="T399" i="1"/>
  <c r="S399" i="1"/>
  <c r="H399" i="1"/>
  <c r="D399" i="1"/>
  <c r="A399" i="1"/>
  <c r="M398" i="1" s="1"/>
  <c r="AX398" i="1" a="1"/>
  <c r="AX398" i="1" s="1"/>
  <c r="AU398" i="1"/>
  <c r="AT398" i="1"/>
  <c r="AK398" i="1"/>
  <c r="AI398" i="1"/>
  <c r="AE398" i="1"/>
  <c r="AB398" i="1"/>
  <c r="W398" i="1"/>
  <c r="T398" i="1"/>
  <c r="S398" i="1"/>
  <c r="H398" i="1"/>
  <c r="D398" i="1"/>
  <c r="A398" i="1"/>
  <c r="AX397" i="1" a="1"/>
  <c r="AX397" i="1" s="1"/>
  <c r="AU397" i="1"/>
  <c r="AT397" i="1"/>
  <c r="AI397" i="1"/>
  <c r="AE397" i="1"/>
  <c r="AB397" i="1"/>
  <c r="AK397" i="1" s="1"/>
  <c r="W397" i="1"/>
  <c r="T397" i="1"/>
  <c r="S397" i="1"/>
  <c r="H397" i="1"/>
  <c r="D397" i="1"/>
  <c r="A397" i="1"/>
  <c r="N397" i="1" s="1" a="1"/>
  <c r="N397" i="1" s="1"/>
  <c r="AX396" i="1" a="1"/>
  <c r="AX396" i="1" s="1"/>
  <c r="AU396" i="1"/>
  <c r="AT396" i="1"/>
  <c r="AI396" i="1"/>
  <c r="AE396" i="1"/>
  <c r="AB396" i="1"/>
  <c r="AQ396" i="1" s="1"/>
  <c r="W396" i="1"/>
  <c r="T396" i="1"/>
  <c r="S396" i="1"/>
  <c r="H396" i="1"/>
  <c r="D396" i="1"/>
  <c r="A396" i="1"/>
  <c r="M395" i="1" s="1"/>
  <c r="AX395" i="1" a="1"/>
  <c r="AX395" i="1" s="1"/>
  <c r="AU395" i="1"/>
  <c r="AT395" i="1"/>
  <c r="AI395" i="1"/>
  <c r="AE395" i="1"/>
  <c r="AB395" i="1"/>
  <c r="AM395" i="1" s="1"/>
  <c r="W395" i="1"/>
  <c r="T395" i="1"/>
  <c r="S395" i="1"/>
  <c r="J395" i="1"/>
  <c r="H395" i="1"/>
  <c r="D395" i="1"/>
  <c r="A395" i="1"/>
  <c r="AX394" i="1" a="1"/>
  <c r="AX394" i="1" s="1"/>
  <c r="AU394" i="1"/>
  <c r="AT394" i="1"/>
  <c r="AI394" i="1"/>
  <c r="AE394" i="1"/>
  <c r="AB394" i="1"/>
  <c r="W394" i="1"/>
  <c r="T394" i="1"/>
  <c r="S394" i="1"/>
  <c r="H394" i="1"/>
  <c r="D394" i="1"/>
  <c r="A394" i="1"/>
  <c r="L394" i="1" s="1"/>
  <c r="AX393" i="1" a="1"/>
  <c r="AX393" i="1" s="1"/>
  <c r="AU393" i="1"/>
  <c r="AT393" i="1"/>
  <c r="AN393" i="1"/>
  <c r="AI393" i="1"/>
  <c r="AE393" i="1"/>
  <c r="AB393" i="1"/>
  <c r="W393" i="1"/>
  <c r="T393" i="1"/>
  <c r="S393" i="1"/>
  <c r="J393" i="1"/>
  <c r="H393" i="1"/>
  <c r="D393" i="1"/>
  <c r="A393" i="1"/>
  <c r="AX392" i="1" a="1"/>
  <c r="AX392" i="1" s="1"/>
  <c r="AU392" i="1"/>
  <c r="AT392" i="1"/>
  <c r="AK392" i="1"/>
  <c r="AI392" i="1"/>
  <c r="AE392" i="1"/>
  <c r="AB392" i="1"/>
  <c r="AP392" i="1" s="1" a="1"/>
  <c r="AP392" i="1" s="1"/>
  <c r="W392" i="1"/>
  <c r="T392" i="1"/>
  <c r="S392" i="1"/>
  <c r="H392" i="1"/>
  <c r="D392" i="1"/>
  <c r="A392" i="1"/>
  <c r="AX391" i="1" a="1"/>
  <c r="AX391" i="1" s="1"/>
  <c r="AU391" i="1"/>
  <c r="AT391" i="1"/>
  <c r="AI391" i="1"/>
  <c r="AE391" i="1"/>
  <c r="AB391" i="1"/>
  <c r="AP391" i="1" s="1" a="1"/>
  <c r="AP391" i="1" s="1"/>
  <c r="W391" i="1"/>
  <c r="T391" i="1"/>
  <c r="S391" i="1"/>
  <c r="H391" i="1"/>
  <c r="D391" i="1"/>
  <c r="A391" i="1"/>
  <c r="AX390" i="1" a="1"/>
  <c r="AX390" i="1" s="1"/>
  <c r="AU390" i="1"/>
  <c r="AT390" i="1"/>
  <c r="AI390" i="1"/>
  <c r="AE390" i="1"/>
  <c r="AB390" i="1"/>
  <c r="W390" i="1"/>
  <c r="T390" i="1"/>
  <c r="S390" i="1"/>
  <c r="H390" i="1"/>
  <c r="D390" i="1"/>
  <c r="A390" i="1"/>
  <c r="AX389" i="1" a="1"/>
  <c r="AX389" i="1" s="1"/>
  <c r="AU389" i="1"/>
  <c r="AT389" i="1"/>
  <c r="AK389" i="1"/>
  <c r="AI389" i="1"/>
  <c r="AE389" i="1"/>
  <c r="AB389" i="1"/>
  <c r="W389" i="1"/>
  <c r="T389" i="1"/>
  <c r="S389" i="1"/>
  <c r="H389" i="1"/>
  <c r="D389" i="1"/>
  <c r="A389" i="1"/>
  <c r="AX388" i="1" a="1"/>
  <c r="AX388" i="1" s="1"/>
  <c r="AU388" i="1"/>
  <c r="AT388" i="1"/>
  <c r="AM388" i="1"/>
  <c r="AI388" i="1"/>
  <c r="AE388" i="1"/>
  <c r="AB388" i="1"/>
  <c r="W388" i="1"/>
  <c r="T388" i="1"/>
  <c r="S388" i="1"/>
  <c r="H388" i="1"/>
  <c r="D388" i="1"/>
  <c r="A388" i="1"/>
  <c r="J388" i="1" s="1"/>
  <c r="AX387" i="1" a="1"/>
  <c r="AX387" i="1" s="1"/>
  <c r="AU387" i="1"/>
  <c r="AT387" i="1"/>
  <c r="AI387" i="1"/>
  <c r="AE387" i="1"/>
  <c r="AB387" i="1"/>
  <c r="AP387" i="1" s="1" a="1"/>
  <c r="AP387" i="1" s="1"/>
  <c r="W387" i="1"/>
  <c r="T387" i="1"/>
  <c r="S387" i="1"/>
  <c r="H387" i="1"/>
  <c r="D387" i="1"/>
  <c r="A387" i="1"/>
  <c r="J387" i="1" s="1"/>
  <c r="AX386" i="1" a="1"/>
  <c r="AX386" i="1" s="1"/>
  <c r="AU386" i="1"/>
  <c r="AT386" i="1"/>
  <c r="AL386" i="1"/>
  <c r="AI386" i="1"/>
  <c r="AE386" i="1"/>
  <c r="AB386" i="1"/>
  <c r="W386" i="1"/>
  <c r="T386" i="1"/>
  <c r="S386" i="1"/>
  <c r="H386" i="1"/>
  <c r="D386" i="1"/>
  <c r="A386" i="1"/>
  <c r="AX385" i="1" a="1"/>
  <c r="AX385" i="1" s="1"/>
  <c r="AU385" i="1"/>
  <c r="AT385" i="1"/>
  <c r="AI385" i="1"/>
  <c r="AE385" i="1"/>
  <c r="AB385" i="1"/>
  <c r="AK385" i="1" s="1"/>
  <c r="W385" i="1"/>
  <c r="T385" i="1"/>
  <c r="S385" i="1"/>
  <c r="J385" i="1"/>
  <c r="H385" i="1"/>
  <c r="D385" i="1"/>
  <c r="A385" i="1"/>
  <c r="AX384" i="1" a="1"/>
  <c r="AX384" i="1" s="1"/>
  <c r="AU384" i="1"/>
  <c r="AT384" i="1"/>
  <c r="AM384" i="1"/>
  <c r="AI384" i="1"/>
  <c r="AE384" i="1"/>
  <c r="AB384" i="1"/>
  <c r="AK384" i="1" s="1"/>
  <c r="W384" i="1"/>
  <c r="T384" i="1"/>
  <c r="S384" i="1"/>
  <c r="H384" i="1"/>
  <c r="D384" i="1"/>
  <c r="A384" i="1"/>
  <c r="J384" i="1" s="1"/>
  <c r="AX383" i="1" a="1"/>
  <c r="AX383" i="1" s="1"/>
  <c r="AU383" i="1"/>
  <c r="AT383" i="1"/>
  <c r="AI383" i="1"/>
  <c r="AE383" i="1"/>
  <c r="AB383" i="1"/>
  <c r="AP383" i="1" s="1" a="1"/>
  <c r="AP383" i="1" s="1"/>
  <c r="W383" i="1"/>
  <c r="T383" i="1"/>
  <c r="S383" i="1"/>
  <c r="M383" i="1"/>
  <c r="H383" i="1"/>
  <c r="D383" i="1"/>
  <c r="A383" i="1"/>
  <c r="AX382" i="1" a="1"/>
  <c r="AX382" i="1" s="1"/>
  <c r="AU382" i="1"/>
  <c r="AT382" i="1"/>
  <c r="AI382" i="1"/>
  <c r="AE382" i="1"/>
  <c r="AB382" i="1"/>
  <c r="W382" i="1"/>
  <c r="T382" i="1"/>
  <c r="S382" i="1"/>
  <c r="H382" i="1"/>
  <c r="D382" i="1"/>
  <c r="A382" i="1"/>
  <c r="AX381" i="1" a="1"/>
  <c r="AX381" i="1" s="1"/>
  <c r="AU381" i="1"/>
  <c r="AT381" i="1"/>
  <c r="AI381" i="1"/>
  <c r="AE381" i="1"/>
  <c r="AB381" i="1"/>
  <c r="AK381" i="1" s="1"/>
  <c r="W381" i="1"/>
  <c r="T381" i="1"/>
  <c r="S381" i="1"/>
  <c r="H381" i="1"/>
  <c r="D381" i="1"/>
  <c r="A381" i="1"/>
  <c r="AX380" i="1" a="1"/>
  <c r="AX380" i="1" s="1"/>
  <c r="AU380" i="1"/>
  <c r="AT380" i="1"/>
  <c r="AI380" i="1"/>
  <c r="AE380" i="1"/>
  <c r="AB380" i="1"/>
  <c r="AP380" i="1" s="1" a="1"/>
  <c r="AP380" i="1" s="1"/>
  <c r="W380" i="1"/>
  <c r="T380" i="1"/>
  <c r="S380" i="1"/>
  <c r="J380" i="1"/>
  <c r="H380" i="1"/>
  <c r="D380" i="1"/>
  <c r="A380" i="1"/>
  <c r="AX379" i="1" a="1"/>
  <c r="AX379" i="1" s="1"/>
  <c r="AU379" i="1"/>
  <c r="AT379" i="1"/>
  <c r="AI379" i="1"/>
  <c r="AE379" i="1"/>
  <c r="AB379" i="1"/>
  <c r="W379" i="1"/>
  <c r="T379" i="1"/>
  <c r="S379" i="1"/>
  <c r="H379" i="1"/>
  <c r="D379" i="1"/>
  <c r="A379" i="1"/>
  <c r="J379" i="1" s="1"/>
  <c r="AX378" i="1" a="1"/>
  <c r="AX378" i="1" s="1"/>
  <c r="AU378" i="1"/>
  <c r="AT378" i="1"/>
  <c r="AL378" i="1"/>
  <c r="AI378" i="1"/>
  <c r="AE378" i="1"/>
  <c r="AB378" i="1"/>
  <c r="W378" i="1"/>
  <c r="T378" i="1"/>
  <c r="S378" i="1"/>
  <c r="H378" i="1"/>
  <c r="D378" i="1"/>
  <c r="A378" i="1"/>
  <c r="AX377" i="1" a="1"/>
  <c r="AX377" i="1" s="1"/>
  <c r="AU377" i="1"/>
  <c r="AT377" i="1"/>
  <c r="AI377" i="1"/>
  <c r="AE377" i="1"/>
  <c r="AB377" i="1"/>
  <c r="AK377" i="1" s="1"/>
  <c r="W377" i="1"/>
  <c r="T377" i="1"/>
  <c r="S377" i="1"/>
  <c r="J377" i="1"/>
  <c r="H377" i="1"/>
  <c r="D377" i="1"/>
  <c r="A377" i="1"/>
  <c r="AX376" i="1" a="1"/>
  <c r="AX376" i="1" s="1"/>
  <c r="AU376" i="1"/>
  <c r="AT376" i="1"/>
  <c r="AI376" i="1"/>
  <c r="AE376" i="1"/>
  <c r="AB376" i="1"/>
  <c r="W376" i="1"/>
  <c r="T376" i="1"/>
  <c r="S376" i="1"/>
  <c r="H376" i="1"/>
  <c r="D376" i="1"/>
  <c r="A376" i="1"/>
  <c r="J376" i="1" s="1"/>
  <c r="AX375" i="1" a="1"/>
  <c r="AX375" i="1" s="1"/>
  <c r="AU375" i="1"/>
  <c r="AT375" i="1"/>
  <c r="AI375" i="1"/>
  <c r="AE375" i="1"/>
  <c r="AB375" i="1"/>
  <c r="W375" i="1"/>
  <c r="T375" i="1"/>
  <c r="S375" i="1"/>
  <c r="H375" i="1"/>
  <c r="D375" i="1"/>
  <c r="A375" i="1"/>
  <c r="AX374" i="1" a="1"/>
  <c r="AX374" i="1" s="1"/>
  <c r="AU374" i="1"/>
  <c r="AT374" i="1"/>
  <c r="AI374" i="1"/>
  <c r="AE374" i="1"/>
  <c r="AB374" i="1"/>
  <c r="W374" i="1"/>
  <c r="T374" i="1"/>
  <c r="S374" i="1"/>
  <c r="H374" i="1"/>
  <c r="D374" i="1"/>
  <c r="A374" i="1"/>
  <c r="AX373" i="1" a="1"/>
  <c r="AX373" i="1" s="1"/>
  <c r="AU373" i="1"/>
  <c r="AT373" i="1"/>
  <c r="AK373" i="1"/>
  <c r="AI373" i="1"/>
  <c r="AE373" i="1"/>
  <c r="AB373" i="1"/>
  <c r="W373" i="1"/>
  <c r="T373" i="1"/>
  <c r="S373" i="1"/>
  <c r="H373" i="1"/>
  <c r="D373" i="1"/>
  <c r="A373" i="1"/>
  <c r="AX372" i="1" a="1"/>
  <c r="AX372" i="1" s="1"/>
  <c r="AU372" i="1"/>
  <c r="AT372" i="1"/>
  <c r="AK372" i="1"/>
  <c r="AI372" i="1"/>
  <c r="AE372" i="1"/>
  <c r="AB372" i="1"/>
  <c r="AO372" i="1" s="1" a="1"/>
  <c r="AO372" i="1" s="1"/>
  <c r="W372" i="1"/>
  <c r="T372" i="1"/>
  <c r="S372" i="1"/>
  <c r="H372" i="1"/>
  <c r="D372" i="1"/>
  <c r="A372" i="1"/>
  <c r="J372" i="1" s="1"/>
  <c r="AX371" i="1" a="1"/>
  <c r="AX371" i="1" s="1"/>
  <c r="AU371" i="1"/>
  <c r="AT371" i="1"/>
  <c r="AL371" i="1"/>
  <c r="AI371" i="1"/>
  <c r="AE371" i="1"/>
  <c r="AB371" i="1"/>
  <c r="W371" i="1"/>
  <c r="T371" i="1"/>
  <c r="S371" i="1"/>
  <c r="H371" i="1"/>
  <c r="D371" i="1"/>
  <c r="A371" i="1"/>
  <c r="J371" i="1" s="1"/>
  <c r="AX370" i="1" a="1"/>
  <c r="AX370" i="1" s="1"/>
  <c r="AU370" i="1"/>
  <c r="AT370" i="1"/>
  <c r="AI370" i="1"/>
  <c r="AE370" i="1"/>
  <c r="AB370" i="1"/>
  <c r="AL370" i="1" s="1"/>
  <c r="W370" i="1"/>
  <c r="T370" i="1"/>
  <c r="S370" i="1"/>
  <c r="H370" i="1"/>
  <c r="D370" i="1"/>
  <c r="A370" i="1"/>
  <c r="AX369" i="1" a="1"/>
  <c r="AX369" i="1" s="1"/>
  <c r="AU369" i="1"/>
  <c r="AT369" i="1"/>
  <c r="AI369" i="1"/>
  <c r="AE369" i="1"/>
  <c r="AB369" i="1"/>
  <c r="AK369" i="1" s="1"/>
  <c r="W369" i="1"/>
  <c r="T369" i="1"/>
  <c r="S369" i="1"/>
  <c r="H369" i="1"/>
  <c r="D369" i="1"/>
  <c r="A369" i="1"/>
  <c r="J369" i="1" s="1"/>
  <c r="AX368" i="1" a="1"/>
  <c r="AX368" i="1" s="1"/>
  <c r="AU368" i="1"/>
  <c r="AT368" i="1"/>
  <c r="AI368" i="1"/>
  <c r="AE368" i="1"/>
  <c r="AB368" i="1"/>
  <c r="AK368" i="1" s="1"/>
  <c r="W368" i="1"/>
  <c r="T368" i="1"/>
  <c r="S368" i="1"/>
  <c r="H368" i="1"/>
  <c r="D368" i="1"/>
  <c r="A368" i="1"/>
  <c r="J368" i="1" s="1"/>
  <c r="AX367" i="1" a="1"/>
  <c r="AX367" i="1" s="1"/>
  <c r="AU367" i="1"/>
  <c r="AT367" i="1"/>
  <c r="AI367" i="1"/>
  <c r="AE367" i="1"/>
  <c r="AB367" i="1"/>
  <c r="W367" i="1"/>
  <c r="T367" i="1"/>
  <c r="S367" i="1"/>
  <c r="H367" i="1"/>
  <c r="D367" i="1"/>
  <c r="A367" i="1"/>
  <c r="J367" i="1" s="1"/>
  <c r="AX366" i="1" a="1"/>
  <c r="AX366" i="1" s="1"/>
  <c r="AU366" i="1"/>
  <c r="AT366" i="1"/>
  <c r="AO366" i="1" a="1"/>
  <c r="AO366" i="1" s="1"/>
  <c r="AI366" i="1"/>
  <c r="AE366" i="1"/>
  <c r="AB366" i="1"/>
  <c r="W366" i="1"/>
  <c r="T366" i="1"/>
  <c r="S366" i="1"/>
  <c r="H366" i="1"/>
  <c r="D366" i="1"/>
  <c r="A366" i="1"/>
  <c r="AX365" i="1" a="1"/>
  <c r="AX365" i="1" s="1"/>
  <c r="AU365" i="1"/>
  <c r="AT365" i="1"/>
  <c r="AI365" i="1"/>
  <c r="AE365" i="1"/>
  <c r="AB365" i="1"/>
  <c r="W365" i="1"/>
  <c r="T365" i="1"/>
  <c r="S365" i="1"/>
  <c r="H365" i="1"/>
  <c r="D365" i="1"/>
  <c r="A365" i="1"/>
  <c r="AX364" i="1" a="1"/>
  <c r="AX364" i="1" s="1"/>
  <c r="AU364" i="1"/>
  <c r="AT364" i="1"/>
  <c r="AI364" i="1"/>
  <c r="AE364" i="1"/>
  <c r="AB364" i="1"/>
  <c r="AK364" i="1" s="1"/>
  <c r="W364" i="1"/>
  <c r="T364" i="1"/>
  <c r="S364" i="1"/>
  <c r="H364" i="1"/>
  <c r="D364" i="1"/>
  <c r="A364" i="1"/>
  <c r="AX363" i="1" a="1"/>
  <c r="AX363" i="1" s="1"/>
  <c r="AU363" i="1"/>
  <c r="AT363" i="1"/>
  <c r="AI363" i="1"/>
  <c r="AE363" i="1"/>
  <c r="AB363" i="1"/>
  <c r="W363" i="1"/>
  <c r="T363" i="1"/>
  <c r="S363" i="1"/>
  <c r="H363" i="1"/>
  <c r="D363" i="1"/>
  <c r="A363" i="1"/>
  <c r="K362" i="1" s="1"/>
  <c r="AX362" i="1" a="1"/>
  <c r="AX362" i="1" s="1"/>
  <c r="AU362" i="1"/>
  <c r="AT362" i="1"/>
  <c r="AQ362" i="1"/>
  <c r="AI362" i="1"/>
  <c r="AE362" i="1"/>
  <c r="AB362" i="1"/>
  <c r="AO362" i="1" s="1" a="1"/>
  <c r="AO362" i="1" s="1"/>
  <c r="W362" i="1"/>
  <c r="T362" i="1"/>
  <c r="S362" i="1"/>
  <c r="H362" i="1"/>
  <c r="D362" i="1"/>
  <c r="A362" i="1"/>
  <c r="AX361" i="1" a="1"/>
  <c r="AX361" i="1" s="1"/>
  <c r="AU361" i="1"/>
  <c r="AT361" i="1"/>
  <c r="AK361" i="1"/>
  <c r="AI361" i="1"/>
  <c r="AE361" i="1"/>
  <c r="AB361" i="1"/>
  <c r="W361" i="1"/>
  <c r="T361" i="1"/>
  <c r="S361" i="1"/>
  <c r="H361" i="1"/>
  <c r="D361" i="1"/>
  <c r="A361" i="1"/>
  <c r="AX360" i="1" a="1"/>
  <c r="AX360" i="1" s="1"/>
  <c r="AU360" i="1"/>
  <c r="AT360" i="1"/>
  <c r="AP360" i="1" a="1"/>
  <c r="AP360" i="1" s="1"/>
  <c r="AK360" i="1"/>
  <c r="AI360" i="1"/>
  <c r="AE360" i="1"/>
  <c r="AB360" i="1"/>
  <c r="AQ360" i="1" s="1"/>
  <c r="W360" i="1"/>
  <c r="T360" i="1"/>
  <c r="S360" i="1"/>
  <c r="H360" i="1"/>
  <c r="D360" i="1"/>
  <c r="A360" i="1"/>
  <c r="J360" i="1" s="1"/>
  <c r="AX359" i="1" a="1"/>
  <c r="AX359" i="1" s="1"/>
  <c r="AU359" i="1"/>
  <c r="AT359" i="1"/>
  <c r="AI359" i="1"/>
  <c r="AE359" i="1"/>
  <c r="AB359" i="1"/>
  <c r="AM359" i="1" s="1"/>
  <c r="W359" i="1"/>
  <c r="T359" i="1"/>
  <c r="S359" i="1"/>
  <c r="O359" i="1" a="1"/>
  <c r="O359" i="1" s="1"/>
  <c r="J359" i="1"/>
  <c r="H359" i="1"/>
  <c r="D359" i="1"/>
  <c r="A359" i="1"/>
  <c r="P359" i="1" s="1"/>
  <c r="AX358" i="1" a="1"/>
  <c r="AX358" i="1" s="1"/>
  <c r="AU358" i="1"/>
  <c r="AT358" i="1"/>
  <c r="AI358" i="1"/>
  <c r="AE358" i="1"/>
  <c r="AB358" i="1"/>
  <c r="AK358" i="1" s="1"/>
  <c r="W358" i="1"/>
  <c r="T358" i="1"/>
  <c r="S358" i="1"/>
  <c r="H358" i="1"/>
  <c r="D358" i="1"/>
  <c r="A358" i="1"/>
  <c r="L358" i="1" s="1"/>
  <c r="AX357" i="1" a="1"/>
  <c r="AX357" i="1" s="1"/>
  <c r="AU357" i="1"/>
  <c r="AT357" i="1"/>
  <c r="AI357" i="1"/>
  <c r="AE357" i="1"/>
  <c r="AB357" i="1"/>
  <c r="AK357" i="1" s="1"/>
  <c r="W357" i="1"/>
  <c r="T357" i="1"/>
  <c r="S357" i="1"/>
  <c r="H357" i="1"/>
  <c r="D357" i="1"/>
  <c r="A357" i="1"/>
  <c r="AX356" i="1" a="1"/>
  <c r="AX356" i="1" s="1"/>
  <c r="AU356" i="1"/>
  <c r="AT356" i="1"/>
  <c r="AI356" i="1"/>
  <c r="AE356" i="1"/>
  <c r="AB356" i="1"/>
  <c r="AK356" i="1" s="1"/>
  <c r="W356" i="1"/>
  <c r="T356" i="1"/>
  <c r="S356" i="1"/>
  <c r="H356" i="1"/>
  <c r="D356" i="1"/>
  <c r="A356" i="1"/>
  <c r="L355" i="1" s="1"/>
  <c r="AX355" i="1" a="1"/>
  <c r="AX355" i="1" s="1"/>
  <c r="AU355" i="1"/>
  <c r="AT355" i="1"/>
  <c r="AI355" i="1"/>
  <c r="AE355" i="1"/>
  <c r="AB355" i="1"/>
  <c r="AP355" i="1" s="1" a="1"/>
  <c r="AP355" i="1" s="1"/>
  <c r="W355" i="1"/>
  <c r="T355" i="1"/>
  <c r="S355" i="1"/>
  <c r="H355" i="1"/>
  <c r="D355" i="1"/>
  <c r="A355" i="1"/>
  <c r="AX354" i="1" a="1"/>
  <c r="AX354" i="1" s="1"/>
  <c r="AU354" i="1"/>
  <c r="AT354" i="1"/>
  <c r="AI354" i="1"/>
  <c r="AE354" i="1"/>
  <c r="AB354" i="1"/>
  <c r="AK354" i="1" s="1"/>
  <c r="W354" i="1"/>
  <c r="T354" i="1"/>
  <c r="S354" i="1"/>
  <c r="H354" i="1"/>
  <c r="D354" i="1"/>
  <c r="A354" i="1"/>
  <c r="K354" i="1" s="1"/>
  <c r="AX353" i="1" a="1"/>
  <c r="AX353" i="1" s="1"/>
  <c r="AU353" i="1"/>
  <c r="AT353" i="1"/>
  <c r="AI353" i="1"/>
  <c r="AE353" i="1"/>
  <c r="AB353" i="1"/>
  <c r="W353" i="1"/>
  <c r="T353" i="1"/>
  <c r="S353" i="1"/>
  <c r="H353" i="1"/>
  <c r="D353" i="1"/>
  <c r="A353" i="1"/>
  <c r="N353" i="1" s="1" a="1"/>
  <c r="N353" i="1" s="1"/>
  <c r="AX352" i="1" a="1"/>
  <c r="AX352" i="1" s="1"/>
  <c r="AU352" i="1"/>
  <c r="AT352" i="1"/>
  <c r="AI352" i="1"/>
  <c r="AE352" i="1"/>
  <c r="AB352" i="1"/>
  <c r="AK352" i="1" s="1"/>
  <c r="W352" i="1"/>
  <c r="T352" i="1"/>
  <c r="S352" i="1"/>
  <c r="J352" i="1"/>
  <c r="H352" i="1"/>
  <c r="D352" i="1"/>
  <c r="A352" i="1"/>
  <c r="AX351" i="1" a="1"/>
  <c r="AX351" i="1" s="1"/>
  <c r="AU351" i="1"/>
  <c r="AT351" i="1"/>
  <c r="AI351" i="1"/>
  <c r="AE351" i="1"/>
  <c r="AB351" i="1"/>
  <c r="W351" i="1"/>
  <c r="T351" i="1"/>
  <c r="S351" i="1"/>
  <c r="H351" i="1"/>
  <c r="D351" i="1"/>
  <c r="A351" i="1"/>
  <c r="P351" i="1" s="1"/>
  <c r="AX350" i="1" a="1"/>
  <c r="AX350" i="1" s="1"/>
  <c r="AU350" i="1"/>
  <c r="AT350" i="1"/>
  <c r="AI350" i="1"/>
  <c r="AE350" i="1"/>
  <c r="AB350" i="1"/>
  <c r="AL349" i="1" s="1"/>
  <c r="W350" i="1"/>
  <c r="T350" i="1"/>
  <c r="S350" i="1"/>
  <c r="K350" i="1"/>
  <c r="H350" i="1"/>
  <c r="D350" i="1"/>
  <c r="A350" i="1"/>
  <c r="AX349" i="1" a="1"/>
  <c r="AX349" i="1" s="1"/>
  <c r="AU349" i="1"/>
  <c r="AT349" i="1"/>
  <c r="AI349" i="1"/>
  <c r="AE349" i="1"/>
  <c r="AB349" i="1"/>
  <c r="W349" i="1"/>
  <c r="T349" i="1"/>
  <c r="S349" i="1"/>
  <c r="H349" i="1"/>
  <c r="D349" i="1"/>
  <c r="A349" i="1"/>
  <c r="K349" i="1" s="1"/>
  <c r="AX348" i="1" a="1"/>
  <c r="AX348" i="1" s="1"/>
  <c r="AU348" i="1"/>
  <c r="AT348" i="1"/>
  <c r="AI348" i="1"/>
  <c r="AE348" i="1"/>
  <c r="AB348" i="1"/>
  <c r="AO348" i="1" s="1" a="1"/>
  <c r="AO348" i="1" s="1"/>
  <c r="W348" i="1"/>
  <c r="T348" i="1"/>
  <c r="S348" i="1"/>
  <c r="H348" i="1"/>
  <c r="D348" i="1"/>
  <c r="A348" i="1"/>
  <c r="AX347" i="1" a="1"/>
  <c r="AX347" i="1" s="1"/>
  <c r="AU347" i="1"/>
  <c r="AT347" i="1"/>
  <c r="AI347" i="1"/>
  <c r="AE347" i="1"/>
  <c r="AB347" i="1"/>
  <c r="AL347" i="1" s="1"/>
  <c r="W347" i="1"/>
  <c r="T347" i="1"/>
  <c r="S347" i="1"/>
  <c r="H347" i="1"/>
  <c r="D347" i="1"/>
  <c r="A347" i="1"/>
  <c r="J347" i="1" s="1"/>
  <c r="AX346" i="1" a="1"/>
  <c r="AX346" i="1" s="1"/>
  <c r="AU346" i="1"/>
  <c r="AT346" i="1"/>
  <c r="AI346" i="1"/>
  <c r="AE346" i="1"/>
  <c r="AB346" i="1"/>
  <c r="W346" i="1"/>
  <c r="T346" i="1"/>
  <c r="S346" i="1"/>
  <c r="H346" i="1"/>
  <c r="D346" i="1"/>
  <c r="A346" i="1"/>
  <c r="L345" i="1" s="1"/>
  <c r="AX345" i="1" a="1"/>
  <c r="AX345" i="1" s="1"/>
  <c r="AU345" i="1"/>
  <c r="AT345" i="1"/>
  <c r="AI345" i="1"/>
  <c r="AE345" i="1"/>
  <c r="AB345" i="1"/>
  <c r="AO345" i="1" s="1" a="1"/>
  <c r="AO345" i="1" s="1"/>
  <c r="W345" i="1"/>
  <c r="T345" i="1"/>
  <c r="S345" i="1"/>
  <c r="H345" i="1"/>
  <c r="D345" i="1"/>
  <c r="A345" i="1"/>
  <c r="AX344" i="1" a="1"/>
  <c r="AX344" i="1" s="1"/>
  <c r="AU344" i="1"/>
  <c r="AT344" i="1"/>
  <c r="AI344" i="1"/>
  <c r="AE344" i="1"/>
  <c r="AB344" i="1"/>
  <c r="AO344" i="1" s="1" a="1"/>
  <c r="AO344" i="1" s="1"/>
  <c r="W344" i="1"/>
  <c r="T344" i="1"/>
  <c r="S344" i="1"/>
  <c r="H344" i="1"/>
  <c r="D344" i="1"/>
  <c r="A344" i="1"/>
  <c r="J344" i="1" s="1"/>
  <c r="AX343" i="1" a="1"/>
  <c r="AX343" i="1" s="1"/>
  <c r="AU343" i="1"/>
  <c r="AT343" i="1"/>
  <c r="AM343" i="1"/>
  <c r="AI343" i="1"/>
  <c r="AE343" i="1"/>
  <c r="AB343" i="1"/>
  <c r="W343" i="1"/>
  <c r="T343" i="1"/>
  <c r="S343" i="1"/>
  <c r="H343" i="1"/>
  <c r="D343" i="1"/>
  <c r="A343" i="1"/>
  <c r="P343" i="1" s="1"/>
  <c r="AX342" i="1" a="1"/>
  <c r="AX342" i="1" s="1"/>
  <c r="AU342" i="1"/>
  <c r="AT342" i="1"/>
  <c r="AI342" i="1"/>
  <c r="AE342" i="1"/>
  <c r="AB342" i="1"/>
  <c r="W342" i="1"/>
  <c r="T342" i="1"/>
  <c r="S342" i="1"/>
  <c r="H342" i="1"/>
  <c r="D342" i="1"/>
  <c r="A342" i="1"/>
  <c r="AX341" i="1" a="1"/>
  <c r="AX341" i="1" s="1"/>
  <c r="AU341" i="1"/>
  <c r="AT341" i="1"/>
  <c r="AI341" i="1"/>
  <c r="AE341" i="1"/>
  <c r="AB341" i="1"/>
  <c r="AK341" i="1" s="1"/>
  <c r="W341" i="1"/>
  <c r="T341" i="1"/>
  <c r="S341" i="1"/>
  <c r="H341" i="1"/>
  <c r="D341" i="1"/>
  <c r="A341" i="1"/>
  <c r="AX340" i="1" a="1"/>
  <c r="AX340" i="1" s="1"/>
  <c r="AU340" i="1"/>
  <c r="AT340" i="1"/>
  <c r="AI340" i="1"/>
  <c r="AE340" i="1"/>
  <c r="AB340" i="1"/>
  <c r="AL339" i="1" s="1"/>
  <c r="W340" i="1"/>
  <c r="T340" i="1"/>
  <c r="S340" i="1"/>
  <c r="H340" i="1"/>
  <c r="D340" i="1"/>
  <c r="A340" i="1"/>
  <c r="AX339" i="1" a="1"/>
  <c r="AX339" i="1" s="1"/>
  <c r="AU339" i="1"/>
  <c r="AT339" i="1"/>
  <c r="AI339" i="1"/>
  <c r="AE339" i="1"/>
  <c r="AB339" i="1"/>
  <c r="W339" i="1"/>
  <c r="T339" i="1"/>
  <c r="S339" i="1"/>
  <c r="H339" i="1"/>
  <c r="D339" i="1"/>
  <c r="A339" i="1"/>
  <c r="P339" i="1" s="1"/>
  <c r="AX338" i="1" a="1"/>
  <c r="AX338" i="1" s="1"/>
  <c r="AU338" i="1"/>
  <c r="AT338" i="1"/>
  <c r="AI338" i="1"/>
  <c r="AE338" i="1"/>
  <c r="AB338" i="1"/>
  <c r="AK338" i="1" s="1"/>
  <c r="W338" i="1"/>
  <c r="T338" i="1"/>
  <c r="S338" i="1"/>
  <c r="K338" i="1"/>
  <c r="H338" i="1"/>
  <c r="D338" i="1"/>
  <c r="A338" i="1"/>
  <c r="M338" i="1" s="1"/>
  <c r="AX337" i="1" a="1"/>
  <c r="AX337" i="1" s="1"/>
  <c r="AU337" i="1"/>
  <c r="AT337" i="1"/>
  <c r="AI337" i="1"/>
  <c r="AE337" i="1"/>
  <c r="AB337" i="1"/>
  <c r="W337" i="1"/>
  <c r="T337" i="1"/>
  <c r="S337" i="1"/>
  <c r="H337" i="1"/>
  <c r="D337" i="1"/>
  <c r="A337" i="1"/>
  <c r="N337" i="1" s="1" a="1"/>
  <c r="N337" i="1" s="1"/>
  <c r="AX336" i="1" a="1"/>
  <c r="AX336" i="1" s="1"/>
  <c r="AU336" i="1"/>
  <c r="AT336" i="1"/>
  <c r="AK336" i="1"/>
  <c r="AI336" i="1"/>
  <c r="AE336" i="1"/>
  <c r="AB336" i="1"/>
  <c r="AP335" i="1" s="1" a="1"/>
  <c r="AP335" i="1" s="1"/>
  <c r="W336" i="1"/>
  <c r="T336" i="1"/>
  <c r="S336" i="1"/>
  <c r="J336" i="1"/>
  <c r="H336" i="1"/>
  <c r="D336" i="1"/>
  <c r="A336" i="1"/>
  <c r="AX335" i="1" a="1"/>
  <c r="AX335" i="1" s="1"/>
  <c r="AU335" i="1"/>
  <c r="AT335" i="1"/>
  <c r="AI335" i="1"/>
  <c r="AE335" i="1"/>
  <c r="AB335" i="1"/>
  <c r="W335" i="1"/>
  <c r="T335" i="1"/>
  <c r="S335" i="1"/>
  <c r="H335" i="1"/>
  <c r="D335" i="1"/>
  <c r="A335" i="1"/>
  <c r="L335" i="1" s="1"/>
  <c r="AX334" i="1" a="1"/>
  <c r="AX334" i="1" s="1"/>
  <c r="AU334" i="1"/>
  <c r="AT334" i="1"/>
  <c r="AL334" i="1"/>
  <c r="AI334" i="1"/>
  <c r="AE334" i="1"/>
  <c r="AB334" i="1"/>
  <c r="AQ334" i="1" s="1"/>
  <c r="W334" i="1"/>
  <c r="T334" i="1"/>
  <c r="S334" i="1"/>
  <c r="H334" i="1"/>
  <c r="D334" i="1"/>
  <c r="A334" i="1"/>
  <c r="AX333" i="1" a="1"/>
  <c r="AX333" i="1" s="1"/>
  <c r="AU333" i="1"/>
  <c r="AT333" i="1"/>
  <c r="AI333" i="1"/>
  <c r="AE333" i="1"/>
  <c r="AB333" i="1"/>
  <c r="W333" i="1"/>
  <c r="T333" i="1"/>
  <c r="S333" i="1"/>
  <c r="H333" i="1"/>
  <c r="D333" i="1"/>
  <c r="A333" i="1"/>
  <c r="O333" i="1" s="1" a="1"/>
  <c r="O333" i="1" s="1"/>
  <c r="AX332" i="1" a="1"/>
  <c r="AX332" i="1" s="1"/>
  <c r="AU332" i="1"/>
  <c r="AT332" i="1"/>
  <c r="AK332" i="1"/>
  <c r="AI332" i="1"/>
  <c r="AE332" i="1"/>
  <c r="AB332" i="1"/>
  <c r="AP332" i="1" s="1" a="1"/>
  <c r="AP332" i="1" s="1"/>
  <c r="W332" i="1"/>
  <c r="T332" i="1"/>
  <c r="S332" i="1"/>
  <c r="H332" i="1"/>
  <c r="D332" i="1"/>
  <c r="A332" i="1"/>
  <c r="AX331" i="1" a="1"/>
  <c r="AX331" i="1" s="1"/>
  <c r="AU331" i="1"/>
  <c r="AT331" i="1"/>
  <c r="AI331" i="1"/>
  <c r="AE331" i="1"/>
  <c r="AB331" i="1"/>
  <c r="W331" i="1"/>
  <c r="T331" i="1"/>
  <c r="S331" i="1"/>
  <c r="H331" i="1"/>
  <c r="D331" i="1"/>
  <c r="A331" i="1"/>
  <c r="M331" i="1" s="1"/>
  <c r="AX330" i="1" a="1"/>
  <c r="AX330" i="1" s="1"/>
  <c r="AU330" i="1"/>
  <c r="AT330" i="1"/>
  <c r="AK330" i="1"/>
  <c r="AI330" i="1"/>
  <c r="AE330" i="1"/>
  <c r="AB330" i="1"/>
  <c r="AO329" i="1" s="1" a="1"/>
  <c r="AO329" i="1" s="1"/>
  <c r="W330" i="1"/>
  <c r="T330" i="1"/>
  <c r="S330" i="1"/>
  <c r="H330" i="1"/>
  <c r="D330" i="1"/>
  <c r="A330" i="1"/>
  <c r="AX329" i="1" a="1"/>
  <c r="AX329" i="1" s="1"/>
  <c r="AU329" i="1"/>
  <c r="AT329" i="1"/>
  <c r="AI329" i="1"/>
  <c r="AE329" i="1"/>
  <c r="AB329" i="1"/>
  <c r="AK329" i="1" s="1"/>
  <c r="W329" i="1"/>
  <c r="T329" i="1"/>
  <c r="S329" i="1"/>
  <c r="H329" i="1"/>
  <c r="D329" i="1"/>
  <c r="A329" i="1"/>
  <c r="AX328" i="1" a="1"/>
  <c r="AX328" i="1" s="1"/>
  <c r="AU328" i="1"/>
  <c r="AT328" i="1"/>
  <c r="AP328" i="1" a="1"/>
  <c r="AP328" i="1" s="1"/>
  <c r="AO328" i="1" a="1"/>
  <c r="AO328" i="1" s="1"/>
  <c r="AI328" i="1"/>
  <c r="AE328" i="1"/>
  <c r="AB328" i="1"/>
  <c r="AQ328" i="1" s="1"/>
  <c r="W328" i="1"/>
  <c r="T328" i="1"/>
  <c r="S328" i="1"/>
  <c r="H328" i="1"/>
  <c r="D328" i="1"/>
  <c r="A328" i="1"/>
  <c r="K327" i="1" s="1"/>
  <c r="AX327" i="1" a="1"/>
  <c r="AX327" i="1" s="1"/>
  <c r="AU327" i="1"/>
  <c r="AT327" i="1"/>
  <c r="AI327" i="1"/>
  <c r="AE327" i="1"/>
  <c r="AB327" i="1"/>
  <c r="W327" i="1"/>
  <c r="T327" i="1"/>
  <c r="S327" i="1"/>
  <c r="J327" i="1"/>
  <c r="H327" i="1"/>
  <c r="D327" i="1"/>
  <c r="A327" i="1"/>
  <c r="AX326" i="1" a="1"/>
  <c r="AX326" i="1" s="1"/>
  <c r="AU326" i="1"/>
  <c r="AT326" i="1"/>
  <c r="AK326" i="1"/>
  <c r="AI326" i="1"/>
  <c r="AE326" i="1"/>
  <c r="AB326" i="1"/>
  <c r="W326" i="1"/>
  <c r="T326" i="1"/>
  <c r="S326" i="1"/>
  <c r="H326" i="1"/>
  <c r="D326" i="1"/>
  <c r="A326" i="1"/>
  <c r="L325" i="1" s="1"/>
  <c r="AX325" i="1" a="1"/>
  <c r="AX325" i="1" s="1"/>
  <c r="AU325" i="1"/>
  <c r="AT325" i="1"/>
  <c r="AK325" i="1"/>
  <c r="AI325" i="1"/>
  <c r="AE325" i="1"/>
  <c r="AB325" i="1"/>
  <c r="W325" i="1"/>
  <c r="T325" i="1"/>
  <c r="S325" i="1"/>
  <c r="J325" i="1"/>
  <c r="H325" i="1"/>
  <c r="D325" i="1"/>
  <c r="A325" i="1"/>
  <c r="AX324" i="1" a="1"/>
  <c r="AX324" i="1" s="1"/>
  <c r="AU324" i="1"/>
  <c r="AT324" i="1"/>
  <c r="AK324" i="1"/>
  <c r="AI324" i="1"/>
  <c r="AE324" i="1"/>
  <c r="AB324" i="1"/>
  <c r="AM324" i="1" s="1"/>
  <c r="W324" i="1"/>
  <c r="T324" i="1"/>
  <c r="S324" i="1"/>
  <c r="J324" i="1"/>
  <c r="H324" i="1"/>
  <c r="D324" i="1"/>
  <c r="A324" i="1"/>
  <c r="AX323" i="1" a="1"/>
  <c r="AX323" i="1" s="1"/>
  <c r="AU323" i="1"/>
  <c r="AT323" i="1"/>
  <c r="AP323" i="1" a="1"/>
  <c r="AP323" i="1" s="1"/>
  <c r="AI323" i="1"/>
  <c r="AE323" i="1"/>
  <c r="AB323" i="1"/>
  <c r="W323" i="1"/>
  <c r="T323" i="1"/>
  <c r="S323" i="1"/>
  <c r="H323" i="1"/>
  <c r="D323" i="1"/>
  <c r="A323" i="1"/>
  <c r="M323" i="1" s="1"/>
  <c r="AX322" i="1" a="1"/>
  <c r="AX322" i="1" s="1"/>
  <c r="AU322" i="1"/>
  <c r="AT322" i="1"/>
  <c r="AI322" i="1"/>
  <c r="AE322" i="1"/>
  <c r="AB322" i="1"/>
  <c r="W322" i="1"/>
  <c r="T322" i="1"/>
  <c r="S322" i="1"/>
  <c r="H322" i="1"/>
  <c r="D322" i="1"/>
  <c r="A322" i="1"/>
  <c r="AX321" i="1" a="1"/>
  <c r="AX321" i="1" s="1"/>
  <c r="AU321" i="1"/>
  <c r="AT321" i="1"/>
  <c r="AI321" i="1"/>
  <c r="AE321" i="1"/>
  <c r="AB321" i="1"/>
  <c r="AK321" i="1" s="1"/>
  <c r="W321" i="1"/>
  <c r="T321" i="1"/>
  <c r="S321" i="1"/>
  <c r="J321" i="1"/>
  <c r="H321" i="1"/>
  <c r="D321" i="1"/>
  <c r="A321" i="1"/>
  <c r="N321" i="1" s="1" a="1"/>
  <c r="N321" i="1" s="1"/>
  <c r="AX320" i="1" a="1"/>
  <c r="AX320" i="1" s="1"/>
  <c r="AU320" i="1"/>
  <c r="AT320" i="1"/>
  <c r="AI320" i="1"/>
  <c r="AE320" i="1"/>
  <c r="AB320" i="1"/>
  <c r="W320" i="1"/>
  <c r="T320" i="1"/>
  <c r="S320" i="1"/>
  <c r="H320" i="1"/>
  <c r="D320" i="1"/>
  <c r="A320" i="1"/>
  <c r="J320" i="1" s="1"/>
  <c r="AX319" i="1"/>
  <c r="AX319" i="1" a="1"/>
  <c r="AU319" i="1"/>
  <c r="AT319" i="1"/>
  <c r="AI319" i="1"/>
  <c r="AE319" i="1"/>
  <c r="AB319" i="1"/>
  <c r="AP319" i="1" s="1" a="1"/>
  <c r="AP319" i="1" s="1"/>
  <c r="W319" i="1"/>
  <c r="T319" i="1"/>
  <c r="S319" i="1"/>
  <c r="H319" i="1"/>
  <c r="D319" i="1"/>
  <c r="A319" i="1"/>
  <c r="AX318" i="1" a="1"/>
  <c r="AX318" i="1" s="1"/>
  <c r="AU318" i="1"/>
  <c r="AT318" i="1"/>
  <c r="AI318" i="1"/>
  <c r="AE318" i="1"/>
  <c r="AB318" i="1"/>
  <c r="AL317" i="1" s="1"/>
  <c r="W318" i="1"/>
  <c r="T318" i="1"/>
  <c r="S318" i="1"/>
  <c r="K318" i="1"/>
  <c r="H318" i="1"/>
  <c r="D318" i="1"/>
  <c r="A318" i="1"/>
  <c r="O317" i="1" s="1" a="1"/>
  <c r="O317" i="1" s="1"/>
  <c r="AX317" i="1" a="1"/>
  <c r="AX317" i="1" s="1"/>
  <c r="AU317" i="1"/>
  <c r="AT317" i="1"/>
  <c r="AI317" i="1"/>
  <c r="AE317" i="1"/>
  <c r="AB317" i="1"/>
  <c r="W317" i="1"/>
  <c r="T317" i="1"/>
  <c r="S317" i="1"/>
  <c r="H317" i="1"/>
  <c r="D317" i="1"/>
  <c r="A317" i="1"/>
  <c r="J317" i="1" s="1"/>
  <c r="AX316" i="1" a="1"/>
  <c r="AX316" i="1" s="1"/>
  <c r="AU316" i="1"/>
  <c r="AT316" i="1"/>
  <c r="AI316" i="1"/>
  <c r="AE316" i="1"/>
  <c r="AB316" i="1"/>
  <c r="W316" i="1"/>
  <c r="T316" i="1"/>
  <c r="S316" i="1"/>
  <c r="K316" i="1"/>
  <c r="H316" i="1"/>
  <c r="D316" i="1"/>
  <c r="A316" i="1"/>
  <c r="P316" i="1" s="1"/>
  <c r="AX315" i="1" a="1"/>
  <c r="AX315" i="1" s="1"/>
  <c r="AU315" i="1"/>
  <c r="AT315" i="1"/>
  <c r="AI315" i="1"/>
  <c r="AE315" i="1"/>
  <c r="AB315" i="1"/>
  <c r="W315" i="1"/>
  <c r="T315" i="1"/>
  <c r="S315" i="1"/>
  <c r="J315" i="1"/>
  <c r="H315" i="1"/>
  <c r="D315" i="1"/>
  <c r="A315" i="1"/>
  <c r="AX314" i="1" a="1"/>
  <c r="AX314" i="1" s="1"/>
  <c r="AU314" i="1"/>
  <c r="AT314" i="1"/>
  <c r="AI314" i="1"/>
  <c r="AE314" i="1"/>
  <c r="AB314" i="1"/>
  <c r="W314" i="1"/>
  <c r="T314" i="1"/>
  <c r="S314" i="1"/>
  <c r="H314" i="1"/>
  <c r="D314" i="1"/>
  <c r="A314" i="1"/>
  <c r="O314" i="1" s="1" a="1"/>
  <c r="O314" i="1" s="1"/>
  <c r="AX313" i="1" a="1"/>
  <c r="AX313" i="1" s="1"/>
  <c r="AU313" i="1"/>
  <c r="AT313" i="1"/>
  <c r="AK313" i="1"/>
  <c r="AI313" i="1"/>
  <c r="AE313" i="1"/>
  <c r="AB313" i="1"/>
  <c r="W313" i="1"/>
  <c r="T313" i="1"/>
  <c r="S313" i="1"/>
  <c r="H313" i="1"/>
  <c r="D313" i="1"/>
  <c r="A313" i="1"/>
  <c r="AX312" i="1" a="1"/>
  <c r="AX312" i="1" s="1"/>
  <c r="AU312" i="1"/>
  <c r="AT312" i="1"/>
  <c r="AN312" i="1"/>
  <c r="AI312" i="1"/>
  <c r="AE312" i="1"/>
  <c r="AB312" i="1"/>
  <c r="W312" i="1"/>
  <c r="T312" i="1"/>
  <c r="S312" i="1"/>
  <c r="J312" i="1"/>
  <c r="H312" i="1"/>
  <c r="D312" i="1"/>
  <c r="A312" i="1"/>
  <c r="AX311" i="1" a="1"/>
  <c r="AX311" i="1" s="1"/>
  <c r="AU311" i="1"/>
  <c r="AT311" i="1"/>
  <c r="AI311" i="1"/>
  <c r="AE311" i="1"/>
  <c r="AB311" i="1"/>
  <c r="W311" i="1"/>
  <c r="T311" i="1"/>
  <c r="S311" i="1"/>
  <c r="O311" i="1" a="1"/>
  <c r="O311" i="1" s="1"/>
  <c r="J311" i="1"/>
  <c r="H311" i="1"/>
  <c r="D311" i="1"/>
  <c r="A311" i="1"/>
  <c r="P311" i="1" s="1"/>
  <c r="AX310" i="1" a="1"/>
  <c r="AX310" i="1" s="1"/>
  <c r="AU310" i="1"/>
  <c r="AT310" i="1"/>
  <c r="AI310" i="1"/>
  <c r="AE310" i="1"/>
  <c r="AB310" i="1"/>
  <c r="W310" i="1"/>
  <c r="T310" i="1"/>
  <c r="S310" i="1"/>
  <c r="H310" i="1"/>
  <c r="D310" i="1"/>
  <c r="A310" i="1"/>
  <c r="AX309" i="1" a="1"/>
  <c r="AX309" i="1" s="1"/>
  <c r="AU309" i="1"/>
  <c r="AT309" i="1"/>
  <c r="AI309" i="1"/>
  <c r="AE309" i="1"/>
  <c r="AB309" i="1"/>
  <c r="W309" i="1"/>
  <c r="T309" i="1"/>
  <c r="S309" i="1"/>
  <c r="J309" i="1"/>
  <c r="H309" i="1"/>
  <c r="D309" i="1"/>
  <c r="A309" i="1"/>
  <c r="AX308" i="1" a="1"/>
  <c r="AX308" i="1" s="1"/>
  <c r="AU308" i="1"/>
  <c r="AT308" i="1"/>
  <c r="AK308" i="1"/>
  <c r="AI308" i="1"/>
  <c r="AE308" i="1"/>
  <c r="AB308" i="1"/>
  <c r="AP307" i="1" s="1" a="1"/>
  <c r="AP307" i="1" s="1"/>
  <c r="W308" i="1"/>
  <c r="T308" i="1"/>
  <c r="S308" i="1"/>
  <c r="J308" i="1"/>
  <c r="H308" i="1"/>
  <c r="D308" i="1"/>
  <c r="A308" i="1"/>
  <c r="AX307" i="1" a="1"/>
  <c r="AX307" i="1" s="1"/>
  <c r="AU307" i="1"/>
  <c r="AT307" i="1"/>
  <c r="AI307" i="1"/>
  <c r="AE307" i="1"/>
  <c r="AB307" i="1"/>
  <c r="W307" i="1"/>
  <c r="T307" i="1"/>
  <c r="S307" i="1"/>
  <c r="M307" i="1"/>
  <c r="H307" i="1"/>
  <c r="D307" i="1"/>
  <c r="A307" i="1"/>
  <c r="AX306" i="1" a="1"/>
  <c r="AX306" i="1" s="1"/>
  <c r="AU306" i="1"/>
  <c r="AT306" i="1"/>
  <c r="AI306" i="1"/>
  <c r="AE306" i="1"/>
  <c r="AB306" i="1"/>
  <c r="AK306" i="1" s="1"/>
  <c r="W306" i="1"/>
  <c r="T306" i="1"/>
  <c r="S306" i="1"/>
  <c r="K306" i="1"/>
  <c r="H306" i="1"/>
  <c r="D306" i="1"/>
  <c r="A306" i="1"/>
  <c r="O306" i="1" s="1" a="1"/>
  <c r="O306" i="1" s="1"/>
  <c r="AX305" i="1" a="1"/>
  <c r="AX305" i="1" s="1"/>
  <c r="AU305" i="1"/>
  <c r="AT305" i="1"/>
  <c r="AI305" i="1"/>
  <c r="AE305" i="1"/>
  <c r="AB305" i="1"/>
  <c r="AK305" i="1" s="1"/>
  <c r="W305" i="1"/>
  <c r="T305" i="1"/>
  <c r="S305" i="1"/>
  <c r="H305" i="1"/>
  <c r="D305" i="1"/>
  <c r="A305" i="1"/>
  <c r="O305" i="1" s="1" a="1"/>
  <c r="O305" i="1" s="1"/>
  <c r="AX304" i="1" a="1"/>
  <c r="AX304" i="1" s="1"/>
  <c r="AU304" i="1"/>
  <c r="AT304" i="1"/>
  <c r="AI304" i="1"/>
  <c r="AE304" i="1"/>
  <c r="AB304" i="1"/>
  <c r="AO304" i="1" s="1" a="1"/>
  <c r="AO304" i="1" s="1"/>
  <c r="W304" i="1"/>
  <c r="T304" i="1"/>
  <c r="S304" i="1"/>
  <c r="H304" i="1"/>
  <c r="D304" i="1"/>
  <c r="A304" i="1"/>
  <c r="N303" i="1" s="1" a="1"/>
  <c r="N303" i="1" s="1"/>
  <c r="AX303" i="1" a="1"/>
  <c r="AX303" i="1" s="1"/>
  <c r="AU303" i="1"/>
  <c r="AT303" i="1"/>
  <c r="AL303" i="1"/>
  <c r="AI303" i="1"/>
  <c r="AE303" i="1"/>
  <c r="AB303" i="1"/>
  <c r="W303" i="1"/>
  <c r="T303" i="1"/>
  <c r="S303" i="1"/>
  <c r="H303" i="1"/>
  <c r="D303" i="1"/>
  <c r="A303" i="1"/>
  <c r="AX302" i="1" a="1"/>
  <c r="AX302" i="1" s="1"/>
  <c r="AU302" i="1"/>
  <c r="AT302" i="1"/>
  <c r="AI302" i="1"/>
  <c r="AE302" i="1"/>
  <c r="AB302" i="1"/>
  <c r="AK302" i="1" s="1"/>
  <c r="W302" i="1"/>
  <c r="T302" i="1"/>
  <c r="S302" i="1"/>
  <c r="H302" i="1"/>
  <c r="D302" i="1"/>
  <c r="A302" i="1"/>
  <c r="N302" i="1" s="1" a="1"/>
  <c r="N302" i="1" s="1"/>
  <c r="AX301" i="1" a="1"/>
  <c r="AX301" i="1" s="1"/>
  <c r="AU301" i="1"/>
  <c r="AT301" i="1"/>
  <c r="AK301" i="1"/>
  <c r="AI301" i="1"/>
  <c r="AE301" i="1"/>
  <c r="AB301" i="1"/>
  <c r="W301" i="1"/>
  <c r="T301" i="1"/>
  <c r="S301" i="1"/>
  <c r="H301" i="1"/>
  <c r="D301" i="1"/>
  <c r="A301" i="1"/>
  <c r="J301" i="1" s="1"/>
  <c r="AX300" i="1" a="1"/>
  <c r="AX300" i="1" s="1"/>
  <c r="AU300" i="1"/>
  <c r="AT300" i="1"/>
  <c r="AL300" i="1"/>
  <c r="AI300" i="1"/>
  <c r="AE300" i="1"/>
  <c r="AB300" i="1"/>
  <c r="W300" i="1"/>
  <c r="T300" i="1"/>
  <c r="S300" i="1"/>
  <c r="H300" i="1"/>
  <c r="D300" i="1"/>
  <c r="A300" i="1"/>
  <c r="AX299" i="1" a="1"/>
  <c r="AX299" i="1" s="1"/>
  <c r="AU299" i="1"/>
  <c r="AT299" i="1"/>
  <c r="AI299" i="1"/>
  <c r="AE299" i="1"/>
  <c r="AB299" i="1"/>
  <c r="AP299" i="1" s="1" a="1"/>
  <c r="AP299" i="1" s="1"/>
  <c r="W299" i="1"/>
  <c r="T299" i="1"/>
  <c r="S299" i="1"/>
  <c r="H299" i="1"/>
  <c r="D299" i="1"/>
  <c r="A299" i="1"/>
  <c r="AX298" i="1" a="1"/>
  <c r="AX298" i="1" s="1"/>
  <c r="AU298" i="1"/>
  <c r="AT298" i="1"/>
  <c r="AI298" i="1"/>
  <c r="AE298" i="1"/>
  <c r="AB298" i="1"/>
  <c r="W298" i="1"/>
  <c r="T298" i="1"/>
  <c r="S298" i="1"/>
  <c r="J298" i="1"/>
  <c r="H298" i="1"/>
  <c r="D298" i="1"/>
  <c r="A298" i="1"/>
  <c r="AX297" i="1" a="1"/>
  <c r="AX297" i="1" s="1"/>
  <c r="AU297" i="1"/>
  <c r="AT297" i="1"/>
  <c r="AK297" i="1"/>
  <c r="AI297" i="1"/>
  <c r="AE297" i="1"/>
  <c r="AB297" i="1"/>
  <c r="W297" i="1"/>
  <c r="T297" i="1"/>
  <c r="S297" i="1"/>
  <c r="H297" i="1"/>
  <c r="D297" i="1"/>
  <c r="A297" i="1"/>
  <c r="M296" i="1" s="1"/>
  <c r="AX296" i="1" a="1"/>
  <c r="AX296" i="1" s="1"/>
  <c r="AU296" i="1"/>
  <c r="AT296" i="1"/>
  <c r="AI296" i="1"/>
  <c r="AE296" i="1"/>
  <c r="AB296" i="1"/>
  <c r="AP296" i="1" s="1" a="1"/>
  <c r="AP296" i="1" s="1"/>
  <c r="W296" i="1"/>
  <c r="T296" i="1"/>
  <c r="S296" i="1"/>
  <c r="J296" i="1"/>
  <c r="H296" i="1"/>
  <c r="D296" i="1"/>
  <c r="A296" i="1"/>
  <c r="P296" i="1" s="1"/>
  <c r="AX295" i="1" a="1"/>
  <c r="AX295" i="1" s="1"/>
  <c r="AU295" i="1"/>
  <c r="AT295" i="1"/>
  <c r="AI295" i="1"/>
  <c r="AE295" i="1"/>
  <c r="AB295" i="1"/>
  <c r="W295" i="1"/>
  <c r="T295" i="1"/>
  <c r="S295" i="1"/>
  <c r="H295" i="1"/>
  <c r="D295" i="1"/>
  <c r="A295" i="1"/>
  <c r="O295" i="1" s="1" a="1"/>
  <c r="O295" i="1" s="1"/>
  <c r="AX294" i="1" a="1"/>
  <c r="AX294" i="1" s="1"/>
  <c r="AU294" i="1"/>
  <c r="AT294" i="1"/>
  <c r="AK294" i="1"/>
  <c r="AI294" i="1"/>
  <c r="AE294" i="1"/>
  <c r="AB294" i="1"/>
  <c r="AQ294" i="1" s="1"/>
  <c r="W294" i="1"/>
  <c r="T294" i="1"/>
  <c r="S294" i="1"/>
  <c r="H294" i="1"/>
  <c r="D294" i="1"/>
  <c r="A294" i="1"/>
  <c r="AX293" i="1" a="1"/>
  <c r="AX293" i="1" s="1"/>
  <c r="AU293" i="1"/>
  <c r="AT293" i="1"/>
  <c r="AP293" i="1" a="1"/>
  <c r="AP293" i="1" s="1"/>
  <c r="AO293" i="1" a="1"/>
  <c r="AO293" i="1" s="1"/>
  <c r="AK293" i="1"/>
  <c r="AI293" i="1"/>
  <c r="AE293" i="1"/>
  <c r="AB293" i="1"/>
  <c r="AQ293" i="1" s="1"/>
  <c r="W293" i="1"/>
  <c r="T293" i="1"/>
  <c r="S293" i="1"/>
  <c r="H293" i="1"/>
  <c r="D293" i="1"/>
  <c r="A293" i="1"/>
  <c r="J293" i="1" s="1"/>
  <c r="AX292" i="1" a="1"/>
  <c r="AX292" i="1" s="1"/>
  <c r="AU292" i="1"/>
  <c r="AT292" i="1"/>
  <c r="AI292" i="1"/>
  <c r="AE292" i="1"/>
  <c r="AB292" i="1"/>
  <c r="W292" i="1"/>
  <c r="T292" i="1"/>
  <c r="S292" i="1"/>
  <c r="H292" i="1"/>
  <c r="D292" i="1"/>
  <c r="A292" i="1"/>
  <c r="J292" i="1" s="1"/>
  <c r="AX291" i="1" a="1"/>
  <c r="AX291" i="1" s="1"/>
  <c r="AU291" i="1"/>
  <c r="AT291" i="1"/>
  <c r="AI291" i="1"/>
  <c r="AE291" i="1"/>
  <c r="AB291" i="1"/>
  <c r="AK291" i="1" s="1"/>
  <c r="W291" i="1"/>
  <c r="T291" i="1"/>
  <c r="S291" i="1"/>
  <c r="H291" i="1"/>
  <c r="D291" i="1"/>
  <c r="A291" i="1"/>
  <c r="P290" i="1" s="1"/>
  <c r="AX290" i="1" a="1"/>
  <c r="AX290" i="1" s="1"/>
  <c r="AU290" i="1"/>
  <c r="AT290" i="1"/>
  <c r="AI290" i="1"/>
  <c r="AE290" i="1"/>
  <c r="AB290" i="1"/>
  <c r="W290" i="1"/>
  <c r="T290" i="1"/>
  <c r="S290" i="1"/>
  <c r="H290" i="1"/>
  <c r="D290" i="1"/>
  <c r="A290" i="1"/>
  <c r="J290" i="1" s="1"/>
  <c r="AX289" i="1" a="1"/>
  <c r="AX289" i="1" s="1"/>
  <c r="AU289" i="1"/>
  <c r="AT289" i="1"/>
  <c r="AN289" i="1"/>
  <c r="AI289" i="1"/>
  <c r="AE289" i="1"/>
  <c r="AB289" i="1"/>
  <c r="W289" i="1"/>
  <c r="T289" i="1"/>
  <c r="S289" i="1"/>
  <c r="H289" i="1"/>
  <c r="D289" i="1"/>
  <c r="A289" i="1"/>
  <c r="J289" i="1" s="1"/>
  <c r="AX288" i="1" a="1"/>
  <c r="AX288" i="1" s="1"/>
  <c r="AU288" i="1"/>
  <c r="AT288" i="1"/>
  <c r="AL288" i="1"/>
  <c r="AI288" i="1"/>
  <c r="AE288" i="1"/>
  <c r="AB288" i="1"/>
  <c r="AP288" i="1" s="1" a="1"/>
  <c r="AP288" i="1" s="1"/>
  <c r="W288" i="1"/>
  <c r="T288" i="1"/>
  <c r="S288" i="1"/>
  <c r="M288" i="1"/>
  <c r="H288" i="1"/>
  <c r="D288" i="1"/>
  <c r="A288" i="1"/>
  <c r="AX287" i="1" a="1"/>
  <c r="AX287" i="1" s="1"/>
  <c r="AU287" i="1"/>
  <c r="AT287" i="1"/>
  <c r="AI287" i="1"/>
  <c r="AE287" i="1"/>
  <c r="AB287" i="1"/>
  <c r="AK287" i="1" s="1"/>
  <c r="W287" i="1"/>
  <c r="T287" i="1"/>
  <c r="S287" i="1"/>
  <c r="K287" i="1"/>
  <c r="H287" i="1"/>
  <c r="D287" i="1"/>
  <c r="A287" i="1"/>
  <c r="AX286" i="1" a="1"/>
  <c r="AX286" i="1" s="1"/>
  <c r="AU286" i="1"/>
  <c r="AT286" i="1"/>
  <c r="AI286" i="1"/>
  <c r="AE286" i="1"/>
  <c r="AB286" i="1"/>
  <c r="AK286" i="1" s="1"/>
  <c r="W286" i="1"/>
  <c r="T286" i="1"/>
  <c r="S286" i="1"/>
  <c r="H286" i="1"/>
  <c r="D286" i="1"/>
  <c r="A286" i="1"/>
  <c r="N286" i="1" s="1" a="1"/>
  <c r="N286" i="1" s="1"/>
  <c r="AX285" i="1" a="1"/>
  <c r="AX285" i="1" s="1"/>
  <c r="AU285" i="1"/>
  <c r="AT285" i="1"/>
  <c r="AI285" i="1"/>
  <c r="AE285" i="1"/>
  <c r="AB285" i="1"/>
  <c r="W285" i="1"/>
  <c r="T285" i="1"/>
  <c r="S285" i="1"/>
  <c r="H285" i="1"/>
  <c r="D285" i="1"/>
  <c r="A285" i="1"/>
  <c r="J285" i="1" s="1"/>
  <c r="AX284" i="1" a="1"/>
  <c r="AX284" i="1" s="1"/>
  <c r="AU284" i="1"/>
  <c r="AT284" i="1"/>
  <c r="AI284" i="1"/>
  <c r="AE284" i="1"/>
  <c r="AB284" i="1"/>
  <c r="AL283" i="1" s="1"/>
  <c r="W284" i="1"/>
  <c r="T284" i="1"/>
  <c r="S284" i="1"/>
  <c r="H284" i="1"/>
  <c r="D284" i="1"/>
  <c r="A284" i="1"/>
  <c r="P284" i="1" s="1"/>
  <c r="AX283" i="1" a="1"/>
  <c r="AX283" i="1" s="1"/>
  <c r="AU283" i="1"/>
  <c r="AT283" i="1"/>
  <c r="AI283" i="1"/>
  <c r="AE283" i="1"/>
  <c r="AB283" i="1"/>
  <c r="W283" i="1"/>
  <c r="T283" i="1"/>
  <c r="S283" i="1"/>
  <c r="H283" i="1"/>
  <c r="D283" i="1"/>
  <c r="A283" i="1"/>
  <c r="O283" i="1" s="1" a="1"/>
  <c r="O283" i="1" s="1"/>
  <c r="AX282" i="1" a="1"/>
  <c r="AX282" i="1" s="1"/>
  <c r="AU282" i="1"/>
  <c r="AT282" i="1"/>
  <c r="AI282" i="1"/>
  <c r="AE282" i="1"/>
  <c r="AB282" i="1"/>
  <c r="AL282" i="1" s="1"/>
  <c r="W282" i="1"/>
  <c r="T282" i="1"/>
  <c r="S282" i="1"/>
  <c r="H282" i="1"/>
  <c r="D282" i="1"/>
  <c r="A282" i="1"/>
  <c r="AX281" i="1" a="1"/>
  <c r="AX281" i="1" s="1"/>
  <c r="AU281" i="1"/>
  <c r="AT281" i="1"/>
  <c r="AI281" i="1"/>
  <c r="AE281" i="1"/>
  <c r="AB281" i="1"/>
  <c r="W281" i="1"/>
  <c r="T281" i="1"/>
  <c r="S281" i="1"/>
  <c r="H281" i="1"/>
  <c r="D281" i="1"/>
  <c r="A281" i="1"/>
  <c r="AX280" i="1" a="1"/>
  <c r="AX280" i="1" s="1"/>
  <c r="AU280" i="1"/>
  <c r="AT280" i="1"/>
  <c r="AI280" i="1"/>
  <c r="AE280" i="1"/>
  <c r="AB280" i="1"/>
  <c r="W280" i="1"/>
  <c r="T280" i="1"/>
  <c r="S280" i="1"/>
  <c r="J280" i="1"/>
  <c r="H280" i="1"/>
  <c r="D280" i="1"/>
  <c r="A280" i="1"/>
  <c r="AX279" i="1" a="1"/>
  <c r="AX279" i="1" s="1"/>
  <c r="AU279" i="1"/>
  <c r="AT279" i="1"/>
  <c r="AI279" i="1"/>
  <c r="AE279" i="1"/>
  <c r="AB279" i="1"/>
  <c r="W279" i="1"/>
  <c r="T279" i="1"/>
  <c r="S279" i="1"/>
  <c r="O279" i="1" a="1"/>
  <c r="O279" i="1" s="1"/>
  <c r="H279" i="1"/>
  <c r="D279" i="1"/>
  <c r="A279" i="1"/>
  <c r="K278" i="1" s="1"/>
  <c r="AX278" i="1" a="1"/>
  <c r="AX278" i="1" s="1"/>
  <c r="AU278" i="1"/>
  <c r="AT278" i="1"/>
  <c r="AK278" i="1"/>
  <c r="AI278" i="1"/>
  <c r="AE278" i="1"/>
  <c r="AB278" i="1"/>
  <c r="W278" i="1"/>
  <c r="T278" i="1"/>
  <c r="S278" i="1"/>
  <c r="H278" i="1"/>
  <c r="D278" i="1"/>
  <c r="A278" i="1"/>
  <c r="AX277" i="1" a="1"/>
  <c r="AX277" i="1" s="1"/>
  <c r="AU277" i="1"/>
  <c r="AT277" i="1"/>
  <c r="AI277" i="1"/>
  <c r="AE277" i="1"/>
  <c r="AB277" i="1"/>
  <c r="AQ277" i="1" s="1"/>
  <c r="W277" i="1"/>
  <c r="T277" i="1"/>
  <c r="S277" i="1"/>
  <c r="H277" i="1"/>
  <c r="D277" i="1"/>
  <c r="A277" i="1"/>
  <c r="N276" i="1" s="1" a="1"/>
  <c r="N276" i="1" s="1"/>
  <c r="AX276" i="1" a="1"/>
  <c r="AX276" i="1" s="1"/>
  <c r="AU276" i="1"/>
  <c r="AT276" i="1"/>
  <c r="AI276" i="1"/>
  <c r="AE276" i="1"/>
  <c r="AB276" i="1"/>
  <c r="W276" i="1"/>
  <c r="T276" i="1"/>
  <c r="S276" i="1"/>
  <c r="L276" i="1"/>
  <c r="H276" i="1"/>
  <c r="D276" i="1"/>
  <c r="A276" i="1"/>
  <c r="J276" i="1" s="1"/>
  <c r="AX275" i="1" a="1"/>
  <c r="AX275" i="1" s="1"/>
  <c r="AU275" i="1"/>
  <c r="AT275" i="1"/>
  <c r="AI275" i="1"/>
  <c r="AE275" i="1"/>
  <c r="AB275" i="1"/>
  <c r="AK275" i="1" s="1"/>
  <c r="W275" i="1"/>
  <c r="T275" i="1"/>
  <c r="S275" i="1"/>
  <c r="H275" i="1"/>
  <c r="D275" i="1"/>
  <c r="A275" i="1"/>
  <c r="L275" i="1" s="1"/>
  <c r="AX274" i="1" a="1"/>
  <c r="AX274" i="1" s="1"/>
  <c r="AU274" i="1"/>
  <c r="AT274" i="1"/>
  <c r="AI274" i="1"/>
  <c r="AE274" i="1"/>
  <c r="AB274" i="1"/>
  <c r="W274" i="1"/>
  <c r="T274" i="1"/>
  <c r="S274" i="1"/>
  <c r="H274" i="1"/>
  <c r="D274" i="1"/>
  <c r="A274" i="1"/>
  <c r="J274" i="1" s="1"/>
  <c r="AX273" i="1" a="1"/>
  <c r="AX273" i="1" s="1"/>
  <c r="AU273" i="1"/>
  <c r="AT273" i="1"/>
  <c r="AI273" i="1"/>
  <c r="AE273" i="1"/>
  <c r="AB273" i="1"/>
  <c r="AQ273" i="1" s="1"/>
  <c r="W273" i="1"/>
  <c r="T273" i="1"/>
  <c r="S273" i="1"/>
  <c r="J273" i="1"/>
  <c r="H273" i="1"/>
  <c r="D273" i="1"/>
  <c r="A273" i="1"/>
  <c r="AX272" i="1" a="1"/>
  <c r="AX272" i="1" s="1"/>
  <c r="AU272" i="1"/>
  <c r="AT272" i="1"/>
  <c r="AI272" i="1"/>
  <c r="AE272" i="1"/>
  <c r="AB272" i="1"/>
  <c r="AP272" i="1" s="1" a="1"/>
  <c r="AP272" i="1" s="1"/>
  <c r="W272" i="1"/>
  <c r="T272" i="1"/>
  <c r="S272" i="1"/>
  <c r="H272" i="1"/>
  <c r="D272" i="1"/>
  <c r="A272" i="1"/>
  <c r="J272" i="1" s="1"/>
  <c r="AX271" i="1" a="1"/>
  <c r="AX271" i="1" s="1"/>
  <c r="AU271" i="1"/>
  <c r="AT271" i="1"/>
  <c r="AI271" i="1"/>
  <c r="AE271" i="1"/>
  <c r="AB271" i="1"/>
  <c r="AK271" i="1" s="1"/>
  <c r="W271" i="1"/>
  <c r="T271" i="1"/>
  <c r="S271" i="1"/>
  <c r="H271" i="1"/>
  <c r="D271" i="1"/>
  <c r="A271" i="1"/>
  <c r="AX270" i="1" a="1"/>
  <c r="AX270" i="1" s="1"/>
  <c r="AU270" i="1"/>
  <c r="AT270" i="1"/>
  <c r="AI270" i="1"/>
  <c r="AE270" i="1"/>
  <c r="AB270" i="1"/>
  <c r="AK270" i="1" s="1"/>
  <c r="W270" i="1"/>
  <c r="T270" i="1"/>
  <c r="S270" i="1"/>
  <c r="H270" i="1"/>
  <c r="D270" i="1"/>
  <c r="A270" i="1"/>
  <c r="J270" i="1" s="1"/>
  <c r="AX269" i="1" a="1"/>
  <c r="AX269" i="1" s="1"/>
  <c r="AU269" i="1"/>
  <c r="AT269" i="1"/>
  <c r="AI269" i="1"/>
  <c r="AE269" i="1"/>
  <c r="AB269" i="1"/>
  <c r="W269" i="1"/>
  <c r="T269" i="1"/>
  <c r="S269" i="1"/>
  <c r="H269" i="1"/>
  <c r="D269" i="1"/>
  <c r="A269" i="1"/>
  <c r="J269" i="1" s="1"/>
  <c r="AX268" i="1"/>
  <c r="AX268" i="1" a="1"/>
  <c r="AU268" i="1"/>
  <c r="AT268" i="1"/>
  <c r="AI268" i="1"/>
  <c r="AE268" i="1"/>
  <c r="AB268" i="1"/>
  <c r="AL267" i="1" s="1"/>
  <c r="W268" i="1"/>
  <c r="T268" i="1"/>
  <c r="S268" i="1"/>
  <c r="P268" i="1"/>
  <c r="H268" i="1"/>
  <c r="D268" i="1"/>
  <c r="A268" i="1"/>
  <c r="M268" i="1" s="1"/>
  <c r="AX267" i="1" a="1"/>
  <c r="AX267" i="1" s="1"/>
  <c r="AU267" i="1"/>
  <c r="AT267" i="1"/>
  <c r="AI267" i="1"/>
  <c r="AE267" i="1"/>
  <c r="AB267" i="1"/>
  <c r="W267" i="1"/>
  <c r="T267" i="1"/>
  <c r="S267" i="1"/>
  <c r="H267" i="1"/>
  <c r="D267" i="1"/>
  <c r="A267" i="1"/>
  <c r="K267" i="1" s="1"/>
  <c r="AX266" i="1" a="1"/>
  <c r="AX266" i="1" s="1"/>
  <c r="AU266" i="1"/>
  <c r="AT266" i="1"/>
  <c r="AI266" i="1"/>
  <c r="AE266" i="1"/>
  <c r="AB266" i="1"/>
  <c r="W266" i="1"/>
  <c r="T266" i="1"/>
  <c r="S266" i="1"/>
  <c r="H266" i="1"/>
  <c r="D266" i="1"/>
  <c r="A266" i="1"/>
  <c r="J266" i="1" s="1"/>
  <c r="AX265" i="1" a="1"/>
  <c r="AX265" i="1" s="1"/>
  <c r="AU265" i="1"/>
  <c r="AT265" i="1"/>
  <c r="AI265" i="1"/>
  <c r="AE265" i="1"/>
  <c r="AB265" i="1"/>
  <c r="AK265" i="1" s="1"/>
  <c r="W265" i="1"/>
  <c r="T265" i="1"/>
  <c r="S265" i="1"/>
  <c r="H265" i="1"/>
  <c r="D265" i="1"/>
  <c r="A265" i="1"/>
  <c r="AX264" i="1" a="1"/>
  <c r="AX264" i="1" s="1"/>
  <c r="AU264" i="1"/>
  <c r="AT264" i="1"/>
  <c r="AI264" i="1"/>
  <c r="AE264" i="1"/>
  <c r="AB264" i="1"/>
  <c r="AL264" i="1" s="1"/>
  <c r="W264" i="1"/>
  <c r="T264" i="1"/>
  <c r="S264" i="1"/>
  <c r="H264" i="1"/>
  <c r="D264" i="1"/>
  <c r="A264" i="1"/>
  <c r="P264" i="1" s="1"/>
  <c r="AX263" i="1" a="1"/>
  <c r="AX263" i="1" s="1"/>
  <c r="AU263" i="1"/>
  <c r="AT263" i="1"/>
  <c r="AI263" i="1"/>
  <c r="AE263" i="1"/>
  <c r="AB263" i="1"/>
  <c r="AO263" i="1" s="1" a="1"/>
  <c r="AO263" i="1" s="1"/>
  <c r="W263" i="1"/>
  <c r="T263" i="1"/>
  <c r="S263" i="1"/>
  <c r="H263" i="1"/>
  <c r="D263" i="1"/>
  <c r="A263" i="1"/>
  <c r="AX262" i="1" a="1"/>
  <c r="AX262" i="1" s="1"/>
  <c r="AU262" i="1"/>
  <c r="AT262" i="1"/>
  <c r="AK262" i="1"/>
  <c r="AI262" i="1"/>
  <c r="AE262" i="1"/>
  <c r="AB262" i="1"/>
  <c r="AQ262" i="1" s="1"/>
  <c r="W262" i="1"/>
  <c r="T262" i="1"/>
  <c r="S262" i="1"/>
  <c r="H262" i="1"/>
  <c r="D262" i="1"/>
  <c r="A262" i="1"/>
  <c r="O262" i="1" s="1" a="1"/>
  <c r="O262" i="1" s="1"/>
  <c r="AX261" i="1"/>
  <c r="AX261" i="1" a="1"/>
  <c r="AU261" i="1"/>
  <c r="AT261" i="1"/>
  <c r="AQ261" i="1"/>
  <c r="AM261" i="1"/>
  <c r="AI261" i="1"/>
  <c r="AE261" i="1"/>
  <c r="AB261" i="1"/>
  <c r="AO261" i="1" s="1" a="1"/>
  <c r="AO261" i="1" s="1"/>
  <c r="W261" i="1"/>
  <c r="T261" i="1"/>
  <c r="S261" i="1"/>
  <c r="H261" i="1"/>
  <c r="D261" i="1"/>
  <c r="A261" i="1"/>
  <c r="J261" i="1" s="1"/>
  <c r="AX260" i="1" a="1"/>
  <c r="AX260" i="1" s="1"/>
  <c r="AU260" i="1"/>
  <c r="AT260" i="1"/>
  <c r="AI260" i="1"/>
  <c r="AE260" i="1"/>
  <c r="AB260" i="1"/>
  <c r="AM260" i="1" s="1"/>
  <c r="W260" i="1"/>
  <c r="T260" i="1"/>
  <c r="S260" i="1"/>
  <c r="H260" i="1"/>
  <c r="D260" i="1"/>
  <c r="A260" i="1"/>
  <c r="O260" i="1" s="1" a="1"/>
  <c r="O260" i="1" s="1"/>
  <c r="AX259" i="1" a="1"/>
  <c r="AX259" i="1" s="1"/>
  <c r="AU259" i="1"/>
  <c r="AT259" i="1"/>
  <c r="AI259" i="1"/>
  <c r="AE259" i="1"/>
  <c r="AB259" i="1"/>
  <c r="W259" i="1"/>
  <c r="T259" i="1"/>
  <c r="S259" i="1"/>
  <c r="H259" i="1"/>
  <c r="D259" i="1"/>
  <c r="A259" i="1"/>
  <c r="AX258" i="1" a="1"/>
  <c r="AX258" i="1" s="1"/>
  <c r="AU258" i="1"/>
  <c r="AT258" i="1"/>
  <c r="AI258" i="1"/>
  <c r="AE258" i="1"/>
  <c r="AB258" i="1"/>
  <c r="W258" i="1"/>
  <c r="T258" i="1"/>
  <c r="S258" i="1"/>
  <c r="H258" i="1"/>
  <c r="D258" i="1"/>
  <c r="A258" i="1"/>
  <c r="AX257" i="1" a="1"/>
  <c r="AX257" i="1" s="1"/>
  <c r="AU257" i="1"/>
  <c r="AT257" i="1"/>
  <c r="AI257" i="1"/>
  <c r="AE257" i="1"/>
  <c r="AB257" i="1"/>
  <c r="AQ257" i="1" s="1"/>
  <c r="W257" i="1"/>
  <c r="T257" i="1"/>
  <c r="S257" i="1"/>
  <c r="H257" i="1"/>
  <c r="D257" i="1"/>
  <c r="A257" i="1"/>
  <c r="J257" i="1" s="1"/>
  <c r="AX256" i="1" a="1"/>
  <c r="AX256" i="1" s="1"/>
  <c r="AU256" i="1"/>
  <c r="AT256" i="1"/>
  <c r="AI256" i="1"/>
  <c r="AE256" i="1"/>
  <c r="AB256" i="1"/>
  <c r="AP256" i="1" s="1" a="1"/>
  <c r="AP256" i="1" s="1"/>
  <c r="W256" i="1"/>
  <c r="T256" i="1"/>
  <c r="S256" i="1"/>
  <c r="M256" i="1"/>
  <c r="H256" i="1"/>
  <c r="D256" i="1"/>
  <c r="A256" i="1"/>
  <c r="AX255" i="1"/>
  <c r="AX255" i="1" a="1"/>
  <c r="AU255" i="1"/>
  <c r="AT255" i="1"/>
  <c r="AI255" i="1"/>
  <c r="AE255" i="1"/>
  <c r="AB255" i="1"/>
  <c r="AK255" i="1" s="1"/>
  <c r="W255" i="1"/>
  <c r="T255" i="1"/>
  <c r="S255" i="1"/>
  <c r="H255" i="1"/>
  <c r="D255" i="1"/>
  <c r="A255" i="1"/>
  <c r="O255" i="1" s="1" a="1"/>
  <c r="O255" i="1" s="1"/>
  <c r="AX254" i="1" a="1"/>
  <c r="AX254" i="1" s="1"/>
  <c r="AU254" i="1"/>
  <c r="AT254" i="1"/>
  <c r="AI254" i="1"/>
  <c r="AE254" i="1"/>
  <c r="AB254" i="1"/>
  <c r="AK254" i="1" s="1"/>
  <c r="W254" i="1"/>
  <c r="T254" i="1"/>
  <c r="S254" i="1"/>
  <c r="H254" i="1"/>
  <c r="D254" i="1"/>
  <c r="A254" i="1"/>
  <c r="K253" i="1" s="1"/>
  <c r="AX253" i="1" a="1"/>
  <c r="AX253" i="1" s="1"/>
  <c r="AU253" i="1"/>
  <c r="AT253" i="1"/>
  <c r="AI253" i="1"/>
  <c r="AE253" i="1"/>
  <c r="AB253" i="1"/>
  <c r="AK253" i="1" s="1"/>
  <c r="W253" i="1"/>
  <c r="T253" i="1"/>
  <c r="S253" i="1"/>
  <c r="H253" i="1"/>
  <c r="D253" i="1"/>
  <c r="A253" i="1"/>
  <c r="AX252" i="1" a="1"/>
  <c r="AX252" i="1" s="1"/>
  <c r="AU252" i="1"/>
  <c r="AT252" i="1"/>
  <c r="AI252" i="1"/>
  <c r="AE252" i="1"/>
  <c r="AB252" i="1"/>
  <c r="AM251" i="1" s="1"/>
  <c r="W252" i="1"/>
  <c r="T252" i="1"/>
  <c r="S252" i="1"/>
  <c r="J252" i="1"/>
  <c r="H252" i="1"/>
  <c r="D252" i="1"/>
  <c r="A252" i="1"/>
  <c r="AX251" i="1" a="1"/>
  <c r="AX251" i="1" s="1"/>
  <c r="AU251" i="1"/>
  <c r="AT251" i="1"/>
  <c r="AI251" i="1"/>
  <c r="AE251" i="1"/>
  <c r="AB251" i="1"/>
  <c r="W251" i="1"/>
  <c r="T251" i="1"/>
  <c r="S251" i="1"/>
  <c r="H251" i="1"/>
  <c r="D251" i="1"/>
  <c r="A251" i="1"/>
  <c r="K251" i="1" s="1"/>
  <c r="AX250" i="1" a="1"/>
  <c r="AX250" i="1" s="1"/>
  <c r="AU250" i="1"/>
  <c r="AT250" i="1"/>
  <c r="AI250" i="1"/>
  <c r="AE250" i="1"/>
  <c r="AB250" i="1"/>
  <c r="AN250" i="1" s="1"/>
  <c r="W250" i="1"/>
  <c r="T250" i="1"/>
  <c r="S250" i="1"/>
  <c r="H250" i="1"/>
  <c r="D250" i="1"/>
  <c r="A250" i="1"/>
  <c r="J250" i="1" s="1"/>
  <c r="AX249" i="1"/>
  <c r="AX249" i="1" a="1"/>
  <c r="AU249" i="1"/>
  <c r="AT249" i="1"/>
  <c r="AI249" i="1"/>
  <c r="AE249" i="1"/>
  <c r="AB249" i="1"/>
  <c r="W249" i="1"/>
  <c r="T249" i="1"/>
  <c r="S249" i="1"/>
  <c r="H249" i="1"/>
  <c r="D249" i="1"/>
  <c r="A249" i="1"/>
  <c r="M249" i="1" s="1"/>
  <c r="AX248" i="1" a="1"/>
  <c r="AX248" i="1" s="1"/>
  <c r="AU248" i="1"/>
  <c r="AT248" i="1"/>
  <c r="AI248" i="1"/>
  <c r="AE248" i="1"/>
  <c r="AB248" i="1"/>
  <c r="AL248" i="1" s="1"/>
  <c r="W248" i="1"/>
  <c r="T248" i="1"/>
  <c r="S248" i="1"/>
  <c r="J248" i="1"/>
  <c r="H248" i="1"/>
  <c r="D248" i="1"/>
  <c r="A248" i="1"/>
  <c r="AX247" i="1" a="1"/>
  <c r="AX247" i="1" s="1"/>
  <c r="AU247" i="1"/>
  <c r="AT247" i="1"/>
  <c r="AI247" i="1"/>
  <c r="AE247" i="1"/>
  <c r="AB247" i="1"/>
  <c r="AK247" i="1" s="1"/>
  <c r="W247" i="1"/>
  <c r="T247" i="1"/>
  <c r="S247" i="1"/>
  <c r="H247" i="1"/>
  <c r="D247" i="1"/>
  <c r="A247" i="1"/>
  <c r="K247" i="1" s="1"/>
  <c r="AX246" i="1" a="1"/>
  <c r="AX246" i="1" s="1"/>
  <c r="AU246" i="1"/>
  <c r="AT246" i="1"/>
  <c r="AI246" i="1"/>
  <c r="AE246" i="1"/>
  <c r="AB246" i="1"/>
  <c r="W246" i="1"/>
  <c r="T246" i="1"/>
  <c r="S246" i="1"/>
  <c r="H246" i="1"/>
  <c r="D246" i="1"/>
  <c r="A246" i="1"/>
  <c r="P246" i="1" s="1"/>
  <c r="AX245" i="1" a="1"/>
  <c r="AX245" i="1" s="1"/>
  <c r="AU245" i="1"/>
  <c r="AT245" i="1"/>
  <c r="AI245" i="1"/>
  <c r="AE245" i="1"/>
  <c r="AB245" i="1"/>
  <c r="AK245" i="1" s="1"/>
  <c r="W245" i="1"/>
  <c r="T245" i="1"/>
  <c r="S245" i="1"/>
  <c r="H245" i="1"/>
  <c r="D245" i="1"/>
  <c r="A245" i="1"/>
  <c r="P245" i="1" s="1"/>
  <c r="AX244" i="1" a="1"/>
  <c r="AX244" i="1" s="1"/>
  <c r="AU244" i="1"/>
  <c r="AT244" i="1"/>
  <c r="AI244" i="1"/>
  <c r="AE244" i="1"/>
  <c r="AB244" i="1"/>
  <c r="AO243" i="1" s="1" a="1"/>
  <c r="AO243" i="1" s="1"/>
  <c r="W244" i="1"/>
  <c r="T244" i="1"/>
  <c r="S244" i="1"/>
  <c r="O244" i="1" a="1"/>
  <c r="O244" i="1" s="1"/>
  <c r="N244" i="1" a="1"/>
  <c r="N244" i="1" s="1"/>
  <c r="H244" i="1"/>
  <c r="D244" i="1"/>
  <c r="A244" i="1"/>
  <c r="J244" i="1" s="1"/>
  <c r="AX243" i="1" a="1"/>
  <c r="AX243" i="1" s="1"/>
  <c r="AU243" i="1"/>
  <c r="AT243" i="1"/>
  <c r="AI243" i="1"/>
  <c r="AE243" i="1"/>
  <c r="AB243" i="1"/>
  <c r="AK243" i="1" s="1"/>
  <c r="W243" i="1"/>
  <c r="T243" i="1"/>
  <c r="S243" i="1"/>
  <c r="H243" i="1"/>
  <c r="D243" i="1"/>
  <c r="A243" i="1"/>
  <c r="L243" i="1" s="1"/>
  <c r="AX242" i="1" a="1"/>
  <c r="AX242" i="1" s="1"/>
  <c r="AU242" i="1"/>
  <c r="AT242" i="1"/>
  <c r="AI242" i="1"/>
  <c r="AE242" i="1"/>
  <c r="AB242" i="1"/>
  <c r="W242" i="1"/>
  <c r="T242" i="1"/>
  <c r="S242" i="1"/>
  <c r="H242" i="1"/>
  <c r="D242" i="1"/>
  <c r="A242" i="1"/>
  <c r="J242" i="1" s="1"/>
  <c r="AX241" i="1" a="1"/>
  <c r="AX241" i="1" s="1"/>
  <c r="AU241" i="1"/>
  <c r="AT241" i="1"/>
  <c r="AI241" i="1"/>
  <c r="AE241" i="1"/>
  <c r="AB241" i="1"/>
  <c r="AK241" i="1" s="1"/>
  <c r="W241" i="1"/>
  <c r="T241" i="1"/>
  <c r="S241" i="1"/>
  <c r="H241" i="1"/>
  <c r="D241" i="1"/>
  <c r="A241" i="1"/>
  <c r="AX240" i="1" a="1"/>
  <c r="AX240" i="1" s="1"/>
  <c r="AU240" i="1"/>
  <c r="AT240" i="1"/>
  <c r="AI240" i="1"/>
  <c r="AE240" i="1"/>
  <c r="AB240" i="1"/>
  <c r="AL240" i="1" s="1"/>
  <c r="W240" i="1"/>
  <c r="T240" i="1"/>
  <c r="S240" i="1"/>
  <c r="H240" i="1"/>
  <c r="D240" i="1"/>
  <c r="A240" i="1"/>
  <c r="K239" i="1" s="1"/>
  <c r="AX239" i="1" a="1"/>
  <c r="AX239" i="1" s="1"/>
  <c r="AU239" i="1"/>
  <c r="AT239" i="1"/>
  <c r="AI239" i="1"/>
  <c r="AE239" i="1"/>
  <c r="AB239" i="1"/>
  <c r="AK239" i="1" s="1"/>
  <c r="W239" i="1"/>
  <c r="T239" i="1"/>
  <c r="S239" i="1"/>
  <c r="H239" i="1"/>
  <c r="D239" i="1"/>
  <c r="A239" i="1"/>
  <c r="AX238" i="1" a="1"/>
  <c r="AX238" i="1" s="1"/>
  <c r="AU238" i="1"/>
  <c r="AT238" i="1"/>
  <c r="AI238" i="1"/>
  <c r="AE238" i="1"/>
  <c r="AB238" i="1"/>
  <c r="AK238" i="1" s="1"/>
  <c r="W238" i="1"/>
  <c r="T238" i="1"/>
  <c r="S238" i="1"/>
  <c r="H238" i="1"/>
  <c r="D238" i="1"/>
  <c r="A238" i="1"/>
  <c r="K238" i="1" s="1"/>
  <c r="AX237" i="1" a="1"/>
  <c r="AX237" i="1" s="1"/>
  <c r="AU237" i="1"/>
  <c r="AT237" i="1"/>
  <c r="AI237" i="1"/>
  <c r="AE237" i="1"/>
  <c r="AB237" i="1"/>
  <c r="AK237" i="1" s="1"/>
  <c r="W237" i="1"/>
  <c r="T237" i="1"/>
  <c r="S237" i="1"/>
  <c r="H237" i="1"/>
  <c r="D237" i="1"/>
  <c r="A237" i="1"/>
  <c r="AX236" i="1" a="1"/>
  <c r="AX236" i="1" s="1"/>
  <c r="AU236" i="1"/>
  <c r="AT236" i="1"/>
  <c r="AI236" i="1"/>
  <c r="AE236" i="1"/>
  <c r="AB236" i="1"/>
  <c r="AL235" i="1" s="1"/>
  <c r="W236" i="1"/>
  <c r="T236" i="1"/>
  <c r="S236" i="1"/>
  <c r="H236" i="1"/>
  <c r="D236" i="1"/>
  <c r="A236" i="1"/>
  <c r="J236" i="1" s="1"/>
  <c r="AX235" i="1" a="1"/>
  <c r="AX235" i="1" s="1"/>
  <c r="AU235" i="1"/>
  <c r="AT235" i="1"/>
  <c r="AI235" i="1"/>
  <c r="AE235" i="1"/>
  <c r="AB235" i="1"/>
  <c r="W235" i="1"/>
  <c r="T235" i="1"/>
  <c r="S235" i="1"/>
  <c r="H235" i="1"/>
  <c r="D235" i="1"/>
  <c r="A235" i="1"/>
  <c r="K235" i="1" s="1"/>
  <c r="AX234" i="1" a="1"/>
  <c r="AX234" i="1" s="1"/>
  <c r="AU234" i="1"/>
  <c r="AT234" i="1"/>
  <c r="AI234" i="1"/>
  <c r="AE234" i="1"/>
  <c r="AB234" i="1"/>
  <c r="W234" i="1"/>
  <c r="T234" i="1"/>
  <c r="S234" i="1"/>
  <c r="H234" i="1"/>
  <c r="D234" i="1"/>
  <c r="A234" i="1"/>
  <c r="AX233" i="1" a="1"/>
  <c r="AX233" i="1" s="1"/>
  <c r="AU233" i="1"/>
  <c r="AT233" i="1"/>
  <c r="AK233" i="1"/>
  <c r="AI233" i="1"/>
  <c r="AE233" i="1"/>
  <c r="AB233" i="1"/>
  <c r="AP232" i="1" s="1" a="1"/>
  <c r="AP232" i="1" s="1"/>
  <c r="W233" i="1"/>
  <c r="T233" i="1"/>
  <c r="S233" i="1"/>
  <c r="H233" i="1"/>
  <c r="D233" i="1"/>
  <c r="A233" i="1"/>
  <c r="AX232" i="1" a="1"/>
  <c r="AX232" i="1" s="1"/>
  <c r="AU232" i="1"/>
  <c r="AT232" i="1"/>
  <c r="AI232" i="1"/>
  <c r="AE232" i="1"/>
  <c r="AB232" i="1"/>
  <c r="AN232" i="1" s="1"/>
  <c r="W232" i="1"/>
  <c r="T232" i="1"/>
  <c r="S232" i="1"/>
  <c r="N232" i="1" a="1"/>
  <c r="N232" i="1" s="1"/>
  <c r="H232" i="1"/>
  <c r="D232" i="1"/>
  <c r="A232" i="1"/>
  <c r="P232" i="1" s="1"/>
  <c r="AX231" i="1" a="1"/>
  <c r="AX231" i="1" s="1"/>
  <c r="AU231" i="1"/>
  <c r="AT231" i="1"/>
  <c r="AI231" i="1"/>
  <c r="AE231" i="1"/>
  <c r="AB231" i="1"/>
  <c r="AQ231" i="1" s="1"/>
  <c r="W231" i="1"/>
  <c r="T231" i="1"/>
  <c r="S231" i="1"/>
  <c r="H231" i="1"/>
  <c r="D231" i="1"/>
  <c r="A231" i="1"/>
  <c r="AX230" i="1" a="1"/>
  <c r="AX230" i="1" s="1"/>
  <c r="AU230" i="1"/>
  <c r="AT230" i="1"/>
  <c r="AI230" i="1"/>
  <c r="AE230" i="1"/>
  <c r="AB230" i="1"/>
  <c r="AL229" i="1" s="1"/>
  <c r="W230" i="1"/>
  <c r="T230" i="1"/>
  <c r="S230" i="1"/>
  <c r="H230" i="1"/>
  <c r="D230" i="1"/>
  <c r="A230" i="1"/>
  <c r="AX229" i="1" a="1"/>
  <c r="AX229" i="1" s="1"/>
  <c r="AU229" i="1"/>
  <c r="AT229" i="1"/>
  <c r="AI229" i="1"/>
  <c r="AE229" i="1"/>
  <c r="AB229" i="1"/>
  <c r="AK229" i="1" s="1"/>
  <c r="W229" i="1"/>
  <c r="T229" i="1"/>
  <c r="S229" i="1"/>
  <c r="H229" i="1"/>
  <c r="D229" i="1"/>
  <c r="A229" i="1"/>
  <c r="J229" i="1" s="1"/>
  <c r="AX228" i="1" a="1"/>
  <c r="AX228" i="1" s="1"/>
  <c r="AU228" i="1"/>
  <c r="AT228" i="1"/>
  <c r="AI228" i="1"/>
  <c r="AE228" i="1"/>
  <c r="AB228" i="1"/>
  <c r="AM228" i="1" s="1"/>
  <c r="W228" i="1"/>
  <c r="T228" i="1"/>
  <c r="S228" i="1"/>
  <c r="M228" i="1"/>
  <c r="H228" i="1"/>
  <c r="D228" i="1"/>
  <c r="A228" i="1"/>
  <c r="P228" i="1" s="1"/>
  <c r="AX227" i="1" a="1"/>
  <c r="AX227" i="1" s="1"/>
  <c r="AU227" i="1"/>
  <c r="AT227" i="1"/>
  <c r="AI227" i="1"/>
  <c r="AE227" i="1"/>
  <c r="AB227" i="1"/>
  <c r="AK227" i="1" s="1"/>
  <c r="W227" i="1"/>
  <c r="T227" i="1"/>
  <c r="S227" i="1"/>
  <c r="H227" i="1"/>
  <c r="D227" i="1"/>
  <c r="A227" i="1"/>
  <c r="L227" i="1" s="1"/>
  <c r="AX226" i="1" a="1"/>
  <c r="AX226" i="1" s="1"/>
  <c r="AU226" i="1"/>
  <c r="AT226" i="1"/>
  <c r="AI226" i="1"/>
  <c r="AE226" i="1"/>
  <c r="AB226" i="1"/>
  <c r="AK226" i="1" s="1"/>
  <c r="W226" i="1"/>
  <c r="T226" i="1"/>
  <c r="S226" i="1"/>
  <c r="H226" i="1"/>
  <c r="D226" i="1"/>
  <c r="A226" i="1"/>
  <c r="J226" i="1" s="1"/>
  <c r="AX225" i="1" a="1"/>
  <c r="AX225" i="1" s="1"/>
  <c r="AU225" i="1"/>
  <c r="AT225" i="1"/>
  <c r="AI225" i="1"/>
  <c r="AE225" i="1"/>
  <c r="AB225" i="1"/>
  <c r="AK225" i="1" s="1"/>
  <c r="W225" i="1"/>
  <c r="T225" i="1"/>
  <c r="S225" i="1"/>
  <c r="H225" i="1"/>
  <c r="D225" i="1"/>
  <c r="A225" i="1"/>
  <c r="J225" i="1" s="1"/>
  <c r="AX224" i="1" a="1"/>
  <c r="AX224" i="1" s="1"/>
  <c r="AU224" i="1"/>
  <c r="AT224" i="1"/>
  <c r="AI224" i="1"/>
  <c r="AE224" i="1"/>
  <c r="AB224" i="1"/>
  <c r="AL224" i="1" s="1"/>
  <c r="W224" i="1"/>
  <c r="T224" i="1"/>
  <c r="S224" i="1"/>
  <c r="H224" i="1"/>
  <c r="D224" i="1"/>
  <c r="A224" i="1"/>
  <c r="P224" i="1" s="1"/>
  <c r="AX223" i="1" a="1"/>
  <c r="AX223" i="1" s="1"/>
  <c r="AU223" i="1"/>
  <c r="AT223" i="1"/>
  <c r="AI223" i="1"/>
  <c r="AE223" i="1"/>
  <c r="AB223" i="1"/>
  <c r="W223" i="1"/>
  <c r="T223" i="1"/>
  <c r="S223" i="1"/>
  <c r="H223" i="1"/>
  <c r="D223" i="1"/>
  <c r="A223" i="1"/>
  <c r="AX222" i="1" a="1"/>
  <c r="AX222" i="1" s="1"/>
  <c r="AU222" i="1"/>
  <c r="AT222" i="1"/>
  <c r="AI222" i="1"/>
  <c r="AE222" i="1"/>
  <c r="AB222" i="1"/>
  <c r="W222" i="1"/>
  <c r="T222" i="1"/>
  <c r="S222" i="1"/>
  <c r="O222" i="1" a="1"/>
  <c r="O222" i="1" s="1"/>
  <c r="H222" i="1"/>
  <c r="D222" i="1"/>
  <c r="A222" i="1"/>
  <c r="J222" i="1" s="1"/>
  <c r="AX221" i="1" a="1"/>
  <c r="AX221" i="1" s="1"/>
  <c r="AU221" i="1"/>
  <c r="AT221" i="1"/>
  <c r="AI221" i="1"/>
  <c r="AE221" i="1"/>
  <c r="AB221" i="1"/>
  <c r="AK221" i="1" s="1"/>
  <c r="W221" i="1"/>
  <c r="T221" i="1"/>
  <c r="S221" i="1"/>
  <c r="H221" i="1"/>
  <c r="D221" i="1"/>
  <c r="A221" i="1"/>
  <c r="J221" i="1" s="1"/>
  <c r="AX220" i="1" a="1"/>
  <c r="AX220" i="1" s="1"/>
  <c r="AU220" i="1"/>
  <c r="AT220" i="1"/>
  <c r="AL220" i="1"/>
  <c r="AI220" i="1"/>
  <c r="AE220" i="1"/>
  <c r="AB220" i="1"/>
  <c r="W220" i="1"/>
  <c r="T220" i="1"/>
  <c r="S220" i="1"/>
  <c r="N220" i="1" a="1"/>
  <c r="N220" i="1" s="1"/>
  <c r="H220" i="1"/>
  <c r="D220" i="1"/>
  <c r="A220" i="1"/>
  <c r="J220" i="1" s="1"/>
  <c r="AX219" i="1" a="1"/>
  <c r="AX219" i="1" s="1"/>
  <c r="AU219" i="1"/>
  <c r="AT219" i="1"/>
  <c r="AI219" i="1"/>
  <c r="AE219" i="1"/>
  <c r="AB219" i="1"/>
  <c r="AM219" i="1" s="1"/>
  <c r="W219" i="1"/>
  <c r="T219" i="1"/>
  <c r="S219" i="1"/>
  <c r="H219" i="1"/>
  <c r="D219" i="1"/>
  <c r="A219" i="1"/>
  <c r="L219" i="1" s="1"/>
  <c r="AX218" i="1" a="1"/>
  <c r="AX218" i="1" s="1"/>
  <c r="AU218" i="1"/>
  <c r="AT218" i="1"/>
  <c r="AI218" i="1"/>
  <c r="AE218" i="1"/>
  <c r="AB218" i="1"/>
  <c r="W218" i="1"/>
  <c r="T218" i="1"/>
  <c r="S218" i="1"/>
  <c r="J218" i="1"/>
  <c r="H218" i="1"/>
  <c r="D218" i="1"/>
  <c r="A218" i="1"/>
  <c r="AX217" i="1" a="1"/>
  <c r="AX217" i="1" s="1"/>
  <c r="AU217" i="1"/>
  <c r="AT217" i="1"/>
  <c r="AK217" i="1"/>
  <c r="AI217" i="1"/>
  <c r="AE217" i="1"/>
  <c r="AB217" i="1"/>
  <c r="W217" i="1"/>
  <c r="T217" i="1"/>
  <c r="S217" i="1"/>
  <c r="H217" i="1"/>
  <c r="D217" i="1"/>
  <c r="A217" i="1"/>
  <c r="P217" i="1" s="1"/>
  <c r="AX216" i="1" a="1"/>
  <c r="AX216" i="1" s="1"/>
  <c r="AU216" i="1"/>
  <c r="AT216" i="1"/>
  <c r="AP216" i="1" a="1"/>
  <c r="AP216" i="1" s="1"/>
  <c r="AI216" i="1"/>
  <c r="AE216" i="1"/>
  <c r="AB216" i="1"/>
  <c r="AL216" i="1" s="1"/>
  <c r="W216" i="1"/>
  <c r="T216" i="1"/>
  <c r="S216" i="1"/>
  <c r="H216" i="1"/>
  <c r="D216" i="1"/>
  <c r="A216" i="1"/>
  <c r="AX215" i="1" a="1"/>
  <c r="AX215" i="1" s="1"/>
  <c r="AU215" i="1"/>
  <c r="AT215" i="1"/>
  <c r="AI215" i="1"/>
  <c r="AE215" i="1"/>
  <c r="AB215" i="1"/>
  <c r="AK215" i="1" s="1"/>
  <c r="W215" i="1"/>
  <c r="T215" i="1"/>
  <c r="S215" i="1"/>
  <c r="H215" i="1"/>
  <c r="D215" i="1"/>
  <c r="A215" i="1"/>
  <c r="AX214" i="1" a="1"/>
  <c r="AX214" i="1" s="1"/>
  <c r="AU214" i="1"/>
  <c r="AT214" i="1"/>
  <c r="AI214" i="1"/>
  <c r="AE214" i="1"/>
  <c r="AB214" i="1"/>
  <c r="W214" i="1"/>
  <c r="T214" i="1"/>
  <c r="S214" i="1"/>
  <c r="H214" i="1"/>
  <c r="D214" i="1"/>
  <c r="A214" i="1"/>
  <c r="L214" i="1" s="1"/>
  <c r="AX213" i="1" a="1"/>
  <c r="AX213" i="1" s="1"/>
  <c r="AU213" i="1"/>
  <c r="AT213" i="1"/>
  <c r="AI213" i="1"/>
  <c r="AE213" i="1"/>
  <c r="AB213" i="1"/>
  <c r="AM212" i="1" s="1"/>
  <c r="W213" i="1"/>
  <c r="T213" i="1"/>
  <c r="S213" i="1"/>
  <c r="H213" i="1"/>
  <c r="D213" i="1"/>
  <c r="A213" i="1"/>
  <c r="J213" i="1" s="1"/>
  <c r="AX212" i="1" a="1"/>
  <c r="AX212" i="1" s="1"/>
  <c r="AU212" i="1"/>
  <c r="AT212" i="1"/>
  <c r="AI212" i="1"/>
  <c r="AE212" i="1"/>
  <c r="AB212" i="1"/>
  <c r="W212" i="1"/>
  <c r="T212" i="1"/>
  <c r="S212" i="1"/>
  <c r="H212" i="1"/>
  <c r="D212" i="1"/>
  <c r="A212" i="1"/>
  <c r="P212" i="1" s="1"/>
  <c r="AX211" i="1" a="1"/>
  <c r="AX211" i="1" s="1"/>
  <c r="AU211" i="1"/>
  <c r="AT211" i="1"/>
  <c r="AK211" i="1"/>
  <c r="AI211" i="1"/>
  <c r="AE211" i="1"/>
  <c r="AB211" i="1"/>
  <c r="AP211" i="1" s="1" a="1"/>
  <c r="AP211" i="1" s="1"/>
  <c r="W211" i="1"/>
  <c r="T211" i="1"/>
  <c r="S211" i="1"/>
  <c r="H211" i="1"/>
  <c r="D211" i="1"/>
  <c r="A211" i="1"/>
  <c r="AX210" i="1" a="1"/>
  <c r="AX210" i="1" s="1"/>
  <c r="AU210" i="1"/>
  <c r="AT210" i="1"/>
  <c r="AI210" i="1"/>
  <c r="AE210" i="1"/>
  <c r="AB210" i="1"/>
  <c r="AO209" i="1" s="1" a="1"/>
  <c r="AO209" i="1" s="1"/>
  <c r="W210" i="1"/>
  <c r="T210" i="1"/>
  <c r="S210" i="1"/>
  <c r="N210" i="1" a="1"/>
  <c r="N210" i="1" s="1"/>
  <c r="H210" i="1"/>
  <c r="D210" i="1"/>
  <c r="A210" i="1"/>
  <c r="J210" i="1" s="1"/>
  <c r="AX209" i="1" a="1"/>
  <c r="AX209" i="1" s="1"/>
  <c r="AU209" i="1"/>
  <c r="AT209" i="1"/>
  <c r="AI209" i="1"/>
  <c r="AE209" i="1"/>
  <c r="AB209" i="1"/>
  <c r="AK209" i="1" s="1"/>
  <c r="W209" i="1"/>
  <c r="T209" i="1"/>
  <c r="S209" i="1"/>
  <c r="H209" i="1"/>
  <c r="D209" i="1"/>
  <c r="A209" i="1"/>
  <c r="J209" i="1" s="1"/>
  <c r="AX208" i="1" a="1"/>
  <c r="AX208" i="1" s="1"/>
  <c r="AU208" i="1"/>
  <c r="AT208" i="1"/>
  <c r="AL208" i="1"/>
  <c r="AI208" i="1"/>
  <c r="AE208" i="1"/>
  <c r="AB208" i="1"/>
  <c r="AN208" i="1" s="1"/>
  <c r="W208" i="1"/>
  <c r="T208" i="1"/>
  <c r="S208" i="1"/>
  <c r="H208" i="1"/>
  <c r="D208" i="1"/>
  <c r="A208" i="1"/>
  <c r="K207" i="1" s="1"/>
  <c r="AX207" i="1" a="1"/>
  <c r="AX207" i="1" s="1"/>
  <c r="AU207" i="1"/>
  <c r="AT207" i="1"/>
  <c r="AK207" i="1"/>
  <c r="AI207" i="1"/>
  <c r="AE207" i="1"/>
  <c r="AB207" i="1"/>
  <c r="W207" i="1"/>
  <c r="T207" i="1"/>
  <c r="S207" i="1"/>
  <c r="H207" i="1"/>
  <c r="D207" i="1"/>
  <c r="A207" i="1"/>
  <c r="AX206" i="1" a="1"/>
  <c r="AX206" i="1" s="1"/>
  <c r="AU206" i="1"/>
  <c r="AT206" i="1"/>
  <c r="AI206" i="1"/>
  <c r="AE206" i="1"/>
  <c r="AB206" i="1"/>
  <c r="AN205" i="1" s="1"/>
  <c r="W206" i="1"/>
  <c r="T206" i="1"/>
  <c r="S206" i="1"/>
  <c r="J206" i="1"/>
  <c r="H206" i="1"/>
  <c r="D206" i="1"/>
  <c r="A206" i="1"/>
  <c r="AX205" i="1" a="1"/>
  <c r="AX205" i="1" s="1"/>
  <c r="AU205" i="1"/>
  <c r="AT205" i="1"/>
  <c r="AP205" i="1" a="1"/>
  <c r="AP205" i="1" s="1"/>
  <c r="AI205" i="1"/>
  <c r="AE205" i="1"/>
  <c r="AB205" i="1"/>
  <c r="AK205" i="1" s="1"/>
  <c r="W205" i="1"/>
  <c r="T205" i="1"/>
  <c r="S205" i="1"/>
  <c r="H205" i="1"/>
  <c r="D205" i="1"/>
  <c r="A205" i="1"/>
  <c r="J205" i="1" s="1"/>
  <c r="AX204" i="1" a="1"/>
  <c r="AX204" i="1" s="1"/>
  <c r="AU204" i="1"/>
  <c r="AT204" i="1"/>
  <c r="AI204" i="1"/>
  <c r="AE204" i="1"/>
  <c r="AB204" i="1"/>
  <c r="AM204" i="1" s="1"/>
  <c r="W204" i="1"/>
  <c r="T204" i="1"/>
  <c r="S204" i="1"/>
  <c r="H204" i="1"/>
  <c r="D204" i="1"/>
  <c r="A204" i="1"/>
  <c r="J204" i="1" s="1"/>
  <c r="AX203" i="1" a="1"/>
  <c r="AX203" i="1" s="1"/>
  <c r="AU203" i="1"/>
  <c r="AT203" i="1"/>
  <c r="AI203" i="1"/>
  <c r="AE203" i="1"/>
  <c r="AB203" i="1"/>
  <c r="W203" i="1"/>
  <c r="T203" i="1"/>
  <c r="S203" i="1"/>
  <c r="H203" i="1"/>
  <c r="D203" i="1"/>
  <c r="A203" i="1"/>
  <c r="O203" i="1" s="1" a="1"/>
  <c r="O203" i="1" s="1"/>
  <c r="AX202" i="1" a="1"/>
  <c r="AX202" i="1" s="1"/>
  <c r="AU202" i="1"/>
  <c r="AT202" i="1"/>
  <c r="AQ202" i="1"/>
  <c r="AI202" i="1"/>
  <c r="AE202" i="1"/>
  <c r="AB202" i="1"/>
  <c r="AM201" i="1" s="1"/>
  <c r="W202" i="1"/>
  <c r="T202" i="1"/>
  <c r="S202" i="1"/>
  <c r="H202" i="1"/>
  <c r="D202" i="1"/>
  <c r="A202" i="1"/>
  <c r="K201" i="1" s="1"/>
  <c r="AX201" i="1" a="1"/>
  <c r="AX201" i="1" s="1"/>
  <c r="AU201" i="1"/>
  <c r="AT201" i="1"/>
  <c r="AK201" i="1"/>
  <c r="AI201" i="1"/>
  <c r="AE201" i="1"/>
  <c r="AB201" i="1"/>
  <c r="W201" i="1"/>
  <c r="T201" i="1"/>
  <c r="S201" i="1"/>
  <c r="H201" i="1"/>
  <c r="D201" i="1"/>
  <c r="A201" i="1"/>
  <c r="P201" i="1" s="1"/>
  <c r="AX200" i="1" a="1"/>
  <c r="AX200" i="1" s="1"/>
  <c r="AU200" i="1"/>
  <c r="AT200" i="1"/>
  <c r="AI200" i="1"/>
  <c r="AE200" i="1"/>
  <c r="AB200" i="1"/>
  <c r="W200" i="1"/>
  <c r="T200" i="1"/>
  <c r="S200" i="1"/>
  <c r="N200" i="1" a="1"/>
  <c r="N200" i="1" s="1"/>
  <c r="H200" i="1"/>
  <c r="D200" i="1"/>
  <c r="A200" i="1"/>
  <c r="J200" i="1" s="1"/>
  <c r="AX199" i="1" a="1"/>
  <c r="AX199" i="1" s="1"/>
  <c r="AU199" i="1"/>
  <c r="AT199" i="1"/>
  <c r="AK199" i="1"/>
  <c r="AI199" i="1"/>
  <c r="AE199" i="1"/>
  <c r="AB199" i="1"/>
  <c r="W199" i="1"/>
  <c r="T199" i="1"/>
  <c r="S199" i="1"/>
  <c r="H199" i="1"/>
  <c r="D199" i="1"/>
  <c r="A199" i="1"/>
  <c r="AX198" i="1" a="1"/>
  <c r="AX198" i="1" s="1"/>
  <c r="AU198" i="1"/>
  <c r="AT198" i="1"/>
  <c r="AI198" i="1"/>
  <c r="AE198" i="1"/>
  <c r="AB198" i="1"/>
  <c r="AL197" i="1" s="1"/>
  <c r="W198" i="1"/>
  <c r="T198" i="1"/>
  <c r="S198" i="1"/>
  <c r="H198" i="1"/>
  <c r="D198" i="1"/>
  <c r="A198" i="1"/>
  <c r="AX197" i="1" a="1"/>
  <c r="AX197" i="1" s="1"/>
  <c r="AU197" i="1"/>
  <c r="AT197" i="1"/>
  <c r="AP197" i="1" a="1"/>
  <c r="AP197" i="1" s="1"/>
  <c r="AO197" i="1" a="1"/>
  <c r="AO197" i="1" s="1"/>
  <c r="AK197" i="1"/>
  <c r="AI197" i="1"/>
  <c r="AE197" i="1"/>
  <c r="AB197" i="1"/>
  <c r="W197" i="1"/>
  <c r="T197" i="1"/>
  <c r="S197" i="1"/>
  <c r="H197" i="1"/>
  <c r="D197" i="1"/>
  <c r="A197" i="1"/>
  <c r="J197" i="1" s="1"/>
  <c r="AX196" i="1" a="1"/>
  <c r="AX196" i="1" s="1"/>
  <c r="AU196" i="1"/>
  <c r="AT196" i="1"/>
  <c r="AI196" i="1"/>
  <c r="AE196" i="1"/>
  <c r="AB196" i="1"/>
  <c r="AN196" i="1" s="1"/>
  <c r="W196" i="1"/>
  <c r="T196" i="1"/>
  <c r="S196" i="1"/>
  <c r="H196" i="1"/>
  <c r="D196" i="1"/>
  <c r="A196" i="1"/>
  <c r="AX195" i="1" a="1"/>
  <c r="AX195" i="1" s="1"/>
  <c r="AU195" i="1"/>
  <c r="AT195" i="1"/>
  <c r="AI195" i="1"/>
  <c r="AE195" i="1"/>
  <c r="AB195" i="1"/>
  <c r="W195" i="1"/>
  <c r="T195" i="1"/>
  <c r="S195" i="1"/>
  <c r="H195" i="1"/>
  <c r="D195" i="1"/>
  <c r="A195" i="1"/>
  <c r="AX194" i="1" a="1"/>
  <c r="AX194" i="1" s="1"/>
  <c r="AU194" i="1"/>
  <c r="AT194" i="1"/>
  <c r="AI194" i="1"/>
  <c r="AE194" i="1"/>
  <c r="AB194" i="1"/>
  <c r="AL194" i="1" s="1"/>
  <c r="W194" i="1"/>
  <c r="T194" i="1"/>
  <c r="S194" i="1"/>
  <c r="H194" i="1"/>
  <c r="D194" i="1"/>
  <c r="A194" i="1"/>
  <c r="N194" i="1" s="1" a="1"/>
  <c r="N194" i="1" s="1"/>
  <c r="AX193" i="1" a="1"/>
  <c r="AX193" i="1" s="1"/>
  <c r="AU193" i="1"/>
  <c r="AT193" i="1"/>
  <c r="AI193" i="1"/>
  <c r="AE193" i="1"/>
  <c r="AB193" i="1"/>
  <c r="AN192" i="1" s="1"/>
  <c r="W193" i="1"/>
  <c r="T193" i="1"/>
  <c r="S193" i="1"/>
  <c r="H193" i="1"/>
  <c r="D193" i="1"/>
  <c r="A193" i="1"/>
  <c r="AX192" i="1" a="1"/>
  <c r="AX192" i="1" s="1"/>
  <c r="AU192" i="1"/>
  <c r="AT192" i="1"/>
  <c r="AI192" i="1"/>
  <c r="AE192" i="1"/>
  <c r="AB192" i="1"/>
  <c r="W192" i="1"/>
  <c r="T192" i="1"/>
  <c r="S192" i="1"/>
  <c r="H192" i="1"/>
  <c r="D192" i="1"/>
  <c r="A192" i="1"/>
  <c r="AX191" i="1" a="1"/>
  <c r="AX191" i="1" s="1"/>
  <c r="AU191" i="1"/>
  <c r="AT191" i="1"/>
  <c r="AI191" i="1"/>
  <c r="AE191" i="1"/>
  <c r="AB191" i="1"/>
  <c r="W191" i="1"/>
  <c r="T191" i="1"/>
  <c r="S191" i="1"/>
  <c r="H191" i="1"/>
  <c r="D191" i="1"/>
  <c r="A191" i="1"/>
  <c r="AX190" i="1" a="1"/>
  <c r="AX190" i="1" s="1"/>
  <c r="AU190" i="1"/>
  <c r="AT190" i="1"/>
  <c r="AI190" i="1"/>
  <c r="AE190" i="1"/>
  <c r="AB190" i="1"/>
  <c r="W190" i="1"/>
  <c r="T190" i="1"/>
  <c r="S190" i="1"/>
  <c r="H190" i="1"/>
  <c r="D190" i="1"/>
  <c r="A190" i="1"/>
  <c r="AX189" i="1" a="1"/>
  <c r="AX189" i="1" s="1"/>
  <c r="AU189" i="1"/>
  <c r="AT189" i="1"/>
  <c r="AK189" i="1"/>
  <c r="AI189" i="1"/>
  <c r="AE189" i="1"/>
  <c r="AB189" i="1"/>
  <c r="W189" i="1"/>
  <c r="T189" i="1"/>
  <c r="S189" i="1"/>
  <c r="H189" i="1"/>
  <c r="D189" i="1"/>
  <c r="A189" i="1"/>
  <c r="AX188" i="1" a="1"/>
  <c r="AX188" i="1" s="1"/>
  <c r="AU188" i="1"/>
  <c r="AT188" i="1"/>
  <c r="AL188" i="1"/>
  <c r="AI188" i="1"/>
  <c r="AE188" i="1"/>
  <c r="AB188" i="1"/>
  <c r="W188" i="1"/>
  <c r="T188" i="1"/>
  <c r="S188" i="1"/>
  <c r="J188" i="1"/>
  <c r="H188" i="1"/>
  <c r="D188" i="1"/>
  <c r="A188" i="1"/>
  <c r="AX187" i="1" a="1"/>
  <c r="AX187" i="1" s="1"/>
  <c r="AU187" i="1"/>
  <c r="AT187" i="1"/>
  <c r="AI187" i="1"/>
  <c r="AE187" i="1"/>
  <c r="AB187" i="1"/>
  <c r="W187" i="1"/>
  <c r="T187" i="1"/>
  <c r="S187" i="1"/>
  <c r="H187" i="1"/>
  <c r="D187" i="1"/>
  <c r="A187" i="1"/>
  <c r="K187" i="1" s="1"/>
  <c r="AX186" i="1" a="1"/>
  <c r="AX186" i="1" s="1"/>
  <c r="AU186" i="1"/>
  <c r="AT186" i="1"/>
  <c r="AI186" i="1"/>
  <c r="AE186" i="1"/>
  <c r="AB186" i="1"/>
  <c r="W186" i="1"/>
  <c r="T186" i="1"/>
  <c r="S186" i="1"/>
  <c r="J186" i="1"/>
  <c r="H186" i="1"/>
  <c r="D186" i="1"/>
  <c r="A186" i="1"/>
  <c r="M185" i="1" s="1"/>
  <c r="AX185" i="1" a="1"/>
  <c r="AX185" i="1" s="1"/>
  <c r="AU185" i="1"/>
  <c r="AT185" i="1"/>
  <c r="AP185" i="1" a="1"/>
  <c r="AP185" i="1" s="1"/>
  <c r="AI185" i="1"/>
  <c r="AE185" i="1"/>
  <c r="AB185" i="1"/>
  <c r="W185" i="1"/>
  <c r="T185" i="1"/>
  <c r="S185" i="1"/>
  <c r="H185" i="1"/>
  <c r="D185" i="1"/>
  <c r="A185" i="1"/>
  <c r="AX184" i="1" a="1"/>
  <c r="AX184" i="1" s="1"/>
  <c r="AU184" i="1"/>
  <c r="AT184" i="1"/>
  <c r="AI184" i="1"/>
  <c r="AE184" i="1"/>
  <c r="AB184" i="1"/>
  <c r="W184" i="1"/>
  <c r="T184" i="1"/>
  <c r="S184" i="1"/>
  <c r="J184" i="1"/>
  <c r="H184" i="1"/>
  <c r="D184" i="1"/>
  <c r="A184" i="1"/>
  <c r="AX183" i="1" a="1"/>
  <c r="AX183" i="1" s="1"/>
  <c r="AU183" i="1"/>
  <c r="AT183" i="1"/>
  <c r="AK183" i="1"/>
  <c r="AI183" i="1"/>
  <c r="AE183" i="1"/>
  <c r="AB183" i="1"/>
  <c r="W183" i="1"/>
  <c r="T183" i="1"/>
  <c r="S183" i="1"/>
  <c r="H183" i="1"/>
  <c r="D183" i="1"/>
  <c r="A183" i="1"/>
  <c r="O182" i="1" s="1" a="1"/>
  <c r="O182" i="1" s="1"/>
  <c r="AX182" i="1" a="1"/>
  <c r="AX182" i="1" s="1"/>
  <c r="AU182" i="1"/>
  <c r="AT182" i="1"/>
  <c r="AI182" i="1"/>
  <c r="AE182" i="1"/>
  <c r="AB182" i="1"/>
  <c r="W182" i="1"/>
  <c r="T182" i="1"/>
  <c r="S182" i="1"/>
  <c r="H182" i="1"/>
  <c r="D182" i="1"/>
  <c r="A182" i="1"/>
  <c r="AX181" i="1" a="1"/>
  <c r="AX181" i="1" s="1"/>
  <c r="AU181" i="1"/>
  <c r="AT181" i="1"/>
  <c r="AN181" i="1"/>
  <c r="AI181" i="1"/>
  <c r="AE181" i="1"/>
  <c r="AB181" i="1"/>
  <c r="AK181" i="1" s="1"/>
  <c r="W181" i="1"/>
  <c r="T181" i="1"/>
  <c r="S181" i="1"/>
  <c r="H181" i="1"/>
  <c r="D181" i="1"/>
  <c r="A181" i="1"/>
  <c r="AX180" i="1" a="1"/>
  <c r="AX180" i="1" s="1"/>
  <c r="AU180" i="1"/>
  <c r="AT180" i="1"/>
  <c r="AI180" i="1"/>
  <c r="AE180" i="1"/>
  <c r="AB180" i="1"/>
  <c r="W180" i="1"/>
  <c r="T180" i="1"/>
  <c r="S180" i="1"/>
  <c r="H180" i="1"/>
  <c r="D180" i="1"/>
  <c r="A180" i="1"/>
  <c r="L179" i="1" s="1"/>
  <c r="AX179" i="1"/>
  <c r="AX179" i="1" a="1"/>
  <c r="AU179" i="1"/>
  <c r="AT179" i="1"/>
  <c r="AI179" i="1"/>
  <c r="AE179" i="1"/>
  <c r="AB179" i="1"/>
  <c r="AK179" i="1" s="1"/>
  <c r="W179" i="1"/>
  <c r="T179" i="1"/>
  <c r="S179" i="1"/>
  <c r="H179" i="1"/>
  <c r="D179" i="1"/>
  <c r="A179" i="1"/>
  <c r="AX178" i="1" a="1"/>
  <c r="AX178" i="1" s="1"/>
  <c r="AU178" i="1"/>
  <c r="AT178" i="1"/>
  <c r="AI178" i="1"/>
  <c r="AE178" i="1"/>
  <c r="AB178" i="1"/>
  <c r="AK178" i="1" s="1"/>
  <c r="W178" i="1"/>
  <c r="T178" i="1"/>
  <c r="S178" i="1"/>
  <c r="H178" i="1"/>
  <c r="D178" i="1"/>
  <c r="A178" i="1"/>
  <c r="N178" i="1" s="1" a="1"/>
  <c r="N178" i="1" s="1"/>
  <c r="AX177" i="1" a="1"/>
  <c r="AX177" i="1" s="1"/>
  <c r="AU177" i="1"/>
  <c r="AT177" i="1"/>
  <c r="AI177" i="1"/>
  <c r="AE177" i="1"/>
  <c r="AB177" i="1"/>
  <c r="W177" i="1"/>
  <c r="T177" i="1"/>
  <c r="S177" i="1"/>
  <c r="H177" i="1"/>
  <c r="D177" i="1"/>
  <c r="A177" i="1"/>
  <c r="K177" i="1" s="1"/>
  <c r="AX176" i="1" a="1"/>
  <c r="AX176" i="1" s="1"/>
  <c r="AU176" i="1"/>
  <c r="AT176" i="1"/>
  <c r="AI176" i="1"/>
  <c r="AE176" i="1"/>
  <c r="AB176" i="1"/>
  <c r="W176" i="1"/>
  <c r="T176" i="1"/>
  <c r="S176" i="1"/>
  <c r="H176" i="1"/>
  <c r="D176" i="1"/>
  <c r="A176" i="1"/>
  <c r="AX175" i="1" a="1"/>
  <c r="AX175" i="1" s="1"/>
  <c r="AU175" i="1"/>
  <c r="AT175" i="1"/>
  <c r="AI175" i="1"/>
  <c r="AE175" i="1"/>
  <c r="AB175" i="1"/>
  <c r="AK175" i="1" s="1"/>
  <c r="W175" i="1"/>
  <c r="T175" i="1"/>
  <c r="S175" i="1"/>
  <c r="H175" i="1"/>
  <c r="D175" i="1"/>
  <c r="A175" i="1"/>
  <c r="AX174" i="1" a="1"/>
  <c r="AX174" i="1" s="1"/>
  <c r="AU174" i="1"/>
  <c r="AT174" i="1"/>
  <c r="AK174" i="1"/>
  <c r="AI174" i="1"/>
  <c r="AE174" i="1"/>
  <c r="AB174" i="1"/>
  <c r="W174" i="1"/>
  <c r="T174" i="1"/>
  <c r="S174" i="1"/>
  <c r="H174" i="1"/>
  <c r="D174" i="1"/>
  <c r="A174" i="1"/>
  <c r="AX173" i="1" a="1"/>
  <c r="AX173" i="1" s="1"/>
  <c r="AU173" i="1"/>
  <c r="AT173" i="1"/>
  <c r="AI173" i="1"/>
  <c r="AE173" i="1"/>
  <c r="AB173" i="1"/>
  <c r="AQ173" i="1" s="1"/>
  <c r="W173" i="1"/>
  <c r="T173" i="1"/>
  <c r="S173" i="1"/>
  <c r="H173" i="1"/>
  <c r="D173" i="1"/>
  <c r="A173" i="1"/>
  <c r="AX172" i="1" a="1"/>
  <c r="AX172" i="1" s="1"/>
  <c r="AU172" i="1"/>
  <c r="AT172" i="1"/>
  <c r="AI172" i="1"/>
  <c r="AE172" i="1"/>
  <c r="AB172" i="1"/>
  <c r="AL172" i="1" s="1"/>
  <c r="W172" i="1"/>
  <c r="T172" i="1"/>
  <c r="S172" i="1"/>
  <c r="H172" i="1"/>
  <c r="D172" i="1"/>
  <c r="A172" i="1"/>
  <c r="J172" i="1" s="1"/>
  <c r="AX171" i="1" a="1"/>
  <c r="AX171" i="1" s="1"/>
  <c r="AU171" i="1"/>
  <c r="AT171" i="1"/>
  <c r="AI171" i="1"/>
  <c r="AE171" i="1"/>
  <c r="AB171" i="1"/>
  <c r="W171" i="1"/>
  <c r="T171" i="1"/>
  <c r="S171" i="1"/>
  <c r="H171" i="1"/>
  <c r="D171" i="1"/>
  <c r="A171" i="1"/>
  <c r="K170" i="1" s="1"/>
  <c r="AX170" i="1" a="1"/>
  <c r="AX170" i="1" s="1"/>
  <c r="AU170" i="1"/>
  <c r="AT170" i="1"/>
  <c r="AI170" i="1"/>
  <c r="AE170" i="1"/>
  <c r="AB170" i="1"/>
  <c r="W170" i="1"/>
  <c r="T170" i="1"/>
  <c r="S170" i="1"/>
  <c r="H170" i="1"/>
  <c r="D170" i="1"/>
  <c r="A170" i="1"/>
  <c r="AX169" i="1" a="1"/>
  <c r="AX169" i="1" s="1"/>
  <c r="AU169" i="1"/>
  <c r="AT169" i="1"/>
  <c r="AI169" i="1"/>
  <c r="AE169" i="1"/>
  <c r="AB169" i="1"/>
  <c r="AK169" i="1" s="1"/>
  <c r="W169" i="1"/>
  <c r="T169" i="1"/>
  <c r="S169" i="1"/>
  <c r="H169" i="1"/>
  <c r="D169" i="1"/>
  <c r="A169" i="1"/>
  <c r="AX168" i="1" a="1"/>
  <c r="AX168" i="1" s="1"/>
  <c r="AU168" i="1"/>
  <c r="AT168" i="1"/>
  <c r="AL168" i="1"/>
  <c r="AI168" i="1"/>
  <c r="AE168" i="1"/>
  <c r="AB168" i="1"/>
  <c r="W168" i="1"/>
  <c r="T168" i="1"/>
  <c r="S168" i="1"/>
  <c r="H168" i="1"/>
  <c r="D168" i="1"/>
  <c r="A168" i="1"/>
  <c r="AX167" i="1" a="1"/>
  <c r="AX167" i="1" s="1"/>
  <c r="AU167" i="1"/>
  <c r="AT167" i="1"/>
  <c r="AI167" i="1"/>
  <c r="AE167" i="1"/>
  <c r="AB167" i="1"/>
  <c r="AQ167" i="1" s="1"/>
  <c r="W167" i="1"/>
  <c r="T167" i="1"/>
  <c r="S167" i="1"/>
  <c r="H167" i="1"/>
  <c r="D167" i="1"/>
  <c r="A167" i="1"/>
  <c r="N166" i="1" s="1" a="1"/>
  <c r="N166" i="1" s="1"/>
  <c r="AX166" i="1" a="1"/>
  <c r="AX166" i="1" s="1"/>
  <c r="AU166" i="1"/>
  <c r="AT166" i="1"/>
  <c r="AQ166" i="1"/>
  <c r="AI166" i="1"/>
  <c r="AE166" i="1"/>
  <c r="AB166" i="1"/>
  <c r="AK166" i="1" s="1"/>
  <c r="W166" i="1"/>
  <c r="T166" i="1"/>
  <c r="S166" i="1"/>
  <c r="H166" i="1"/>
  <c r="D166" i="1"/>
  <c r="A166" i="1"/>
  <c r="AX165" i="1" a="1"/>
  <c r="AX165" i="1" s="1"/>
  <c r="AU165" i="1"/>
  <c r="AT165" i="1"/>
  <c r="AI165" i="1"/>
  <c r="AE165" i="1"/>
  <c r="AB165" i="1"/>
  <c r="W165" i="1"/>
  <c r="T165" i="1"/>
  <c r="S165" i="1"/>
  <c r="H165" i="1"/>
  <c r="D165" i="1"/>
  <c r="A165" i="1"/>
  <c r="P165" i="1" s="1"/>
  <c r="AX164" i="1" a="1"/>
  <c r="AX164" i="1" s="1"/>
  <c r="AU164" i="1"/>
  <c r="AT164" i="1"/>
  <c r="AI164" i="1"/>
  <c r="AE164" i="1"/>
  <c r="AB164" i="1"/>
  <c r="W164" i="1"/>
  <c r="T164" i="1"/>
  <c r="S164" i="1"/>
  <c r="H164" i="1"/>
  <c r="D164" i="1"/>
  <c r="A164" i="1"/>
  <c r="P164" i="1" s="1"/>
  <c r="AX163" i="1" a="1"/>
  <c r="AX163" i="1" s="1"/>
  <c r="AU163" i="1"/>
  <c r="AT163" i="1"/>
  <c r="AI163" i="1"/>
  <c r="AE163" i="1"/>
  <c r="AB163" i="1"/>
  <c r="AK163" i="1" s="1"/>
  <c r="W163" i="1"/>
  <c r="T163" i="1"/>
  <c r="S163" i="1"/>
  <c r="H163" i="1"/>
  <c r="D163" i="1"/>
  <c r="A163" i="1"/>
  <c r="L163" i="1" s="1"/>
  <c r="AX162" i="1" a="1"/>
  <c r="AX162" i="1" s="1"/>
  <c r="AU162" i="1"/>
  <c r="AT162" i="1"/>
  <c r="AI162" i="1"/>
  <c r="AE162" i="1"/>
  <c r="AB162" i="1"/>
  <c r="AK162" i="1" s="1"/>
  <c r="W162" i="1"/>
  <c r="T162" i="1"/>
  <c r="S162" i="1"/>
  <c r="J162" i="1"/>
  <c r="H162" i="1"/>
  <c r="D162" i="1"/>
  <c r="A162" i="1"/>
  <c r="AX161" i="1"/>
  <c r="AX161" i="1" a="1"/>
  <c r="AU161" i="1"/>
  <c r="AT161" i="1"/>
  <c r="AI161" i="1"/>
  <c r="AE161" i="1"/>
  <c r="AB161" i="1"/>
  <c r="AL160" i="1" s="1"/>
  <c r="W161" i="1"/>
  <c r="T161" i="1"/>
  <c r="S161" i="1"/>
  <c r="H161" i="1"/>
  <c r="D161" i="1"/>
  <c r="A161" i="1"/>
  <c r="O160" i="1" s="1" a="1"/>
  <c r="O160" i="1" s="1"/>
  <c r="AX160" i="1" a="1"/>
  <c r="AX160" i="1" s="1"/>
  <c r="AU160" i="1"/>
  <c r="AT160" i="1"/>
  <c r="AP160" i="1" a="1"/>
  <c r="AP160" i="1" s="1"/>
  <c r="AI160" i="1"/>
  <c r="AE160" i="1"/>
  <c r="AB160" i="1"/>
  <c r="W160" i="1"/>
  <c r="T160" i="1"/>
  <c r="S160" i="1"/>
  <c r="H160" i="1"/>
  <c r="D160" i="1"/>
  <c r="A160" i="1"/>
  <c r="O159" i="1" s="1" a="1"/>
  <c r="O159" i="1" s="1"/>
  <c r="AX159" i="1" a="1"/>
  <c r="AX159" i="1" s="1"/>
  <c r="AU159" i="1"/>
  <c r="AT159" i="1"/>
  <c r="AI159" i="1"/>
  <c r="AE159" i="1"/>
  <c r="AB159" i="1"/>
  <c r="W159" i="1"/>
  <c r="T159" i="1"/>
  <c r="S159" i="1"/>
  <c r="H159" i="1"/>
  <c r="D159" i="1"/>
  <c r="A159" i="1"/>
  <c r="O158" i="1" s="1" a="1"/>
  <c r="O158" i="1" s="1"/>
  <c r="AX158" i="1" a="1"/>
  <c r="AX158" i="1" s="1"/>
  <c r="AU158" i="1"/>
  <c r="AT158" i="1"/>
  <c r="AI158" i="1"/>
  <c r="AE158" i="1"/>
  <c r="AB158" i="1"/>
  <c r="W158" i="1"/>
  <c r="T158" i="1"/>
  <c r="S158" i="1"/>
  <c r="H158" i="1"/>
  <c r="D158" i="1"/>
  <c r="A158" i="1"/>
  <c r="AX157" i="1" a="1"/>
  <c r="AX157" i="1" s="1"/>
  <c r="AU157" i="1"/>
  <c r="AT157" i="1"/>
  <c r="AI157" i="1"/>
  <c r="AE157" i="1"/>
  <c r="AB157" i="1"/>
  <c r="W157" i="1"/>
  <c r="T157" i="1"/>
  <c r="S157" i="1"/>
  <c r="H157" i="1"/>
  <c r="D157" i="1"/>
  <c r="A157" i="1"/>
  <c r="J157" i="1" s="1"/>
  <c r="AX156" i="1" a="1"/>
  <c r="AX156" i="1" s="1"/>
  <c r="AU156" i="1"/>
  <c r="AT156" i="1"/>
  <c r="AI156" i="1"/>
  <c r="AE156" i="1"/>
  <c r="AB156" i="1"/>
  <c r="W156" i="1"/>
  <c r="T156" i="1"/>
  <c r="S156" i="1"/>
  <c r="H156" i="1"/>
  <c r="D156" i="1"/>
  <c r="A156" i="1"/>
  <c r="AX155" i="1" a="1"/>
  <c r="AX155" i="1" s="1"/>
  <c r="AU155" i="1"/>
  <c r="AT155" i="1"/>
  <c r="AI155" i="1"/>
  <c r="AE155" i="1"/>
  <c r="AB155" i="1"/>
  <c r="W155" i="1"/>
  <c r="T155" i="1"/>
  <c r="S155" i="1"/>
  <c r="H155" i="1"/>
  <c r="D155" i="1"/>
  <c r="A155" i="1"/>
  <c r="L155" i="1" s="1"/>
  <c r="AX154" i="1" a="1"/>
  <c r="AX154" i="1" s="1"/>
  <c r="AU154" i="1"/>
  <c r="AT154" i="1"/>
  <c r="AI154" i="1"/>
  <c r="AE154" i="1"/>
  <c r="AB154" i="1"/>
  <c r="W154" i="1"/>
  <c r="T154" i="1"/>
  <c r="S154" i="1"/>
  <c r="H154" i="1"/>
  <c r="D154" i="1"/>
  <c r="A154" i="1"/>
  <c r="J154" i="1" s="1"/>
  <c r="AX153" i="1" a="1"/>
  <c r="AX153" i="1" s="1"/>
  <c r="AU153" i="1"/>
  <c r="AT153" i="1"/>
  <c r="AI153" i="1"/>
  <c r="AE153" i="1"/>
  <c r="AB153" i="1"/>
  <c r="W153" i="1"/>
  <c r="T153" i="1"/>
  <c r="S153" i="1"/>
  <c r="H153" i="1"/>
  <c r="D153" i="1"/>
  <c r="A153" i="1"/>
  <c r="AX152" i="1" a="1"/>
  <c r="AX152" i="1" s="1"/>
  <c r="AU152" i="1"/>
  <c r="AT152" i="1"/>
  <c r="AI152" i="1"/>
  <c r="AE152" i="1"/>
  <c r="AB152" i="1"/>
  <c r="W152" i="1"/>
  <c r="T152" i="1"/>
  <c r="S152" i="1"/>
  <c r="J152" i="1"/>
  <c r="H152" i="1"/>
  <c r="D152" i="1"/>
  <c r="A152" i="1"/>
  <c r="M152" i="1" s="1"/>
  <c r="AX151" i="1" a="1"/>
  <c r="AX151" i="1" s="1"/>
  <c r="AU151" i="1"/>
  <c r="AT151" i="1"/>
  <c r="AK151" i="1"/>
  <c r="AI151" i="1"/>
  <c r="AE151" i="1"/>
  <c r="AB151" i="1"/>
  <c r="W151" i="1"/>
  <c r="T151" i="1"/>
  <c r="S151" i="1"/>
  <c r="H151" i="1"/>
  <c r="D151" i="1"/>
  <c r="A151" i="1"/>
  <c r="AX150" i="1" a="1"/>
  <c r="AX150" i="1" s="1"/>
  <c r="AU150" i="1"/>
  <c r="AT150" i="1"/>
  <c r="AI150" i="1"/>
  <c r="AE150" i="1"/>
  <c r="AB150" i="1"/>
  <c r="W150" i="1"/>
  <c r="T150" i="1"/>
  <c r="S150" i="1"/>
  <c r="H150" i="1"/>
  <c r="D150" i="1"/>
  <c r="A150" i="1"/>
  <c r="AX149" i="1" a="1"/>
  <c r="AX149" i="1" s="1"/>
  <c r="AU149" i="1"/>
  <c r="AT149" i="1"/>
  <c r="AN149" i="1"/>
  <c r="AI149" i="1"/>
  <c r="AE149" i="1"/>
  <c r="AB149" i="1"/>
  <c r="AK149" i="1" s="1"/>
  <c r="W149" i="1"/>
  <c r="T149" i="1"/>
  <c r="S149" i="1"/>
  <c r="H149" i="1"/>
  <c r="D149" i="1"/>
  <c r="A149" i="1"/>
  <c r="AX148" i="1" a="1"/>
  <c r="AX148" i="1" s="1"/>
  <c r="AU148" i="1"/>
  <c r="AT148" i="1"/>
  <c r="AI148" i="1"/>
  <c r="AE148" i="1"/>
  <c r="AB148" i="1"/>
  <c r="W148" i="1"/>
  <c r="T148" i="1"/>
  <c r="S148" i="1"/>
  <c r="H148" i="1"/>
  <c r="D148" i="1"/>
  <c r="A148" i="1"/>
  <c r="P148" i="1" s="1"/>
  <c r="AX147" i="1" a="1"/>
  <c r="AX147" i="1" s="1"/>
  <c r="AU147" i="1"/>
  <c r="AT147" i="1"/>
  <c r="AI147" i="1"/>
  <c r="AE147" i="1"/>
  <c r="AB147" i="1"/>
  <c r="AK147" i="1" s="1"/>
  <c r="W147" i="1"/>
  <c r="T147" i="1"/>
  <c r="S147" i="1"/>
  <c r="H147" i="1"/>
  <c r="D147" i="1"/>
  <c r="A147" i="1"/>
  <c r="L146" i="1" s="1"/>
  <c r="AX146" i="1" a="1"/>
  <c r="AX146" i="1" s="1"/>
  <c r="AU146" i="1"/>
  <c r="AT146" i="1"/>
  <c r="AI146" i="1"/>
  <c r="AE146" i="1"/>
  <c r="AB146" i="1"/>
  <c r="AO145" i="1" s="1" a="1"/>
  <c r="AO145" i="1" s="1"/>
  <c r="W146" i="1"/>
  <c r="T146" i="1"/>
  <c r="S146" i="1"/>
  <c r="J146" i="1"/>
  <c r="H146" i="1"/>
  <c r="D146" i="1"/>
  <c r="A146" i="1"/>
  <c r="AX145" i="1" a="1"/>
  <c r="AX145" i="1" s="1"/>
  <c r="AU145" i="1"/>
  <c r="AT145" i="1"/>
  <c r="AI145" i="1"/>
  <c r="AE145" i="1"/>
  <c r="AB145" i="1"/>
  <c r="W145" i="1"/>
  <c r="T145" i="1"/>
  <c r="S145" i="1"/>
  <c r="H145" i="1"/>
  <c r="D145" i="1"/>
  <c r="A145" i="1"/>
  <c r="K145" i="1" s="1"/>
  <c r="AX144" i="1" a="1"/>
  <c r="AX144" i="1" s="1"/>
  <c r="AU144" i="1"/>
  <c r="AT144" i="1"/>
  <c r="AI144" i="1"/>
  <c r="AE144" i="1"/>
  <c r="AB144" i="1"/>
  <c r="W144" i="1"/>
  <c r="T144" i="1"/>
  <c r="S144" i="1"/>
  <c r="H144" i="1"/>
  <c r="D144" i="1"/>
  <c r="A144" i="1"/>
  <c r="AX143" i="1"/>
  <c r="AX143" i="1" a="1"/>
  <c r="AU143" i="1"/>
  <c r="AT143" i="1"/>
  <c r="AI143" i="1"/>
  <c r="AE143" i="1"/>
  <c r="AB143" i="1"/>
  <c r="W143" i="1"/>
  <c r="T143" i="1"/>
  <c r="S143" i="1"/>
  <c r="H143" i="1"/>
  <c r="D143" i="1"/>
  <c r="A143" i="1"/>
  <c r="AX142" i="1" a="1"/>
  <c r="AX142" i="1" s="1"/>
  <c r="AU142" i="1"/>
  <c r="AT142" i="1"/>
  <c r="AK142" i="1"/>
  <c r="AI142" i="1"/>
  <c r="AE142" i="1"/>
  <c r="AB142" i="1"/>
  <c r="W142" i="1"/>
  <c r="T142" i="1"/>
  <c r="S142" i="1"/>
  <c r="H142" i="1"/>
  <c r="D142" i="1"/>
  <c r="A142" i="1"/>
  <c r="AX141" i="1" a="1"/>
  <c r="AX141" i="1" s="1"/>
  <c r="AU141" i="1"/>
  <c r="AT141" i="1"/>
  <c r="AI141" i="1"/>
  <c r="AE141" i="1"/>
  <c r="AB141" i="1"/>
  <c r="AQ141" i="1" s="1"/>
  <c r="W141" i="1"/>
  <c r="T141" i="1"/>
  <c r="S141" i="1"/>
  <c r="H141" i="1"/>
  <c r="D141" i="1"/>
  <c r="A141" i="1"/>
  <c r="J141" i="1" s="1"/>
  <c r="AX140" i="1" a="1"/>
  <c r="AX140" i="1" s="1"/>
  <c r="AU140" i="1"/>
  <c r="AT140" i="1"/>
  <c r="AM140" i="1"/>
  <c r="AI140" i="1"/>
  <c r="AE140" i="1"/>
  <c r="AB140" i="1"/>
  <c r="W140" i="1"/>
  <c r="T140" i="1"/>
  <c r="S140" i="1"/>
  <c r="H140" i="1"/>
  <c r="D140" i="1"/>
  <c r="A140" i="1"/>
  <c r="J140" i="1" s="1"/>
  <c r="AX139" i="1" a="1"/>
  <c r="AX139" i="1" s="1"/>
  <c r="AU139" i="1"/>
  <c r="AT139" i="1"/>
  <c r="AI139" i="1"/>
  <c r="AE139" i="1"/>
  <c r="AB139" i="1"/>
  <c r="AO138" i="1" s="1" a="1"/>
  <c r="AO138" i="1" s="1"/>
  <c r="W139" i="1"/>
  <c r="T139" i="1"/>
  <c r="S139" i="1"/>
  <c r="O139" i="1" a="1"/>
  <c r="O139" i="1" s="1"/>
  <c r="H139" i="1"/>
  <c r="D139" i="1"/>
  <c r="A139" i="1"/>
  <c r="AX138" i="1" a="1"/>
  <c r="AX138" i="1" s="1"/>
  <c r="AU138" i="1"/>
  <c r="AT138" i="1"/>
  <c r="AI138" i="1"/>
  <c r="AE138" i="1"/>
  <c r="AB138" i="1"/>
  <c r="W138" i="1"/>
  <c r="T138" i="1"/>
  <c r="S138" i="1"/>
  <c r="H138" i="1"/>
  <c r="D138" i="1"/>
  <c r="A138" i="1"/>
  <c r="K138" i="1" s="1"/>
  <c r="AX137" i="1" a="1"/>
  <c r="AX137" i="1" s="1"/>
  <c r="AU137" i="1"/>
  <c r="AT137" i="1"/>
  <c r="AI137" i="1"/>
  <c r="AE137" i="1"/>
  <c r="AB137" i="1"/>
  <c r="AP137" i="1" s="1" a="1"/>
  <c r="AP137" i="1" s="1"/>
  <c r="W137" i="1"/>
  <c r="T137" i="1"/>
  <c r="S137" i="1"/>
  <c r="H137" i="1"/>
  <c r="D137" i="1"/>
  <c r="A137" i="1"/>
  <c r="AX136" i="1" a="1"/>
  <c r="AX136" i="1" s="1"/>
  <c r="AU136" i="1"/>
  <c r="AT136" i="1"/>
  <c r="AM136" i="1"/>
  <c r="AI136" i="1"/>
  <c r="AE136" i="1"/>
  <c r="AB136" i="1"/>
  <c r="W136" i="1"/>
  <c r="T136" i="1"/>
  <c r="S136" i="1"/>
  <c r="J136" i="1"/>
  <c r="H136" i="1"/>
  <c r="D136" i="1"/>
  <c r="A136" i="1"/>
  <c r="AX135" i="1" a="1"/>
  <c r="AX135" i="1" s="1"/>
  <c r="AU135" i="1"/>
  <c r="AT135" i="1"/>
  <c r="AI135" i="1"/>
  <c r="AE135" i="1"/>
  <c r="AB135" i="1"/>
  <c r="AL135" i="1" s="1"/>
  <c r="W135" i="1"/>
  <c r="T135" i="1"/>
  <c r="S135" i="1"/>
  <c r="H135" i="1"/>
  <c r="D135" i="1"/>
  <c r="A135" i="1"/>
  <c r="L135" i="1" s="1"/>
  <c r="AX134" i="1" a="1"/>
  <c r="AX134" i="1" s="1"/>
  <c r="AU134" i="1"/>
  <c r="AT134" i="1"/>
  <c r="AO134" i="1" a="1"/>
  <c r="AO134" i="1" s="1"/>
  <c r="AI134" i="1"/>
  <c r="AE134" i="1"/>
  <c r="AB134" i="1"/>
  <c r="AK134" i="1" s="1"/>
  <c r="W134" i="1"/>
  <c r="T134" i="1"/>
  <c r="S134" i="1"/>
  <c r="H134" i="1"/>
  <c r="D134" i="1"/>
  <c r="A134" i="1"/>
  <c r="J134" i="1" s="1"/>
  <c r="AX133" i="1" a="1"/>
  <c r="AX133" i="1" s="1"/>
  <c r="AU133" i="1"/>
  <c r="AT133" i="1"/>
  <c r="AK133" i="1"/>
  <c r="AI133" i="1"/>
  <c r="AE133" i="1"/>
  <c r="AB133" i="1"/>
  <c r="W133" i="1"/>
  <c r="T133" i="1"/>
  <c r="S133" i="1"/>
  <c r="H133" i="1"/>
  <c r="D133" i="1"/>
  <c r="A133" i="1"/>
  <c r="J133" i="1" s="1"/>
  <c r="AX132" i="1" a="1"/>
  <c r="AX132" i="1" s="1"/>
  <c r="AU132" i="1"/>
  <c r="AT132" i="1"/>
  <c r="AI132" i="1"/>
  <c r="AE132" i="1"/>
  <c r="AB132" i="1"/>
  <c r="W132" i="1"/>
  <c r="T132" i="1"/>
  <c r="S132" i="1"/>
  <c r="H132" i="1"/>
  <c r="D132" i="1"/>
  <c r="A132" i="1"/>
  <c r="J132" i="1" s="1"/>
  <c r="AX131" i="1" a="1"/>
  <c r="AX131" i="1" s="1"/>
  <c r="AU131" i="1"/>
  <c r="AT131" i="1"/>
  <c r="AK131" i="1"/>
  <c r="AI131" i="1"/>
  <c r="AE131" i="1"/>
  <c r="AB131" i="1"/>
  <c r="W131" i="1"/>
  <c r="T131" i="1"/>
  <c r="S131" i="1"/>
  <c r="H131" i="1"/>
  <c r="D131" i="1"/>
  <c r="A131" i="1"/>
  <c r="AX130" i="1" a="1"/>
  <c r="AX130" i="1" s="1"/>
  <c r="AU130" i="1"/>
  <c r="AT130" i="1"/>
  <c r="AI130" i="1"/>
  <c r="AE130" i="1"/>
  <c r="AB130" i="1"/>
  <c r="AQ130" i="1" s="1"/>
  <c r="W130" i="1"/>
  <c r="T130" i="1"/>
  <c r="S130" i="1"/>
  <c r="H130" i="1"/>
  <c r="D130" i="1"/>
  <c r="A130" i="1"/>
  <c r="J130" i="1" s="1"/>
  <c r="AX129" i="1" a="1"/>
  <c r="AX129" i="1" s="1"/>
  <c r="AU129" i="1"/>
  <c r="AT129" i="1"/>
  <c r="AI129" i="1"/>
  <c r="AE129" i="1"/>
  <c r="AB129" i="1"/>
  <c r="AK129" i="1" s="1"/>
  <c r="W129" i="1"/>
  <c r="T129" i="1"/>
  <c r="S129" i="1"/>
  <c r="H129" i="1"/>
  <c r="D129" i="1"/>
  <c r="A129" i="1"/>
  <c r="AX128" i="1" a="1"/>
  <c r="AX128" i="1" s="1"/>
  <c r="AU128" i="1"/>
  <c r="AT128" i="1"/>
  <c r="AI128" i="1"/>
  <c r="AE128" i="1"/>
  <c r="AB128" i="1"/>
  <c r="AP128" i="1" s="1" a="1"/>
  <c r="AP128" i="1" s="1"/>
  <c r="W128" i="1"/>
  <c r="T128" i="1"/>
  <c r="S128" i="1"/>
  <c r="P128" i="1"/>
  <c r="J128" i="1"/>
  <c r="H128" i="1"/>
  <c r="D128" i="1"/>
  <c r="A128" i="1"/>
  <c r="AX127" i="1" a="1"/>
  <c r="AX127" i="1" s="1"/>
  <c r="AU127" i="1"/>
  <c r="AT127" i="1"/>
  <c r="AK127" i="1"/>
  <c r="AI127" i="1"/>
  <c r="AE127" i="1"/>
  <c r="AB127" i="1"/>
  <c r="W127" i="1"/>
  <c r="T127" i="1"/>
  <c r="S127" i="1"/>
  <c r="H127" i="1"/>
  <c r="D127" i="1"/>
  <c r="A127" i="1"/>
  <c r="O127" i="1" s="1" a="1"/>
  <c r="O127" i="1" s="1"/>
  <c r="AX126" i="1" a="1"/>
  <c r="AX126" i="1" s="1"/>
  <c r="AU126" i="1"/>
  <c r="AT126" i="1"/>
  <c r="AO126" i="1" a="1"/>
  <c r="AO126" i="1" s="1"/>
  <c r="AI126" i="1"/>
  <c r="AE126" i="1"/>
  <c r="AB126" i="1"/>
  <c r="AK126" i="1" s="1"/>
  <c r="W126" i="1"/>
  <c r="T126" i="1"/>
  <c r="S126" i="1"/>
  <c r="L126" i="1"/>
  <c r="H126" i="1"/>
  <c r="D126" i="1"/>
  <c r="A126" i="1"/>
  <c r="J126" i="1" s="1"/>
  <c r="AX125" i="1" a="1"/>
  <c r="AX125" i="1" s="1"/>
  <c r="AU125" i="1"/>
  <c r="AT125" i="1"/>
  <c r="AI125" i="1"/>
  <c r="AE125" i="1"/>
  <c r="AB125" i="1"/>
  <c r="W125" i="1"/>
  <c r="T125" i="1"/>
  <c r="S125" i="1"/>
  <c r="J125" i="1"/>
  <c r="H125" i="1"/>
  <c r="D125" i="1"/>
  <c r="A125" i="1"/>
  <c r="O124" i="1" s="1" a="1"/>
  <c r="O124" i="1" s="1"/>
  <c r="AX124" i="1"/>
  <c r="AX124" i="1" a="1"/>
  <c r="AU124" i="1"/>
  <c r="AT124" i="1"/>
  <c r="AN124" i="1"/>
  <c r="AI124" i="1"/>
  <c r="AE124" i="1"/>
  <c r="AB124" i="1"/>
  <c r="W124" i="1"/>
  <c r="T124" i="1"/>
  <c r="S124" i="1"/>
  <c r="H124" i="1"/>
  <c r="D124" i="1"/>
  <c r="A124" i="1"/>
  <c r="AX123" i="1" a="1"/>
  <c r="AX123" i="1" s="1"/>
  <c r="AU123" i="1"/>
  <c r="AT123" i="1"/>
  <c r="AI123" i="1"/>
  <c r="AE123" i="1"/>
  <c r="AB123" i="1"/>
  <c r="W123" i="1"/>
  <c r="T123" i="1"/>
  <c r="S123" i="1"/>
  <c r="H123" i="1"/>
  <c r="D123" i="1"/>
  <c r="A123" i="1"/>
  <c r="AX122" i="1" a="1"/>
  <c r="AX122" i="1" s="1"/>
  <c r="AU122" i="1"/>
  <c r="AT122" i="1"/>
  <c r="AI122" i="1"/>
  <c r="AE122" i="1"/>
  <c r="AB122" i="1"/>
  <c r="W122" i="1"/>
  <c r="T122" i="1"/>
  <c r="S122" i="1"/>
  <c r="H122" i="1"/>
  <c r="D122" i="1"/>
  <c r="A122" i="1"/>
  <c r="N122" i="1" s="1" a="1"/>
  <c r="N122" i="1" s="1"/>
  <c r="AX121" i="1" a="1"/>
  <c r="AX121" i="1" s="1"/>
  <c r="AU121" i="1"/>
  <c r="AT121" i="1"/>
  <c r="AI121" i="1"/>
  <c r="AE121" i="1"/>
  <c r="AB121" i="1"/>
  <c r="AL120" i="1" s="1"/>
  <c r="W121" i="1"/>
  <c r="T121" i="1"/>
  <c r="S121" i="1"/>
  <c r="H121" i="1"/>
  <c r="D121" i="1"/>
  <c r="A121" i="1"/>
  <c r="AX120" i="1" a="1"/>
  <c r="AX120" i="1" s="1"/>
  <c r="AU120" i="1"/>
  <c r="AT120" i="1"/>
  <c r="AI120" i="1"/>
  <c r="AE120" i="1"/>
  <c r="AB120" i="1"/>
  <c r="AM119" i="1" s="1"/>
  <c r="W120" i="1"/>
  <c r="T120" i="1"/>
  <c r="S120" i="1"/>
  <c r="H120" i="1"/>
  <c r="D120" i="1"/>
  <c r="A120" i="1"/>
  <c r="M120" i="1" s="1"/>
  <c r="AX119" i="1" a="1"/>
  <c r="AX119" i="1" s="1"/>
  <c r="AU119" i="1"/>
  <c r="AT119" i="1"/>
  <c r="AI119" i="1"/>
  <c r="AE119" i="1"/>
  <c r="AB119" i="1"/>
  <c r="AK119" i="1" s="1"/>
  <c r="W119" i="1"/>
  <c r="T119" i="1"/>
  <c r="S119" i="1"/>
  <c r="H119" i="1"/>
  <c r="D119" i="1"/>
  <c r="A119" i="1"/>
  <c r="AX118" i="1" a="1"/>
  <c r="AX118" i="1" s="1"/>
  <c r="AU118" i="1"/>
  <c r="AT118" i="1"/>
  <c r="AN118" i="1"/>
  <c r="AI118" i="1"/>
  <c r="AE118" i="1"/>
  <c r="AB118" i="1"/>
  <c r="AP117" i="1" s="1" a="1"/>
  <c r="AP117" i="1" s="1"/>
  <c r="W118" i="1"/>
  <c r="T118" i="1"/>
  <c r="S118" i="1"/>
  <c r="H118" i="1"/>
  <c r="D118" i="1"/>
  <c r="A118" i="1"/>
  <c r="M117" i="1" s="1"/>
  <c r="AX117" i="1" a="1"/>
  <c r="AX117" i="1" s="1"/>
  <c r="AU117" i="1"/>
  <c r="AT117" i="1"/>
  <c r="AK117" i="1"/>
  <c r="AI117" i="1"/>
  <c r="AE117" i="1"/>
  <c r="AB117" i="1"/>
  <c r="W117" i="1"/>
  <c r="T117" i="1"/>
  <c r="S117" i="1"/>
  <c r="H117" i="1"/>
  <c r="D117" i="1"/>
  <c r="A117" i="1"/>
  <c r="J117" i="1" s="1"/>
  <c r="AX116" i="1" a="1"/>
  <c r="AX116" i="1" s="1"/>
  <c r="AU116" i="1"/>
  <c r="AT116" i="1"/>
  <c r="AM116" i="1"/>
  <c r="AI116" i="1"/>
  <c r="AE116" i="1"/>
  <c r="AB116" i="1"/>
  <c r="W116" i="1"/>
  <c r="T116" i="1"/>
  <c r="S116" i="1"/>
  <c r="H116" i="1"/>
  <c r="D116" i="1"/>
  <c r="A116" i="1"/>
  <c r="P116" i="1" s="1"/>
  <c r="AX115" i="1" a="1"/>
  <c r="AX115" i="1" s="1"/>
  <c r="AU115" i="1"/>
  <c r="AT115" i="1"/>
  <c r="AI115" i="1"/>
  <c r="AE115" i="1"/>
  <c r="AB115" i="1"/>
  <c r="W115" i="1"/>
  <c r="T115" i="1"/>
  <c r="S115" i="1"/>
  <c r="J115" i="1"/>
  <c r="H115" i="1"/>
  <c r="D115" i="1"/>
  <c r="A115" i="1"/>
  <c r="AX114" i="1" a="1"/>
  <c r="AX114" i="1" s="1"/>
  <c r="AU114" i="1"/>
  <c r="AT114" i="1"/>
  <c r="AM114" i="1"/>
  <c r="AI114" i="1"/>
  <c r="AE114" i="1"/>
  <c r="AB114" i="1"/>
  <c r="W114" i="1"/>
  <c r="T114" i="1"/>
  <c r="S114" i="1"/>
  <c r="H114" i="1"/>
  <c r="D114" i="1"/>
  <c r="A114" i="1"/>
  <c r="K114" i="1" s="1"/>
  <c r="AX113" i="1" a="1"/>
  <c r="AX113" i="1" s="1"/>
  <c r="AU113" i="1"/>
  <c r="AT113" i="1"/>
  <c r="AI113" i="1"/>
  <c r="AE113" i="1"/>
  <c r="AB113" i="1"/>
  <c r="AQ113" i="1" s="1"/>
  <c r="W113" i="1"/>
  <c r="T113" i="1"/>
  <c r="S113" i="1"/>
  <c r="H113" i="1"/>
  <c r="D113" i="1"/>
  <c r="A113" i="1"/>
  <c r="AX112" i="1" a="1"/>
  <c r="AX112" i="1" s="1"/>
  <c r="AU112" i="1"/>
  <c r="AT112" i="1"/>
  <c r="AQ112" i="1"/>
  <c r="AI112" i="1"/>
  <c r="AE112" i="1"/>
  <c r="AB112" i="1"/>
  <c r="AK112" i="1" s="1"/>
  <c r="W112" i="1"/>
  <c r="T112" i="1"/>
  <c r="S112" i="1"/>
  <c r="H112" i="1"/>
  <c r="D112" i="1"/>
  <c r="A112" i="1"/>
  <c r="P112" i="1" s="1"/>
  <c r="AX111" i="1"/>
  <c r="AX111" i="1" a="1"/>
  <c r="AU111" i="1"/>
  <c r="AT111" i="1"/>
  <c r="AM111" i="1"/>
  <c r="AI111" i="1"/>
  <c r="AE111" i="1"/>
  <c r="AB111" i="1"/>
  <c r="AP111" i="1" s="1" a="1"/>
  <c r="AP111" i="1" s="1"/>
  <c r="W111" i="1"/>
  <c r="T111" i="1"/>
  <c r="S111" i="1"/>
  <c r="H111" i="1"/>
  <c r="D111" i="1"/>
  <c r="A111" i="1"/>
  <c r="J111" i="1" s="1"/>
  <c r="AX110" i="1" a="1"/>
  <c r="AX110" i="1" s="1"/>
  <c r="AU110" i="1"/>
  <c r="AT110" i="1"/>
  <c r="AI110" i="1"/>
  <c r="AE110" i="1"/>
  <c r="AB110" i="1"/>
  <c r="AP110" i="1" s="1" a="1"/>
  <c r="AP110" i="1" s="1"/>
  <c r="W110" i="1"/>
  <c r="T110" i="1"/>
  <c r="S110" i="1"/>
  <c r="H110" i="1"/>
  <c r="D110" i="1"/>
  <c r="A110" i="1"/>
  <c r="L110" i="1" s="1"/>
  <c r="AX109" i="1" a="1"/>
  <c r="AX109" i="1" s="1"/>
  <c r="AU109" i="1"/>
  <c r="AT109" i="1"/>
  <c r="AI109" i="1"/>
  <c r="AE109" i="1"/>
  <c r="AB109" i="1"/>
  <c r="W109" i="1"/>
  <c r="T109" i="1"/>
  <c r="S109" i="1"/>
  <c r="H109" i="1"/>
  <c r="D109" i="1"/>
  <c r="A109" i="1"/>
  <c r="AX108" i="1" a="1"/>
  <c r="AX108" i="1" s="1"/>
  <c r="AU108" i="1"/>
  <c r="AT108" i="1"/>
  <c r="AI108" i="1"/>
  <c r="AE108" i="1"/>
  <c r="AB108" i="1"/>
  <c r="AK108" i="1" s="1"/>
  <c r="W108" i="1"/>
  <c r="T108" i="1"/>
  <c r="S108" i="1"/>
  <c r="H108" i="1"/>
  <c r="D108" i="1"/>
  <c r="A108" i="1"/>
  <c r="AX107" i="1" a="1"/>
  <c r="AX107" i="1" s="1"/>
  <c r="AU107" i="1"/>
  <c r="AT107" i="1"/>
  <c r="AM107" i="1"/>
  <c r="AI107" i="1"/>
  <c r="AE107" i="1"/>
  <c r="AB107" i="1"/>
  <c r="W107" i="1"/>
  <c r="T107" i="1"/>
  <c r="S107" i="1"/>
  <c r="H107" i="1"/>
  <c r="D107" i="1"/>
  <c r="A107" i="1"/>
  <c r="N107" i="1" s="1" a="1"/>
  <c r="N107" i="1" s="1"/>
  <c r="AX106" i="1" a="1"/>
  <c r="AX106" i="1" s="1"/>
  <c r="AU106" i="1"/>
  <c r="AT106" i="1"/>
  <c r="AI106" i="1"/>
  <c r="AE106" i="1"/>
  <c r="AB106" i="1"/>
  <c r="W106" i="1"/>
  <c r="T106" i="1"/>
  <c r="S106" i="1"/>
  <c r="H106" i="1"/>
  <c r="D106" i="1"/>
  <c r="A106" i="1"/>
  <c r="AX105" i="1" a="1"/>
  <c r="AX105" i="1" s="1"/>
  <c r="AU105" i="1"/>
  <c r="AT105" i="1"/>
  <c r="AI105" i="1"/>
  <c r="AE105" i="1"/>
  <c r="AB105" i="1"/>
  <c r="AQ105" i="1" s="1"/>
  <c r="W105" i="1"/>
  <c r="T105" i="1"/>
  <c r="S105" i="1"/>
  <c r="H105" i="1"/>
  <c r="D105" i="1"/>
  <c r="A105" i="1"/>
  <c r="AX104" i="1" a="1"/>
  <c r="AX104" i="1" s="1"/>
  <c r="AU104" i="1"/>
  <c r="AT104" i="1"/>
  <c r="AK104" i="1"/>
  <c r="AI104" i="1"/>
  <c r="AE104" i="1"/>
  <c r="AB104" i="1"/>
  <c r="AQ104" i="1" s="1"/>
  <c r="W104" i="1"/>
  <c r="T104" i="1"/>
  <c r="S104" i="1"/>
  <c r="H104" i="1"/>
  <c r="D104" i="1"/>
  <c r="A104" i="1"/>
  <c r="AX103" i="1" a="1"/>
  <c r="AX103" i="1" s="1"/>
  <c r="AU103" i="1"/>
  <c r="AT103" i="1"/>
  <c r="AI103" i="1"/>
  <c r="AE103" i="1"/>
  <c r="AB103" i="1"/>
  <c r="AL103" i="1" s="1"/>
  <c r="W103" i="1"/>
  <c r="T103" i="1"/>
  <c r="S103" i="1"/>
  <c r="H103" i="1"/>
  <c r="D103" i="1"/>
  <c r="A103" i="1"/>
  <c r="P103" i="1" s="1"/>
  <c r="AX102" i="1" a="1"/>
  <c r="AX102" i="1" s="1"/>
  <c r="AU102" i="1"/>
  <c r="AT102" i="1"/>
  <c r="AM102" i="1"/>
  <c r="AI102" i="1"/>
  <c r="AE102" i="1"/>
  <c r="AB102" i="1"/>
  <c r="AL102" i="1" s="1"/>
  <c r="W102" i="1"/>
  <c r="T102" i="1"/>
  <c r="S102" i="1"/>
  <c r="H102" i="1"/>
  <c r="D102" i="1"/>
  <c r="A102" i="1"/>
  <c r="AX101" i="1" a="1"/>
  <c r="AX101" i="1" s="1"/>
  <c r="AU101" i="1"/>
  <c r="AT101" i="1"/>
  <c r="AI101" i="1"/>
  <c r="AE101" i="1"/>
  <c r="AB101" i="1"/>
  <c r="AQ101" i="1" s="1"/>
  <c r="W101" i="1"/>
  <c r="T101" i="1"/>
  <c r="S101" i="1"/>
  <c r="L101" i="1"/>
  <c r="H101" i="1"/>
  <c r="D101" i="1"/>
  <c r="A101" i="1"/>
  <c r="K101" i="1" s="1"/>
  <c r="AX100" i="1" a="1"/>
  <c r="AX100" i="1" s="1"/>
  <c r="AU100" i="1"/>
  <c r="AT100" i="1"/>
  <c r="AI100" i="1"/>
  <c r="AE100" i="1"/>
  <c r="AB100" i="1"/>
  <c r="AK100" i="1" s="1"/>
  <c r="W100" i="1"/>
  <c r="T100" i="1"/>
  <c r="S100" i="1"/>
  <c r="H100" i="1"/>
  <c r="D100" i="1"/>
  <c r="A100" i="1"/>
  <c r="AX99" i="1" a="1"/>
  <c r="AX99" i="1" s="1"/>
  <c r="AU99" i="1"/>
  <c r="AT99" i="1"/>
  <c r="AI99" i="1"/>
  <c r="AE99" i="1"/>
  <c r="AB99" i="1"/>
  <c r="W99" i="1"/>
  <c r="T99" i="1"/>
  <c r="S99" i="1"/>
  <c r="H99" i="1"/>
  <c r="D99" i="1"/>
  <c r="A99" i="1"/>
  <c r="J99" i="1" s="1"/>
  <c r="AX98" i="1" a="1"/>
  <c r="AX98" i="1" s="1"/>
  <c r="AU98" i="1"/>
  <c r="AT98" i="1"/>
  <c r="AI98" i="1"/>
  <c r="AE98" i="1"/>
  <c r="AB98" i="1"/>
  <c r="AL98" i="1" s="1"/>
  <c r="W98" i="1"/>
  <c r="T98" i="1"/>
  <c r="S98" i="1"/>
  <c r="H98" i="1"/>
  <c r="D98" i="1"/>
  <c r="A98" i="1"/>
  <c r="L98" i="1" s="1"/>
  <c r="AX97" i="1" a="1"/>
  <c r="AX97" i="1" s="1"/>
  <c r="AU97" i="1"/>
  <c r="AT97" i="1"/>
  <c r="AI97" i="1"/>
  <c r="AE97" i="1"/>
  <c r="AB97" i="1"/>
  <c r="W97" i="1"/>
  <c r="T97" i="1"/>
  <c r="S97" i="1"/>
  <c r="H97" i="1"/>
  <c r="D97" i="1"/>
  <c r="A97" i="1"/>
  <c r="AX96" i="1" a="1"/>
  <c r="AX96" i="1" s="1"/>
  <c r="AU96" i="1"/>
  <c r="AT96" i="1"/>
  <c r="AI96" i="1"/>
  <c r="AE96" i="1"/>
  <c r="AB96" i="1"/>
  <c r="AK96" i="1" s="1"/>
  <c r="W96" i="1"/>
  <c r="T96" i="1"/>
  <c r="S96" i="1"/>
  <c r="H96" i="1"/>
  <c r="D96" i="1"/>
  <c r="A96" i="1"/>
  <c r="AX95" i="1" a="1"/>
  <c r="AX95" i="1" s="1"/>
  <c r="AU95" i="1"/>
  <c r="AT95" i="1"/>
  <c r="AI95" i="1"/>
  <c r="AE95" i="1"/>
  <c r="AB95" i="1"/>
  <c r="AM95" i="1" s="1"/>
  <c r="W95" i="1"/>
  <c r="T95" i="1"/>
  <c r="S95" i="1"/>
  <c r="H95" i="1"/>
  <c r="D95" i="1"/>
  <c r="A95" i="1"/>
  <c r="AX94" i="1" a="1"/>
  <c r="AX94" i="1" s="1"/>
  <c r="AU94" i="1"/>
  <c r="AT94" i="1"/>
  <c r="AI94" i="1"/>
  <c r="AE94" i="1"/>
  <c r="AB94" i="1"/>
  <c r="W94" i="1"/>
  <c r="T94" i="1"/>
  <c r="S94" i="1"/>
  <c r="H94" i="1"/>
  <c r="D94" i="1"/>
  <c r="A94" i="1"/>
  <c r="AX93" i="1" a="1"/>
  <c r="AX93" i="1" s="1"/>
  <c r="AU93" i="1"/>
  <c r="AT93" i="1"/>
  <c r="AI93" i="1"/>
  <c r="AE93" i="1"/>
  <c r="AB93" i="1"/>
  <c r="AQ93" i="1" s="1"/>
  <c r="W93" i="1"/>
  <c r="T93" i="1"/>
  <c r="S93" i="1"/>
  <c r="H93" i="1"/>
  <c r="D93" i="1"/>
  <c r="A93" i="1"/>
  <c r="AX92" i="1" a="1"/>
  <c r="AX92" i="1" s="1"/>
  <c r="AU92" i="1"/>
  <c r="AT92" i="1"/>
  <c r="AI92" i="1"/>
  <c r="AE92" i="1"/>
  <c r="AB92" i="1"/>
  <c r="AK92" i="1" s="1"/>
  <c r="W92" i="1"/>
  <c r="T92" i="1"/>
  <c r="S92" i="1"/>
  <c r="H92" i="1"/>
  <c r="D92" i="1"/>
  <c r="A92" i="1"/>
  <c r="P92" i="1" s="1"/>
  <c r="AX91" i="1" a="1"/>
  <c r="AX91" i="1" s="1"/>
  <c r="AU91" i="1"/>
  <c r="AT91" i="1"/>
  <c r="AI91" i="1"/>
  <c r="AE91" i="1"/>
  <c r="AB91" i="1"/>
  <c r="AN91" i="1" s="1"/>
  <c r="W91" i="1"/>
  <c r="T91" i="1"/>
  <c r="S91" i="1"/>
  <c r="H91" i="1"/>
  <c r="D91" i="1"/>
  <c r="A91" i="1"/>
  <c r="N91" i="1" s="1" a="1"/>
  <c r="N91" i="1" s="1"/>
  <c r="AX90" i="1" a="1"/>
  <c r="AX90" i="1" s="1"/>
  <c r="AU90" i="1"/>
  <c r="AT90" i="1"/>
  <c r="AI90" i="1"/>
  <c r="AE90" i="1"/>
  <c r="AB90" i="1"/>
  <c r="AM90" i="1" s="1"/>
  <c r="W90" i="1"/>
  <c r="T90" i="1"/>
  <c r="S90" i="1"/>
  <c r="H90" i="1"/>
  <c r="D90" i="1"/>
  <c r="A90" i="1"/>
  <c r="AX89" i="1" a="1"/>
  <c r="AX89" i="1" s="1"/>
  <c r="AU89" i="1"/>
  <c r="AT89" i="1"/>
  <c r="AI89" i="1"/>
  <c r="AE89" i="1"/>
  <c r="AB89" i="1"/>
  <c r="AQ89" i="1" s="1"/>
  <c r="W89" i="1"/>
  <c r="T89" i="1"/>
  <c r="S89" i="1"/>
  <c r="H89" i="1"/>
  <c r="D89" i="1"/>
  <c r="A89" i="1"/>
  <c r="AX88" i="1" a="1"/>
  <c r="AX88" i="1" s="1"/>
  <c r="AU88" i="1"/>
  <c r="AT88" i="1"/>
  <c r="AI88" i="1"/>
  <c r="AE88" i="1"/>
  <c r="AB88" i="1"/>
  <c r="AK88" i="1" s="1"/>
  <c r="W88" i="1"/>
  <c r="T88" i="1"/>
  <c r="S88" i="1"/>
  <c r="K88" i="1"/>
  <c r="H88" i="1"/>
  <c r="D88" i="1"/>
  <c r="A88" i="1"/>
  <c r="AX87" i="1" a="1"/>
  <c r="AX87" i="1" s="1"/>
  <c r="AU87" i="1"/>
  <c r="AT87" i="1"/>
  <c r="AI87" i="1"/>
  <c r="AE87" i="1"/>
  <c r="AB87" i="1"/>
  <c r="W87" i="1"/>
  <c r="T87" i="1"/>
  <c r="S87" i="1"/>
  <c r="H87" i="1"/>
  <c r="D87" i="1"/>
  <c r="A87" i="1"/>
  <c r="J87" i="1" s="1"/>
  <c r="AX86" i="1" a="1"/>
  <c r="AX86" i="1" s="1"/>
  <c r="AU86" i="1"/>
  <c r="AT86" i="1"/>
  <c r="AI86" i="1"/>
  <c r="AE86" i="1"/>
  <c r="AB86" i="1"/>
  <c r="AL86" i="1" s="1"/>
  <c r="W86" i="1"/>
  <c r="T86" i="1"/>
  <c r="S86" i="1"/>
  <c r="H86" i="1"/>
  <c r="D86" i="1"/>
  <c r="A86" i="1"/>
  <c r="O86" i="1" s="1" a="1"/>
  <c r="O86" i="1" s="1"/>
  <c r="AX85" i="1" a="1"/>
  <c r="AX85" i="1" s="1"/>
  <c r="AU85" i="1"/>
  <c r="AT85" i="1"/>
  <c r="AI85" i="1"/>
  <c r="AE85" i="1"/>
  <c r="AB85" i="1"/>
  <c r="W85" i="1"/>
  <c r="T85" i="1"/>
  <c r="S85" i="1"/>
  <c r="L85" i="1"/>
  <c r="H85" i="1"/>
  <c r="D85" i="1"/>
  <c r="A85" i="1"/>
  <c r="AX84" i="1" a="1"/>
  <c r="AX84" i="1" s="1"/>
  <c r="AU84" i="1"/>
  <c r="AT84" i="1"/>
  <c r="AQ84" i="1"/>
  <c r="AI84" i="1"/>
  <c r="AE84" i="1"/>
  <c r="AB84" i="1"/>
  <c r="W84" i="1"/>
  <c r="T84" i="1"/>
  <c r="S84" i="1"/>
  <c r="H84" i="1"/>
  <c r="D84" i="1"/>
  <c r="A84" i="1"/>
  <c r="N83" i="1" s="1" a="1"/>
  <c r="N83" i="1" s="1"/>
  <c r="AX83" i="1" a="1"/>
  <c r="AX83" i="1" s="1"/>
  <c r="AU83" i="1"/>
  <c r="AT83" i="1"/>
  <c r="AP83" i="1" a="1"/>
  <c r="AP83" i="1" s="1"/>
  <c r="AI83" i="1"/>
  <c r="AE83" i="1"/>
  <c r="AB83" i="1"/>
  <c r="AM82" i="1" s="1"/>
  <c r="W83" i="1"/>
  <c r="T83" i="1"/>
  <c r="S83" i="1"/>
  <c r="J83" i="1"/>
  <c r="H83" i="1"/>
  <c r="D83" i="1"/>
  <c r="A83" i="1"/>
  <c r="AX82" i="1" a="1"/>
  <c r="AX82" i="1" s="1"/>
  <c r="AU82" i="1"/>
  <c r="AT82" i="1"/>
  <c r="AI82" i="1"/>
  <c r="AE82" i="1"/>
  <c r="AB82" i="1"/>
  <c r="AL82" i="1" s="1"/>
  <c r="W82" i="1"/>
  <c r="T82" i="1"/>
  <c r="S82" i="1"/>
  <c r="H82" i="1"/>
  <c r="D82" i="1"/>
  <c r="A82" i="1"/>
  <c r="L82" i="1" s="1"/>
  <c r="AX81" i="1" a="1"/>
  <c r="AX81" i="1" s="1"/>
  <c r="AU81" i="1"/>
  <c r="AT81" i="1"/>
  <c r="AI81" i="1"/>
  <c r="AE81" i="1"/>
  <c r="AB81" i="1"/>
  <c r="AL81" i="1" s="1"/>
  <c r="W81" i="1"/>
  <c r="T81" i="1"/>
  <c r="S81" i="1"/>
  <c r="H81" i="1"/>
  <c r="D81" i="1"/>
  <c r="A81" i="1"/>
  <c r="AX80" i="1" a="1"/>
  <c r="AX80" i="1" s="1"/>
  <c r="AU80" i="1"/>
  <c r="AT80" i="1"/>
  <c r="AK80" i="1"/>
  <c r="AI80" i="1"/>
  <c r="AE80" i="1"/>
  <c r="AB80" i="1"/>
  <c r="W80" i="1"/>
  <c r="T80" i="1"/>
  <c r="S80" i="1"/>
  <c r="H80" i="1"/>
  <c r="D80" i="1"/>
  <c r="A80" i="1"/>
  <c r="AX79" i="1" a="1"/>
  <c r="AX79" i="1" s="1"/>
  <c r="AU79" i="1"/>
  <c r="AT79" i="1"/>
  <c r="AI79" i="1"/>
  <c r="AE79" i="1"/>
  <c r="AB79" i="1"/>
  <c r="AN79" i="1" s="1"/>
  <c r="W79" i="1"/>
  <c r="T79" i="1"/>
  <c r="S79" i="1"/>
  <c r="H79" i="1"/>
  <c r="D79" i="1"/>
  <c r="A79" i="1"/>
  <c r="AX78" i="1" a="1"/>
  <c r="AX78" i="1" s="1"/>
  <c r="AU78" i="1"/>
  <c r="AT78" i="1"/>
  <c r="AI78" i="1"/>
  <c r="AE78" i="1"/>
  <c r="AB78" i="1"/>
  <c r="AP78" i="1" s="1" a="1"/>
  <c r="AP78" i="1" s="1"/>
  <c r="W78" i="1"/>
  <c r="T78" i="1"/>
  <c r="S78" i="1"/>
  <c r="L78" i="1"/>
  <c r="H78" i="1"/>
  <c r="D78" i="1"/>
  <c r="A78" i="1"/>
  <c r="AX77" i="1" a="1"/>
  <c r="AX77" i="1" s="1"/>
  <c r="AU77" i="1"/>
  <c r="AT77" i="1"/>
  <c r="AI77" i="1"/>
  <c r="AE77" i="1"/>
  <c r="AB77" i="1"/>
  <c r="W77" i="1"/>
  <c r="T77" i="1"/>
  <c r="S77" i="1"/>
  <c r="H77" i="1"/>
  <c r="D77" i="1"/>
  <c r="A77" i="1"/>
  <c r="K77" i="1" s="1"/>
  <c r="AX76" i="1" a="1"/>
  <c r="AX76" i="1" s="1"/>
  <c r="AU76" i="1"/>
  <c r="AT76" i="1"/>
  <c r="AI76" i="1"/>
  <c r="AE76" i="1"/>
  <c r="AB76" i="1"/>
  <c r="AK76" i="1" s="1"/>
  <c r="W76" i="1"/>
  <c r="T76" i="1"/>
  <c r="S76" i="1"/>
  <c r="H76" i="1"/>
  <c r="D76" i="1"/>
  <c r="A76" i="1"/>
  <c r="AX75" i="1" a="1"/>
  <c r="AX75" i="1" s="1"/>
  <c r="AU75" i="1"/>
  <c r="AT75" i="1"/>
  <c r="AI75" i="1"/>
  <c r="AE75" i="1"/>
  <c r="AB75" i="1"/>
  <c r="AL75" i="1" s="1"/>
  <c r="W75" i="1"/>
  <c r="T75" i="1"/>
  <c r="S75" i="1"/>
  <c r="H75" i="1"/>
  <c r="D75" i="1"/>
  <c r="A75" i="1"/>
  <c r="J75" i="1" s="1"/>
  <c r="AX74" i="1" a="1"/>
  <c r="AX74" i="1" s="1"/>
  <c r="AU74" i="1"/>
  <c r="AT74" i="1"/>
  <c r="AM74" i="1"/>
  <c r="AI74" i="1"/>
  <c r="AE74" i="1"/>
  <c r="AB74" i="1"/>
  <c r="W74" i="1"/>
  <c r="T74" i="1"/>
  <c r="S74" i="1"/>
  <c r="H74" i="1"/>
  <c r="D74" i="1"/>
  <c r="A74" i="1"/>
  <c r="AX73" i="1" a="1"/>
  <c r="AX73" i="1" s="1"/>
  <c r="AU73" i="1"/>
  <c r="AT73" i="1"/>
  <c r="AI73" i="1"/>
  <c r="AE73" i="1"/>
  <c r="AB73" i="1"/>
  <c r="AL73" i="1" s="1"/>
  <c r="W73" i="1"/>
  <c r="T73" i="1"/>
  <c r="S73" i="1"/>
  <c r="L73" i="1"/>
  <c r="H73" i="1"/>
  <c r="D73" i="1"/>
  <c r="A73" i="1"/>
  <c r="AX72" i="1" a="1"/>
  <c r="AX72" i="1" s="1"/>
  <c r="AU72" i="1"/>
  <c r="AT72" i="1"/>
  <c r="AI72" i="1"/>
  <c r="AE72" i="1"/>
  <c r="AB72" i="1"/>
  <c r="AM71" i="1" s="1"/>
  <c r="W72" i="1"/>
  <c r="T72" i="1"/>
  <c r="S72" i="1"/>
  <c r="H72" i="1"/>
  <c r="D72" i="1"/>
  <c r="A72" i="1"/>
  <c r="AX71" i="1" a="1"/>
  <c r="AX71" i="1" s="1"/>
  <c r="AU71" i="1"/>
  <c r="AT71" i="1"/>
  <c r="AI71" i="1"/>
  <c r="AE71" i="1"/>
  <c r="AB71" i="1"/>
  <c r="W71" i="1"/>
  <c r="T71" i="1"/>
  <c r="S71" i="1"/>
  <c r="H71" i="1"/>
  <c r="D71" i="1"/>
  <c r="A71" i="1"/>
  <c r="N71" i="1" s="1" a="1"/>
  <c r="N71" i="1" s="1"/>
  <c r="AX70" i="1" a="1"/>
  <c r="AX70" i="1" s="1"/>
  <c r="AU70" i="1"/>
  <c r="AT70" i="1"/>
  <c r="AI70" i="1"/>
  <c r="AE70" i="1"/>
  <c r="AB70" i="1"/>
  <c r="W70" i="1"/>
  <c r="T70" i="1"/>
  <c r="S70" i="1"/>
  <c r="H70" i="1"/>
  <c r="D70" i="1"/>
  <c r="A70" i="1"/>
  <c r="AX69" i="1" a="1"/>
  <c r="AX69" i="1" s="1"/>
  <c r="AU69" i="1"/>
  <c r="AT69" i="1"/>
  <c r="AI69" i="1"/>
  <c r="AE69" i="1"/>
  <c r="AB69" i="1"/>
  <c r="W69" i="1"/>
  <c r="T69" i="1"/>
  <c r="S69" i="1"/>
  <c r="H69" i="1"/>
  <c r="D69" i="1"/>
  <c r="A69" i="1"/>
  <c r="AX68" i="1" a="1"/>
  <c r="AX68" i="1" s="1"/>
  <c r="AU68" i="1"/>
  <c r="AT68" i="1"/>
  <c r="AK68" i="1"/>
  <c r="AI68" i="1"/>
  <c r="AE68" i="1"/>
  <c r="AB68" i="1"/>
  <c r="W68" i="1"/>
  <c r="T68" i="1"/>
  <c r="S68" i="1"/>
  <c r="H68" i="1"/>
  <c r="D68" i="1"/>
  <c r="A68" i="1"/>
  <c r="AX67" i="1" a="1"/>
  <c r="AX67" i="1" s="1"/>
  <c r="AU67" i="1"/>
  <c r="AT67" i="1"/>
  <c r="AI67" i="1"/>
  <c r="AE67" i="1"/>
  <c r="AB67" i="1"/>
  <c r="AM67" i="1" s="1"/>
  <c r="W67" i="1"/>
  <c r="T67" i="1"/>
  <c r="S67" i="1"/>
  <c r="H67" i="1"/>
  <c r="F67" i="1"/>
  <c r="D67" i="1"/>
  <c r="A67" i="1"/>
  <c r="AX66" i="1" a="1"/>
  <c r="AX66" i="1" s="1"/>
  <c r="AU66" i="1"/>
  <c r="AT66" i="1"/>
  <c r="AI66" i="1"/>
  <c r="AE66" i="1"/>
  <c r="AB66" i="1"/>
  <c r="W66" i="1"/>
  <c r="T66" i="1"/>
  <c r="S66" i="1"/>
  <c r="H66" i="1"/>
  <c r="F66" i="1"/>
  <c r="D66" i="1"/>
  <c r="A66" i="1"/>
  <c r="P66" i="1" s="1"/>
  <c r="AX65" i="1" a="1"/>
  <c r="AX65" i="1" s="1"/>
  <c r="AU65" i="1"/>
  <c r="AT65" i="1"/>
  <c r="AI65" i="1"/>
  <c r="AE65" i="1"/>
  <c r="AB65" i="1"/>
  <c r="W65" i="1"/>
  <c r="T65" i="1"/>
  <c r="S65" i="1"/>
  <c r="H65" i="1"/>
  <c r="F65" i="1"/>
  <c r="D65" i="1"/>
  <c r="A65" i="1"/>
  <c r="AX64" i="1" a="1"/>
  <c r="AX64" i="1" s="1"/>
  <c r="AU64" i="1"/>
  <c r="AT64" i="1"/>
  <c r="AI64" i="1"/>
  <c r="AE64" i="1"/>
  <c r="AB64" i="1"/>
  <c r="W64" i="1"/>
  <c r="T64" i="1"/>
  <c r="S64" i="1"/>
  <c r="H64" i="1"/>
  <c r="F64" i="1"/>
  <c r="D64" i="1"/>
  <c r="A64" i="1"/>
  <c r="AX63" i="1" a="1"/>
  <c r="AX63" i="1" s="1"/>
  <c r="AU63" i="1"/>
  <c r="AT63" i="1"/>
  <c r="AI63" i="1"/>
  <c r="AE63" i="1"/>
  <c r="AB63" i="1"/>
  <c r="W63" i="1"/>
  <c r="T63" i="1"/>
  <c r="S63" i="1"/>
  <c r="H63" i="1"/>
  <c r="F63" i="1"/>
  <c r="D63" i="1"/>
  <c r="A63" i="1"/>
  <c r="AX62" i="1" a="1"/>
  <c r="AX62" i="1" s="1"/>
  <c r="AU62" i="1"/>
  <c r="AT62" i="1"/>
  <c r="AI62" i="1"/>
  <c r="AE62" i="1"/>
  <c r="AB62" i="1"/>
  <c r="W62" i="1"/>
  <c r="T62" i="1"/>
  <c r="S62" i="1"/>
  <c r="H62" i="1"/>
  <c r="F62" i="1"/>
  <c r="D62" i="1"/>
  <c r="A62" i="1"/>
  <c r="N61" i="1" s="1" a="1"/>
  <c r="N61" i="1" s="1"/>
  <c r="AX61" i="1" a="1"/>
  <c r="AX61" i="1" s="1"/>
  <c r="AU61" i="1"/>
  <c r="AT61" i="1"/>
  <c r="AI61" i="1"/>
  <c r="AE61" i="1"/>
  <c r="AB61" i="1"/>
  <c r="AN60" i="1" s="1"/>
  <c r="W61" i="1"/>
  <c r="T61" i="1"/>
  <c r="S61" i="1"/>
  <c r="H61" i="1"/>
  <c r="F61" i="1"/>
  <c r="D61" i="1"/>
  <c r="A61" i="1"/>
  <c r="AX60" i="1"/>
  <c r="AX60" i="1" a="1"/>
  <c r="AU60" i="1"/>
  <c r="AT60" i="1"/>
  <c r="AI60" i="1"/>
  <c r="AE60" i="1"/>
  <c r="AB60" i="1"/>
  <c r="W60" i="1"/>
  <c r="T60" i="1"/>
  <c r="S60" i="1"/>
  <c r="H60" i="1"/>
  <c r="F60" i="1"/>
  <c r="D60" i="1"/>
  <c r="A60" i="1"/>
  <c r="N59" i="1" s="1" a="1"/>
  <c r="N59" i="1" s="1"/>
  <c r="AX59" i="1" a="1"/>
  <c r="AX59" i="1" s="1"/>
  <c r="AU59" i="1"/>
  <c r="AT59" i="1"/>
  <c r="AM59" i="1"/>
  <c r="AI59" i="1"/>
  <c r="AE59" i="1"/>
  <c r="AB59" i="1"/>
  <c r="W59" i="1"/>
  <c r="T59" i="1"/>
  <c r="S59" i="1"/>
  <c r="H59" i="1"/>
  <c r="F59" i="1"/>
  <c r="D59" i="1"/>
  <c r="A59" i="1"/>
  <c r="AX58" i="1" a="1"/>
  <c r="AX58" i="1" s="1"/>
  <c r="AU58" i="1"/>
  <c r="AT58" i="1"/>
  <c r="AI58" i="1"/>
  <c r="AE58" i="1"/>
  <c r="AB58" i="1"/>
  <c r="AP58" i="1" s="1" a="1"/>
  <c r="AP58" i="1" s="1"/>
  <c r="W58" i="1"/>
  <c r="T58" i="1"/>
  <c r="S58" i="1"/>
  <c r="H58" i="1"/>
  <c r="F58" i="1"/>
  <c r="D58" i="1"/>
  <c r="A58" i="1"/>
  <c r="AX57" i="1" a="1"/>
  <c r="AX57" i="1" s="1"/>
  <c r="AU57" i="1"/>
  <c r="AT57" i="1"/>
  <c r="AI57" i="1"/>
  <c r="AE57" i="1"/>
  <c r="AB57" i="1"/>
  <c r="W57" i="1"/>
  <c r="T57" i="1"/>
  <c r="S57" i="1"/>
  <c r="H57" i="1"/>
  <c r="F57" i="1"/>
  <c r="D57" i="1"/>
  <c r="A57" i="1"/>
  <c r="N57" i="1" s="1" a="1"/>
  <c r="N57" i="1" s="1"/>
  <c r="AX56" i="1" a="1"/>
  <c r="AX56" i="1" s="1"/>
  <c r="AU56" i="1"/>
  <c r="AT56" i="1"/>
  <c r="AI56" i="1"/>
  <c r="AE56" i="1"/>
  <c r="AB56" i="1"/>
  <c r="W56" i="1"/>
  <c r="T56" i="1"/>
  <c r="S56" i="1"/>
  <c r="H56" i="1"/>
  <c r="F56" i="1"/>
  <c r="D56" i="1"/>
  <c r="A56" i="1"/>
  <c r="N55" i="1" s="1" a="1"/>
  <c r="N55" i="1" s="1"/>
  <c r="AX55" i="1" a="1"/>
  <c r="AX55" i="1" s="1"/>
  <c r="AU55" i="1"/>
  <c r="AT55" i="1"/>
  <c r="AI55" i="1"/>
  <c r="AE55" i="1"/>
  <c r="AB55" i="1"/>
  <c r="W55" i="1"/>
  <c r="T55" i="1"/>
  <c r="S55" i="1"/>
  <c r="H55" i="1"/>
  <c r="F55" i="1"/>
  <c r="D55" i="1"/>
  <c r="A55" i="1"/>
  <c r="AX54" i="1" a="1"/>
  <c r="AX54" i="1" s="1"/>
  <c r="AU54" i="1"/>
  <c r="AT54" i="1"/>
  <c r="AI54" i="1"/>
  <c r="AE54" i="1"/>
  <c r="AB54" i="1"/>
  <c r="W54" i="1"/>
  <c r="T54" i="1"/>
  <c r="S54" i="1"/>
  <c r="H54" i="1"/>
  <c r="F54" i="1"/>
  <c r="D54" i="1"/>
  <c r="A54" i="1"/>
  <c r="P54" i="1" s="1"/>
  <c r="AX53" i="1" a="1"/>
  <c r="AX53" i="1" s="1"/>
  <c r="AU53" i="1"/>
  <c r="AT53" i="1"/>
  <c r="AI53" i="1"/>
  <c r="AE53" i="1"/>
  <c r="AB53" i="1"/>
  <c r="W53" i="1"/>
  <c r="T53" i="1"/>
  <c r="S53" i="1"/>
  <c r="H53" i="1"/>
  <c r="F53" i="1"/>
  <c r="D53" i="1"/>
  <c r="A53" i="1"/>
  <c r="AX52" i="1" a="1"/>
  <c r="AX52" i="1" s="1"/>
  <c r="AU52" i="1"/>
  <c r="AT52" i="1"/>
  <c r="AI52" i="1"/>
  <c r="AE52" i="1"/>
  <c r="AB52" i="1"/>
  <c r="W52" i="1"/>
  <c r="T52" i="1"/>
  <c r="S52" i="1"/>
  <c r="H52" i="1"/>
  <c r="F52" i="1"/>
  <c r="D52" i="1"/>
  <c r="A52" i="1"/>
  <c r="AX51" i="1" a="1"/>
  <c r="AX51" i="1" s="1"/>
  <c r="AU51" i="1"/>
  <c r="AT51" i="1"/>
  <c r="AI51" i="1"/>
  <c r="AE51" i="1"/>
  <c r="AB51" i="1"/>
  <c r="AM51" i="1" s="1"/>
  <c r="W51" i="1"/>
  <c r="T51" i="1"/>
  <c r="S51" i="1"/>
  <c r="H51" i="1"/>
  <c r="F51" i="1"/>
  <c r="D51" i="1"/>
  <c r="A51" i="1"/>
  <c r="P51" i="1" s="1"/>
  <c r="AX50" i="1"/>
  <c r="AX50" i="1" a="1"/>
  <c r="AU50" i="1"/>
  <c r="AT50" i="1"/>
  <c r="AI50" i="1"/>
  <c r="AE50" i="1"/>
  <c r="AB50" i="1"/>
  <c r="AM49" i="1" s="1"/>
  <c r="W50" i="1"/>
  <c r="T50" i="1"/>
  <c r="S50" i="1"/>
  <c r="H50" i="1"/>
  <c r="F50" i="1"/>
  <c r="D50" i="1"/>
  <c r="A50" i="1"/>
  <c r="AX49" i="1" a="1"/>
  <c r="AX49" i="1" s="1"/>
  <c r="AU49" i="1"/>
  <c r="AT49" i="1"/>
  <c r="AI49" i="1"/>
  <c r="AE49" i="1"/>
  <c r="AB49" i="1"/>
  <c r="W49" i="1"/>
  <c r="T49" i="1"/>
  <c r="S49" i="1"/>
  <c r="H49" i="1"/>
  <c r="F49" i="1"/>
  <c r="D49" i="1"/>
  <c r="A49" i="1"/>
  <c r="N49" i="1" s="1" a="1"/>
  <c r="N49" i="1" s="1"/>
  <c r="AX48" i="1" a="1"/>
  <c r="AX48" i="1" s="1"/>
  <c r="AU48" i="1"/>
  <c r="AT48" i="1"/>
  <c r="AI48" i="1"/>
  <c r="AE48" i="1"/>
  <c r="AB48" i="1"/>
  <c r="AP47" i="1" s="1" a="1"/>
  <c r="AP47" i="1" s="1"/>
  <c r="W48" i="1"/>
  <c r="T48" i="1"/>
  <c r="S48" i="1"/>
  <c r="H48" i="1"/>
  <c r="F48" i="1"/>
  <c r="D48" i="1"/>
  <c r="A48" i="1"/>
  <c r="AX47" i="1" a="1"/>
  <c r="AX47" i="1" s="1"/>
  <c r="AU47" i="1"/>
  <c r="AT47" i="1"/>
  <c r="AI47" i="1"/>
  <c r="AE47" i="1"/>
  <c r="AB47" i="1"/>
  <c r="W47" i="1"/>
  <c r="T47" i="1"/>
  <c r="S47" i="1"/>
  <c r="H47" i="1"/>
  <c r="F47" i="1"/>
  <c r="D47" i="1"/>
  <c r="A47" i="1"/>
  <c r="AX46" i="1" a="1"/>
  <c r="AX46" i="1" s="1"/>
  <c r="AU46" i="1"/>
  <c r="AT46" i="1"/>
  <c r="AI46" i="1"/>
  <c r="AE46" i="1"/>
  <c r="AB46" i="1"/>
  <c r="AM46" i="1" s="1"/>
  <c r="W46" i="1"/>
  <c r="T46" i="1"/>
  <c r="S46" i="1"/>
  <c r="H46" i="1"/>
  <c r="F46" i="1"/>
  <c r="D46" i="1"/>
  <c r="A46" i="1"/>
  <c r="AX45" i="1" a="1"/>
  <c r="AX45" i="1" s="1"/>
  <c r="AU45" i="1"/>
  <c r="AT45" i="1"/>
  <c r="AM45" i="1"/>
  <c r="AI45" i="1"/>
  <c r="AE45" i="1"/>
  <c r="AB45" i="1"/>
  <c r="W45" i="1"/>
  <c r="T45" i="1"/>
  <c r="S45" i="1"/>
  <c r="H45" i="1"/>
  <c r="F45" i="1"/>
  <c r="D45" i="1"/>
  <c r="A45" i="1"/>
  <c r="AX44" i="1" a="1"/>
  <c r="AX44" i="1" s="1"/>
  <c r="AU44" i="1"/>
  <c r="AT44" i="1"/>
  <c r="AI44" i="1"/>
  <c r="AE44" i="1"/>
  <c r="AB44" i="1"/>
  <c r="AP44" i="1" s="1" a="1"/>
  <c r="AP44" i="1" s="1"/>
  <c r="W44" i="1"/>
  <c r="T44" i="1"/>
  <c r="S44" i="1"/>
  <c r="H44" i="1"/>
  <c r="F44" i="1"/>
  <c r="D44" i="1"/>
  <c r="A44" i="1"/>
  <c r="N43" i="1" s="1" a="1"/>
  <c r="N43" i="1" s="1"/>
  <c r="AX43" i="1" a="1"/>
  <c r="AX43" i="1" s="1"/>
  <c r="AU43" i="1"/>
  <c r="AT43" i="1"/>
  <c r="AI43" i="1"/>
  <c r="AE43" i="1"/>
  <c r="AB43" i="1"/>
  <c r="AL43" i="1" s="1"/>
  <c r="W43" i="1"/>
  <c r="T43" i="1"/>
  <c r="S43" i="1"/>
  <c r="H43" i="1"/>
  <c r="F43" i="1"/>
  <c r="D43" i="1"/>
  <c r="A43" i="1"/>
  <c r="AX42" i="1" a="1"/>
  <c r="AX42" i="1" s="1"/>
  <c r="AU42" i="1"/>
  <c r="AT42" i="1"/>
  <c r="AM42" i="1"/>
  <c r="AI42" i="1"/>
  <c r="AE42" i="1"/>
  <c r="AB42" i="1"/>
  <c r="W42" i="1"/>
  <c r="T42" i="1"/>
  <c r="S42" i="1"/>
  <c r="H42" i="1"/>
  <c r="F42" i="1"/>
  <c r="D42" i="1"/>
  <c r="A42" i="1"/>
  <c r="P42" i="1" s="1"/>
  <c r="AX41" i="1" a="1"/>
  <c r="AX41" i="1" s="1"/>
  <c r="AU41" i="1"/>
  <c r="AT41" i="1"/>
  <c r="AI41" i="1"/>
  <c r="AE41" i="1"/>
  <c r="AB41" i="1"/>
  <c r="AN41" i="1" s="1"/>
  <c r="W41" i="1"/>
  <c r="T41" i="1"/>
  <c r="S41" i="1"/>
  <c r="H41" i="1"/>
  <c r="F41" i="1"/>
  <c r="D41" i="1"/>
  <c r="A41" i="1"/>
  <c r="N41" i="1" s="1" a="1"/>
  <c r="N41" i="1" s="1"/>
  <c r="AX40" i="1" a="1"/>
  <c r="AX40" i="1" s="1"/>
  <c r="AU40" i="1"/>
  <c r="AT40" i="1"/>
  <c r="AI40" i="1"/>
  <c r="AE40" i="1"/>
  <c r="AB40" i="1"/>
  <c r="W40" i="1"/>
  <c r="T40" i="1"/>
  <c r="S40" i="1"/>
  <c r="H40" i="1"/>
  <c r="F40" i="1"/>
  <c r="D40" i="1"/>
  <c r="A40" i="1"/>
  <c r="AX39" i="1" a="1"/>
  <c r="AX39" i="1" s="1"/>
  <c r="AU39" i="1"/>
  <c r="AT39" i="1"/>
  <c r="AI39" i="1"/>
  <c r="AE39" i="1"/>
  <c r="AB39" i="1"/>
  <c r="W39" i="1"/>
  <c r="T39" i="1"/>
  <c r="S39" i="1"/>
  <c r="H39" i="1"/>
  <c r="F39" i="1"/>
  <c r="D39" i="1"/>
  <c r="A39" i="1"/>
  <c r="L38" i="1" s="1"/>
  <c r="AX38" i="1" a="1"/>
  <c r="AX38" i="1" s="1"/>
  <c r="AU38" i="1"/>
  <c r="AT38" i="1"/>
  <c r="AI38" i="1"/>
  <c r="AE38" i="1"/>
  <c r="AB38" i="1"/>
  <c r="W38" i="1"/>
  <c r="T38" i="1"/>
  <c r="S38" i="1"/>
  <c r="H38" i="1"/>
  <c r="F38" i="1"/>
  <c r="D38" i="1"/>
  <c r="A38" i="1"/>
  <c r="L37" i="1" s="1"/>
  <c r="AX37" i="1" a="1"/>
  <c r="AX37" i="1" s="1"/>
  <c r="AU37" i="1"/>
  <c r="AT37" i="1"/>
  <c r="AI37" i="1"/>
  <c r="AE37" i="1"/>
  <c r="AB37" i="1"/>
  <c r="W37" i="1"/>
  <c r="T37" i="1"/>
  <c r="S37" i="1"/>
  <c r="H37" i="1"/>
  <c r="F37" i="1"/>
  <c r="D37" i="1"/>
  <c r="A37" i="1"/>
  <c r="AX36" i="1" a="1"/>
  <c r="AX36" i="1" s="1"/>
  <c r="AU36" i="1"/>
  <c r="AT36" i="1"/>
  <c r="AI36" i="1"/>
  <c r="AE36" i="1"/>
  <c r="AB36" i="1"/>
  <c r="W36" i="1"/>
  <c r="T36" i="1"/>
  <c r="S36" i="1"/>
  <c r="H36" i="1"/>
  <c r="F36" i="1"/>
  <c r="D36" i="1"/>
  <c r="A36" i="1"/>
  <c r="AX35" i="1"/>
  <c r="AX35" i="1" a="1"/>
  <c r="AU35" i="1"/>
  <c r="AT35" i="1"/>
  <c r="AI35" i="1"/>
  <c r="AE35" i="1"/>
  <c r="AB35" i="1"/>
  <c r="AK35" i="1" s="1"/>
  <c r="W35" i="1"/>
  <c r="T35" i="1"/>
  <c r="S35" i="1"/>
  <c r="H35" i="1"/>
  <c r="F35" i="1"/>
  <c r="D35" i="1"/>
  <c r="A35" i="1"/>
  <c r="M35" i="1" s="1"/>
  <c r="AX34" i="1" a="1"/>
  <c r="AX34" i="1" s="1"/>
  <c r="AU34" i="1"/>
  <c r="AT34" i="1"/>
  <c r="AI34" i="1"/>
  <c r="AE34" i="1"/>
  <c r="AB34" i="1"/>
  <c r="AK34" i="1" s="1"/>
  <c r="W34" i="1"/>
  <c r="T34" i="1"/>
  <c r="S34" i="1"/>
  <c r="H34" i="1"/>
  <c r="F34" i="1"/>
  <c r="D34" i="1"/>
  <c r="A34" i="1"/>
  <c r="M33" i="1" s="1"/>
  <c r="AX33" i="1" a="1"/>
  <c r="AX33" i="1" s="1"/>
  <c r="AU33" i="1"/>
  <c r="AT33" i="1"/>
  <c r="AI33" i="1"/>
  <c r="AE33" i="1"/>
  <c r="AB33" i="1"/>
  <c r="AK33" i="1" s="1"/>
  <c r="W33" i="1"/>
  <c r="T33" i="1"/>
  <c r="S33" i="1"/>
  <c r="H33" i="1"/>
  <c r="F33" i="1"/>
  <c r="D33" i="1"/>
  <c r="A33" i="1"/>
  <c r="AX32" i="1" a="1"/>
  <c r="AX32" i="1" s="1"/>
  <c r="AU32" i="1"/>
  <c r="AT32" i="1"/>
  <c r="AI32" i="1"/>
  <c r="AE32" i="1"/>
  <c r="AB32" i="1"/>
  <c r="AK32" i="1" s="1"/>
  <c r="W32" i="1"/>
  <c r="T32" i="1"/>
  <c r="S32" i="1"/>
  <c r="H32" i="1"/>
  <c r="F32" i="1"/>
  <c r="D32" i="1"/>
  <c r="A32" i="1"/>
  <c r="M32" i="1" s="1"/>
  <c r="AX31" i="1" a="1"/>
  <c r="AX31" i="1" s="1"/>
  <c r="AU31" i="1"/>
  <c r="AT31" i="1"/>
  <c r="AI31" i="1"/>
  <c r="AE31" i="1"/>
  <c r="AB31" i="1"/>
  <c r="W31" i="1"/>
  <c r="T31" i="1"/>
  <c r="S31" i="1"/>
  <c r="H31" i="1"/>
  <c r="F31" i="1"/>
  <c r="D31" i="1"/>
  <c r="A31" i="1"/>
  <c r="M30" i="1" s="1"/>
  <c r="AX30" i="1"/>
  <c r="AX30" i="1" a="1"/>
  <c r="AU30" i="1"/>
  <c r="AT30" i="1"/>
  <c r="AI30" i="1"/>
  <c r="AE30" i="1"/>
  <c r="AB30" i="1"/>
  <c r="W30" i="1"/>
  <c r="T30" i="1"/>
  <c r="S30" i="1"/>
  <c r="H30" i="1"/>
  <c r="F30" i="1"/>
  <c r="D30" i="1"/>
  <c r="A30" i="1"/>
  <c r="AX29" i="1" a="1"/>
  <c r="AX29" i="1" s="1"/>
  <c r="AU29" i="1"/>
  <c r="AT29" i="1"/>
  <c r="AI29" i="1"/>
  <c r="AE29" i="1"/>
  <c r="AB29" i="1"/>
  <c r="W29" i="1"/>
  <c r="T29" i="1"/>
  <c r="S29" i="1"/>
  <c r="H29" i="1"/>
  <c r="F29" i="1"/>
  <c r="D29" i="1"/>
  <c r="A29" i="1"/>
  <c r="M29" i="1" s="1"/>
  <c r="AX28" i="1" a="1"/>
  <c r="AX28" i="1" s="1"/>
  <c r="AU28" i="1"/>
  <c r="AT28" i="1"/>
  <c r="AI28" i="1"/>
  <c r="AE28" i="1"/>
  <c r="AB28" i="1"/>
  <c r="W28" i="1"/>
  <c r="T28" i="1"/>
  <c r="S28" i="1"/>
  <c r="H28" i="1"/>
  <c r="F28" i="1"/>
  <c r="D28" i="1"/>
  <c r="A28" i="1"/>
  <c r="M28" i="1" s="1"/>
  <c r="AX27" i="1"/>
  <c r="AX27" i="1" a="1"/>
  <c r="AU27" i="1"/>
  <c r="AT27" i="1"/>
  <c r="AI27" i="1"/>
  <c r="AE27" i="1"/>
  <c r="AB27" i="1"/>
  <c r="W27" i="1"/>
  <c r="T27" i="1"/>
  <c r="S27" i="1"/>
  <c r="H27" i="1"/>
  <c r="F27" i="1"/>
  <c r="D27" i="1"/>
  <c r="A27" i="1"/>
  <c r="M26" i="1" s="1"/>
  <c r="AX26" i="1" a="1"/>
  <c r="AX26" i="1" s="1"/>
  <c r="AU26" i="1"/>
  <c r="AT26" i="1"/>
  <c r="AI26" i="1"/>
  <c r="AE26" i="1"/>
  <c r="AB26" i="1"/>
  <c r="W26" i="1"/>
  <c r="T26" i="1"/>
  <c r="S26" i="1"/>
  <c r="H26" i="1"/>
  <c r="F26" i="1"/>
  <c r="D26" i="1"/>
  <c r="A26" i="1"/>
  <c r="AX25" i="1" a="1"/>
  <c r="AX25" i="1" s="1"/>
  <c r="AU25" i="1"/>
  <c r="AT25" i="1"/>
  <c r="AK25" i="1"/>
  <c r="AI25" i="1"/>
  <c r="AE25" i="1"/>
  <c r="AB25" i="1"/>
  <c r="AQ25" i="1" s="1"/>
  <c r="W25" i="1"/>
  <c r="T25" i="1"/>
  <c r="S25" i="1"/>
  <c r="H25" i="1"/>
  <c r="F25" i="1"/>
  <c r="D25" i="1"/>
  <c r="A25" i="1"/>
  <c r="M24" i="1" s="1"/>
  <c r="AX24" i="1" a="1"/>
  <c r="AX24" i="1" s="1"/>
  <c r="AU24" i="1"/>
  <c r="AT24" i="1"/>
  <c r="AP24" i="1" a="1"/>
  <c r="AP24" i="1" s="1"/>
  <c r="AK24" i="1"/>
  <c r="AI24" i="1"/>
  <c r="AE24" i="1"/>
  <c r="AB24" i="1"/>
  <c r="AN24" i="1" s="1"/>
  <c r="W24" i="1"/>
  <c r="T24" i="1"/>
  <c r="S24" i="1"/>
  <c r="H24" i="1"/>
  <c r="F24" i="1"/>
  <c r="D24" i="1"/>
  <c r="A24" i="1"/>
  <c r="AX23" i="1" a="1"/>
  <c r="AX23" i="1" s="1"/>
  <c r="AU23" i="1"/>
  <c r="AT23" i="1"/>
  <c r="AI23" i="1"/>
  <c r="AE23" i="1"/>
  <c r="AB23" i="1"/>
  <c r="AO23" i="1" s="1" a="1"/>
  <c r="AO23" i="1" s="1"/>
  <c r="W23" i="1"/>
  <c r="T23" i="1"/>
  <c r="S23" i="1"/>
  <c r="H23" i="1"/>
  <c r="F23" i="1"/>
  <c r="D23" i="1"/>
  <c r="A23" i="1"/>
  <c r="M23" i="1" s="1"/>
  <c r="AX22" i="1"/>
  <c r="AX22" i="1" a="1"/>
  <c r="AU22" i="1"/>
  <c r="AT22" i="1"/>
  <c r="AI22" i="1"/>
  <c r="AE22" i="1"/>
  <c r="AB22" i="1"/>
  <c r="AO21" i="1" s="1" a="1"/>
  <c r="AO21" i="1" s="1"/>
  <c r="W22" i="1"/>
  <c r="T22" i="1"/>
  <c r="S22" i="1"/>
  <c r="H22" i="1"/>
  <c r="F22" i="1"/>
  <c r="D22" i="1"/>
  <c r="A22" i="1"/>
  <c r="M22" i="1" s="1"/>
  <c r="AX21" i="1" a="1"/>
  <c r="AX21" i="1" s="1"/>
  <c r="AU21" i="1"/>
  <c r="AT21" i="1"/>
  <c r="AI21" i="1"/>
  <c r="AE21" i="1"/>
  <c r="AB21" i="1"/>
  <c r="AO20" i="1" s="1" a="1"/>
  <c r="AO20" i="1" s="1"/>
  <c r="W21" i="1"/>
  <c r="T21" i="1"/>
  <c r="S21" i="1"/>
  <c r="H21" i="1"/>
  <c r="F21" i="1"/>
  <c r="D21" i="1"/>
  <c r="A21" i="1"/>
  <c r="M21" i="1" s="1"/>
  <c r="AX20" i="1"/>
  <c r="AX20" i="1" a="1"/>
  <c r="AU20" i="1"/>
  <c r="AT20" i="1"/>
  <c r="AI20" i="1"/>
  <c r="AE20" i="1"/>
  <c r="AB20" i="1"/>
  <c r="AO19" i="1" s="1" a="1"/>
  <c r="AO19" i="1" s="1"/>
  <c r="W20" i="1"/>
  <c r="T20" i="1"/>
  <c r="S20" i="1"/>
  <c r="H20" i="1"/>
  <c r="F20" i="1"/>
  <c r="D20" i="1"/>
  <c r="A20" i="1"/>
  <c r="M20" i="1" s="1"/>
  <c r="AX19" i="1" a="1"/>
  <c r="AX19" i="1" s="1"/>
  <c r="AU19" i="1"/>
  <c r="AT19" i="1"/>
  <c r="AI19" i="1"/>
  <c r="AE19" i="1"/>
  <c r="AB19" i="1"/>
  <c r="AK19" i="1" s="1"/>
  <c r="W19" i="1"/>
  <c r="T19" i="1"/>
  <c r="S19" i="1"/>
  <c r="H19" i="1"/>
  <c r="F19" i="1"/>
  <c r="D19" i="1"/>
  <c r="A19" i="1"/>
  <c r="M19" i="1" s="1"/>
  <c r="AX18" i="1"/>
  <c r="AX18" i="1" a="1"/>
  <c r="AU18" i="1"/>
  <c r="AT18" i="1"/>
  <c r="AI18" i="1"/>
  <c r="AE18" i="1"/>
  <c r="AB18" i="1"/>
  <c r="W18" i="1"/>
  <c r="T18" i="1"/>
  <c r="S18" i="1"/>
  <c r="H18" i="1"/>
  <c r="F18" i="1"/>
  <c r="D18" i="1"/>
  <c r="A18" i="1"/>
  <c r="M17" i="1" s="1"/>
  <c r="AX17" i="1" a="1"/>
  <c r="AX17" i="1" s="1"/>
  <c r="AU17" i="1"/>
  <c r="AT17" i="1"/>
  <c r="AI17" i="1"/>
  <c r="AE17" i="1"/>
  <c r="AB17" i="1"/>
  <c r="BR17" i="1" s="1"/>
  <c r="W17" i="1"/>
  <c r="T17" i="1"/>
  <c r="S17" i="1"/>
  <c r="H17" i="1"/>
  <c r="F17" i="1"/>
  <c r="D17" i="1"/>
  <c r="A17" i="1"/>
  <c r="M16" i="1" s="1"/>
  <c r="AX16" i="1"/>
  <c r="AX16" i="1" a="1"/>
  <c r="AU16" i="1"/>
  <c r="AT16" i="1"/>
  <c r="AI16" i="1"/>
  <c r="AE16" i="1"/>
  <c r="AB16" i="1"/>
  <c r="W16" i="1"/>
  <c r="T16" i="1"/>
  <c r="S16" i="1"/>
  <c r="H16" i="1"/>
  <c r="F16" i="1"/>
  <c r="D16" i="1"/>
  <c r="A16" i="1"/>
  <c r="AX15" i="1" a="1"/>
  <c r="AX15" i="1" s="1"/>
  <c r="AU15" i="1"/>
  <c r="AT15" i="1"/>
  <c r="AK15" i="1"/>
  <c r="AI15" i="1"/>
  <c r="AE15" i="1"/>
  <c r="AB15" i="1"/>
  <c r="AP15" i="1" s="1" a="1"/>
  <c r="AP15" i="1" s="1"/>
  <c r="W15" i="1"/>
  <c r="T15" i="1"/>
  <c r="S15" i="1"/>
  <c r="H15" i="1"/>
  <c r="F15" i="1"/>
  <c r="D15" i="1"/>
  <c r="A15" i="1"/>
  <c r="BI14" i="1"/>
  <c r="BG14" i="1"/>
  <c r="AX14" i="1" a="1"/>
  <c r="AX14" i="1" s="1"/>
  <c r="AU14" i="1"/>
  <c r="AT14" i="1"/>
  <c r="AI14" i="1"/>
  <c r="AE14" i="1"/>
  <c r="AB14" i="1"/>
  <c r="BQ14" i="1" s="1"/>
  <c r="W14" i="1"/>
  <c r="T14" i="1"/>
  <c r="S14" i="1"/>
  <c r="H14" i="1"/>
  <c r="F14" i="1"/>
  <c r="D14" i="1"/>
  <c r="A14" i="1"/>
  <c r="BI13" i="1"/>
  <c r="AX13" i="1"/>
  <c r="AX13" i="1" a="1"/>
  <c r="AU13" i="1"/>
  <c r="AT13" i="1"/>
  <c r="AI13" i="1"/>
  <c r="AE13" i="1"/>
  <c r="AB13" i="1"/>
  <c r="W13" i="1"/>
  <c r="T13" i="1"/>
  <c r="S13" i="1"/>
  <c r="H13" i="1"/>
  <c r="F13" i="1"/>
  <c r="D13" i="1"/>
  <c r="A13" i="1"/>
  <c r="M13" i="1" s="1"/>
  <c r="AV12" i="1"/>
  <c r="AH12" i="1"/>
  <c r="U12" i="1"/>
  <c r="G12" i="1"/>
  <c r="BL11" i="1"/>
  <c r="BM34" i="1" s="1"/>
  <c r="BN34" i="1" s="1"/>
  <c r="BO34" i="1" s="1"/>
  <c r="BC11" i="1"/>
  <c r="BD36" i="1" s="1"/>
  <c r="BE36" i="1" s="1"/>
  <c r="BF36" i="1" s="1"/>
  <c r="AD10" i="1"/>
  <c r="AD9" i="1"/>
  <c r="AD8" i="1"/>
  <c r="AR111" i="1" l="1"/>
  <c r="AS111" i="1" s="1"/>
  <c r="AL13" i="1"/>
  <c r="O13" i="1" a="1"/>
  <c r="O13" i="1" s="1"/>
  <c r="AK14" i="1"/>
  <c r="AO18" i="1" a="1"/>
  <c r="AO18" i="1" s="1"/>
  <c r="AO22" i="1" a="1"/>
  <c r="AO22" i="1" s="1"/>
  <c r="AN23" i="1"/>
  <c r="AN32" i="1"/>
  <c r="AQ33" i="1"/>
  <c r="AN34" i="1"/>
  <c r="AQ35" i="1"/>
  <c r="AQ36" i="1"/>
  <c r="AM43" i="1"/>
  <c r="AM48" i="1"/>
  <c r="AM50" i="1"/>
  <c r="N53" i="1" a="1"/>
  <c r="N53" i="1" s="1"/>
  <c r="AN57" i="1"/>
  <c r="AM58" i="1"/>
  <c r="AR58" i="1" s="1"/>
  <c r="AS58" i="1" s="1"/>
  <c r="AP60" i="1" a="1"/>
  <c r="AP60" i="1" s="1"/>
  <c r="N65" i="1" a="1"/>
  <c r="N65" i="1" s="1"/>
  <c r="AK72" i="1"/>
  <c r="AP75" i="1" a="1"/>
  <c r="AP75" i="1" s="1"/>
  <c r="AQ100" i="1"/>
  <c r="P125" i="1"/>
  <c r="N136" i="1" a="1"/>
  <c r="N136" i="1" s="1"/>
  <c r="O136" i="1" a="1"/>
  <c r="O136" i="1" s="1"/>
  <c r="O148" i="1" a="1"/>
  <c r="O148" i="1" s="1"/>
  <c r="AO147" i="1" a="1"/>
  <c r="AO147" i="1" s="1"/>
  <c r="L151" i="1"/>
  <c r="L150" i="1"/>
  <c r="N156" i="1" a="1"/>
  <c r="N156" i="1" s="1"/>
  <c r="J156" i="1"/>
  <c r="J168" i="1"/>
  <c r="P168" i="1"/>
  <c r="O168" i="1" a="1"/>
  <c r="O168" i="1" s="1"/>
  <c r="AK185" i="1"/>
  <c r="AM184" i="1"/>
  <c r="AP187" i="1" a="1"/>
  <c r="AP187" i="1" s="1"/>
  <c r="P192" i="1"/>
  <c r="M192" i="1"/>
  <c r="O191" i="1" a="1"/>
  <c r="O191" i="1" s="1"/>
  <c r="AP14" i="1" a="1"/>
  <c r="AP14" i="1" s="1"/>
  <c r="M18" i="1"/>
  <c r="M27" i="1"/>
  <c r="M31" i="1"/>
  <c r="L39" i="1"/>
  <c r="AQ72" i="1"/>
  <c r="AO72" i="1" a="1"/>
  <c r="AO72" i="1" s="1"/>
  <c r="AM99" i="1"/>
  <c r="O102" i="1" a="1"/>
  <c r="O102" i="1" s="1"/>
  <c r="AL107" i="1"/>
  <c r="L113" i="1"/>
  <c r="N115" i="1" a="1"/>
  <c r="N115" i="1" s="1"/>
  <c r="P115" i="1"/>
  <c r="AQ126" i="1"/>
  <c r="K128" i="1"/>
  <c r="O128" i="1" a="1"/>
  <c r="O128" i="1" s="1"/>
  <c r="M143" i="1"/>
  <c r="J144" i="1"/>
  <c r="O152" i="1" a="1"/>
  <c r="O152" i="1" s="1"/>
  <c r="AP152" i="1" a="1"/>
  <c r="AP152" i="1" s="1"/>
  <c r="K166" i="1"/>
  <c r="O175" i="1" a="1"/>
  <c r="O175" i="1" s="1"/>
  <c r="O183" i="1" a="1"/>
  <c r="O183" i="1" s="1"/>
  <c r="P198" i="1"/>
  <c r="O198" i="1" a="1"/>
  <c r="O198" i="1" s="1"/>
  <c r="AN200" i="1"/>
  <c r="AL200" i="1"/>
  <c r="AP42" i="1" a="1"/>
  <c r="AP42" i="1" s="1"/>
  <c r="AR42" i="1" s="1"/>
  <c r="AS42" i="1" s="1"/>
  <c r="AM44" i="1"/>
  <c r="AR44" i="1" s="1"/>
  <c r="AS44" i="1" s="1"/>
  <c r="AN44" i="1"/>
  <c r="N45" i="1" a="1"/>
  <c r="N45" i="1" s="1"/>
  <c r="N47" i="1" a="1"/>
  <c r="N47" i="1" s="1"/>
  <c r="AN49" i="1"/>
  <c r="P50" i="1"/>
  <c r="P58" i="1"/>
  <c r="AL59" i="1"/>
  <c r="AP63" i="1" a="1"/>
  <c r="AP63" i="1" s="1"/>
  <c r="AQ68" i="1"/>
  <c r="AL74" i="1"/>
  <c r="K85" i="1"/>
  <c r="L86" i="1"/>
  <c r="Q86" i="1" s="1"/>
  <c r="R86" i="1" s="1"/>
  <c r="J91" i="1"/>
  <c r="M94" i="1"/>
  <c r="P96" i="1"/>
  <c r="O97" i="1" a="1"/>
  <c r="O97" i="1" s="1"/>
  <c r="AP98" i="1" a="1"/>
  <c r="AP98" i="1" s="1"/>
  <c r="AL99" i="1"/>
  <c r="P100" i="1"/>
  <c r="AM103" i="1"/>
  <c r="O105" i="1" a="1"/>
  <c r="O105" i="1" s="1"/>
  <c r="O109" i="1" a="1"/>
  <c r="O109" i="1" s="1"/>
  <c r="K113" i="1"/>
  <c r="O114" i="1" a="1"/>
  <c r="O114" i="1" s="1"/>
  <c r="AL114" i="1"/>
  <c r="AO117" i="1" a="1"/>
  <c r="AO117" i="1" s="1"/>
  <c r="J122" i="1"/>
  <c r="P124" i="1"/>
  <c r="N128" i="1" a="1"/>
  <c r="N128" i="1" s="1"/>
  <c r="O131" i="1" a="1"/>
  <c r="O131" i="1" s="1"/>
  <c r="AN132" i="1"/>
  <c r="AL132" i="1"/>
  <c r="O138" i="1" a="1"/>
  <c r="O138" i="1" s="1"/>
  <c r="K142" i="1"/>
  <c r="K143" i="1"/>
  <c r="AK143" i="1"/>
  <c r="AP143" i="1" a="1"/>
  <c r="AP143" i="1" s="1"/>
  <c r="P166" i="1"/>
  <c r="M172" i="1"/>
  <c r="K175" i="1"/>
  <c r="AK190" i="1"/>
  <c r="AP189" i="1" a="1"/>
  <c r="AP189" i="1" s="1"/>
  <c r="AN15" i="1"/>
  <c r="AM15" i="1"/>
  <c r="AP33" i="1" a="1"/>
  <c r="AP33" i="1" s="1"/>
  <c r="AP35" i="1" a="1"/>
  <c r="AP35" i="1" s="1"/>
  <c r="O40" i="1" a="1"/>
  <c r="O40" i="1" s="1"/>
  <c r="AL40" i="1"/>
  <c r="AP55" i="1" a="1"/>
  <c r="AP55" i="1" s="1"/>
  <c r="AM60" i="1"/>
  <c r="N63" i="1" a="1"/>
  <c r="N63" i="1" s="1"/>
  <c r="AN65" i="1"/>
  <c r="P67" i="1"/>
  <c r="AM75" i="1"/>
  <c r="N87" i="1" a="1"/>
  <c r="N87" i="1" s="1"/>
  <c r="P91" i="1"/>
  <c r="K97" i="1"/>
  <c r="J103" i="1"/>
  <c r="AP103" i="1" a="1"/>
  <c r="AP103" i="1" s="1"/>
  <c r="AR103" i="1" s="1"/>
  <c r="AS103" i="1" s="1"/>
  <c r="P111" i="1"/>
  <c r="P122" i="1"/>
  <c r="AP129" i="1" a="1"/>
  <c r="AP129" i="1" s="1"/>
  <c r="AO129" i="1" a="1"/>
  <c r="AO129" i="1" s="1"/>
  <c r="J137" i="1"/>
  <c r="AQ137" i="1"/>
  <c r="AK137" i="1"/>
  <c r="AO141" i="1" a="1"/>
  <c r="AO141" i="1" s="1"/>
  <c r="AK141" i="1"/>
  <c r="AQ145" i="1"/>
  <c r="AL144" i="1"/>
  <c r="AP147" i="1" a="1"/>
  <c r="AP147" i="1" s="1"/>
  <c r="J148" i="1"/>
  <c r="AM148" i="1"/>
  <c r="K148" i="1"/>
  <c r="AL159" i="1"/>
  <c r="AL158" i="1"/>
  <c r="N168" i="1" a="1"/>
  <c r="N168" i="1" s="1"/>
  <c r="M168" i="1"/>
  <c r="K171" i="1"/>
  <c r="P172" i="1"/>
  <c r="AO125" i="1" a="1"/>
  <c r="AO125" i="1" s="1"/>
  <c r="AN130" i="1"/>
  <c r="P136" i="1"/>
  <c r="AQ149" i="1"/>
  <c r="AL149" i="1"/>
  <c r="AM155" i="1"/>
  <c r="N158" i="1" a="1"/>
  <c r="N158" i="1" s="1"/>
  <c r="P162" i="1"/>
  <c r="AO165" i="1" a="1"/>
  <c r="AO165" i="1" s="1"/>
  <c r="AP168" i="1" a="1"/>
  <c r="AP168" i="1" s="1"/>
  <c r="AO169" i="1" a="1"/>
  <c r="AO169" i="1" s="1"/>
  <c r="AN174" i="1"/>
  <c r="AM175" i="1"/>
  <c r="AO179" i="1" a="1"/>
  <c r="AO179" i="1" s="1"/>
  <c r="AQ181" i="1"/>
  <c r="AL181" i="1"/>
  <c r="AP191" i="1" a="1"/>
  <c r="AP191" i="1" s="1"/>
  <c r="O192" i="1" a="1"/>
  <c r="O192" i="1" s="1"/>
  <c r="AQ197" i="1"/>
  <c r="AN197" i="1"/>
  <c r="AK198" i="1"/>
  <c r="O199" i="1" a="1"/>
  <c r="O199" i="1" s="1"/>
  <c r="AQ199" i="1"/>
  <c r="AO201" i="1" a="1"/>
  <c r="AO201" i="1" s="1"/>
  <c r="AL202" i="1"/>
  <c r="AM207" i="1"/>
  <c r="AP207" i="1" a="1"/>
  <c r="AP207" i="1" s="1"/>
  <c r="O212" i="1" a="1"/>
  <c r="O212" i="1" s="1"/>
  <c r="AO214" i="1" a="1"/>
  <c r="AO214" i="1" s="1"/>
  <c r="O223" i="1" a="1"/>
  <c r="O223" i="1" s="1"/>
  <c r="AL223" i="1"/>
  <c r="N229" i="1" a="1"/>
  <c r="N229" i="1" s="1"/>
  <c r="AP233" i="1" a="1"/>
  <c r="AP233" i="1" s="1"/>
  <c r="AQ235" i="1"/>
  <c r="O247" i="1" a="1"/>
  <c r="O247" i="1" s="1"/>
  <c r="AK257" i="1"/>
  <c r="AO258" i="1" a="1"/>
  <c r="AO258" i="1" s="1"/>
  <c r="K263" i="1"/>
  <c r="J264" i="1"/>
  <c r="P276" i="1"/>
  <c r="AM276" i="1"/>
  <c r="AK277" i="1"/>
  <c r="L288" i="1"/>
  <c r="O287" i="1" a="1"/>
  <c r="O287" i="1" s="1"/>
  <c r="O288" i="1" a="1"/>
  <c r="O288" i="1" s="1"/>
  <c r="AO290" i="1" a="1"/>
  <c r="AO290" i="1" s="1"/>
  <c r="AO289" i="1" a="1"/>
  <c r="AO289" i="1" s="1"/>
  <c r="AQ313" i="1"/>
  <c r="AL137" i="1"/>
  <c r="N140" i="1" a="1"/>
  <c r="N140" i="1" s="1"/>
  <c r="AM143" i="1"/>
  <c r="AL156" i="1"/>
  <c r="N169" i="1" a="1"/>
  <c r="N169" i="1" s="1"/>
  <c r="AQ171" i="1"/>
  <c r="AN177" i="1"/>
  <c r="P182" i="1"/>
  <c r="M184" i="1"/>
  <c r="K189" i="1"/>
  <c r="M191" i="1"/>
  <c r="M195" i="1"/>
  <c r="AQ198" i="1"/>
  <c r="K198" i="1"/>
  <c r="AP201" i="1" a="1"/>
  <c r="AP201" i="1" s="1"/>
  <c r="AR201" i="1" s="1"/>
  <c r="AS201" i="1" s="1"/>
  <c r="N204" i="1" a="1"/>
  <c r="N204" i="1" s="1"/>
  <c r="AO205" i="1" a="1"/>
  <c r="AO205" i="1" s="1"/>
  <c r="AK206" i="1"/>
  <c r="P208" i="1"/>
  <c r="L211" i="1"/>
  <c r="J212" i="1"/>
  <c r="AO215" i="1" a="1"/>
  <c r="AO215" i="1" s="1"/>
  <c r="M216" i="1"/>
  <c r="M223" i="1"/>
  <c r="M224" i="1"/>
  <c r="P226" i="1"/>
  <c r="AK231" i="1"/>
  <c r="O232" i="1" a="1"/>
  <c r="O232" i="1" s="1"/>
  <c r="P236" i="1"/>
  <c r="K241" i="1"/>
  <c r="P242" i="1"/>
  <c r="P244" i="1"/>
  <c r="M244" i="1"/>
  <c r="J245" i="1"/>
  <c r="AO245" i="1" a="1"/>
  <c r="AO245" i="1" s="1"/>
  <c r="K246" i="1"/>
  <c r="AP248" i="1" a="1"/>
  <c r="AP248" i="1" s="1"/>
  <c r="J268" i="1"/>
  <c r="AQ269" i="1"/>
  <c r="N270" i="1" a="1"/>
  <c r="N270" i="1" s="1"/>
  <c r="O272" i="1" a="1"/>
  <c r="O272" i="1" s="1"/>
  <c r="J277" i="1"/>
  <c r="AP277" i="1" a="1"/>
  <c r="AP277" i="1" s="1"/>
  <c r="J284" i="1"/>
  <c r="AP284" i="1" a="1"/>
  <c r="AP284" i="1" s="1"/>
  <c r="AO314" i="1" a="1"/>
  <c r="AO314" i="1" s="1"/>
  <c r="AK314" i="1"/>
  <c r="AO313" i="1" a="1"/>
  <c r="AO313" i="1" s="1"/>
  <c r="M212" i="1"/>
  <c r="K212" i="1"/>
  <c r="O224" i="1" a="1"/>
  <c r="O224" i="1" s="1"/>
  <c r="AO231" i="1" a="1"/>
  <c r="AO231" i="1" s="1"/>
  <c r="AN256" i="1"/>
  <c r="N257" i="1" a="1"/>
  <c r="N257" i="1" s="1"/>
  <c r="P272" i="1"/>
  <c r="AK273" i="1"/>
  <c r="J282" i="1"/>
  <c r="K281" i="1"/>
  <c r="AQ205" i="1"/>
  <c r="AP208" i="1" a="1"/>
  <c r="AP208" i="1" s="1"/>
  <c r="N212" i="1" a="1"/>
  <c r="N212" i="1" s="1"/>
  <c r="L228" i="1"/>
  <c r="N228" i="1" a="1"/>
  <c r="N228" i="1" s="1"/>
  <c r="AN229" i="1"/>
  <c r="N236" i="1" a="1"/>
  <c r="N236" i="1" s="1"/>
  <c r="AM279" i="1"/>
  <c r="AM316" i="1"/>
  <c r="AK316" i="1"/>
  <c r="P347" i="1"/>
  <c r="AP348" i="1" a="1"/>
  <c r="AP348" i="1" s="1"/>
  <c r="L390" i="1"/>
  <c r="O391" i="1" a="1"/>
  <c r="O391" i="1" s="1"/>
  <c r="P399" i="1"/>
  <c r="AQ400" i="1"/>
  <c r="AL410" i="1"/>
  <c r="AL409" i="1"/>
  <c r="N427" i="1" a="1"/>
  <c r="N427" i="1" s="1"/>
  <c r="AO429" i="1" a="1"/>
  <c r="AO429" i="1" s="1"/>
  <c r="AQ434" i="1"/>
  <c r="P436" i="1"/>
  <c r="K439" i="1"/>
  <c r="N439" i="1" a="1"/>
  <c r="N439" i="1" s="1"/>
  <c r="M479" i="1"/>
  <c r="J480" i="1"/>
  <c r="AP488" i="1" a="1"/>
  <c r="AP488" i="1" s="1"/>
  <c r="AK489" i="1"/>
  <c r="AN499" i="1"/>
  <c r="AL498" i="1"/>
  <c r="J508" i="1"/>
  <c r="L507" i="1"/>
  <c r="AL310" i="1"/>
  <c r="AO324" i="1" a="1"/>
  <c r="AO324" i="1" s="1"/>
  <c r="P327" i="1"/>
  <c r="N327" i="1" a="1"/>
  <c r="N327" i="1" s="1"/>
  <c r="N328" i="1" a="1"/>
  <c r="N328" i="1" s="1"/>
  <c r="K332" i="1"/>
  <c r="K334" i="1"/>
  <c r="AQ336" i="1"/>
  <c r="O338" i="1" a="1"/>
  <c r="O338" i="1" s="1"/>
  <c r="L351" i="1"/>
  <c r="J353" i="1"/>
  <c r="AP354" i="1" a="1"/>
  <c r="AP354" i="1" s="1"/>
  <c r="M359" i="1"/>
  <c r="AN360" i="1"/>
  <c r="AL360" i="1"/>
  <c r="AQ361" i="1"/>
  <c r="K361" i="1"/>
  <c r="AP364" i="1" a="1"/>
  <c r="AP364" i="1" s="1"/>
  <c r="AM376" i="1"/>
  <c r="AL379" i="1"/>
  <c r="AK405" i="1"/>
  <c r="AL407" i="1"/>
  <c r="M418" i="1"/>
  <c r="O421" i="1" a="1"/>
  <c r="O421" i="1" s="1"/>
  <c r="L427" i="1"/>
  <c r="O426" i="1" a="1"/>
  <c r="O426" i="1" s="1"/>
  <c r="J428" i="1"/>
  <c r="AK428" i="1"/>
  <c r="AQ429" i="1"/>
  <c r="AK432" i="1"/>
  <c r="AK433" i="1"/>
  <c r="P439" i="1"/>
  <c r="M439" i="1"/>
  <c r="K443" i="1"/>
  <c r="O443" i="1" a="1"/>
  <c r="O443" i="1" s="1"/>
  <c r="J444" i="1"/>
  <c r="K446" i="1"/>
  <c r="AP451" i="1" a="1"/>
  <c r="AP451" i="1" s="1"/>
  <c r="P458" i="1"/>
  <c r="J458" i="1"/>
  <c r="K467" i="1"/>
  <c r="AO488" i="1" a="1"/>
  <c r="AO488" i="1" s="1"/>
  <c r="O494" i="1" a="1"/>
  <c r="O494" i="1" s="1"/>
  <c r="J495" i="1"/>
  <c r="O510" i="1" a="1"/>
  <c r="O510" i="1" s="1"/>
  <c r="K510" i="1"/>
  <c r="P511" i="1"/>
  <c r="K297" i="1"/>
  <c r="AL307" i="1"/>
  <c r="AQ312" i="1"/>
  <c r="AO312" i="1" a="1"/>
  <c r="AO312" i="1" s="1"/>
  <c r="K322" i="1"/>
  <c r="AN323" i="1"/>
  <c r="O323" i="1" a="1"/>
  <c r="O323" i="1" s="1"/>
  <c r="AQ324" i="1"/>
  <c r="O327" i="1" a="1"/>
  <c r="O327" i="1" s="1"/>
  <c r="AK328" i="1"/>
  <c r="AM331" i="1"/>
  <c r="N331" i="1" a="1"/>
  <c r="N331" i="1" s="1"/>
  <c r="AL333" i="1"/>
  <c r="O334" i="1" a="1"/>
  <c r="O334" i="1" s="1"/>
  <c r="AL335" i="1"/>
  <c r="J339" i="1"/>
  <c r="AP339" i="1" a="1"/>
  <c r="AP339" i="1" s="1"/>
  <c r="K339" i="1"/>
  <c r="N341" i="1" a="1"/>
  <c r="N341" i="1" s="1"/>
  <c r="L342" i="1"/>
  <c r="AO341" i="1" a="1"/>
  <c r="AO341" i="1" s="1"/>
  <c r="AK345" i="1"/>
  <c r="K346" i="1"/>
  <c r="AQ346" i="1"/>
  <c r="AQ349" i="1"/>
  <c r="AP350" i="1" a="1"/>
  <c r="AP350" i="1" s="1"/>
  <c r="AL355" i="1"/>
  <c r="N356" i="1" a="1"/>
  <c r="N356" i="1" s="1"/>
  <c r="AQ356" i="1"/>
  <c r="P357" i="1"/>
  <c r="N359" i="1" a="1"/>
  <c r="N359" i="1" s="1"/>
  <c r="K359" i="1"/>
  <c r="AO360" i="1" a="1"/>
  <c r="AO360" i="1" s="1"/>
  <c r="AK362" i="1"/>
  <c r="AL363" i="1"/>
  <c r="N363" i="1" a="1"/>
  <c r="N363" i="1" s="1"/>
  <c r="AP372" i="1" a="1"/>
  <c r="AP372" i="1" s="1"/>
  <c r="L375" i="1"/>
  <c r="AO374" i="1" a="1"/>
  <c r="AO374" i="1" s="1"/>
  <c r="AQ405" i="1"/>
  <c r="AP428" i="1" a="1"/>
  <c r="AP428" i="1" s="1"/>
  <c r="P432" i="1"/>
  <c r="AO432" i="1" a="1"/>
  <c r="AO432" i="1" s="1"/>
  <c r="AO433" i="1" a="1"/>
  <c r="AO433" i="1" s="1"/>
  <c r="M448" i="1"/>
  <c r="L467" i="1"/>
  <c r="J468" i="1"/>
  <c r="AN476" i="1"/>
  <c r="AK477" i="1"/>
  <c r="AN487" i="1"/>
  <c r="AK488" i="1"/>
  <c r="AP280" i="1" a="1"/>
  <c r="AP280" i="1" s="1"/>
  <c r="AQ289" i="1"/>
  <c r="AN293" i="1"/>
  <c r="M300" i="1"/>
  <c r="AN301" i="1"/>
  <c r="K304" i="1"/>
  <c r="L307" i="1"/>
  <c r="P307" i="1"/>
  <c r="AN307" i="1"/>
  <c r="AL309" i="1"/>
  <c r="N309" i="1" a="1"/>
  <c r="N309" i="1" s="1"/>
  <c r="N311" i="1" a="1"/>
  <c r="N311" i="1" s="1"/>
  <c r="AN311" i="1"/>
  <c r="K311" i="1"/>
  <c r="M312" i="1"/>
  <c r="M315" i="1"/>
  <c r="P315" i="1"/>
  <c r="AL315" i="1"/>
  <c r="AL318" i="1"/>
  <c r="O318" i="1" a="1"/>
  <c r="O318" i="1" s="1"/>
  <c r="AQ320" i="1"/>
  <c r="J328" i="1"/>
  <c r="AN328" i="1"/>
  <c r="AL328" i="1"/>
  <c r="AQ329" i="1"/>
  <c r="J331" i="1"/>
  <c r="J333" i="1"/>
  <c r="AQ333" i="1"/>
  <c r="J335" i="1"/>
  <c r="AN336" i="1"/>
  <c r="M339" i="1"/>
  <c r="M347" i="1"/>
  <c r="AK348" i="1"/>
  <c r="J363" i="1"/>
  <c r="AM362" i="1"/>
  <c r="P383" i="1"/>
  <c r="L382" i="1"/>
  <c r="N383" i="1" a="1"/>
  <c r="N383" i="1" s="1"/>
  <c r="AQ384" i="1"/>
  <c r="AK388" i="1"/>
  <c r="AQ388" i="1"/>
  <c r="AO388" i="1" a="1"/>
  <c r="AO388" i="1" s="1"/>
  <c r="J391" i="1"/>
  <c r="AL394" i="1"/>
  <c r="O398" i="1" a="1"/>
  <c r="O398" i="1" s="1"/>
  <c r="J399" i="1"/>
  <c r="M402" i="1"/>
  <c r="AL411" i="1"/>
  <c r="O419" i="1" a="1"/>
  <c r="O419" i="1" s="1"/>
  <c r="AK421" i="1"/>
  <c r="AP420" i="1" a="1"/>
  <c r="AP420" i="1" s="1"/>
  <c r="AP432" i="1" a="1"/>
  <c r="AP432" i="1" s="1"/>
  <c r="N436" i="1" a="1"/>
  <c r="N436" i="1" s="1"/>
  <c r="J440" i="1"/>
  <c r="P443" i="1"/>
  <c r="K442" i="1"/>
  <c r="J443" i="1"/>
  <c r="AL452" i="1"/>
  <c r="AO489" i="1" a="1"/>
  <c r="AO489" i="1" s="1"/>
  <c r="AL495" i="1"/>
  <c r="AK496" i="1"/>
  <c r="AO446" i="1" a="1"/>
  <c r="AO446" i="1" s="1"/>
  <c r="AP453" i="1" a="1"/>
  <c r="AP453" i="1" s="1"/>
  <c r="K457" i="1"/>
  <c r="AM460" i="1"/>
  <c r="AQ461" i="1"/>
  <c r="K469" i="1"/>
  <c r="M472" i="1"/>
  <c r="N472" i="1" a="1"/>
  <c r="N472" i="1" s="1"/>
  <c r="K482" i="1"/>
  <c r="L490" i="1"/>
  <c r="N492" i="1" a="1"/>
  <c r="N492" i="1" s="1"/>
  <c r="AL499" i="1"/>
  <c r="AO500" i="1" a="1"/>
  <c r="AO500" i="1" s="1"/>
  <c r="P503" i="1"/>
  <c r="AL503" i="1"/>
  <c r="AO504" i="1" a="1"/>
  <c r="AO504" i="1" s="1"/>
  <c r="AP510" i="1" a="1"/>
  <c r="AP510" i="1" s="1"/>
  <c r="AQ515" i="1"/>
  <c r="M517" i="1"/>
  <c r="N522" i="1" a="1"/>
  <c r="N522" i="1" s="1"/>
  <c r="P522" i="1"/>
  <c r="O524" i="1" a="1"/>
  <c r="O524" i="1" s="1"/>
  <c r="AP525" i="1" a="1"/>
  <c r="AP525" i="1" s="1"/>
  <c r="AL525" i="1"/>
  <c r="AQ526" i="1"/>
  <c r="AQ529" i="1"/>
  <c r="O529" i="1" a="1"/>
  <c r="O529" i="1" s="1"/>
  <c r="O533" i="1" a="1"/>
  <c r="O533" i="1" s="1"/>
  <c r="AL537" i="1"/>
  <c r="AK540" i="1"/>
  <c r="P541" i="1"/>
  <c r="AO544" i="1" a="1"/>
  <c r="AO544" i="1" s="1"/>
  <c r="M528" i="1"/>
  <c r="K528" i="1"/>
  <c r="AN530" i="1"/>
  <c r="AK538" i="1"/>
  <c r="AN540" i="1"/>
  <c r="O543" i="1" a="1"/>
  <c r="O543" i="1" s="1"/>
  <c r="AO382" i="1" a="1"/>
  <c r="AO382" i="1" s="1"/>
  <c r="P401" i="1"/>
  <c r="AO401" i="1" a="1"/>
  <c r="AO401" i="1" s="1"/>
  <c r="AM422" i="1"/>
  <c r="AM444" i="1"/>
  <c r="AQ451" i="1"/>
  <c r="M455" i="1"/>
  <c r="P456" i="1"/>
  <c r="AM457" i="1"/>
  <c r="AP468" i="1" a="1"/>
  <c r="AP468" i="1" s="1"/>
  <c r="AR468" i="1" s="1"/>
  <c r="AS468" i="1" s="1"/>
  <c r="K471" i="1"/>
  <c r="O471" i="1" a="1"/>
  <c r="O471" i="1" s="1"/>
  <c r="P476" i="1"/>
  <c r="AQ481" i="1"/>
  <c r="J483" i="1"/>
  <c r="N485" i="1" a="1"/>
  <c r="N485" i="1" s="1"/>
  <c r="P485" i="1"/>
  <c r="AQ493" i="1"/>
  <c r="AK500" i="1"/>
  <c r="J503" i="1"/>
  <c r="AK504" i="1"/>
  <c r="AQ504" i="1"/>
  <c r="J505" i="1"/>
  <c r="N516" i="1" a="1"/>
  <c r="N516" i="1" s="1"/>
  <c r="O516" i="1" a="1"/>
  <c r="O516" i="1" s="1"/>
  <c r="P518" i="1"/>
  <c r="AQ519" i="1"/>
  <c r="AN525" i="1"/>
  <c r="N528" i="1" a="1"/>
  <c r="N528" i="1" s="1"/>
  <c r="AP530" i="1" a="1"/>
  <c r="AP530" i="1" s="1"/>
  <c r="AK531" i="1"/>
  <c r="N532" i="1" a="1"/>
  <c r="N532" i="1" s="1"/>
  <c r="AO533" i="1" a="1"/>
  <c r="AO533" i="1" s="1"/>
  <c r="J534" i="1"/>
  <c r="O537" i="1" a="1"/>
  <c r="O537" i="1" s="1"/>
  <c r="K538" i="1"/>
  <c r="AP540" i="1" a="1"/>
  <c r="AP540" i="1" s="1"/>
  <c r="AR540" i="1" s="1"/>
  <c r="AS540" i="1" s="1"/>
  <c r="N473" i="1" a="1"/>
  <c r="N473" i="1" s="1"/>
  <c r="P473" i="1"/>
  <c r="AP487" i="1" a="1"/>
  <c r="AP487" i="1" s="1"/>
  <c r="O491" i="1" a="1"/>
  <c r="O491" i="1" s="1"/>
  <c r="P491" i="1"/>
  <c r="N495" i="1" a="1"/>
  <c r="N495" i="1" s="1"/>
  <c r="AP498" i="1" a="1"/>
  <c r="AP498" i="1" s="1"/>
  <c r="AQ498" i="1"/>
  <c r="O503" i="1" a="1"/>
  <c r="O503" i="1" s="1"/>
  <c r="AN504" i="1"/>
  <c r="P534" i="1"/>
  <c r="AN534" i="1"/>
  <c r="L539" i="1"/>
  <c r="O14" i="1" a="1"/>
  <c r="O14" i="1" s="1"/>
  <c r="BG15" i="1"/>
  <c r="BI18" i="1"/>
  <c r="K15" i="1"/>
  <c r="AR15" i="1"/>
  <c r="AS15" i="1" s="1"/>
  <c r="BI15" i="1"/>
  <c r="BI16" i="1"/>
  <c r="BI17" i="1"/>
  <c r="BG24" i="1"/>
  <c r="M15" i="1"/>
  <c r="BQ15" i="1"/>
  <c r="AQ15" i="1"/>
  <c r="BR15" i="1"/>
  <c r="AM16" i="1"/>
  <c r="BR16" i="1"/>
  <c r="AM17" i="1"/>
  <c r="AM13" i="1"/>
  <c r="AQ13" i="1"/>
  <c r="K14" i="1"/>
  <c r="AN13" i="1"/>
  <c r="BD13" i="1"/>
  <c r="BE13" i="1" s="1"/>
  <c r="M14" i="1"/>
  <c r="BP14" i="1"/>
  <c r="BD15" i="1"/>
  <c r="BE15" i="1" s="1"/>
  <c r="BF15" i="1" s="1"/>
  <c r="BI22" i="1"/>
  <c r="BP21" i="1"/>
  <c r="BG22" i="1"/>
  <c r="BP23" i="1"/>
  <c r="AM14" i="1"/>
  <c r="AR14" i="1" s="1"/>
  <c r="AS14" i="1" s="1"/>
  <c r="AQ14" i="1"/>
  <c r="AO13" i="1" a="1"/>
  <c r="AO13" i="1" s="1"/>
  <c r="AN14" i="1"/>
  <c r="BD14" i="1"/>
  <c r="BE14" i="1" s="1"/>
  <c r="BF14" i="1" s="1"/>
  <c r="BG16" i="1"/>
  <c r="BQ16" i="1"/>
  <c r="AK16" i="1"/>
  <c r="AO16" i="1" a="1"/>
  <c r="AO16" i="1" s="1"/>
  <c r="BQ17" i="1"/>
  <c r="AP16" i="1" a="1"/>
  <c r="AP16" i="1" s="1"/>
  <c r="AR16" i="1" s="1"/>
  <c r="AS16" i="1" s="1"/>
  <c r="AK17" i="1"/>
  <c r="AN16" i="1"/>
  <c r="BP15" i="1"/>
  <c r="AO17" i="1" a="1"/>
  <c r="AO17" i="1" s="1"/>
  <c r="BI21" i="1"/>
  <c r="K13" i="1"/>
  <c r="AK13" i="1"/>
  <c r="AP13" i="1" a="1"/>
  <c r="AP13" i="1" s="1"/>
  <c r="AR13" i="1" s="1"/>
  <c r="AS13" i="1" s="1"/>
  <c r="AO14" i="1" a="1"/>
  <c r="AO14" i="1" s="1"/>
  <c r="BR14" i="1"/>
  <c r="AO15" i="1" a="1"/>
  <c r="AO15" i="1" s="1"/>
  <c r="AQ16" i="1"/>
  <c r="AQ17" i="1"/>
  <c r="BQ18" i="1"/>
  <c r="AM18" i="1"/>
  <c r="AQ18" i="1"/>
  <c r="BR18" i="1"/>
  <c r="BI19" i="1"/>
  <c r="BQ20" i="1"/>
  <c r="AM20" i="1"/>
  <c r="AQ20" i="1"/>
  <c r="BR20" i="1"/>
  <c r="BQ22" i="1"/>
  <c r="AM22" i="1"/>
  <c r="AQ22" i="1"/>
  <c r="BR22" i="1"/>
  <c r="BI23" i="1"/>
  <c r="BQ24" i="1"/>
  <c r="AM24" i="1"/>
  <c r="AQ24" i="1"/>
  <c r="M25" i="1"/>
  <c r="BQ25" i="1"/>
  <c r="AM25" i="1"/>
  <c r="BQ26" i="1"/>
  <c r="AK26" i="1"/>
  <c r="AN25" i="1"/>
  <c r="AN26" i="1"/>
  <c r="BQ27" i="1"/>
  <c r="AP26" i="1" a="1"/>
  <c r="AP26" i="1" s="1"/>
  <c r="AM27" i="1"/>
  <c r="BQ28" i="1"/>
  <c r="AK28" i="1"/>
  <c r="AN27" i="1"/>
  <c r="AN28" i="1"/>
  <c r="BQ29" i="1"/>
  <c r="AP28" i="1" a="1"/>
  <c r="AP28" i="1" s="1"/>
  <c r="AM29" i="1"/>
  <c r="BQ30" i="1"/>
  <c r="AK30" i="1"/>
  <c r="AN29" i="1"/>
  <c r="AN30" i="1"/>
  <c r="BQ31" i="1"/>
  <c r="AN31" i="1"/>
  <c r="AP30" i="1" a="1"/>
  <c r="AP30" i="1" s="1"/>
  <c r="AM31" i="1"/>
  <c r="P37" i="1"/>
  <c r="K36" i="1"/>
  <c r="L36" i="1"/>
  <c r="K37" i="1"/>
  <c r="AL53" i="1"/>
  <c r="AM52" i="1"/>
  <c r="AN52" i="1"/>
  <c r="AN53" i="1"/>
  <c r="AL54" i="1"/>
  <c r="AP53" i="1" a="1"/>
  <c r="AP53" i="1" s="1"/>
  <c r="AM54" i="1"/>
  <c r="AP54" i="1" a="1"/>
  <c r="AP54" i="1" s="1"/>
  <c r="P62" i="1"/>
  <c r="AL62" i="1"/>
  <c r="AP62" i="1" a="1"/>
  <c r="AP62" i="1" s="1"/>
  <c r="AN61" i="1"/>
  <c r="AP61" i="1" a="1"/>
  <c r="AP61" i="1" s="1"/>
  <c r="AN62" i="1"/>
  <c r="K70" i="1"/>
  <c r="L69" i="1"/>
  <c r="O69" i="1" a="1"/>
  <c r="O69" i="1" s="1"/>
  <c r="M70" i="1"/>
  <c r="K74" i="1"/>
  <c r="L74" i="1"/>
  <c r="O74" i="1" a="1"/>
  <c r="O74" i="1" s="1"/>
  <c r="Q74" i="1" s="1"/>
  <c r="R74" i="1" s="1"/>
  <c r="M78" i="1"/>
  <c r="J79" i="1"/>
  <c r="O78" i="1" a="1"/>
  <c r="O78" i="1" s="1"/>
  <c r="Q78" i="1" s="1"/>
  <c r="R78" i="1" s="1"/>
  <c r="AM83" i="1"/>
  <c r="AR83" i="1" s="1"/>
  <c r="AS83" i="1" s="1"/>
  <c r="AK84" i="1"/>
  <c r="AN83" i="1"/>
  <c r="O85" i="1" a="1"/>
  <c r="O85" i="1" s="1"/>
  <c r="K90" i="1"/>
  <c r="O89" i="1" a="1"/>
  <c r="O89" i="1" s="1"/>
  <c r="L90" i="1"/>
  <c r="O90" i="1" a="1"/>
  <c r="O90" i="1" s="1"/>
  <c r="L94" i="1"/>
  <c r="L106" i="1"/>
  <c r="K109" i="1"/>
  <c r="L109" i="1"/>
  <c r="AL116" i="1"/>
  <c r="AO116" i="1" a="1"/>
  <c r="AO116" i="1" s="1"/>
  <c r="AM115" i="1"/>
  <c r="AQ116" i="1"/>
  <c r="AN116" i="1"/>
  <c r="AP116" i="1" a="1"/>
  <c r="AP116" i="1" s="1"/>
  <c r="AR116" i="1" s="1"/>
  <c r="AS116" i="1" s="1"/>
  <c r="AK116" i="1"/>
  <c r="AN115" i="1"/>
  <c r="O16" i="1" a="1"/>
  <c r="O16" i="1" s="1"/>
  <c r="K17" i="1"/>
  <c r="AP17" i="1" a="1"/>
  <c r="AP17" i="1" s="1"/>
  <c r="AR17" i="1" s="1"/>
  <c r="AS17" i="1" s="1"/>
  <c r="BP17" i="1"/>
  <c r="AN18" i="1"/>
  <c r="BG18" i="1"/>
  <c r="O18" i="1" a="1"/>
  <c r="O18" i="1" s="1"/>
  <c r="K19" i="1"/>
  <c r="AP19" i="1" a="1"/>
  <c r="AP19" i="1" s="1"/>
  <c r="BP19" i="1"/>
  <c r="AN20" i="1"/>
  <c r="BG20" i="1"/>
  <c r="O20" i="1" a="1"/>
  <c r="O20" i="1" s="1"/>
  <c r="K21" i="1"/>
  <c r="AK21" i="1"/>
  <c r="AP21" i="1" a="1"/>
  <c r="AP21" i="1" s="1"/>
  <c r="AN22" i="1"/>
  <c r="O22" i="1" a="1"/>
  <c r="O22" i="1" s="1"/>
  <c r="K23" i="1"/>
  <c r="AK23" i="1"/>
  <c r="AP23" i="1" a="1"/>
  <c r="AP23" i="1" s="1"/>
  <c r="AO25" i="1" a="1"/>
  <c r="AO25" i="1" s="1"/>
  <c r="AO26" i="1" a="1"/>
  <c r="AO26" i="1" s="1"/>
  <c r="AO27" i="1" a="1"/>
  <c r="AO27" i="1" s="1"/>
  <c r="AO28" i="1" a="1"/>
  <c r="AO28" i="1" s="1"/>
  <c r="AO29" i="1" a="1"/>
  <c r="AO29" i="1" s="1"/>
  <c r="AO30" i="1" a="1"/>
  <c r="AO30" i="1" s="1"/>
  <c r="AO31" i="1" a="1"/>
  <c r="AO31" i="1" s="1"/>
  <c r="AO32" i="1" a="1"/>
  <c r="AO32" i="1" s="1"/>
  <c r="O32" i="1" a="1"/>
  <c r="O32" i="1" s="1"/>
  <c r="K32" i="1"/>
  <c r="K33" i="1"/>
  <c r="AO34" i="1" a="1"/>
  <c r="AO34" i="1" s="1"/>
  <c r="O35" i="1" a="1"/>
  <c r="O35" i="1" s="1"/>
  <c r="K34" i="1"/>
  <c r="M34" i="1"/>
  <c r="K35" i="1"/>
  <c r="M36" i="1"/>
  <c r="P40" i="1"/>
  <c r="O39" i="1" a="1"/>
  <c r="O39" i="1" s="1"/>
  <c r="L40" i="1"/>
  <c r="AL41" i="1"/>
  <c r="AM41" i="1"/>
  <c r="AP41" i="1" a="1"/>
  <c r="AP41" i="1" s="1"/>
  <c r="AR41" i="1" s="1"/>
  <c r="AS41" i="1" s="1"/>
  <c r="AL48" i="1"/>
  <c r="AM47" i="1"/>
  <c r="AR47" i="1" s="1"/>
  <c r="AS47" i="1" s="1"/>
  <c r="AN47" i="1"/>
  <c r="AN48" i="1"/>
  <c r="AL49" i="1"/>
  <c r="AP48" i="1" a="1"/>
  <c r="AP48" i="1" s="1"/>
  <c r="AR48" i="1" s="1"/>
  <c r="AS48" i="1" s="1"/>
  <c r="AP49" i="1" a="1"/>
  <c r="AP49" i="1" s="1"/>
  <c r="AR49" i="1" s="1"/>
  <c r="AS49" i="1" s="1"/>
  <c r="N51" i="1" a="1"/>
  <c r="N51" i="1" s="1"/>
  <c r="AL51" i="1"/>
  <c r="AP51" i="1" a="1"/>
  <c r="AP51" i="1" s="1"/>
  <c r="AR51" i="1" s="1"/>
  <c r="AS51" i="1" s="1"/>
  <c r="AN50" i="1"/>
  <c r="AP50" i="1" a="1"/>
  <c r="AP50" i="1" s="1"/>
  <c r="AR50" i="1" s="1"/>
  <c r="AS50" i="1" s="1"/>
  <c r="AN51" i="1"/>
  <c r="AM66" i="1"/>
  <c r="K73" i="1"/>
  <c r="K72" i="1"/>
  <c r="O73" i="1" a="1"/>
  <c r="O73" i="1" s="1"/>
  <c r="L77" i="1"/>
  <c r="AL78" i="1"/>
  <c r="AM79" i="1"/>
  <c r="AO80" i="1" a="1"/>
  <c r="AO80" i="1" s="1"/>
  <c r="L81" i="1"/>
  <c r="AQ92" i="1"/>
  <c r="AM91" i="1"/>
  <c r="AO92" i="1" a="1"/>
  <c r="AO92" i="1" s="1"/>
  <c r="K94" i="1"/>
  <c r="L93" i="1"/>
  <c r="O93" i="1" a="1"/>
  <c r="O93" i="1" s="1"/>
  <c r="Q93" i="1" s="1"/>
  <c r="R93" i="1" s="1"/>
  <c r="AQ96" i="1"/>
  <c r="L97" i="1"/>
  <c r="P99" i="1"/>
  <c r="M98" i="1"/>
  <c r="N99" i="1" a="1"/>
  <c r="N99" i="1" s="1"/>
  <c r="O98" i="1" a="1"/>
  <c r="O98" i="1" s="1"/>
  <c r="Q98" i="1" s="1"/>
  <c r="R98" i="1" s="1"/>
  <c r="AL110" i="1"/>
  <c r="AM110" i="1"/>
  <c r="AR110" i="1" s="1"/>
  <c r="AS110" i="1" s="1"/>
  <c r="M119" i="1"/>
  <c r="P120" i="1"/>
  <c r="K119" i="1"/>
  <c r="J120" i="1"/>
  <c r="O119" i="1" a="1"/>
  <c r="O119" i="1" s="1"/>
  <c r="AP120" i="1" a="1"/>
  <c r="AP120" i="1" s="1"/>
  <c r="BP24" i="1"/>
  <c r="AN120" i="1"/>
  <c r="AO121" i="1" a="1"/>
  <c r="AO121" i="1" s="1"/>
  <c r="AK121" i="1"/>
  <c r="BQ19" i="1"/>
  <c r="AM19" i="1"/>
  <c r="AQ19" i="1"/>
  <c r="BR19" i="1"/>
  <c r="BI20" i="1"/>
  <c r="BQ21" i="1"/>
  <c r="AM21" i="1"/>
  <c r="AQ21" i="1"/>
  <c r="BR21" i="1"/>
  <c r="BQ23" i="1"/>
  <c r="AM23" i="1"/>
  <c r="AQ23" i="1"/>
  <c r="BR23" i="1"/>
  <c r="AO24" i="1" a="1"/>
  <c r="AO24" i="1" s="1"/>
  <c r="BR24" i="1"/>
  <c r="AP25" i="1" a="1"/>
  <c r="AP25" i="1" s="1"/>
  <c r="AR25" i="1" s="1"/>
  <c r="AS25" i="1" s="1"/>
  <c r="AQ26" i="1"/>
  <c r="AP27" i="1" a="1"/>
  <c r="AP27" i="1" s="1"/>
  <c r="AR27" i="1" s="1"/>
  <c r="AS27" i="1" s="1"/>
  <c r="AQ28" i="1"/>
  <c r="AP29" i="1" a="1"/>
  <c r="AP29" i="1" s="1"/>
  <c r="AR29" i="1" s="1"/>
  <c r="AS29" i="1" s="1"/>
  <c r="AQ30" i="1"/>
  <c r="AP31" i="1" a="1"/>
  <c r="AP31" i="1" s="1"/>
  <c r="AR31" i="1" s="1"/>
  <c r="AS31" i="1" s="1"/>
  <c r="BQ33" i="1"/>
  <c r="AN33" i="1"/>
  <c r="AP32" i="1" a="1"/>
  <c r="AP32" i="1" s="1"/>
  <c r="AO33" i="1" a="1"/>
  <c r="AO33" i="1" s="1"/>
  <c r="AM32" i="1"/>
  <c r="AM33" i="1"/>
  <c r="AR33" i="1" s="1"/>
  <c r="AS33" i="1" s="1"/>
  <c r="AN35" i="1"/>
  <c r="AP34" i="1" a="1"/>
  <c r="AP34" i="1" s="1"/>
  <c r="AM34" i="1"/>
  <c r="AM35" i="1"/>
  <c r="O36" i="1" a="1"/>
  <c r="O36" i="1" s="1"/>
  <c r="Q36" i="1" s="1"/>
  <c r="R36" i="1" s="1"/>
  <c r="P39" i="1"/>
  <c r="O38" i="1" a="1"/>
  <c r="O38" i="1" s="1"/>
  <c r="K39" i="1"/>
  <c r="Q40" i="1"/>
  <c r="R40" i="1" s="1"/>
  <c r="P46" i="1"/>
  <c r="AL46" i="1"/>
  <c r="AP46" i="1" a="1"/>
  <c r="AP46" i="1" s="1"/>
  <c r="AR46" i="1" s="1"/>
  <c r="AS46" i="1" s="1"/>
  <c r="AN45" i="1"/>
  <c r="AP45" i="1" a="1"/>
  <c r="AP45" i="1" s="1"/>
  <c r="AR45" i="1" s="1"/>
  <c r="AS45" i="1" s="1"/>
  <c r="AN46" i="1"/>
  <c r="AM56" i="1"/>
  <c r="AM61" i="1"/>
  <c r="AM64" i="1"/>
  <c r="AM65" i="1"/>
  <c r="O70" i="1" a="1"/>
  <c r="O70" i="1" s="1"/>
  <c r="J71" i="1"/>
  <c r="P71" i="1"/>
  <c r="AL71" i="1"/>
  <c r="AP71" i="1" a="1"/>
  <c r="AP71" i="1" s="1"/>
  <c r="AR71" i="1" s="1"/>
  <c r="AS71" i="1" s="1"/>
  <c r="AM70" i="1"/>
  <c r="AP70" i="1" a="1"/>
  <c r="AP70" i="1" s="1"/>
  <c r="AN71" i="1"/>
  <c r="AM86" i="1"/>
  <c r="AP87" i="1" a="1"/>
  <c r="AP87" i="1" s="1"/>
  <c r="L89" i="1"/>
  <c r="N95" i="1" a="1"/>
  <c r="N95" i="1" s="1"/>
  <c r="P108" i="1"/>
  <c r="AP115" i="1" a="1"/>
  <c r="AP115" i="1" s="1"/>
  <c r="AR115" i="1" s="1"/>
  <c r="AS115" i="1" s="1"/>
  <c r="O15" i="1" a="1"/>
  <c r="O15" i="1" s="1"/>
  <c r="K16" i="1"/>
  <c r="BP16" i="1"/>
  <c r="AN17" i="1"/>
  <c r="BG17" i="1"/>
  <c r="O17" i="1" a="1"/>
  <c r="O17" i="1" s="1"/>
  <c r="K18" i="1"/>
  <c r="AK18" i="1"/>
  <c r="AP18" i="1" a="1"/>
  <c r="AP18" i="1" s="1"/>
  <c r="AR18" i="1" s="1"/>
  <c r="AS18" i="1" s="1"/>
  <c r="BP18" i="1"/>
  <c r="AN19" i="1"/>
  <c r="BG19" i="1"/>
  <c r="O19" i="1" a="1"/>
  <c r="O19" i="1" s="1"/>
  <c r="K20" i="1"/>
  <c r="AK20" i="1"/>
  <c r="AP20" i="1" a="1"/>
  <c r="AP20" i="1" s="1"/>
  <c r="AR20" i="1" s="1"/>
  <c r="AS20" i="1" s="1"/>
  <c r="BP20" i="1"/>
  <c r="AN21" i="1"/>
  <c r="BG21" i="1"/>
  <c r="O21" i="1" a="1"/>
  <c r="O21" i="1" s="1"/>
  <c r="K22" i="1"/>
  <c r="AK22" i="1"/>
  <c r="AP22" i="1" a="1"/>
  <c r="AP22" i="1" s="1"/>
  <c r="AR22" i="1" s="1"/>
  <c r="AS22" i="1" s="1"/>
  <c r="BP22" i="1"/>
  <c r="BG23" i="1"/>
  <c r="O23" i="1" a="1"/>
  <c r="O23" i="1" s="1"/>
  <c r="K24" i="1"/>
  <c r="AR24" i="1"/>
  <c r="AS24" i="1" s="1"/>
  <c r="O24" i="1" a="1"/>
  <c r="O24" i="1" s="1"/>
  <c r="K25" i="1"/>
  <c r="BR25" i="1"/>
  <c r="AM26" i="1"/>
  <c r="O26" i="1" a="1"/>
  <c r="O26" i="1" s="1"/>
  <c r="K26" i="1"/>
  <c r="K27" i="1"/>
  <c r="AK27" i="1"/>
  <c r="AQ27" i="1"/>
  <c r="AM28" i="1"/>
  <c r="O28" i="1" a="1"/>
  <c r="O28" i="1" s="1"/>
  <c r="K28" i="1"/>
  <c r="K29" i="1"/>
  <c r="AK29" i="1"/>
  <c r="AQ29" i="1"/>
  <c r="AM30" i="1"/>
  <c r="O30" i="1" a="1"/>
  <c r="O30" i="1" s="1"/>
  <c r="K30" i="1"/>
  <c r="K31" i="1"/>
  <c r="AK31" i="1"/>
  <c r="AQ31" i="1"/>
  <c r="AR35" i="1"/>
  <c r="AS35" i="1" s="1"/>
  <c r="P38" i="1"/>
  <c r="O37" i="1" a="1"/>
  <c r="O37" i="1" s="1"/>
  <c r="K38" i="1"/>
  <c r="AP52" i="1" a="1"/>
  <c r="AP52" i="1" s="1"/>
  <c r="AR52" i="1" s="1"/>
  <c r="AS52" i="1" s="1"/>
  <c r="AM53" i="1"/>
  <c r="AN54" i="1"/>
  <c r="AL56" i="1"/>
  <c r="AM55" i="1"/>
  <c r="AR55" i="1" s="1"/>
  <c r="AS55" i="1" s="1"/>
  <c r="AN55" i="1"/>
  <c r="AN56" i="1"/>
  <c r="AL57" i="1"/>
  <c r="AP56" i="1" a="1"/>
  <c r="AP56" i="1" s="1"/>
  <c r="AR56" i="1" s="1"/>
  <c r="AS56" i="1" s="1"/>
  <c r="AM57" i="1"/>
  <c r="AP57" i="1" a="1"/>
  <c r="AP57" i="1" s="1"/>
  <c r="AM62" i="1"/>
  <c r="AL64" i="1"/>
  <c r="AM63" i="1"/>
  <c r="AR63" i="1" s="1"/>
  <c r="AS63" i="1" s="1"/>
  <c r="AN63" i="1"/>
  <c r="AN64" i="1"/>
  <c r="AL65" i="1"/>
  <c r="AP64" i="1" a="1"/>
  <c r="AP64" i="1" s="1"/>
  <c r="AR64" i="1" s="1"/>
  <c r="AS64" i="1" s="1"/>
  <c r="AP65" i="1" a="1"/>
  <c r="AP65" i="1" s="1"/>
  <c r="N67" i="1" a="1"/>
  <c r="N67" i="1" s="1"/>
  <c r="AL67" i="1"/>
  <c r="AP67" i="1" a="1"/>
  <c r="AP67" i="1" s="1"/>
  <c r="AR67" i="1" s="1"/>
  <c r="AS67" i="1" s="1"/>
  <c r="AN66" i="1"/>
  <c r="AP66" i="1" a="1"/>
  <c r="AP66" i="1" s="1"/>
  <c r="AN67" i="1"/>
  <c r="L70" i="1"/>
  <c r="M74" i="1"/>
  <c r="K76" i="1"/>
  <c r="N75" i="1" a="1"/>
  <c r="N75" i="1" s="1"/>
  <c r="O77" i="1" a="1"/>
  <c r="O77" i="1" s="1"/>
  <c r="AL77" i="1"/>
  <c r="AO76" i="1" a="1"/>
  <c r="AO76" i="1" s="1"/>
  <c r="N79" i="1" a="1"/>
  <c r="N79" i="1" s="1"/>
  <c r="AL79" i="1"/>
  <c r="AM78" i="1"/>
  <c r="AP79" i="1" a="1"/>
  <c r="AP79" i="1" s="1"/>
  <c r="K82" i="1"/>
  <c r="O82" i="1" a="1"/>
  <c r="O82" i="1" s="1"/>
  <c r="Q82" i="1" s="1"/>
  <c r="R82" i="1" s="1"/>
  <c r="O81" i="1" a="1"/>
  <c r="O81" i="1" s="1"/>
  <c r="M82" i="1"/>
  <c r="AP86" i="1" a="1"/>
  <c r="AP86" i="1" s="1"/>
  <c r="AQ88" i="1"/>
  <c r="AM87" i="1"/>
  <c r="AN87" i="1"/>
  <c r="AO88" i="1" a="1"/>
  <c r="AO88" i="1" s="1"/>
  <c r="M90" i="1"/>
  <c r="AL91" i="1"/>
  <c r="AP90" i="1" a="1"/>
  <c r="AP90" i="1" s="1"/>
  <c r="AR90" i="1" s="1"/>
  <c r="AS90" i="1" s="1"/>
  <c r="AP91" i="1" a="1"/>
  <c r="AP91" i="1" s="1"/>
  <c r="AR91" i="1" s="1"/>
  <c r="AS91" i="1" s="1"/>
  <c r="O94" i="1" a="1"/>
  <c r="O94" i="1" s="1"/>
  <c r="Q94" i="1" s="1"/>
  <c r="R94" i="1" s="1"/>
  <c r="J95" i="1"/>
  <c r="P95" i="1"/>
  <c r="AL95" i="1"/>
  <c r="AP95" i="1" a="1"/>
  <c r="AP95" i="1" s="1"/>
  <c r="AR95" i="1" s="1"/>
  <c r="AS95" i="1" s="1"/>
  <c r="AM94" i="1"/>
  <c r="AP94" i="1" a="1"/>
  <c r="AP94" i="1" s="1"/>
  <c r="AN95" i="1"/>
  <c r="Q97" i="1"/>
  <c r="R97" i="1" s="1"/>
  <c r="AQ97" i="1"/>
  <c r="AO96" i="1" a="1"/>
  <c r="AO96" i="1" s="1"/>
  <c r="P104" i="1"/>
  <c r="N103" i="1" a="1"/>
  <c r="N103" i="1" s="1"/>
  <c r="O106" i="1" a="1"/>
  <c r="O106" i="1" s="1"/>
  <c r="Q106" i="1" s="1"/>
  <c r="R106" i="1" s="1"/>
  <c r="P107" i="1"/>
  <c r="M106" i="1"/>
  <c r="J107" i="1"/>
  <c r="Q109" i="1"/>
  <c r="R109" i="1" s="1"/>
  <c r="AQ109" i="1"/>
  <c r="AO108" i="1" a="1"/>
  <c r="AO108" i="1" s="1"/>
  <c r="AQ108" i="1"/>
  <c r="BQ32" i="1"/>
  <c r="AQ32" i="1"/>
  <c r="AL34" i="1"/>
  <c r="AQ34" i="1"/>
  <c r="AO35" i="1" a="1"/>
  <c r="AO35" i="1" s="1"/>
  <c r="AL42" i="1"/>
  <c r="AN42" i="1"/>
  <c r="AP43" i="1" a="1"/>
  <c r="AP43" i="1" s="1"/>
  <c r="AR43" i="1" s="1"/>
  <c r="AS43" i="1" s="1"/>
  <c r="AL44" i="1"/>
  <c r="P47" i="1"/>
  <c r="AL47" i="1"/>
  <c r="AL52" i="1"/>
  <c r="P55" i="1"/>
  <c r="AL55" i="1"/>
  <c r="AL58" i="1"/>
  <c r="AN58" i="1"/>
  <c r="AP59" i="1" a="1"/>
  <c r="AP59" i="1" s="1"/>
  <c r="AR59" i="1" s="1"/>
  <c r="AS59" i="1" s="1"/>
  <c r="AL60" i="1"/>
  <c r="P63" i="1"/>
  <c r="AL63" i="1"/>
  <c r="K69" i="1"/>
  <c r="AL70" i="1"/>
  <c r="AN75" i="1"/>
  <c r="K80" i="1"/>
  <c r="AP82" i="1" a="1"/>
  <c r="AP82" i="1" s="1"/>
  <c r="AR82" i="1" s="1"/>
  <c r="AS82" i="1" s="1"/>
  <c r="AL83" i="1"/>
  <c r="K86" i="1"/>
  <c r="M86" i="1"/>
  <c r="P87" i="1"/>
  <c r="AL87" i="1"/>
  <c r="K93" i="1"/>
  <c r="AL94" i="1"/>
  <c r="AM98" i="1"/>
  <c r="AR98" i="1" s="1"/>
  <c r="AS98" i="1" s="1"/>
  <c r="AP99" i="1" a="1"/>
  <c r="AP99" i="1" s="1"/>
  <c r="AR99" i="1" s="1"/>
  <c r="AS99" i="1" s="1"/>
  <c r="AO100" i="1" a="1"/>
  <c r="AO100" i="1" s="1"/>
  <c r="K102" i="1"/>
  <c r="M102" i="1"/>
  <c r="K105" i="1"/>
  <c r="AL106" i="1"/>
  <c r="AP106" i="1" a="1"/>
  <c r="AP106" i="1" s="1"/>
  <c r="O110" i="1" a="1"/>
  <c r="O110" i="1" s="1"/>
  <c r="Q110" i="1" s="1"/>
  <c r="R110" i="1" s="1"/>
  <c r="AO112" i="1" a="1"/>
  <c r="AO112" i="1" s="1"/>
  <c r="M114" i="1"/>
  <c r="AL115" i="1"/>
  <c r="AQ119" i="1"/>
  <c r="J124" i="1"/>
  <c r="AK125" i="1"/>
  <c r="AP125" i="1" a="1"/>
  <c r="AP125" i="1" s="1"/>
  <c r="P129" i="1"/>
  <c r="AM129" i="1"/>
  <c r="AL129" i="1"/>
  <c r="AO130" i="1" a="1"/>
  <c r="AO130" i="1" s="1"/>
  <c r="K131" i="1"/>
  <c r="AP132" i="1" a="1"/>
  <c r="AP132" i="1" s="1"/>
  <c r="AQ133" i="1"/>
  <c r="N134" i="1" a="1"/>
  <c r="N134" i="1" s="1"/>
  <c r="AO137" i="1" a="1"/>
  <c r="AO137" i="1" s="1"/>
  <c r="AK138" i="1"/>
  <c r="AQ138" i="1"/>
  <c r="M139" i="1"/>
  <c r="AK139" i="1"/>
  <c r="AP141" i="1" a="1"/>
  <c r="AP141" i="1" s="1"/>
  <c r="O143" i="1" a="1"/>
  <c r="O143" i="1" s="1"/>
  <c r="AK145" i="1"/>
  <c r="N146" i="1" a="1"/>
  <c r="N146" i="1" s="1"/>
  <c r="AK146" i="1"/>
  <c r="L147" i="1"/>
  <c r="N148" i="1" a="1"/>
  <c r="N148" i="1" s="1"/>
  <c r="J149" i="1"/>
  <c r="AM149" i="1"/>
  <c r="AK150" i="1"/>
  <c r="AQ150" i="1"/>
  <c r="AL152" i="1"/>
  <c r="AK153" i="1"/>
  <c r="AP153" i="1" a="1"/>
  <c r="AP153" i="1" s="1"/>
  <c r="P156" i="1"/>
  <c r="AK157" i="1"/>
  <c r="J158" i="1"/>
  <c r="K159" i="1"/>
  <c r="J160" i="1"/>
  <c r="P160" i="1"/>
  <c r="AN160" i="1"/>
  <c r="J161" i="1"/>
  <c r="AK161" i="1"/>
  <c r="J164" i="1"/>
  <c r="O164" i="1" a="1"/>
  <c r="O164" i="1" s="1"/>
  <c r="K164" i="1"/>
  <c r="N165" i="1" a="1"/>
  <c r="N165" i="1" s="1"/>
  <c r="AK165" i="1"/>
  <c r="AP165" i="1" a="1"/>
  <c r="AP165" i="1" s="1"/>
  <c r="AO166" i="1" a="1"/>
  <c r="AO166" i="1" s="1"/>
  <c r="K167" i="1"/>
  <c r="AK167" i="1"/>
  <c r="AP169" i="1" a="1"/>
  <c r="AP169" i="1" s="1"/>
  <c r="AL170" i="1"/>
  <c r="AL171" i="1"/>
  <c r="N172" i="1" a="1"/>
  <c r="N172" i="1" s="1"/>
  <c r="AP172" i="1" a="1"/>
  <c r="AP172" i="1" s="1"/>
  <c r="J173" i="1"/>
  <c r="AK173" i="1"/>
  <c r="K174" i="1"/>
  <c r="AP175" i="1" a="1"/>
  <c r="AP175" i="1" s="1"/>
  <c r="AR175" i="1" s="1"/>
  <c r="AS175" i="1" s="1"/>
  <c r="J176" i="1"/>
  <c r="AL176" i="1"/>
  <c r="AK177" i="1"/>
  <c r="AQ177" i="1"/>
  <c r="J178" i="1"/>
  <c r="P178" i="1"/>
  <c r="AO178" i="1" a="1"/>
  <c r="AO178" i="1" s="1"/>
  <c r="AP179" i="1" a="1"/>
  <c r="AP179" i="1" s="1"/>
  <c r="J180" i="1"/>
  <c r="O180" i="1" a="1"/>
  <c r="O180" i="1" s="1"/>
  <c r="Q180" i="1" s="1"/>
  <c r="R180" i="1" s="1"/>
  <c r="AM180" i="1"/>
  <c r="K180" i="1"/>
  <c r="M181" i="1"/>
  <c r="AM181" i="1"/>
  <c r="AK182" i="1"/>
  <c r="AQ182" i="1"/>
  <c r="K183" i="1"/>
  <c r="AM185" i="1"/>
  <c r="O187" i="1" a="1"/>
  <c r="O187" i="1" s="1"/>
  <c r="AQ187" i="1"/>
  <c r="J190" i="1"/>
  <c r="L192" i="1"/>
  <c r="AP192" i="1" a="1"/>
  <c r="AP192" i="1" s="1"/>
  <c r="J193" i="1"/>
  <c r="AK193" i="1"/>
  <c r="J194" i="1"/>
  <c r="J196" i="1"/>
  <c r="O196" i="1" a="1"/>
  <c r="O196" i="1" s="1"/>
  <c r="N198" i="1" a="1"/>
  <c r="N198" i="1" s="1"/>
  <c r="M199" i="1"/>
  <c r="M200" i="1"/>
  <c r="AO202" i="1" a="1"/>
  <c r="AO202" i="1" s="1"/>
  <c r="K203" i="1"/>
  <c r="AO203" i="1" a="1"/>
  <c r="AO203" i="1" s="1"/>
  <c r="M204" i="1"/>
  <c r="J208" i="1"/>
  <c r="L210" i="1"/>
  <c r="AK210" i="1"/>
  <c r="AK213" i="1"/>
  <c r="AP213" i="1" a="1"/>
  <c r="AP213" i="1" s="1"/>
  <c r="AL213" i="1"/>
  <c r="AN214" i="1"/>
  <c r="AM215" i="1"/>
  <c r="J216" i="1"/>
  <c r="L220" i="1"/>
  <c r="N222" i="1" a="1"/>
  <c r="N222" i="1" s="1"/>
  <c r="N225" i="1" a="1"/>
  <c r="N225" i="1" s="1"/>
  <c r="AN225" i="1"/>
  <c r="N226" i="1" a="1"/>
  <c r="N226" i="1" s="1"/>
  <c r="P229" i="1"/>
  <c r="AM229" i="1"/>
  <c r="AQ229" i="1"/>
  <c r="K230" i="1"/>
  <c r="AK230" i="1"/>
  <c r="M232" i="1"/>
  <c r="AL234" i="1"/>
  <c r="AL236" i="1"/>
  <c r="M237" i="1"/>
  <c r="AP237" i="1" a="1"/>
  <c r="AP237" i="1" s="1"/>
  <c r="M240" i="1"/>
  <c r="AN240" i="1"/>
  <c r="AK242" i="1"/>
  <c r="AN241" i="1"/>
  <c r="AL245" i="1"/>
  <c r="AQ246" i="1"/>
  <c r="AK246" i="1"/>
  <c r="AP245" i="1" a="1"/>
  <c r="AP245" i="1" s="1"/>
  <c r="AO246" i="1" a="1"/>
  <c r="AO246" i="1" s="1"/>
  <c r="AM247" i="1"/>
  <c r="AK249" i="1"/>
  <c r="AQ253" i="1"/>
  <c r="J254" i="1"/>
  <c r="K255" i="1"/>
  <c r="L256" i="1"/>
  <c r="J258" i="1"/>
  <c r="AL257" i="1"/>
  <c r="AK258" i="1"/>
  <c r="AO257" i="1" a="1"/>
  <c r="AO257" i="1" s="1"/>
  <c r="AK259" i="1"/>
  <c r="J260" i="1"/>
  <c r="P260" i="1"/>
  <c r="O263" i="1" a="1"/>
  <c r="O263" i="1" s="1"/>
  <c r="AQ263" i="1"/>
  <c r="AN262" i="1"/>
  <c r="AM263" i="1"/>
  <c r="AP264" i="1" a="1"/>
  <c r="AP264" i="1" s="1"/>
  <c r="K265" i="1"/>
  <c r="M264" i="1"/>
  <c r="AL268" i="1"/>
  <c r="AK269" i="1"/>
  <c r="M271" i="1"/>
  <c r="AL272" i="1"/>
  <c r="P274" i="1"/>
  <c r="AL273" i="1"/>
  <c r="AN273" i="1"/>
  <c r="AO274" i="1" a="1"/>
  <c r="AO274" i="1" s="1"/>
  <c r="AK285" i="1"/>
  <c r="AL284" i="1"/>
  <c r="AQ285" i="1"/>
  <c r="AO285" i="1" a="1"/>
  <c r="AO285" i="1" s="1"/>
  <c r="AO295" i="1" a="1"/>
  <c r="AO295" i="1" s="1"/>
  <c r="AK295" i="1"/>
  <c r="AO294" i="1" a="1"/>
  <c r="AO294" i="1" s="1"/>
  <c r="AQ295" i="1"/>
  <c r="AN294" i="1"/>
  <c r="AL121" i="1"/>
  <c r="L124" i="1"/>
  <c r="AM125" i="1"/>
  <c r="M131" i="1"/>
  <c r="AN138" i="1"/>
  <c r="AQ139" i="1"/>
  <c r="AM145" i="1"/>
  <c r="AO146" i="1" a="1"/>
  <c r="AO146" i="1" s="1"/>
  <c r="AN150" i="1"/>
  <c r="M159" i="1"/>
  <c r="L160" i="1"/>
  <c r="Q160" i="1" s="1"/>
  <c r="R160" i="1" s="1"/>
  <c r="N161" i="1" a="1"/>
  <c r="N161" i="1" s="1"/>
  <c r="AN161" i="1"/>
  <c r="L164" i="1"/>
  <c r="AM165" i="1"/>
  <c r="AQ165" i="1"/>
  <c r="M167" i="1"/>
  <c r="AM167" i="1"/>
  <c r="AO170" i="1" a="1"/>
  <c r="AO170" i="1" s="1"/>
  <c r="AO171" i="1" a="1"/>
  <c r="AO171" i="1" s="1"/>
  <c r="M173" i="1"/>
  <c r="AO173" i="1" a="1"/>
  <c r="AO173" i="1" s="1"/>
  <c r="M176" i="1"/>
  <c r="AN176" i="1"/>
  <c r="AM177" i="1"/>
  <c r="L178" i="1"/>
  <c r="L180" i="1"/>
  <c r="P180" i="1"/>
  <c r="AN182" i="1"/>
  <c r="N190" i="1" a="1"/>
  <c r="N190" i="1" s="1"/>
  <c r="N193" i="1" a="1"/>
  <c r="N193" i="1" s="1"/>
  <c r="L196" i="1"/>
  <c r="K196" i="1"/>
  <c r="M197" i="1"/>
  <c r="L208" i="1"/>
  <c r="AM213" i="1"/>
  <c r="AQ213" i="1"/>
  <c r="P230" i="1"/>
  <c r="AN230" i="1"/>
  <c r="AQ234" i="1"/>
  <c r="AP236" i="1" a="1"/>
  <c r="AP236" i="1" s="1"/>
  <c r="J237" i="1"/>
  <c r="L236" i="1"/>
  <c r="AO247" i="1" a="1"/>
  <c r="AO247" i="1" s="1"/>
  <c r="N254" i="1" a="1"/>
  <c r="N254" i="1" s="1"/>
  <c r="AL253" i="1"/>
  <c r="AO253" i="1" a="1"/>
  <c r="AO253" i="1" s="1"/>
  <c r="AO259" i="1" a="1"/>
  <c r="AO259" i="1" s="1"/>
  <c r="L260" i="1"/>
  <c r="Q260" i="1" s="1"/>
  <c r="R260" i="1" s="1"/>
  <c r="AP268" i="1" a="1"/>
  <c r="AP268" i="1" s="1"/>
  <c r="AN269" i="1"/>
  <c r="AN272" i="1"/>
  <c r="AL277" i="1"/>
  <c r="AN277" i="1"/>
  <c r="AN278" i="1"/>
  <c r="AK279" i="1"/>
  <c r="AO278" i="1" a="1"/>
  <c r="AO278" i="1" s="1"/>
  <c r="AO279" i="1" a="1"/>
  <c r="AO279" i="1" s="1"/>
  <c r="AL280" i="1"/>
  <c r="K284" i="1"/>
  <c r="M284" i="1"/>
  <c r="L284" i="1"/>
  <c r="K292" i="1"/>
  <c r="M292" i="1"/>
  <c r="P293" i="1"/>
  <c r="L292" i="1"/>
  <c r="M293" i="1"/>
  <c r="K295" i="1"/>
  <c r="K294" i="1"/>
  <c r="O101" i="1" a="1"/>
  <c r="O101" i="1" s="1"/>
  <c r="Q101" i="1" s="1"/>
  <c r="R101" i="1" s="1"/>
  <c r="AP102" i="1" a="1"/>
  <c r="AP102" i="1" s="1"/>
  <c r="AR102" i="1" s="1"/>
  <c r="AS102" i="1" s="1"/>
  <c r="K106" i="1"/>
  <c r="AN107" i="1"/>
  <c r="N111" i="1" a="1"/>
  <c r="N111" i="1" s="1"/>
  <c r="O113" i="1" a="1"/>
  <c r="O113" i="1" s="1"/>
  <c r="Q113" i="1" s="1"/>
  <c r="R113" i="1" s="1"/>
  <c r="AP114" i="1" a="1"/>
  <c r="AP114" i="1" s="1"/>
  <c r="AR114" i="1" s="1"/>
  <c r="AS114" i="1" s="1"/>
  <c r="L122" i="1"/>
  <c r="M123" i="1"/>
  <c r="M124" i="1"/>
  <c r="AP124" i="1" a="1"/>
  <c r="AP124" i="1" s="1"/>
  <c r="K124" i="1"/>
  <c r="M125" i="1"/>
  <c r="AN125" i="1"/>
  <c r="AQ125" i="1"/>
  <c r="N126" i="1" a="1"/>
  <c r="N126" i="1" s="1"/>
  <c r="AR129" i="1"/>
  <c r="AS129" i="1" s="1"/>
  <c r="AP131" i="1" a="1"/>
  <c r="AP131" i="1" s="1"/>
  <c r="AM133" i="1"/>
  <c r="P134" i="1"/>
  <c r="L136" i="1"/>
  <c r="K136" i="1"/>
  <c r="M137" i="1"/>
  <c r="AM137" i="1"/>
  <c r="AR137" i="1" s="1"/>
  <c r="AS137" i="1" s="1"/>
  <c r="M140" i="1"/>
  <c r="AN141" i="1"/>
  <c r="M144" i="1"/>
  <c r="AN144" i="1"/>
  <c r="L148" i="1"/>
  <c r="Q148" i="1" s="1"/>
  <c r="R148" i="1" s="1"/>
  <c r="AO149" i="1" a="1"/>
  <c r="AO149" i="1" s="1"/>
  <c r="AO150" i="1" a="1"/>
  <c r="AO150" i="1" s="1"/>
  <c r="L156" i="1"/>
  <c r="M160" i="1"/>
  <c r="N162" i="1" a="1"/>
  <c r="N162" i="1" s="1"/>
  <c r="M164" i="1"/>
  <c r="AM164" i="1"/>
  <c r="AN165" i="1"/>
  <c r="AO167" i="1" a="1"/>
  <c r="AO167" i="1" s="1"/>
  <c r="AN168" i="1"/>
  <c r="AQ170" i="1"/>
  <c r="L172" i="1"/>
  <c r="AP173" i="1" a="1"/>
  <c r="AP173" i="1" s="1"/>
  <c r="M175" i="1"/>
  <c r="AP176" i="1" a="1"/>
  <c r="AP176" i="1" s="1"/>
  <c r="M180" i="1"/>
  <c r="AO181" i="1" a="1"/>
  <c r="AO181" i="1" s="1"/>
  <c r="AO182" i="1" a="1"/>
  <c r="AO182" i="1" s="1"/>
  <c r="L186" i="1"/>
  <c r="AP188" i="1" a="1"/>
  <c r="AP188" i="1" s="1"/>
  <c r="O190" i="1" a="1"/>
  <c r="O190" i="1" s="1"/>
  <c r="AL192" i="1"/>
  <c r="M196" i="1"/>
  <c r="P196" i="1"/>
  <c r="N197" i="1" a="1"/>
  <c r="N197" i="1" s="1"/>
  <c r="AN198" i="1"/>
  <c r="AO199" i="1" a="1"/>
  <c r="AO199" i="1" s="1"/>
  <c r="P200" i="1"/>
  <c r="N201" i="1" a="1"/>
  <c r="N201" i="1" s="1"/>
  <c r="O202" i="1" a="1"/>
  <c r="O202" i="1" s="1"/>
  <c r="AN206" i="1"/>
  <c r="M207" i="1"/>
  <c r="M208" i="1"/>
  <c r="AN213" i="1"/>
  <c r="AQ214" i="1"/>
  <c r="O216" i="1" a="1"/>
  <c r="O216" i="1" s="1"/>
  <c r="AP217" i="1" a="1"/>
  <c r="AP217" i="1" s="1"/>
  <c r="P220" i="1"/>
  <c r="K223" i="1"/>
  <c r="J224" i="1"/>
  <c r="AN224" i="1"/>
  <c r="J228" i="1"/>
  <c r="O228" i="1" a="1"/>
  <c r="O228" i="1" s="1"/>
  <c r="AO229" i="1" a="1"/>
  <c r="AO229" i="1" s="1"/>
  <c r="AO230" i="1" a="1"/>
  <c r="AO230" i="1" s="1"/>
  <c r="K231" i="1"/>
  <c r="AM231" i="1"/>
  <c r="AL232" i="1"/>
  <c r="AO233" i="1" a="1"/>
  <c r="AO233" i="1" s="1"/>
  <c r="M239" i="1"/>
  <c r="AP240" i="1" a="1"/>
  <c r="AP240" i="1" s="1"/>
  <c r="AM241" i="1"/>
  <c r="N242" i="1" a="1"/>
  <c r="N242" i="1" s="1"/>
  <c r="K244" i="1"/>
  <c r="L244" i="1"/>
  <c r="Q244" i="1" s="1"/>
  <c r="R244" i="1" s="1"/>
  <c r="M245" i="1"/>
  <c r="AM245" i="1"/>
  <c r="AQ245" i="1"/>
  <c r="AQ247" i="1"/>
  <c r="N248" i="1" a="1"/>
  <c r="N248" i="1" s="1"/>
  <c r="O251" i="1" a="1"/>
  <c r="O251" i="1" s="1"/>
  <c r="AL252" i="1"/>
  <c r="P256" i="1"/>
  <c r="K256" i="1"/>
  <c r="O256" i="1" a="1"/>
  <c r="O256" i="1" s="1"/>
  <c r="AL256" i="1"/>
  <c r="AM257" i="1"/>
  <c r="N260" i="1" a="1"/>
  <c r="N260" i="1" s="1"/>
  <c r="AP261" i="1" a="1"/>
  <c r="AP261" i="1" s="1"/>
  <c r="AR261" i="1" s="1"/>
  <c r="AS261" i="1" s="1"/>
  <c r="AK261" i="1"/>
  <c r="AN261" i="1"/>
  <c r="O267" i="1" a="1"/>
  <c r="O267" i="1" s="1"/>
  <c r="K268" i="1"/>
  <c r="L268" i="1"/>
  <c r="AO269" i="1" a="1"/>
  <c r="AO269" i="1" s="1"/>
  <c r="K272" i="1"/>
  <c r="M272" i="1"/>
  <c r="N273" i="1" a="1"/>
  <c r="N273" i="1" s="1"/>
  <c r="AM273" i="1"/>
  <c r="AO275" i="1" a="1"/>
  <c r="AO275" i="1" s="1"/>
  <c r="M276" i="1"/>
  <c r="K276" i="1"/>
  <c r="O276" i="1" a="1"/>
  <c r="O276" i="1" s="1"/>
  <c r="Q276" i="1" s="1"/>
  <c r="R276" i="1" s="1"/>
  <c r="P277" i="1"/>
  <c r="AM277" i="1"/>
  <c r="AR277" i="1" s="1"/>
  <c r="AS277" i="1" s="1"/>
  <c r="AQ278" i="1"/>
  <c r="AQ279" i="1"/>
  <c r="P280" i="1"/>
  <c r="K279" i="1"/>
  <c r="M280" i="1"/>
  <c r="Q288" i="1"/>
  <c r="R288" i="1" s="1"/>
  <c r="L291" i="1"/>
  <c r="L290" i="1"/>
  <c r="P292" i="1"/>
  <c r="N292" i="1" a="1"/>
  <c r="N292" i="1" s="1"/>
  <c r="O25" i="1" a="1"/>
  <c r="O25" i="1" s="1"/>
  <c r="O27" i="1" a="1"/>
  <c r="O27" i="1" s="1"/>
  <c r="O29" i="1" a="1"/>
  <c r="O29" i="1" s="1"/>
  <c r="O31" i="1" a="1"/>
  <c r="O31" i="1" s="1"/>
  <c r="O33" i="1" a="1"/>
  <c r="O33" i="1" s="1"/>
  <c r="P36" i="1"/>
  <c r="AL37" i="1"/>
  <c r="AL39" i="1"/>
  <c r="P43" i="1"/>
  <c r="AN43" i="1"/>
  <c r="AL45" i="1"/>
  <c r="AL50" i="1"/>
  <c r="P59" i="1"/>
  <c r="AN59" i="1"/>
  <c r="AL61" i="1"/>
  <c r="AL66" i="1"/>
  <c r="AP74" i="1" a="1"/>
  <c r="AP74" i="1" s="1"/>
  <c r="AR74" i="1" s="1"/>
  <c r="AS74" i="1" s="1"/>
  <c r="K78" i="1"/>
  <c r="K81" i="1"/>
  <c r="K89" i="1"/>
  <c r="AL90" i="1"/>
  <c r="K98" i="1"/>
  <c r="AN99" i="1"/>
  <c r="L102" i="1"/>
  <c r="Q102" i="1" s="1"/>
  <c r="R102" i="1" s="1"/>
  <c r="AN103" i="1"/>
  <c r="AO104" i="1" a="1"/>
  <c r="AO104" i="1" s="1"/>
  <c r="L105" i="1"/>
  <c r="Q105" i="1" s="1"/>
  <c r="R105" i="1" s="1"/>
  <c r="AM106" i="1"/>
  <c r="AP107" i="1" a="1"/>
  <c r="AP107" i="1" s="1"/>
  <c r="AR107" i="1" s="1"/>
  <c r="AS107" i="1" s="1"/>
  <c r="K110" i="1"/>
  <c r="M110" i="1"/>
  <c r="AL111" i="1"/>
  <c r="AN111" i="1"/>
  <c r="L114" i="1"/>
  <c r="Q114" i="1" s="1"/>
  <c r="R114" i="1" s="1"/>
  <c r="P117" i="1"/>
  <c r="AL117" i="1"/>
  <c r="AQ118" i="1"/>
  <c r="K120" i="1"/>
  <c r="O123" i="1" a="1"/>
  <c r="O123" i="1" s="1"/>
  <c r="N124" i="1" a="1"/>
  <c r="N124" i="1" s="1"/>
  <c r="N125" i="1" a="1"/>
  <c r="N125" i="1" s="1"/>
  <c r="P126" i="1"/>
  <c r="AL125" i="1"/>
  <c r="AN126" i="1"/>
  <c r="AO127" i="1" a="1"/>
  <c r="AO127" i="1" s="1"/>
  <c r="M128" i="1"/>
  <c r="M129" i="1"/>
  <c r="M132" i="1"/>
  <c r="AN133" i="1"/>
  <c r="M136" i="1"/>
  <c r="AN137" i="1"/>
  <c r="K139" i="1"/>
  <c r="AN142" i="1"/>
  <c r="AP144" i="1" a="1"/>
  <c r="AP144" i="1" s="1"/>
  <c r="M148" i="1"/>
  <c r="AP149" i="1" a="1"/>
  <c r="AP149" i="1" s="1"/>
  <c r="AM151" i="1"/>
  <c r="P153" i="1"/>
  <c r="N164" i="1" a="1"/>
  <c r="N164" i="1" s="1"/>
  <c r="J165" i="1"/>
  <c r="AL165" i="1"/>
  <c r="AN166" i="1"/>
  <c r="AO177" i="1" a="1"/>
  <c r="AO177" i="1" s="1"/>
  <c r="N180" i="1" a="1"/>
  <c r="N180" i="1" s="1"/>
  <c r="J181" i="1"/>
  <c r="AP181" i="1" a="1"/>
  <c r="AP181" i="1" s="1"/>
  <c r="O186" i="1" a="1"/>
  <c r="O186" i="1" s="1"/>
  <c r="Q186" i="1" s="1"/>
  <c r="R186" i="1" s="1"/>
  <c r="AQ186" i="1"/>
  <c r="AN189" i="1"/>
  <c r="K191" i="1"/>
  <c r="J192" i="1"/>
  <c r="N196" i="1" a="1"/>
  <c r="N196" i="1" s="1"/>
  <c r="P197" i="1"/>
  <c r="AM197" i="1"/>
  <c r="AR197" i="1" s="1"/>
  <c r="AS197" i="1" s="1"/>
  <c r="AO198" i="1" a="1"/>
  <c r="AO198" i="1" s="1"/>
  <c r="K199" i="1"/>
  <c r="O206" i="1" a="1"/>
  <c r="O206" i="1" s="1"/>
  <c r="O207" i="1" a="1"/>
  <c r="O207" i="1" s="1"/>
  <c r="L212" i="1"/>
  <c r="Q212" i="1" s="1"/>
  <c r="R212" i="1" s="1"/>
  <c r="AO213" i="1" a="1"/>
  <c r="AO213" i="1" s="1"/>
  <c r="AK214" i="1"/>
  <c r="L224" i="1"/>
  <c r="Q224" i="1" s="1"/>
  <c r="R224" i="1" s="1"/>
  <c r="AP224" i="1" a="1"/>
  <c r="AP224" i="1" s="1"/>
  <c r="K228" i="1"/>
  <c r="AP229" i="1" a="1"/>
  <c r="AP229" i="1" s="1"/>
  <c r="AQ230" i="1"/>
  <c r="J232" i="1"/>
  <c r="AO237" i="1" a="1"/>
  <c r="AO237" i="1" s="1"/>
  <c r="O239" i="1" a="1"/>
  <c r="O239" i="1" s="1"/>
  <c r="AP239" i="1" a="1"/>
  <c r="AP239" i="1" s="1"/>
  <c r="J240" i="1"/>
  <c r="AQ241" i="1"/>
  <c r="AO242" i="1" a="1"/>
  <c r="AO242" i="1" s="1"/>
  <c r="AN245" i="1"/>
  <c r="O246" i="1" a="1"/>
  <c r="O246" i="1" s="1"/>
  <c r="N245" i="1" a="1"/>
  <c r="N245" i="1" s="1"/>
  <c r="N246" i="1" a="1"/>
  <c r="N246" i="1" s="1"/>
  <c r="AN246" i="1"/>
  <c r="AP252" i="1" a="1"/>
  <c r="AP252" i="1" s="1"/>
  <c r="AN253" i="1"/>
  <c r="M255" i="1"/>
  <c r="J256" i="1"/>
  <c r="AN257" i="1"/>
  <c r="K260" i="1"/>
  <c r="M260" i="1"/>
  <c r="AO262" i="1" a="1"/>
  <c r="AO262" i="1" s="1"/>
  <c r="AK263" i="1"/>
  <c r="K271" i="1"/>
  <c r="O271" i="1" a="1"/>
  <c r="O271" i="1" s="1"/>
  <c r="L272" i="1"/>
  <c r="Q272" i="1" s="1"/>
  <c r="R272" i="1" s="1"/>
  <c r="AO273" i="1" a="1"/>
  <c r="AO273" i="1" s="1"/>
  <c r="AK274" i="1"/>
  <c r="AO277" i="1" a="1"/>
  <c r="AO277" i="1" s="1"/>
  <c r="AK281" i="1"/>
  <c r="AN285" i="1"/>
  <c r="AL289" i="1"/>
  <c r="AK290" i="1"/>
  <c r="AM289" i="1"/>
  <c r="O292" i="1" a="1"/>
  <c r="O292" i="1" s="1"/>
  <c r="AM295" i="1"/>
  <c r="AM244" i="1"/>
  <c r="AL261" i="1"/>
  <c r="AL269" i="1"/>
  <c r="K283" i="1"/>
  <c r="J286" i="1"/>
  <c r="M287" i="1"/>
  <c r="J288" i="1"/>
  <c r="P288" i="1"/>
  <c r="AN288" i="1"/>
  <c r="AK289" i="1"/>
  <c r="AM293" i="1"/>
  <c r="AL293" i="1"/>
  <c r="AL296" i="1"/>
  <c r="O299" i="1" a="1"/>
  <c r="O299" i="1" s="1"/>
  <c r="P300" i="1"/>
  <c r="AP300" i="1" a="1"/>
  <c r="AP300" i="1" s="1"/>
  <c r="K300" i="1"/>
  <c r="AO301" i="1" a="1"/>
  <c r="AO301" i="1" s="1"/>
  <c r="J302" i="1"/>
  <c r="AP304" i="1" a="1"/>
  <c r="AP304" i="1" s="1"/>
  <c r="J305" i="1"/>
  <c r="M306" i="1"/>
  <c r="J307" i="1"/>
  <c r="L311" i="1"/>
  <c r="Q311" i="1" s="1"/>
  <c r="R311" i="1" s="1"/>
  <c r="N312" i="1" a="1"/>
  <c r="N312" i="1" s="1"/>
  <c r="AK312" i="1"/>
  <c r="AP312" i="1" a="1"/>
  <c r="AP312" i="1" s="1"/>
  <c r="P313" i="1"/>
  <c r="AL312" i="1"/>
  <c r="AN313" i="1"/>
  <c r="O322" i="1" a="1"/>
  <c r="O322" i="1" s="1"/>
  <c r="AL323" i="1"/>
  <c r="AN324" i="1"/>
  <c r="N325" i="1" a="1"/>
  <c r="N325" i="1" s="1"/>
  <c r="AL324" i="1"/>
  <c r="AO325" i="1" a="1"/>
  <c r="AO325" i="1" s="1"/>
  <c r="L326" i="1"/>
  <c r="M327" i="1"/>
  <c r="P328" i="1"/>
  <c r="AM328" i="1"/>
  <c r="AR328" i="1" s="1"/>
  <c r="AS328" i="1" s="1"/>
  <c r="M335" i="1"/>
  <c r="AO336" i="1" a="1"/>
  <c r="AO336" i="1" s="1"/>
  <c r="J337" i="1"/>
  <c r="AK337" i="1"/>
  <c r="L339" i="1"/>
  <c r="AN339" i="1"/>
  <c r="J340" i="1"/>
  <c r="AK340" i="1"/>
  <c r="AQ340" i="1"/>
  <c r="J341" i="1"/>
  <c r="AK342" i="1"/>
  <c r="J343" i="1"/>
  <c r="O343" i="1" a="1"/>
  <c r="O343" i="1" s="1"/>
  <c r="AK344" i="1"/>
  <c r="AP344" i="1" a="1"/>
  <c r="AP344" i="1" s="1"/>
  <c r="AL344" i="1"/>
  <c r="AN345" i="1"/>
  <c r="AK346" i="1"/>
  <c r="AQ350" i="1"/>
  <c r="J351" i="1"/>
  <c r="O350" i="1" a="1"/>
  <c r="O350" i="1" s="1"/>
  <c r="M351" i="1"/>
  <c r="AL351" i="1"/>
  <c r="J357" i="1"/>
  <c r="AO357" i="1" a="1"/>
  <c r="AO357" i="1" s="1"/>
  <c r="AO358" i="1" a="1"/>
  <c r="AO358" i="1" s="1"/>
  <c r="J375" i="1"/>
  <c r="P375" i="1"/>
  <c r="M375" i="1"/>
  <c r="L374" i="1"/>
  <c r="AL285" i="1"/>
  <c r="K288" i="1"/>
  <c r="N289" i="1" a="1"/>
  <c r="N289" i="1" s="1"/>
  <c r="J300" i="1"/>
  <c r="AQ301" i="1"/>
  <c r="AL301" i="1"/>
  <c r="AK304" i="1"/>
  <c r="AP306" i="1" a="1"/>
  <c r="AP306" i="1" s="1"/>
  <c r="M310" i="1"/>
  <c r="M311" i="1"/>
  <c r="P312" i="1"/>
  <c r="AM312" i="1"/>
  <c r="K313" i="1"/>
  <c r="K314" i="1"/>
  <c r="J319" i="1"/>
  <c r="AL319" i="1"/>
  <c r="AK320" i="1"/>
  <c r="J323" i="1"/>
  <c r="P323" i="1"/>
  <c r="N340" i="1" a="1"/>
  <c r="N340" i="1" s="1"/>
  <c r="AM340" i="1"/>
  <c r="L341" i="1"/>
  <c r="AO342" i="1" a="1"/>
  <c r="AO342" i="1" s="1"/>
  <c r="L343" i="1"/>
  <c r="K343" i="1"/>
  <c r="N344" i="1" a="1"/>
  <c r="N344" i="1" s="1"/>
  <c r="AM344" i="1"/>
  <c r="AQ344" i="1"/>
  <c r="AO346" i="1" a="1"/>
  <c r="AO346" i="1" s="1"/>
  <c r="AP351" i="1" a="1"/>
  <c r="AP351" i="1" s="1"/>
  <c r="P355" i="1"/>
  <c r="J355" i="1"/>
  <c r="M354" i="1"/>
  <c r="M355" i="1"/>
  <c r="L357" i="1"/>
  <c r="P367" i="1"/>
  <c r="M367" i="1"/>
  <c r="L366" i="1"/>
  <c r="L367" i="1"/>
  <c r="AN368" i="1"/>
  <c r="AP367" i="1" a="1"/>
  <c r="AP367" i="1" s="1"/>
  <c r="AM368" i="1"/>
  <c r="L300" i="1"/>
  <c r="AN304" i="1"/>
  <c r="N313" i="1" a="1"/>
  <c r="N313" i="1" s="1"/>
  <c r="M314" i="1"/>
  <c r="M319" i="1"/>
  <c r="AO320" i="1" a="1"/>
  <c r="AO320" i="1" s="1"/>
  <c r="L323" i="1"/>
  <c r="M328" i="1"/>
  <c r="P332" i="1"/>
  <c r="AO332" i="1" a="1"/>
  <c r="AO332" i="1" s="1"/>
  <c r="O339" i="1" a="1"/>
  <c r="O339" i="1" s="1"/>
  <c r="AN340" i="1"/>
  <c r="AL340" i="1"/>
  <c r="M343" i="1"/>
  <c r="AN344" i="1"/>
  <c r="AQ345" i="1"/>
  <c r="N347" i="1" a="1"/>
  <c r="N347" i="1" s="1"/>
  <c r="O354" i="1" a="1"/>
  <c r="O354" i="1" s="1"/>
  <c r="O355" i="1" a="1"/>
  <c r="O355" i="1" s="1"/>
  <c r="Q355" i="1" s="1"/>
  <c r="R355" i="1" s="1"/>
  <c r="K355" i="1"/>
  <c r="J356" i="1"/>
  <c r="AO356" i="1" a="1"/>
  <c r="AO356" i="1" s="1"/>
  <c r="AN355" i="1"/>
  <c r="AM356" i="1"/>
  <c r="N357" i="1" a="1"/>
  <c r="N357" i="1" s="1"/>
  <c r="AL364" i="1"/>
  <c r="AK365" i="1"/>
  <c r="AN364" i="1"/>
  <c r="AM364" i="1"/>
  <c r="AR364" i="1" s="1"/>
  <c r="AS364" i="1" s="1"/>
  <c r="O367" i="1" a="1"/>
  <c r="O367" i="1" s="1"/>
  <c r="AL367" i="1"/>
  <c r="AP368" i="1" a="1"/>
  <c r="AP368" i="1" s="1"/>
  <c r="P371" i="1"/>
  <c r="M371" i="1"/>
  <c r="L370" i="1"/>
  <c r="L371" i="1"/>
  <c r="AK376" i="1"/>
  <c r="AN376" i="1"/>
  <c r="AP375" i="1" a="1"/>
  <c r="AP375" i="1" s="1"/>
  <c r="AQ376" i="1"/>
  <c r="AR293" i="1"/>
  <c r="AS293" i="1" s="1"/>
  <c r="K299" i="1"/>
  <c r="AP303" i="1" a="1"/>
  <c r="AP303" i="1" s="1"/>
  <c r="O313" i="1" a="1"/>
  <c r="O313" i="1" s="1"/>
  <c r="M322" i="1"/>
  <c r="K323" i="1"/>
  <c r="N324" i="1" a="1"/>
  <c r="N324" i="1" s="1"/>
  <c r="L327" i="1"/>
  <c r="Q327" i="1" s="1"/>
  <c r="R327" i="1" s="1"/>
  <c r="AN329" i="1"/>
  <c r="AO340" i="1" a="1"/>
  <c r="AO340" i="1" s="1"/>
  <c r="N343" i="1" a="1"/>
  <c r="N343" i="1" s="1"/>
  <c r="AL350" i="1"/>
  <c r="AN356" i="1"/>
  <c r="AQ364" i="1"/>
  <c r="AO364" i="1" a="1"/>
  <c r="AO364" i="1" s="1"/>
  <c r="AQ368" i="1"/>
  <c r="O371" i="1" a="1"/>
  <c r="O371" i="1" s="1"/>
  <c r="AL375" i="1"/>
  <c r="L379" i="1"/>
  <c r="AM380" i="1"/>
  <c r="AR380" i="1" s="1"/>
  <c r="AS380" i="1" s="1"/>
  <c r="AQ380" i="1"/>
  <c r="M387" i="1"/>
  <c r="K391" i="1"/>
  <c r="J392" i="1"/>
  <c r="L391" i="1"/>
  <c r="AP399" i="1" a="1"/>
  <c r="AP399" i="1" s="1"/>
  <c r="K399" i="1"/>
  <c r="O399" i="1" a="1"/>
  <c r="O399" i="1" s="1"/>
  <c r="N400" i="1" a="1"/>
  <c r="N400" i="1" s="1"/>
  <c r="N401" i="1" a="1"/>
  <c r="N401" i="1" s="1"/>
  <c r="K403" i="1"/>
  <c r="M403" i="1"/>
  <c r="M404" i="1"/>
  <c r="O406" i="1" a="1"/>
  <c r="O406" i="1" s="1"/>
  <c r="AQ406" i="1"/>
  <c r="AN405" i="1"/>
  <c r="AM406" i="1"/>
  <c r="O410" i="1" a="1"/>
  <c r="O410" i="1" s="1"/>
  <c r="P415" i="1"/>
  <c r="J415" i="1"/>
  <c r="K414" i="1"/>
  <c r="M415" i="1"/>
  <c r="AQ416" i="1"/>
  <c r="AK416" i="1"/>
  <c r="AN415" i="1"/>
  <c r="AN416" i="1"/>
  <c r="AL416" i="1"/>
  <c r="AO417" i="1" a="1"/>
  <c r="AO417" i="1" s="1"/>
  <c r="K419" i="1"/>
  <c r="J420" i="1"/>
  <c r="N419" i="1" a="1"/>
  <c r="N419" i="1" s="1"/>
  <c r="N420" i="1" a="1"/>
  <c r="N420" i="1" s="1"/>
  <c r="AN424" i="1"/>
  <c r="AL424" i="1"/>
  <c r="AP424" i="1" a="1"/>
  <c r="AP424" i="1" s="1"/>
  <c r="AN425" i="1"/>
  <c r="AK426" i="1"/>
  <c r="AO425" i="1" a="1"/>
  <c r="AO425" i="1" s="1"/>
  <c r="O428" i="1" a="1"/>
  <c r="O428" i="1" s="1"/>
  <c r="P429" i="1"/>
  <c r="M428" i="1"/>
  <c r="N429" i="1" a="1"/>
  <c r="N429" i="1" s="1"/>
  <c r="P431" i="1"/>
  <c r="P435" i="1"/>
  <c r="AP436" i="1" a="1"/>
  <c r="AP436" i="1" s="1"/>
  <c r="AP437" i="1" a="1"/>
  <c r="AP437" i="1" s="1"/>
  <c r="AK438" i="1"/>
  <c r="AO437" i="1" a="1"/>
  <c r="AO437" i="1" s="1"/>
  <c r="AN437" i="1"/>
  <c r="O440" i="1" a="1"/>
  <c r="O440" i="1" s="1"/>
  <c r="J441" i="1"/>
  <c r="N440" i="1" a="1"/>
  <c r="N440" i="1" s="1"/>
  <c r="M440" i="1"/>
  <c r="J452" i="1"/>
  <c r="O451" i="1" a="1"/>
  <c r="O451" i="1" s="1"/>
  <c r="J454" i="1"/>
  <c r="K453" i="1"/>
  <c r="O454" i="1" a="1"/>
  <c r="O454" i="1" s="1"/>
  <c r="P460" i="1"/>
  <c r="J460" i="1"/>
  <c r="N460" i="1" a="1"/>
  <c r="N460" i="1" s="1"/>
  <c r="AK465" i="1"/>
  <c r="AL464" i="1"/>
  <c r="AP464" i="1" a="1"/>
  <c r="AP464" i="1" s="1"/>
  <c r="P487" i="1"/>
  <c r="J487" i="1"/>
  <c r="O487" i="1" a="1"/>
  <c r="O487" i="1" s="1"/>
  <c r="M487" i="1"/>
  <c r="M486" i="1"/>
  <c r="AO492" i="1" a="1"/>
  <c r="AO492" i="1" s="1"/>
  <c r="J497" i="1"/>
  <c r="K496" i="1"/>
  <c r="AM372" i="1"/>
  <c r="AR372" i="1" s="1"/>
  <c r="AS372" i="1" s="1"/>
  <c r="AQ372" i="1"/>
  <c r="K375" i="1"/>
  <c r="AL376" i="1"/>
  <c r="AN377" i="1"/>
  <c r="L378" i="1"/>
  <c r="M379" i="1"/>
  <c r="P379" i="1"/>
  <c r="AP379" i="1" a="1"/>
  <c r="AP379" i="1" s="1"/>
  <c r="K379" i="1"/>
  <c r="AN380" i="1"/>
  <c r="AL384" i="1"/>
  <c r="AP384" i="1" a="1"/>
  <c r="AP384" i="1" s="1"/>
  <c r="AR384" i="1" s="1"/>
  <c r="AS384" i="1" s="1"/>
  <c r="AN385" i="1"/>
  <c r="L386" i="1"/>
  <c r="N387" i="1" a="1"/>
  <c r="N387" i="1" s="1"/>
  <c r="P391" i="1"/>
  <c r="AL391" i="1"/>
  <c r="AO390" i="1" a="1"/>
  <c r="AO390" i="1" s="1"/>
  <c r="AL392" i="1"/>
  <c r="AK393" i="1"/>
  <c r="AM392" i="1"/>
  <c r="AR392" i="1" s="1"/>
  <c r="AS392" i="1" s="1"/>
  <c r="AQ393" i="1"/>
  <c r="AN400" i="1"/>
  <c r="AL399" i="1"/>
  <c r="AM400" i="1"/>
  <c r="P403" i="1"/>
  <c r="N404" i="1" a="1"/>
  <c r="N404" i="1" s="1"/>
  <c r="AQ404" i="1"/>
  <c r="AN404" i="1"/>
  <c r="AM404" i="1"/>
  <c r="AO406" i="1" a="1"/>
  <c r="AO406" i="1" s="1"/>
  <c r="N407" i="1" a="1"/>
  <c r="N407" i="1" s="1"/>
  <c r="K408" i="1"/>
  <c r="O409" i="1" a="1"/>
  <c r="O409" i="1" s="1"/>
  <c r="N413" i="1" a="1"/>
  <c r="N413" i="1" s="1"/>
  <c r="AK413" i="1"/>
  <c r="O414" i="1" a="1"/>
  <c r="O414" i="1" s="1"/>
  <c r="O415" i="1" a="1"/>
  <c r="O415" i="1" s="1"/>
  <c r="AP415" i="1" a="1"/>
  <c r="AP415" i="1" s="1"/>
  <c r="K415" i="1"/>
  <c r="J416" i="1"/>
  <c r="AO416" i="1" a="1"/>
  <c r="AO416" i="1" s="1"/>
  <c r="J419" i="1"/>
  <c r="P420" i="1"/>
  <c r="AM420" i="1"/>
  <c r="AK422" i="1"/>
  <c r="O423" i="1" a="1"/>
  <c r="O423" i="1" s="1"/>
  <c r="Q423" i="1" s="1"/>
  <c r="R423" i="1" s="1"/>
  <c r="AL423" i="1"/>
  <c r="K423" i="1"/>
  <c r="M423" i="1"/>
  <c r="AO424" i="1" a="1"/>
  <c r="AO424" i="1" s="1"/>
  <c r="AQ425" i="1"/>
  <c r="P427" i="1"/>
  <c r="P428" i="1"/>
  <c r="AN428" i="1"/>
  <c r="AL427" i="1"/>
  <c r="AM428" i="1"/>
  <c r="K430" i="1"/>
  <c r="AR432" i="1"/>
  <c r="AS432" i="1" s="1"/>
  <c r="AQ436" i="1"/>
  <c r="AQ437" i="1"/>
  <c r="AQ450" i="1"/>
  <c r="AP449" i="1" a="1"/>
  <c r="AP449" i="1" s="1"/>
  <c r="AM449" i="1"/>
  <c r="AP455" i="1" a="1"/>
  <c r="AP455" i="1" s="1"/>
  <c r="L459" i="1"/>
  <c r="AL459" i="1"/>
  <c r="AL458" i="1"/>
  <c r="AN464" i="1"/>
  <c r="M464" i="1"/>
  <c r="AN483" i="1"/>
  <c r="AK484" i="1"/>
  <c r="AP483" i="1" a="1"/>
  <c r="AP483" i="1" s="1"/>
  <c r="AQ484" i="1"/>
  <c r="AL483" i="1"/>
  <c r="AK485" i="1"/>
  <c r="AO484" i="1" a="1"/>
  <c r="AO484" i="1" s="1"/>
  <c r="AK494" i="1"/>
  <c r="AN493" i="1"/>
  <c r="AM494" i="1"/>
  <c r="AO493" i="1" a="1"/>
  <c r="AO493" i="1" s="1"/>
  <c r="AQ494" i="1"/>
  <c r="M360" i="1"/>
  <c r="AN361" i="1"/>
  <c r="K367" i="1"/>
  <c r="AL368" i="1"/>
  <c r="AN369" i="1"/>
  <c r="AP371" i="1" a="1"/>
  <c r="AP371" i="1" s="1"/>
  <c r="K371" i="1"/>
  <c r="AN372" i="1"/>
  <c r="N375" i="1" a="1"/>
  <c r="N375" i="1" s="1"/>
  <c r="AO376" i="1" a="1"/>
  <c r="AO376" i="1" s="1"/>
  <c r="AQ377" i="1"/>
  <c r="N379" i="1" a="1"/>
  <c r="N379" i="1" s="1"/>
  <c r="AO380" i="1" a="1"/>
  <c r="AO380" i="1" s="1"/>
  <c r="AL380" i="1"/>
  <c r="J383" i="1"/>
  <c r="AL383" i="1"/>
  <c r="AN384" i="1"/>
  <c r="AQ385" i="1"/>
  <c r="AL387" i="1"/>
  <c r="AN388" i="1"/>
  <c r="AL388" i="1"/>
  <c r="AP388" i="1" a="1"/>
  <c r="AP388" i="1" s="1"/>
  <c r="AR388" i="1" s="1"/>
  <c r="AS388" i="1" s="1"/>
  <c r="M391" i="1"/>
  <c r="AQ392" i="1"/>
  <c r="AN392" i="1"/>
  <c r="AK396" i="1"/>
  <c r="J397" i="1"/>
  <c r="AP398" i="1" a="1"/>
  <c r="AP398" i="1" s="1"/>
  <c r="K398" i="1"/>
  <c r="L399" i="1"/>
  <c r="AO400" i="1" a="1"/>
  <c r="AO400" i="1" s="1"/>
  <c r="L403" i="1"/>
  <c r="Q403" i="1" s="1"/>
  <c r="R403" i="1" s="1"/>
  <c r="AO404" i="1" a="1"/>
  <c r="AO404" i="1" s="1"/>
  <c r="L419" i="1"/>
  <c r="Q419" i="1" s="1"/>
  <c r="R419" i="1" s="1"/>
  <c r="AO420" i="1" a="1"/>
  <c r="AO420" i="1" s="1"/>
  <c r="J423" i="1"/>
  <c r="P423" i="1"/>
  <c r="AQ424" i="1"/>
  <c r="AO428" i="1" a="1"/>
  <c r="AO428" i="1" s="1"/>
  <c r="AM440" i="1"/>
  <c r="J448" i="1"/>
  <c r="O447" i="1" a="1"/>
  <c r="O447" i="1" s="1"/>
  <c r="AM448" i="1"/>
  <c r="K462" i="1"/>
  <c r="AO463" i="1" a="1"/>
  <c r="AO463" i="1" s="1"/>
  <c r="AM463" i="1"/>
  <c r="AL476" i="1"/>
  <c r="AM476" i="1"/>
  <c r="AP476" i="1" a="1"/>
  <c r="AP476" i="1" s="1"/>
  <c r="K479" i="1"/>
  <c r="O479" i="1" a="1"/>
  <c r="O479" i="1" s="1"/>
  <c r="L479" i="1"/>
  <c r="O478" i="1" a="1"/>
  <c r="O478" i="1" s="1"/>
  <c r="P481" i="1"/>
  <c r="M480" i="1"/>
  <c r="J481" i="1"/>
  <c r="P480" i="1"/>
  <c r="O493" i="1" a="1"/>
  <c r="O493" i="1" s="1"/>
  <c r="K493" i="1"/>
  <c r="AL356" i="1"/>
  <c r="L359" i="1"/>
  <c r="Q359" i="1" s="1"/>
  <c r="R359" i="1" s="1"/>
  <c r="N360" i="1" a="1"/>
  <c r="N360" i="1" s="1"/>
  <c r="AM360" i="1"/>
  <c r="AR360" i="1" s="1"/>
  <c r="AS360" i="1" s="1"/>
  <c r="AO361" i="1" a="1"/>
  <c r="AO361" i="1" s="1"/>
  <c r="N367" i="1" a="1"/>
  <c r="N367" i="1" s="1"/>
  <c r="AO368" i="1" a="1"/>
  <c r="AO368" i="1" s="1"/>
  <c r="AQ369" i="1"/>
  <c r="N371" i="1" a="1"/>
  <c r="N371" i="1" s="1"/>
  <c r="AL372" i="1"/>
  <c r="O375" i="1" a="1"/>
  <c r="O375" i="1" s="1"/>
  <c r="AP376" i="1" a="1"/>
  <c r="AP376" i="1" s="1"/>
  <c r="AR376" i="1" s="1"/>
  <c r="AS376" i="1" s="1"/>
  <c r="O379" i="1" a="1"/>
  <c r="O379" i="1" s="1"/>
  <c r="AK380" i="1"/>
  <c r="L383" i="1"/>
  <c r="K383" i="1"/>
  <c r="O383" i="1" a="1"/>
  <c r="O383" i="1" s="1"/>
  <c r="AO384" i="1" a="1"/>
  <c r="AO384" i="1" s="1"/>
  <c r="L387" i="1"/>
  <c r="P387" i="1"/>
  <c r="K387" i="1"/>
  <c r="O387" i="1" a="1"/>
  <c r="O387" i="1" s="1"/>
  <c r="N391" i="1" a="1"/>
  <c r="N391" i="1" s="1"/>
  <c r="AO392" i="1" a="1"/>
  <c r="AO392" i="1" s="1"/>
  <c r="K396" i="1"/>
  <c r="M399" i="1"/>
  <c r="J400" i="1"/>
  <c r="J401" i="1"/>
  <c r="N403" i="1" a="1"/>
  <c r="N403" i="1" s="1"/>
  <c r="J404" i="1"/>
  <c r="K405" i="1"/>
  <c r="AO405" i="1" a="1"/>
  <c r="AO405" i="1" s="1"/>
  <c r="AK406" i="1"/>
  <c r="L415" i="1"/>
  <c r="AM416" i="1"/>
  <c r="AK417" i="1"/>
  <c r="M419" i="1"/>
  <c r="M420" i="1"/>
  <c r="AR420" i="1"/>
  <c r="AS420" i="1" s="1"/>
  <c r="AL420" i="1"/>
  <c r="AQ421" i="1"/>
  <c r="AN420" i="1"/>
  <c r="AN421" i="1"/>
  <c r="AM424" i="1"/>
  <c r="AK425" i="1"/>
  <c r="AO426" i="1" a="1"/>
  <c r="AO426" i="1" s="1"/>
  <c r="O427" i="1" a="1"/>
  <c r="O427" i="1" s="1"/>
  <c r="Q427" i="1" s="1"/>
  <c r="R427" i="1" s="1"/>
  <c r="J427" i="1"/>
  <c r="K426" i="1"/>
  <c r="M427" i="1"/>
  <c r="J429" i="1"/>
  <c r="O431" i="1" a="1"/>
  <c r="O431" i="1" s="1"/>
  <c r="J431" i="1"/>
  <c r="N431" i="1" a="1"/>
  <c r="N431" i="1" s="1"/>
  <c r="M431" i="1"/>
  <c r="O435" i="1" a="1"/>
  <c r="O435" i="1" s="1"/>
  <c r="Q435" i="1" s="1"/>
  <c r="R435" i="1" s="1"/>
  <c r="J435" i="1"/>
  <c r="N435" i="1" a="1"/>
  <c r="N435" i="1" s="1"/>
  <c r="M435" i="1"/>
  <c r="AL435" i="1"/>
  <c r="AN436" i="1"/>
  <c r="AM436" i="1"/>
  <c r="P440" i="1"/>
  <c r="AN440" i="1"/>
  <c r="N441" i="1" a="1"/>
  <c r="N441" i="1" s="1"/>
  <c r="AL440" i="1"/>
  <c r="AQ441" i="1"/>
  <c r="AK441" i="1"/>
  <c r="AP440" i="1" a="1"/>
  <c r="AP440" i="1" s="1"/>
  <c r="AO440" i="1" a="1"/>
  <c r="AO440" i="1" s="1"/>
  <c r="AO441" i="1" a="1"/>
  <c r="AO441" i="1" s="1"/>
  <c r="N454" i="1" a="1"/>
  <c r="N454" i="1" s="1"/>
  <c r="AL456" i="1"/>
  <c r="AP456" i="1" a="1"/>
  <c r="AP456" i="1" s="1"/>
  <c r="M460" i="1"/>
  <c r="AL461" i="1"/>
  <c r="AO461" i="1" a="1"/>
  <c r="AO461" i="1" s="1"/>
  <c r="AK462" i="1"/>
  <c r="AP461" i="1" a="1"/>
  <c r="AP461" i="1" s="1"/>
  <c r="AR461" i="1" s="1"/>
  <c r="AS461" i="1" s="1"/>
  <c r="AQ462" i="1"/>
  <c r="AN461" i="1"/>
  <c r="AM461" i="1"/>
  <c r="J464" i="1"/>
  <c r="K463" i="1"/>
  <c r="O463" i="1" a="1"/>
  <c r="O463" i="1" s="1"/>
  <c r="M463" i="1"/>
  <c r="AK473" i="1"/>
  <c r="AN473" i="1"/>
  <c r="AP472" i="1" a="1"/>
  <c r="AP472" i="1" s="1"/>
  <c r="AR472" i="1" s="1"/>
  <c r="AS472" i="1" s="1"/>
  <c r="AN472" i="1"/>
  <c r="AQ473" i="1"/>
  <c r="AM472" i="1"/>
  <c r="J476" i="1"/>
  <c r="L475" i="1"/>
  <c r="N476" i="1" a="1"/>
  <c r="N476" i="1" s="1"/>
  <c r="O475" i="1" a="1"/>
  <c r="O475" i="1" s="1"/>
  <c r="L487" i="1"/>
  <c r="AL492" i="1"/>
  <c r="AP492" i="1" a="1"/>
  <c r="AP492" i="1" s="1"/>
  <c r="AM492" i="1"/>
  <c r="O497" i="1" a="1"/>
  <c r="O497" i="1" s="1"/>
  <c r="AL497" i="1"/>
  <c r="AO496" i="1" a="1"/>
  <c r="AO496" i="1" s="1"/>
  <c r="J499" i="1"/>
  <c r="O498" i="1" a="1"/>
  <c r="O498" i="1" s="1"/>
  <c r="AP511" i="1" a="1"/>
  <c r="AP511" i="1" s="1"/>
  <c r="K511" i="1"/>
  <c r="N512" i="1" a="1"/>
  <c r="N512" i="1" s="1"/>
  <c r="AQ512" i="1"/>
  <c r="AK512" i="1"/>
  <c r="AL511" i="1"/>
  <c r="AN512" i="1"/>
  <c r="L514" i="1"/>
  <c r="N513" i="1" a="1"/>
  <c r="N513" i="1" s="1"/>
  <c r="AO515" i="1" a="1"/>
  <c r="AO515" i="1" s="1"/>
  <c r="M444" i="1"/>
  <c r="O446" i="1" a="1"/>
  <c r="O446" i="1" s="1"/>
  <c r="L458" i="1"/>
  <c r="K460" i="1"/>
  <c r="J461" i="1"/>
  <c r="L460" i="1"/>
  <c r="P461" i="1"/>
  <c r="AO462" i="1" a="1"/>
  <c r="AO462" i="1" s="1"/>
  <c r="Q467" i="1"/>
  <c r="R467" i="1" s="1"/>
  <c r="AK469" i="1"/>
  <c r="M471" i="1"/>
  <c r="K475" i="1"/>
  <c r="O474" i="1" a="1"/>
  <c r="O474" i="1" s="1"/>
  <c r="AL475" i="1"/>
  <c r="AO474" i="1" a="1"/>
  <c r="AO474" i="1" s="1"/>
  <c r="AK490" i="1"/>
  <c r="AN489" i="1"/>
  <c r="P495" i="1"/>
  <c r="K503" i="1"/>
  <c r="P504" i="1"/>
  <c r="N503" i="1" a="1"/>
  <c r="N503" i="1" s="1"/>
  <c r="M504" i="1"/>
  <c r="J507" i="1"/>
  <c r="K506" i="1"/>
  <c r="P507" i="1"/>
  <c r="AP507" i="1" a="1"/>
  <c r="AP507" i="1" s="1"/>
  <c r="L511" i="1"/>
  <c r="AO512" i="1" a="1"/>
  <c r="AO512" i="1" s="1"/>
  <c r="P513" i="1"/>
  <c r="AL512" i="1"/>
  <c r="AK513" i="1"/>
  <c r="AM432" i="1"/>
  <c r="AQ432" i="1"/>
  <c r="AL436" i="1"/>
  <c r="AP441" i="1" a="1"/>
  <c r="AP441" i="1" s="1"/>
  <c r="AQ442" i="1"/>
  <c r="L443" i="1"/>
  <c r="N444" i="1" a="1"/>
  <c r="N444" i="1" s="1"/>
  <c r="AL446" i="1"/>
  <c r="AN446" i="1"/>
  <c r="K451" i="1"/>
  <c r="L456" i="1"/>
  <c r="O460" i="1" a="1"/>
  <c r="O460" i="1" s="1"/>
  <c r="AN469" i="1"/>
  <c r="Q471" i="1"/>
  <c r="R471" i="1" s="1"/>
  <c r="AL472" i="1"/>
  <c r="AP471" i="1" a="1"/>
  <c r="AP471" i="1" s="1"/>
  <c r="AQ478" i="1"/>
  <c r="M483" i="1"/>
  <c r="L485" i="1"/>
  <c r="K487" i="1"/>
  <c r="J488" i="1"/>
  <c r="N487" i="1" a="1"/>
  <c r="N487" i="1" s="1"/>
  <c r="N488" i="1" a="1"/>
  <c r="N488" i="1" s="1"/>
  <c r="AQ489" i="1"/>
  <c r="M491" i="1"/>
  <c r="AL500" i="1"/>
  <c r="AK501" i="1"/>
  <c r="AM500" i="1"/>
  <c r="L503" i="1"/>
  <c r="Q503" i="1" s="1"/>
  <c r="R503" i="1" s="1"/>
  <c r="N504" i="1" a="1"/>
  <c r="N504" i="1" s="1"/>
  <c r="N505" i="1" a="1"/>
  <c r="N505" i="1" s="1"/>
  <c r="O506" i="1" a="1"/>
  <c r="O506" i="1" s="1"/>
  <c r="AL506" i="1"/>
  <c r="AO505" i="1" a="1"/>
  <c r="AO505" i="1" s="1"/>
  <c r="J511" i="1"/>
  <c r="M510" i="1"/>
  <c r="M511" i="1"/>
  <c r="AQ514" i="1"/>
  <c r="AP516" i="1" a="1"/>
  <c r="AP516" i="1" s="1"/>
  <c r="AQ517" i="1"/>
  <c r="AM517" i="1"/>
  <c r="AP518" i="1" a="1"/>
  <c r="AP518" i="1" s="1"/>
  <c r="AO517" i="1" a="1"/>
  <c r="AO517" i="1" s="1"/>
  <c r="AN518" i="1"/>
  <c r="AP517" i="1" a="1"/>
  <c r="AP517" i="1" s="1"/>
  <c r="AR517" i="1" s="1"/>
  <c r="AS517" i="1" s="1"/>
  <c r="O519" i="1" a="1"/>
  <c r="O519" i="1" s="1"/>
  <c r="P520" i="1"/>
  <c r="J520" i="1"/>
  <c r="N520" i="1" a="1"/>
  <c r="N520" i="1" s="1"/>
  <c r="L520" i="1"/>
  <c r="Q520" i="1" s="1"/>
  <c r="R520" i="1" s="1"/>
  <c r="AL400" i="1"/>
  <c r="AL404" i="1"/>
  <c r="L422" i="1"/>
  <c r="K427" i="1"/>
  <c r="AL428" i="1"/>
  <c r="AN429" i="1"/>
  <c r="AP429" i="1" a="1"/>
  <c r="AP429" i="1" s="1"/>
  <c r="AL431" i="1"/>
  <c r="K431" i="1"/>
  <c r="M432" i="1"/>
  <c r="O432" i="1" a="1"/>
  <c r="O432" i="1" s="1"/>
  <c r="P433" i="1"/>
  <c r="AL432" i="1"/>
  <c r="AN433" i="1"/>
  <c r="AP433" i="1" a="1"/>
  <c r="AP433" i="1" s="1"/>
  <c r="K435" i="1"/>
  <c r="M436" i="1"/>
  <c r="AO436" i="1" a="1"/>
  <c r="AO436" i="1" s="1"/>
  <c r="O436" i="1" a="1"/>
  <c r="O436" i="1" s="1"/>
  <c r="L439" i="1"/>
  <c r="Q439" i="1" s="1"/>
  <c r="R439" i="1" s="1"/>
  <c r="M443" i="1"/>
  <c r="P444" i="1"/>
  <c r="O444" i="1" a="1"/>
  <c r="O444" i="1" s="1"/>
  <c r="L450" i="1"/>
  <c r="Q450" i="1" s="1"/>
  <c r="R450" i="1" s="1"/>
  <c r="AN453" i="1"/>
  <c r="O456" i="1" a="1"/>
  <c r="O456" i="1" s="1"/>
  <c r="P466" i="1"/>
  <c r="AL468" i="1"/>
  <c r="AN468" i="1"/>
  <c r="AN477" i="1"/>
  <c r="K478" i="1"/>
  <c r="AL480" i="1"/>
  <c r="AM480" i="1"/>
  <c r="AL479" i="1"/>
  <c r="AP480" i="1" a="1"/>
  <c r="AP480" i="1" s="1"/>
  <c r="AR480" i="1" s="1"/>
  <c r="AS480" i="1" s="1"/>
  <c r="P488" i="1"/>
  <c r="AQ488" i="1"/>
  <c r="AN488" i="1"/>
  <c r="AM488" i="1"/>
  <c r="K491" i="1"/>
  <c r="M492" i="1"/>
  <c r="N491" i="1" a="1"/>
  <c r="N491" i="1" s="1"/>
  <c r="P492" i="1"/>
  <c r="K494" i="1"/>
  <c r="K498" i="1"/>
  <c r="AQ500" i="1"/>
  <c r="J501" i="1"/>
  <c r="K500" i="1"/>
  <c r="M503" i="1"/>
  <c r="AK510" i="1"/>
  <c r="AL509" i="1"/>
  <c r="O511" i="1" a="1"/>
  <c r="O511" i="1" s="1"/>
  <c r="AN511" i="1"/>
  <c r="J512" i="1"/>
  <c r="AM512" i="1"/>
  <c r="AK515" i="1"/>
  <c r="M467" i="1"/>
  <c r="P477" i="1"/>
  <c r="O486" i="1" a="1"/>
  <c r="O486" i="1" s="1"/>
  <c r="P489" i="1"/>
  <c r="AL488" i="1"/>
  <c r="AL504" i="1"/>
  <c r="L516" i="1"/>
  <c r="Q516" i="1" s="1"/>
  <c r="R516" i="1" s="1"/>
  <c r="AL521" i="1"/>
  <c r="AQ521" i="1"/>
  <c r="AK521" i="1"/>
  <c r="AP521" i="1" a="1"/>
  <c r="AP521" i="1" s="1"/>
  <c r="AR521" i="1" s="1"/>
  <c r="AS521" i="1" s="1"/>
  <c r="AL522" i="1"/>
  <c r="AO521" i="1" a="1"/>
  <c r="AO521" i="1" s="1"/>
  <c r="Q524" i="1"/>
  <c r="R524" i="1" s="1"/>
  <c r="P519" i="1"/>
  <c r="K527" i="1"/>
  <c r="N526" i="1" a="1"/>
  <c r="N526" i="1" s="1"/>
  <c r="N530" i="1" a="1"/>
  <c r="N530" i="1" s="1"/>
  <c r="M537" i="1"/>
  <c r="AN537" i="1"/>
  <c r="M539" i="1"/>
  <c r="K540" i="1"/>
  <c r="AL540" i="1"/>
  <c r="AN541" i="1"/>
  <c r="AP541" i="1" a="1"/>
  <c r="AP541" i="1" s="1"/>
  <c r="AO542" i="1" a="1"/>
  <c r="AO542" i="1" s="1"/>
  <c r="AO545" i="1" a="1"/>
  <c r="AO545" i="1" s="1"/>
  <c r="AQ546" i="1"/>
  <c r="AP522" i="1" a="1"/>
  <c r="AP522" i="1" s="1"/>
  <c r="AO523" i="1" a="1"/>
  <c r="AO523" i="1" s="1"/>
  <c r="J524" i="1"/>
  <c r="AN526" i="1"/>
  <c r="P530" i="1"/>
  <c r="O532" i="1" a="1"/>
  <c r="O532" i="1" s="1"/>
  <c r="AP533" i="1" a="1"/>
  <c r="AP533" i="1" s="1"/>
  <c r="AO535" i="1" a="1"/>
  <c r="AO535" i="1" s="1"/>
  <c r="AQ537" i="1"/>
  <c r="AO541" i="1" a="1"/>
  <c r="AO541" i="1" s="1"/>
  <c r="AQ542" i="1"/>
  <c r="L543" i="1"/>
  <c r="Q543" i="1" s="1"/>
  <c r="R543" i="1" s="1"/>
  <c r="AQ544" i="1"/>
  <c r="AQ545" i="1"/>
  <c r="K546" i="1"/>
  <c r="AO526" i="1" a="1"/>
  <c r="AO526" i="1" s="1"/>
  <c r="AO529" i="1" a="1"/>
  <c r="AO529" i="1" s="1"/>
  <c r="AO531" i="1" a="1"/>
  <c r="AO531" i="1" s="1"/>
  <c r="P532" i="1"/>
  <c r="AQ533" i="1"/>
  <c r="AQ535" i="1"/>
  <c r="L536" i="1"/>
  <c r="O538" i="1" a="1"/>
  <c r="O538" i="1" s="1"/>
  <c r="AO538" i="1" a="1"/>
  <c r="AO538" i="1" s="1"/>
  <c r="AM538" i="1"/>
  <c r="J539" i="1"/>
  <c r="O539" i="1" a="1"/>
  <c r="O539" i="1" s="1"/>
  <c r="Q539" i="1" s="1"/>
  <c r="R539" i="1" s="1"/>
  <c r="AO540" i="1" a="1"/>
  <c r="AO540" i="1" s="1"/>
  <c r="AQ541" i="1"/>
  <c r="M543" i="1"/>
  <c r="P543" i="1"/>
  <c r="AL543" i="1"/>
  <c r="AK544" i="1"/>
  <c r="AK545" i="1"/>
  <c r="AK546" i="1"/>
  <c r="O517" i="1" a="1"/>
  <c r="O517" i="1" s="1"/>
  <c r="AQ520" i="1"/>
  <c r="AN522" i="1"/>
  <c r="P523" i="1"/>
  <c r="AM525" i="1"/>
  <c r="AR525" i="1" s="1"/>
  <c r="AS525" i="1" s="1"/>
  <c r="AP526" i="1" a="1"/>
  <c r="AP526" i="1" s="1"/>
  <c r="AO527" i="1" a="1"/>
  <c r="AO527" i="1" s="1"/>
  <c r="L528" i="1"/>
  <c r="Q528" i="1" s="1"/>
  <c r="R528" i="1" s="1"/>
  <c r="AP529" i="1" a="1"/>
  <c r="AP529" i="1" s="1"/>
  <c r="AR529" i="1" s="1"/>
  <c r="AS529" i="1" s="1"/>
  <c r="J530" i="1"/>
  <c r="O531" i="1" a="1"/>
  <c r="O531" i="1" s="1"/>
  <c r="L532" i="1"/>
  <c r="M533" i="1"/>
  <c r="AP532" i="1" a="1"/>
  <c r="AP532" i="1" s="1"/>
  <c r="AM533" i="1"/>
  <c r="K536" i="1"/>
  <c r="O536" i="1" a="1"/>
  <c r="O536" i="1" s="1"/>
  <c r="AK542" i="1"/>
  <c r="N543" i="1" a="1"/>
  <c r="N543" i="1" s="1"/>
  <c r="M544" i="1"/>
  <c r="AN544" i="1"/>
  <c r="AN545" i="1"/>
  <c r="AO546" i="1" a="1"/>
  <c r="AO546" i="1" s="1"/>
  <c r="BG25" i="1"/>
  <c r="BG26" i="1"/>
  <c r="BR26" i="1"/>
  <c r="BG27" i="1"/>
  <c r="BR27" i="1"/>
  <c r="BG28" i="1"/>
  <c r="BR28" i="1"/>
  <c r="BG29" i="1"/>
  <c r="BR29" i="1"/>
  <c r="BG30" i="1"/>
  <c r="BR30" i="1"/>
  <c r="BG31" i="1"/>
  <c r="BR31" i="1"/>
  <c r="BG32" i="1"/>
  <c r="BR32" i="1"/>
  <c r="BG33" i="1"/>
  <c r="BR33" i="1"/>
  <c r="BG34" i="1"/>
  <c r="BR34" i="1"/>
  <c r="BG35" i="1"/>
  <c r="BP35" i="1"/>
  <c r="AO36" i="1" a="1"/>
  <c r="AO36" i="1" s="1"/>
  <c r="BI36" i="1"/>
  <c r="M43" i="1"/>
  <c r="O43" i="1" a="1"/>
  <c r="O43" i="1" s="1"/>
  <c r="L43" i="1"/>
  <c r="K43" i="1"/>
  <c r="J44" i="1"/>
  <c r="M47" i="1"/>
  <c r="O47" i="1" a="1"/>
  <c r="O47" i="1" s="1"/>
  <c r="L47" i="1"/>
  <c r="K47" i="1"/>
  <c r="J48" i="1"/>
  <c r="M51" i="1"/>
  <c r="O51" i="1" a="1"/>
  <c r="O51" i="1" s="1"/>
  <c r="L51" i="1"/>
  <c r="K51" i="1"/>
  <c r="J52" i="1"/>
  <c r="M55" i="1"/>
  <c r="O55" i="1" a="1"/>
  <c r="O55" i="1" s="1"/>
  <c r="Q55" i="1" s="1"/>
  <c r="R55" i="1" s="1"/>
  <c r="L55" i="1"/>
  <c r="K55" i="1"/>
  <c r="J56" i="1"/>
  <c r="M59" i="1"/>
  <c r="O59" i="1" a="1"/>
  <c r="O59" i="1" s="1"/>
  <c r="L59" i="1"/>
  <c r="K59" i="1"/>
  <c r="J60" i="1"/>
  <c r="M63" i="1"/>
  <c r="O63" i="1" a="1"/>
  <c r="O63" i="1" s="1"/>
  <c r="L63" i="1"/>
  <c r="K63" i="1"/>
  <c r="J64" i="1"/>
  <c r="P68" i="1"/>
  <c r="N68" i="1" a="1"/>
  <c r="N68" i="1" s="1"/>
  <c r="J68" i="1"/>
  <c r="M67" i="1"/>
  <c r="O67" i="1" a="1"/>
  <c r="O67" i="1" s="1"/>
  <c r="L67" i="1"/>
  <c r="K67" i="1"/>
  <c r="AQ69" i="1"/>
  <c r="AO69" i="1" a="1"/>
  <c r="AO69" i="1" s="1"/>
  <c r="AK69" i="1"/>
  <c r="AN68" i="1"/>
  <c r="AP68" i="1" a="1"/>
  <c r="AP68" i="1" s="1"/>
  <c r="AM68" i="1"/>
  <c r="AL68" i="1"/>
  <c r="Q73" i="1"/>
  <c r="R73" i="1" s="1"/>
  <c r="AQ76" i="1"/>
  <c r="P79" i="1"/>
  <c r="P84" i="1"/>
  <c r="N84" i="1" a="1"/>
  <c r="N84" i="1" s="1"/>
  <c r="J84" i="1"/>
  <c r="M83" i="1"/>
  <c r="O83" i="1" a="1"/>
  <c r="O83" i="1" s="1"/>
  <c r="Q83" i="1" s="1"/>
  <c r="R83" i="1" s="1"/>
  <c r="L83" i="1"/>
  <c r="K83" i="1"/>
  <c r="AQ85" i="1"/>
  <c r="AO85" i="1" a="1"/>
  <c r="AO85" i="1" s="1"/>
  <c r="AK85" i="1"/>
  <c r="AN84" i="1"/>
  <c r="BP36" i="1"/>
  <c r="AP84" i="1" a="1"/>
  <c r="AP84" i="1" s="1"/>
  <c r="AR84" i="1" s="1"/>
  <c r="AS84" i="1" s="1"/>
  <c r="AM84" i="1"/>
  <c r="AL84" i="1"/>
  <c r="O547" i="1" a="1"/>
  <c r="O547" i="1" s="1"/>
  <c r="L547" i="1"/>
  <c r="M547" i="1"/>
  <c r="J13" i="1"/>
  <c r="N13" i="1" a="1"/>
  <c r="N13" i="1" s="1"/>
  <c r="P13" i="1"/>
  <c r="J14" i="1"/>
  <c r="N14" i="1" a="1"/>
  <c r="N14" i="1" s="1"/>
  <c r="P14" i="1"/>
  <c r="BH14" i="1"/>
  <c r="J15" i="1"/>
  <c r="N15" i="1" a="1"/>
  <c r="N15" i="1" s="1"/>
  <c r="P15" i="1"/>
  <c r="BH15" i="1"/>
  <c r="J16" i="1"/>
  <c r="N16" i="1" a="1"/>
  <c r="N16" i="1" s="1"/>
  <c r="P16" i="1"/>
  <c r="BD16" i="1"/>
  <c r="BE16" i="1" s="1"/>
  <c r="BF16" i="1" s="1"/>
  <c r="BH16" i="1"/>
  <c r="J17" i="1"/>
  <c r="N17" i="1" a="1"/>
  <c r="N17" i="1" s="1"/>
  <c r="P17" i="1"/>
  <c r="BD17" i="1"/>
  <c r="BE17" i="1" s="1"/>
  <c r="BF17" i="1" s="1"/>
  <c r="BH17" i="1"/>
  <c r="J18" i="1"/>
  <c r="N18" i="1" a="1"/>
  <c r="N18" i="1" s="1"/>
  <c r="P18" i="1"/>
  <c r="BD18" i="1"/>
  <c r="BE18" i="1" s="1"/>
  <c r="BF18" i="1" s="1"/>
  <c r="BH18" i="1"/>
  <c r="J19" i="1"/>
  <c r="N19" i="1" a="1"/>
  <c r="N19" i="1" s="1"/>
  <c r="P19" i="1"/>
  <c r="BD19" i="1"/>
  <c r="BE19" i="1" s="1"/>
  <c r="BF19" i="1" s="1"/>
  <c r="BH19" i="1"/>
  <c r="J20" i="1"/>
  <c r="N20" i="1" a="1"/>
  <c r="N20" i="1" s="1"/>
  <c r="P20" i="1"/>
  <c r="BD20" i="1"/>
  <c r="BE20" i="1" s="1"/>
  <c r="BF20" i="1" s="1"/>
  <c r="BH20" i="1"/>
  <c r="J21" i="1"/>
  <c r="N21" i="1" a="1"/>
  <c r="N21" i="1" s="1"/>
  <c r="P21" i="1"/>
  <c r="BD21" i="1"/>
  <c r="BE21" i="1" s="1"/>
  <c r="BF21" i="1" s="1"/>
  <c r="BH21" i="1"/>
  <c r="J22" i="1"/>
  <c r="N22" i="1" a="1"/>
  <c r="N22" i="1" s="1"/>
  <c r="P22" i="1"/>
  <c r="BD22" i="1"/>
  <c r="BE22" i="1" s="1"/>
  <c r="BF22" i="1" s="1"/>
  <c r="BH22" i="1"/>
  <c r="J23" i="1"/>
  <c r="N23" i="1" a="1"/>
  <c r="N23" i="1" s="1"/>
  <c r="P23" i="1"/>
  <c r="BD23" i="1"/>
  <c r="BE23" i="1" s="1"/>
  <c r="BF23" i="1" s="1"/>
  <c r="BH23" i="1"/>
  <c r="J24" i="1"/>
  <c r="N24" i="1" a="1"/>
  <c r="N24" i="1" s="1"/>
  <c r="P24" i="1"/>
  <c r="BD24" i="1"/>
  <c r="BE24" i="1" s="1"/>
  <c r="BF24" i="1" s="1"/>
  <c r="BH24" i="1"/>
  <c r="J25" i="1"/>
  <c r="N25" i="1" a="1"/>
  <c r="N25" i="1" s="1"/>
  <c r="P25" i="1"/>
  <c r="BD25" i="1"/>
  <c r="BE25" i="1" s="1"/>
  <c r="BF25" i="1" s="1"/>
  <c r="BH25" i="1"/>
  <c r="J26" i="1"/>
  <c r="N26" i="1" a="1"/>
  <c r="N26" i="1" s="1"/>
  <c r="P26" i="1"/>
  <c r="BD26" i="1"/>
  <c r="BE26" i="1" s="1"/>
  <c r="BF26" i="1" s="1"/>
  <c r="BH26" i="1"/>
  <c r="J27" i="1"/>
  <c r="N27" i="1" a="1"/>
  <c r="N27" i="1" s="1"/>
  <c r="P27" i="1"/>
  <c r="BD27" i="1"/>
  <c r="BE27" i="1" s="1"/>
  <c r="BF27" i="1" s="1"/>
  <c r="BH27" i="1"/>
  <c r="J28" i="1"/>
  <c r="N28" i="1" a="1"/>
  <c r="N28" i="1" s="1"/>
  <c r="P28" i="1"/>
  <c r="BD28" i="1"/>
  <c r="BE28" i="1" s="1"/>
  <c r="BF28" i="1" s="1"/>
  <c r="BH28" i="1"/>
  <c r="J29" i="1"/>
  <c r="N29" i="1" a="1"/>
  <c r="N29" i="1" s="1"/>
  <c r="P29" i="1"/>
  <c r="BD29" i="1"/>
  <c r="BE29" i="1" s="1"/>
  <c r="BF29" i="1" s="1"/>
  <c r="BH29" i="1"/>
  <c r="J30" i="1"/>
  <c r="N30" i="1" a="1"/>
  <c r="N30" i="1" s="1"/>
  <c r="P30" i="1"/>
  <c r="BD30" i="1"/>
  <c r="BE30" i="1" s="1"/>
  <c r="BF30" i="1" s="1"/>
  <c r="BH30" i="1"/>
  <c r="J31" i="1"/>
  <c r="N31" i="1" a="1"/>
  <c r="N31" i="1" s="1"/>
  <c r="P31" i="1"/>
  <c r="BD31" i="1"/>
  <c r="BE31" i="1" s="1"/>
  <c r="BF31" i="1" s="1"/>
  <c r="BH31" i="1"/>
  <c r="J32" i="1"/>
  <c r="N32" i="1" a="1"/>
  <c r="N32" i="1" s="1"/>
  <c r="P32" i="1"/>
  <c r="BD32" i="1"/>
  <c r="BE32" i="1" s="1"/>
  <c r="BF32" i="1" s="1"/>
  <c r="BH32" i="1"/>
  <c r="J33" i="1"/>
  <c r="N33" i="1" a="1"/>
  <c r="N33" i="1" s="1"/>
  <c r="P33" i="1"/>
  <c r="BD33" i="1"/>
  <c r="BE33" i="1" s="1"/>
  <c r="BF33" i="1" s="1"/>
  <c r="BH33" i="1"/>
  <c r="J34" i="1"/>
  <c r="N34" i="1" a="1"/>
  <c r="N34" i="1" s="1"/>
  <c r="P34" i="1"/>
  <c r="BD34" i="1"/>
  <c r="BE34" i="1" s="1"/>
  <c r="BF34" i="1" s="1"/>
  <c r="BH34" i="1"/>
  <c r="J35" i="1"/>
  <c r="N35" i="1" a="1"/>
  <c r="N35" i="1" s="1"/>
  <c r="P35" i="1"/>
  <c r="BD35" i="1"/>
  <c r="BE35" i="1" s="1"/>
  <c r="BF35" i="1" s="1"/>
  <c r="BI35" i="1"/>
  <c r="BQ35" i="1"/>
  <c r="AK36" i="1"/>
  <c r="BM36" i="1"/>
  <c r="BN36" i="1" s="1"/>
  <c r="BO36" i="1" s="1"/>
  <c r="Q37" i="1"/>
  <c r="R37" i="1" s="1"/>
  <c r="Q38" i="1"/>
  <c r="R38" i="1" s="1"/>
  <c r="AL38" i="1"/>
  <c r="Q39" i="1"/>
  <c r="R39" i="1" s="1"/>
  <c r="AQ40" i="1"/>
  <c r="AO40" i="1" a="1"/>
  <c r="AO40" i="1" s="1"/>
  <c r="AK40" i="1"/>
  <c r="AO39" i="1" a="1"/>
  <c r="AO39" i="1" s="1"/>
  <c r="AN40" i="1"/>
  <c r="AN39" i="1"/>
  <c r="AP39" i="1" a="1"/>
  <c r="AP39" i="1" s="1"/>
  <c r="AM39" i="1"/>
  <c r="K40" i="1"/>
  <c r="N40" i="1" a="1"/>
  <c r="N40" i="1" s="1"/>
  <c r="M40" i="1"/>
  <c r="J41" i="1"/>
  <c r="N44" i="1" a="1"/>
  <c r="N44" i="1" s="1"/>
  <c r="M44" i="1"/>
  <c r="O44" i="1" a="1"/>
  <c r="O44" i="1" s="1"/>
  <c r="L44" i="1"/>
  <c r="K44" i="1"/>
  <c r="J45" i="1"/>
  <c r="N48" i="1" a="1"/>
  <c r="N48" i="1" s="1"/>
  <c r="M48" i="1"/>
  <c r="O48" i="1" a="1"/>
  <c r="O48" i="1" s="1"/>
  <c r="L48" i="1"/>
  <c r="K48" i="1"/>
  <c r="J49" i="1"/>
  <c r="N52" i="1" a="1"/>
  <c r="N52" i="1" s="1"/>
  <c r="M52" i="1"/>
  <c r="O52" i="1" a="1"/>
  <c r="O52" i="1" s="1"/>
  <c r="L52" i="1"/>
  <c r="K52" i="1"/>
  <c r="J53" i="1"/>
  <c r="N56" i="1" a="1"/>
  <c r="N56" i="1" s="1"/>
  <c r="M56" i="1"/>
  <c r="O56" i="1" a="1"/>
  <c r="O56" i="1" s="1"/>
  <c r="L56" i="1"/>
  <c r="K56" i="1"/>
  <c r="J57" i="1"/>
  <c r="N60" i="1" a="1"/>
  <c r="N60" i="1" s="1"/>
  <c r="M60" i="1"/>
  <c r="O60" i="1" a="1"/>
  <c r="O60" i="1" s="1"/>
  <c r="L60" i="1"/>
  <c r="K60" i="1"/>
  <c r="J61" i="1"/>
  <c r="N64" i="1" a="1"/>
  <c r="N64" i="1" s="1"/>
  <c r="M64" i="1"/>
  <c r="O64" i="1" a="1"/>
  <c r="O64" i="1" s="1"/>
  <c r="L64" i="1"/>
  <c r="K64" i="1"/>
  <c r="J65" i="1"/>
  <c r="AO68" i="1" a="1"/>
  <c r="AO68" i="1" s="1"/>
  <c r="P72" i="1"/>
  <c r="N72" i="1" a="1"/>
  <c r="N72" i="1" s="1"/>
  <c r="J72" i="1"/>
  <c r="M71" i="1"/>
  <c r="O71" i="1" a="1"/>
  <c r="O71" i="1" s="1"/>
  <c r="Q71" i="1" s="1"/>
  <c r="R71" i="1" s="1"/>
  <c r="L71" i="1"/>
  <c r="K71" i="1"/>
  <c r="AQ73" i="1"/>
  <c r="AO73" i="1" a="1"/>
  <c r="AO73" i="1" s="1"/>
  <c r="AK73" i="1"/>
  <c r="AN72" i="1"/>
  <c r="AP72" i="1" a="1"/>
  <c r="AP72" i="1" s="1"/>
  <c r="AM72" i="1"/>
  <c r="AL72" i="1"/>
  <c r="Q77" i="1"/>
  <c r="R77" i="1" s="1"/>
  <c r="AR78" i="1"/>
  <c r="AS78" i="1" s="1"/>
  <c r="AQ80" i="1"/>
  <c r="P83" i="1"/>
  <c r="AO84" i="1" a="1"/>
  <c r="AO84" i="1" s="1"/>
  <c r="P88" i="1"/>
  <c r="N88" i="1" a="1"/>
  <c r="N88" i="1" s="1"/>
  <c r="J88" i="1"/>
  <c r="M87" i="1"/>
  <c r="O87" i="1" a="1"/>
  <c r="O87" i="1" s="1"/>
  <c r="L87" i="1"/>
  <c r="BH35" i="1"/>
  <c r="K87" i="1"/>
  <c r="BG36" i="1"/>
  <c r="BI25" i="1"/>
  <c r="BP25" i="1"/>
  <c r="BI26" i="1"/>
  <c r="BP26" i="1"/>
  <c r="BI27" i="1"/>
  <c r="BP27" i="1"/>
  <c r="BI28" i="1"/>
  <c r="BP28" i="1"/>
  <c r="BI29" i="1"/>
  <c r="BP29" i="1"/>
  <c r="BI30" i="1"/>
  <c r="BP30" i="1"/>
  <c r="BI31" i="1"/>
  <c r="BP31" i="1"/>
  <c r="BI32" i="1"/>
  <c r="BP32" i="1"/>
  <c r="BI33" i="1"/>
  <c r="BP33" i="1"/>
  <c r="BI34" i="1"/>
  <c r="BP34" i="1"/>
  <c r="BM35" i="1"/>
  <c r="BN35" i="1" s="1"/>
  <c r="BO35" i="1" s="1"/>
  <c r="BR35" i="1"/>
  <c r="AL36" i="1"/>
  <c r="AP36" i="1" a="1"/>
  <c r="AP36" i="1" s="1"/>
  <c r="BQ36" i="1"/>
  <c r="AQ37" i="1"/>
  <c r="AK37" i="1"/>
  <c r="AN36" i="1"/>
  <c r="AQ38" i="1"/>
  <c r="AK38" i="1"/>
  <c r="AO37" i="1" a="1"/>
  <c r="AO37" i="1" s="1"/>
  <c r="AN37" i="1"/>
  <c r="AP37" i="1" a="1"/>
  <c r="AP37" i="1" s="1"/>
  <c r="AM37" i="1"/>
  <c r="AQ39" i="1"/>
  <c r="AK39" i="1"/>
  <c r="AO38" i="1" a="1"/>
  <c r="AO38" i="1" s="1"/>
  <c r="AN38" i="1"/>
  <c r="AP38" i="1" a="1"/>
  <c r="AP38" i="1" s="1"/>
  <c r="AM38" i="1"/>
  <c r="M41" i="1"/>
  <c r="O41" i="1" a="1"/>
  <c r="O41" i="1" s="1"/>
  <c r="L41" i="1"/>
  <c r="K41" i="1"/>
  <c r="J42" i="1"/>
  <c r="P44" i="1"/>
  <c r="M45" i="1"/>
  <c r="O45" i="1" a="1"/>
  <c r="O45" i="1" s="1"/>
  <c r="L45" i="1"/>
  <c r="K45" i="1"/>
  <c r="J46" i="1"/>
  <c r="P48" i="1"/>
  <c r="M49" i="1"/>
  <c r="O49" i="1" a="1"/>
  <c r="O49" i="1" s="1"/>
  <c r="L49" i="1"/>
  <c r="K49" i="1"/>
  <c r="J50" i="1"/>
  <c r="P52" i="1"/>
  <c r="M53" i="1"/>
  <c r="O53" i="1" a="1"/>
  <c r="O53" i="1" s="1"/>
  <c r="L53" i="1"/>
  <c r="K53" i="1"/>
  <c r="J54" i="1"/>
  <c r="P56" i="1"/>
  <c r="M57" i="1"/>
  <c r="O57" i="1" a="1"/>
  <c r="O57" i="1" s="1"/>
  <c r="L57" i="1"/>
  <c r="K57" i="1"/>
  <c r="J58" i="1"/>
  <c r="P60" i="1"/>
  <c r="M61" i="1"/>
  <c r="O61" i="1" a="1"/>
  <c r="O61" i="1" s="1"/>
  <c r="L61" i="1"/>
  <c r="K61" i="1"/>
  <c r="J62" i="1"/>
  <c r="P64" i="1"/>
  <c r="M65" i="1"/>
  <c r="O65" i="1" a="1"/>
  <c r="O65" i="1" s="1"/>
  <c r="L65" i="1"/>
  <c r="K65" i="1"/>
  <c r="J66" i="1"/>
  <c r="P76" i="1"/>
  <c r="N76" i="1" a="1"/>
  <c r="N76" i="1" s="1"/>
  <c r="J76" i="1"/>
  <c r="M75" i="1"/>
  <c r="O75" i="1" a="1"/>
  <c r="O75" i="1" s="1"/>
  <c r="L75" i="1"/>
  <c r="K75" i="1"/>
  <c r="AQ77" i="1"/>
  <c r="AO77" i="1" a="1"/>
  <c r="AO77" i="1" s="1"/>
  <c r="AK77" i="1"/>
  <c r="AN76" i="1"/>
  <c r="AP76" i="1" a="1"/>
  <c r="AP76" i="1" s="1"/>
  <c r="AM76" i="1"/>
  <c r="AL76" i="1"/>
  <c r="BI24" i="1"/>
  <c r="L13" i="1"/>
  <c r="Q13" i="1" s="1"/>
  <c r="R13" i="1" s="1"/>
  <c r="BF13" i="1"/>
  <c r="BM13" i="1"/>
  <c r="L14" i="1"/>
  <c r="Q14" i="1" s="1"/>
  <c r="R14" i="1" s="1"/>
  <c r="AL14" i="1"/>
  <c r="BM14" i="1"/>
  <c r="BN14" i="1" s="1"/>
  <c r="BO14" i="1" s="1"/>
  <c r="L15" i="1"/>
  <c r="Q15" i="1" s="1"/>
  <c r="R15" i="1" s="1"/>
  <c r="AL15" i="1"/>
  <c r="BM15" i="1"/>
  <c r="BN15" i="1" s="1"/>
  <c r="BO15" i="1" s="1"/>
  <c r="L16" i="1"/>
  <c r="Q16" i="1" s="1"/>
  <c r="R16" i="1" s="1"/>
  <c r="AL16" i="1"/>
  <c r="BM16" i="1"/>
  <c r="BN16" i="1" s="1"/>
  <c r="BO16" i="1" s="1"/>
  <c r="L17" i="1"/>
  <c r="Q17" i="1" s="1"/>
  <c r="R17" i="1" s="1"/>
  <c r="AL17" i="1"/>
  <c r="BM17" i="1"/>
  <c r="BN17" i="1" s="1"/>
  <c r="BO17" i="1" s="1"/>
  <c r="L18" i="1"/>
  <c r="Q18" i="1" s="1"/>
  <c r="R18" i="1" s="1"/>
  <c r="AL18" i="1"/>
  <c r="BM18" i="1"/>
  <c r="BN18" i="1" s="1"/>
  <c r="BO18" i="1" s="1"/>
  <c r="L19" i="1"/>
  <c r="Q19" i="1" s="1"/>
  <c r="R19" i="1" s="1"/>
  <c r="AL19" i="1"/>
  <c r="BM19" i="1"/>
  <c r="BN19" i="1" s="1"/>
  <c r="BO19" i="1" s="1"/>
  <c r="L20" i="1"/>
  <c r="Q20" i="1" s="1"/>
  <c r="R20" i="1" s="1"/>
  <c r="AL20" i="1"/>
  <c r="BM20" i="1"/>
  <c r="BN20" i="1" s="1"/>
  <c r="BO20" i="1" s="1"/>
  <c r="L21" i="1"/>
  <c r="Q21" i="1" s="1"/>
  <c r="R21" i="1" s="1"/>
  <c r="AL21" i="1"/>
  <c r="BM21" i="1"/>
  <c r="BN21" i="1" s="1"/>
  <c r="BO21" i="1" s="1"/>
  <c r="L22" i="1"/>
  <c r="Q22" i="1" s="1"/>
  <c r="R22" i="1" s="1"/>
  <c r="AL22" i="1"/>
  <c r="BM22" i="1"/>
  <c r="BN22" i="1" s="1"/>
  <c r="BO22" i="1" s="1"/>
  <c r="L23" i="1"/>
  <c r="Q23" i="1" s="1"/>
  <c r="R23" i="1" s="1"/>
  <c r="AL23" i="1"/>
  <c r="BM23" i="1"/>
  <c r="BN23" i="1" s="1"/>
  <c r="BO23" i="1" s="1"/>
  <c r="L24" i="1"/>
  <c r="Q24" i="1" s="1"/>
  <c r="R24" i="1" s="1"/>
  <c r="AL24" i="1"/>
  <c r="BM24" i="1"/>
  <c r="BN24" i="1" s="1"/>
  <c r="BO24" i="1" s="1"/>
  <c r="L25" i="1"/>
  <c r="Q25" i="1" s="1"/>
  <c r="R25" i="1" s="1"/>
  <c r="AL25" i="1"/>
  <c r="BM25" i="1"/>
  <c r="BN25" i="1" s="1"/>
  <c r="BO25" i="1" s="1"/>
  <c r="L26" i="1"/>
  <c r="Q26" i="1" s="1"/>
  <c r="R26" i="1" s="1"/>
  <c r="AL26" i="1"/>
  <c r="BM26" i="1"/>
  <c r="BN26" i="1" s="1"/>
  <c r="BO26" i="1" s="1"/>
  <c r="L27" i="1"/>
  <c r="Q27" i="1" s="1"/>
  <c r="R27" i="1" s="1"/>
  <c r="AL27" i="1"/>
  <c r="BM27" i="1"/>
  <c r="BN27" i="1" s="1"/>
  <c r="BO27" i="1" s="1"/>
  <c r="L28" i="1"/>
  <c r="Q28" i="1" s="1"/>
  <c r="R28" i="1" s="1"/>
  <c r="AL28" i="1"/>
  <c r="BM28" i="1"/>
  <c r="BN28" i="1" s="1"/>
  <c r="BO28" i="1" s="1"/>
  <c r="L29" i="1"/>
  <c r="Q29" i="1" s="1"/>
  <c r="R29" i="1" s="1"/>
  <c r="AL29" i="1"/>
  <c r="BM29" i="1"/>
  <c r="BN29" i="1" s="1"/>
  <c r="BO29" i="1" s="1"/>
  <c r="L30" i="1"/>
  <c r="Q30" i="1" s="1"/>
  <c r="R30" i="1" s="1"/>
  <c r="AL30" i="1"/>
  <c r="BM30" i="1"/>
  <c r="BN30" i="1" s="1"/>
  <c r="BO30" i="1" s="1"/>
  <c r="L31" i="1"/>
  <c r="Q31" i="1" s="1"/>
  <c r="R31" i="1" s="1"/>
  <c r="AL31" i="1"/>
  <c r="BM31" i="1"/>
  <c r="BN31" i="1" s="1"/>
  <c r="BO31" i="1" s="1"/>
  <c r="L32" i="1"/>
  <c r="Q32" i="1" s="1"/>
  <c r="R32" i="1" s="1"/>
  <c r="AL32" i="1"/>
  <c r="BM32" i="1"/>
  <c r="BN32" i="1" s="1"/>
  <c r="BO32" i="1" s="1"/>
  <c r="L33" i="1"/>
  <c r="Q33" i="1" s="1"/>
  <c r="R33" i="1" s="1"/>
  <c r="AL33" i="1"/>
  <c r="BM33" i="1"/>
  <c r="BN33" i="1" s="1"/>
  <c r="BO33" i="1" s="1"/>
  <c r="L34" i="1"/>
  <c r="O34" i="1" a="1"/>
  <c r="O34" i="1" s="1"/>
  <c r="BQ34" i="1"/>
  <c r="L35" i="1"/>
  <c r="Q35" i="1" s="1"/>
  <c r="R35" i="1" s="1"/>
  <c r="AL35" i="1"/>
  <c r="AM36" i="1"/>
  <c r="P41" i="1"/>
  <c r="N42" i="1" a="1"/>
  <c r="N42" i="1" s="1"/>
  <c r="M42" i="1"/>
  <c r="O42" i="1" a="1"/>
  <c r="O42" i="1" s="1"/>
  <c r="L42" i="1"/>
  <c r="K42" i="1"/>
  <c r="J43" i="1"/>
  <c r="P45" i="1"/>
  <c r="N46" i="1" a="1"/>
  <c r="N46" i="1" s="1"/>
  <c r="M46" i="1"/>
  <c r="O46" i="1" a="1"/>
  <c r="O46" i="1" s="1"/>
  <c r="L46" i="1"/>
  <c r="K46" i="1"/>
  <c r="J47" i="1"/>
  <c r="P49" i="1"/>
  <c r="N50" i="1" a="1"/>
  <c r="N50" i="1" s="1"/>
  <c r="M50" i="1"/>
  <c r="O50" i="1" a="1"/>
  <c r="O50" i="1" s="1"/>
  <c r="L50" i="1"/>
  <c r="K50" i="1"/>
  <c r="J51" i="1"/>
  <c r="P53" i="1"/>
  <c r="N54" i="1" a="1"/>
  <c r="N54" i="1" s="1"/>
  <c r="M54" i="1"/>
  <c r="O54" i="1" a="1"/>
  <c r="O54" i="1" s="1"/>
  <c r="L54" i="1"/>
  <c r="K54" i="1"/>
  <c r="J55" i="1"/>
  <c r="P57" i="1"/>
  <c r="N58" i="1" a="1"/>
  <c r="N58" i="1" s="1"/>
  <c r="M58" i="1"/>
  <c r="O58" i="1" a="1"/>
  <c r="O58" i="1" s="1"/>
  <c r="L58" i="1"/>
  <c r="K58" i="1"/>
  <c r="J59" i="1"/>
  <c r="P61" i="1"/>
  <c r="N62" i="1" a="1"/>
  <c r="N62" i="1" s="1"/>
  <c r="M62" i="1"/>
  <c r="O62" i="1" a="1"/>
  <c r="O62" i="1" s="1"/>
  <c r="L62" i="1"/>
  <c r="K62" i="1"/>
  <c r="J63" i="1"/>
  <c r="P65" i="1"/>
  <c r="N66" i="1" a="1"/>
  <c r="N66" i="1" s="1"/>
  <c r="M66" i="1"/>
  <c r="O66" i="1" a="1"/>
  <c r="O66" i="1" s="1"/>
  <c r="L66" i="1"/>
  <c r="K66" i="1"/>
  <c r="J67" i="1"/>
  <c r="K68" i="1"/>
  <c r="Q69" i="1"/>
  <c r="R69" i="1" s="1"/>
  <c r="AL69" i="1"/>
  <c r="AR70" i="1"/>
  <c r="AS70" i="1" s="1"/>
  <c r="P75" i="1"/>
  <c r="P80" i="1"/>
  <c r="N80" i="1" a="1"/>
  <c r="N80" i="1" s="1"/>
  <c r="J80" i="1"/>
  <c r="M79" i="1"/>
  <c r="O79" i="1" a="1"/>
  <c r="O79" i="1" s="1"/>
  <c r="L79" i="1"/>
  <c r="K79" i="1"/>
  <c r="AQ81" i="1"/>
  <c r="AO81" i="1" a="1"/>
  <c r="AO81" i="1" s="1"/>
  <c r="AK81" i="1"/>
  <c r="AN80" i="1"/>
  <c r="AP80" i="1" a="1"/>
  <c r="AP80" i="1" s="1"/>
  <c r="AM80" i="1"/>
  <c r="AL80" i="1"/>
  <c r="K84" i="1"/>
  <c r="Q85" i="1"/>
  <c r="R85" i="1" s="1"/>
  <c r="AL85" i="1"/>
  <c r="AR86" i="1"/>
  <c r="AS86" i="1" s="1"/>
  <c r="AL89" i="1"/>
  <c r="K92" i="1"/>
  <c r="AL93" i="1"/>
  <c r="K96" i="1"/>
  <c r="AL97" i="1"/>
  <c r="K100" i="1"/>
  <c r="AL101" i="1"/>
  <c r="K104" i="1"/>
  <c r="AL105" i="1"/>
  <c r="K108" i="1"/>
  <c r="AL109" i="1"/>
  <c r="K112" i="1"/>
  <c r="AL113" i="1"/>
  <c r="K116" i="1"/>
  <c r="O117" i="1" a="1"/>
  <c r="O117" i="1" s="1"/>
  <c r="L117" i="1"/>
  <c r="K118" i="1"/>
  <c r="O118" i="1" a="1"/>
  <c r="O118" i="1" s="1"/>
  <c r="K121" i="1"/>
  <c r="AL122" i="1"/>
  <c r="AP122" i="1" a="1"/>
  <c r="AP122" i="1" s="1"/>
  <c r="AM122" i="1"/>
  <c r="AL123" i="1"/>
  <c r="AP123" i="1" a="1"/>
  <c r="AP123" i="1" s="1"/>
  <c r="Q124" i="1"/>
  <c r="R124" i="1" s="1"/>
  <c r="M127" i="1"/>
  <c r="AN128" i="1"/>
  <c r="N129" i="1" a="1"/>
  <c r="N129" i="1" s="1"/>
  <c r="L130" i="1"/>
  <c r="P130" i="1"/>
  <c r="AO131" i="1" a="1"/>
  <c r="AO131" i="1" s="1"/>
  <c r="AP130" i="1" a="1"/>
  <c r="AP130" i="1" s="1"/>
  <c r="AM130" i="1"/>
  <c r="AL131" i="1"/>
  <c r="AQ131" i="1"/>
  <c r="O132" i="1" a="1"/>
  <c r="O132" i="1" s="1"/>
  <c r="N133" i="1" a="1"/>
  <c r="N133" i="1" s="1"/>
  <c r="AP134" i="1" a="1"/>
  <c r="AP134" i="1" s="1"/>
  <c r="AM134" i="1"/>
  <c r="AQ135" i="1"/>
  <c r="AN134" i="1"/>
  <c r="AK135" i="1"/>
  <c r="AO135" i="1" a="1"/>
  <c r="AO135" i="1" s="1"/>
  <c r="AQ136" i="1"/>
  <c r="AO136" i="1" a="1"/>
  <c r="AO136" i="1" s="1"/>
  <c r="AK136" i="1"/>
  <c r="AN135" i="1"/>
  <c r="AP136" i="1" a="1"/>
  <c r="AP136" i="1" s="1"/>
  <c r="AR136" i="1" s="1"/>
  <c r="AS136" i="1" s="1"/>
  <c r="AL136" i="1"/>
  <c r="AM135" i="1"/>
  <c r="AN136" i="1"/>
  <c r="AQ140" i="1"/>
  <c r="AO140" i="1" a="1"/>
  <c r="AO140" i="1" s="1"/>
  <c r="AK140" i="1"/>
  <c r="AN139" i="1"/>
  <c r="AN140" i="1"/>
  <c r="AL140" i="1"/>
  <c r="AP139" i="1" a="1"/>
  <c r="AP139" i="1" s="1"/>
  <c r="AL139" i="1"/>
  <c r="AO139" i="1" a="1"/>
  <c r="AO139" i="1" s="1"/>
  <c r="AP140" i="1" a="1"/>
  <c r="AP140" i="1" s="1"/>
  <c r="AR140" i="1" s="1"/>
  <c r="AS140" i="1" s="1"/>
  <c r="AL157" i="1"/>
  <c r="AM157" i="1"/>
  <c r="AK158" i="1"/>
  <c r="AO157" i="1" a="1"/>
  <c r="AO157" i="1" s="1"/>
  <c r="AN157" i="1"/>
  <c r="AQ157" i="1"/>
  <c r="AQ158" i="1"/>
  <c r="Q164" i="1"/>
  <c r="R164" i="1" s="1"/>
  <c r="AR181" i="1"/>
  <c r="AS181" i="1" s="1"/>
  <c r="AQ184" i="1"/>
  <c r="AO184" i="1" a="1"/>
  <c r="AO184" i="1" s="1"/>
  <c r="AK184" i="1"/>
  <c r="AN183" i="1"/>
  <c r="AP183" i="1" a="1"/>
  <c r="AP183" i="1" s="1"/>
  <c r="AL183" i="1"/>
  <c r="AL184" i="1"/>
  <c r="AO183" i="1" a="1"/>
  <c r="AO183" i="1" s="1"/>
  <c r="AP184" i="1" a="1"/>
  <c r="AP184" i="1" s="1"/>
  <c r="AR184" i="1" s="1"/>
  <c r="AS184" i="1" s="1"/>
  <c r="AM183" i="1"/>
  <c r="AN184" i="1"/>
  <c r="AQ183" i="1"/>
  <c r="K184" i="1"/>
  <c r="J185" i="1"/>
  <c r="L184" i="1"/>
  <c r="P185" i="1"/>
  <c r="P184" i="1"/>
  <c r="O184" i="1" a="1"/>
  <c r="O184" i="1" s="1"/>
  <c r="N185" i="1" a="1"/>
  <c r="N185" i="1" s="1"/>
  <c r="N184" i="1" a="1"/>
  <c r="N184" i="1" s="1"/>
  <c r="K188" i="1"/>
  <c r="O188" i="1" a="1"/>
  <c r="O188" i="1" s="1"/>
  <c r="J189" i="1"/>
  <c r="M188" i="1"/>
  <c r="P188" i="1"/>
  <c r="L188" i="1"/>
  <c r="M189" i="1"/>
  <c r="P189" i="1"/>
  <c r="AR191" i="1"/>
  <c r="AS191" i="1" s="1"/>
  <c r="AL195" i="1"/>
  <c r="P215" i="1"/>
  <c r="N215" i="1" a="1"/>
  <c r="N215" i="1" s="1"/>
  <c r="J215" i="1"/>
  <c r="M214" i="1"/>
  <c r="K215" i="1"/>
  <c r="K214" i="1"/>
  <c r="O215" i="1" a="1"/>
  <c r="O215" i="1" s="1"/>
  <c r="O214" i="1" a="1"/>
  <c r="O214" i="1" s="1"/>
  <c r="Q214" i="1" s="1"/>
  <c r="R214" i="1" s="1"/>
  <c r="M215" i="1"/>
  <c r="N214" i="1" a="1"/>
  <c r="N214" i="1" s="1"/>
  <c r="AL221" i="1"/>
  <c r="AM221" i="1"/>
  <c r="AK222" i="1"/>
  <c r="AO221" i="1" a="1"/>
  <c r="AO221" i="1" s="1"/>
  <c r="AN221" i="1"/>
  <c r="AQ221" i="1"/>
  <c r="AQ222" i="1"/>
  <c r="Q228" i="1"/>
  <c r="R228" i="1" s="1"/>
  <c r="O233" i="1" a="1"/>
  <c r="O233" i="1" s="1"/>
  <c r="L233" i="1"/>
  <c r="J234" i="1"/>
  <c r="M233" i="1"/>
  <c r="P233" i="1"/>
  <c r="K233" i="1"/>
  <c r="L234" i="1"/>
  <c r="P234" i="1"/>
  <c r="AQ292" i="1"/>
  <c r="AO292" i="1" a="1"/>
  <c r="AO292" i="1" s="1"/>
  <c r="AK292" i="1"/>
  <c r="AN291" i="1"/>
  <c r="AP292" i="1" a="1"/>
  <c r="AP292" i="1" s="1"/>
  <c r="AR292" i="1" s="1"/>
  <c r="AS292" i="1" s="1"/>
  <c r="AL292" i="1"/>
  <c r="AM291" i="1"/>
  <c r="AP291" i="1" a="1"/>
  <c r="AP291" i="1" s="1"/>
  <c r="AR291" i="1" s="1"/>
  <c r="AS291" i="1" s="1"/>
  <c r="AL291" i="1"/>
  <c r="AN292" i="1"/>
  <c r="AM292" i="1"/>
  <c r="AO291" i="1" a="1"/>
  <c r="AO291" i="1" s="1"/>
  <c r="AQ327" i="1"/>
  <c r="AO327" i="1" a="1"/>
  <c r="AO327" i="1" s="1"/>
  <c r="AK327" i="1"/>
  <c r="AN326" i="1"/>
  <c r="AP327" i="1" a="1"/>
  <c r="AP327" i="1" s="1"/>
  <c r="AL327" i="1"/>
  <c r="AM326" i="1"/>
  <c r="AP326" i="1" a="1"/>
  <c r="AP326" i="1" s="1"/>
  <c r="AL326" i="1"/>
  <c r="AM327" i="1"/>
  <c r="AO326" i="1" a="1"/>
  <c r="AO326" i="1" s="1"/>
  <c r="AN327" i="1"/>
  <c r="K363" i="1"/>
  <c r="J364" i="1"/>
  <c r="L363" i="1"/>
  <c r="O363" i="1" a="1"/>
  <c r="O363" i="1" s="1"/>
  <c r="M363" i="1"/>
  <c r="P364" i="1"/>
  <c r="P363" i="1"/>
  <c r="O372" i="1" a="1"/>
  <c r="O372" i="1" s="1"/>
  <c r="L372" i="1"/>
  <c r="K372" i="1"/>
  <c r="M372" i="1"/>
  <c r="P372" i="1"/>
  <c r="J373" i="1"/>
  <c r="P373" i="1"/>
  <c r="N372" i="1" a="1"/>
  <c r="N372" i="1" s="1"/>
  <c r="K373" i="1"/>
  <c r="BR36" i="1"/>
  <c r="M37" i="1"/>
  <c r="M38" i="1"/>
  <c r="M39" i="1"/>
  <c r="AM40" i="1"/>
  <c r="AP40" i="1" a="1"/>
  <c r="AP40" i="1" s="1"/>
  <c r="AK41" i="1"/>
  <c r="AO41" i="1" a="1"/>
  <c r="AO41" i="1" s="1"/>
  <c r="AQ41" i="1"/>
  <c r="AK42" i="1"/>
  <c r="AO42" i="1" a="1"/>
  <c r="AO42" i="1" s="1"/>
  <c r="AQ42" i="1"/>
  <c r="AK43" i="1"/>
  <c r="AO43" i="1" a="1"/>
  <c r="AO43" i="1" s="1"/>
  <c r="AQ43" i="1"/>
  <c r="AK44" i="1"/>
  <c r="AO44" i="1" a="1"/>
  <c r="AO44" i="1" s="1"/>
  <c r="AQ44" i="1"/>
  <c r="AK45" i="1"/>
  <c r="AO45" i="1" a="1"/>
  <c r="AO45" i="1" s="1"/>
  <c r="AQ45" i="1"/>
  <c r="AK46" i="1"/>
  <c r="AO46" i="1" a="1"/>
  <c r="AO46" i="1" s="1"/>
  <c r="AQ46" i="1"/>
  <c r="AK47" i="1"/>
  <c r="AO47" i="1" a="1"/>
  <c r="AO47" i="1" s="1"/>
  <c r="AQ47" i="1"/>
  <c r="AK48" i="1"/>
  <c r="AO48" i="1" a="1"/>
  <c r="AO48" i="1" s="1"/>
  <c r="AQ48" i="1"/>
  <c r="AK49" i="1"/>
  <c r="AO49" i="1" a="1"/>
  <c r="AO49" i="1" s="1"/>
  <c r="AQ49" i="1"/>
  <c r="AK50" i="1"/>
  <c r="AO50" i="1" a="1"/>
  <c r="AO50" i="1" s="1"/>
  <c r="AQ50" i="1"/>
  <c r="AK51" i="1"/>
  <c r="AO51" i="1" a="1"/>
  <c r="AO51" i="1" s="1"/>
  <c r="AQ51" i="1"/>
  <c r="AK52" i="1"/>
  <c r="AO52" i="1" a="1"/>
  <c r="AO52" i="1" s="1"/>
  <c r="AQ52" i="1"/>
  <c r="AK53" i="1"/>
  <c r="AO53" i="1" a="1"/>
  <c r="AO53" i="1" s="1"/>
  <c r="AQ53" i="1"/>
  <c r="AK54" i="1"/>
  <c r="AO54" i="1" a="1"/>
  <c r="AO54" i="1" s="1"/>
  <c r="AQ54" i="1"/>
  <c r="AK55" i="1"/>
  <c r="AO55" i="1" a="1"/>
  <c r="AO55" i="1" s="1"/>
  <c r="AQ55" i="1"/>
  <c r="AK56" i="1"/>
  <c r="AO56" i="1" a="1"/>
  <c r="AO56" i="1" s="1"/>
  <c r="AQ56" i="1"/>
  <c r="AK57" i="1"/>
  <c r="AO57" i="1" a="1"/>
  <c r="AO57" i="1" s="1"/>
  <c r="AQ57" i="1"/>
  <c r="AK58" i="1"/>
  <c r="AO58" i="1" a="1"/>
  <c r="AO58" i="1" s="1"/>
  <c r="AQ58" i="1"/>
  <c r="AK59" i="1"/>
  <c r="AO59" i="1" a="1"/>
  <c r="AO59" i="1" s="1"/>
  <c r="AQ59" i="1"/>
  <c r="AK60" i="1"/>
  <c r="AO60" i="1" a="1"/>
  <c r="AO60" i="1" s="1"/>
  <c r="AQ60" i="1"/>
  <c r="AK61" i="1"/>
  <c r="AO61" i="1" a="1"/>
  <c r="AO61" i="1" s="1"/>
  <c r="AQ61" i="1"/>
  <c r="AK62" i="1"/>
  <c r="AO62" i="1" a="1"/>
  <c r="AO62" i="1" s="1"/>
  <c r="AQ62" i="1"/>
  <c r="AK63" i="1"/>
  <c r="AO63" i="1" a="1"/>
  <c r="AO63" i="1" s="1"/>
  <c r="AQ63" i="1"/>
  <c r="AK64" i="1"/>
  <c r="AO64" i="1" a="1"/>
  <c r="AO64" i="1" s="1"/>
  <c r="AQ64" i="1"/>
  <c r="AK65" i="1"/>
  <c r="AO65" i="1" a="1"/>
  <c r="AO65" i="1" s="1"/>
  <c r="AQ65" i="1"/>
  <c r="AK66" i="1"/>
  <c r="AO66" i="1" a="1"/>
  <c r="AO66" i="1" s="1"/>
  <c r="AQ66" i="1"/>
  <c r="AK67" i="1"/>
  <c r="AO67" i="1" a="1"/>
  <c r="AO67" i="1" s="1"/>
  <c r="AQ67" i="1"/>
  <c r="L68" i="1"/>
  <c r="O68" i="1" a="1"/>
  <c r="O68" i="1" s="1"/>
  <c r="Q68" i="1" s="1"/>
  <c r="R68" i="1" s="1"/>
  <c r="M69" i="1"/>
  <c r="AM69" i="1"/>
  <c r="AP69" i="1" a="1"/>
  <c r="AP69" i="1" s="1"/>
  <c r="J70" i="1"/>
  <c r="N70" i="1" a="1"/>
  <c r="N70" i="1" s="1"/>
  <c r="P70" i="1"/>
  <c r="AN70" i="1"/>
  <c r="AK71" i="1"/>
  <c r="AO71" i="1" a="1"/>
  <c r="AO71" i="1" s="1"/>
  <c r="AQ71" i="1"/>
  <c r="L72" i="1"/>
  <c r="O72" i="1" a="1"/>
  <c r="O72" i="1" s="1"/>
  <c r="Q72" i="1" s="1"/>
  <c r="R72" i="1" s="1"/>
  <c r="M73" i="1"/>
  <c r="AM73" i="1"/>
  <c r="AP73" i="1" a="1"/>
  <c r="AP73" i="1" s="1"/>
  <c r="J74" i="1"/>
  <c r="N74" i="1" a="1"/>
  <c r="N74" i="1" s="1"/>
  <c r="P74" i="1"/>
  <c r="AN74" i="1"/>
  <c r="AK75" i="1"/>
  <c r="AO75" i="1" a="1"/>
  <c r="AO75" i="1" s="1"/>
  <c r="AQ75" i="1"/>
  <c r="L76" i="1"/>
  <c r="O76" i="1" a="1"/>
  <c r="O76" i="1" s="1"/>
  <c r="Q76" i="1" s="1"/>
  <c r="R76" i="1" s="1"/>
  <c r="M77" i="1"/>
  <c r="AM77" i="1"/>
  <c r="AP77" i="1" a="1"/>
  <c r="AP77" i="1" s="1"/>
  <c r="J78" i="1"/>
  <c r="N78" i="1" a="1"/>
  <c r="N78" i="1" s="1"/>
  <c r="P78" i="1"/>
  <c r="AN78" i="1"/>
  <c r="AK79" i="1"/>
  <c r="AO79" i="1" a="1"/>
  <c r="AO79" i="1" s="1"/>
  <c r="AQ79" i="1"/>
  <c r="L80" i="1"/>
  <c r="O80" i="1" a="1"/>
  <c r="O80" i="1" s="1"/>
  <c r="Q80" i="1" s="1"/>
  <c r="R80" i="1" s="1"/>
  <c r="M81" i="1"/>
  <c r="AM81" i="1"/>
  <c r="AP81" i="1" a="1"/>
  <c r="AP81" i="1" s="1"/>
  <c r="J82" i="1"/>
  <c r="N82" i="1" a="1"/>
  <c r="N82" i="1" s="1"/>
  <c r="P82" i="1"/>
  <c r="AN82" i="1"/>
  <c r="AK83" i="1"/>
  <c r="AO83" i="1" a="1"/>
  <c r="AO83" i="1" s="1"/>
  <c r="AQ83" i="1"/>
  <c r="L84" i="1"/>
  <c r="O84" i="1" a="1"/>
  <c r="O84" i="1" s="1"/>
  <c r="Q84" i="1" s="1"/>
  <c r="R84" i="1" s="1"/>
  <c r="M85" i="1"/>
  <c r="AM85" i="1"/>
  <c r="AP85" i="1" a="1"/>
  <c r="AP85" i="1" s="1"/>
  <c r="J86" i="1"/>
  <c r="N86" i="1" a="1"/>
  <c r="N86" i="1" s="1"/>
  <c r="P86" i="1"/>
  <c r="AN86" i="1"/>
  <c r="AK87" i="1"/>
  <c r="AO87" i="1" a="1"/>
  <c r="AO87" i="1" s="1"/>
  <c r="AQ87" i="1"/>
  <c r="L88" i="1"/>
  <c r="O88" i="1" a="1"/>
  <c r="O88" i="1" s="1"/>
  <c r="Q88" i="1" s="1"/>
  <c r="R88" i="1" s="1"/>
  <c r="AL88" i="1"/>
  <c r="M89" i="1"/>
  <c r="AM89" i="1"/>
  <c r="AP89" i="1" a="1"/>
  <c r="AP89" i="1" s="1"/>
  <c r="AR89" i="1" s="1"/>
  <c r="AS89" i="1" s="1"/>
  <c r="J90" i="1"/>
  <c r="N90" i="1" a="1"/>
  <c r="N90" i="1" s="1"/>
  <c r="P90" i="1"/>
  <c r="AN90" i="1"/>
  <c r="K91" i="1"/>
  <c r="AK91" i="1"/>
  <c r="AO91" i="1" a="1"/>
  <c r="AO91" i="1" s="1"/>
  <c r="AQ91" i="1"/>
  <c r="L92" i="1"/>
  <c r="O92" i="1" a="1"/>
  <c r="O92" i="1" s="1"/>
  <c r="AL92" i="1"/>
  <c r="M93" i="1"/>
  <c r="AM93" i="1"/>
  <c r="AP93" i="1" a="1"/>
  <c r="AP93" i="1" s="1"/>
  <c r="J94" i="1"/>
  <c r="N94" i="1" a="1"/>
  <c r="N94" i="1" s="1"/>
  <c r="P94" i="1"/>
  <c r="AN94" i="1"/>
  <c r="K95" i="1"/>
  <c r="AK95" i="1"/>
  <c r="AO95" i="1" a="1"/>
  <c r="AO95" i="1" s="1"/>
  <c r="AQ95" i="1"/>
  <c r="L96" i="1"/>
  <c r="O96" i="1" a="1"/>
  <c r="O96" i="1" s="1"/>
  <c r="Q96" i="1" s="1"/>
  <c r="R96" i="1" s="1"/>
  <c r="AL96" i="1"/>
  <c r="M97" i="1"/>
  <c r="AM97" i="1"/>
  <c r="AP97" i="1" a="1"/>
  <c r="AP97" i="1" s="1"/>
  <c r="AR97" i="1" s="1"/>
  <c r="AS97" i="1" s="1"/>
  <c r="J98" i="1"/>
  <c r="N98" i="1" a="1"/>
  <c r="N98" i="1" s="1"/>
  <c r="P98" i="1"/>
  <c r="AN98" i="1"/>
  <c r="K99" i="1"/>
  <c r="AK99" i="1"/>
  <c r="AO99" i="1" a="1"/>
  <c r="AO99" i="1" s="1"/>
  <c r="AQ99" i="1"/>
  <c r="L100" i="1"/>
  <c r="O100" i="1" a="1"/>
  <c r="O100" i="1" s="1"/>
  <c r="AL100" i="1"/>
  <c r="M101" i="1"/>
  <c r="AM101" i="1"/>
  <c r="AP101" i="1" a="1"/>
  <c r="AP101" i="1" s="1"/>
  <c r="J102" i="1"/>
  <c r="N102" i="1" a="1"/>
  <c r="N102" i="1" s="1"/>
  <c r="P102" i="1"/>
  <c r="AN102" i="1"/>
  <c r="K103" i="1"/>
  <c r="AK103" i="1"/>
  <c r="AO103" i="1" a="1"/>
  <c r="AO103" i="1" s="1"/>
  <c r="AQ103" i="1"/>
  <c r="L104" i="1"/>
  <c r="O104" i="1" a="1"/>
  <c r="O104" i="1" s="1"/>
  <c r="Q104" i="1" s="1"/>
  <c r="R104" i="1" s="1"/>
  <c r="AL104" i="1"/>
  <c r="M105" i="1"/>
  <c r="AM105" i="1"/>
  <c r="AP105" i="1" a="1"/>
  <c r="AP105" i="1" s="1"/>
  <c r="AR105" i="1" s="1"/>
  <c r="AS105" i="1" s="1"/>
  <c r="J106" i="1"/>
  <c r="N106" i="1" a="1"/>
  <c r="N106" i="1" s="1"/>
  <c r="P106" i="1"/>
  <c r="AN106" i="1"/>
  <c r="K107" i="1"/>
  <c r="AK107" i="1"/>
  <c r="AO107" i="1" a="1"/>
  <c r="AO107" i="1" s="1"/>
  <c r="AQ107" i="1"/>
  <c r="L108" i="1"/>
  <c r="O108" i="1" a="1"/>
  <c r="O108" i="1" s="1"/>
  <c r="AL108" i="1"/>
  <c r="M109" i="1"/>
  <c r="AM109" i="1"/>
  <c r="AP109" i="1" a="1"/>
  <c r="AP109" i="1" s="1"/>
  <c r="J110" i="1"/>
  <c r="N110" i="1" a="1"/>
  <c r="N110" i="1" s="1"/>
  <c r="P110" i="1"/>
  <c r="AN110" i="1"/>
  <c r="K111" i="1"/>
  <c r="AK111" i="1"/>
  <c r="AO111" i="1" a="1"/>
  <c r="AO111" i="1" s="1"/>
  <c r="AQ111" i="1"/>
  <c r="L112" i="1"/>
  <c r="O112" i="1" a="1"/>
  <c r="O112" i="1" s="1"/>
  <c r="Q112" i="1" s="1"/>
  <c r="R112" i="1" s="1"/>
  <c r="AL112" i="1"/>
  <c r="M113" i="1"/>
  <c r="AM113" i="1"/>
  <c r="AP113" i="1" a="1"/>
  <c r="AP113" i="1" s="1"/>
  <c r="AR113" i="1" s="1"/>
  <c r="AS113" i="1" s="1"/>
  <c r="J114" i="1"/>
  <c r="N114" i="1" a="1"/>
  <c r="N114" i="1" s="1"/>
  <c r="P114" i="1"/>
  <c r="AN114" i="1"/>
  <c r="K115" i="1"/>
  <c r="AK115" i="1"/>
  <c r="AO115" i="1" a="1"/>
  <c r="AO115" i="1" s="1"/>
  <c r="AQ115" i="1"/>
  <c r="L116" i="1"/>
  <c r="O116" i="1" a="1"/>
  <c r="O116" i="1" s="1"/>
  <c r="N117" i="1" a="1"/>
  <c r="N117" i="1" s="1"/>
  <c r="AM117" i="1"/>
  <c r="AR117" i="1" s="1"/>
  <c r="AS117" i="1" s="1"/>
  <c r="L118" i="1"/>
  <c r="P118" i="1"/>
  <c r="AO118" i="1" a="1"/>
  <c r="AO118" i="1" s="1"/>
  <c r="P119" i="1"/>
  <c r="N119" i="1" a="1"/>
  <c r="N119" i="1" s="1"/>
  <c r="J119" i="1"/>
  <c r="M118" i="1"/>
  <c r="L119" i="1"/>
  <c r="Q119" i="1" s="1"/>
  <c r="R119" i="1" s="1"/>
  <c r="AO119" i="1" a="1"/>
  <c r="AO119" i="1" s="1"/>
  <c r="N120" i="1" a="1"/>
  <c r="N120" i="1" s="1"/>
  <c r="AQ120" i="1"/>
  <c r="AO120" i="1" a="1"/>
  <c r="AO120" i="1" s="1"/>
  <c r="AK120" i="1"/>
  <c r="AN119" i="1"/>
  <c r="AM120" i="1"/>
  <c r="AR120" i="1" s="1"/>
  <c r="AS120" i="1" s="1"/>
  <c r="M121" i="1"/>
  <c r="P121" i="1"/>
  <c r="AP121" i="1" a="1"/>
  <c r="AP121" i="1" s="1"/>
  <c r="O121" i="1" a="1"/>
  <c r="O121" i="1" s="1"/>
  <c r="L121" i="1"/>
  <c r="K122" i="1"/>
  <c r="O122" i="1" a="1"/>
  <c r="O122" i="1" s="1"/>
  <c r="Q122" i="1" s="1"/>
  <c r="R122" i="1" s="1"/>
  <c r="AN122" i="1"/>
  <c r="AQ122" i="1"/>
  <c r="K123" i="1"/>
  <c r="AM123" i="1"/>
  <c r="AQ123" i="1"/>
  <c r="AL124" i="1"/>
  <c r="K125" i="1"/>
  <c r="AL126" i="1"/>
  <c r="AP126" i="1" a="1"/>
  <c r="AP126" i="1" s="1"/>
  <c r="AM126" i="1"/>
  <c r="AL127" i="1"/>
  <c r="AP127" i="1" a="1"/>
  <c r="AP127" i="1" s="1"/>
  <c r="L128" i="1"/>
  <c r="Q128" i="1" s="1"/>
  <c r="R128" i="1" s="1"/>
  <c r="J129" i="1"/>
  <c r="AN129" i="1"/>
  <c r="AQ129" i="1"/>
  <c r="N130" i="1" a="1"/>
  <c r="N130" i="1" s="1"/>
  <c r="AK130" i="1"/>
  <c r="AM131" i="1"/>
  <c r="AO133" i="1" a="1"/>
  <c r="AO133" i="1" s="1"/>
  <c r="L134" i="1"/>
  <c r="AP135" i="1" a="1"/>
  <c r="AP135" i="1" s="1"/>
  <c r="AR135" i="1" s="1"/>
  <c r="AS135" i="1" s="1"/>
  <c r="P137" i="1"/>
  <c r="AM139" i="1"/>
  <c r="AR143" i="1"/>
  <c r="AS143" i="1" s="1"/>
  <c r="AR147" i="1"/>
  <c r="AS147" i="1" s="1"/>
  <c r="O149" i="1" a="1"/>
  <c r="O149" i="1" s="1"/>
  <c r="L149" i="1"/>
  <c r="J150" i="1"/>
  <c r="K149" i="1"/>
  <c r="P150" i="1"/>
  <c r="N149" i="1" a="1"/>
  <c r="N149" i="1" s="1"/>
  <c r="M149" i="1"/>
  <c r="P149" i="1"/>
  <c r="P151" i="1"/>
  <c r="N151" i="1" a="1"/>
  <c r="N151" i="1" s="1"/>
  <c r="J151" i="1"/>
  <c r="M150" i="1"/>
  <c r="K151" i="1"/>
  <c r="K150" i="1"/>
  <c r="O151" i="1" a="1"/>
  <c r="O151" i="1" s="1"/>
  <c r="Q151" i="1" s="1"/>
  <c r="R151" i="1" s="1"/>
  <c r="O150" i="1" a="1"/>
  <c r="O150" i="1" s="1"/>
  <c r="Q150" i="1" s="1"/>
  <c r="R150" i="1" s="1"/>
  <c r="M151" i="1"/>
  <c r="N150" i="1" a="1"/>
  <c r="N150" i="1" s="1"/>
  <c r="AP157" i="1" a="1"/>
  <c r="AP157" i="1" s="1"/>
  <c r="O169" i="1" a="1"/>
  <c r="O169" i="1" s="1"/>
  <c r="L169" i="1"/>
  <c r="J170" i="1"/>
  <c r="M169" i="1"/>
  <c r="P169" i="1"/>
  <c r="K169" i="1"/>
  <c r="L170" i="1"/>
  <c r="P170" i="1"/>
  <c r="K176" i="1"/>
  <c r="P177" i="1"/>
  <c r="M177" i="1"/>
  <c r="N176" i="1" a="1"/>
  <c r="N176" i="1" s="1"/>
  <c r="J177" i="1"/>
  <c r="P176" i="1"/>
  <c r="L176" i="1"/>
  <c r="N177" i="1" a="1"/>
  <c r="N177" i="1" s="1"/>
  <c r="O176" i="1" a="1"/>
  <c r="O176" i="1" s="1"/>
  <c r="AR185" i="1"/>
  <c r="AS185" i="1" s="1"/>
  <c r="N188" i="1" a="1"/>
  <c r="N188" i="1" s="1"/>
  <c r="AL193" i="1"/>
  <c r="AQ194" i="1"/>
  <c r="AP193" i="1" a="1"/>
  <c r="AP193" i="1" s="1"/>
  <c r="AK194" i="1"/>
  <c r="AO193" i="1" a="1"/>
  <c r="AO193" i="1" s="1"/>
  <c r="AN193" i="1"/>
  <c r="AQ193" i="1"/>
  <c r="AM193" i="1"/>
  <c r="P195" i="1"/>
  <c r="N195" i="1" a="1"/>
  <c r="N195" i="1" s="1"/>
  <c r="J195" i="1"/>
  <c r="M194" i="1"/>
  <c r="O195" i="1" a="1"/>
  <c r="O195" i="1" s="1"/>
  <c r="K195" i="1"/>
  <c r="O194" i="1" a="1"/>
  <c r="O194" i="1" s="1"/>
  <c r="K194" i="1"/>
  <c r="L195" i="1"/>
  <c r="L194" i="1"/>
  <c r="P194" i="1"/>
  <c r="AP194" i="1" a="1"/>
  <c r="AP194" i="1" s="1"/>
  <c r="AM194" i="1"/>
  <c r="AQ195" i="1"/>
  <c r="AN194" i="1"/>
  <c r="AK195" i="1"/>
  <c r="AO194" i="1" a="1"/>
  <c r="AO194" i="1" s="1"/>
  <c r="O213" i="1" a="1"/>
  <c r="O213" i="1" s="1"/>
  <c r="L213" i="1"/>
  <c r="J214" i="1"/>
  <c r="K213" i="1"/>
  <c r="P214" i="1"/>
  <c r="N213" i="1" a="1"/>
  <c r="N213" i="1" s="1"/>
  <c r="M213" i="1"/>
  <c r="P213" i="1"/>
  <c r="AP221" i="1" a="1"/>
  <c r="AP221" i="1" s="1"/>
  <c r="O237" i="1" a="1"/>
  <c r="O237" i="1" s="1"/>
  <c r="L237" i="1"/>
  <c r="P238" i="1"/>
  <c r="L238" i="1"/>
  <c r="N237" i="1" a="1"/>
  <c r="N237" i="1" s="1"/>
  <c r="O238" i="1" a="1"/>
  <c r="O238" i="1" s="1"/>
  <c r="J238" i="1"/>
  <c r="K237" i="1"/>
  <c r="N238" i="1" a="1"/>
  <c r="N238" i="1" s="1"/>
  <c r="K248" i="1"/>
  <c r="J249" i="1"/>
  <c r="L248" i="1"/>
  <c r="O248" i="1" a="1"/>
  <c r="O248" i="1" s="1"/>
  <c r="M248" i="1"/>
  <c r="P249" i="1"/>
  <c r="P248" i="1"/>
  <c r="AL249" i="1"/>
  <c r="AK250" i="1"/>
  <c r="AQ249" i="1"/>
  <c r="AN249" i="1"/>
  <c r="AM249" i="1"/>
  <c r="AP249" i="1" a="1"/>
  <c r="AP249" i="1" s="1"/>
  <c r="AR249" i="1" s="1"/>
  <c r="AS249" i="1" s="1"/>
  <c r="AQ250" i="1"/>
  <c r="AO249" i="1" a="1"/>
  <c r="AO249" i="1" s="1"/>
  <c r="AP250" i="1" a="1"/>
  <c r="AP250" i="1" s="1"/>
  <c r="AM250" i="1"/>
  <c r="AK251" i="1"/>
  <c r="AO251" i="1" a="1"/>
  <c r="AO251" i="1" s="1"/>
  <c r="AO250" i="1" a="1"/>
  <c r="AO250" i="1" s="1"/>
  <c r="AL251" i="1"/>
  <c r="AL250" i="1"/>
  <c r="AQ251" i="1"/>
  <c r="AP251" i="1" a="1"/>
  <c r="AP251" i="1" s="1"/>
  <c r="AR251" i="1" s="1"/>
  <c r="AS251" i="1" s="1"/>
  <c r="K252" i="1"/>
  <c r="O252" i="1" a="1"/>
  <c r="O252" i="1" s="1"/>
  <c r="P253" i="1"/>
  <c r="M253" i="1"/>
  <c r="N252" i="1" a="1"/>
  <c r="N252" i="1" s="1"/>
  <c r="J253" i="1"/>
  <c r="M252" i="1"/>
  <c r="L252" i="1"/>
  <c r="P252" i="1"/>
  <c r="P259" i="1"/>
  <c r="N259" i="1" a="1"/>
  <c r="N259" i="1" s="1"/>
  <c r="J259" i="1"/>
  <c r="M258" i="1"/>
  <c r="O259" i="1" a="1"/>
  <c r="O259" i="1" s="1"/>
  <c r="K259" i="1"/>
  <c r="O258" i="1" a="1"/>
  <c r="O258" i="1" s="1"/>
  <c r="K258" i="1"/>
  <c r="M259" i="1"/>
  <c r="N258" i="1" a="1"/>
  <c r="N258" i="1" s="1"/>
  <c r="L259" i="1"/>
  <c r="P258" i="1"/>
  <c r="L258" i="1"/>
  <c r="O380" i="1" a="1"/>
  <c r="O380" i="1" s="1"/>
  <c r="L380" i="1"/>
  <c r="K380" i="1"/>
  <c r="M380" i="1"/>
  <c r="P380" i="1"/>
  <c r="J381" i="1"/>
  <c r="P381" i="1"/>
  <c r="N380" i="1" a="1"/>
  <c r="N380" i="1" s="1"/>
  <c r="K381" i="1"/>
  <c r="J36" i="1"/>
  <c r="N36" i="1" a="1"/>
  <c r="N36" i="1" s="1"/>
  <c r="BH36" i="1"/>
  <c r="J37" i="1"/>
  <c r="N37" i="1" a="1"/>
  <c r="N37" i="1" s="1"/>
  <c r="J38" i="1"/>
  <c r="N38" i="1" a="1"/>
  <c r="N38" i="1" s="1"/>
  <c r="J39" i="1"/>
  <c r="N39" i="1" a="1"/>
  <c r="N39" i="1" s="1"/>
  <c r="J40" i="1"/>
  <c r="M68" i="1"/>
  <c r="J69" i="1"/>
  <c r="N69" i="1" a="1"/>
  <c r="N69" i="1" s="1"/>
  <c r="P69" i="1"/>
  <c r="AN69" i="1"/>
  <c r="AK70" i="1"/>
  <c r="AO70" i="1" a="1"/>
  <c r="AO70" i="1" s="1"/>
  <c r="AQ70" i="1"/>
  <c r="M72" i="1"/>
  <c r="J73" i="1"/>
  <c r="N73" i="1" a="1"/>
  <c r="N73" i="1" s="1"/>
  <c r="P73" i="1"/>
  <c r="AN73" i="1"/>
  <c r="AK74" i="1"/>
  <c r="AO74" i="1" a="1"/>
  <c r="AO74" i="1" s="1"/>
  <c r="AQ74" i="1"/>
  <c r="M76" i="1"/>
  <c r="J77" i="1"/>
  <c r="N77" i="1" a="1"/>
  <c r="N77" i="1" s="1"/>
  <c r="P77" i="1"/>
  <c r="AN77" i="1"/>
  <c r="AK78" i="1"/>
  <c r="AO78" i="1" a="1"/>
  <c r="AO78" i="1" s="1"/>
  <c r="AQ78" i="1"/>
  <c r="M80" i="1"/>
  <c r="J81" i="1"/>
  <c r="N81" i="1" a="1"/>
  <c r="N81" i="1" s="1"/>
  <c r="P81" i="1"/>
  <c r="AN81" i="1"/>
  <c r="AK82" i="1"/>
  <c r="AO82" i="1" a="1"/>
  <c r="AO82" i="1" s="1"/>
  <c r="AQ82" i="1"/>
  <c r="M84" i="1"/>
  <c r="J85" i="1"/>
  <c r="N85" i="1" a="1"/>
  <c r="N85" i="1" s="1"/>
  <c r="P85" i="1"/>
  <c r="AN85" i="1"/>
  <c r="AK86" i="1"/>
  <c r="AO86" i="1" a="1"/>
  <c r="AO86" i="1" s="1"/>
  <c r="AQ86" i="1"/>
  <c r="M88" i="1"/>
  <c r="AM88" i="1"/>
  <c r="AP88" i="1" a="1"/>
  <c r="AP88" i="1" s="1"/>
  <c r="J89" i="1"/>
  <c r="N89" i="1" a="1"/>
  <c r="N89" i="1" s="1"/>
  <c r="P89" i="1"/>
  <c r="AN89" i="1"/>
  <c r="AK90" i="1"/>
  <c r="AO90" i="1" a="1"/>
  <c r="AO90" i="1" s="1"/>
  <c r="AQ90" i="1"/>
  <c r="L91" i="1"/>
  <c r="O91" i="1" a="1"/>
  <c r="O91" i="1" s="1"/>
  <c r="M92" i="1"/>
  <c r="AM92" i="1"/>
  <c r="AP92" i="1" a="1"/>
  <c r="AP92" i="1" s="1"/>
  <c r="J93" i="1"/>
  <c r="N93" i="1" a="1"/>
  <c r="N93" i="1" s="1"/>
  <c r="P93" i="1"/>
  <c r="AN93" i="1"/>
  <c r="AK94" i="1"/>
  <c r="AO94" i="1" a="1"/>
  <c r="AO94" i="1" s="1"/>
  <c r="AQ94" i="1"/>
  <c r="L95" i="1"/>
  <c r="O95" i="1" a="1"/>
  <c r="O95" i="1" s="1"/>
  <c r="M96" i="1"/>
  <c r="AM96" i="1"/>
  <c r="AP96" i="1" a="1"/>
  <c r="AP96" i="1" s="1"/>
  <c r="J97" i="1"/>
  <c r="N97" i="1" a="1"/>
  <c r="N97" i="1" s="1"/>
  <c r="P97" i="1"/>
  <c r="AN97" i="1"/>
  <c r="AK98" i="1"/>
  <c r="AO98" i="1" a="1"/>
  <c r="AO98" i="1" s="1"/>
  <c r="AQ98" i="1"/>
  <c r="L99" i="1"/>
  <c r="O99" i="1" a="1"/>
  <c r="O99" i="1" s="1"/>
  <c r="M100" i="1"/>
  <c r="AM100" i="1"/>
  <c r="AP100" i="1" a="1"/>
  <c r="AP100" i="1" s="1"/>
  <c r="J101" i="1"/>
  <c r="N101" i="1" a="1"/>
  <c r="N101" i="1" s="1"/>
  <c r="P101" i="1"/>
  <c r="AN101" i="1"/>
  <c r="AK102" i="1"/>
  <c r="AO102" i="1" a="1"/>
  <c r="AO102" i="1" s="1"/>
  <c r="AQ102" i="1"/>
  <c r="L103" i="1"/>
  <c r="O103" i="1" a="1"/>
  <c r="O103" i="1" s="1"/>
  <c r="M104" i="1"/>
  <c r="AM104" i="1"/>
  <c r="AP104" i="1" a="1"/>
  <c r="AP104" i="1" s="1"/>
  <c r="J105" i="1"/>
  <c r="N105" i="1" a="1"/>
  <c r="N105" i="1" s="1"/>
  <c r="P105" i="1"/>
  <c r="AN105" i="1"/>
  <c r="AK106" i="1"/>
  <c r="AO106" i="1" a="1"/>
  <c r="AO106" i="1" s="1"/>
  <c r="AQ106" i="1"/>
  <c r="L107" i="1"/>
  <c r="O107" i="1" a="1"/>
  <c r="O107" i="1" s="1"/>
  <c r="M108" i="1"/>
  <c r="AM108" i="1"/>
  <c r="AP108" i="1" a="1"/>
  <c r="AP108" i="1" s="1"/>
  <c r="J109" i="1"/>
  <c r="N109" i="1" a="1"/>
  <c r="N109" i="1" s="1"/>
  <c r="P109" i="1"/>
  <c r="AN109" i="1"/>
  <c r="AK110" i="1"/>
  <c r="AO110" i="1" a="1"/>
  <c r="AO110" i="1" s="1"/>
  <c r="AQ110" i="1"/>
  <c r="L111" i="1"/>
  <c r="O111" i="1" a="1"/>
  <c r="O111" i="1" s="1"/>
  <c r="M112" i="1"/>
  <c r="AM112" i="1"/>
  <c r="AP112" i="1" a="1"/>
  <c r="AP112" i="1" s="1"/>
  <c r="J113" i="1"/>
  <c r="N113" i="1" a="1"/>
  <c r="N113" i="1" s="1"/>
  <c r="P113" i="1"/>
  <c r="AN113" i="1"/>
  <c r="AK114" i="1"/>
  <c r="AO114" i="1" a="1"/>
  <c r="AO114" i="1" s="1"/>
  <c r="AQ114" i="1"/>
  <c r="L115" i="1"/>
  <c r="O115" i="1" a="1"/>
  <c r="O115" i="1" s="1"/>
  <c r="M116" i="1"/>
  <c r="AN117" i="1"/>
  <c r="AQ117" i="1"/>
  <c r="N118" i="1" a="1"/>
  <c r="N118" i="1" s="1"/>
  <c r="AK118" i="1"/>
  <c r="O120" i="1" a="1"/>
  <c r="O120" i="1" s="1"/>
  <c r="N121" i="1" a="1"/>
  <c r="N121" i="1" s="1"/>
  <c r="AM121" i="1"/>
  <c r="AO122" i="1" a="1"/>
  <c r="AO122" i="1" s="1"/>
  <c r="P123" i="1"/>
  <c r="N123" i="1" a="1"/>
  <c r="N123" i="1" s="1"/>
  <c r="J123" i="1"/>
  <c r="M122" i="1"/>
  <c r="L123" i="1"/>
  <c r="Q123" i="1" s="1"/>
  <c r="R123" i="1" s="1"/>
  <c r="AO123" i="1" a="1"/>
  <c r="AO123" i="1" s="1"/>
  <c r="AQ124" i="1"/>
  <c r="AO124" i="1" a="1"/>
  <c r="AO124" i="1" s="1"/>
  <c r="AK124" i="1"/>
  <c r="AN123" i="1"/>
  <c r="AM124" i="1"/>
  <c r="AR124" i="1" s="1"/>
  <c r="AS124" i="1" s="1"/>
  <c r="O125" i="1" a="1"/>
  <c r="O125" i="1" s="1"/>
  <c r="Q125" i="1" s="1"/>
  <c r="R125" i="1" s="1"/>
  <c r="L125" i="1"/>
  <c r="K126" i="1"/>
  <c r="O126" i="1" a="1"/>
  <c r="O126" i="1" s="1"/>
  <c r="Q126" i="1" s="1"/>
  <c r="R126" i="1" s="1"/>
  <c r="K127" i="1"/>
  <c r="AM127" i="1"/>
  <c r="AQ127" i="1"/>
  <c r="AL128" i="1"/>
  <c r="K129" i="1"/>
  <c r="AL130" i="1"/>
  <c r="L132" i="1"/>
  <c r="P132" i="1"/>
  <c r="AL133" i="1"/>
  <c r="AQ134" i="1"/>
  <c r="AP133" i="1" a="1"/>
  <c r="AP133" i="1" s="1"/>
  <c r="AR133" i="1" s="1"/>
  <c r="AS133" i="1" s="1"/>
  <c r="AL134" i="1"/>
  <c r="P135" i="1"/>
  <c r="N135" i="1" a="1"/>
  <c r="N135" i="1" s="1"/>
  <c r="J135" i="1"/>
  <c r="M134" i="1"/>
  <c r="O135" i="1" a="1"/>
  <c r="O135" i="1" s="1"/>
  <c r="Q135" i="1" s="1"/>
  <c r="R135" i="1" s="1"/>
  <c r="K135" i="1"/>
  <c r="O134" i="1" a="1"/>
  <c r="O134" i="1" s="1"/>
  <c r="K134" i="1"/>
  <c r="M135" i="1"/>
  <c r="Q136" i="1"/>
  <c r="R136" i="1" s="1"/>
  <c r="O137" i="1" a="1"/>
  <c r="O137" i="1" s="1"/>
  <c r="L137" i="1"/>
  <c r="J138" i="1"/>
  <c r="K137" i="1"/>
  <c r="P138" i="1"/>
  <c r="L138" i="1"/>
  <c r="Q138" i="1" s="1"/>
  <c r="R138" i="1" s="1"/>
  <c r="N137" i="1" a="1"/>
  <c r="N137" i="1" s="1"/>
  <c r="N138" i="1" a="1"/>
  <c r="N138" i="1" s="1"/>
  <c r="M141" i="1"/>
  <c r="L154" i="1"/>
  <c r="AN154" i="1"/>
  <c r="AP158" i="1" a="1"/>
  <c r="AP158" i="1" s="1"/>
  <c r="AM158" i="1"/>
  <c r="AO159" i="1" a="1"/>
  <c r="AO159" i="1" s="1"/>
  <c r="AO158" i="1" a="1"/>
  <c r="AO158" i="1" s="1"/>
  <c r="AP159" i="1" a="1"/>
  <c r="AP159" i="1" s="1"/>
  <c r="AK159" i="1"/>
  <c r="AM159" i="1"/>
  <c r="AN158" i="1"/>
  <c r="AQ159" i="1"/>
  <c r="O173" i="1" a="1"/>
  <c r="O173" i="1" s="1"/>
  <c r="L173" i="1"/>
  <c r="P174" i="1"/>
  <c r="L174" i="1"/>
  <c r="N173" i="1" a="1"/>
  <c r="N173" i="1" s="1"/>
  <c r="O174" i="1" a="1"/>
  <c r="O174" i="1" s="1"/>
  <c r="J174" i="1"/>
  <c r="K173" i="1"/>
  <c r="N174" i="1" a="1"/>
  <c r="N174" i="1" s="1"/>
  <c r="Q192" i="1"/>
  <c r="R192" i="1" s="1"/>
  <c r="AQ204" i="1"/>
  <c r="AO204" i="1" a="1"/>
  <c r="AO204" i="1" s="1"/>
  <c r="AK204" i="1"/>
  <c r="AN203" i="1"/>
  <c r="AN204" i="1"/>
  <c r="AL204" i="1"/>
  <c r="AM203" i="1"/>
  <c r="AP204" i="1" a="1"/>
  <c r="AP204" i="1" s="1"/>
  <c r="AR204" i="1" s="1"/>
  <c r="AS204" i="1" s="1"/>
  <c r="AQ203" i="1"/>
  <c r="AL203" i="1"/>
  <c r="AP203" i="1" a="1"/>
  <c r="AP203" i="1" s="1"/>
  <c r="AR203" i="1" s="1"/>
  <c r="AS203" i="1" s="1"/>
  <c r="AR216" i="1"/>
  <c r="AS216" i="1" s="1"/>
  <c r="L218" i="1"/>
  <c r="AN218" i="1"/>
  <c r="AP222" i="1" a="1"/>
  <c r="AP222" i="1" s="1"/>
  <c r="AM222" i="1"/>
  <c r="AO223" i="1" a="1"/>
  <c r="AO223" i="1" s="1"/>
  <c r="AO222" i="1" a="1"/>
  <c r="AO222" i="1" s="1"/>
  <c r="AP223" i="1" a="1"/>
  <c r="AP223" i="1" s="1"/>
  <c r="AK223" i="1"/>
  <c r="AM223" i="1"/>
  <c r="AN222" i="1"/>
  <c r="AQ223" i="1"/>
  <c r="N233" i="1" a="1"/>
  <c r="N233" i="1" s="1"/>
  <c r="AR245" i="1"/>
  <c r="AS245" i="1" s="1"/>
  <c r="AL265" i="1"/>
  <c r="AK266" i="1"/>
  <c r="AQ265" i="1"/>
  <c r="AN265" i="1"/>
  <c r="AM265" i="1"/>
  <c r="AQ266" i="1"/>
  <c r="AP265" i="1" a="1"/>
  <c r="AP265" i="1" s="1"/>
  <c r="AL266" i="1"/>
  <c r="AO265" i="1" a="1"/>
  <c r="AO265" i="1" s="1"/>
  <c r="P330" i="1"/>
  <c r="N330" i="1" a="1"/>
  <c r="N330" i="1" s="1"/>
  <c r="J330" i="1"/>
  <c r="M329" i="1"/>
  <c r="M330" i="1"/>
  <c r="N329" i="1" a="1"/>
  <c r="N329" i="1" s="1"/>
  <c r="K330" i="1"/>
  <c r="L329" i="1"/>
  <c r="K329" i="1"/>
  <c r="O330" i="1" a="1"/>
  <c r="O330" i="1" s="1"/>
  <c r="P329" i="1"/>
  <c r="L330" i="1"/>
  <c r="O329" i="1" a="1"/>
  <c r="O329" i="1" s="1"/>
  <c r="Q329" i="1" s="1"/>
  <c r="R329" i="1" s="1"/>
  <c r="AL352" i="1"/>
  <c r="AM352" i="1"/>
  <c r="AQ353" i="1"/>
  <c r="AP352" i="1" a="1"/>
  <c r="AP352" i="1" s="1"/>
  <c r="AR352" i="1" s="1"/>
  <c r="AS352" i="1" s="1"/>
  <c r="AK353" i="1"/>
  <c r="AQ352" i="1"/>
  <c r="AO352" i="1" a="1"/>
  <c r="AO352" i="1" s="1"/>
  <c r="AN352" i="1"/>
  <c r="AL353" i="1"/>
  <c r="O388" i="1" a="1"/>
  <c r="O388" i="1" s="1"/>
  <c r="L388" i="1"/>
  <c r="K388" i="1"/>
  <c r="M388" i="1"/>
  <c r="P388" i="1"/>
  <c r="J389" i="1"/>
  <c r="P389" i="1"/>
  <c r="N388" i="1" a="1"/>
  <c r="N388" i="1" s="1"/>
  <c r="K389" i="1"/>
  <c r="AN88" i="1"/>
  <c r="AK89" i="1"/>
  <c r="AO89" i="1" a="1"/>
  <c r="AO89" i="1" s="1"/>
  <c r="M91" i="1"/>
  <c r="J92" i="1"/>
  <c r="N92" i="1" a="1"/>
  <c r="N92" i="1" s="1"/>
  <c r="AN92" i="1"/>
  <c r="AK93" i="1"/>
  <c r="AO93" i="1" a="1"/>
  <c r="AO93" i="1" s="1"/>
  <c r="M95" i="1"/>
  <c r="J96" i="1"/>
  <c r="N96" i="1" a="1"/>
  <c r="N96" i="1" s="1"/>
  <c r="AN96" i="1"/>
  <c r="AK97" i="1"/>
  <c r="AO97" i="1" a="1"/>
  <c r="AO97" i="1" s="1"/>
  <c r="M99" i="1"/>
  <c r="J100" i="1"/>
  <c r="N100" i="1" a="1"/>
  <c r="N100" i="1" s="1"/>
  <c r="AN100" i="1"/>
  <c r="AK101" i="1"/>
  <c r="AO101" i="1" a="1"/>
  <c r="AO101" i="1" s="1"/>
  <c r="M103" i="1"/>
  <c r="J104" i="1"/>
  <c r="N104" i="1" a="1"/>
  <c r="N104" i="1" s="1"/>
  <c r="AN104" i="1"/>
  <c r="AK105" i="1"/>
  <c r="AO105" i="1" a="1"/>
  <c r="AO105" i="1" s="1"/>
  <c r="M107" i="1"/>
  <c r="J108" i="1"/>
  <c r="N108" i="1" a="1"/>
  <c r="N108" i="1" s="1"/>
  <c r="AN108" i="1"/>
  <c r="AK109" i="1"/>
  <c r="AO109" i="1" a="1"/>
  <c r="AO109" i="1" s="1"/>
  <c r="M111" i="1"/>
  <c r="J112" i="1"/>
  <c r="N112" i="1" a="1"/>
  <c r="N112" i="1" s="1"/>
  <c r="AN112" i="1"/>
  <c r="AK113" i="1"/>
  <c r="AO113" i="1" a="1"/>
  <c r="AO113" i="1" s="1"/>
  <c r="M115" i="1"/>
  <c r="J116" i="1"/>
  <c r="N116" i="1" a="1"/>
  <c r="N116" i="1" s="1"/>
  <c r="K117" i="1"/>
  <c r="J118" i="1"/>
  <c r="AL118" i="1"/>
  <c r="AP118" i="1" a="1"/>
  <c r="AP118" i="1" s="1"/>
  <c r="AM118" i="1"/>
  <c r="AL119" i="1"/>
  <c r="AP119" i="1" a="1"/>
  <c r="AP119" i="1" s="1"/>
  <c r="AR119" i="1" s="1"/>
  <c r="AS119" i="1" s="1"/>
  <c r="L120" i="1"/>
  <c r="J121" i="1"/>
  <c r="AN121" i="1"/>
  <c r="AQ121" i="1"/>
  <c r="AK122" i="1"/>
  <c r="AK123" i="1"/>
  <c r="AR125" i="1"/>
  <c r="AS125" i="1" s="1"/>
  <c r="P127" i="1"/>
  <c r="N127" i="1" a="1"/>
  <c r="N127" i="1" s="1"/>
  <c r="J127" i="1"/>
  <c r="M126" i="1"/>
  <c r="L127" i="1"/>
  <c r="Q127" i="1" s="1"/>
  <c r="R127" i="1" s="1"/>
  <c r="AQ128" i="1"/>
  <c r="AO128" i="1" a="1"/>
  <c r="AO128" i="1" s="1"/>
  <c r="AK128" i="1"/>
  <c r="AN127" i="1"/>
  <c r="AM128" i="1"/>
  <c r="AR128" i="1" s="1"/>
  <c r="AS128" i="1" s="1"/>
  <c r="M130" i="1"/>
  <c r="O129" i="1" a="1"/>
  <c r="O129" i="1" s="1"/>
  <c r="L129" i="1"/>
  <c r="K130" i="1"/>
  <c r="O130" i="1" a="1"/>
  <c r="O130" i="1" s="1"/>
  <c r="AR131" i="1"/>
  <c r="AS131" i="1" s="1"/>
  <c r="K132" i="1"/>
  <c r="P133" i="1"/>
  <c r="M133" i="1"/>
  <c r="N132" i="1" a="1"/>
  <c r="N132" i="1" s="1"/>
  <c r="K133" i="1"/>
  <c r="O141" i="1" a="1"/>
  <c r="O141" i="1" s="1"/>
  <c r="L141" i="1"/>
  <c r="P142" i="1"/>
  <c r="L142" i="1"/>
  <c r="N141" i="1" a="1"/>
  <c r="N141" i="1" s="1"/>
  <c r="N142" i="1" a="1"/>
  <c r="N142" i="1" s="1"/>
  <c r="O142" i="1" a="1"/>
  <c r="O142" i="1" s="1"/>
  <c r="J142" i="1"/>
  <c r="K141" i="1"/>
  <c r="K144" i="1"/>
  <c r="P145" i="1"/>
  <c r="M145" i="1"/>
  <c r="N144" i="1" a="1"/>
  <c r="N144" i="1" s="1"/>
  <c r="N145" i="1" a="1"/>
  <c r="N145" i="1" s="1"/>
  <c r="O144" i="1" a="1"/>
  <c r="O144" i="1" s="1"/>
  <c r="J145" i="1"/>
  <c r="P144" i="1"/>
  <c r="L144" i="1"/>
  <c r="AL153" i="1"/>
  <c r="AK154" i="1"/>
  <c r="AQ153" i="1"/>
  <c r="AN153" i="1"/>
  <c r="AQ154" i="1"/>
  <c r="AO153" i="1" a="1"/>
  <c r="AO153" i="1" s="1"/>
  <c r="AM153" i="1"/>
  <c r="AR153" i="1" s="1"/>
  <c r="AS153" i="1" s="1"/>
  <c r="P155" i="1"/>
  <c r="N155" i="1" a="1"/>
  <c r="N155" i="1" s="1"/>
  <c r="J155" i="1"/>
  <c r="M154" i="1"/>
  <c r="M155" i="1"/>
  <c r="N154" i="1" a="1"/>
  <c r="N154" i="1" s="1"/>
  <c r="K155" i="1"/>
  <c r="K154" i="1"/>
  <c r="O155" i="1" a="1"/>
  <c r="O155" i="1" s="1"/>
  <c r="Q155" i="1" s="1"/>
  <c r="R155" i="1" s="1"/>
  <c r="O154" i="1" a="1"/>
  <c r="O154" i="1" s="1"/>
  <c r="AP154" i="1" a="1"/>
  <c r="AP154" i="1" s="1"/>
  <c r="AM154" i="1"/>
  <c r="AK155" i="1"/>
  <c r="AQ155" i="1"/>
  <c r="AL154" i="1"/>
  <c r="AP155" i="1" a="1"/>
  <c r="AP155" i="1" s="1"/>
  <c r="AR155" i="1" s="1"/>
  <c r="AS155" i="1" s="1"/>
  <c r="AO155" i="1" a="1"/>
  <c r="AO155" i="1" s="1"/>
  <c r="AO154" i="1" a="1"/>
  <c r="AO154" i="1" s="1"/>
  <c r="AQ196" i="1"/>
  <c r="AO196" i="1" a="1"/>
  <c r="AO196" i="1" s="1"/>
  <c r="AK196" i="1"/>
  <c r="AN195" i="1"/>
  <c r="AP196" i="1" a="1"/>
  <c r="AP196" i="1" s="1"/>
  <c r="AL196" i="1"/>
  <c r="AM195" i="1"/>
  <c r="AM196" i="1"/>
  <c r="AP195" i="1" a="1"/>
  <c r="AP195" i="1" s="1"/>
  <c r="AO195" i="1" a="1"/>
  <c r="AO195" i="1" s="1"/>
  <c r="L215" i="1"/>
  <c r="AL217" i="1"/>
  <c r="AK218" i="1"/>
  <c r="AQ217" i="1"/>
  <c r="AN217" i="1"/>
  <c r="AQ218" i="1"/>
  <c r="AO217" i="1" a="1"/>
  <c r="AO217" i="1" s="1"/>
  <c r="AM217" i="1"/>
  <c r="AR217" i="1" s="1"/>
  <c r="AS217" i="1" s="1"/>
  <c r="P219" i="1"/>
  <c r="N219" i="1" a="1"/>
  <c r="N219" i="1" s="1"/>
  <c r="J219" i="1"/>
  <c r="M218" i="1"/>
  <c r="M219" i="1"/>
  <c r="N218" i="1" a="1"/>
  <c r="N218" i="1" s="1"/>
  <c r="K219" i="1"/>
  <c r="K218" i="1"/>
  <c r="O219" i="1" a="1"/>
  <c r="O219" i="1" s="1"/>
  <c r="Q219" i="1" s="1"/>
  <c r="R219" i="1" s="1"/>
  <c r="O218" i="1" a="1"/>
  <c r="O218" i="1" s="1"/>
  <c r="AP218" i="1" a="1"/>
  <c r="AP218" i="1" s="1"/>
  <c r="AM218" i="1"/>
  <c r="AK219" i="1"/>
  <c r="AQ219" i="1"/>
  <c r="AL218" i="1"/>
  <c r="AP219" i="1" a="1"/>
  <c r="AP219" i="1" s="1"/>
  <c r="AR219" i="1" s="1"/>
  <c r="AS219" i="1" s="1"/>
  <c r="AO219" i="1" a="1"/>
  <c r="AO219" i="1" s="1"/>
  <c r="AO218" i="1" a="1"/>
  <c r="AO218" i="1" s="1"/>
  <c r="AL222" i="1"/>
  <c r="K234" i="1"/>
  <c r="K240" i="1"/>
  <c r="P241" i="1"/>
  <c r="M241" i="1"/>
  <c r="N240" i="1" a="1"/>
  <c r="N240" i="1" s="1"/>
  <c r="J241" i="1"/>
  <c r="P240" i="1"/>
  <c r="L240" i="1"/>
  <c r="N241" i="1" a="1"/>
  <c r="N241" i="1" s="1"/>
  <c r="O240" i="1" a="1"/>
  <c r="O240" i="1" s="1"/>
  <c r="O261" i="1" a="1"/>
  <c r="O261" i="1" s="1"/>
  <c r="L261" i="1"/>
  <c r="J262" i="1"/>
  <c r="K261" i="1"/>
  <c r="P262" i="1"/>
  <c r="L262" i="1"/>
  <c r="Q262" i="1" s="1"/>
  <c r="R262" i="1" s="1"/>
  <c r="N261" i="1" a="1"/>
  <c r="N261" i="1" s="1"/>
  <c r="K262" i="1"/>
  <c r="P261" i="1"/>
  <c r="M261" i="1"/>
  <c r="AP298" i="1" a="1"/>
  <c r="AP298" i="1" s="1"/>
  <c r="AR298" i="1" s="1"/>
  <c r="AS298" i="1" s="1"/>
  <c r="AM298" i="1"/>
  <c r="AK299" i="1"/>
  <c r="AO299" i="1" a="1"/>
  <c r="AO299" i="1" s="1"/>
  <c r="AO298" i="1" a="1"/>
  <c r="AO298" i="1" s="1"/>
  <c r="AQ299" i="1"/>
  <c r="AM299" i="1"/>
  <c r="AR299" i="1" s="1"/>
  <c r="AS299" i="1" s="1"/>
  <c r="AN298" i="1"/>
  <c r="AL299" i="1"/>
  <c r="AL298" i="1"/>
  <c r="AP321" i="1" a="1"/>
  <c r="AP321" i="1" s="1"/>
  <c r="AM321" i="1"/>
  <c r="AO322" i="1" a="1"/>
  <c r="AO322" i="1" s="1"/>
  <c r="AO321" i="1" a="1"/>
  <c r="AO321" i="1" s="1"/>
  <c r="AQ322" i="1"/>
  <c r="AM322" i="1"/>
  <c r="AN321" i="1"/>
  <c r="AK322" i="1"/>
  <c r="AP322" i="1" a="1"/>
  <c r="AP322" i="1" s="1"/>
  <c r="AL321" i="1"/>
  <c r="AL322" i="1"/>
  <c r="O364" i="1" a="1"/>
  <c r="O364" i="1" s="1"/>
  <c r="L364" i="1"/>
  <c r="N364" i="1" a="1"/>
  <c r="N364" i="1" s="1"/>
  <c r="J365" i="1"/>
  <c r="K364" i="1"/>
  <c r="P365" i="1"/>
  <c r="K365" i="1"/>
  <c r="M364" i="1"/>
  <c r="P139" i="1"/>
  <c r="N139" i="1" a="1"/>
  <c r="N139" i="1" s="1"/>
  <c r="J139" i="1"/>
  <c r="M138" i="1"/>
  <c r="L139" i="1"/>
  <c r="Q139" i="1" s="1"/>
  <c r="R139" i="1" s="1"/>
  <c r="K140" i="1"/>
  <c r="O140" i="1" a="1"/>
  <c r="O140" i="1" s="1"/>
  <c r="P141" i="1"/>
  <c r="AL145" i="1"/>
  <c r="AQ146" i="1"/>
  <c r="AP145" i="1" a="1"/>
  <c r="AP145" i="1" s="1"/>
  <c r="AR145" i="1" s="1"/>
  <c r="AS145" i="1" s="1"/>
  <c r="AL146" i="1"/>
  <c r="P147" i="1"/>
  <c r="N147" i="1" a="1"/>
  <c r="N147" i="1" s="1"/>
  <c r="J147" i="1"/>
  <c r="M146" i="1"/>
  <c r="O147" i="1" a="1"/>
  <c r="O147" i="1" s="1"/>
  <c r="Q147" i="1" s="1"/>
  <c r="R147" i="1" s="1"/>
  <c r="K147" i="1"/>
  <c r="O146" i="1" a="1"/>
  <c r="O146" i="1" s="1"/>
  <c r="Q146" i="1" s="1"/>
  <c r="R146" i="1" s="1"/>
  <c r="K146" i="1"/>
  <c r="M147" i="1"/>
  <c r="AP146" i="1" a="1"/>
  <c r="AP146" i="1" s="1"/>
  <c r="AM146" i="1"/>
  <c r="AQ147" i="1"/>
  <c r="AN146" i="1"/>
  <c r="AL147" i="1"/>
  <c r="AQ148" i="1"/>
  <c r="AO148" i="1" a="1"/>
  <c r="AO148" i="1" s="1"/>
  <c r="AK148" i="1"/>
  <c r="AN147" i="1"/>
  <c r="AP148" i="1" a="1"/>
  <c r="AP148" i="1" s="1"/>
  <c r="AR148" i="1" s="1"/>
  <c r="AS148" i="1" s="1"/>
  <c r="AL148" i="1"/>
  <c r="AM147" i="1"/>
  <c r="AN148" i="1"/>
  <c r="AO151" i="1" a="1"/>
  <c r="AO151" i="1" s="1"/>
  <c r="P152" i="1"/>
  <c r="K153" i="1"/>
  <c r="M156" i="1"/>
  <c r="AQ156" i="1"/>
  <c r="AO156" i="1" a="1"/>
  <c r="AO156" i="1" s="1"/>
  <c r="AK156" i="1"/>
  <c r="AN155" i="1"/>
  <c r="AN156" i="1"/>
  <c r="AM156" i="1"/>
  <c r="AO161" i="1" a="1"/>
  <c r="AO161" i="1" s="1"/>
  <c r="L162" i="1"/>
  <c r="AP163" i="1" a="1"/>
  <c r="AP163" i="1" s="1"/>
  <c r="O165" i="1" a="1"/>
  <c r="O165" i="1" s="1"/>
  <c r="Q165" i="1" s="1"/>
  <c r="R165" i="1" s="1"/>
  <c r="L165" i="1"/>
  <c r="J166" i="1"/>
  <c r="K165" i="1"/>
  <c r="L166" i="1"/>
  <c r="P167" i="1"/>
  <c r="N167" i="1" a="1"/>
  <c r="N167" i="1" s="1"/>
  <c r="J167" i="1"/>
  <c r="M166" i="1"/>
  <c r="L167" i="1"/>
  <c r="AL169" i="1"/>
  <c r="AK170" i="1"/>
  <c r="AQ169" i="1"/>
  <c r="AN169" i="1"/>
  <c r="AN170" i="1"/>
  <c r="P171" i="1"/>
  <c r="N171" i="1" a="1"/>
  <c r="N171" i="1" s="1"/>
  <c r="J171" i="1"/>
  <c r="M170" i="1"/>
  <c r="M171" i="1"/>
  <c r="N170" i="1" a="1"/>
  <c r="N170" i="1" s="1"/>
  <c r="L171" i="1"/>
  <c r="AP170" i="1" a="1"/>
  <c r="AP170" i="1" s="1"/>
  <c r="AM170" i="1"/>
  <c r="AK171" i="1"/>
  <c r="AM171" i="1"/>
  <c r="AL173" i="1"/>
  <c r="AM173" i="1"/>
  <c r="AR173" i="1" s="1"/>
  <c r="AS173" i="1" s="1"/>
  <c r="AL174" i="1"/>
  <c r="AQ174" i="1"/>
  <c r="AP174" i="1" a="1"/>
  <c r="AP174" i="1" s="1"/>
  <c r="AM174" i="1"/>
  <c r="AO175" i="1" a="1"/>
  <c r="AO175" i="1" s="1"/>
  <c r="AO174" i="1" a="1"/>
  <c r="AO174" i="1" s="1"/>
  <c r="AL175" i="1"/>
  <c r="AQ175" i="1"/>
  <c r="N181" i="1" a="1"/>
  <c r="N181" i="1" s="1"/>
  <c r="K182" i="1"/>
  <c r="AO185" i="1" a="1"/>
  <c r="AO185" i="1" s="1"/>
  <c r="O185" i="1" a="1"/>
  <c r="O185" i="1" s="1"/>
  <c r="L185" i="1"/>
  <c r="K186" i="1"/>
  <c r="P186" i="1"/>
  <c r="AL186" i="1"/>
  <c r="AL187" i="1"/>
  <c r="AO189" i="1" a="1"/>
  <c r="AO189" i="1" s="1"/>
  <c r="O189" i="1" a="1"/>
  <c r="O189" i="1" s="1"/>
  <c r="L189" i="1"/>
  <c r="P190" i="1"/>
  <c r="L190" i="1"/>
  <c r="Q190" i="1" s="1"/>
  <c r="R190" i="1" s="1"/>
  <c r="N189" i="1" a="1"/>
  <c r="N189" i="1" s="1"/>
  <c r="K190" i="1"/>
  <c r="AK191" i="1"/>
  <c r="K192" i="1"/>
  <c r="P193" i="1"/>
  <c r="M193" i="1"/>
  <c r="N192" i="1" a="1"/>
  <c r="N192" i="1" s="1"/>
  <c r="K193" i="1"/>
  <c r="AQ200" i="1"/>
  <c r="AO200" i="1" a="1"/>
  <c r="AO200" i="1" s="1"/>
  <c r="AK200" i="1"/>
  <c r="AN199" i="1"/>
  <c r="AP199" i="1" a="1"/>
  <c r="AP199" i="1" s="1"/>
  <c r="AL199" i="1"/>
  <c r="AM200" i="1"/>
  <c r="K200" i="1"/>
  <c r="J201" i="1"/>
  <c r="L200" i="1"/>
  <c r="M201" i="1"/>
  <c r="J202" i="1"/>
  <c r="K204" i="1"/>
  <c r="O204" i="1" a="1"/>
  <c r="O204" i="1" s="1"/>
  <c r="K205" i="1"/>
  <c r="P205" i="1"/>
  <c r="AL209" i="1"/>
  <c r="AQ210" i="1"/>
  <c r="AP209" i="1" a="1"/>
  <c r="AP209" i="1" s="1"/>
  <c r="AL210" i="1"/>
  <c r="P211" i="1"/>
  <c r="N211" i="1" a="1"/>
  <c r="N211" i="1" s="1"/>
  <c r="J211" i="1"/>
  <c r="M210" i="1"/>
  <c r="O211" i="1" a="1"/>
  <c r="O211" i="1" s="1"/>
  <c r="Q211" i="1" s="1"/>
  <c r="R211" i="1" s="1"/>
  <c r="K211" i="1"/>
  <c r="O210" i="1" a="1"/>
  <c r="O210" i="1" s="1"/>
  <c r="Q210" i="1" s="1"/>
  <c r="R210" i="1" s="1"/>
  <c r="K210" i="1"/>
  <c r="M211" i="1"/>
  <c r="AP210" i="1" a="1"/>
  <c r="AP210" i="1" s="1"/>
  <c r="AM210" i="1"/>
  <c r="AQ211" i="1"/>
  <c r="AN210" i="1"/>
  <c r="AL211" i="1"/>
  <c r="AQ212" i="1"/>
  <c r="AO212" i="1" a="1"/>
  <c r="AO212" i="1" s="1"/>
  <c r="AK212" i="1"/>
  <c r="AN211" i="1"/>
  <c r="AP212" i="1" a="1"/>
  <c r="AP212" i="1" s="1"/>
  <c r="AR212" i="1" s="1"/>
  <c r="AS212" i="1" s="1"/>
  <c r="AL212" i="1"/>
  <c r="AM211" i="1"/>
  <c r="AR211" i="1" s="1"/>
  <c r="AS211" i="1" s="1"/>
  <c r="AN212" i="1"/>
  <c r="P216" i="1"/>
  <c r="K217" i="1"/>
  <c r="M220" i="1"/>
  <c r="AQ220" i="1"/>
  <c r="AO220" i="1" a="1"/>
  <c r="AO220" i="1" s="1"/>
  <c r="AK220" i="1"/>
  <c r="AN219" i="1"/>
  <c r="AN220" i="1"/>
  <c r="AM220" i="1"/>
  <c r="AO225" i="1" a="1"/>
  <c r="AO225" i="1" s="1"/>
  <c r="L226" i="1"/>
  <c r="AP227" i="1" a="1"/>
  <c r="AP227" i="1" s="1"/>
  <c r="O229" i="1" a="1"/>
  <c r="O229" i="1" s="1"/>
  <c r="L229" i="1"/>
  <c r="J230" i="1"/>
  <c r="K229" i="1"/>
  <c r="L230" i="1"/>
  <c r="P231" i="1"/>
  <c r="N231" i="1" a="1"/>
  <c r="N231" i="1" s="1"/>
  <c r="J231" i="1"/>
  <c r="M230" i="1"/>
  <c r="L231" i="1"/>
  <c r="AL233" i="1"/>
  <c r="AK234" i="1"/>
  <c r="AQ233" i="1"/>
  <c r="AN233" i="1"/>
  <c r="AN234" i="1"/>
  <c r="P235" i="1"/>
  <c r="N235" i="1" a="1"/>
  <c r="N235" i="1" s="1"/>
  <c r="J235" i="1"/>
  <c r="M234" i="1"/>
  <c r="M235" i="1"/>
  <c r="N234" i="1" a="1"/>
  <c r="N234" i="1" s="1"/>
  <c r="L235" i="1"/>
  <c r="AP234" i="1" a="1"/>
  <c r="AP234" i="1" s="1"/>
  <c r="AM234" i="1"/>
  <c r="AK235" i="1"/>
  <c r="AM235" i="1"/>
  <c r="AL237" i="1"/>
  <c r="AM237" i="1"/>
  <c r="AR237" i="1" s="1"/>
  <c r="AS237" i="1" s="1"/>
  <c r="AL238" i="1"/>
  <c r="AQ238" i="1"/>
  <c r="AP238" i="1" a="1"/>
  <c r="AP238" i="1" s="1"/>
  <c r="AM238" i="1"/>
  <c r="AO239" i="1" a="1"/>
  <c r="AO239" i="1" s="1"/>
  <c r="AO238" i="1" a="1"/>
  <c r="AO238" i="1" s="1"/>
  <c r="AL239" i="1"/>
  <c r="AQ239" i="1"/>
  <c r="O249" i="1" a="1"/>
  <c r="O249" i="1" s="1"/>
  <c r="Q249" i="1" s="1"/>
  <c r="R249" i="1" s="1"/>
  <c r="L249" i="1"/>
  <c r="P250" i="1"/>
  <c r="L250" i="1"/>
  <c r="N249" i="1" a="1"/>
  <c r="N249" i="1" s="1"/>
  <c r="K250" i="1"/>
  <c r="K264" i="1"/>
  <c r="J265" i="1"/>
  <c r="L264" i="1"/>
  <c r="O264" i="1" a="1"/>
  <c r="O264" i="1" s="1"/>
  <c r="P265" i="1"/>
  <c r="M265" i="1"/>
  <c r="N264" i="1" a="1"/>
  <c r="N264" i="1" s="1"/>
  <c r="P275" i="1"/>
  <c r="N275" i="1" a="1"/>
  <c r="N275" i="1" s="1"/>
  <c r="J275" i="1"/>
  <c r="M274" i="1"/>
  <c r="O275" i="1" a="1"/>
  <c r="O275" i="1" s="1"/>
  <c r="Q275" i="1" s="1"/>
  <c r="R275" i="1" s="1"/>
  <c r="K275" i="1"/>
  <c r="O274" i="1" a="1"/>
  <c r="O274" i="1" s="1"/>
  <c r="K274" i="1"/>
  <c r="M275" i="1"/>
  <c r="N274" i="1" a="1"/>
  <c r="N274" i="1" s="1"/>
  <c r="O277" i="1" a="1"/>
  <c r="O277" i="1" s="1"/>
  <c r="L277" i="1"/>
  <c r="J278" i="1"/>
  <c r="K277" i="1"/>
  <c r="P278" i="1"/>
  <c r="L278" i="1"/>
  <c r="N277" i="1" a="1"/>
  <c r="N277" i="1" s="1"/>
  <c r="O278" i="1" a="1"/>
  <c r="O278" i="1" s="1"/>
  <c r="Q278" i="1" s="1"/>
  <c r="R278" i="1" s="1"/>
  <c r="AL281" i="1"/>
  <c r="AK282" i="1"/>
  <c r="AQ281" i="1"/>
  <c r="AN281" i="1"/>
  <c r="AM281" i="1"/>
  <c r="AQ282" i="1"/>
  <c r="AP281" i="1" a="1"/>
  <c r="AP281" i="1" s="1"/>
  <c r="AL308" i="1"/>
  <c r="AQ309" i="1"/>
  <c r="AP308" i="1" a="1"/>
  <c r="AP308" i="1" s="1"/>
  <c r="AK309" i="1"/>
  <c r="AO308" i="1" a="1"/>
  <c r="AO308" i="1" s="1"/>
  <c r="AN308" i="1"/>
  <c r="AQ308" i="1"/>
  <c r="AM308" i="1"/>
  <c r="P310" i="1"/>
  <c r="N310" i="1" a="1"/>
  <c r="N310" i="1" s="1"/>
  <c r="J310" i="1"/>
  <c r="M309" i="1"/>
  <c r="O310" i="1" a="1"/>
  <c r="O310" i="1" s="1"/>
  <c r="K310" i="1"/>
  <c r="O309" i="1" a="1"/>
  <c r="O309" i="1" s="1"/>
  <c r="K309" i="1"/>
  <c r="L310" i="1"/>
  <c r="L309" i="1"/>
  <c r="P309" i="1"/>
  <c r="AP309" i="1" a="1"/>
  <c r="AP309" i="1" s="1"/>
  <c r="AM309" i="1"/>
  <c r="AQ310" i="1"/>
  <c r="AN309" i="1"/>
  <c r="AK310" i="1"/>
  <c r="AO309" i="1" a="1"/>
  <c r="AO309" i="1" s="1"/>
  <c r="AQ331" i="1"/>
  <c r="AO331" i="1" a="1"/>
  <c r="AO331" i="1" s="1"/>
  <c r="AK331" i="1"/>
  <c r="AN330" i="1"/>
  <c r="AP330" i="1" a="1"/>
  <c r="AP330" i="1" s="1"/>
  <c r="AL330" i="1"/>
  <c r="AN331" i="1"/>
  <c r="AL331" i="1"/>
  <c r="AO330" i="1" a="1"/>
  <c r="AO330" i="1" s="1"/>
  <c r="AM330" i="1"/>
  <c r="AP331" i="1" a="1"/>
  <c r="AP331" i="1" s="1"/>
  <c r="AR331" i="1" s="1"/>
  <c r="AS331" i="1" s="1"/>
  <c r="O348" i="1" a="1"/>
  <c r="O348" i="1" s="1"/>
  <c r="L348" i="1"/>
  <c r="P349" i="1"/>
  <c r="L349" i="1"/>
  <c r="N348" i="1" a="1"/>
  <c r="N348" i="1" s="1"/>
  <c r="J349" i="1"/>
  <c r="M348" i="1"/>
  <c r="O349" i="1" a="1"/>
  <c r="O349" i="1" s="1"/>
  <c r="Q349" i="1" s="1"/>
  <c r="R349" i="1" s="1"/>
  <c r="K348" i="1"/>
  <c r="P348" i="1"/>
  <c r="AR149" i="1"/>
  <c r="AS149" i="1" s="1"/>
  <c r="AQ152" i="1"/>
  <c r="AO152" i="1" a="1"/>
  <c r="AO152" i="1" s="1"/>
  <c r="AK152" i="1"/>
  <c r="AN151" i="1"/>
  <c r="AP151" i="1" a="1"/>
  <c r="AP151" i="1" s="1"/>
  <c r="AR151" i="1" s="1"/>
  <c r="AS151" i="1" s="1"/>
  <c r="AL151" i="1"/>
  <c r="AM152" i="1"/>
  <c r="AR152" i="1" s="1"/>
  <c r="AS152" i="1" s="1"/>
  <c r="K152" i="1"/>
  <c r="J153" i="1"/>
  <c r="L152" i="1"/>
  <c r="Q152" i="1" s="1"/>
  <c r="R152" i="1" s="1"/>
  <c r="M153" i="1"/>
  <c r="K156" i="1"/>
  <c r="O156" i="1" a="1"/>
  <c r="O156" i="1" s="1"/>
  <c r="Q156" i="1" s="1"/>
  <c r="R156" i="1" s="1"/>
  <c r="K157" i="1"/>
  <c r="P157" i="1"/>
  <c r="AL161" i="1"/>
  <c r="AQ162" i="1"/>
  <c r="AP161" i="1" a="1"/>
  <c r="AP161" i="1" s="1"/>
  <c r="AL162" i="1"/>
  <c r="P163" i="1"/>
  <c r="N163" i="1" a="1"/>
  <c r="N163" i="1" s="1"/>
  <c r="J163" i="1"/>
  <c r="M162" i="1"/>
  <c r="O163" i="1" a="1"/>
  <c r="O163" i="1" s="1"/>
  <c r="Q163" i="1" s="1"/>
  <c r="R163" i="1" s="1"/>
  <c r="K163" i="1"/>
  <c r="O162" i="1" a="1"/>
  <c r="O162" i="1" s="1"/>
  <c r="Q162" i="1" s="1"/>
  <c r="R162" i="1" s="1"/>
  <c r="K162" i="1"/>
  <c r="M163" i="1"/>
  <c r="AP162" i="1" a="1"/>
  <c r="AP162" i="1" s="1"/>
  <c r="AM162" i="1"/>
  <c r="AQ163" i="1"/>
  <c r="AN162" i="1"/>
  <c r="AL163" i="1"/>
  <c r="AQ164" i="1"/>
  <c r="AO164" i="1" a="1"/>
  <c r="AO164" i="1" s="1"/>
  <c r="AK164" i="1"/>
  <c r="AN163" i="1"/>
  <c r="AP164" i="1" a="1"/>
  <c r="AP164" i="1" s="1"/>
  <c r="AR164" i="1" s="1"/>
  <c r="AS164" i="1" s="1"/>
  <c r="AL164" i="1"/>
  <c r="AM163" i="1"/>
  <c r="AN164" i="1"/>
  <c r="AQ172" i="1"/>
  <c r="AO172" i="1" a="1"/>
  <c r="AO172" i="1" s="1"/>
  <c r="AK172" i="1"/>
  <c r="AN171" i="1"/>
  <c r="AN172" i="1"/>
  <c r="AM172" i="1"/>
  <c r="AR172" i="1" s="1"/>
  <c r="AS172" i="1" s="1"/>
  <c r="O181" i="1" a="1"/>
  <c r="O181" i="1" s="1"/>
  <c r="L181" i="1"/>
  <c r="J182" i="1"/>
  <c r="K181" i="1"/>
  <c r="L182" i="1"/>
  <c r="Q182" i="1" s="1"/>
  <c r="R182" i="1" s="1"/>
  <c r="P183" i="1"/>
  <c r="N183" i="1" a="1"/>
  <c r="N183" i="1" s="1"/>
  <c r="J183" i="1"/>
  <c r="M182" i="1"/>
  <c r="L183" i="1"/>
  <c r="Q183" i="1" s="1"/>
  <c r="R183" i="1" s="1"/>
  <c r="AL185" i="1"/>
  <c r="AK186" i="1"/>
  <c r="AQ185" i="1"/>
  <c r="AN185" i="1"/>
  <c r="AN186" i="1"/>
  <c r="P187" i="1"/>
  <c r="N187" i="1" a="1"/>
  <c r="N187" i="1" s="1"/>
  <c r="J187" i="1"/>
  <c r="M186" i="1"/>
  <c r="M187" i="1"/>
  <c r="N186" i="1" a="1"/>
  <c r="N186" i="1" s="1"/>
  <c r="L187" i="1"/>
  <c r="Q187" i="1" s="1"/>
  <c r="R187" i="1" s="1"/>
  <c r="AP186" i="1" a="1"/>
  <c r="AP186" i="1" s="1"/>
  <c r="AM186" i="1"/>
  <c r="AK187" i="1"/>
  <c r="AM187" i="1"/>
  <c r="AR187" i="1" s="1"/>
  <c r="AS187" i="1" s="1"/>
  <c r="AL189" i="1"/>
  <c r="AM189" i="1"/>
  <c r="AR189" i="1" s="1"/>
  <c r="AS189" i="1" s="1"/>
  <c r="AL190" i="1"/>
  <c r="AQ190" i="1"/>
  <c r="AP190" i="1" a="1"/>
  <c r="AP190" i="1" s="1"/>
  <c r="AM190" i="1"/>
  <c r="AO191" i="1" a="1"/>
  <c r="AO191" i="1" s="1"/>
  <c r="AO190" i="1" a="1"/>
  <c r="AO190" i="1" s="1"/>
  <c r="AL191" i="1"/>
  <c r="AQ191" i="1"/>
  <c r="Q196" i="1"/>
  <c r="R196" i="1" s="1"/>
  <c r="O201" i="1" a="1"/>
  <c r="O201" i="1" s="1"/>
  <c r="L201" i="1"/>
  <c r="K202" i="1"/>
  <c r="P202" i="1"/>
  <c r="M205" i="1"/>
  <c r="O205" i="1" a="1"/>
  <c r="O205" i="1" s="1"/>
  <c r="L205" i="1"/>
  <c r="P206" i="1"/>
  <c r="L206" i="1"/>
  <c r="Q206" i="1" s="1"/>
  <c r="R206" i="1" s="1"/>
  <c r="N205" i="1" a="1"/>
  <c r="N205" i="1" s="1"/>
  <c r="K206" i="1"/>
  <c r="AR207" i="1"/>
  <c r="AS207" i="1" s="1"/>
  <c r="K208" i="1"/>
  <c r="P209" i="1"/>
  <c r="M209" i="1"/>
  <c r="N208" i="1" a="1"/>
  <c r="N208" i="1" s="1"/>
  <c r="K209" i="1"/>
  <c r="AM209" i="1"/>
  <c r="AQ209" i="1"/>
  <c r="AO210" i="1" a="1"/>
  <c r="AO210" i="1" s="1"/>
  <c r="AO211" i="1" a="1"/>
  <c r="AO211" i="1" s="1"/>
  <c r="AQ216" i="1"/>
  <c r="AO216" i="1" a="1"/>
  <c r="AO216" i="1" s="1"/>
  <c r="AK216" i="1"/>
  <c r="AN215" i="1"/>
  <c r="AP215" i="1" a="1"/>
  <c r="AP215" i="1" s="1"/>
  <c r="AR215" i="1" s="1"/>
  <c r="AS215" i="1" s="1"/>
  <c r="AL215" i="1"/>
  <c r="AM216" i="1"/>
  <c r="K216" i="1"/>
  <c r="J217" i="1"/>
  <c r="L216" i="1"/>
  <c r="Q216" i="1" s="1"/>
  <c r="R216" i="1" s="1"/>
  <c r="M217" i="1"/>
  <c r="K220" i="1"/>
  <c r="O220" i="1" a="1"/>
  <c r="O220" i="1" s="1"/>
  <c r="Q220" i="1" s="1"/>
  <c r="R220" i="1" s="1"/>
  <c r="K221" i="1"/>
  <c r="P221" i="1"/>
  <c r="AL225" i="1"/>
  <c r="AQ226" i="1"/>
  <c r="AP225" i="1" a="1"/>
  <c r="AP225" i="1" s="1"/>
  <c r="AL226" i="1"/>
  <c r="P227" i="1"/>
  <c r="N227" i="1" a="1"/>
  <c r="N227" i="1" s="1"/>
  <c r="J227" i="1"/>
  <c r="M226" i="1"/>
  <c r="O227" i="1" a="1"/>
  <c r="O227" i="1" s="1"/>
  <c r="Q227" i="1" s="1"/>
  <c r="R227" i="1" s="1"/>
  <c r="K227" i="1"/>
  <c r="O226" i="1" a="1"/>
  <c r="O226" i="1" s="1"/>
  <c r="K226" i="1"/>
  <c r="M227" i="1"/>
  <c r="AP226" i="1" a="1"/>
  <c r="AP226" i="1" s="1"/>
  <c r="AM226" i="1"/>
  <c r="AQ227" i="1"/>
  <c r="AN226" i="1"/>
  <c r="AL227" i="1"/>
  <c r="AQ228" i="1"/>
  <c r="AO228" i="1" a="1"/>
  <c r="AO228" i="1" s="1"/>
  <c r="AK228" i="1"/>
  <c r="AN227" i="1"/>
  <c r="AP228" i="1" a="1"/>
  <c r="AP228" i="1" s="1"/>
  <c r="AR228" i="1" s="1"/>
  <c r="AS228" i="1" s="1"/>
  <c r="AL228" i="1"/>
  <c r="AM227" i="1"/>
  <c r="AN228" i="1"/>
  <c r="N230" i="1" a="1"/>
  <c r="N230" i="1" s="1"/>
  <c r="M231" i="1"/>
  <c r="AO234" i="1" a="1"/>
  <c r="AO234" i="1" s="1"/>
  <c r="AO235" i="1" a="1"/>
  <c r="AO235" i="1" s="1"/>
  <c r="M236" i="1"/>
  <c r="AQ236" i="1"/>
  <c r="AO236" i="1" a="1"/>
  <c r="AO236" i="1" s="1"/>
  <c r="AK236" i="1"/>
  <c r="AN235" i="1"/>
  <c r="AN236" i="1"/>
  <c r="AM236" i="1"/>
  <c r="AR236" i="1" s="1"/>
  <c r="AS236" i="1" s="1"/>
  <c r="AQ237" i="1"/>
  <c r="AN238" i="1"/>
  <c r="AM239" i="1"/>
  <c r="AR239" i="1" s="1"/>
  <c r="AS239" i="1" s="1"/>
  <c r="AO241" i="1" a="1"/>
  <c r="AO241" i="1" s="1"/>
  <c r="L242" i="1"/>
  <c r="AP243" i="1" a="1"/>
  <c r="AP243" i="1" s="1"/>
  <c r="O245" i="1" a="1"/>
  <c r="O245" i="1" s="1"/>
  <c r="L245" i="1"/>
  <c r="J246" i="1"/>
  <c r="K245" i="1"/>
  <c r="L246" i="1"/>
  <c r="Q246" i="1" s="1"/>
  <c r="R246" i="1" s="1"/>
  <c r="P247" i="1"/>
  <c r="N247" i="1" a="1"/>
  <c r="N247" i="1" s="1"/>
  <c r="J247" i="1"/>
  <c r="M246" i="1"/>
  <c r="M247" i="1"/>
  <c r="L247" i="1"/>
  <c r="Q247" i="1" s="1"/>
  <c r="R247" i="1" s="1"/>
  <c r="AQ248" i="1"/>
  <c r="AO248" i="1" a="1"/>
  <c r="AO248" i="1" s="1"/>
  <c r="AK248" i="1"/>
  <c r="AN247" i="1"/>
  <c r="AP247" i="1" a="1"/>
  <c r="AP247" i="1" s="1"/>
  <c r="AR247" i="1" s="1"/>
  <c r="AS247" i="1" s="1"/>
  <c r="AL247" i="1"/>
  <c r="AN248" i="1"/>
  <c r="AM248" i="1"/>
  <c r="AR248" i="1" s="1"/>
  <c r="AS248" i="1" s="1"/>
  <c r="AQ260" i="1"/>
  <c r="AO260" i="1" a="1"/>
  <c r="AO260" i="1" s="1"/>
  <c r="AK260" i="1"/>
  <c r="AN259" i="1"/>
  <c r="AP260" i="1" a="1"/>
  <c r="AP260" i="1" s="1"/>
  <c r="AR260" i="1" s="1"/>
  <c r="AS260" i="1" s="1"/>
  <c r="AL260" i="1"/>
  <c r="AM259" i="1"/>
  <c r="AP259" i="1" a="1"/>
  <c r="AP259" i="1" s="1"/>
  <c r="AL259" i="1"/>
  <c r="AN260" i="1"/>
  <c r="AP266" i="1" a="1"/>
  <c r="AP266" i="1" s="1"/>
  <c r="AM266" i="1"/>
  <c r="AK267" i="1"/>
  <c r="AO267" i="1" a="1"/>
  <c r="AO267" i="1" s="1"/>
  <c r="AO266" i="1" a="1"/>
  <c r="AO266" i="1" s="1"/>
  <c r="AQ267" i="1"/>
  <c r="AM267" i="1"/>
  <c r="AN266" i="1"/>
  <c r="AP267" i="1" a="1"/>
  <c r="AP267" i="1" s="1"/>
  <c r="K280" i="1"/>
  <c r="J281" i="1"/>
  <c r="L280" i="1"/>
  <c r="O280" i="1" a="1"/>
  <c r="O280" i="1" s="1"/>
  <c r="P281" i="1"/>
  <c r="M281" i="1"/>
  <c r="N280" i="1" a="1"/>
  <c r="N280" i="1" s="1"/>
  <c r="AO281" i="1" a="1"/>
  <c r="AO281" i="1" s="1"/>
  <c r="P291" i="1"/>
  <c r="N291" i="1" a="1"/>
  <c r="N291" i="1" s="1"/>
  <c r="J291" i="1"/>
  <c r="M290" i="1"/>
  <c r="O291" i="1" a="1"/>
  <c r="O291" i="1" s="1"/>
  <c r="Q291" i="1" s="1"/>
  <c r="R291" i="1" s="1"/>
  <c r="K291" i="1"/>
  <c r="O290" i="1" a="1"/>
  <c r="O290" i="1" s="1"/>
  <c r="Q290" i="1" s="1"/>
  <c r="R290" i="1" s="1"/>
  <c r="K290" i="1"/>
  <c r="M291" i="1"/>
  <c r="N290" i="1" a="1"/>
  <c r="N290" i="1" s="1"/>
  <c r="O293" i="1" a="1"/>
  <c r="O293" i="1" s="1"/>
  <c r="L293" i="1"/>
  <c r="J294" i="1"/>
  <c r="K293" i="1"/>
  <c r="P294" i="1"/>
  <c r="L294" i="1"/>
  <c r="N293" i="1" a="1"/>
  <c r="N293" i="1" s="1"/>
  <c r="O294" i="1" a="1"/>
  <c r="O294" i="1" s="1"/>
  <c r="AL297" i="1"/>
  <c r="AK298" i="1"/>
  <c r="AQ297" i="1"/>
  <c r="AN297" i="1"/>
  <c r="AM297" i="1"/>
  <c r="AQ298" i="1"/>
  <c r="AP297" i="1" a="1"/>
  <c r="AP297" i="1" s="1"/>
  <c r="AQ311" i="1"/>
  <c r="AO311" i="1" a="1"/>
  <c r="AO311" i="1" s="1"/>
  <c r="AK311" i="1"/>
  <c r="AN310" i="1"/>
  <c r="AP311" i="1" a="1"/>
  <c r="AP311" i="1" s="1"/>
  <c r="AL311" i="1"/>
  <c r="AM310" i="1"/>
  <c r="AM311" i="1"/>
  <c r="AP310" i="1" a="1"/>
  <c r="AP310" i="1" s="1"/>
  <c r="AO310" i="1" a="1"/>
  <c r="AO310" i="1" s="1"/>
  <c r="Q323" i="1"/>
  <c r="R323" i="1" s="1"/>
  <c r="O344" i="1" a="1"/>
  <c r="O344" i="1" s="1"/>
  <c r="L344" i="1"/>
  <c r="J345" i="1"/>
  <c r="K344" i="1"/>
  <c r="M344" i="1"/>
  <c r="P345" i="1"/>
  <c r="O345" i="1" a="1"/>
  <c r="O345" i="1" s="1"/>
  <c r="Q345" i="1" s="1"/>
  <c r="R345" i="1" s="1"/>
  <c r="P344" i="1"/>
  <c r="AP365" i="1" a="1"/>
  <c r="AP365" i="1" s="1"/>
  <c r="AM365" i="1"/>
  <c r="AL365" i="1"/>
  <c r="AQ366" i="1"/>
  <c r="AK366" i="1"/>
  <c r="AO365" i="1" a="1"/>
  <c r="AO365" i="1" s="1"/>
  <c r="AL366" i="1"/>
  <c r="AQ365" i="1"/>
  <c r="AN365" i="1"/>
  <c r="AP373" i="1" a="1"/>
  <c r="AP373" i="1" s="1"/>
  <c r="AR373" i="1" s="1"/>
  <c r="AS373" i="1" s="1"/>
  <c r="AM373" i="1"/>
  <c r="AL373" i="1"/>
  <c r="AQ374" i="1"/>
  <c r="AK374" i="1"/>
  <c r="AO373" i="1" a="1"/>
  <c r="AO373" i="1" s="1"/>
  <c r="AL374" i="1"/>
  <c r="AQ373" i="1"/>
  <c r="AN373" i="1"/>
  <c r="AP381" i="1" a="1"/>
  <c r="AP381" i="1" s="1"/>
  <c r="AM381" i="1"/>
  <c r="AL381" i="1"/>
  <c r="AQ382" i="1"/>
  <c r="AK382" i="1"/>
  <c r="AO381" i="1" a="1"/>
  <c r="AO381" i="1" s="1"/>
  <c r="AL382" i="1"/>
  <c r="AQ381" i="1"/>
  <c r="AN381" i="1"/>
  <c r="AR383" i="1"/>
  <c r="AS383" i="1" s="1"/>
  <c r="AP389" i="1" a="1"/>
  <c r="AP389" i="1" s="1"/>
  <c r="AM389" i="1"/>
  <c r="AL389" i="1"/>
  <c r="AQ390" i="1"/>
  <c r="AK390" i="1"/>
  <c r="AO389" i="1" a="1"/>
  <c r="AO389" i="1" s="1"/>
  <c r="AL390" i="1"/>
  <c r="AQ389" i="1"/>
  <c r="AN389" i="1"/>
  <c r="P418" i="1"/>
  <c r="N418" i="1" a="1"/>
  <c r="N418" i="1" s="1"/>
  <c r="J418" i="1"/>
  <c r="M417" i="1"/>
  <c r="O418" i="1" a="1"/>
  <c r="O418" i="1" s="1"/>
  <c r="K418" i="1"/>
  <c r="O417" i="1" a="1"/>
  <c r="O417" i="1" s="1"/>
  <c r="K417" i="1"/>
  <c r="P417" i="1"/>
  <c r="L418" i="1"/>
  <c r="N417" i="1" a="1"/>
  <c r="N417" i="1" s="1"/>
  <c r="L417" i="1"/>
  <c r="P131" i="1"/>
  <c r="N131" i="1" a="1"/>
  <c r="N131" i="1" s="1"/>
  <c r="J131" i="1"/>
  <c r="L131" i="1"/>
  <c r="Q131" i="1" s="1"/>
  <c r="R131" i="1" s="1"/>
  <c r="AQ132" i="1"/>
  <c r="AO132" i="1" a="1"/>
  <c r="AO132" i="1" s="1"/>
  <c r="AK132" i="1"/>
  <c r="AN131" i="1"/>
  <c r="AM132" i="1"/>
  <c r="AR132" i="1" s="1"/>
  <c r="AS132" i="1" s="1"/>
  <c r="O133" i="1" a="1"/>
  <c r="O133" i="1" s="1"/>
  <c r="L133" i="1"/>
  <c r="AL138" i="1"/>
  <c r="AP138" i="1" a="1"/>
  <c r="AP138" i="1" s="1"/>
  <c r="AM138" i="1"/>
  <c r="L140" i="1"/>
  <c r="P140" i="1"/>
  <c r="AL141" i="1"/>
  <c r="AM141" i="1"/>
  <c r="AR141" i="1" s="1"/>
  <c r="AS141" i="1" s="1"/>
  <c r="AL142" i="1"/>
  <c r="AQ142" i="1"/>
  <c r="AP142" i="1" a="1"/>
  <c r="AP142" i="1" s="1"/>
  <c r="AM142" i="1"/>
  <c r="AO143" i="1" a="1"/>
  <c r="AO143" i="1" s="1"/>
  <c r="AO142" i="1" a="1"/>
  <c r="AO142" i="1" s="1"/>
  <c r="AL143" i="1"/>
  <c r="AQ143" i="1"/>
  <c r="AN145" i="1"/>
  <c r="P146" i="1"/>
  <c r="AQ151" i="1"/>
  <c r="N152" i="1" a="1"/>
  <c r="N152" i="1" s="1"/>
  <c r="AN152" i="1"/>
  <c r="N153" i="1" a="1"/>
  <c r="N153" i="1" s="1"/>
  <c r="O153" i="1" a="1"/>
  <c r="O153" i="1" s="1"/>
  <c r="L153" i="1"/>
  <c r="P154" i="1"/>
  <c r="AL155" i="1"/>
  <c r="AP156" i="1" a="1"/>
  <c r="AP156" i="1" s="1"/>
  <c r="M157" i="1"/>
  <c r="O157" i="1" a="1"/>
  <c r="O157" i="1" s="1"/>
  <c r="L157" i="1"/>
  <c r="P158" i="1"/>
  <c r="L158" i="1"/>
  <c r="Q158" i="1" s="1"/>
  <c r="R158" i="1" s="1"/>
  <c r="N157" i="1" a="1"/>
  <c r="N157" i="1" s="1"/>
  <c r="K158" i="1"/>
  <c r="K160" i="1"/>
  <c r="P161" i="1"/>
  <c r="M161" i="1"/>
  <c r="N160" i="1" a="1"/>
  <c r="N160" i="1" s="1"/>
  <c r="K161" i="1"/>
  <c r="AM161" i="1"/>
  <c r="AQ161" i="1"/>
  <c r="AO162" i="1" a="1"/>
  <c r="AO162" i="1" s="1"/>
  <c r="AO163" i="1" a="1"/>
  <c r="AO163" i="1" s="1"/>
  <c r="M165" i="1"/>
  <c r="O166" i="1" a="1"/>
  <c r="O166" i="1" s="1"/>
  <c r="O167" i="1" a="1"/>
  <c r="O167" i="1" s="1"/>
  <c r="Q167" i="1" s="1"/>
  <c r="R167" i="1" s="1"/>
  <c r="AQ168" i="1"/>
  <c r="AO168" i="1" a="1"/>
  <c r="AO168" i="1" s="1"/>
  <c r="AK168" i="1"/>
  <c r="AN167" i="1"/>
  <c r="AP167" i="1" a="1"/>
  <c r="AP167" i="1" s="1"/>
  <c r="AR167" i="1" s="1"/>
  <c r="AS167" i="1" s="1"/>
  <c r="AL167" i="1"/>
  <c r="AM168" i="1"/>
  <c r="AR168" i="1" s="1"/>
  <c r="AS168" i="1" s="1"/>
  <c r="K168" i="1"/>
  <c r="J169" i="1"/>
  <c r="L168" i="1"/>
  <c r="Q168" i="1" s="1"/>
  <c r="R168" i="1" s="1"/>
  <c r="AM169" i="1"/>
  <c r="AR169" i="1" s="1"/>
  <c r="AS169" i="1" s="1"/>
  <c r="O170" i="1" a="1"/>
  <c r="O170" i="1" s="1"/>
  <c r="Q170" i="1" s="1"/>
  <c r="R170" i="1" s="1"/>
  <c r="O171" i="1" a="1"/>
  <c r="O171" i="1" s="1"/>
  <c r="Q171" i="1" s="1"/>
  <c r="R171" i="1" s="1"/>
  <c r="AP171" i="1" a="1"/>
  <c r="AP171" i="1" s="1"/>
  <c r="K172" i="1"/>
  <c r="O172" i="1" a="1"/>
  <c r="O172" i="1" s="1"/>
  <c r="Q172" i="1" s="1"/>
  <c r="R172" i="1" s="1"/>
  <c r="P173" i="1"/>
  <c r="AN173" i="1"/>
  <c r="AL177" i="1"/>
  <c r="AQ178" i="1"/>
  <c r="AP177" i="1" a="1"/>
  <c r="AP177" i="1" s="1"/>
  <c r="AR177" i="1" s="1"/>
  <c r="AS177" i="1" s="1"/>
  <c r="AL178" i="1"/>
  <c r="P179" i="1"/>
  <c r="N179" i="1" a="1"/>
  <c r="N179" i="1" s="1"/>
  <c r="J179" i="1"/>
  <c r="M178" i="1"/>
  <c r="O179" i="1" a="1"/>
  <c r="O179" i="1" s="1"/>
  <c r="Q179" i="1" s="1"/>
  <c r="R179" i="1" s="1"/>
  <c r="K179" i="1"/>
  <c r="O178" i="1" a="1"/>
  <c r="O178" i="1" s="1"/>
  <c r="Q178" i="1" s="1"/>
  <c r="R178" i="1" s="1"/>
  <c r="K178" i="1"/>
  <c r="M179" i="1"/>
  <c r="AP178" i="1" a="1"/>
  <c r="AP178" i="1" s="1"/>
  <c r="AM178" i="1"/>
  <c r="AQ179" i="1"/>
  <c r="AN178" i="1"/>
  <c r="AL179" i="1"/>
  <c r="AQ180" i="1"/>
  <c r="AO180" i="1" a="1"/>
  <c r="AO180" i="1" s="1"/>
  <c r="AK180" i="1"/>
  <c r="AN179" i="1"/>
  <c r="AP180" i="1" a="1"/>
  <c r="AP180" i="1" s="1"/>
  <c r="AR180" i="1" s="1"/>
  <c r="AS180" i="1" s="1"/>
  <c r="AL180" i="1"/>
  <c r="AM179" i="1"/>
  <c r="AR179" i="1" s="1"/>
  <c r="AS179" i="1" s="1"/>
  <c r="AN180" i="1"/>
  <c r="P181" i="1"/>
  <c r="N182" i="1" a="1"/>
  <c r="N182" i="1" s="1"/>
  <c r="M183" i="1"/>
  <c r="K185" i="1"/>
  <c r="AO186" i="1" a="1"/>
  <c r="AO186" i="1" s="1"/>
  <c r="AO187" i="1" a="1"/>
  <c r="AO187" i="1" s="1"/>
  <c r="AQ188" i="1"/>
  <c r="AO188" i="1" a="1"/>
  <c r="AO188" i="1" s="1"/>
  <c r="AK188" i="1"/>
  <c r="AN187" i="1"/>
  <c r="AN188" i="1"/>
  <c r="AM188" i="1"/>
  <c r="AR188" i="1" s="1"/>
  <c r="AS188" i="1" s="1"/>
  <c r="AQ189" i="1"/>
  <c r="AN190" i="1"/>
  <c r="AM191" i="1"/>
  <c r="O197" i="1" a="1"/>
  <c r="O197" i="1" s="1"/>
  <c r="L197" i="1"/>
  <c r="J198" i="1"/>
  <c r="K197" i="1"/>
  <c r="L198" i="1"/>
  <c r="Q198" i="1" s="1"/>
  <c r="R198" i="1" s="1"/>
  <c r="P199" i="1"/>
  <c r="N199" i="1" a="1"/>
  <c r="N199" i="1" s="1"/>
  <c r="J199" i="1"/>
  <c r="M198" i="1"/>
  <c r="L199" i="1"/>
  <c r="Q199" i="1" s="1"/>
  <c r="R199" i="1" s="1"/>
  <c r="AM199" i="1"/>
  <c r="O200" i="1" a="1"/>
  <c r="O200" i="1" s="1"/>
  <c r="AP200" i="1" a="1"/>
  <c r="AP200" i="1" s="1"/>
  <c r="AR200" i="1" s="1"/>
  <c r="AS200" i="1" s="1"/>
  <c r="L202" i="1"/>
  <c r="Q202" i="1" s="1"/>
  <c r="R202" i="1" s="1"/>
  <c r="AL201" i="1"/>
  <c r="AK202" i="1"/>
  <c r="AQ201" i="1"/>
  <c r="AN201" i="1"/>
  <c r="AN202" i="1"/>
  <c r="P203" i="1"/>
  <c r="N203" i="1" a="1"/>
  <c r="N203" i="1" s="1"/>
  <c r="J203" i="1"/>
  <c r="M202" i="1"/>
  <c r="M203" i="1"/>
  <c r="N202" i="1" a="1"/>
  <c r="N202" i="1" s="1"/>
  <c r="L203" i="1"/>
  <c r="Q203" i="1" s="1"/>
  <c r="R203" i="1" s="1"/>
  <c r="AP202" i="1" a="1"/>
  <c r="AP202" i="1" s="1"/>
  <c r="AM202" i="1"/>
  <c r="AK203" i="1"/>
  <c r="L204" i="1"/>
  <c r="P204" i="1"/>
  <c r="N206" i="1" a="1"/>
  <c r="N206" i="1" s="1"/>
  <c r="AL205" i="1"/>
  <c r="AM205" i="1"/>
  <c r="AR205" i="1" s="1"/>
  <c r="AS205" i="1" s="1"/>
  <c r="AL206" i="1"/>
  <c r="AQ206" i="1"/>
  <c r="AP206" i="1" a="1"/>
  <c r="AP206" i="1" s="1"/>
  <c r="AR206" i="1" s="1"/>
  <c r="AS206" i="1" s="1"/>
  <c r="AM206" i="1"/>
  <c r="AO207" i="1" a="1"/>
  <c r="AO207" i="1" s="1"/>
  <c r="AO206" i="1" a="1"/>
  <c r="AO206" i="1" s="1"/>
  <c r="AL207" i="1"/>
  <c r="AQ207" i="1"/>
  <c r="O208" i="1" a="1"/>
  <c r="O208" i="1" s="1"/>
  <c r="Q208" i="1" s="1"/>
  <c r="R208" i="1" s="1"/>
  <c r="N209" i="1" a="1"/>
  <c r="N209" i="1" s="1"/>
  <c r="AN209" i="1"/>
  <c r="P210" i="1"/>
  <c r="AQ215" i="1"/>
  <c r="N216" i="1" a="1"/>
  <c r="N216" i="1" s="1"/>
  <c r="AN216" i="1"/>
  <c r="N217" i="1" a="1"/>
  <c r="N217" i="1" s="1"/>
  <c r="O217" i="1" a="1"/>
  <c r="O217" i="1" s="1"/>
  <c r="L217" i="1"/>
  <c r="P218" i="1"/>
  <c r="AL219" i="1"/>
  <c r="AP220" i="1" a="1"/>
  <c r="AP220" i="1" s="1"/>
  <c r="M221" i="1"/>
  <c r="O221" i="1" a="1"/>
  <c r="O221" i="1" s="1"/>
  <c r="Q221" i="1" s="1"/>
  <c r="R221" i="1" s="1"/>
  <c r="L221" i="1"/>
  <c r="P222" i="1"/>
  <c r="L222" i="1"/>
  <c r="Q222" i="1" s="1"/>
  <c r="R222" i="1" s="1"/>
  <c r="N221" i="1" a="1"/>
  <c r="N221" i="1" s="1"/>
  <c r="K222" i="1"/>
  <c r="K224" i="1"/>
  <c r="P225" i="1"/>
  <c r="M225" i="1"/>
  <c r="N224" i="1" a="1"/>
  <c r="N224" i="1" s="1"/>
  <c r="K225" i="1"/>
  <c r="AM225" i="1"/>
  <c r="AQ225" i="1"/>
  <c r="AO226" i="1" a="1"/>
  <c r="AO226" i="1" s="1"/>
  <c r="AO227" i="1" a="1"/>
  <c r="AO227" i="1" s="1"/>
  <c r="M229" i="1"/>
  <c r="O230" i="1" a="1"/>
  <c r="O230" i="1" s="1"/>
  <c r="Q230" i="1" s="1"/>
  <c r="R230" i="1" s="1"/>
  <c r="O231" i="1" a="1"/>
  <c r="O231" i="1" s="1"/>
  <c r="AQ232" i="1"/>
  <c r="AO232" i="1" a="1"/>
  <c r="AO232" i="1" s="1"/>
  <c r="AK232" i="1"/>
  <c r="AN231" i="1"/>
  <c r="AP231" i="1" a="1"/>
  <c r="AP231" i="1" s="1"/>
  <c r="AR231" i="1" s="1"/>
  <c r="AS231" i="1" s="1"/>
  <c r="AL231" i="1"/>
  <c r="AM232" i="1"/>
  <c r="AR232" i="1" s="1"/>
  <c r="AS232" i="1" s="1"/>
  <c r="K232" i="1"/>
  <c r="J233" i="1"/>
  <c r="L232" i="1"/>
  <c r="Q232" i="1" s="1"/>
  <c r="R232" i="1" s="1"/>
  <c r="AM233" i="1"/>
  <c r="AR233" i="1" s="1"/>
  <c r="AS233" i="1" s="1"/>
  <c r="O234" i="1" a="1"/>
  <c r="O234" i="1" s="1"/>
  <c r="O235" i="1" a="1"/>
  <c r="O235" i="1" s="1"/>
  <c r="AP235" i="1" a="1"/>
  <c r="AP235" i="1" s="1"/>
  <c r="K236" i="1"/>
  <c r="O236" i="1" a="1"/>
  <c r="O236" i="1" s="1"/>
  <c r="Q236" i="1" s="1"/>
  <c r="R236" i="1" s="1"/>
  <c r="P237" i="1"/>
  <c r="AN237" i="1"/>
  <c r="AL241" i="1"/>
  <c r="AQ242" i="1"/>
  <c r="AP241" i="1" a="1"/>
  <c r="AP241" i="1" s="1"/>
  <c r="AR241" i="1" s="1"/>
  <c r="AS241" i="1" s="1"/>
  <c r="AL242" i="1"/>
  <c r="P243" i="1"/>
  <c r="N243" i="1" a="1"/>
  <c r="N243" i="1" s="1"/>
  <c r="J243" i="1"/>
  <c r="M242" i="1"/>
  <c r="O243" i="1" a="1"/>
  <c r="O243" i="1" s="1"/>
  <c r="Q243" i="1" s="1"/>
  <c r="R243" i="1" s="1"/>
  <c r="K243" i="1"/>
  <c r="O242" i="1" a="1"/>
  <c r="O242" i="1" s="1"/>
  <c r="K242" i="1"/>
  <c r="M243" i="1"/>
  <c r="AP242" i="1" a="1"/>
  <c r="AP242" i="1" s="1"/>
  <c r="AM242" i="1"/>
  <c r="AQ243" i="1"/>
  <c r="AN242" i="1"/>
  <c r="AL243" i="1"/>
  <c r="AQ244" i="1"/>
  <c r="AO244" i="1" a="1"/>
  <c r="AO244" i="1" s="1"/>
  <c r="AK244" i="1"/>
  <c r="AN243" i="1"/>
  <c r="AP244" i="1" a="1"/>
  <c r="AP244" i="1" s="1"/>
  <c r="AR244" i="1" s="1"/>
  <c r="AS244" i="1" s="1"/>
  <c r="AL244" i="1"/>
  <c r="AM243" i="1"/>
  <c r="AN244" i="1"/>
  <c r="K249" i="1"/>
  <c r="O250" i="1" a="1"/>
  <c r="O250" i="1" s="1"/>
  <c r="Q251" i="1"/>
  <c r="R251" i="1" s="1"/>
  <c r="L274" i="1"/>
  <c r="AQ276" i="1"/>
  <c r="AO276" i="1" a="1"/>
  <c r="AO276" i="1" s="1"/>
  <c r="AK276" i="1"/>
  <c r="AN275" i="1"/>
  <c r="AP276" i="1" a="1"/>
  <c r="AP276" i="1" s="1"/>
  <c r="AR276" i="1" s="1"/>
  <c r="AS276" i="1" s="1"/>
  <c r="AL276" i="1"/>
  <c r="AM275" i="1"/>
  <c r="AP275" i="1" a="1"/>
  <c r="AP275" i="1" s="1"/>
  <c r="AL275" i="1"/>
  <c r="AN276" i="1"/>
  <c r="M277" i="1"/>
  <c r="AP282" i="1" a="1"/>
  <c r="AP282" i="1" s="1"/>
  <c r="AM282" i="1"/>
  <c r="AK283" i="1"/>
  <c r="AO283" i="1" a="1"/>
  <c r="AO283" i="1" s="1"/>
  <c r="AO282" i="1" a="1"/>
  <c r="AO282" i="1" s="1"/>
  <c r="AQ283" i="1"/>
  <c r="AM283" i="1"/>
  <c r="AN282" i="1"/>
  <c r="AP283" i="1" a="1"/>
  <c r="AP283" i="1" s="1"/>
  <c r="K296" i="1"/>
  <c r="J297" i="1"/>
  <c r="L296" i="1"/>
  <c r="O296" i="1" a="1"/>
  <c r="O296" i="1" s="1"/>
  <c r="P297" i="1"/>
  <c r="M297" i="1"/>
  <c r="N296" i="1" a="1"/>
  <c r="N296" i="1" s="1"/>
  <c r="AO297" i="1" a="1"/>
  <c r="AO297" i="1" s="1"/>
  <c r="K303" i="1"/>
  <c r="O303" i="1" a="1"/>
  <c r="O303" i="1" s="1"/>
  <c r="J304" i="1"/>
  <c r="M303" i="1"/>
  <c r="P303" i="1"/>
  <c r="L303" i="1"/>
  <c r="M304" i="1"/>
  <c r="P304" i="1"/>
  <c r="AQ330" i="1"/>
  <c r="AL254" i="1"/>
  <c r="AP254" i="1" a="1"/>
  <c r="AP254" i="1" s="1"/>
  <c r="AR254" i="1" s="1"/>
  <c r="AS254" i="1" s="1"/>
  <c r="AM254" i="1"/>
  <c r="AL255" i="1"/>
  <c r="AP255" i="1" a="1"/>
  <c r="AP255" i="1" s="1"/>
  <c r="P263" i="1"/>
  <c r="N263" i="1" a="1"/>
  <c r="N263" i="1" s="1"/>
  <c r="J263" i="1"/>
  <c r="M262" i="1"/>
  <c r="L263" i="1"/>
  <c r="Q263" i="1" s="1"/>
  <c r="R263" i="1" s="1"/>
  <c r="AQ264" i="1"/>
  <c r="AO264" i="1" a="1"/>
  <c r="AO264" i="1" s="1"/>
  <c r="AK264" i="1"/>
  <c r="AN263" i="1"/>
  <c r="AM264" i="1"/>
  <c r="AR264" i="1" s="1"/>
  <c r="AS264" i="1" s="1"/>
  <c r="O265" i="1" a="1"/>
  <c r="O265" i="1" s="1"/>
  <c r="L265" i="1"/>
  <c r="K266" i="1"/>
  <c r="O266" i="1" a="1"/>
  <c r="O266" i="1" s="1"/>
  <c r="K269" i="1"/>
  <c r="AL270" i="1"/>
  <c r="AP270" i="1" a="1"/>
  <c r="AP270" i="1" s="1"/>
  <c r="AR270" i="1" s="1"/>
  <c r="AS270" i="1" s="1"/>
  <c r="AM270" i="1"/>
  <c r="AL271" i="1"/>
  <c r="AP271" i="1" a="1"/>
  <c r="AP271" i="1" s="1"/>
  <c r="P279" i="1"/>
  <c r="N279" i="1" a="1"/>
  <c r="N279" i="1" s="1"/>
  <c r="J279" i="1"/>
  <c r="M278" i="1"/>
  <c r="L279" i="1"/>
  <c r="Q279" i="1" s="1"/>
  <c r="R279" i="1" s="1"/>
  <c r="AQ280" i="1"/>
  <c r="AO280" i="1" a="1"/>
  <c r="AO280" i="1" s="1"/>
  <c r="AK280" i="1"/>
  <c r="AN279" i="1"/>
  <c r="AM280" i="1"/>
  <c r="AR280" i="1" s="1"/>
  <c r="AS280" i="1" s="1"/>
  <c r="O281" i="1" a="1"/>
  <c r="O281" i="1" s="1"/>
  <c r="L281" i="1"/>
  <c r="K282" i="1"/>
  <c r="O282" i="1" a="1"/>
  <c r="O282" i="1" s="1"/>
  <c r="K285" i="1"/>
  <c r="AL286" i="1"/>
  <c r="AP286" i="1" a="1"/>
  <c r="AP286" i="1" s="1"/>
  <c r="AR286" i="1" s="1"/>
  <c r="AS286" i="1" s="1"/>
  <c r="AM286" i="1"/>
  <c r="AL287" i="1"/>
  <c r="AP287" i="1" a="1"/>
  <c r="AP287" i="1" s="1"/>
  <c r="P295" i="1"/>
  <c r="N295" i="1" a="1"/>
  <c r="N295" i="1" s="1"/>
  <c r="J295" i="1"/>
  <c r="M294" i="1"/>
  <c r="L295" i="1"/>
  <c r="Q295" i="1" s="1"/>
  <c r="R295" i="1" s="1"/>
  <c r="AQ296" i="1"/>
  <c r="AO296" i="1" a="1"/>
  <c r="AO296" i="1" s="1"/>
  <c r="AK296" i="1"/>
  <c r="AN295" i="1"/>
  <c r="AM296" i="1"/>
  <c r="AR296" i="1" s="1"/>
  <c r="AS296" i="1" s="1"/>
  <c r="O297" i="1" a="1"/>
  <c r="O297" i="1" s="1"/>
  <c r="L297" i="1"/>
  <c r="K298" i="1"/>
  <c r="O298" i="1" a="1"/>
  <c r="O298" i="1" s="1"/>
  <c r="K301" i="1"/>
  <c r="AL302" i="1"/>
  <c r="O304" i="1" a="1"/>
  <c r="O304" i="1" s="1"/>
  <c r="Q304" i="1" s="1"/>
  <c r="R304" i="1" s="1"/>
  <c r="L304" i="1"/>
  <c r="P305" i="1"/>
  <c r="L305" i="1"/>
  <c r="Q305" i="1" s="1"/>
  <c r="R305" i="1" s="1"/>
  <c r="N304" i="1" a="1"/>
  <c r="N304" i="1" s="1"/>
  <c r="K305" i="1"/>
  <c r="K307" i="1"/>
  <c r="P308" i="1"/>
  <c r="M308" i="1"/>
  <c r="N307" i="1" a="1"/>
  <c r="N307" i="1" s="1"/>
  <c r="K308" i="1"/>
  <c r="AQ315" i="1"/>
  <c r="AO315" i="1" a="1"/>
  <c r="AO315" i="1" s="1"/>
  <c r="AK315" i="1"/>
  <c r="AN314" i="1"/>
  <c r="AP314" i="1" a="1"/>
  <c r="AP314" i="1" s="1"/>
  <c r="AL314" i="1"/>
  <c r="AM315" i="1"/>
  <c r="K315" i="1"/>
  <c r="J316" i="1"/>
  <c r="L315" i="1"/>
  <c r="M316" i="1"/>
  <c r="AL316" i="1"/>
  <c r="AK317" i="1"/>
  <c r="AQ316" i="1"/>
  <c r="AN316" i="1"/>
  <c r="AN317" i="1"/>
  <c r="AP317" i="1" a="1"/>
  <c r="AP317" i="1" s="1"/>
  <c r="AM317" i="1"/>
  <c r="AK318" i="1"/>
  <c r="AO318" i="1" a="1"/>
  <c r="AO318" i="1" s="1"/>
  <c r="AO317" i="1" a="1"/>
  <c r="AO317" i="1" s="1"/>
  <c r="AM318" i="1"/>
  <c r="K319" i="1"/>
  <c r="O319" i="1" a="1"/>
  <c r="O319" i="1" s="1"/>
  <c r="P320" i="1"/>
  <c r="M320" i="1"/>
  <c r="N319" i="1" a="1"/>
  <c r="N319" i="1" s="1"/>
  <c r="K320" i="1"/>
  <c r="P326" i="1"/>
  <c r="N326" i="1" a="1"/>
  <c r="N326" i="1" s="1"/>
  <c r="J326" i="1"/>
  <c r="M325" i="1"/>
  <c r="O326" i="1" a="1"/>
  <c r="O326" i="1" s="1"/>
  <c r="Q326" i="1" s="1"/>
  <c r="R326" i="1" s="1"/>
  <c r="K326" i="1"/>
  <c r="O325" i="1" a="1"/>
  <c r="O325" i="1" s="1"/>
  <c r="Q325" i="1" s="1"/>
  <c r="R325" i="1" s="1"/>
  <c r="K325" i="1"/>
  <c r="M326" i="1"/>
  <c r="AP337" i="1" a="1"/>
  <c r="AP337" i="1" s="1"/>
  <c r="AR337" i="1" s="1"/>
  <c r="AS337" i="1" s="1"/>
  <c r="AM337" i="1"/>
  <c r="AO338" i="1" a="1"/>
  <c r="AO338" i="1" s="1"/>
  <c r="AO337" i="1" a="1"/>
  <c r="AO337" i="1" s="1"/>
  <c r="AQ338" i="1"/>
  <c r="AM338" i="1"/>
  <c r="AN337" i="1"/>
  <c r="AL338" i="1"/>
  <c r="AQ343" i="1"/>
  <c r="AO343" i="1" a="1"/>
  <c r="AO343" i="1" s="1"/>
  <c r="AK343" i="1"/>
  <c r="AN342" i="1"/>
  <c r="AP343" i="1" a="1"/>
  <c r="AP343" i="1" s="1"/>
  <c r="AR343" i="1" s="1"/>
  <c r="AS343" i="1" s="1"/>
  <c r="AL343" i="1"/>
  <c r="AM342" i="1"/>
  <c r="AP342" i="1" a="1"/>
  <c r="AP342" i="1" s="1"/>
  <c r="AL342" i="1"/>
  <c r="AN343" i="1"/>
  <c r="P346" i="1"/>
  <c r="N346" i="1" a="1"/>
  <c r="N346" i="1" s="1"/>
  <c r="J346" i="1"/>
  <c r="M345" i="1"/>
  <c r="M346" i="1"/>
  <c r="N345" i="1" a="1"/>
  <c r="N345" i="1" s="1"/>
  <c r="L346" i="1"/>
  <c r="AQ347" i="1"/>
  <c r="AO347" i="1" a="1"/>
  <c r="AO347" i="1" s="1"/>
  <c r="AK347" i="1"/>
  <c r="AN346" i="1"/>
  <c r="AP346" i="1" a="1"/>
  <c r="AP346" i="1" s="1"/>
  <c r="AL346" i="1"/>
  <c r="AN347" i="1"/>
  <c r="AM347" i="1"/>
  <c r="O360" i="1" a="1"/>
  <c r="O360" i="1" s="1"/>
  <c r="L360" i="1"/>
  <c r="J361" i="1"/>
  <c r="K360" i="1"/>
  <c r="L361" i="1"/>
  <c r="Q367" i="1"/>
  <c r="R367" i="1" s="1"/>
  <c r="P370" i="1"/>
  <c r="N370" i="1" a="1"/>
  <c r="N370" i="1" s="1"/>
  <c r="J370" i="1"/>
  <c r="M369" i="1"/>
  <c r="M370" i="1"/>
  <c r="O369" i="1" a="1"/>
  <c r="O369" i="1" s="1"/>
  <c r="L369" i="1"/>
  <c r="K370" i="1"/>
  <c r="O370" i="1" a="1"/>
  <c r="O370" i="1" s="1"/>
  <c r="Q370" i="1" s="1"/>
  <c r="R370" i="1" s="1"/>
  <c r="N369" i="1" a="1"/>
  <c r="N369" i="1" s="1"/>
  <c r="Q375" i="1"/>
  <c r="R375" i="1" s="1"/>
  <c r="P378" i="1"/>
  <c r="N378" i="1" a="1"/>
  <c r="N378" i="1" s="1"/>
  <c r="J378" i="1"/>
  <c r="M377" i="1"/>
  <c r="M378" i="1"/>
  <c r="O377" i="1" a="1"/>
  <c r="O377" i="1" s="1"/>
  <c r="L377" i="1"/>
  <c r="K378" i="1"/>
  <c r="O378" i="1" a="1"/>
  <c r="O378" i="1" s="1"/>
  <c r="Q378" i="1" s="1"/>
  <c r="R378" i="1" s="1"/>
  <c r="N377" i="1" a="1"/>
  <c r="N377" i="1" s="1"/>
  <c r="Q383" i="1"/>
  <c r="R383" i="1" s="1"/>
  <c r="P386" i="1"/>
  <c r="N386" i="1" a="1"/>
  <c r="N386" i="1" s="1"/>
  <c r="J386" i="1"/>
  <c r="M385" i="1"/>
  <c r="M386" i="1"/>
  <c r="O385" i="1" a="1"/>
  <c r="O385" i="1" s="1"/>
  <c r="L385" i="1"/>
  <c r="K386" i="1"/>
  <c r="O386" i="1" a="1"/>
  <c r="O386" i="1" s="1"/>
  <c r="Q386" i="1" s="1"/>
  <c r="R386" i="1" s="1"/>
  <c r="N385" i="1" a="1"/>
  <c r="N385" i="1" s="1"/>
  <c r="Q391" i="1"/>
  <c r="R391" i="1" s="1"/>
  <c r="P394" i="1"/>
  <c r="N394" i="1" a="1"/>
  <c r="N394" i="1" s="1"/>
  <c r="J394" i="1"/>
  <c r="M393" i="1"/>
  <c r="M394" i="1"/>
  <c r="O393" i="1" a="1"/>
  <c r="O393" i="1" s="1"/>
  <c r="L393" i="1"/>
  <c r="K394" i="1"/>
  <c r="O394" i="1" a="1"/>
  <c r="O394" i="1" s="1"/>
  <c r="Q394" i="1" s="1"/>
  <c r="R394" i="1" s="1"/>
  <c r="N393" i="1" a="1"/>
  <c r="N393" i="1" s="1"/>
  <c r="AQ395" i="1"/>
  <c r="AO395" i="1" a="1"/>
  <c r="AO395" i="1" s="1"/>
  <c r="AK395" i="1"/>
  <c r="AN394" i="1"/>
  <c r="AN395" i="1"/>
  <c r="AP394" i="1" a="1"/>
  <c r="AP394" i="1" s="1"/>
  <c r="AM394" i="1"/>
  <c r="AL395" i="1"/>
  <c r="AP395" i="1" a="1"/>
  <c r="AP395" i="1" s="1"/>
  <c r="AR395" i="1" s="1"/>
  <c r="AS395" i="1" s="1"/>
  <c r="AR404" i="1"/>
  <c r="AS404" i="1" s="1"/>
  <c r="AP413" i="1" a="1"/>
  <c r="AP413" i="1" s="1"/>
  <c r="AM413" i="1"/>
  <c r="AO414" i="1" a="1"/>
  <c r="AO414" i="1" s="1"/>
  <c r="AO413" i="1" a="1"/>
  <c r="AO413" i="1" s="1"/>
  <c r="AQ414" i="1"/>
  <c r="AM414" i="1"/>
  <c r="AN413" i="1"/>
  <c r="AK414" i="1"/>
  <c r="AP414" i="1" a="1"/>
  <c r="AP414" i="1" s="1"/>
  <c r="AL413" i="1"/>
  <c r="P251" i="1"/>
  <c r="N251" i="1" a="1"/>
  <c r="N251" i="1" s="1"/>
  <c r="J251" i="1"/>
  <c r="M250" i="1"/>
  <c r="L251" i="1"/>
  <c r="AQ252" i="1"/>
  <c r="AO252" i="1" a="1"/>
  <c r="AO252" i="1" s="1"/>
  <c r="AK252" i="1"/>
  <c r="AN251" i="1"/>
  <c r="AM252" i="1"/>
  <c r="AR252" i="1" s="1"/>
  <c r="AS252" i="1" s="1"/>
  <c r="AP253" i="1" a="1"/>
  <c r="AP253" i="1" s="1"/>
  <c r="O253" i="1" a="1"/>
  <c r="O253" i="1" s="1"/>
  <c r="L253" i="1"/>
  <c r="K254" i="1"/>
  <c r="O254" i="1" a="1"/>
  <c r="O254" i="1" s="1"/>
  <c r="AN254" i="1"/>
  <c r="AQ254" i="1"/>
  <c r="AM255" i="1"/>
  <c r="AQ255" i="1"/>
  <c r="K257" i="1"/>
  <c r="AL258" i="1"/>
  <c r="AP258" i="1" a="1"/>
  <c r="AP258" i="1" s="1"/>
  <c r="AR258" i="1" s="1"/>
  <c r="AS258" i="1" s="1"/>
  <c r="AM258" i="1"/>
  <c r="N262" i="1" a="1"/>
  <c r="N262" i="1" s="1"/>
  <c r="M263" i="1"/>
  <c r="AN264" i="1"/>
  <c r="N265" i="1" a="1"/>
  <c r="N265" i="1" s="1"/>
  <c r="L266" i="1"/>
  <c r="P266" i="1"/>
  <c r="P267" i="1"/>
  <c r="N267" i="1" a="1"/>
  <c r="N267" i="1" s="1"/>
  <c r="J267" i="1"/>
  <c r="M266" i="1"/>
  <c r="L267" i="1"/>
  <c r="Q267" i="1" s="1"/>
  <c r="R267" i="1" s="1"/>
  <c r="N268" i="1" a="1"/>
  <c r="N268" i="1" s="1"/>
  <c r="AQ268" i="1"/>
  <c r="AO268" i="1" a="1"/>
  <c r="AO268" i="1" s="1"/>
  <c r="AK268" i="1"/>
  <c r="AN267" i="1"/>
  <c r="AM268" i="1"/>
  <c r="AR268" i="1" s="1"/>
  <c r="AS268" i="1" s="1"/>
  <c r="M269" i="1"/>
  <c r="P269" i="1"/>
  <c r="AP269" i="1" a="1"/>
  <c r="AP269" i="1" s="1"/>
  <c r="O269" i="1" a="1"/>
  <c r="O269" i="1" s="1"/>
  <c r="L269" i="1"/>
  <c r="K270" i="1"/>
  <c r="O270" i="1" a="1"/>
  <c r="O270" i="1" s="1"/>
  <c r="AN270" i="1"/>
  <c r="AQ270" i="1"/>
  <c r="AM271" i="1"/>
  <c r="AQ271" i="1"/>
  <c r="K273" i="1"/>
  <c r="AL274" i="1"/>
  <c r="AP274" i="1" a="1"/>
  <c r="AP274" i="1" s="1"/>
  <c r="AR274" i="1" s="1"/>
  <c r="AS274" i="1" s="1"/>
  <c r="AM274" i="1"/>
  <c r="N278" i="1" a="1"/>
  <c r="N278" i="1" s="1"/>
  <c r="M279" i="1"/>
  <c r="AN280" i="1"/>
  <c r="N281" i="1" a="1"/>
  <c r="N281" i="1" s="1"/>
  <c r="L282" i="1"/>
  <c r="P282" i="1"/>
  <c r="P283" i="1"/>
  <c r="N283" i="1" a="1"/>
  <c r="N283" i="1" s="1"/>
  <c r="J283" i="1"/>
  <c r="M282" i="1"/>
  <c r="L283" i="1"/>
  <c r="Q283" i="1" s="1"/>
  <c r="R283" i="1" s="1"/>
  <c r="N284" i="1" a="1"/>
  <c r="N284" i="1" s="1"/>
  <c r="AQ284" i="1"/>
  <c r="AO284" i="1" a="1"/>
  <c r="AO284" i="1" s="1"/>
  <c r="AK284" i="1"/>
  <c r="AN283" i="1"/>
  <c r="AM284" i="1"/>
  <c r="AR284" i="1" s="1"/>
  <c r="AS284" i="1" s="1"/>
  <c r="M285" i="1"/>
  <c r="P285" i="1"/>
  <c r="AP285" i="1" a="1"/>
  <c r="AP285" i="1" s="1"/>
  <c r="O285" i="1" a="1"/>
  <c r="O285" i="1" s="1"/>
  <c r="L285" i="1"/>
  <c r="K286" i="1"/>
  <c r="O286" i="1" a="1"/>
  <c r="O286" i="1" s="1"/>
  <c r="AN286" i="1"/>
  <c r="AQ286" i="1"/>
  <c r="AM287" i="1"/>
  <c r="AQ287" i="1"/>
  <c r="K289" i="1"/>
  <c r="AL290" i="1"/>
  <c r="AP290" i="1" a="1"/>
  <c r="AP290" i="1" s="1"/>
  <c r="AR290" i="1" s="1"/>
  <c r="AS290" i="1" s="1"/>
  <c r="AM290" i="1"/>
  <c r="N294" i="1" a="1"/>
  <c r="N294" i="1" s="1"/>
  <c r="M295" i="1"/>
  <c r="AN296" i="1"/>
  <c r="N297" i="1" a="1"/>
  <c r="N297" i="1" s="1"/>
  <c r="L298" i="1"/>
  <c r="P298" i="1"/>
  <c r="P299" i="1"/>
  <c r="N299" i="1" a="1"/>
  <c r="N299" i="1" s="1"/>
  <c r="J299" i="1"/>
  <c r="M298" i="1"/>
  <c r="L299" i="1"/>
  <c r="Q299" i="1" s="1"/>
  <c r="R299" i="1" s="1"/>
  <c r="N300" i="1" a="1"/>
  <c r="N300" i="1" s="1"/>
  <c r="AQ300" i="1"/>
  <c r="AO300" i="1" a="1"/>
  <c r="AO300" i="1" s="1"/>
  <c r="AK300" i="1"/>
  <c r="AN299" i="1"/>
  <c r="AM300" i="1"/>
  <c r="AR300" i="1" s="1"/>
  <c r="AS300" i="1" s="1"/>
  <c r="M301" i="1"/>
  <c r="P301" i="1"/>
  <c r="AP301" i="1" a="1"/>
  <c r="AP301" i="1" s="1"/>
  <c r="O301" i="1" a="1"/>
  <c r="O301" i="1" s="1"/>
  <c r="L301" i="1"/>
  <c r="K302" i="1"/>
  <c r="O302" i="1" a="1"/>
  <c r="O302" i="1" s="1"/>
  <c r="AN302" i="1"/>
  <c r="AQ302" i="1"/>
  <c r="AR304" i="1"/>
  <c r="AS304" i="1" s="1"/>
  <c r="N305" i="1" a="1"/>
  <c r="N305" i="1" s="1"/>
  <c r="AL304" i="1"/>
  <c r="AM304" i="1"/>
  <c r="AL305" i="1"/>
  <c r="AQ305" i="1"/>
  <c r="AP305" i="1" a="1"/>
  <c r="AP305" i="1" s="1"/>
  <c r="AM305" i="1"/>
  <c r="AO306" i="1" a="1"/>
  <c r="AO306" i="1" s="1"/>
  <c r="AO305" i="1" a="1"/>
  <c r="AO305" i="1" s="1"/>
  <c r="AL306" i="1"/>
  <c r="AQ306" i="1"/>
  <c r="O307" i="1" a="1"/>
  <c r="O307" i="1" s="1"/>
  <c r="Q307" i="1" s="1"/>
  <c r="R307" i="1" s="1"/>
  <c r="N308" i="1" a="1"/>
  <c r="N308" i="1" s="1"/>
  <c r="AQ314" i="1"/>
  <c r="N315" i="1" a="1"/>
  <c r="N315" i="1" s="1"/>
  <c r="AN315" i="1"/>
  <c r="N316" i="1" a="1"/>
  <c r="N316" i="1" s="1"/>
  <c r="AO316" i="1" a="1"/>
  <c r="AO316" i="1" s="1"/>
  <c r="O316" i="1" a="1"/>
  <c r="O316" i="1" s="1"/>
  <c r="L316" i="1"/>
  <c r="P317" i="1"/>
  <c r="L317" i="1"/>
  <c r="Q317" i="1" s="1"/>
  <c r="R317" i="1" s="1"/>
  <c r="K317" i="1"/>
  <c r="AP318" i="1" a="1"/>
  <c r="AP318" i="1" s="1"/>
  <c r="AR318" i="1" s="1"/>
  <c r="AS318" i="1" s="1"/>
  <c r="P319" i="1"/>
  <c r="AL320" i="1"/>
  <c r="AM320" i="1"/>
  <c r="AQ321" i="1"/>
  <c r="AP320" i="1" a="1"/>
  <c r="AP320" i="1" s="1"/>
  <c r="P325" i="1"/>
  <c r="K331" i="1"/>
  <c r="J332" i="1"/>
  <c r="L331" i="1"/>
  <c r="O331" i="1" a="1"/>
  <c r="O331" i="1" s="1"/>
  <c r="M332" i="1"/>
  <c r="AL332" i="1"/>
  <c r="AK333" i="1"/>
  <c r="AQ332" i="1"/>
  <c r="AN332" i="1"/>
  <c r="AM332" i="1"/>
  <c r="AR332" i="1" s="1"/>
  <c r="AS332" i="1" s="1"/>
  <c r="AN333" i="1"/>
  <c r="AP333" i="1" a="1"/>
  <c r="AP333" i="1" s="1"/>
  <c r="AM333" i="1"/>
  <c r="AK334" i="1"/>
  <c r="AO334" i="1" a="1"/>
  <c r="AO334" i="1" s="1"/>
  <c r="AO333" i="1" a="1"/>
  <c r="AO333" i="1" s="1"/>
  <c r="AM334" i="1"/>
  <c r="K335" i="1"/>
  <c r="O335" i="1" a="1"/>
  <c r="O335" i="1" s="1"/>
  <c r="Q335" i="1" s="1"/>
  <c r="R335" i="1" s="1"/>
  <c r="P336" i="1"/>
  <c r="M336" i="1"/>
  <c r="N335" i="1" a="1"/>
  <c r="N335" i="1" s="1"/>
  <c r="K336" i="1"/>
  <c r="P342" i="1"/>
  <c r="N342" i="1" a="1"/>
  <c r="N342" i="1" s="1"/>
  <c r="J342" i="1"/>
  <c r="M341" i="1"/>
  <c r="O342" i="1" a="1"/>
  <c r="O342" i="1" s="1"/>
  <c r="Q342" i="1" s="1"/>
  <c r="R342" i="1" s="1"/>
  <c r="K342" i="1"/>
  <c r="O341" i="1" a="1"/>
  <c r="O341" i="1" s="1"/>
  <c r="Q341" i="1" s="1"/>
  <c r="R341" i="1" s="1"/>
  <c r="K341" i="1"/>
  <c r="M342" i="1"/>
  <c r="O346" i="1" a="1"/>
  <c r="O346" i="1" s="1"/>
  <c r="AP347" i="1" a="1"/>
  <c r="AP347" i="1" s="1"/>
  <c r="AR347" i="1" s="1"/>
  <c r="AS347" i="1" s="1"/>
  <c r="AP353" i="1" a="1"/>
  <c r="AP353" i="1" s="1"/>
  <c r="AM353" i="1"/>
  <c r="AO354" i="1" a="1"/>
  <c r="AO354" i="1" s="1"/>
  <c r="AO353" i="1" a="1"/>
  <c r="AO353" i="1" s="1"/>
  <c r="AQ354" i="1"/>
  <c r="AM354" i="1"/>
  <c r="AR354" i="1" s="1"/>
  <c r="AS354" i="1" s="1"/>
  <c r="AN353" i="1"/>
  <c r="AL354" i="1"/>
  <c r="AQ359" i="1"/>
  <c r="AO359" i="1" a="1"/>
  <c r="AO359" i="1" s="1"/>
  <c r="AK359" i="1"/>
  <c r="AN358" i="1"/>
  <c r="AP359" i="1" a="1"/>
  <c r="AP359" i="1" s="1"/>
  <c r="AR359" i="1" s="1"/>
  <c r="AS359" i="1" s="1"/>
  <c r="AL359" i="1"/>
  <c r="AM358" i="1"/>
  <c r="AP358" i="1" a="1"/>
  <c r="AP358" i="1" s="1"/>
  <c r="AR358" i="1" s="1"/>
  <c r="AS358" i="1" s="1"/>
  <c r="AL358" i="1"/>
  <c r="AN359" i="1"/>
  <c r="P360" i="1"/>
  <c r="O361" i="1" a="1"/>
  <c r="O361" i="1" s="1"/>
  <c r="Q361" i="1" s="1"/>
  <c r="R361" i="1" s="1"/>
  <c r="P362" i="1"/>
  <c r="N362" i="1" a="1"/>
  <c r="N362" i="1" s="1"/>
  <c r="J362" i="1"/>
  <c r="M361" i="1"/>
  <c r="M362" i="1"/>
  <c r="N361" i="1" a="1"/>
  <c r="N361" i="1" s="1"/>
  <c r="L362" i="1"/>
  <c r="AQ363" i="1"/>
  <c r="AO363" i="1" a="1"/>
  <c r="AO363" i="1" s="1"/>
  <c r="AK363" i="1"/>
  <c r="AN362" i="1"/>
  <c r="AP362" i="1" a="1"/>
  <c r="AP362" i="1" s="1"/>
  <c r="AR362" i="1" s="1"/>
  <c r="AS362" i="1" s="1"/>
  <c r="AL362" i="1"/>
  <c r="AN363" i="1"/>
  <c r="AM363" i="1"/>
  <c r="O368" i="1" a="1"/>
  <c r="O368" i="1" s="1"/>
  <c r="L368" i="1"/>
  <c r="K368" i="1"/>
  <c r="M368" i="1"/>
  <c r="P368" i="1"/>
  <c r="K369" i="1"/>
  <c r="AP369" i="1" a="1"/>
  <c r="AP369" i="1" s="1"/>
  <c r="AM369" i="1"/>
  <c r="AL369" i="1"/>
  <c r="AQ370" i="1"/>
  <c r="AK370" i="1"/>
  <c r="AO369" i="1" a="1"/>
  <c r="AO369" i="1" s="1"/>
  <c r="AO370" i="1" a="1"/>
  <c r="AO370" i="1" s="1"/>
  <c r="O376" i="1" a="1"/>
  <c r="O376" i="1" s="1"/>
  <c r="L376" i="1"/>
  <c r="K376" i="1"/>
  <c r="M376" i="1"/>
  <c r="P376" i="1"/>
  <c r="K377" i="1"/>
  <c r="AP377" i="1" a="1"/>
  <c r="AP377" i="1" s="1"/>
  <c r="AM377" i="1"/>
  <c r="AL377" i="1"/>
  <c r="AQ378" i="1"/>
  <c r="AK378" i="1"/>
  <c r="AO377" i="1" a="1"/>
  <c r="AO377" i="1" s="1"/>
  <c r="AO378" i="1" a="1"/>
  <c r="AO378" i="1" s="1"/>
  <c r="O384" i="1" a="1"/>
  <c r="O384" i="1" s="1"/>
  <c r="L384" i="1"/>
  <c r="K384" i="1"/>
  <c r="M384" i="1"/>
  <c r="P384" i="1"/>
  <c r="K385" i="1"/>
  <c r="AP385" i="1" a="1"/>
  <c r="AP385" i="1" s="1"/>
  <c r="AM385" i="1"/>
  <c r="AL385" i="1"/>
  <c r="AQ386" i="1"/>
  <c r="AK386" i="1"/>
  <c r="AO385" i="1" a="1"/>
  <c r="AO385" i="1" s="1"/>
  <c r="AO386" i="1" a="1"/>
  <c r="AO386" i="1" s="1"/>
  <c r="O392" i="1" a="1"/>
  <c r="O392" i="1" s="1"/>
  <c r="L392" i="1"/>
  <c r="K392" i="1"/>
  <c r="M392" i="1"/>
  <c r="P392" i="1"/>
  <c r="K393" i="1"/>
  <c r="AP393" i="1" a="1"/>
  <c r="AP393" i="1" s="1"/>
  <c r="AM393" i="1"/>
  <c r="AL393" i="1"/>
  <c r="AQ394" i="1"/>
  <c r="AK394" i="1"/>
  <c r="AO393" i="1" a="1"/>
  <c r="AO393" i="1" s="1"/>
  <c r="AO394" i="1" a="1"/>
  <c r="AO394" i="1" s="1"/>
  <c r="K395" i="1"/>
  <c r="P396" i="1"/>
  <c r="M396" i="1"/>
  <c r="P395" i="1"/>
  <c r="N395" i="1" a="1"/>
  <c r="N395" i="1" s="1"/>
  <c r="J396" i="1"/>
  <c r="O395" i="1" a="1"/>
  <c r="O395" i="1" s="1"/>
  <c r="AL396" i="1"/>
  <c r="AM396" i="1"/>
  <c r="AQ397" i="1"/>
  <c r="AP396" i="1" a="1"/>
  <c r="AP396" i="1" s="1"/>
  <c r="AO396" i="1" a="1"/>
  <c r="AO396" i="1" s="1"/>
  <c r="AN396" i="1"/>
  <c r="AL397" i="1"/>
  <c r="AL408" i="1"/>
  <c r="AK409" i="1"/>
  <c r="AQ408" i="1"/>
  <c r="AN408" i="1"/>
  <c r="AM408" i="1"/>
  <c r="AQ409" i="1"/>
  <c r="AO408" i="1" a="1"/>
  <c r="AO408" i="1" s="1"/>
  <c r="AN409" i="1"/>
  <c r="K411" i="1"/>
  <c r="O411" i="1" a="1"/>
  <c r="O411" i="1" s="1"/>
  <c r="P412" i="1"/>
  <c r="M412" i="1"/>
  <c r="N411" i="1" a="1"/>
  <c r="N411" i="1" s="1"/>
  <c r="L411" i="1"/>
  <c r="P411" i="1"/>
  <c r="K412" i="1"/>
  <c r="AQ419" i="1"/>
  <c r="AO419" i="1" a="1"/>
  <c r="AO419" i="1" s="1"/>
  <c r="AK419" i="1"/>
  <c r="AN418" i="1"/>
  <c r="AP419" i="1" a="1"/>
  <c r="AP419" i="1" s="1"/>
  <c r="AL419" i="1"/>
  <c r="AM418" i="1"/>
  <c r="AP418" i="1" a="1"/>
  <c r="AP418" i="1" s="1"/>
  <c r="AL418" i="1"/>
  <c r="AM419" i="1"/>
  <c r="AO418" i="1" a="1"/>
  <c r="AO418" i="1" s="1"/>
  <c r="P422" i="1"/>
  <c r="N422" i="1" a="1"/>
  <c r="N422" i="1" s="1"/>
  <c r="J422" i="1"/>
  <c r="M421" i="1"/>
  <c r="M422" i="1"/>
  <c r="N421" i="1" a="1"/>
  <c r="N421" i="1" s="1"/>
  <c r="K422" i="1"/>
  <c r="L421" i="1"/>
  <c r="Q421" i="1" s="1"/>
  <c r="R421" i="1" s="1"/>
  <c r="K421" i="1"/>
  <c r="O422" i="1" a="1"/>
  <c r="O422" i="1" s="1"/>
  <c r="Q422" i="1" s="1"/>
  <c r="R422" i="1" s="1"/>
  <c r="O424" i="1" a="1"/>
  <c r="O424" i="1" s="1"/>
  <c r="L424" i="1"/>
  <c r="K424" i="1"/>
  <c r="P425" i="1"/>
  <c r="J425" i="1"/>
  <c r="N424" i="1" a="1"/>
  <c r="N424" i="1" s="1"/>
  <c r="M424" i="1"/>
  <c r="K425" i="1"/>
  <c r="P424" i="1"/>
  <c r="AR441" i="1"/>
  <c r="AS441" i="1" s="1"/>
  <c r="P143" i="1"/>
  <c r="N143" i="1" a="1"/>
  <c r="N143" i="1" s="1"/>
  <c r="J143" i="1"/>
  <c r="M142" i="1"/>
  <c r="L143" i="1"/>
  <c r="Q143" i="1" s="1"/>
  <c r="R143" i="1" s="1"/>
  <c r="AQ144" i="1"/>
  <c r="AO144" i="1" a="1"/>
  <c r="AO144" i="1" s="1"/>
  <c r="AK144" i="1"/>
  <c r="AN143" i="1"/>
  <c r="AM144" i="1"/>
  <c r="AR144" i="1" s="1"/>
  <c r="AS144" i="1" s="1"/>
  <c r="O145" i="1" a="1"/>
  <c r="O145" i="1" s="1"/>
  <c r="L145" i="1"/>
  <c r="AL150" i="1"/>
  <c r="AP150" i="1" a="1"/>
  <c r="AP150" i="1" s="1"/>
  <c r="AM150" i="1"/>
  <c r="P159" i="1"/>
  <c r="N159" i="1" a="1"/>
  <c r="N159" i="1" s="1"/>
  <c r="J159" i="1"/>
  <c r="M158" i="1"/>
  <c r="L159" i="1"/>
  <c r="Q159" i="1" s="1"/>
  <c r="R159" i="1" s="1"/>
  <c r="AQ160" i="1"/>
  <c r="AO160" i="1" a="1"/>
  <c r="AO160" i="1" s="1"/>
  <c r="AK160" i="1"/>
  <c r="AN159" i="1"/>
  <c r="AM160" i="1"/>
  <c r="AR160" i="1" s="1"/>
  <c r="AS160" i="1" s="1"/>
  <c r="O161" i="1" a="1"/>
  <c r="O161" i="1" s="1"/>
  <c r="L161" i="1"/>
  <c r="AL166" i="1"/>
  <c r="AP166" i="1" a="1"/>
  <c r="AP166" i="1" s="1"/>
  <c r="AM166" i="1"/>
  <c r="P175" i="1"/>
  <c r="N175" i="1" a="1"/>
  <c r="N175" i="1" s="1"/>
  <c r="J175" i="1"/>
  <c r="M174" i="1"/>
  <c r="L175" i="1"/>
  <c r="Q175" i="1" s="1"/>
  <c r="R175" i="1" s="1"/>
  <c r="AQ176" i="1"/>
  <c r="AO176" i="1" a="1"/>
  <c r="AO176" i="1" s="1"/>
  <c r="AK176" i="1"/>
  <c r="AN175" i="1"/>
  <c r="AM176" i="1"/>
  <c r="AR176" i="1" s="1"/>
  <c r="AS176" i="1" s="1"/>
  <c r="O177" i="1" a="1"/>
  <c r="O177" i="1" s="1"/>
  <c r="L177" i="1"/>
  <c r="AL182" i="1"/>
  <c r="AP182" i="1" a="1"/>
  <c r="AP182" i="1" s="1"/>
  <c r="AM182" i="1"/>
  <c r="P191" i="1"/>
  <c r="N191" i="1" a="1"/>
  <c r="N191" i="1" s="1"/>
  <c r="J191" i="1"/>
  <c r="M190" i="1"/>
  <c r="L191" i="1"/>
  <c r="Q191" i="1" s="1"/>
  <c r="R191" i="1" s="1"/>
  <c r="AQ192" i="1"/>
  <c r="AO192" i="1" a="1"/>
  <c r="AO192" i="1" s="1"/>
  <c r="AK192" i="1"/>
  <c r="AN191" i="1"/>
  <c r="AM192" i="1"/>
  <c r="AR192" i="1" s="1"/>
  <c r="AS192" i="1" s="1"/>
  <c r="O193" i="1" a="1"/>
  <c r="O193" i="1" s="1"/>
  <c r="L193" i="1"/>
  <c r="AL198" i="1"/>
  <c r="AP198" i="1" a="1"/>
  <c r="AP198" i="1" s="1"/>
  <c r="AM198" i="1"/>
  <c r="P207" i="1"/>
  <c r="N207" i="1" a="1"/>
  <c r="N207" i="1" s="1"/>
  <c r="J207" i="1"/>
  <c r="M206" i="1"/>
  <c r="L207" i="1"/>
  <c r="Q207" i="1" s="1"/>
  <c r="R207" i="1" s="1"/>
  <c r="AQ208" i="1"/>
  <c r="AO208" i="1" a="1"/>
  <c r="AO208" i="1" s="1"/>
  <c r="AK208" i="1"/>
  <c r="AN207" i="1"/>
  <c r="AM208" i="1"/>
  <c r="AR208" i="1" s="1"/>
  <c r="AS208" i="1" s="1"/>
  <c r="O209" i="1" a="1"/>
  <c r="O209" i="1" s="1"/>
  <c r="L209" i="1"/>
  <c r="AL214" i="1"/>
  <c r="AP214" i="1" a="1"/>
  <c r="AP214" i="1" s="1"/>
  <c r="AM214" i="1"/>
  <c r="P223" i="1"/>
  <c r="N223" i="1" a="1"/>
  <c r="N223" i="1" s="1"/>
  <c r="J223" i="1"/>
  <c r="M222" i="1"/>
  <c r="L223" i="1"/>
  <c r="Q223" i="1" s="1"/>
  <c r="R223" i="1" s="1"/>
  <c r="AQ224" i="1"/>
  <c r="AO224" i="1" a="1"/>
  <c r="AO224" i="1" s="1"/>
  <c r="AK224" i="1"/>
  <c r="AN223" i="1"/>
  <c r="AM224" i="1"/>
  <c r="AR224" i="1" s="1"/>
  <c r="AS224" i="1" s="1"/>
  <c r="O225" i="1" a="1"/>
  <c r="O225" i="1" s="1"/>
  <c r="L225" i="1"/>
  <c r="AL230" i="1"/>
  <c r="AP230" i="1" a="1"/>
  <c r="AP230" i="1" s="1"/>
  <c r="AM230" i="1"/>
  <c r="P239" i="1"/>
  <c r="N239" i="1" a="1"/>
  <c r="N239" i="1" s="1"/>
  <c r="J239" i="1"/>
  <c r="M238" i="1"/>
  <c r="L239" i="1"/>
  <c r="Q239" i="1" s="1"/>
  <c r="R239" i="1" s="1"/>
  <c r="AQ240" i="1"/>
  <c r="AO240" i="1" a="1"/>
  <c r="AO240" i="1" s="1"/>
  <c r="AK240" i="1"/>
  <c r="AN239" i="1"/>
  <c r="AM240" i="1"/>
  <c r="AR240" i="1" s="1"/>
  <c r="AS240" i="1" s="1"/>
  <c r="O241" i="1" a="1"/>
  <c r="O241" i="1" s="1"/>
  <c r="L241" i="1"/>
  <c r="AL246" i="1"/>
  <c r="AP246" i="1" a="1"/>
  <c r="AP246" i="1" s="1"/>
  <c r="AM246" i="1"/>
  <c r="N250" i="1" a="1"/>
  <c r="N250" i="1" s="1"/>
  <c r="M251" i="1"/>
  <c r="AN252" i="1"/>
  <c r="N253" i="1" a="1"/>
  <c r="N253" i="1" s="1"/>
  <c r="AM253" i="1"/>
  <c r="L254" i="1"/>
  <c r="P254" i="1"/>
  <c r="AO254" i="1" a="1"/>
  <c r="AO254" i="1" s="1"/>
  <c r="P255" i="1"/>
  <c r="N255" i="1" a="1"/>
  <c r="N255" i="1" s="1"/>
  <c r="J255" i="1"/>
  <c r="M254" i="1"/>
  <c r="L255" i="1"/>
  <c r="Q255" i="1" s="1"/>
  <c r="R255" i="1" s="1"/>
  <c r="AO255" i="1" a="1"/>
  <c r="AO255" i="1" s="1"/>
  <c r="N256" i="1" a="1"/>
  <c r="N256" i="1" s="1"/>
  <c r="AQ256" i="1"/>
  <c r="AO256" i="1" a="1"/>
  <c r="AO256" i="1" s="1"/>
  <c r="AK256" i="1"/>
  <c r="AN255" i="1"/>
  <c r="AM256" i="1"/>
  <c r="AR256" i="1" s="1"/>
  <c r="AS256" i="1" s="1"/>
  <c r="M257" i="1"/>
  <c r="P257" i="1"/>
  <c r="AP257" i="1" a="1"/>
  <c r="AP257" i="1" s="1"/>
  <c r="AR257" i="1" s="1"/>
  <c r="AS257" i="1" s="1"/>
  <c r="O257" i="1" a="1"/>
  <c r="O257" i="1" s="1"/>
  <c r="L257" i="1"/>
  <c r="AN258" i="1"/>
  <c r="AQ258" i="1"/>
  <c r="AQ259" i="1"/>
  <c r="AL262" i="1"/>
  <c r="AP262" i="1" a="1"/>
  <c r="AP262" i="1" s="1"/>
  <c r="AM262" i="1"/>
  <c r="AL263" i="1"/>
  <c r="AP263" i="1" a="1"/>
  <c r="AP263" i="1" s="1"/>
  <c r="AR263" i="1" s="1"/>
  <c r="AS263" i="1" s="1"/>
  <c r="N266" i="1" a="1"/>
  <c r="N266" i="1" s="1"/>
  <c r="M267" i="1"/>
  <c r="O268" i="1" a="1"/>
  <c r="O268" i="1" s="1"/>
  <c r="Q268" i="1" s="1"/>
  <c r="R268" i="1" s="1"/>
  <c r="AN268" i="1"/>
  <c r="N269" i="1" a="1"/>
  <c r="N269" i="1" s="1"/>
  <c r="AM269" i="1"/>
  <c r="L270" i="1"/>
  <c r="P270" i="1"/>
  <c r="AO270" i="1" a="1"/>
  <c r="AO270" i="1" s="1"/>
  <c r="P271" i="1"/>
  <c r="N271" i="1" a="1"/>
  <c r="N271" i="1" s="1"/>
  <c r="J271" i="1"/>
  <c r="M270" i="1"/>
  <c r="L271" i="1"/>
  <c r="Q271" i="1" s="1"/>
  <c r="R271" i="1" s="1"/>
  <c r="AO271" i="1" a="1"/>
  <c r="AO271" i="1" s="1"/>
  <c r="N272" i="1" a="1"/>
  <c r="N272" i="1" s="1"/>
  <c r="AQ272" i="1"/>
  <c r="AO272" i="1" a="1"/>
  <c r="AO272" i="1" s="1"/>
  <c r="AK272" i="1"/>
  <c r="AN271" i="1"/>
  <c r="AM272" i="1"/>
  <c r="AR272" i="1" s="1"/>
  <c r="AS272" i="1" s="1"/>
  <c r="M273" i="1"/>
  <c r="P273" i="1"/>
  <c r="AP273" i="1" a="1"/>
  <c r="AP273" i="1" s="1"/>
  <c r="AR273" i="1" s="1"/>
  <c r="AS273" i="1" s="1"/>
  <c r="O273" i="1" a="1"/>
  <c r="O273" i="1" s="1"/>
  <c r="L273" i="1"/>
  <c r="AN274" i="1"/>
  <c r="AQ274" i="1"/>
  <c r="AQ275" i="1"/>
  <c r="AL278" i="1"/>
  <c r="AP278" i="1" a="1"/>
  <c r="AP278" i="1" s="1"/>
  <c r="AM278" i="1"/>
  <c r="AL279" i="1"/>
  <c r="AP279" i="1" a="1"/>
  <c r="AP279" i="1" s="1"/>
  <c r="AR279" i="1" s="1"/>
  <c r="AS279" i="1" s="1"/>
  <c r="N282" i="1" a="1"/>
  <c r="N282" i="1" s="1"/>
  <c r="M283" i="1"/>
  <c r="O284" i="1" a="1"/>
  <c r="O284" i="1" s="1"/>
  <c r="Q284" i="1" s="1"/>
  <c r="R284" i="1" s="1"/>
  <c r="AN284" i="1"/>
  <c r="N285" i="1" a="1"/>
  <c r="N285" i="1" s="1"/>
  <c r="AM285" i="1"/>
  <c r="L286" i="1"/>
  <c r="P286" i="1"/>
  <c r="AO286" i="1" a="1"/>
  <c r="AO286" i="1" s="1"/>
  <c r="P287" i="1"/>
  <c r="N287" i="1" a="1"/>
  <c r="N287" i="1" s="1"/>
  <c r="J287" i="1"/>
  <c r="M286" i="1"/>
  <c r="L287" i="1"/>
  <c r="Q287" i="1" s="1"/>
  <c r="R287" i="1" s="1"/>
  <c r="AO287" i="1" a="1"/>
  <c r="AO287" i="1" s="1"/>
  <c r="N288" i="1" a="1"/>
  <c r="N288" i="1" s="1"/>
  <c r="AQ288" i="1"/>
  <c r="AO288" i="1" a="1"/>
  <c r="AO288" i="1" s="1"/>
  <c r="AK288" i="1"/>
  <c r="AN287" i="1"/>
  <c r="AM288" i="1"/>
  <c r="AR288" i="1" s="1"/>
  <c r="AS288" i="1" s="1"/>
  <c r="M289" i="1"/>
  <c r="P289" i="1"/>
  <c r="AP289" i="1" a="1"/>
  <c r="AP289" i="1" s="1"/>
  <c r="AR289" i="1" s="1"/>
  <c r="AS289" i="1" s="1"/>
  <c r="O289" i="1" a="1"/>
  <c r="O289" i="1" s="1"/>
  <c r="L289" i="1"/>
  <c r="AN290" i="1"/>
  <c r="AQ290" i="1"/>
  <c r="AQ291" i="1"/>
  <c r="AL294" i="1"/>
  <c r="AP294" i="1" a="1"/>
  <c r="AP294" i="1" s="1"/>
  <c r="AM294" i="1"/>
  <c r="AL295" i="1"/>
  <c r="AP295" i="1" a="1"/>
  <c r="AP295" i="1" s="1"/>
  <c r="AR295" i="1" s="1"/>
  <c r="AS295" i="1" s="1"/>
  <c r="N298" i="1" a="1"/>
  <c r="N298" i="1" s="1"/>
  <c r="M299" i="1"/>
  <c r="O300" i="1" a="1"/>
  <c r="O300" i="1" s="1"/>
  <c r="Q300" i="1" s="1"/>
  <c r="R300" i="1" s="1"/>
  <c r="AN300" i="1"/>
  <c r="N301" i="1" a="1"/>
  <c r="N301" i="1" s="1"/>
  <c r="AM301" i="1"/>
  <c r="L302" i="1"/>
  <c r="P302" i="1"/>
  <c r="AO302" i="1" a="1"/>
  <c r="AO302" i="1" s="1"/>
  <c r="J303" i="1"/>
  <c r="M302" i="1"/>
  <c r="AQ303" i="1"/>
  <c r="AO303" i="1" a="1"/>
  <c r="AO303" i="1" s="1"/>
  <c r="AK303" i="1"/>
  <c r="AN303" i="1"/>
  <c r="AP302" i="1" a="1"/>
  <c r="AP302" i="1" s="1"/>
  <c r="AM302" i="1"/>
  <c r="AM303" i="1"/>
  <c r="AR303" i="1" s="1"/>
  <c r="AS303" i="1" s="1"/>
  <c r="AQ304" i="1"/>
  <c r="AN305" i="1"/>
  <c r="AM306" i="1"/>
  <c r="AR306" i="1" s="1"/>
  <c r="AS306" i="1" s="1"/>
  <c r="O312" i="1" a="1"/>
  <c r="O312" i="1" s="1"/>
  <c r="L312" i="1"/>
  <c r="J313" i="1"/>
  <c r="K312" i="1"/>
  <c r="L313" i="1"/>
  <c r="Q313" i="1" s="1"/>
  <c r="R313" i="1" s="1"/>
  <c r="P314" i="1"/>
  <c r="N314" i="1" a="1"/>
  <c r="N314" i="1" s="1"/>
  <c r="J314" i="1"/>
  <c r="M313" i="1"/>
  <c r="L314" i="1"/>
  <c r="Q314" i="1" s="1"/>
  <c r="R314" i="1" s="1"/>
  <c r="AM314" i="1"/>
  <c r="O315" i="1" a="1"/>
  <c r="O315" i="1" s="1"/>
  <c r="Q315" i="1" s="1"/>
  <c r="R315" i="1" s="1"/>
  <c r="AP315" i="1" a="1"/>
  <c r="AP315" i="1" s="1"/>
  <c r="AR315" i="1" s="1"/>
  <c r="AS315" i="1" s="1"/>
  <c r="AP316" i="1" a="1"/>
  <c r="AP316" i="1" s="1"/>
  <c r="AR316" i="1" s="1"/>
  <c r="AS316" i="1" s="1"/>
  <c r="AQ317" i="1"/>
  <c r="AQ318" i="1"/>
  <c r="L319" i="1"/>
  <c r="AN320" i="1"/>
  <c r="O328" i="1" a="1"/>
  <c r="O328" i="1" s="1"/>
  <c r="L328" i="1"/>
  <c r="J329" i="1"/>
  <c r="K328" i="1"/>
  <c r="P331" i="1"/>
  <c r="O332" i="1" a="1"/>
  <c r="O332" i="1" s="1"/>
  <c r="L332" i="1"/>
  <c r="P333" i="1"/>
  <c r="L333" i="1"/>
  <c r="Q333" i="1" s="1"/>
  <c r="R333" i="1" s="1"/>
  <c r="N332" i="1" a="1"/>
  <c r="N332" i="1" s="1"/>
  <c r="K333" i="1"/>
  <c r="AP334" i="1" a="1"/>
  <c r="AP334" i="1" s="1"/>
  <c r="AR334" i="1" s="1"/>
  <c r="AS334" i="1" s="1"/>
  <c r="P335" i="1"/>
  <c r="AL336" i="1"/>
  <c r="AM336" i="1"/>
  <c r="AQ337" i="1"/>
  <c r="AP336" i="1" a="1"/>
  <c r="AP336" i="1" s="1"/>
  <c r="AL337" i="1"/>
  <c r="AP338" i="1" a="1"/>
  <c r="AP338" i="1" s="1"/>
  <c r="AR338" i="1" s="1"/>
  <c r="AS338" i="1" s="1"/>
  <c r="P341" i="1"/>
  <c r="K345" i="1"/>
  <c r="AM346" i="1"/>
  <c r="K347" i="1"/>
  <c r="J348" i="1"/>
  <c r="L347" i="1"/>
  <c r="O347" i="1" a="1"/>
  <c r="O347" i="1" s="1"/>
  <c r="AL348" i="1"/>
  <c r="AK349" i="1"/>
  <c r="AQ348" i="1"/>
  <c r="AN348" i="1"/>
  <c r="AM348" i="1"/>
  <c r="AR348" i="1" s="1"/>
  <c r="AS348" i="1" s="1"/>
  <c r="AN349" i="1"/>
  <c r="AP349" i="1" a="1"/>
  <c r="AP349" i="1" s="1"/>
  <c r="AM349" i="1"/>
  <c r="AK350" i="1"/>
  <c r="AO350" i="1" a="1"/>
  <c r="AO350" i="1" s="1"/>
  <c r="AO349" i="1" a="1"/>
  <c r="AO349" i="1" s="1"/>
  <c r="AM350" i="1"/>
  <c r="AR350" i="1" s="1"/>
  <c r="AS350" i="1" s="1"/>
  <c r="K351" i="1"/>
  <c r="O351" i="1" a="1"/>
  <c r="O351" i="1" s="1"/>
  <c r="Q351" i="1" s="1"/>
  <c r="R351" i="1" s="1"/>
  <c r="P352" i="1"/>
  <c r="M352" i="1"/>
  <c r="N351" i="1" a="1"/>
  <c r="N351" i="1" s="1"/>
  <c r="K352" i="1"/>
  <c r="P358" i="1"/>
  <c r="N358" i="1" a="1"/>
  <c r="N358" i="1" s="1"/>
  <c r="J358" i="1"/>
  <c r="M357" i="1"/>
  <c r="O358" i="1" a="1"/>
  <c r="O358" i="1" s="1"/>
  <c r="Q358" i="1" s="1"/>
  <c r="R358" i="1" s="1"/>
  <c r="K358" i="1"/>
  <c r="O357" i="1" a="1"/>
  <c r="O357" i="1" s="1"/>
  <c r="Q357" i="1" s="1"/>
  <c r="R357" i="1" s="1"/>
  <c r="K357" i="1"/>
  <c r="M358" i="1"/>
  <c r="P361" i="1"/>
  <c r="O362" i="1" a="1"/>
  <c r="O362" i="1" s="1"/>
  <c r="Q362" i="1" s="1"/>
  <c r="R362" i="1" s="1"/>
  <c r="AP363" i="1" a="1"/>
  <c r="AP363" i="1" s="1"/>
  <c r="AR363" i="1" s="1"/>
  <c r="AS363" i="1" s="1"/>
  <c r="P366" i="1"/>
  <c r="N366" i="1" a="1"/>
  <c r="N366" i="1" s="1"/>
  <c r="J366" i="1"/>
  <c r="M365" i="1"/>
  <c r="M366" i="1"/>
  <c r="O365" i="1" a="1"/>
  <c r="O365" i="1" s="1"/>
  <c r="L365" i="1"/>
  <c r="K366" i="1"/>
  <c r="O366" i="1" a="1"/>
  <c r="O366" i="1" s="1"/>
  <c r="Q366" i="1" s="1"/>
  <c r="R366" i="1" s="1"/>
  <c r="N365" i="1" a="1"/>
  <c r="N365" i="1" s="1"/>
  <c r="N368" i="1" a="1"/>
  <c r="N368" i="1" s="1"/>
  <c r="P369" i="1"/>
  <c r="Q371" i="1"/>
  <c r="R371" i="1" s="1"/>
  <c r="P374" i="1"/>
  <c r="N374" i="1" a="1"/>
  <c r="N374" i="1" s="1"/>
  <c r="J374" i="1"/>
  <c r="M373" i="1"/>
  <c r="M374" i="1"/>
  <c r="O373" i="1" a="1"/>
  <c r="O373" i="1" s="1"/>
  <c r="L373" i="1"/>
  <c r="K374" i="1"/>
  <c r="O374" i="1" a="1"/>
  <c r="O374" i="1" s="1"/>
  <c r="Q374" i="1" s="1"/>
  <c r="R374" i="1" s="1"/>
  <c r="N373" i="1" a="1"/>
  <c r="N373" i="1" s="1"/>
  <c r="N376" i="1" a="1"/>
  <c r="N376" i="1" s="1"/>
  <c r="P377" i="1"/>
  <c r="Q379" i="1"/>
  <c r="R379" i="1" s="1"/>
  <c r="P382" i="1"/>
  <c r="N382" i="1" a="1"/>
  <c r="N382" i="1" s="1"/>
  <c r="J382" i="1"/>
  <c r="M381" i="1"/>
  <c r="M382" i="1"/>
  <c r="O381" i="1" a="1"/>
  <c r="O381" i="1" s="1"/>
  <c r="L381" i="1"/>
  <c r="K382" i="1"/>
  <c r="O382" i="1" a="1"/>
  <c r="O382" i="1" s="1"/>
  <c r="Q382" i="1" s="1"/>
  <c r="R382" i="1" s="1"/>
  <c r="N381" i="1" a="1"/>
  <c r="N381" i="1" s="1"/>
  <c r="N384" i="1" a="1"/>
  <c r="N384" i="1" s="1"/>
  <c r="P385" i="1"/>
  <c r="Q387" i="1"/>
  <c r="R387" i="1" s="1"/>
  <c r="P390" i="1"/>
  <c r="N390" i="1" a="1"/>
  <c r="N390" i="1" s="1"/>
  <c r="J390" i="1"/>
  <c r="M389" i="1"/>
  <c r="M390" i="1"/>
  <c r="O389" i="1" a="1"/>
  <c r="O389" i="1" s="1"/>
  <c r="L389" i="1"/>
  <c r="K390" i="1"/>
  <c r="O390" i="1" a="1"/>
  <c r="O390" i="1" s="1"/>
  <c r="Q390" i="1" s="1"/>
  <c r="R390" i="1" s="1"/>
  <c r="N389" i="1" a="1"/>
  <c r="N389" i="1" s="1"/>
  <c r="N392" i="1" a="1"/>
  <c r="N392" i="1" s="1"/>
  <c r="P393" i="1"/>
  <c r="L395" i="1"/>
  <c r="P402" i="1"/>
  <c r="N402" i="1" a="1"/>
  <c r="N402" i="1" s="1"/>
  <c r="J402" i="1"/>
  <c r="M401" i="1"/>
  <c r="O402" i="1" a="1"/>
  <c r="O402" i="1" s="1"/>
  <c r="K402" i="1"/>
  <c r="O401" i="1" a="1"/>
  <c r="O401" i="1" s="1"/>
  <c r="Q401" i="1" s="1"/>
  <c r="R401" i="1" s="1"/>
  <c r="K401" i="1"/>
  <c r="L402" i="1"/>
  <c r="L401" i="1"/>
  <c r="K407" i="1"/>
  <c r="J408" i="1"/>
  <c r="L407" i="1"/>
  <c r="O407" i="1" a="1"/>
  <c r="O407" i="1" s="1"/>
  <c r="P408" i="1"/>
  <c r="P407" i="1"/>
  <c r="M408" i="1"/>
  <c r="AP408" i="1" a="1"/>
  <c r="AP408" i="1" s="1"/>
  <c r="AP409" i="1" a="1"/>
  <c r="AP409" i="1" s="1"/>
  <c r="AM409" i="1"/>
  <c r="AK410" i="1"/>
  <c r="AO410" i="1" a="1"/>
  <c r="AO410" i="1" s="1"/>
  <c r="AO409" i="1" a="1"/>
  <c r="AO409" i="1" s="1"/>
  <c r="AQ410" i="1"/>
  <c r="AP410" i="1" a="1"/>
  <c r="AP410" i="1" s="1"/>
  <c r="AM410" i="1"/>
  <c r="M411" i="1"/>
  <c r="P421" i="1"/>
  <c r="AQ443" i="1"/>
  <c r="AO443" i="1" a="1"/>
  <c r="AO443" i="1" s="1"/>
  <c r="AK443" i="1"/>
  <c r="AN442" i="1"/>
  <c r="AN443" i="1"/>
  <c r="AP442" i="1" a="1"/>
  <c r="AP442" i="1" s="1"/>
  <c r="AM442" i="1"/>
  <c r="AP443" i="1" a="1"/>
  <c r="AP443" i="1" s="1"/>
  <c r="AR443" i="1" s="1"/>
  <c r="AS443" i="1" s="1"/>
  <c r="AM443" i="1"/>
  <c r="AL442" i="1"/>
  <c r="AO442" i="1" a="1"/>
  <c r="AO442" i="1" s="1"/>
  <c r="P318" i="1"/>
  <c r="N318" i="1" a="1"/>
  <c r="N318" i="1" s="1"/>
  <c r="J318" i="1"/>
  <c r="M317" i="1"/>
  <c r="L318" i="1"/>
  <c r="Q318" i="1" s="1"/>
  <c r="R318" i="1" s="1"/>
  <c r="AQ319" i="1"/>
  <c r="AO319" i="1" a="1"/>
  <c r="AO319" i="1" s="1"/>
  <c r="AK319" i="1"/>
  <c r="AN318" i="1"/>
  <c r="AM319" i="1"/>
  <c r="AR319" i="1" s="1"/>
  <c r="AS319" i="1" s="1"/>
  <c r="O320" i="1" a="1"/>
  <c r="O320" i="1" s="1"/>
  <c r="L320" i="1"/>
  <c r="K321" i="1"/>
  <c r="O321" i="1" a="1"/>
  <c r="O321" i="1" s="1"/>
  <c r="K324" i="1"/>
  <c r="AL325" i="1"/>
  <c r="AP325" i="1" a="1"/>
  <c r="AP325" i="1" s="1"/>
  <c r="AR325" i="1" s="1"/>
  <c r="AS325" i="1" s="1"/>
  <c r="AM325" i="1"/>
  <c r="P334" i="1"/>
  <c r="N334" i="1" a="1"/>
  <c r="N334" i="1" s="1"/>
  <c r="J334" i="1"/>
  <c r="M333" i="1"/>
  <c r="L334" i="1"/>
  <c r="Q334" i="1" s="1"/>
  <c r="R334" i="1" s="1"/>
  <c r="AQ335" i="1"/>
  <c r="AO335" i="1" a="1"/>
  <c r="AO335" i="1" s="1"/>
  <c r="AK335" i="1"/>
  <c r="AN334" i="1"/>
  <c r="AM335" i="1"/>
  <c r="AR335" i="1" s="1"/>
  <c r="AS335" i="1" s="1"/>
  <c r="O336" i="1" a="1"/>
  <c r="O336" i="1" s="1"/>
  <c r="Q336" i="1" s="1"/>
  <c r="R336" i="1" s="1"/>
  <c r="L336" i="1"/>
  <c r="K337" i="1"/>
  <c r="O337" i="1" a="1"/>
  <c r="O337" i="1" s="1"/>
  <c r="K340" i="1"/>
  <c r="AL341" i="1"/>
  <c r="AP341" i="1" a="1"/>
  <c r="AP341" i="1" s="1"/>
  <c r="AM341" i="1"/>
  <c r="P350" i="1"/>
  <c r="N350" i="1" a="1"/>
  <c r="N350" i="1" s="1"/>
  <c r="J350" i="1"/>
  <c r="M349" i="1"/>
  <c r="L350" i="1"/>
  <c r="Q350" i="1" s="1"/>
  <c r="R350" i="1" s="1"/>
  <c r="AQ351" i="1"/>
  <c r="AO351" i="1" a="1"/>
  <c r="AO351" i="1" s="1"/>
  <c r="AK351" i="1"/>
  <c r="AN350" i="1"/>
  <c r="AM351" i="1"/>
  <c r="AR351" i="1" s="1"/>
  <c r="AS351" i="1" s="1"/>
  <c r="O352" i="1" a="1"/>
  <c r="O352" i="1" s="1"/>
  <c r="L352" i="1"/>
  <c r="K353" i="1"/>
  <c r="O353" i="1" a="1"/>
  <c r="O353" i="1" s="1"/>
  <c r="K356" i="1"/>
  <c r="AL357" i="1"/>
  <c r="AP357" i="1" a="1"/>
  <c r="AP357" i="1" s="1"/>
  <c r="AR357" i="1" s="1"/>
  <c r="AS357" i="1" s="1"/>
  <c r="AM357" i="1"/>
  <c r="AQ367" i="1"/>
  <c r="AO367" i="1" a="1"/>
  <c r="AO367" i="1" s="1"/>
  <c r="AK367" i="1"/>
  <c r="AN366" i="1"/>
  <c r="AN367" i="1"/>
  <c r="AP366" i="1" a="1"/>
  <c r="AP366" i="1" s="1"/>
  <c r="AM366" i="1"/>
  <c r="AM367" i="1"/>
  <c r="AR367" i="1" s="1"/>
  <c r="AS367" i="1" s="1"/>
  <c r="AQ371" i="1"/>
  <c r="AO371" i="1" a="1"/>
  <c r="AO371" i="1" s="1"/>
  <c r="AK371" i="1"/>
  <c r="AN370" i="1"/>
  <c r="AN371" i="1"/>
  <c r="AP370" i="1" a="1"/>
  <c r="AP370" i="1" s="1"/>
  <c r="AM370" i="1"/>
  <c r="AM371" i="1"/>
  <c r="AR371" i="1" s="1"/>
  <c r="AS371" i="1" s="1"/>
  <c r="AQ375" i="1"/>
  <c r="AO375" i="1" a="1"/>
  <c r="AO375" i="1" s="1"/>
  <c r="AK375" i="1"/>
  <c r="AN374" i="1"/>
  <c r="AN375" i="1"/>
  <c r="AP374" i="1" a="1"/>
  <c r="AP374" i="1" s="1"/>
  <c r="AM374" i="1"/>
  <c r="AM375" i="1"/>
  <c r="AR375" i="1" s="1"/>
  <c r="AS375" i="1" s="1"/>
  <c r="AQ379" i="1"/>
  <c r="AO379" i="1" a="1"/>
  <c r="AO379" i="1" s="1"/>
  <c r="AK379" i="1"/>
  <c r="AN378" i="1"/>
  <c r="AN379" i="1"/>
  <c r="AP378" i="1" a="1"/>
  <c r="AP378" i="1" s="1"/>
  <c r="AM378" i="1"/>
  <c r="AM379" i="1"/>
  <c r="AR379" i="1" s="1"/>
  <c r="AS379" i="1" s="1"/>
  <c r="AQ383" i="1"/>
  <c r="AO383" i="1" a="1"/>
  <c r="AO383" i="1" s="1"/>
  <c r="AK383" i="1"/>
  <c r="AN382" i="1"/>
  <c r="AN383" i="1"/>
  <c r="AP382" i="1" a="1"/>
  <c r="AP382" i="1" s="1"/>
  <c r="AM382" i="1"/>
  <c r="AM383" i="1"/>
  <c r="AQ387" i="1"/>
  <c r="AO387" i="1" a="1"/>
  <c r="AO387" i="1" s="1"/>
  <c r="AK387" i="1"/>
  <c r="AN386" i="1"/>
  <c r="AN387" i="1"/>
  <c r="AP386" i="1" a="1"/>
  <c r="AP386" i="1" s="1"/>
  <c r="AM386" i="1"/>
  <c r="AM387" i="1"/>
  <c r="AR387" i="1" s="1"/>
  <c r="AS387" i="1" s="1"/>
  <c r="AQ391" i="1"/>
  <c r="AO391" i="1" a="1"/>
  <c r="AO391" i="1" s="1"/>
  <c r="AK391" i="1"/>
  <c r="AN390" i="1"/>
  <c r="AN391" i="1"/>
  <c r="AP390" i="1" a="1"/>
  <c r="AP390" i="1" s="1"/>
  <c r="AM390" i="1"/>
  <c r="AM391" i="1"/>
  <c r="AR391" i="1" s="1"/>
  <c r="AS391" i="1" s="1"/>
  <c r="O404" i="1" a="1"/>
  <c r="O404" i="1" s="1"/>
  <c r="L404" i="1"/>
  <c r="J405" i="1"/>
  <c r="K404" i="1"/>
  <c r="L405" i="1"/>
  <c r="O408" i="1" a="1"/>
  <c r="O408" i="1" s="1"/>
  <c r="L408" i="1"/>
  <c r="P409" i="1"/>
  <c r="L409" i="1"/>
  <c r="Q409" i="1" s="1"/>
  <c r="R409" i="1" s="1"/>
  <c r="N408" i="1" a="1"/>
  <c r="N408" i="1" s="1"/>
  <c r="K409" i="1"/>
  <c r="AL412" i="1"/>
  <c r="AM412" i="1"/>
  <c r="AQ413" i="1"/>
  <c r="AP412" i="1" a="1"/>
  <c r="AP412" i="1" s="1"/>
  <c r="AQ423" i="1"/>
  <c r="AO423" i="1" a="1"/>
  <c r="AO423" i="1" s="1"/>
  <c r="AK423" i="1"/>
  <c r="AN422" i="1"/>
  <c r="AN423" i="1"/>
  <c r="AP423" i="1" a="1"/>
  <c r="AP423" i="1" s="1"/>
  <c r="AR423" i="1" s="1"/>
  <c r="AS423" i="1" s="1"/>
  <c r="AP422" i="1" a="1"/>
  <c r="AP422" i="1" s="1"/>
  <c r="AR422" i="1" s="1"/>
  <c r="AS422" i="1" s="1"/>
  <c r="AL422" i="1"/>
  <c r="AM423" i="1"/>
  <c r="AQ427" i="1"/>
  <c r="AO427" i="1" a="1"/>
  <c r="AO427" i="1" s="1"/>
  <c r="AK427" i="1"/>
  <c r="AN426" i="1"/>
  <c r="AN427" i="1"/>
  <c r="AP426" i="1" a="1"/>
  <c r="AP426" i="1" s="1"/>
  <c r="AM426" i="1"/>
  <c r="AP427" i="1" a="1"/>
  <c r="AP427" i="1" s="1"/>
  <c r="AL426" i="1"/>
  <c r="AQ426" i="1"/>
  <c r="AM427" i="1"/>
  <c r="P434" i="1"/>
  <c r="N434" i="1" a="1"/>
  <c r="N434" i="1" s="1"/>
  <c r="J434" i="1"/>
  <c r="M433" i="1"/>
  <c r="M434" i="1"/>
  <c r="O433" i="1" a="1"/>
  <c r="O433" i="1" s="1"/>
  <c r="L433" i="1"/>
  <c r="O434" i="1" a="1"/>
  <c r="O434" i="1" s="1"/>
  <c r="Q434" i="1" s="1"/>
  <c r="R434" i="1" s="1"/>
  <c r="L434" i="1"/>
  <c r="K433" i="1"/>
  <c r="K434" i="1"/>
  <c r="P438" i="1"/>
  <c r="N438" i="1" a="1"/>
  <c r="N438" i="1" s="1"/>
  <c r="J438" i="1"/>
  <c r="M437" i="1"/>
  <c r="M438" i="1"/>
  <c r="O437" i="1" a="1"/>
  <c r="O437" i="1" s="1"/>
  <c r="L437" i="1"/>
  <c r="O438" i="1" a="1"/>
  <c r="O438" i="1" s="1"/>
  <c r="L438" i="1"/>
  <c r="K437" i="1"/>
  <c r="P437" i="1"/>
  <c r="AQ439" i="1"/>
  <c r="AO439" i="1" a="1"/>
  <c r="AO439" i="1" s="1"/>
  <c r="AK439" i="1"/>
  <c r="AN438" i="1"/>
  <c r="AN439" i="1"/>
  <c r="AP438" i="1" a="1"/>
  <c r="AP438" i="1" s="1"/>
  <c r="AM438" i="1"/>
  <c r="AP439" i="1" a="1"/>
  <c r="AP439" i="1" s="1"/>
  <c r="AM439" i="1"/>
  <c r="AL438" i="1"/>
  <c r="AL439" i="1"/>
  <c r="AQ438" i="1"/>
  <c r="AO438" i="1" a="1"/>
  <c r="AO438" i="1" s="1"/>
  <c r="AP445" i="1" a="1"/>
  <c r="AP445" i="1" s="1"/>
  <c r="AM445" i="1"/>
  <c r="AK445" i="1"/>
  <c r="AL444" i="1"/>
  <c r="AO445" i="1" a="1"/>
  <c r="AO445" i="1" s="1"/>
  <c r="AQ444" i="1"/>
  <c r="AO444" i="1" a="1"/>
  <c r="AO444" i="1" s="1"/>
  <c r="AQ445" i="1"/>
  <c r="AN445" i="1"/>
  <c r="AN444" i="1"/>
  <c r="AP444" i="1" a="1"/>
  <c r="AP444" i="1" s="1"/>
  <c r="AR444" i="1" s="1"/>
  <c r="AS444" i="1" s="1"/>
  <c r="P306" i="1"/>
  <c r="N306" i="1" a="1"/>
  <c r="N306" i="1" s="1"/>
  <c r="J306" i="1"/>
  <c r="M305" i="1"/>
  <c r="L306" i="1"/>
  <c r="Q306" i="1" s="1"/>
  <c r="R306" i="1" s="1"/>
  <c r="AQ307" i="1"/>
  <c r="AO307" i="1" a="1"/>
  <c r="AO307" i="1" s="1"/>
  <c r="AK307" i="1"/>
  <c r="AN306" i="1"/>
  <c r="AM307" i="1"/>
  <c r="AR307" i="1" s="1"/>
  <c r="AS307" i="1" s="1"/>
  <c r="O308" i="1" a="1"/>
  <c r="O308" i="1" s="1"/>
  <c r="L308" i="1"/>
  <c r="AL313" i="1"/>
  <c r="AP313" i="1" a="1"/>
  <c r="AP313" i="1" s="1"/>
  <c r="AM313" i="1"/>
  <c r="N317" i="1" a="1"/>
  <c r="N317" i="1" s="1"/>
  <c r="M318" i="1"/>
  <c r="AN319" i="1"/>
  <c r="N320" i="1" a="1"/>
  <c r="N320" i="1" s="1"/>
  <c r="L321" i="1"/>
  <c r="P321" i="1"/>
  <c r="P322" i="1"/>
  <c r="N322" i="1" a="1"/>
  <c r="N322" i="1" s="1"/>
  <c r="J322" i="1"/>
  <c r="M321" i="1"/>
  <c r="L322" i="1"/>
  <c r="Q322" i="1" s="1"/>
  <c r="R322" i="1" s="1"/>
  <c r="N323" i="1" a="1"/>
  <c r="N323" i="1" s="1"/>
  <c r="AQ323" i="1"/>
  <c r="AO323" i="1" a="1"/>
  <c r="AO323" i="1" s="1"/>
  <c r="AK323" i="1"/>
  <c r="AN322" i="1"/>
  <c r="AM323" i="1"/>
  <c r="AR323" i="1" s="1"/>
  <c r="AS323" i="1" s="1"/>
  <c r="M324" i="1"/>
  <c r="P324" i="1"/>
  <c r="AP324" i="1" a="1"/>
  <c r="AP324" i="1" s="1"/>
  <c r="AR324" i="1" s="1"/>
  <c r="AS324" i="1" s="1"/>
  <c r="O324" i="1" a="1"/>
  <c r="O324" i="1" s="1"/>
  <c r="L324" i="1"/>
  <c r="AN325" i="1"/>
  <c r="AQ325" i="1"/>
  <c r="AQ326" i="1"/>
  <c r="AL329" i="1"/>
  <c r="AP329" i="1" a="1"/>
  <c r="AP329" i="1" s="1"/>
  <c r="AM329" i="1"/>
  <c r="N333" i="1" a="1"/>
  <c r="N333" i="1" s="1"/>
  <c r="M334" i="1"/>
  <c r="AN335" i="1"/>
  <c r="N336" i="1" a="1"/>
  <c r="N336" i="1" s="1"/>
  <c r="L337" i="1"/>
  <c r="P337" i="1"/>
  <c r="P338" i="1"/>
  <c r="N338" i="1" a="1"/>
  <c r="N338" i="1" s="1"/>
  <c r="J338" i="1"/>
  <c r="M337" i="1"/>
  <c r="L338" i="1"/>
  <c r="Q338" i="1" s="1"/>
  <c r="R338" i="1" s="1"/>
  <c r="N339" i="1" a="1"/>
  <c r="N339" i="1" s="1"/>
  <c r="AQ339" i="1"/>
  <c r="AO339" i="1" a="1"/>
  <c r="AO339" i="1" s="1"/>
  <c r="AK339" i="1"/>
  <c r="AN338" i="1"/>
  <c r="AM339" i="1"/>
  <c r="AR339" i="1" s="1"/>
  <c r="AS339" i="1" s="1"/>
  <c r="M340" i="1"/>
  <c r="P340" i="1"/>
  <c r="AP340" i="1" a="1"/>
  <c r="AP340" i="1" s="1"/>
  <c r="AR340" i="1" s="1"/>
  <c r="AS340" i="1" s="1"/>
  <c r="O340" i="1" a="1"/>
  <c r="O340" i="1" s="1"/>
  <c r="L340" i="1"/>
  <c r="AN341" i="1"/>
  <c r="AQ341" i="1"/>
  <c r="AQ342" i="1"/>
  <c r="AL345" i="1"/>
  <c r="AP345" i="1" a="1"/>
  <c r="AP345" i="1" s="1"/>
  <c r="AM345" i="1"/>
  <c r="N349" i="1" a="1"/>
  <c r="N349" i="1" s="1"/>
  <c r="M350" i="1"/>
  <c r="AN351" i="1"/>
  <c r="N352" i="1" a="1"/>
  <c r="N352" i="1" s="1"/>
  <c r="L353" i="1"/>
  <c r="P353" i="1"/>
  <c r="P354" i="1"/>
  <c r="N354" i="1" a="1"/>
  <c r="N354" i="1" s="1"/>
  <c r="J354" i="1"/>
  <c r="M353" i="1"/>
  <c r="L354" i="1"/>
  <c r="Q354" i="1" s="1"/>
  <c r="R354" i="1" s="1"/>
  <c r="N355" i="1" a="1"/>
  <c r="N355" i="1" s="1"/>
  <c r="AQ355" i="1"/>
  <c r="AO355" i="1" a="1"/>
  <c r="AO355" i="1" s="1"/>
  <c r="AK355" i="1"/>
  <c r="AN354" i="1"/>
  <c r="AM355" i="1"/>
  <c r="AR355" i="1" s="1"/>
  <c r="AS355" i="1" s="1"/>
  <c r="M356" i="1"/>
  <c r="P356" i="1"/>
  <c r="AP356" i="1" a="1"/>
  <c r="AP356" i="1" s="1"/>
  <c r="AR356" i="1" s="1"/>
  <c r="AS356" i="1" s="1"/>
  <c r="O356" i="1" a="1"/>
  <c r="O356" i="1" s="1"/>
  <c r="L356" i="1"/>
  <c r="AN357" i="1"/>
  <c r="AQ357" i="1"/>
  <c r="AQ358" i="1"/>
  <c r="AL361" i="1"/>
  <c r="AP361" i="1" a="1"/>
  <c r="AP361" i="1" s="1"/>
  <c r="AM361" i="1"/>
  <c r="AP397" i="1" a="1"/>
  <c r="AP397" i="1" s="1"/>
  <c r="AM397" i="1"/>
  <c r="AO398" i="1" a="1"/>
  <c r="AO398" i="1" s="1"/>
  <c r="AO397" i="1" a="1"/>
  <c r="AO397" i="1" s="1"/>
  <c r="AQ398" i="1"/>
  <c r="AM398" i="1"/>
  <c r="AR398" i="1" s="1"/>
  <c r="AS398" i="1" s="1"/>
  <c r="AN397" i="1"/>
  <c r="AL398" i="1"/>
  <c r="AQ403" i="1"/>
  <c r="AO403" i="1" a="1"/>
  <c r="AO403" i="1" s="1"/>
  <c r="AK403" i="1"/>
  <c r="AN402" i="1"/>
  <c r="AP403" i="1" a="1"/>
  <c r="AP403" i="1" s="1"/>
  <c r="AR403" i="1" s="1"/>
  <c r="AS403" i="1" s="1"/>
  <c r="AL403" i="1"/>
  <c r="AM402" i="1"/>
  <c r="AP402" i="1" a="1"/>
  <c r="AP402" i="1" s="1"/>
  <c r="AL402" i="1"/>
  <c r="AN403" i="1"/>
  <c r="P404" i="1"/>
  <c r="O405" i="1" a="1"/>
  <c r="O405" i="1" s="1"/>
  <c r="P406" i="1"/>
  <c r="N406" i="1" a="1"/>
  <c r="N406" i="1" s="1"/>
  <c r="J406" i="1"/>
  <c r="M405" i="1"/>
  <c r="M406" i="1"/>
  <c r="N405" i="1" a="1"/>
  <c r="N405" i="1" s="1"/>
  <c r="L406" i="1"/>
  <c r="Q406" i="1" s="1"/>
  <c r="R406" i="1" s="1"/>
  <c r="AQ407" i="1"/>
  <c r="AO407" i="1" a="1"/>
  <c r="AO407" i="1" s="1"/>
  <c r="AK407" i="1"/>
  <c r="AN406" i="1"/>
  <c r="AP406" i="1" a="1"/>
  <c r="AP406" i="1" s="1"/>
  <c r="AR406" i="1" s="1"/>
  <c r="AS406" i="1" s="1"/>
  <c r="AL406" i="1"/>
  <c r="AN407" i="1"/>
  <c r="AM407" i="1"/>
  <c r="AR407" i="1" s="1"/>
  <c r="AS407" i="1" s="1"/>
  <c r="AN412" i="1"/>
  <c r="O420" i="1" a="1"/>
  <c r="O420" i="1" s="1"/>
  <c r="L420" i="1"/>
  <c r="J421" i="1"/>
  <c r="K420" i="1"/>
  <c r="AO422" i="1" a="1"/>
  <c r="AO422" i="1" s="1"/>
  <c r="AR428" i="1"/>
  <c r="AS428" i="1" s="1"/>
  <c r="Q431" i="1"/>
  <c r="R431" i="1" s="1"/>
  <c r="N433" i="1" a="1"/>
  <c r="N433" i="1" s="1"/>
  <c r="N437" i="1" a="1"/>
  <c r="N437" i="1" s="1"/>
  <c r="AL465" i="1"/>
  <c r="AK466" i="1"/>
  <c r="AQ465" i="1"/>
  <c r="AN465" i="1"/>
  <c r="AM465" i="1"/>
  <c r="AP465" i="1" a="1"/>
  <c r="AP465" i="1" s="1"/>
  <c r="AO465" i="1" a="1"/>
  <c r="AO465" i="1" s="1"/>
  <c r="AQ466" i="1"/>
  <c r="O396" i="1" a="1"/>
  <c r="O396" i="1" s="1"/>
  <c r="Q396" i="1" s="1"/>
  <c r="R396" i="1" s="1"/>
  <c r="L396" i="1"/>
  <c r="K397" i="1"/>
  <c r="O397" i="1" a="1"/>
  <c r="O397" i="1" s="1"/>
  <c r="K400" i="1"/>
  <c r="AL401" i="1"/>
  <c r="AP401" i="1" a="1"/>
  <c r="AP401" i="1" s="1"/>
  <c r="AM401" i="1"/>
  <c r="P410" i="1"/>
  <c r="N410" i="1" a="1"/>
  <c r="N410" i="1" s="1"/>
  <c r="J410" i="1"/>
  <c r="M409" i="1"/>
  <c r="L410" i="1"/>
  <c r="Q410" i="1" s="1"/>
  <c r="R410" i="1" s="1"/>
  <c r="AQ411" i="1"/>
  <c r="AO411" i="1" a="1"/>
  <c r="AO411" i="1" s="1"/>
  <c r="AK411" i="1"/>
  <c r="AN410" i="1"/>
  <c r="AM411" i="1"/>
  <c r="AR411" i="1" s="1"/>
  <c r="AS411" i="1" s="1"/>
  <c r="O412" i="1" a="1"/>
  <c r="O412" i="1" s="1"/>
  <c r="L412" i="1"/>
  <c r="K413" i="1"/>
  <c r="O413" i="1" a="1"/>
  <c r="O413" i="1" s="1"/>
  <c r="K416" i="1"/>
  <c r="AL417" i="1"/>
  <c r="AP417" i="1" a="1"/>
  <c r="AP417" i="1" s="1"/>
  <c r="AR417" i="1" s="1"/>
  <c r="AS417" i="1" s="1"/>
  <c r="AM417" i="1"/>
  <c r="AQ431" i="1"/>
  <c r="AO431" i="1" a="1"/>
  <c r="AO431" i="1" s="1"/>
  <c r="AK431" i="1"/>
  <c r="AN430" i="1"/>
  <c r="AN431" i="1"/>
  <c r="AP430" i="1" a="1"/>
  <c r="AP430" i="1" s="1"/>
  <c r="AM430" i="1"/>
  <c r="AP431" i="1" a="1"/>
  <c r="AP431" i="1" s="1"/>
  <c r="AM431" i="1"/>
  <c r="AL430" i="1"/>
  <c r="P442" i="1"/>
  <c r="N442" i="1" a="1"/>
  <c r="N442" i="1" s="1"/>
  <c r="J442" i="1"/>
  <c r="M441" i="1"/>
  <c r="M442" i="1"/>
  <c r="O441" i="1" a="1"/>
  <c r="O441" i="1" s="1"/>
  <c r="L441" i="1"/>
  <c r="O442" i="1" a="1"/>
  <c r="O442" i="1" s="1"/>
  <c r="L442" i="1"/>
  <c r="K441" i="1"/>
  <c r="AQ448" i="1"/>
  <c r="AO448" i="1" a="1"/>
  <c r="AO448" i="1" s="1"/>
  <c r="AK448" i="1"/>
  <c r="AN447" i="1"/>
  <c r="AP447" i="1" a="1"/>
  <c r="AP447" i="1" s="1"/>
  <c r="AL447" i="1"/>
  <c r="AL448" i="1"/>
  <c r="AO447" i="1" a="1"/>
  <c r="AO447" i="1" s="1"/>
  <c r="AP448" i="1" a="1"/>
  <c r="AP448" i="1" s="1"/>
  <c r="AR448" i="1" s="1"/>
  <c r="AS448" i="1" s="1"/>
  <c r="AM447" i="1"/>
  <c r="AN448" i="1"/>
  <c r="AQ447" i="1"/>
  <c r="K448" i="1"/>
  <c r="J449" i="1"/>
  <c r="L448" i="1"/>
  <c r="P449" i="1"/>
  <c r="P448" i="1"/>
  <c r="O448" i="1" a="1"/>
  <c r="O448" i="1" s="1"/>
  <c r="N449" i="1" a="1"/>
  <c r="N449" i="1" s="1"/>
  <c r="N448" i="1" a="1"/>
  <c r="N448" i="1" s="1"/>
  <c r="K452" i="1"/>
  <c r="O452" i="1" a="1"/>
  <c r="O452" i="1" s="1"/>
  <c r="J453" i="1"/>
  <c r="M452" i="1"/>
  <c r="P452" i="1"/>
  <c r="L452" i="1"/>
  <c r="M453" i="1"/>
  <c r="P453" i="1"/>
  <c r="Q462" i="1"/>
  <c r="R462" i="1" s="1"/>
  <c r="N396" i="1" a="1"/>
  <c r="N396" i="1" s="1"/>
  <c r="L397" i="1"/>
  <c r="P397" i="1"/>
  <c r="P398" i="1"/>
  <c r="N398" i="1" a="1"/>
  <c r="N398" i="1" s="1"/>
  <c r="J398" i="1"/>
  <c r="M397" i="1"/>
  <c r="L398" i="1"/>
  <c r="Q398" i="1" s="1"/>
  <c r="R398" i="1" s="1"/>
  <c r="N399" i="1" a="1"/>
  <c r="N399" i="1" s="1"/>
  <c r="AQ399" i="1"/>
  <c r="AO399" i="1" a="1"/>
  <c r="AO399" i="1" s="1"/>
  <c r="AK399" i="1"/>
  <c r="AN398" i="1"/>
  <c r="AM399" i="1"/>
  <c r="AR399" i="1" s="1"/>
  <c r="AS399" i="1" s="1"/>
  <c r="M400" i="1"/>
  <c r="P400" i="1"/>
  <c r="AP400" i="1" a="1"/>
  <c r="AP400" i="1" s="1"/>
  <c r="AR400" i="1" s="1"/>
  <c r="AS400" i="1" s="1"/>
  <c r="O400" i="1" a="1"/>
  <c r="O400" i="1" s="1"/>
  <c r="L400" i="1"/>
  <c r="AN401" i="1"/>
  <c r="AQ401" i="1"/>
  <c r="AQ402" i="1"/>
  <c r="AL405" i="1"/>
  <c r="AP405" i="1" a="1"/>
  <c r="AP405" i="1" s="1"/>
  <c r="AM405" i="1"/>
  <c r="N409" i="1" a="1"/>
  <c r="N409" i="1" s="1"/>
  <c r="M410" i="1"/>
  <c r="AN411" i="1"/>
  <c r="N412" i="1" a="1"/>
  <c r="N412" i="1" s="1"/>
  <c r="L413" i="1"/>
  <c r="P413" i="1"/>
  <c r="P414" i="1"/>
  <c r="N414" i="1" a="1"/>
  <c r="N414" i="1" s="1"/>
  <c r="J414" i="1"/>
  <c r="M413" i="1"/>
  <c r="L414" i="1"/>
  <c r="Q414" i="1" s="1"/>
  <c r="R414" i="1" s="1"/>
  <c r="N415" i="1" a="1"/>
  <c r="N415" i="1" s="1"/>
  <c r="AQ415" i="1"/>
  <c r="AO415" i="1" a="1"/>
  <c r="AO415" i="1" s="1"/>
  <c r="AK415" i="1"/>
  <c r="AN414" i="1"/>
  <c r="AM415" i="1"/>
  <c r="AR415" i="1" s="1"/>
  <c r="AS415" i="1" s="1"/>
  <c r="M416" i="1"/>
  <c r="P416" i="1"/>
  <c r="AP416" i="1" a="1"/>
  <c r="AP416" i="1" s="1"/>
  <c r="AR416" i="1" s="1"/>
  <c r="AS416" i="1" s="1"/>
  <c r="O416" i="1" a="1"/>
  <c r="O416" i="1" s="1"/>
  <c r="L416" i="1"/>
  <c r="AN417" i="1"/>
  <c r="AQ417" i="1"/>
  <c r="AQ418" i="1"/>
  <c r="AL421" i="1"/>
  <c r="AP421" i="1" a="1"/>
  <c r="AP421" i="1" s="1"/>
  <c r="AM421" i="1"/>
  <c r="P426" i="1"/>
  <c r="N426" i="1" a="1"/>
  <c r="N426" i="1" s="1"/>
  <c r="J426" i="1"/>
  <c r="M425" i="1"/>
  <c r="M426" i="1"/>
  <c r="O425" i="1" a="1"/>
  <c r="O425" i="1" s="1"/>
  <c r="L425" i="1"/>
  <c r="L426" i="1"/>
  <c r="Q426" i="1" s="1"/>
  <c r="R426" i="1" s="1"/>
  <c r="AP425" i="1" a="1"/>
  <c r="AP425" i="1" s="1"/>
  <c r="AM425" i="1"/>
  <c r="AL425" i="1"/>
  <c r="P430" i="1"/>
  <c r="N430" i="1" a="1"/>
  <c r="N430" i="1" s="1"/>
  <c r="J430" i="1"/>
  <c r="M429" i="1"/>
  <c r="M430" i="1"/>
  <c r="O429" i="1" a="1"/>
  <c r="O429" i="1" s="1"/>
  <c r="L429" i="1"/>
  <c r="O430" i="1" a="1"/>
  <c r="O430" i="1" s="1"/>
  <c r="L430" i="1"/>
  <c r="K429" i="1"/>
  <c r="AQ435" i="1"/>
  <c r="AO435" i="1" a="1"/>
  <c r="AO435" i="1" s="1"/>
  <c r="AK435" i="1"/>
  <c r="AN434" i="1"/>
  <c r="AN435" i="1"/>
  <c r="AP434" i="1" a="1"/>
  <c r="AP434" i="1" s="1"/>
  <c r="AM434" i="1"/>
  <c r="AP435" i="1" a="1"/>
  <c r="AP435" i="1" s="1"/>
  <c r="AM435" i="1"/>
  <c r="AL434" i="1"/>
  <c r="AR440" i="1"/>
  <c r="AS440" i="1" s="1"/>
  <c r="P441" i="1"/>
  <c r="Q443" i="1"/>
  <c r="R443" i="1" s="1"/>
  <c r="AR449" i="1"/>
  <c r="AS449" i="1" s="1"/>
  <c r="N452" i="1" a="1"/>
  <c r="N452" i="1" s="1"/>
  <c r="Q456" i="1"/>
  <c r="R456" i="1" s="1"/>
  <c r="K445" i="1"/>
  <c r="O445" i="1" a="1"/>
  <c r="O445" i="1" s="1"/>
  <c r="AO449" i="1" a="1"/>
  <c r="AO449" i="1" s="1"/>
  <c r="O449" i="1" a="1"/>
  <c r="O449" i="1" s="1"/>
  <c r="L449" i="1"/>
  <c r="K450" i="1"/>
  <c r="P450" i="1"/>
  <c r="AL450" i="1"/>
  <c r="AL451" i="1"/>
  <c r="AO453" i="1" a="1"/>
  <c r="AO453" i="1" s="1"/>
  <c r="O453" i="1" a="1"/>
  <c r="O453" i="1" s="1"/>
  <c r="L453" i="1"/>
  <c r="P454" i="1"/>
  <c r="L454" i="1"/>
  <c r="Q454" i="1" s="1"/>
  <c r="R454" i="1" s="1"/>
  <c r="N453" i="1" a="1"/>
  <c r="N453" i="1" s="1"/>
  <c r="K454" i="1"/>
  <c r="AK455" i="1"/>
  <c r="M456" i="1"/>
  <c r="P459" i="1"/>
  <c r="N459" i="1" a="1"/>
  <c r="N459" i="1" s="1"/>
  <c r="J459" i="1"/>
  <c r="M458" i="1"/>
  <c r="O459" i="1" a="1"/>
  <c r="O459" i="1" s="1"/>
  <c r="Q459" i="1" s="1"/>
  <c r="R459" i="1" s="1"/>
  <c r="K459" i="1"/>
  <c r="O458" i="1" a="1"/>
  <c r="O458" i="1" s="1"/>
  <c r="Q458" i="1" s="1"/>
  <c r="R458" i="1" s="1"/>
  <c r="K458" i="1"/>
  <c r="M459" i="1"/>
  <c r="N458" i="1" a="1"/>
  <c r="N458" i="1" s="1"/>
  <c r="Q460" i="1"/>
  <c r="R460" i="1" s="1"/>
  <c r="O461" i="1" a="1"/>
  <c r="O461" i="1" s="1"/>
  <c r="L461" i="1"/>
  <c r="J462" i="1"/>
  <c r="K461" i="1"/>
  <c r="P462" i="1"/>
  <c r="L462" i="1"/>
  <c r="N461" i="1" a="1"/>
  <c r="N461" i="1" s="1"/>
  <c r="N462" i="1" a="1"/>
  <c r="N462" i="1" s="1"/>
  <c r="AK482" i="1"/>
  <c r="AP481" i="1" a="1"/>
  <c r="AP481" i="1" s="1"/>
  <c r="AM481" i="1"/>
  <c r="AO482" i="1" a="1"/>
  <c r="AO482" i="1" s="1"/>
  <c r="AL481" i="1"/>
  <c r="AL482" i="1"/>
  <c r="AQ482" i="1"/>
  <c r="AO481" i="1" a="1"/>
  <c r="AO481" i="1" s="1"/>
  <c r="AP482" i="1" a="1"/>
  <c r="AP482" i="1" s="1"/>
  <c r="AR482" i="1" s="1"/>
  <c r="AS482" i="1" s="1"/>
  <c r="AN481" i="1"/>
  <c r="K499" i="1"/>
  <c r="N500" i="1" a="1"/>
  <c r="N500" i="1" s="1"/>
  <c r="O499" i="1" a="1"/>
  <c r="O499" i="1" s="1"/>
  <c r="P500" i="1"/>
  <c r="M500" i="1"/>
  <c r="N499" i="1" a="1"/>
  <c r="N499" i="1" s="1"/>
  <c r="J500" i="1"/>
  <c r="M499" i="1"/>
  <c r="L499" i="1"/>
  <c r="K428" i="1"/>
  <c r="AL429" i="1"/>
  <c r="K432" i="1"/>
  <c r="AL433" i="1"/>
  <c r="K436" i="1"/>
  <c r="AL437" i="1"/>
  <c r="K440" i="1"/>
  <c r="AL441" i="1"/>
  <c r="K444" i="1"/>
  <c r="L445" i="1"/>
  <c r="P445" i="1"/>
  <c r="J446" i="1"/>
  <c r="M445" i="1"/>
  <c r="L446" i="1"/>
  <c r="Q446" i="1" s="1"/>
  <c r="R446" i="1" s="1"/>
  <c r="P447" i="1"/>
  <c r="N447" i="1" a="1"/>
  <c r="N447" i="1" s="1"/>
  <c r="J447" i="1"/>
  <c r="M446" i="1"/>
  <c r="L447" i="1"/>
  <c r="Q447" i="1" s="1"/>
  <c r="R447" i="1" s="1"/>
  <c r="AL449" i="1"/>
  <c r="AK450" i="1"/>
  <c r="AQ449" i="1"/>
  <c r="AN449" i="1"/>
  <c r="AN450" i="1"/>
  <c r="P451" i="1"/>
  <c r="N451" i="1" a="1"/>
  <c r="N451" i="1" s="1"/>
  <c r="J451" i="1"/>
  <c r="M450" i="1"/>
  <c r="M451" i="1"/>
  <c r="N450" i="1" a="1"/>
  <c r="N450" i="1" s="1"/>
  <c r="L451" i="1"/>
  <c r="Q451" i="1" s="1"/>
  <c r="R451" i="1" s="1"/>
  <c r="AP450" i="1" a="1"/>
  <c r="AP450" i="1" s="1"/>
  <c r="AM450" i="1"/>
  <c r="AK451" i="1"/>
  <c r="AM451" i="1"/>
  <c r="AR451" i="1" s="1"/>
  <c r="AS451" i="1" s="1"/>
  <c r="AL453" i="1"/>
  <c r="AM453" i="1"/>
  <c r="AR453" i="1" s="1"/>
  <c r="AS453" i="1" s="1"/>
  <c r="AL454" i="1"/>
  <c r="AQ454" i="1"/>
  <c r="AP454" i="1" a="1"/>
  <c r="AP454" i="1" s="1"/>
  <c r="AM454" i="1"/>
  <c r="AO455" i="1" a="1"/>
  <c r="AO455" i="1" s="1"/>
  <c r="AO454" i="1" a="1"/>
  <c r="AO454" i="1" s="1"/>
  <c r="AL455" i="1"/>
  <c r="AQ455" i="1"/>
  <c r="K456" i="1"/>
  <c r="P457" i="1"/>
  <c r="M457" i="1"/>
  <c r="N456" i="1" a="1"/>
  <c r="N456" i="1" s="1"/>
  <c r="J457" i="1"/>
  <c r="N457" i="1" a="1"/>
  <c r="N457" i="1" s="1"/>
  <c r="AQ467" i="1"/>
  <c r="AO467" i="1" a="1"/>
  <c r="AO467" i="1" s="1"/>
  <c r="AK467" i="1"/>
  <c r="AP466" i="1" a="1"/>
  <c r="AP466" i="1" s="1"/>
  <c r="AM466" i="1"/>
  <c r="AL467" i="1"/>
  <c r="AP467" i="1" a="1"/>
  <c r="AP467" i="1" s="1"/>
  <c r="AR467" i="1" s="1"/>
  <c r="AS467" i="1" s="1"/>
  <c r="AO466" i="1" a="1"/>
  <c r="AO466" i="1" s="1"/>
  <c r="AN466" i="1"/>
  <c r="O468" i="1" a="1"/>
  <c r="O468" i="1" s="1"/>
  <c r="L468" i="1"/>
  <c r="K468" i="1"/>
  <c r="P469" i="1"/>
  <c r="J469" i="1"/>
  <c r="N468" i="1" a="1"/>
  <c r="N468" i="1" s="1"/>
  <c r="M468" i="1"/>
  <c r="L428" i="1"/>
  <c r="Q428" i="1" s="1"/>
  <c r="R428" i="1" s="1"/>
  <c r="AM429" i="1"/>
  <c r="AR429" i="1" s="1"/>
  <c r="AS429" i="1" s="1"/>
  <c r="L432" i="1"/>
  <c r="Q432" i="1" s="1"/>
  <c r="R432" i="1" s="1"/>
  <c r="AM433" i="1"/>
  <c r="AR433" i="1" s="1"/>
  <c r="AS433" i="1" s="1"/>
  <c r="L436" i="1"/>
  <c r="Q436" i="1" s="1"/>
  <c r="R436" i="1" s="1"/>
  <c r="AM437" i="1"/>
  <c r="AR437" i="1" s="1"/>
  <c r="AS437" i="1" s="1"/>
  <c r="L440" i="1"/>
  <c r="Q440" i="1" s="1"/>
  <c r="R440" i="1" s="1"/>
  <c r="AM441" i="1"/>
  <c r="L444" i="1"/>
  <c r="Q444" i="1" s="1"/>
  <c r="R444" i="1" s="1"/>
  <c r="N445" i="1" a="1"/>
  <c r="N445" i="1" s="1"/>
  <c r="N446" i="1" a="1"/>
  <c r="N446" i="1" s="1"/>
  <c r="M447" i="1"/>
  <c r="K449" i="1"/>
  <c r="AO450" i="1" a="1"/>
  <c r="AO450" i="1" s="1"/>
  <c r="AO451" i="1" a="1"/>
  <c r="AO451" i="1" s="1"/>
  <c r="AQ452" i="1"/>
  <c r="AO452" i="1" a="1"/>
  <c r="AO452" i="1" s="1"/>
  <c r="AK452" i="1"/>
  <c r="AN451" i="1"/>
  <c r="AN452" i="1"/>
  <c r="AM452" i="1"/>
  <c r="AR452" i="1" s="1"/>
  <c r="AS452" i="1" s="1"/>
  <c r="AQ453" i="1"/>
  <c r="AN454" i="1"/>
  <c r="AM455" i="1"/>
  <c r="AR455" i="1" s="1"/>
  <c r="AS455" i="1" s="1"/>
  <c r="AL457" i="1"/>
  <c r="AQ458" i="1"/>
  <c r="AP457" i="1" a="1"/>
  <c r="AP457" i="1" s="1"/>
  <c r="AR457" i="1" s="1"/>
  <c r="AS457" i="1" s="1"/>
  <c r="AK458" i="1"/>
  <c r="AQ457" i="1"/>
  <c r="AN457" i="1"/>
  <c r="AO458" i="1" a="1"/>
  <c r="AO458" i="1" s="1"/>
  <c r="AP458" i="1" a="1"/>
  <c r="AP458" i="1" s="1"/>
  <c r="AM458" i="1"/>
  <c r="AQ459" i="1"/>
  <c r="AN458" i="1"/>
  <c r="AK459" i="1"/>
  <c r="AO459" i="1" a="1"/>
  <c r="AO459" i="1" s="1"/>
  <c r="AQ460" i="1"/>
  <c r="AO460" i="1" a="1"/>
  <c r="AO460" i="1" s="1"/>
  <c r="AK460" i="1"/>
  <c r="AN459" i="1"/>
  <c r="AP460" i="1" a="1"/>
  <c r="AP460" i="1" s="1"/>
  <c r="AR460" i="1" s="1"/>
  <c r="AS460" i="1" s="1"/>
  <c r="AL460" i="1"/>
  <c r="AM459" i="1"/>
  <c r="AR459" i="1" s="1"/>
  <c r="AS459" i="1" s="1"/>
  <c r="AN460" i="1"/>
  <c r="K464" i="1"/>
  <c r="J465" i="1"/>
  <c r="L464" i="1"/>
  <c r="N465" i="1" a="1"/>
  <c r="N465" i="1" s="1"/>
  <c r="O464" i="1" a="1"/>
  <c r="O464" i="1" s="1"/>
  <c r="Q464" i="1" s="1"/>
  <c r="R464" i="1" s="1"/>
  <c r="P465" i="1"/>
  <c r="M465" i="1"/>
  <c r="N464" i="1" a="1"/>
  <c r="N464" i="1" s="1"/>
  <c r="AL466" i="1"/>
  <c r="P468" i="1"/>
  <c r="P470" i="1"/>
  <c r="N470" i="1" a="1"/>
  <c r="N470" i="1" s="1"/>
  <c r="J470" i="1"/>
  <c r="M469" i="1"/>
  <c r="O469" i="1" a="1"/>
  <c r="O469" i="1" s="1"/>
  <c r="L469" i="1"/>
  <c r="K470" i="1"/>
  <c r="O470" i="1" a="1"/>
  <c r="O470" i="1" s="1"/>
  <c r="Q470" i="1" s="1"/>
  <c r="R470" i="1" s="1"/>
  <c r="N469" i="1" a="1"/>
  <c r="N469" i="1" s="1"/>
  <c r="AP469" i="1" a="1"/>
  <c r="AP469" i="1" s="1"/>
  <c r="AM469" i="1"/>
  <c r="AL469" i="1"/>
  <c r="AQ470" i="1"/>
  <c r="AK470" i="1"/>
  <c r="AQ469" i="1"/>
  <c r="AO470" i="1" a="1"/>
  <c r="AO470" i="1" s="1"/>
  <c r="AO469" i="1" a="1"/>
  <c r="AO469" i="1" s="1"/>
  <c r="P499" i="1"/>
  <c r="P463" i="1"/>
  <c r="N463" i="1" a="1"/>
  <c r="N463" i="1" s="1"/>
  <c r="J463" i="1"/>
  <c r="M462" i="1"/>
  <c r="L463" i="1"/>
  <c r="Q463" i="1" s="1"/>
  <c r="R463" i="1" s="1"/>
  <c r="AQ464" i="1"/>
  <c r="AO464" i="1" a="1"/>
  <c r="AO464" i="1" s="1"/>
  <c r="AK464" i="1"/>
  <c r="AN463" i="1"/>
  <c r="AM464" i="1"/>
  <c r="AR464" i="1" s="1"/>
  <c r="AS464" i="1" s="1"/>
  <c r="O465" i="1" a="1"/>
  <c r="O465" i="1" s="1"/>
  <c r="L465" i="1"/>
  <c r="K466" i="1"/>
  <c r="O466" i="1" a="1"/>
  <c r="O466" i="1" s="1"/>
  <c r="Q466" i="1" s="1"/>
  <c r="R466" i="1" s="1"/>
  <c r="J477" i="1"/>
  <c r="AQ477" i="1"/>
  <c r="AK478" i="1"/>
  <c r="AQ479" i="1"/>
  <c r="AO479" i="1" a="1"/>
  <c r="AO479" i="1" s="1"/>
  <c r="AK479" i="1"/>
  <c r="AN478" i="1"/>
  <c r="AP478" i="1" a="1"/>
  <c r="AP478" i="1" s="1"/>
  <c r="AM478" i="1"/>
  <c r="AM479" i="1"/>
  <c r="O480" i="1" a="1"/>
  <c r="O480" i="1" s="1"/>
  <c r="L480" i="1"/>
  <c r="K480" i="1"/>
  <c r="K481" i="1"/>
  <c r="P482" i="1"/>
  <c r="N482" i="1" a="1"/>
  <c r="N482" i="1" s="1"/>
  <c r="J482" i="1"/>
  <c r="M481" i="1"/>
  <c r="M482" i="1"/>
  <c r="O481" i="1" a="1"/>
  <c r="O481" i="1" s="1"/>
  <c r="L481" i="1"/>
  <c r="L482" i="1"/>
  <c r="AL484" i="1"/>
  <c r="AM484" i="1"/>
  <c r="AQ485" i="1"/>
  <c r="AP484" i="1" a="1"/>
  <c r="AP484" i="1" s="1"/>
  <c r="AL485" i="1"/>
  <c r="AP485" i="1" a="1"/>
  <c r="AP485" i="1" s="1"/>
  <c r="AM485" i="1"/>
  <c r="AO486" i="1" a="1"/>
  <c r="AO486" i="1" s="1"/>
  <c r="AO485" i="1" a="1"/>
  <c r="AO485" i="1" s="1"/>
  <c r="AQ486" i="1"/>
  <c r="AN485" i="1"/>
  <c r="AL486" i="1"/>
  <c r="AR488" i="1"/>
  <c r="AS488" i="1" s="1"/>
  <c r="P490" i="1"/>
  <c r="N490" i="1" a="1"/>
  <c r="N490" i="1" s="1"/>
  <c r="J490" i="1"/>
  <c r="M489" i="1"/>
  <c r="O490" i="1" a="1"/>
  <c r="O490" i="1" s="1"/>
  <c r="Q490" i="1" s="1"/>
  <c r="R490" i="1" s="1"/>
  <c r="K490" i="1"/>
  <c r="O489" i="1" a="1"/>
  <c r="O489" i="1" s="1"/>
  <c r="Q489" i="1" s="1"/>
  <c r="R489" i="1" s="1"/>
  <c r="K489" i="1"/>
  <c r="M490" i="1"/>
  <c r="K495" i="1"/>
  <c r="J496" i="1"/>
  <c r="L495" i="1"/>
  <c r="O495" i="1" a="1"/>
  <c r="O495" i="1" s="1"/>
  <c r="M496" i="1"/>
  <c r="AL496" i="1"/>
  <c r="AK497" i="1"/>
  <c r="AQ496" i="1"/>
  <c r="AN496" i="1"/>
  <c r="AM496" i="1"/>
  <c r="AR496" i="1" s="1"/>
  <c r="AS496" i="1" s="1"/>
  <c r="AN497" i="1"/>
  <c r="AP501" i="1" a="1"/>
  <c r="AP501" i="1" s="1"/>
  <c r="AM501" i="1"/>
  <c r="AL501" i="1"/>
  <c r="AO501" i="1" a="1"/>
  <c r="AO501" i="1" s="1"/>
  <c r="AN501" i="1"/>
  <c r="AL502" i="1"/>
  <c r="AL508" i="1"/>
  <c r="AM508" i="1"/>
  <c r="AQ509" i="1"/>
  <c r="AP508" i="1" a="1"/>
  <c r="AP508" i="1" s="1"/>
  <c r="AK509" i="1"/>
  <c r="AQ508" i="1"/>
  <c r="AO508" i="1" a="1"/>
  <c r="AO508" i="1" s="1"/>
  <c r="AQ475" i="1"/>
  <c r="AO475" i="1" a="1"/>
  <c r="AO475" i="1" s="1"/>
  <c r="AK475" i="1"/>
  <c r="AN474" i="1"/>
  <c r="AP474" i="1" a="1"/>
  <c r="AP474" i="1" s="1"/>
  <c r="AM474" i="1"/>
  <c r="AM475" i="1"/>
  <c r="AR475" i="1" s="1"/>
  <c r="AS475" i="1" s="1"/>
  <c r="O476" i="1" a="1"/>
  <c r="O476" i="1" s="1"/>
  <c r="L476" i="1"/>
  <c r="K476" i="1"/>
  <c r="K477" i="1"/>
  <c r="P478" i="1"/>
  <c r="N478" i="1" a="1"/>
  <c r="N478" i="1" s="1"/>
  <c r="J478" i="1"/>
  <c r="M477" i="1"/>
  <c r="O477" i="1" a="1"/>
  <c r="O477" i="1" s="1"/>
  <c r="L477" i="1"/>
  <c r="L478" i="1"/>
  <c r="Q478" i="1" s="1"/>
  <c r="R478" i="1" s="1"/>
  <c r="AP477" i="1" a="1"/>
  <c r="AP477" i="1" s="1"/>
  <c r="AM477" i="1"/>
  <c r="AL477" i="1"/>
  <c r="AL478" i="1"/>
  <c r="K483" i="1"/>
  <c r="N484" i="1" a="1"/>
  <c r="N484" i="1" s="1"/>
  <c r="O483" i="1" a="1"/>
  <c r="O483" i="1" s="1"/>
  <c r="P484" i="1"/>
  <c r="M484" i="1"/>
  <c r="N483" i="1" a="1"/>
  <c r="N483" i="1" s="1"/>
  <c r="K484" i="1"/>
  <c r="AQ495" i="1"/>
  <c r="AO495" i="1" a="1"/>
  <c r="AO495" i="1" s="1"/>
  <c r="AK495" i="1"/>
  <c r="AN494" i="1"/>
  <c r="AP494" i="1" a="1"/>
  <c r="AP494" i="1" s="1"/>
  <c r="AR494" i="1" s="1"/>
  <c r="AS494" i="1" s="1"/>
  <c r="AL494" i="1"/>
  <c r="AN495" i="1"/>
  <c r="AM495" i="1"/>
  <c r="O496" i="1" a="1"/>
  <c r="O496" i="1" s="1"/>
  <c r="L496" i="1"/>
  <c r="N497" i="1" a="1"/>
  <c r="N497" i="1" s="1"/>
  <c r="P497" i="1"/>
  <c r="L497" i="1"/>
  <c r="Q497" i="1" s="1"/>
  <c r="R497" i="1" s="1"/>
  <c r="N496" i="1" a="1"/>
  <c r="N496" i="1" s="1"/>
  <c r="K497" i="1"/>
  <c r="AP497" i="1" a="1"/>
  <c r="AP497" i="1" s="1"/>
  <c r="AM497" i="1"/>
  <c r="AK498" i="1"/>
  <c r="AO498" i="1" a="1"/>
  <c r="AO498" i="1" s="1"/>
  <c r="AO497" i="1" a="1"/>
  <c r="AO497" i="1" s="1"/>
  <c r="AM498" i="1"/>
  <c r="AQ502" i="1"/>
  <c r="AP446" i="1" a="1"/>
  <c r="AP446" i="1" s="1"/>
  <c r="AR446" i="1" s="1"/>
  <c r="AS446" i="1" s="1"/>
  <c r="AM446" i="1"/>
  <c r="P455" i="1"/>
  <c r="N455" i="1" a="1"/>
  <c r="N455" i="1" s="1"/>
  <c r="J455" i="1"/>
  <c r="M454" i="1"/>
  <c r="L455" i="1"/>
  <c r="Q455" i="1" s="1"/>
  <c r="R455" i="1" s="1"/>
  <c r="AQ456" i="1"/>
  <c r="AO456" i="1" a="1"/>
  <c r="AO456" i="1" s="1"/>
  <c r="AK456" i="1"/>
  <c r="AN455" i="1"/>
  <c r="AM456" i="1"/>
  <c r="AR456" i="1" s="1"/>
  <c r="AS456" i="1" s="1"/>
  <c r="O457" i="1" a="1"/>
  <c r="O457" i="1" s="1"/>
  <c r="Q457" i="1" s="1"/>
  <c r="R457" i="1" s="1"/>
  <c r="L457" i="1"/>
  <c r="AL462" i="1"/>
  <c r="AP462" i="1" a="1"/>
  <c r="AP462" i="1" s="1"/>
  <c r="AM462" i="1"/>
  <c r="AL463" i="1"/>
  <c r="AP463" i="1" a="1"/>
  <c r="AP463" i="1" s="1"/>
  <c r="AR463" i="1" s="1"/>
  <c r="AS463" i="1" s="1"/>
  <c r="N466" i="1" a="1"/>
  <c r="N466" i="1" s="1"/>
  <c r="AQ471" i="1"/>
  <c r="AO471" i="1" a="1"/>
  <c r="AO471" i="1" s="1"/>
  <c r="AK471" i="1"/>
  <c r="AN470" i="1"/>
  <c r="AP470" i="1" a="1"/>
  <c r="AP470" i="1" s="1"/>
  <c r="AR470" i="1" s="1"/>
  <c r="AS470" i="1" s="1"/>
  <c r="AM470" i="1"/>
  <c r="AM471" i="1"/>
  <c r="AR471" i="1" s="1"/>
  <c r="AS471" i="1" s="1"/>
  <c r="O472" i="1" a="1"/>
  <c r="O472" i="1" s="1"/>
  <c r="L472" i="1"/>
  <c r="K472" i="1"/>
  <c r="K473" i="1"/>
  <c r="P474" i="1"/>
  <c r="N474" i="1" a="1"/>
  <c r="N474" i="1" s="1"/>
  <c r="J474" i="1"/>
  <c r="M473" i="1"/>
  <c r="O473" i="1" a="1"/>
  <c r="O473" i="1" s="1"/>
  <c r="L473" i="1"/>
  <c r="L474" i="1"/>
  <c r="Q474" i="1" s="1"/>
  <c r="R474" i="1" s="1"/>
  <c r="AP473" i="1" a="1"/>
  <c r="AP473" i="1" s="1"/>
  <c r="AM473" i="1"/>
  <c r="AL473" i="1"/>
  <c r="AL474" i="1"/>
  <c r="M476" i="1"/>
  <c r="N477" i="1" a="1"/>
  <c r="N477" i="1" s="1"/>
  <c r="AO477" i="1" a="1"/>
  <c r="AO477" i="1" s="1"/>
  <c r="AO478" i="1" a="1"/>
  <c r="AO478" i="1" s="1"/>
  <c r="AP479" i="1" a="1"/>
  <c r="AP479" i="1" s="1"/>
  <c r="AR479" i="1" s="1"/>
  <c r="AS479" i="1" s="1"/>
  <c r="N480" i="1" a="1"/>
  <c r="N480" i="1" s="1"/>
  <c r="O482" i="1" a="1"/>
  <c r="O482" i="1" s="1"/>
  <c r="Q482" i="1" s="1"/>
  <c r="R482" i="1" s="1"/>
  <c r="L483" i="1"/>
  <c r="AP486" i="1" a="1"/>
  <c r="AP486" i="1" s="1"/>
  <c r="N489" i="1" a="1"/>
  <c r="N489" i="1" s="1"/>
  <c r="AQ491" i="1"/>
  <c r="AO491" i="1" a="1"/>
  <c r="AO491" i="1" s="1"/>
  <c r="AK491" i="1"/>
  <c r="AN490" i="1"/>
  <c r="AP491" i="1" a="1"/>
  <c r="AP491" i="1" s="1"/>
  <c r="AR491" i="1" s="1"/>
  <c r="AS491" i="1" s="1"/>
  <c r="AL491" i="1"/>
  <c r="AQ490" i="1"/>
  <c r="AM490" i="1"/>
  <c r="AP490" i="1" a="1"/>
  <c r="AP490" i="1" s="1"/>
  <c r="AL490" i="1"/>
  <c r="AN491" i="1"/>
  <c r="O492" i="1" a="1"/>
  <c r="O492" i="1" s="1"/>
  <c r="L492" i="1"/>
  <c r="J493" i="1"/>
  <c r="K492" i="1"/>
  <c r="L493" i="1"/>
  <c r="Q493" i="1" s="1"/>
  <c r="R493" i="1" s="1"/>
  <c r="P494" i="1"/>
  <c r="N494" i="1" a="1"/>
  <c r="N494" i="1" s="1"/>
  <c r="J494" i="1"/>
  <c r="M493" i="1"/>
  <c r="M494" i="1"/>
  <c r="N493" i="1" a="1"/>
  <c r="N493" i="1" s="1"/>
  <c r="L494" i="1"/>
  <c r="Q494" i="1" s="1"/>
  <c r="R494" i="1" s="1"/>
  <c r="M495" i="1"/>
  <c r="AP495" i="1" a="1"/>
  <c r="AP495" i="1" s="1"/>
  <c r="P496" i="1"/>
  <c r="AR498" i="1"/>
  <c r="AS498" i="1" s="1"/>
  <c r="AQ501" i="1"/>
  <c r="P502" i="1"/>
  <c r="N502" i="1" a="1"/>
  <c r="N502" i="1" s="1"/>
  <c r="J502" i="1"/>
  <c r="M501" i="1"/>
  <c r="M502" i="1"/>
  <c r="O501" i="1" a="1"/>
  <c r="O501" i="1" s="1"/>
  <c r="L501" i="1"/>
  <c r="O502" i="1" a="1"/>
  <c r="O502" i="1" s="1"/>
  <c r="N501" i="1" a="1"/>
  <c r="N501" i="1" s="1"/>
  <c r="K501" i="1"/>
  <c r="L502" i="1"/>
  <c r="M466" i="1"/>
  <c r="J467" i="1"/>
  <c r="N467" i="1" a="1"/>
  <c r="N467" i="1" s="1"/>
  <c r="P467" i="1"/>
  <c r="AN467" i="1"/>
  <c r="AK468" i="1"/>
  <c r="AO468" i="1" a="1"/>
  <c r="AO468" i="1" s="1"/>
  <c r="AQ468" i="1"/>
  <c r="M470" i="1"/>
  <c r="J471" i="1"/>
  <c r="N471" i="1" a="1"/>
  <c r="N471" i="1" s="1"/>
  <c r="P471" i="1"/>
  <c r="AN471" i="1"/>
  <c r="AK472" i="1"/>
  <c r="AO472" i="1" a="1"/>
  <c r="AO472" i="1" s="1"/>
  <c r="AQ472" i="1"/>
  <c r="M474" i="1"/>
  <c r="J475" i="1"/>
  <c r="N475" i="1" a="1"/>
  <c r="N475" i="1" s="1"/>
  <c r="P475" i="1"/>
  <c r="AN475" i="1"/>
  <c r="AK476" i="1"/>
  <c r="AO476" i="1" a="1"/>
  <c r="AO476" i="1" s="1"/>
  <c r="AQ476" i="1"/>
  <c r="M478" i="1"/>
  <c r="J479" i="1"/>
  <c r="N479" i="1" a="1"/>
  <c r="N479" i="1" s="1"/>
  <c r="P479" i="1"/>
  <c r="AN479" i="1"/>
  <c r="AK480" i="1"/>
  <c r="AO480" i="1" a="1"/>
  <c r="AO480" i="1" s="1"/>
  <c r="AQ480" i="1"/>
  <c r="AQ483" i="1"/>
  <c r="AO483" i="1" a="1"/>
  <c r="AO483" i="1" s="1"/>
  <c r="AK483" i="1"/>
  <c r="AN482" i="1"/>
  <c r="AM483" i="1"/>
  <c r="AR483" i="1" s="1"/>
  <c r="AS483" i="1" s="1"/>
  <c r="O484" i="1" a="1"/>
  <c r="O484" i="1" s="1"/>
  <c r="L484" i="1"/>
  <c r="K485" i="1"/>
  <c r="O485" i="1" a="1"/>
  <c r="O485" i="1" s="1"/>
  <c r="Q485" i="1" s="1"/>
  <c r="R485" i="1" s="1"/>
  <c r="K486" i="1"/>
  <c r="AM486" i="1"/>
  <c r="AL487" i="1"/>
  <c r="K488" i="1"/>
  <c r="AL489" i="1"/>
  <c r="AP489" i="1" a="1"/>
  <c r="AP489" i="1" s="1"/>
  <c r="AM489" i="1"/>
  <c r="L491" i="1"/>
  <c r="Q491" i="1" s="1"/>
  <c r="R491" i="1" s="1"/>
  <c r="J492" i="1"/>
  <c r="AN492" i="1"/>
  <c r="AQ492" i="1"/>
  <c r="AK493" i="1"/>
  <c r="P498" i="1"/>
  <c r="N498" i="1" a="1"/>
  <c r="N498" i="1" s="1"/>
  <c r="J498" i="1"/>
  <c r="M497" i="1"/>
  <c r="L498" i="1"/>
  <c r="Q498" i="1" s="1"/>
  <c r="R498" i="1" s="1"/>
  <c r="AQ499" i="1"/>
  <c r="AO499" i="1" a="1"/>
  <c r="AO499" i="1" s="1"/>
  <c r="AK499" i="1"/>
  <c r="AN498" i="1"/>
  <c r="AM499" i="1"/>
  <c r="AR499" i="1" s="1"/>
  <c r="AS499" i="1" s="1"/>
  <c r="O500" i="1" a="1"/>
  <c r="O500" i="1" s="1"/>
  <c r="L500" i="1"/>
  <c r="AO502" i="1" a="1"/>
  <c r="AO502" i="1" s="1"/>
  <c r="O504" i="1" a="1"/>
  <c r="O504" i="1" s="1"/>
  <c r="L504" i="1"/>
  <c r="O505" i="1" a="1"/>
  <c r="O505" i="1" s="1"/>
  <c r="Q505" i="1" s="1"/>
  <c r="R505" i="1" s="1"/>
  <c r="L505" i="1"/>
  <c r="K504" i="1"/>
  <c r="K505" i="1"/>
  <c r="AN505" i="1"/>
  <c r="M507" i="1"/>
  <c r="AP509" i="1" a="1"/>
  <c r="AP509" i="1" s="1"/>
  <c r="AM509" i="1"/>
  <c r="AO510" i="1" a="1"/>
  <c r="AO510" i="1" s="1"/>
  <c r="AO509" i="1" a="1"/>
  <c r="AO509" i="1" s="1"/>
  <c r="AQ510" i="1"/>
  <c r="AM510" i="1"/>
  <c r="AR510" i="1" s="1"/>
  <c r="AS510" i="1" s="1"/>
  <c r="AN509" i="1"/>
  <c r="AL510" i="1"/>
  <c r="L513" i="1"/>
  <c r="P486" i="1"/>
  <c r="N486" i="1" a="1"/>
  <c r="N486" i="1" s="1"/>
  <c r="J486" i="1"/>
  <c r="M485" i="1"/>
  <c r="L486" i="1"/>
  <c r="Q486" i="1" s="1"/>
  <c r="R486" i="1" s="1"/>
  <c r="AQ487" i="1"/>
  <c r="AO487" i="1" a="1"/>
  <c r="AO487" i="1" s="1"/>
  <c r="AK487" i="1"/>
  <c r="AN486" i="1"/>
  <c r="AM487" i="1"/>
  <c r="AR487" i="1" s="1"/>
  <c r="AS487" i="1" s="1"/>
  <c r="O488" i="1" a="1"/>
  <c r="O488" i="1" s="1"/>
  <c r="L488" i="1"/>
  <c r="AL493" i="1"/>
  <c r="AP493" i="1" a="1"/>
  <c r="AP493" i="1" s="1"/>
  <c r="AR493" i="1" s="1"/>
  <c r="AS493" i="1" s="1"/>
  <c r="AM493" i="1"/>
  <c r="AR500" i="1"/>
  <c r="AS500" i="1" s="1"/>
  <c r="AQ503" i="1"/>
  <c r="AO503" i="1" a="1"/>
  <c r="AO503" i="1" s="1"/>
  <c r="AK503" i="1"/>
  <c r="AN502" i="1"/>
  <c r="AN503" i="1"/>
  <c r="AP502" i="1" a="1"/>
  <c r="AP502" i="1" s="1"/>
  <c r="AR502" i="1" s="1"/>
  <c r="AS502" i="1" s="1"/>
  <c r="AM502" i="1"/>
  <c r="AM503" i="1"/>
  <c r="AR503" i="1" s="1"/>
  <c r="AS503" i="1" s="1"/>
  <c r="AR504" i="1"/>
  <c r="AS504" i="1" s="1"/>
  <c r="AK506" i="1"/>
  <c r="AP505" i="1" a="1"/>
  <c r="AP505" i="1" s="1"/>
  <c r="AM505" i="1"/>
  <c r="AO506" i="1" a="1"/>
  <c r="AO506" i="1" s="1"/>
  <c r="AL505" i="1"/>
  <c r="AM506" i="1"/>
  <c r="AR506" i="1" s="1"/>
  <c r="AS506" i="1" s="1"/>
  <c r="K507" i="1"/>
  <c r="O507" i="1" a="1"/>
  <c r="O507" i="1" s="1"/>
  <c r="Q507" i="1" s="1"/>
  <c r="R507" i="1" s="1"/>
  <c r="P508" i="1"/>
  <c r="M508" i="1"/>
  <c r="N507" i="1" a="1"/>
  <c r="N507" i="1" s="1"/>
  <c r="K508" i="1"/>
  <c r="P514" i="1"/>
  <c r="N514" i="1" a="1"/>
  <c r="N514" i="1" s="1"/>
  <c r="J514" i="1"/>
  <c r="M513" i="1"/>
  <c r="O514" i="1" a="1"/>
  <c r="O514" i="1" s="1"/>
  <c r="Q514" i="1" s="1"/>
  <c r="R514" i="1" s="1"/>
  <c r="K514" i="1"/>
  <c r="O513" i="1" a="1"/>
  <c r="O513" i="1" s="1"/>
  <c r="Q513" i="1" s="1"/>
  <c r="R513" i="1" s="1"/>
  <c r="K513" i="1"/>
  <c r="M514" i="1"/>
  <c r="P506" i="1"/>
  <c r="N506" i="1" a="1"/>
  <c r="N506" i="1" s="1"/>
  <c r="J506" i="1"/>
  <c r="L506" i="1"/>
  <c r="Q506" i="1" s="1"/>
  <c r="R506" i="1" s="1"/>
  <c r="AQ507" i="1"/>
  <c r="AO507" i="1" a="1"/>
  <c r="AO507" i="1" s="1"/>
  <c r="AK507" i="1"/>
  <c r="AN506" i="1"/>
  <c r="AM507" i="1"/>
  <c r="AR507" i="1" s="1"/>
  <c r="AS507" i="1" s="1"/>
  <c r="O508" i="1" a="1"/>
  <c r="O508" i="1" s="1"/>
  <c r="L508" i="1"/>
  <c r="K509" i="1"/>
  <c r="O509" i="1" a="1"/>
  <c r="O509" i="1" s="1"/>
  <c r="Q509" i="1" s="1"/>
  <c r="R509" i="1" s="1"/>
  <c r="K512" i="1"/>
  <c r="AL513" i="1"/>
  <c r="AN514" i="1"/>
  <c r="AP513" i="1" a="1"/>
  <c r="AP513" i="1" s="1"/>
  <c r="AR513" i="1" s="1"/>
  <c r="AS513" i="1" s="1"/>
  <c r="AM513" i="1"/>
  <c r="AL514" i="1"/>
  <c r="AP514" i="1" a="1"/>
  <c r="AP514" i="1" s="1"/>
  <c r="AR522" i="1"/>
  <c r="AS522" i="1" s="1"/>
  <c r="M505" i="1"/>
  <c r="M506" i="1"/>
  <c r="AN507" i="1"/>
  <c r="N508" i="1" a="1"/>
  <c r="N508" i="1" s="1"/>
  <c r="L509" i="1"/>
  <c r="P509" i="1"/>
  <c r="P510" i="1"/>
  <c r="N510" i="1" a="1"/>
  <c r="N510" i="1" s="1"/>
  <c r="J510" i="1"/>
  <c r="M509" i="1"/>
  <c r="L510" i="1"/>
  <c r="Q510" i="1" s="1"/>
  <c r="R510" i="1" s="1"/>
  <c r="N511" i="1" a="1"/>
  <c r="N511" i="1" s="1"/>
  <c r="AQ511" i="1"/>
  <c r="AO511" i="1" a="1"/>
  <c r="AO511" i="1" s="1"/>
  <c r="AK511" i="1"/>
  <c r="AN510" i="1"/>
  <c r="AM511" i="1"/>
  <c r="AR511" i="1" s="1"/>
  <c r="AS511" i="1" s="1"/>
  <c r="M512" i="1"/>
  <c r="P512" i="1"/>
  <c r="AP512" i="1" a="1"/>
  <c r="AP512" i="1" s="1"/>
  <c r="AR512" i="1" s="1"/>
  <c r="AS512" i="1" s="1"/>
  <c r="O512" i="1" a="1"/>
  <c r="O512" i="1" s="1"/>
  <c r="L512" i="1"/>
  <c r="AN513" i="1"/>
  <c r="AQ513" i="1"/>
  <c r="AO514" i="1" a="1"/>
  <c r="AO514" i="1" s="1"/>
  <c r="K515" i="1"/>
  <c r="AL516" i="1"/>
  <c r="K519" i="1"/>
  <c r="AL520" i="1"/>
  <c r="K523" i="1"/>
  <c r="AQ524" i="1"/>
  <c r="AO524" i="1" a="1"/>
  <c r="AO524" i="1" s="1"/>
  <c r="AP524" i="1" a="1"/>
  <c r="AP524" i="1" s="1"/>
  <c r="AM524" i="1"/>
  <c r="AL524" i="1"/>
  <c r="P525" i="1"/>
  <c r="N525" i="1" a="1"/>
  <c r="N525" i="1" s="1"/>
  <c r="J525" i="1"/>
  <c r="M525" i="1"/>
  <c r="AQ528" i="1"/>
  <c r="AO528" i="1" a="1"/>
  <c r="AO528" i="1" s="1"/>
  <c r="AK528" i="1"/>
  <c r="AN527" i="1"/>
  <c r="AN528" i="1"/>
  <c r="AP527" i="1" a="1"/>
  <c r="AP527" i="1" s="1"/>
  <c r="AM527" i="1"/>
  <c r="AP528" i="1" a="1"/>
  <c r="AP528" i="1" s="1"/>
  <c r="AR528" i="1" s="1"/>
  <c r="AS528" i="1" s="1"/>
  <c r="AM528" i="1"/>
  <c r="AL527" i="1"/>
  <c r="L515" i="1"/>
  <c r="O515" i="1" a="1"/>
  <c r="O515" i="1" s="1"/>
  <c r="AL515" i="1"/>
  <c r="M516" i="1"/>
  <c r="AM516" i="1"/>
  <c r="AR516" i="1" s="1"/>
  <c r="AS516" i="1" s="1"/>
  <c r="J517" i="1"/>
  <c r="N517" i="1" a="1"/>
  <c r="N517" i="1" s="1"/>
  <c r="P517" i="1"/>
  <c r="AN517" i="1"/>
  <c r="K518" i="1"/>
  <c r="AK518" i="1"/>
  <c r="AO518" i="1" a="1"/>
  <c r="AO518" i="1" s="1"/>
  <c r="AQ518" i="1"/>
  <c r="L519" i="1"/>
  <c r="Q519" i="1" s="1"/>
  <c r="R519" i="1" s="1"/>
  <c r="AL519" i="1"/>
  <c r="M520" i="1"/>
  <c r="AM520" i="1"/>
  <c r="AP520" i="1" a="1"/>
  <c r="AP520" i="1" s="1"/>
  <c r="J521" i="1"/>
  <c r="N521" i="1" a="1"/>
  <c r="N521" i="1" s="1"/>
  <c r="P521" i="1"/>
  <c r="AN521" i="1"/>
  <c r="K522" i="1"/>
  <c r="AK522" i="1"/>
  <c r="AO522" i="1" a="1"/>
  <c r="AO522" i="1" s="1"/>
  <c r="AQ522" i="1"/>
  <c r="L523" i="1"/>
  <c r="O523" i="1" a="1"/>
  <c r="O523" i="1" s="1"/>
  <c r="Q523" i="1" s="1"/>
  <c r="R523" i="1" s="1"/>
  <c r="AL523" i="1"/>
  <c r="M524" i="1"/>
  <c r="AN524" i="1"/>
  <c r="O525" i="1" a="1"/>
  <c r="O525" i="1" s="1"/>
  <c r="P527" i="1"/>
  <c r="N527" i="1" a="1"/>
  <c r="N527" i="1" s="1"/>
  <c r="J527" i="1"/>
  <c r="M526" i="1"/>
  <c r="M527" i="1"/>
  <c r="O526" i="1" a="1"/>
  <c r="O526" i="1" s="1"/>
  <c r="Q526" i="1" s="1"/>
  <c r="R526" i="1" s="1"/>
  <c r="L526" i="1"/>
  <c r="O527" i="1" a="1"/>
  <c r="O527" i="1" s="1"/>
  <c r="L527" i="1"/>
  <c r="K526" i="1"/>
  <c r="AM515" i="1"/>
  <c r="AP515" i="1" a="1"/>
  <c r="AP515" i="1" s="1"/>
  <c r="AN516" i="1"/>
  <c r="K517" i="1"/>
  <c r="L518" i="1"/>
  <c r="O518" i="1" a="1"/>
  <c r="O518" i="1" s="1"/>
  <c r="AL518" i="1"/>
  <c r="M519" i="1"/>
  <c r="AM519" i="1"/>
  <c r="AP519" i="1" a="1"/>
  <c r="AP519" i="1" s="1"/>
  <c r="AN520" i="1"/>
  <c r="K521" i="1"/>
  <c r="L522" i="1"/>
  <c r="O522" i="1" a="1"/>
  <c r="O522" i="1" s="1"/>
  <c r="M523" i="1"/>
  <c r="AM523" i="1"/>
  <c r="AP523" i="1" a="1"/>
  <c r="AP523" i="1" s="1"/>
  <c r="N524" i="1" a="1"/>
  <c r="N524" i="1" s="1"/>
  <c r="P524" i="1"/>
  <c r="P526" i="1"/>
  <c r="AM514" i="1"/>
  <c r="J515" i="1"/>
  <c r="N515" i="1" a="1"/>
  <c r="N515" i="1" s="1"/>
  <c r="AN515" i="1"/>
  <c r="K516" i="1"/>
  <c r="AK516" i="1"/>
  <c r="AO516" i="1" a="1"/>
  <c r="AO516" i="1" s="1"/>
  <c r="L517" i="1"/>
  <c r="Q517" i="1" s="1"/>
  <c r="R517" i="1" s="1"/>
  <c r="AL517" i="1"/>
  <c r="M518" i="1"/>
  <c r="AM518" i="1"/>
  <c r="AR518" i="1" s="1"/>
  <c r="AS518" i="1" s="1"/>
  <c r="J519" i="1"/>
  <c r="N519" i="1" a="1"/>
  <c r="N519" i="1" s="1"/>
  <c r="AN519" i="1"/>
  <c r="K520" i="1"/>
  <c r="AK520" i="1"/>
  <c r="AO520" i="1" a="1"/>
  <c r="AO520" i="1" s="1"/>
  <c r="L521" i="1"/>
  <c r="Q521" i="1" s="1"/>
  <c r="R521" i="1" s="1"/>
  <c r="M522" i="1"/>
  <c r="AM522" i="1"/>
  <c r="J523" i="1"/>
  <c r="N523" i="1" a="1"/>
  <c r="N523" i="1" s="1"/>
  <c r="AN523" i="1"/>
  <c r="K524" i="1"/>
  <c r="AK524" i="1"/>
  <c r="K525" i="1"/>
  <c r="AQ527" i="1"/>
  <c r="AL528" i="1"/>
  <c r="K531" i="1"/>
  <c r="AL532" i="1"/>
  <c r="K535" i="1"/>
  <c r="AL536" i="1"/>
  <c r="K539" i="1"/>
  <c r="P540" i="1"/>
  <c r="N540" i="1" a="1"/>
  <c r="N540" i="1" s="1"/>
  <c r="J540" i="1"/>
  <c r="M540" i="1"/>
  <c r="J529" i="1"/>
  <c r="N529" i="1" a="1"/>
  <c r="N529" i="1" s="1"/>
  <c r="P529" i="1"/>
  <c r="AN529" i="1"/>
  <c r="K530" i="1"/>
  <c r="AK530" i="1"/>
  <c r="AO530" i="1" a="1"/>
  <c r="AO530" i="1" s="1"/>
  <c r="AQ530" i="1"/>
  <c r="L531" i="1"/>
  <c r="Q531" i="1" s="1"/>
  <c r="R531" i="1" s="1"/>
  <c r="AL531" i="1"/>
  <c r="M532" i="1"/>
  <c r="AM532" i="1"/>
  <c r="AR532" i="1" s="1"/>
  <c r="AS532" i="1" s="1"/>
  <c r="J533" i="1"/>
  <c r="N533" i="1" a="1"/>
  <c r="N533" i="1" s="1"/>
  <c r="P533" i="1"/>
  <c r="AN533" i="1"/>
  <c r="K534" i="1"/>
  <c r="AK534" i="1"/>
  <c r="AO534" i="1" a="1"/>
  <c r="AO534" i="1" s="1"/>
  <c r="AQ534" i="1"/>
  <c r="L535" i="1"/>
  <c r="O535" i="1" a="1"/>
  <c r="O535" i="1" s="1"/>
  <c r="AL535" i="1"/>
  <c r="M536" i="1"/>
  <c r="AM536" i="1"/>
  <c r="AP536" i="1" a="1"/>
  <c r="AP536" i="1" s="1"/>
  <c r="J537" i="1"/>
  <c r="N537" i="1" a="1"/>
  <c r="N537" i="1" s="1"/>
  <c r="P537" i="1"/>
  <c r="AO537" i="1" a="1"/>
  <c r="AO537" i="1" s="1"/>
  <c r="P538" i="1"/>
  <c r="N538" i="1" a="1"/>
  <c r="N538" i="1" s="1"/>
  <c r="J538" i="1"/>
  <c r="L538" i="1"/>
  <c r="Q538" i="1" s="1"/>
  <c r="R538" i="1" s="1"/>
  <c r="AQ539" i="1"/>
  <c r="AO539" i="1" a="1"/>
  <c r="AO539" i="1" s="1"/>
  <c r="AK539" i="1"/>
  <c r="AN538" i="1"/>
  <c r="AP539" i="1" a="1"/>
  <c r="AP539" i="1" s="1"/>
  <c r="AM539" i="1"/>
  <c r="AN539" i="1"/>
  <c r="AL547" i="1"/>
  <c r="AL526" i="1"/>
  <c r="K529" i="1"/>
  <c r="L530" i="1"/>
  <c r="O530" i="1" a="1"/>
  <c r="O530" i="1" s="1"/>
  <c r="AL530" i="1"/>
  <c r="M531" i="1"/>
  <c r="AM531" i="1"/>
  <c r="AP531" i="1" a="1"/>
  <c r="AP531" i="1" s="1"/>
  <c r="AN532" i="1"/>
  <c r="K533" i="1"/>
  <c r="L534" i="1"/>
  <c r="O534" i="1" a="1"/>
  <c r="O534" i="1" s="1"/>
  <c r="AL534" i="1"/>
  <c r="M535" i="1"/>
  <c r="AM535" i="1"/>
  <c r="AP535" i="1" a="1"/>
  <c r="AP535" i="1" s="1"/>
  <c r="J536" i="1"/>
  <c r="N536" i="1" a="1"/>
  <c r="N536" i="1" s="1"/>
  <c r="P536" i="1"/>
  <c r="AN536" i="1"/>
  <c r="K537" i="1"/>
  <c r="L525" i="1"/>
  <c r="AM526" i="1"/>
  <c r="AR526" i="1" s="1"/>
  <c r="AS526" i="1" s="1"/>
  <c r="L529" i="1"/>
  <c r="Q529" i="1" s="1"/>
  <c r="R529" i="1" s="1"/>
  <c r="AL529" i="1"/>
  <c r="M530" i="1"/>
  <c r="AM530" i="1"/>
  <c r="AR530" i="1" s="1"/>
  <c r="AS530" i="1" s="1"/>
  <c r="J531" i="1"/>
  <c r="N531" i="1" a="1"/>
  <c r="N531" i="1" s="1"/>
  <c r="AN531" i="1"/>
  <c r="K532" i="1"/>
  <c r="AK532" i="1"/>
  <c r="AO532" i="1" a="1"/>
  <c r="AO532" i="1" s="1"/>
  <c r="L533" i="1"/>
  <c r="Q533" i="1" s="1"/>
  <c r="R533" i="1" s="1"/>
  <c r="AL533" i="1"/>
  <c r="M534" i="1"/>
  <c r="AM534" i="1"/>
  <c r="AR534" i="1" s="1"/>
  <c r="AS534" i="1" s="1"/>
  <c r="J535" i="1"/>
  <c r="N535" i="1" a="1"/>
  <c r="N535" i="1" s="1"/>
  <c r="AN535" i="1"/>
  <c r="AK536" i="1"/>
  <c r="AO536" i="1" a="1"/>
  <c r="AO536" i="1" s="1"/>
  <c r="L537" i="1"/>
  <c r="Q537" i="1" s="1"/>
  <c r="R537" i="1" s="1"/>
  <c r="AP537" i="1" a="1"/>
  <c r="AP537" i="1" s="1"/>
  <c r="AM537" i="1"/>
  <c r="AL538" i="1"/>
  <c r="AP538" i="1" a="1"/>
  <c r="AP538" i="1" s="1"/>
  <c r="AR538" i="1" s="1"/>
  <c r="AS538" i="1" s="1"/>
  <c r="K547" i="1"/>
  <c r="P547" i="1" s="1"/>
  <c r="BH13" i="1" s="1"/>
  <c r="K541" i="1"/>
  <c r="L542" i="1"/>
  <c r="O542" i="1" a="1"/>
  <c r="O542" i="1" s="1"/>
  <c r="AL542" i="1"/>
  <c r="AM543" i="1"/>
  <c r="AP543" i="1" a="1"/>
  <c r="AP543" i="1" s="1"/>
  <c r="AR543" i="1" s="1"/>
  <c r="AS543" i="1" s="1"/>
  <c r="J544" i="1"/>
  <c r="N544" i="1" a="1"/>
  <c r="N544" i="1" s="1"/>
  <c r="P544" i="1"/>
  <c r="K545" i="1"/>
  <c r="L546" i="1"/>
  <c r="O546" i="1" a="1"/>
  <c r="O546" i="1" s="1"/>
  <c r="AL546" i="1"/>
  <c r="AM547" i="1"/>
  <c r="AP547" i="1" a="1"/>
  <c r="AP547" i="1" s="1"/>
  <c r="L541" i="1"/>
  <c r="O541" i="1" a="1"/>
  <c r="O541" i="1" s="1"/>
  <c r="AL541" i="1"/>
  <c r="M542" i="1"/>
  <c r="AM542" i="1"/>
  <c r="AP542" i="1" a="1"/>
  <c r="AP542" i="1" s="1"/>
  <c r="AN543" i="1"/>
  <c r="K544" i="1"/>
  <c r="L545" i="1"/>
  <c r="O545" i="1" a="1"/>
  <c r="O545" i="1" s="1"/>
  <c r="M546" i="1"/>
  <c r="AM546" i="1"/>
  <c r="AP546" i="1" a="1"/>
  <c r="AP546" i="1" s="1"/>
  <c r="J547" i="1"/>
  <c r="N547" i="1" a="1"/>
  <c r="N547" i="1" s="1"/>
  <c r="AN547" i="1"/>
  <c r="L540" i="1"/>
  <c r="O540" i="1" a="1"/>
  <c r="O540" i="1" s="1"/>
  <c r="M541" i="1"/>
  <c r="AM541" i="1"/>
  <c r="AR541" i="1" s="1"/>
  <c r="AS541" i="1" s="1"/>
  <c r="J542" i="1"/>
  <c r="N542" i="1" a="1"/>
  <c r="N542" i="1" s="1"/>
  <c r="P542" i="1"/>
  <c r="AN542" i="1"/>
  <c r="AK543" i="1"/>
  <c r="AO543" i="1" a="1"/>
  <c r="AO543" i="1" s="1"/>
  <c r="AQ543" i="1"/>
  <c r="L544" i="1"/>
  <c r="O544" i="1" a="1"/>
  <c r="O544" i="1" s="1"/>
  <c r="AL544" i="1"/>
  <c r="M545" i="1"/>
  <c r="AM545" i="1"/>
  <c r="AP545" i="1" a="1"/>
  <c r="AP545" i="1" s="1"/>
  <c r="J546" i="1"/>
  <c r="N546" i="1" a="1"/>
  <c r="N546" i="1" s="1"/>
  <c r="P546" i="1"/>
  <c r="AK547" i="1"/>
  <c r="AO547" i="1" a="1"/>
  <c r="AO547" i="1" s="1"/>
  <c r="AQ547" i="1"/>
  <c r="BQ13" i="1" s="1"/>
  <c r="J541" i="1"/>
  <c r="N541" i="1" a="1"/>
  <c r="N541" i="1" s="1"/>
  <c r="AM544" i="1"/>
  <c r="AR544" i="1" s="1"/>
  <c r="AS544" i="1" s="1"/>
  <c r="J545" i="1"/>
  <c r="N545" i="1" a="1"/>
  <c r="N545" i="1" s="1"/>
  <c r="AR229" i="1" l="1"/>
  <c r="AS229" i="1" s="1"/>
  <c r="AR87" i="1"/>
  <c r="AS87" i="1" s="1"/>
  <c r="AR539" i="1"/>
  <c r="AS539" i="1" s="1"/>
  <c r="Q525" i="1"/>
  <c r="R525" i="1" s="1"/>
  <c r="Q340" i="1"/>
  <c r="R340" i="1" s="1"/>
  <c r="AR439" i="1"/>
  <c r="AS439" i="1" s="1"/>
  <c r="AR294" i="1"/>
  <c r="AS294" i="1" s="1"/>
  <c r="Q319" i="1"/>
  <c r="R319" i="1" s="1"/>
  <c r="Q417" i="1"/>
  <c r="R417" i="1" s="1"/>
  <c r="AR309" i="1"/>
  <c r="AS309" i="1" s="1"/>
  <c r="AR234" i="1"/>
  <c r="AS234" i="1" s="1"/>
  <c r="AR210" i="1"/>
  <c r="AS210" i="1" s="1"/>
  <c r="AR118" i="1"/>
  <c r="AS118" i="1" s="1"/>
  <c r="Q532" i="1"/>
  <c r="R532" i="1" s="1"/>
  <c r="AR492" i="1"/>
  <c r="AS492" i="1" s="1"/>
  <c r="AR424" i="1"/>
  <c r="AS424" i="1" s="1"/>
  <c r="AR397" i="1"/>
  <c r="AS397" i="1" s="1"/>
  <c r="Q356" i="1"/>
  <c r="R356" i="1" s="1"/>
  <c r="Q324" i="1"/>
  <c r="R324" i="1" s="1"/>
  <c r="Q332" i="1"/>
  <c r="R332" i="1" s="1"/>
  <c r="Q273" i="1"/>
  <c r="R273" i="1" s="1"/>
  <c r="AR262" i="1"/>
  <c r="AS262" i="1" s="1"/>
  <c r="Q209" i="1"/>
  <c r="R209" i="1" s="1"/>
  <c r="AR198" i="1"/>
  <c r="AS198" i="1" s="1"/>
  <c r="Q145" i="1"/>
  <c r="R145" i="1" s="1"/>
  <c r="Q250" i="1"/>
  <c r="R250" i="1" s="1"/>
  <c r="AR266" i="1"/>
  <c r="AS266" i="1" s="1"/>
  <c r="Q185" i="1"/>
  <c r="R185" i="1" s="1"/>
  <c r="Q141" i="1"/>
  <c r="R141" i="1" s="1"/>
  <c r="AR497" i="1"/>
  <c r="AS497" i="1" s="1"/>
  <c r="Q483" i="1"/>
  <c r="R483" i="1" s="1"/>
  <c r="AR474" i="1"/>
  <c r="AS474" i="1" s="1"/>
  <c r="Q465" i="1"/>
  <c r="R465" i="1" s="1"/>
  <c r="AR410" i="1"/>
  <c r="AS410" i="1" s="1"/>
  <c r="AR396" i="1"/>
  <c r="AS396" i="1" s="1"/>
  <c r="Q384" i="1"/>
  <c r="R384" i="1" s="1"/>
  <c r="AR369" i="1"/>
  <c r="AS369" i="1" s="1"/>
  <c r="Q331" i="1"/>
  <c r="R331" i="1" s="1"/>
  <c r="AR220" i="1"/>
  <c r="AS220" i="1" s="1"/>
  <c r="AR202" i="1"/>
  <c r="AS202" i="1" s="1"/>
  <c r="AR171" i="1"/>
  <c r="AS171" i="1" s="1"/>
  <c r="Q181" i="1"/>
  <c r="R181" i="1" s="1"/>
  <c r="AR281" i="1"/>
  <c r="AS281" i="1" s="1"/>
  <c r="Q261" i="1"/>
  <c r="R261" i="1" s="1"/>
  <c r="AR154" i="1"/>
  <c r="AS154" i="1" s="1"/>
  <c r="Q173" i="1"/>
  <c r="R173" i="1" s="1"/>
  <c r="Q134" i="1"/>
  <c r="R134" i="1" s="1"/>
  <c r="AR112" i="1"/>
  <c r="AS112" i="1" s="1"/>
  <c r="AR108" i="1"/>
  <c r="AS108" i="1" s="1"/>
  <c r="AR104" i="1"/>
  <c r="AS104" i="1" s="1"/>
  <c r="AR100" i="1"/>
  <c r="AS100" i="1" s="1"/>
  <c r="AR96" i="1"/>
  <c r="AS96" i="1" s="1"/>
  <c r="AR92" i="1"/>
  <c r="AS92" i="1" s="1"/>
  <c r="AR88" i="1"/>
  <c r="AS88" i="1" s="1"/>
  <c r="Q258" i="1"/>
  <c r="R258" i="1" s="1"/>
  <c r="Q116" i="1"/>
  <c r="R116" i="1" s="1"/>
  <c r="AR109" i="1"/>
  <c r="AS109" i="1" s="1"/>
  <c r="Q108" i="1"/>
  <c r="R108" i="1" s="1"/>
  <c r="AR101" i="1"/>
  <c r="AS101" i="1" s="1"/>
  <c r="Q100" i="1"/>
  <c r="R100" i="1" s="1"/>
  <c r="AR93" i="1"/>
  <c r="AS93" i="1" s="1"/>
  <c r="Q92" i="1"/>
  <c r="R92" i="1" s="1"/>
  <c r="AR38" i="1"/>
  <c r="AS38" i="1" s="1"/>
  <c r="Q536" i="1"/>
  <c r="R536" i="1" s="1"/>
  <c r="Q339" i="1"/>
  <c r="R339" i="1" s="1"/>
  <c r="AR344" i="1"/>
  <c r="AS344" i="1" s="1"/>
  <c r="Q292" i="1"/>
  <c r="R292" i="1" s="1"/>
  <c r="AR94" i="1"/>
  <c r="AS94" i="1" s="1"/>
  <c r="AR79" i="1"/>
  <c r="AS79" i="1" s="1"/>
  <c r="AR66" i="1"/>
  <c r="AS66" i="1" s="1"/>
  <c r="AR60" i="1"/>
  <c r="AS60" i="1" s="1"/>
  <c r="AR418" i="1"/>
  <c r="AS418" i="1" s="1"/>
  <c r="Q240" i="1"/>
  <c r="R240" i="1" s="1"/>
  <c r="Q144" i="1"/>
  <c r="R144" i="1" s="1"/>
  <c r="AR159" i="1"/>
  <c r="AS159" i="1" s="1"/>
  <c r="AR75" i="1"/>
  <c r="AS75" i="1" s="1"/>
  <c r="Q399" i="1"/>
  <c r="R399" i="1" s="1"/>
  <c r="AR368" i="1"/>
  <c r="AS368" i="1" s="1"/>
  <c r="AR32" i="1"/>
  <c r="AS32" i="1" s="1"/>
  <c r="AR21" i="1"/>
  <c r="AS21" i="1" s="1"/>
  <c r="AR61" i="1"/>
  <c r="AS61" i="1" s="1"/>
  <c r="Q395" i="1"/>
  <c r="R395" i="1" s="1"/>
  <c r="AR547" i="1"/>
  <c r="AS547" i="1" s="1"/>
  <c r="BP13" i="1" s="1"/>
  <c r="Q542" i="1"/>
  <c r="R542" i="1" s="1"/>
  <c r="AR537" i="1"/>
  <c r="AS537" i="1" s="1"/>
  <c r="AR535" i="1"/>
  <c r="AS535" i="1" s="1"/>
  <c r="Q534" i="1"/>
  <c r="R534" i="1" s="1"/>
  <c r="AR531" i="1"/>
  <c r="AS531" i="1" s="1"/>
  <c r="Q530" i="1"/>
  <c r="R530" i="1" s="1"/>
  <c r="AR536" i="1"/>
  <c r="AS536" i="1" s="1"/>
  <c r="Q535" i="1"/>
  <c r="R535" i="1" s="1"/>
  <c r="Q484" i="1"/>
  <c r="R484" i="1" s="1"/>
  <c r="Q496" i="1"/>
  <c r="R496" i="1" s="1"/>
  <c r="AR450" i="1"/>
  <c r="AS450" i="1" s="1"/>
  <c r="Q448" i="1"/>
  <c r="R448" i="1" s="1"/>
  <c r="Q442" i="1"/>
  <c r="R442" i="1" s="1"/>
  <c r="AR430" i="1"/>
  <c r="AS430" i="1" s="1"/>
  <c r="Q397" i="1"/>
  <c r="R397" i="1" s="1"/>
  <c r="Q405" i="1"/>
  <c r="R405" i="1" s="1"/>
  <c r="AR402" i="1"/>
  <c r="AS402" i="1" s="1"/>
  <c r="Q407" i="1"/>
  <c r="R407" i="1" s="1"/>
  <c r="Q312" i="1"/>
  <c r="R312" i="1" s="1"/>
  <c r="AR242" i="1"/>
  <c r="AS242" i="1" s="1"/>
  <c r="Q234" i="1"/>
  <c r="R234" i="1" s="1"/>
  <c r="AR156" i="1"/>
  <c r="AS156" i="1" s="1"/>
  <c r="Q153" i="1"/>
  <c r="R153" i="1" s="1"/>
  <c r="AR142" i="1"/>
  <c r="AS142" i="1" s="1"/>
  <c r="Q133" i="1"/>
  <c r="R133" i="1" s="1"/>
  <c r="Q280" i="1"/>
  <c r="R280" i="1" s="1"/>
  <c r="AR226" i="1"/>
  <c r="AS226" i="1" s="1"/>
  <c r="Q205" i="1"/>
  <c r="R205" i="1" s="1"/>
  <c r="AR190" i="1"/>
  <c r="AS190" i="1" s="1"/>
  <c r="Q309" i="1"/>
  <c r="R309" i="1" s="1"/>
  <c r="AR199" i="1"/>
  <c r="AS199" i="1" s="1"/>
  <c r="Q189" i="1"/>
  <c r="R189" i="1" s="1"/>
  <c r="AR174" i="1"/>
  <c r="AS174" i="1" s="1"/>
  <c r="Q140" i="1"/>
  <c r="R140" i="1" s="1"/>
  <c r="Q154" i="1"/>
  <c r="R154" i="1" s="1"/>
  <c r="Q248" i="1"/>
  <c r="R248" i="1" s="1"/>
  <c r="AR157" i="1"/>
  <c r="AS157" i="1" s="1"/>
  <c r="AR85" i="1"/>
  <c r="AS85" i="1" s="1"/>
  <c r="AR81" i="1"/>
  <c r="AS81" i="1" s="1"/>
  <c r="AR77" i="1"/>
  <c r="AS77" i="1" s="1"/>
  <c r="AR73" i="1"/>
  <c r="AS73" i="1" s="1"/>
  <c r="AR69" i="1"/>
  <c r="AS69" i="1" s="1"/>
  <c r="Q87" i="1"/>
  <c r="R87" i="1" s="1"/>
  <c r="AR72" i="1"/>
  <c r="AS72" i="1" s="1"/>
  <c r="Q64" i="1"/>
  <c r="R64" i="1" s="1"/>
  <c r="Q56" i="1"/>
  <c r="R56" i="1" s="1"/>
  <c r="Q48" i="1"/>
  <c r="R48" i="1" s="1"/>
  <c r="AR533" i="1"/>
  <c r="AS533" i="1" s="1"/>
  <c r="Q511" i="1"/>
  <c r="R511" i="1" s="1"/>
  <c r="Q475" i="1"/>
  <c r="R475" i="1" s="1"/>
  <c r="Q479" i="1"/>
  <c r="R479" i="1" s="1"/>
  <c r="AR436" i="1"/>
  <c r="AS436" i="1" s="1"/>
  <c r="Q343" i="1"/>
  <c r="R343" i="1" s="1"/>
  <c r="Q256" i="1"/>
  <c r="R256" i="1" s="1"/>
  <c r="AR213" i="1"/>
  <c r="AS213" i="1" s="1"/>
  <c r="AR165" i="1"/>
  <c r="AS165" i="1" s="1"/>
  <c r="Q70" i="1"/>
  <c r="R70" i="1" s="1"/>
  <c r="Q90" i="1"/>
  <c r="R90" i="1" s="1"/>
  <c r="AR54" i="1"/>
  <c r="AS54" i="1" s="1"/>
  <c r="AR26" i="1"/>
  <c r="AS26" i="1" s="1"/>
  <c r="AR508" i="1"/>
  <c r="AS508" i="1" s="1"/>
  <c r="AR62" i="1"/>
  <c r="AS62" i="1" s="1"/>
  <c r="AR30" i="1"/>
  <c r="AS30" i="1" s="1"/>
  <c r="AR28" i="1"/>
  <c r="AS28" i="1" s="1"/>
  <c r="AR486" i="1"/>
  <c r="AS486" i="1" s="1"/>
  <c r="Q540" i="1"/>
  <c r="R540" i="1" s="1"/>
  <c r="AR524" i="1"/>
  <c r="AS524" i="1" s="1"/>
  <c r="Q512" i="1"/>
  <c r="R512" i="1" s="1"/>
  <c r="Q508" i="1"/>
  <c r="R508" i="1" s="1"/>
  <c r="Q502" i="1"/>
  <c r="R502" i="1" s="1"/>
  <c r="Q492" i="1"/>
  <c r="R492" i="1" s="1"/>
  <c r="Q473" i="1"/>
  <c r="R473" i="1" s="1"/>
  <c r="Q472" i="1"/>
  <c r="R472" i="1" s="1"/>
  <c r="AR462" i="1"/>
  <c r="AS462" i="1" s="1"/>
  <c r="AR485" i="1"/>
  <c r="AS485" i="1" s="1"/>
  <c r="Q481" i="1"/>
  <c r="R481" i="1" s="1"/>
  <c r="AR478" i="1"/>
  <c r="AS478" i="1" s="1"/>
  <c r="AR458" i="1"/>
  <c r="AS458" i="1" s="1"/>
  <c r="Q468" i="1"/>
  <c r="R468" i="1" s="1"/>
  <c r="Q499" i="1"/>
  <c r="R499" i="1" s="1"/>
  <c r="Q461" i="1"/>
  <c r="R461" i="1" s="1"/>
  <c r="AR434" i="1"/>
  <c r="AS434" i="1" s="1"/>
  <c r="Q430" i="1"/>
  <c r="R430" i="1" s="1"/>
  <c r="AR421" i="1"/>
  <c r="AS421" i="1" s="1"/>
  <c r="AR405" i="1"/>
  <c r="AS405" i="1" s="1"/>
  <c r="Q420" i="1"/>
  <c r="R420" i="1" s="1"/>
  <c r="Q438" i="1"/>
  <c r="R438" i="1" s="1"/>
  <c r="AR426" i="1"/>
  <c r="AS426" i="1" s="1"/>
  <c r="Q408" i="1"/>
  <c r="R408" i="1" s="1"/>
  <c r="AR390" i="1"/>
  <c r="AS390" i="1" s="1"/>
  <c r="AR386" i="1"/>
  <c r="AS386" i="1" s="1"/>
  <c r="AR382" i="1"/>
  <c r="AS382" i="1" s="1"/>
  <c r="AR378" i="1"/>
  <c r="AS378" i="1" s="1"/>
  <c r="AR374" i="1"/>
  <c r="AS374" i="1" s="1"/>
  <c r="AR370" i="1"/>
  <c r="AS370" i="1" s="1"/>
  <c r="AR366" i="1"/>
  <c r="AS366" i="1" s="1"/>
  <c r="Q389" i="1"/>
  <c r="R389" i="1" s="1"/>
  <c r="AR349" i="1"/>
  <c r="AS349" i="1" s="1"/>
  <c r="AR336" i="1"/>
  <c r="AS336" i="1" s="1"/>
  <c r="Q328" i="1"/>
  <c r="R328" i="1" s="1"/>
  <c r="AR394" i="1"/>
  <c r="AS394" i="1" s="1"/>
  <c r="Q377" i="1"/>
  <c r="R377" i="1" s="1"/>
  <c r="AR342" i="1"/>
  <c r="AS342" i="1" s="1"/>
  <c r="AR317" i="1"/>
  <c r="AS317" i="1" s="1"/>
  <c r="AR314" i="1"/>
  <c r="AS314" i="1" s="1"/>
  <c r="Q296" i="1"/>
  <c r="R296" i="1" s="1"/>
  <c r="Q200" i="1"/>
  <c r="R200" i="1" s="1"/>
  <c r="AR389" i="1"/>
  <c r="AS389" i="1" s="1"/>
  <c r="AR310" i="1"/>
  <c r="AS310" i="1" s="1"/>
  <c r="AR311" i="1"/>
  <c r="AS311" i="1" s="1"/>
  <c r="AR162" i="1"/>
  <c r="AS162" i="1" s="1"/>
  <c r="Q277" i="1"/>
  <c r="R277" i="1" s="1"/>
  <c r="Q364" i="1"/>
  <c r="R364" i="1" s="1"/>
  <c r="Q115" i="1"/>
  <c r="R115" i="1" s="1"/>
  <c r="Q111" i="1"/>
  <c r="R111" i="1" s="1"/>
  <c r="Q107" i="1"/>
  <c r="R107" i="1" s="1"/>
  <c r="Q103" i="1"/>
  <c r="R103" i="1" s="1"/>
  <c r="Q99" i="1"/>
  <c r="R99" i="1" s="1"/>
  <c r="Q95" i="1"/>
  <c r="R95" i="1" s="1"/>
  <c r="Q91" i="1"/>
  <c r="R91" i="1" s="1"/>
  <c r="AR139" i="1"/>
  <c r="AS139" i="1" s="1"/>
  <c r="AR134" i="1"/>
  <c r="AS134" i="1" s="1"/>
  <c r="Q118" i="1"/>
  <c r="R118" i="1" s="1"/>
  <c r="Q58" i="1"/>
  <c r="R58" i="1" s="1"/>
  <c r="Q42" i="1"/>
  <c r="R42" i="1" s="1"/>
  <c r="Q34" i="1"/>
  <c r="R34" i="1" s="1"/>
  <c r="Q51" i="1"/>
  <c r="R51" i="1" s="1"/>
  <c r="AR476" i="1"/>
  <c r="AS476" i="1" s="1"/>
  <c r="Q415" i="1"/>
  <c r="R415" i="1" s="1"/>
  <c r="Q487" i="1"/>
  <c r="R487" i="1" s="1"/>
  <c r="AR312" i="1"/>
  <c r="AS312" i="1" s="1"/>
  <c r="AR106" i="1"/>
  <c r="AS106" i="1" s="1"/>
  <c r="Q81" i="1"/>
  <c r="R81" i="1" s="1"/>
  <c r="AR65" i="1"/>
  <c r="AS65" i="1" s="1"/>
  <c r="AR57" i="1"/>
  <c r="AS57" i="1" s="1"/>
  <c r="AR34" i="1"/>
  <c r="AS34" i="1" s="1"/>
  <c r="AR23" i="1"/>
  <c r="AS23" i="1" s="1"/>
  <c r="AR19" i="1"/>
  <c r="AS19" i="1" s="1"/>
  <c r="Q89" i="1"/>
  <c r="R89" i="1" s="1"/>
  <c r="AR53" i="1"/>
  <c r="AS53" i="1" s="1"/>
  <c r="Q337" i="1"/>
  <c r="R337" i="1" s="1"/>
  <c r="AR170" i="1"/>
  <c r="AS170" i="1" s="1"/>
  <c r="AR163" i="1"/>
  <c r="AS163" i="1" s="1"/>
  <c r="AR218" i="1"/>
  <c r="AS218" i="1" s="1"/>
  <c r="Q142" i="1"/>
  <c r="R142" i="1" s="1"/>
  <c r="Q129" i="1"/>
  <c r="R129" i="1" s="1"/>
  <c r="Q388" i="1"/>
  <c r="R388" i="1" s="1"/>
  <c r="AR158" i="1"/>
  <c r="AS158" i="1" s="1"/>
  <c r="Q137" i="1"/>
  <c r="R137" i="1" s="1"/>
  <c r="AR250" i="1"/>
  <c r="AS250" i="1" s="1"/>
  <c r="AR221" i="1"/>
  <c r="AS221" i="1" s="1"/>
  <c r="Q213" i="1"/>
  <c r="R213" i="1" s="1"/>
  <c r="Q195" i="1"/>
  <c r="R195" i="1" s="1"/>
  <c r="AR126" i="1"/>
  <c r="AS126" i="1" s="1"/>
  <c r="Q121" i="1"/>
  <c r="R121" i="1" s="1"/>
  <c r="Q233" i="1"/>
  <c r="R233" i="1" s="1"/>
  <c r="Q215" i="1"/>
  <c r="R215" i="1" s="1"/>
  <c r="AR122" i="1"/>
  <c r="AS122" i="1" s="1"/>
  <c r="Q79" i="1"/>
  <c r="R79" i="1" s="1"/>
  <c r="Q62" i="1"/>
  <c r="R62" i="1" s="1"/>
  <c r="Q46" i="1"/>
  <c r="R46" i="1" s="1"/>
  <c r="AR545" i="1"/>
  <c r="AS545" i="1" s="1"/>
  <c r="Q544" i="1"/>
  <c r="R544" i="1" s="1"/>
  <c r="Q545" i="1"/>
  <c r="R545" i="1" s="1"/>
  <c r="AR542" i="1"/>
  <c r="AS542" i="1" s="1"/>
  <c r="Q541" i="1"/>
  <c r="R541" i="1" s="1"/>
  <c r="Q522" i="1"/>
  <c r="R522" i="1" s="1"/>
  <c r="AR519" i="1"/>
  <c r="AS519" i="1" s="1"/>
  <c r="Q518" i="1"/>
  <c r="R518" i="1" s="1"/>
  <c r="AR515" i="1"/>
  <c r="AS515" i="1" s="1"/>
  <c r="AR527" i="1"/>
  <c r="AS527" i="1" s="1"/>
  <c r="AR505" i="1"/>
  <c r="AS505" i="1" s="1"/>
  <c r="Q488" i="1"/>
  <c r="R488" i="1" s="1"/>
  <c r="Q504" i="1"/>
  <c r="R504" i="1" s="1"/>
  <c r="AR489" i="1"/>
  <c r="AS489" i="1" s="1"/>
  <c r="Q501" i="1"/>
  <c r="R501" i="1" s="1"/>
  <c r="AR477" i="1"/>
  <c r="AS477" i="1" s="1"/>
  <c r="AR501" i="1"/>
  <c r="AS501" i="1" s="1"/>
  <c r="AR484" i="1"/>
  <c r="AS484" i="1" s="1"/>
  <c r="Q469" i="1"/>
  <c r="R469" i="1" s="1"/>
  <c r="AR466" i="1"/>
  <c r="AS466" i="1" s="1"/>
  <c r="Q453" i="1"/>
  <c r="R453" i="1" s="1"/>
  <c r="AR435" i="1"/>
  <c r="AS435" i="1" s="1"/>
  <c r="Q429" i="1"/>
  <c r="R429" i="1" s="1"/>
  <c r="AR425" i="1"/>
  <c r="AS425" i="1" s="1"/>
  <c r="Q416" i="1"/>
  <c r="R416" i="1" s="1"/>
  <c r="Q400" i="1"/>
  <c r="R400" i="1" s="1"/>
  <c r="Q441" i="1"/>
  <c r="R441" i="1" s="1"/>
  <c r="AR431" i="1"/>
  <c r="AS431" i="1" s="1"/>
  <c r="Q413" i="1"/>
  <c r="R413" i="1" s="1"/>
  <c r="AR465" i="1"/>
  <c r="AS465" i="1" s="1"/>
  <c r="AR361" i="1"/>
  <c r="AS361" i="1" s="1"/>
  <c r="AR345" i="1"/>
  <c r="AS345" i="1" s="1"/>
  <c r="AR329" i="1"/>
  <c r="AS329" i="1" s="1"/>
  <c r="AR313" i="1"/>
  <c r="AS313" i="1" s="1"/>
  <c r="AR438" i="1"/>
  <c r="AS438" i="1" s="1"/>
  <c r="AR427" i="1"/>
  <c r="AS427" i="1" s="1"/>
  <c r="Q353" i="1"/>
  <c r="R353" i="1" s="1"/>
  <c r="Q321" i="1"/>
  <c r="R321" i="1" s="1"/>
  <c r="AR408" i="1"/>
  <c r="AS408" i="1" s="1"/>
  <c r="Q373" i="1"/>
  <c r="R373" i="1" s="1"/>
  <c r="Q289" i="1"/>
  <c r="R289" i="1" s="1"/>
  <c r="AR278" i="1"/>
  <c r="AS278" i="1" s="1"/>
  <c r="Q257" i="1"/>
  <c r="R257" i="1" s="1"/>
  <c r="Q241" i="1"/>
  <c r="R241" i="1" s="1"/>
  <c r="AR230" i="1"/>
  <c r="AS230" i="1" s="1"/>
  <c r="Q177" i="1"/>
  <c r="R177" i="1" s="1"/>
  <c r="AR166" i="1"/>
  <c r="AS166" i="1" s="1"/>
  <c r="Q411" i="1"/>
  <c r="R411" i="1" s="1"/>
  <c r="AR385" i="1"/>
  <c r="AS385" i="1" s="1"/>
  <c r="Q368" i="1"/>
  <c r="R368" i="1" s="1"/>
  <c r="AR333" i="1"/>
  <c r="AS333" i="1" s="1"/>
  <c r="AR305" i="1"/>
  <c r="AS305" i="1" s="1"/>
  <c r="Q301" i="1"/>
  <c r="R301" i="1" s="1"/>
  <c r="Q285" i="1"/>
  <c r="R285" i="1" s="1"/>
  <c r="Q269" i="1"/>
  <c r="R269" i="1" s="1"/>
  <c r="Q253" i="1"/>
  <c r="R253" i="1" s="1"/>
  <c r="Q393" i="1"/>
  <c r="R393" i="1" s="1"/>
  <c r="Q360" i="1"/>
  <c r="R360" i="1" s="1"/>
  <c r="Q297" i="1"/>
  <c r="R297" i="1" s="1"/>
  <c r="Q281" i="1"/>
  <c r="R281" i="1" s="1"/>
  <c r="Q265" i="1"/>
  <c r="R265" i="1" s="1"/>
  <c r="AR283" i="1"/>
  <c r="AS283" i="1" s="1"/>
  <c r="AR282" i="1"/>
  <c r="AS282" i="1" s="1"/>
  <c r="Q242" i="1"/>
  <c r="R242" i="1" s="1"/>
  <c r="Q235" i="1"/>
  <c r="R235" i="1" s="1"/>
  <c r="Q217" i="1"/>
  <c r="R217" i="1" s="1"/>
  <c r="Q166" i="1"/>
  <c r="R166" i="1" s="1"/>
  <c r="Q157" i="1"/>
  <c r="R157" i="1" s="1"/>
  <c r="AR381" i="1"/>
  <c r="AS381" i="1" s="1"/>
  <c r="AR365" i="1"/>
  <c r="AS365" i="1" s="1"/>
  <c r="Q344" i="1"/>
  <c r="R344" i="1" s="1"/>
  <c r="Q294" i="1"/>
  <c r="R294" i="1" s="1"/>
  <c r="Q245" i="1"/>
  <c r="R245" i="1" s="1"/>
  <c r="AR186" i="1"/>
  <c r="AS186" i="1" s="1"/>
  <c r="Q348" i="1"/>
  <c r="R348" i="1" s="1"/>
  <c r="AR330" i="1"/>
  <c r="AS330" i="1" s="1"/>
  <c r="Q264" i="1"/>
  <c r="R264" i="1" s="1"/>
  <c r="AR238" i="1"/>
  <c r="AS238" i="1" s="1"/>
  <c r="Q229" i="1"/>
  <c r="R229" i="1" s="1"/>
  <c r="AR209" i="1"/>
  <c r="AS209" i="1" s="1"/>
  <c r="AR146" i="1"/>
  <c r="AS146" i="1" s="1"/>
  <c r="AR322" i="1"/>
  <c r="AS322" i="1" s="1"/>
  <c r="AR321" i="1"/>
  <c r="AS321" i="1" s="1"/>
  <c r="Q218" i="1"/>
  <c r="R218" i="1" s="1"/>
  <c r="Q130" i="1"/>
  <c r="R130" i="1" s="1"/>
  <c r="AR223" i="1"/>
  <c r="AS223" i="1" s="1"/>
  <c r="AR222" i="1"/>
  <c r="AS222" i="1" s="1"/>
  <c r="Q174" i="1"/>
  <c r="R174" i="1" s="1"/>
  <c r="Q120" i="1"/>
  <c r="R120" i="1" s="1"/>
  <c r="Q380" i="1"/>
  <c r="R380" i="1" s="1"/>
  <c r="Q238" i="1"/>
  <c r="R238" i="1" s="1"/>
  <c r="AR194" i="1"/>
  <c r="AS194" i="1" s="1"/>
  <c r="AR127" i="1"/>
  <c r="AS127" i="1" s="1"/>
  <c r="AR121" i="1"/>
  <c r="AS121" i="1" s="1"/>
  <c r="Q372" i="1"/>
  <c r="R372" i="1" s="1"/>
  <c r="AR327" i="1"/>
  <c r="AS327" i="1" s="1"/>
  <c r="Q188" i="1"/>
  <c r="R188" i="1" s="1"/>
  <c r="Q184" i="1"/>
  <c r="R184" i="1" s="1"/>
  <c r="Q132" i="1"/>
  <c r="R132" i="1" s="1"/>
  <c r="AR130" i="1"/>
  <c r="AS130" i="1" s="1"/>
  <c r="AR123" i="1"/>
  <c r="AS123" i="1" s="1"/>
  <c r="AR80" i="1"/>
  <c r="AS80" i="1" s="1"/>
  <c r="Q66" i="1"/>
  <c r="R66" i="1" s="1"/>
  <c r="Q50" i="1"/>
  <c r="R50" i="1" s="1"/>
  <c r="BM40" i="1"/>
  <c r="BN13" i="1"/>
  <c r="AR76" i="1"/>
  <c r="AS76" i="1" s="1"/>
  <c r="AR37" i="1"/>
  <c r="AS37" i="1" s="1"/>
  <c r="Q60" i="1"/>
  <c r="R60" i="1" s="1"/>
  <c r="Q52" i="1"/>
  <c r="R52" i="1" s="1"/>
  <c r="Q44" i="1"/>
  <c r="R44" i="1" s="1"/>
  <c r="AR39" i="1"/>
  <c r="AS39" i="1" s="1"/>
  <c r="Q547" i="1"/>
  <c r="R547" i="1" s="1"/>
  <c r="BG13" i="1" s="1"/>
  <c r="Q67" i="1"/>
  <c r="R67" i="1" s="1"/>
  <c r="Q63" i="1"/>
  <c r="R63" i="1" s="1"/>
  <c r="Q47" i="1"/>
  <c r="R47" i="1" s="1"/>
  <c r="AR514" i="1"/>
  <c r="AS514" i="1" s="1"/>
  <c r="AR509" i="1"/>
  <c r="AS509" i="1" s="1"/>
  <c r="Q500" i="1"/>
  <c r="R500" i="1" s="1"/>
  <c r="AR473" i="1"/>
  <c r="AS473" i="1" s="1"/>
  <c r="Q477" i="1"/>
  <c r="R477" i="1" s="1"/>
  <c r="Q476" i="1"/>
  <c r="R476" i="1" s="1"/>
  <c r="Q480" i="1"/>
  <c r="R480" i="1" s="1"/>
  <c r="AR454" i="1"/>
  <c r="AS454" i="1" s="1"/>
  <c r="AR481" i="1"/>
  <c r="AS481" i="1" s="1"/>
  <c r="AR447" i="1"/>
  <c r="AS447" i="1" s="1"/>
  <c r="AR401" i="1"/>
  <c r="AS401" i="1" s="1"/>
  <c r="Q308" i="1"/>
  <c r="R308" i="1" s="1"/>
  <c r="Q437" i="1"/>
  <c r="R437" i="1" s="1"/>
  <c r="Q433" i="1"/>
  <c r="R433" i="1" s="1"/>
  <c r="AR341" i="1"/>
  <c r="AS341" i="1" s="1"/>
  <c r="Q320" i="1"/>
  <c r="R320" i="1" s="1"/>
  <c r="Q381" i="1"/>
  <c r="R381" i="1" s="1"/>
  <c r="AR302" i="1"/>
  <c r="AS302" i="1" s="1"/>
  <c r="AR214" i="1"/>
  <c r="AS214" i="1" s="1"/>
  <c r="Q346" i="1"/>
  <c r="R346" i="1" s="1"/>
  <c r="Q385" i="1"/>
  <c r="R385" i="1" s="1"/>
  <c r="AR287" i="1"/>
  <c r="AS287" i="1" s="1"/>
  <c r="Q303" i="1"/>
  <c r="R303" i="1" s="1"/>
  <c r="AR178" i="1"/>
  <c r="AS178" i="1" s="1"/>
  <c r="AR138" i="1"/>
  <c r="AS138" i="1" s="1"/>
  <c r="Q418" i="1"/>
  <c r="R418" i="1" s="1"/>
  <c r="Q293" i="1"/>
  <c r="R293" i="1" s="1"/>
  <c r="Q201" i="1"/>
  <c r="R201" i="1" s="1"/>
  <c r="AR308" i="1"/>
  <c r="AS308" i="1" s="1"/>
  <c r="Q75" i="1"/>
  <c r="R75" i="1" s="1"/>
  <c r="Q65" i="1"/>
  <c r="R65" i="1" s="1"/>
  <c r="Q57" i="1"/>
  <c r="R57" i="1" s="1"/>
  <c r="Q49" i="1"/>
  <c r="R49" i="1" s="1"/>
  <c r="Q41" i="1"/>
  <c r="R41" i="1" s="1"/>
  <c r="AR546" i="1"/>
  <c r="AS546" i="1" s="1"/>
  <c r="Q546" i="1"/>
  <c r="R546" i="1" s="1"/>
  <c r="AR523" i="1"/>
  <c r="AS523" i="1" s="1"/>
  <c r="AR520" i="1"/>
  <c r="AS520" i="1" s="1"/>
  <c r="Q515" i="1"/>
  <c r="R515" i="1" s="1"/>
  <c r="AR495" i="1"/>
  <c r="AS495" i="1" s="1"/>
  <c r="AR490" i="1"/>
  <c r="AS490" i="1" s="1"/>
  <c r="Q495" i="1"/>
  <c r="R495" i="1" s="1"/>
  <c r="Q445" i="1"/>
  <c r="R445" i="1" s="1"/>
  <c r="AR412" i="1"/>
  <c r="AS412" i="1" s="1"/>
  <c r="Q402" i="1"/>
  <c r="R402" i="1" s="1"/>
  <c r="Q365" i="1"/>
  <c r="R365" i="1" s="1"/>
  <c r="Q347" i="1"/>
  <c r="R347" i="1" s="1"/>
  <c r="AR246" i="1"/>
  <c r="AS246" i="1" s="1"/>
  <c r="Q193" i="1"/>
  <c r="R193" i="1" s="1"/>
  <c r="AR182" i="1"/>
  <c r="AS182" i="1" s="1"/>
  <c r="AR419" i="1"/>
  <c r="AS419" i="1" s="1"/>
  <c r="Q392" i="1"/>
  <c r="R392" i="1" s="1"/>
  <c r="AR377" i="1"/>
  <c r="AS377" i="1" s="1"/>
  <c r="AR320" i="1"/>
  <c r="AS320" i="1" s="1"/>
  <c r="Q302" i="1"/>
  <c r="R302" i="1" s="1"/>
  <c r="AR301" i="1"/>
  <c r="AS301" i="1" s="1"/>
  <c r="Q286" i="1"/>
  <c r="R286" i="1" s="1"/>
  <c r="AR285" i="1"/>
  <c r="AS285" i="1" s="1"/>
  <c r="Q270" i="1"/>
  <c r="R270" i="1" s="1"/>
  <c r="AR269" i="1"/>
  <c r="AS269" i="1" s="1"/>
  <c r="Q254" i="1"/>
  <c r="R254" i="1" s="1"/>
  <c r="AR253" i="1"/>
  <c r="AS253" i="1" s="1"/>
  <c r="Q369" i="1"/>
  <c r="R369" i="1" s="1"/>
  <c r="AR346" i="1"/>
  <c r="AS346" i="1" s="1"/>
  <c r="Q298" i="1"/>
  <c r="R298" i="1" s="1"/>
  <c r="Q282" i="1"/>
  <c r="R282" i="1" s="1"/>
  <c r="Q266" i="1"/>
  <c r="R266" i="1" s="1"/>
  <c r="AR275" i="1"/>
  <c r="AS275" i="1" s="1"/>
  <c r="Q231" i="1"/>
  <c r="R231" i="1" s="1"/>
  <c r="AR297" i="1"/>
  <c r="AS297" i="1" s="1"/>
  <c r="AR267" i="1"/>
  <c r="AS267" i="1" s="1"/>
  <c r="AR259" i="1"/>
  <c r="AS259" i="1" s="1"/>
  <c r="AR243" i="1"/>
  <c r="AS243" i="1" s="1"/>
  <c r="Q226" i="1"/>
  <c r="R226" i="1" s="1"/>
  <c r="AR225" i="1"/>
  <c r="AS225" i="1" s="1"/>
  <c r="AR161" i="1"/>
  <c r="AS161" i="1" s="1"/>
  <c r="Q310" i="1"/>
  <c r="R310" i="1" s="1"/>
  <c r="Q274" i="1"/>
  <c r="R274" i="1" s="1"/>
  <c r="AR227" i="1"/>
  <c r="AS227" i="1" s="1"/>
  <c r="Q204" i="1"/>
  <c r="R204" i="1" s="1"/>
  <c r="AR195" i="1"/>
  <c r="AS195" i="1" s="1"/>
  <c r="AR196" i="1"/>
  <c r="AS196" i="1" s="1"/>
  <c r="Q330" i="1"/>
  <c r="R330" i="1" s="1"/>
  <c r="AR265" i="1"/>
  <c r="AS265" i="1" s="1"/>
  <c r="Q259" i="1"/>
  <c r="R259" i="1" s="1"/>
  <c r="Q252" i="1"/>
  <c r="R252" i="1" s="1"/>
  <c r="Q237" i="1"/>
  <c r="R237" i="1" s="1"/>
  <c r="Q194" i="1"/>
  <c r="R194" i="1" s="1"/>
  <c r="AR193" i="1"/>
  <c r="AS193" i="1" s="1"/>
  <c r="Q176" i="1"/>
  <c r="R176" i="1" s="1"/>
  <c r="Q169" i="1"/>
  <c r="R169" i="1" s="1"/>
  <c r="Q149" i="1"/>
  <c r="R149" i="1" s="1"/>
  <c r="AR40" i="1"/>
  <c r="AS40" i="1" s="1"/>
  <c r="Q363" i="1"/>
  <c r="R363" i="1" s="1"/>
  <c r="AR326" i="1"/>
  <c r="AS326" i="1" s="1"/>
  <c r="AR183" i="1"/>
  <c r="AS183" i="1" s="1"/>
  <c r="Q117" i="1"/>
  <c r="R117" i="1" s="1"/>
  <c r="Q54" i="1"/>
  <c r="R54" i="1" s="1"/>
  <c r="Q61" i="1"/>
  <c r="R61" i="1" s="1"/>
  <c r="Q53" i="1"/>
  <c r="R53" i="1" s="1"/>
  <c r="Q45" i="1"/>
  <c r="R45" i="1" s="1"/>
  <c r="AR36" i="1"/>
  <c r="AS36" i="1" s="1"/>
  <c r="BE40" i="1"/>
  <c r="AR68" i="1"/>
  <c r="AS68" i="1" s="1"/>
  <c r="Q59" i="1"/>
  <c r="R59" i="1" s="1"/>
  <c r="Q43" i="1"/>
  <c r="R43" i="1" s="1"/>
  <c r="BD40" i="1"/>
  <c r="BQ40" i="1" a="1"/>
  <c r="BQ40" i="1" s="1"/>
  <c r="BP40" i="1"/>
  <c r="Q452" i="1"/>
  <c r="R452" i="1" s="1"/>
  <c r="Q527" i="1"/>
  <c r="R527" i="1" s="1"/>
  <c r="AR469" i="1"/>
  <c r="AS469" i="1" s="1"/>
  <c r="Q449" i="1"/>
  <c r="R449" i="1" s="1"/>
  <c r="Q425" i="1"/>
  <c r="R425" i="1" s="1"/>
  <c r="Q412" i="1"/>
  <c r="R412" i="1" s="1"/>
  <c r="AR445" i="1"/>
  <c r="AS445" i="1" s="1"/>
  <c r="Q404" i="1"/>
  <c r="R404" i="1" s="1"/>
  <c r="Q352" i="1"/>
  <c r="R352" i="1" s="1"/>
  <c r="AR442" i="1"/>
  <c r="AS442" i="1" s="1"/>
  <c r="AR409" i="1"/>
  <c r="AS409" i="1" s="1"/>
  <c r="Q225" i="1"/>
  <c r="R225" i="1" s="1"/>
  <c r="Q161" i="1"/>
  <c r="R161" i="1" s="1"/>
  <c r="AR150" i="1"/>
  <c r="AS150" i="1" s="1"/>
  <c r="Q424" i="1"/>
  <c r="R424" i="1" s="1"/>
  <c r="AR393" i="1"/>
  <c r="AS393" i="1" s="1"/>
  <c r="Q376" i="1"/>
  <c r="R376" i="1" s="1"/>
  <c r="AR353" i="1"/>
  <c r="AS353" i="1" s="1"/>
  <c r="Q316" i="1"/>
  <c r="R316" i="1" s="1"/>
  <c r="AR414" i="1"/>
  <c r="AS414" i="1" s="1"/>
  <c r="AR413" i="1"/>
  <c r="AS413" i="1" s="1"/>
  <c r="AR271" i="1"/>
  <c r="AS271" i="1" s="1"/>
  <c r="AR255" i="1"/>
  <c r="AS255" i="1" s="1"/>
  <c r="AR235" i="1"/>
  <c r="AS235" i="1" s="1"/>
  <c r="Q197" i="1"/>
  <c r="R197" i="1" s="1"/>
  <c r="BF40" i="1" l="1"/>
  <c r="BN40" i="1"/>
  <c r="BO40" i="1" s="1"/>
  <c r="BO13" i="1"/>
  <c r="BH40" i="1" a="1"/>
  <c r="BH40" i="1" s="1"/>
  <c r="BG40" i="1"/>
  <c r="BR40" i="1"/>
  <c r="BI4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<sst xmlns="http://schemas.openxmlformats.org/spreadsheetml/2006/main" count="92" uniqueCount="41">
  <si>
    <t>Terminal</t>
  </si>
  <si>
    <t>Servicio</t>
  </si>
  <si>
    <t>Sentido</t>
  </si>
  <si>
    <t>IDA</t>
  </si>
  <si>
    <t>REG</t>
  </si>
  <si>
    <t>tipo de día</t>
  </si>
  <si>
    <t>PO</t>
  </si>
  <si>
    <t>TURNO 1</t>
  </si>
  <si>
    <t>TURNO 2</t>
  </si>
  <si>
    <t>TURNO3</t>
  </si>
  <si>
    <t>Periodo</t>
  </si>
  <si>
    <t>TB Programado</t>
  </si>
  <si>
    <t>Tipo de Salida</t>
  </si>
  <si>
    <t>Cumple TB</t>
  </si>
  <si>
    <t>Bus</t>
  </si>
  <si>
    <t>Media Hora despacho</t>
  </si>
  <si>
    <t>Cumple despacho</t>
  </si>
  <si>
    <t>H. Sale Real</t>
  </si>
  <si>
    <t>KM PERIODO</t>
  </si>
  <si>
    <t>KM PROMEDIO</t>
  </si>
  <si>
    <t>IR_REAL_PROM</t>
  </si>
  <si>
    <t>IR_PROG_PROM</t>
  </si>
  <si>
    <t>IR_PROG_DESVEST</t>
  </si>
  <si>
    <t>IR_REAL_DESVEST</t>
  </si>
  <si>
    <t>TE_IDEAL</t>
  </si>
  <si>
    <t>TE_OBS</t>
  </si>
  <si>
    <t>TE_OBS_NET</t>
  </si>
  <si>
    <t>IR_REAL</t>
  </si>
  <si>
    <t>IR_PROG</t>
  </si>
  <si>
    <t>Hora de Llegada Real</t>
  </si>
  <si>
    <t>IE</t>
  </si>
  <si>
    <t>Causa Perdidas</t>
  </si>
  <si>
    <t>observación</t>
  </si>
  <si>
    <t>Media Hora despcaho</t>
  </si>
  <si>
    <t>Hora de Legada Real</t>
  </si>
  <si>
    <t>Teórico</t>
  </si>
  <si>
    <t>Real</t>
  </si>
  <si>
    <t>ICF-P</t>
  </si>
  <si>
    <t>TE Obs</t>
  </si>
  <si>
    <t>TE Ideal</t>
  </si>
  <si>
    <t>ICF-P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</si>
</sst>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h:mm;@"/>
    <numFmt numFmtId="166" formatCode="0.0"/>
    <numFmt numFmtId="167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2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2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164" fontId="2" fillId="0" borderId="0" xfId="2" applyNumberFormat="1" applyAlignment="1">
      <alignment horizontal="center" vertical="center" wrapText="1"/>
    </xf>
    <xf numFmtId="165" fontId="2" fillId="0" borderId="0" xfId="2" applyNumberFormat="1" applyAlignment="1">
      <alignment horizontal="center" vertical="center" wrapText="1"/>
    </xf>
    <xf numFmtId="16" fontId="0" fillId="0" borderId="5" xfId="0" applyNumberForma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" borderId="10" xfId="2" applyFont="1" applyFill="1" applyBorder="1" applyAlignment="1">
      <alignment horizontal="center" vertical="center" wrapText="1"/>
    </xf>
    <xf numFmtId="0" fontId="3" fillId="2" borderId="11" xfId="2" applyFont="1" applyFill="1" applyBorder="1" applyAlignment="1">
      <alignment horizontal="center" vertical="center" wrapText="1"/>
    </xf>
    <xf numFmtId="164" fontId="3" fillId="2" borderId="11" xfId="2" applyNumberFormat="1" applyFont="1" applyFill="1" applyBorder="1" applyAlignment="1">
      <alignment horizontal="center" vertical="center" wrapText="1"/>
    </xf>
    <xf numFmtId="0" fontId="3" fillId="4" borderId="12" xfId="2" applyFont="1" applyFill="1" applyBorder="1" applyAlignment="1">
      <alignment horizontal="center" vertical="center" wrapText="1"/>
    </xf>
    <xf numFmtId="164" fontId="3" fillId="4" borderId="12" xfId="2" applyNumberFormat="1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center" vertical="center" wrapText="1"/>
    </xf>
    <xf numFmtId="0" fontId="3" fillId="2" borderId="14" xfId="2" applyFont="1" applyFill="1" applyBorder="1" applyAlignment="1">
      <alignment horizontal="center" vertical="center" wrapText="1"/>
    </xf>
    <xf numFmtId="0" fontId="3" fillId="2" borderId="12" xfId="2" applyFont="1" applyFill="1" applyBorder="1" applyAlignment="1">
      <alignment horizontal="center" vertical="center" wrapText="1"/>
    </xf>
    <xf numFmtId="164" fontId="3" fillId="2" borderId="12" xfId="2" applyNumberFormat="1" applyFont="1" applyFill="1" applyBorder="1" applyAlignment="1">
      <alignment horizontal="center" vertical="center" wrapText="1"/>
    </xf>
    <xf numFmtId="0" fontId="3" fillId="2" borderId="15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5" borderId="16" xfId="0" applyNumberFormat="1" applyFill="1" applyBorder="1" applyAlignment="1">
      <alignment horizontal="center" vertical="center"/>
    </xf>
    <xf numFmtId="164" fontId="0" fillId="7" borderId="16" xfId="0" applyNumberFormat="1" applyFill="1" applyBorder="1" applyAlignment="1">
      <alignment horizontal="center" vertical="center"/>
    </xf>
    <xf numFmtId="164" fontId="0" fillId="8" borderId="16" xfId="0" applyNumberFormat="1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7" fontId="0" fillId="8" borderId="1" xfId="1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164" fontId="0" fillId="5" borderId="17" xfId="0" applyNumberForma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164" fontId="0" fillId="5" borderId="18" xfId="0" applyNumberForma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3" fillId="2" borderId="8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57420C98-861C-4145-A759-C48327D87285}"/>
    <cellStyle name="Porcentaje" xfId="1" builtinId="5"/>
  </cellStyles>
  <dxfs count="51"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7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334819</xdr:colOff>
      <xdr:row>2</xdr:row>
      <xdr:rowOff>11544</xdr:rowOff>
    </xdr:from>
    <xdr:to>
      <xdr:col>4</xdr:col>
      <xdr:colOff>897278</xdr:colOff>
      <xdr:row>5</xdr:row>
      <xdr:rowOff>103907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009EB-5063-43A3-B746-D99DA8E9C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3001" y="392544"/>
          <a:ext cx="2109550" cy="6119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acros%20juan/Planillas%20Cof/Macro%20Planilla%203.0%20-%20copia.xlsm" TargetMode="External"/><Relationship Id="rId2" Type="http://schemas.openxmlformats.org/officeDocument/2006/relationships/externalLinkPath" Target="file:///C:\Users\lenovo\Desktop\macros%20juan\Planillas%20Cof\Macro%20Planilla%203.0%20-%20copia.xlsm" TargetMode="External"/><Relationship Id="rId1" Type="http://schemas.openxmlformats.org/officeDocument/2006/relationships/externalLinkPath" Target="/Users/lenovo/Desktop/macros%20juan/Planillas%20Cof/Macro%20Planilla%203.0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bado fus"/>
      <sheetName val="Panel"/>
      <sheetName val="Hoja162"/>
      <sheetName val="Hoja42"/>
      <sheetName val="Planilla"/>
      <sheetName val="Info"/>
      <sheetName val="Input"/>
      <sheetName val="TB"/>
      <sheetName val="Laboral"/>
      <sheetName val="Tipo de Dia"/>
      <sheetName val="Hoja3"/>
      <sheetName val="Tipo de Dia (2)"/>
      <sheetName val="InfoBus"/>
      <sheetName val="Diccionario"/>
      <sheetName val="Datos"/>
      <sheetName val="BD Conductores"/>
      <sheetName val="PO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G2">
            <v>201</v>
          </cell>
          <cell r="AH2">
            <v>201</v>
          </cell>
          <cell r="AI2">
            <v>3</v>
          </cell>
        </row>
        <row r="3">
          <cell r="AG3">
            <v>204</v>
          </cell>
          <cell r="AH3">
            <v>204</v>
          </cell>
          <cell r="AI3">
            <v>5</v>
          </cell>
        </row>
        <row r="4">
          <cell r="A4" t="str">
            <v>MH</v>
          </cell>
          <cell r="B4">
            <v>0</v>
          </cell>
          <cell r="C4">
            <v>4.1666666666666664E-2</v>
          </cell>
          <cell r="D4">
            <v>8.3333333333333301E-2</v>
          </cell>
          <cell r="E4">
            <v>0.125</v>
          </cell>
          <cell r="F4">
            <v>0.16666666666666699</v>
          </cell>
          <cell r="G4">
            <v>0.20833333333333301</v>
          </cell>
          <cell r="H4">
            <v>0.25</v>
          </cell>
          <cell r="I4">
            <v>0.29166666666666669</v>
          </cell>
          <cell r="J4">
            <v>0.33333333333333298</v>
          </cell>
          <cell r="K4">
            <v>0.375</v>
          </cell>
          <cell r="L4">
            <v>0.41666666666666702</v>
          </cell>
          <cell r="M4">
            <v>0.45833333333333298</v>
          </cell>
          <cell r="N4">
            <v>0.5</v>
          </cell>
          <cell r="O4">
            <v>0.54166666666666696</v>
          </cell>
          <cell r="P4">
            <v>0.58333333333333304</v>
          </cell>
          <cell r="Q4">
            <v>0.625</v>
          </cell>
          <cell r="R4">
            <v>0.66666666666666696</v>
          </cell>
          <cell r="S4">
            <v>0.70833333333333304</v>
          </cell>
          <cell r="T4">
            <v>0.75</v>
          </cell>
          <cell r="U4">
            <v>0.79166666666666696</v>
          </cell>
          <cell r="V4">
            <v>0.83333333333333304</v>
          </cell>
          <cell r="W4">
            <v>0.875</v>
          </cell>
          <cell r="X4">
            <v>0.91666666666666696</v>
          </cell>
          <cell r="Y4">
            <v>0.95833333333333304</v>
          </cell>
          <cell r="AG4">
            <v>205</v>
          </cell>
          <cell r="AH4">
            <v>205</v>
          </cell>
          <cell r="AI4">
            <v>7</v>
          </cell>
        </row>
        <row r="5">
          <cell r="A5" t="str">
            <v>LP</v>
          </cell>
          <cell r="B5">
            <v>1</v>
          </cell>
          <cell r="C5">
            <v>1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X5">
            <v>1</v>
          </cell>
          <cell r="Y5">
            <v>1</v>
          </cell>
          <cell r="AG5">
            <v>210</v>
          </cell>
          <cell r="AH5">
            <v>210</v>
          </cell>
          <cell r="AI5">
            <v>9</v>
          </cell>
        </row>
        <row r="6">
          <cell r="A6">
            <v>201</v>
          </cell>
          <cell r="B6">
            <v>33.520000000000003</v>
          </cell>
          <cell r="C6">
            <v>33.520000000000003</v>
          </cell>
          <cell r="D6">
            <v>33.520000000000003</v>
          </cell>
          <cell r="E6">
            <v>33.520000000000003</v>
          </cell>
          <cell r="F6">
            <v>33.520000000000003</v>
          </cell>
          <cell r="G6">
            <v>33.520000000000003</v>
          </cell>
          <cell r="H6">
            <v>33.520000000000003</v>
          </cell>
          <cell r="I6">
            <v>32.07</v>
          </cell>
          <cell r="J6">
            <v>32.07</v>
          </cell>
          <cell r="K6">
            <v>32.07</v>
          </cell>
          <cell r="L6">
            <v>33.520000000000003</v>
          </cell>
          <cell r="M6">
            <v>33.520000000000003</v>
          </cell>
          <cell r="N6">
            <v>33.520000000000003</v>
          </cell>
          <cell r="O6">
            <v>33.520000000000003</v>
          </cell>
          <cell r="P6">
            <v>33.520000000000003</v>
          </cell>
          <cell r="Q6">
            <v>33.520000000000003</v>
          </cell>
          <cell r="R6">
            <v>33.520000000000003</v>
          </cell>
          <cell r="S6">
            <v>33.520000000000003</v>
          </cell>
          <cell r="T6">
            <v>33.520000000000003</v>
          </cell>
          <cell r="U6">
            <v>33.520000000000003</v>
          </cell>
          <cell r="V6">
            <v>33.520000000000003</v>
          </cell>
          <cell r="W6">
            <v>33.520000000000003</v>
          </cell>
          <cell r="X6">
            <v>33.520000000000003</v>
          </cell>
          <cell r="Y6">
            <v>33.520000000000003</v>
          </cell>
          <cell r="AG6">
            <v>214</v>
          </cell>
          <cell r="AH6">
            <v>214</v>
          </cell>
          <cell r="AI6">
            <v>11</v>
          </cell>
        </row>
        <row r="7">
          <cell r="A7">
            <v>201</v>
          </cell>
          <cell r="B7">
            <v>32.93</v>
          </cell>
          <cell r="C7">
            <v>32.93</v>
          </cell>
          <cell r="D7">
            <v>32.93</v>
          </cell>
          <cell r="E7">
            <v>32.93</v>
          </cell>
          <cell r="F7">
            <v>32.93</v>
          </cell>
          <cell r="G7">
            <v>32.93</v>
          </cell>
          <cell r="H7">
            <v>32.93</v>
          </cell>
          <cell r="I7">
            <v>32.07</v>
          </cell>
          <cell r="J7">
            <v>32.07</v>
          </cell>
          <cell r="K7">
            <v>32.07</v>
          </cell>
          <cell r="L7">
            <v>32.93</v>
          </cell>
          <cell r="M7">
            <v>32.93</v>
          </cell>
          <cell r="N7">
            <v>32.93</v>
          </cell>
          <cell r="O7">
            <v>32.93</v>
          </cell>
          <cell r="P7">
            <v>32.93</v>
          </cell>
          <cell r="Q7">
            <v>32.93</v>
          </cell>
          <cell r="R7">
            <v>32.93</v>
          </cell>
          <cell r="S7">
            <v>32.93</v>
          </cell>
          <cell r="T7">
            <v>32.93</v>
          </cell>
          <cell r="U7">
            <v>32.93</v>
          </cell>
          <cell r="V7">
            <v>32.93</v>
          </cell>
          <cell r="W7">
            <v>32.93</v>
          </cell>
          <cell r="X7">
            <v>32.93</v>
          </cell>
          <cell r="Y7">
            <v>32.93</v>
          </cell>
          <cell r="AG7">
            <v>224</v>
          </cell>
          <cell r="AH7">
            <v>224</v>
          </cell>
          <cell r="AI7">
            <v>13</v>
          </cell>
        </row>
        <row r="8">
          <cell r="A8">
            <v>204</v>
          </cell>
          <cell r="B8"/>
          <cell r="C8"/>
          <cell r="D8"/>
          <cell r="E8"/>
          <cell r="F8"/>
          <cell r="G8">
            <v>25.16</v>
          </cell>
          <cell r="H8">
            <v>25.16</v>
          </cell>
          <cell r="I8">
            <v>25.16</v>
          </cell>
          <cell r="J8">
            <v>25.16</v>
          </cell>
          <cell r="K8">
            <v>25.16</v>
          </cell>
          <cell r="L8">
            <v>25.16</v>
          </cell>
          <cell r="M8">
            <v>25.16</v>
          </cell>
          <cell r="N8">
            <v>25.16</v>
          </cell>
          <cell r="O8">
            <v>25.16</v>
          </cell>
          <cell r="P8">
            <v>25.16</v>
          </cell>
          <cell r="Q8">
            <v>25.16</v>
          </cell>
          <cell r="R8">
            <v>25.16</v>
          </cell>
          <cell r="S8">
            <v>25.16</v>
          </cell>
          <cell r="T8">
            <v>25.16</v>
          </cell>
          <cell r="U8">
            <v>25.16</v>
          </cell>
          <cell r="V8">
            <v>25.16</v>
          </cell>
          <cell r="W8">
            <v>25.16</v>
          </cell>
          <cell r="X8">
            <v>25.16</v>
          </cell>
          <cell r="Y8">
            <v>25.16</v>
          </cell>
          <cell r="AG8">
            <v>226</v>
          </cell>
          <cell r="AH8">
            <v>226</v>
          </cell>
          <cell r="AI8">
            <v>15</v>
          </cell>
        </row>
        <row r="9">
          <cell r="A9">
            <v>204</v>
          </cell>
          <cell r="B9"/>
          <cell r="C9"/>
          <cell r="D9"/>
          <cell r="E9"/>
          <cell r="F9"/>
          <cell r="G9">
            <v>24.900000000000002</v>
          </cell>
          <cell r="H9">
            <v>24.900000000000002</v>
          </cell>
          <cell r="I9">
            <v>24.900000000000002</v>
          </cell>
          <cell r="J9">
            <v>24.900000000000002</v>
          </cell>
          <cell r="K9">
            <v>24.900000000000002</v>
          </cell>
          <cell r="L9">
            <v>24.900000000000002</v>
          </cell>
          <cell r="M9">
            <v>24.900000000000002</v>
          </cell>
          <cell r="N9">
            <v>24.900000000000002</v>
          </cell>
          <cell r="O9">
            <v>24.900000000000002</v>
          </cell>
          <cell r="P9">
            <v>24.900000000000002</v>
          </cell>
          <cell r="Q9">
            <v>24.900000000000002</v>
          </cell>
          <cell r="R9">
            <v>24.900000000000002</v>
          </cell>
          <cell r="S9">
            <v>24.900000000000002</v>
          </cell>
          <cell r="T9">
            <v>24.900000000000002</v>
          </cell>
          <cell r="U9">
            <v>24.900000000000002</v>
          </cell>
          <cell r="V9">
            <v>24.900000000000002</v>
          </cell>
          <cell r="W9">
            <v>24.9</v>
          </cell>
          <cell r="X9">
            <v>24.9</v>
          </cell>
          <cell r="Y9">
            <v>24.899999999999995</v>
          </cell>
          <cell r="AG9">
            <v>227</v>
          </cell>
          <cell r="AH9">
            <v>227</v>
          </cell>
          <cell r="AI9">
            <v>17</v>
          </cell>
        </row>
        <row r="10">
          <cell r="A10">
            <v>205</v>
          </cell>
          <cell r="B10">
            <v>25.149999999999995</v>
          </cell>
          <cell r="C10"/>
          <cell r="D10"/>
          <cell r="E10"/>
          <cell r="F10"/>
          <cell r="G10">
            <v>25.15</v>
          </cell>
          <cell r="H10">
            <v>25.150000000000002</v>
          </cell>
          <cell r="I10">
            <v>25.150000000000002</v>
          </cell>
          <cell r="J10">
            <v>25.150000000000002</v>
          </cell>
          <cell r="K10">
            <v>25.150000000000002</v>
          </cell>
          <cell r="L10">
            <v>25.150000000000002</v>
          </cell>
          <cell r="M10">
            <v>25.150000000000002</v>
          </cell>
          <cell r="N10">
            <v>25.150000000000002</v>
          </cell>
          <cell r="O10">
            <v>25.150000000000002</v>
          </cell>
          <cell r="P10">
            <v>25.150000000000002</v>
          </cell>
          <cell r="Q10">
            <v>25.150000000000002</v>
          </cell>
          <cell r="R10">
            <v>25.150000000000002</v>
          </cell>
          <cell r="S10">
            <v>25.150000000000002</v>
          </cell>
          <cell r="T10">
            <v>25.150000000000002</v>
          </cell>
          <cell r="U10">
            <v>25.150000000000002</v>
          </cell>
          <cell r="V10">
            <v>25.150000000000002</v>
          </cell>
          <cell r="W10">
            <v>25.15</v>
          </cell>
          <cell r="X10">
            <v>25.15</v>
          </cell>
          <cell r="Y10">
            <v>25.149999999999995</v>
          </cell>
          <cell r="AG10">
            <v>230</v>
          </cell>
          <cell r="AH10">
            <v>230</v>
          </cell>
          <cell r="AI10">
            <v>19</v>
          </cell>
        </row>
        <row r="11">
          <cell r="A11">
            <v>205</v>
          </cell>
          <cell r="B11">
            <v>24.19</v>
          </cell>
          <cell r="C11"/>
          <cell r="D11"/>
          <cell r="E11"/>
          <cell r="F11"/>
          <cell r="G11">
            <v>24.19</v>
          </cell>
          <cell r="H11">
            <v>24.19</v>
          </cell>
          <cell r="I11">
            <v>24.19</v>
          </cell>
          <cell r="J11">
            <v>24.19</v>
          </cell>
          <cell r="K11">
            <v>24.19</v>
          </cell>
          <cell r="L11">
            <v>24.19</v>
          </cell>
          <cell r="M11">
            <v>24.19</v>
          </cell>
          <cell r="N11">
            <v>24.19</v>
          </cell>
          <cell r="O11">
            <v>24.19</v>
          </cell>
          <cell r="P11">
            <v>24.19</v>
          </cell>
          <cell r="Q11">
            <v>24.19</v>
          </cell>
          <cell r="R11">
            <v>24.19</v>
          </cell>
          <cell r="S11">
            <v>24.19</v>
          </cell>
          <cell r="T11">
            <v>24.19</v>
          </cell>
          <cell r="U11">
            <v>24.19</v>
          </cell>
          <cell r="V11">
            <v>24.19</v>
          </cell>
          <cell r="W11">
            <v>24.19</v>
          </cell>
          <cell r="X11">
            <v>24.19</v>
          </cell>
          <cell r="Y11">
            <v>24.19</v>
          </cell>
          <cell r="AG11">
            <v>272</v>
          </cell>
          <cell r="AH11">
            <v>272</v>
          </cell>
          <cell r="AI11">
            <v>21</v>
          </cell>
        </row>
        <row r="12">
          <cell r="A12">
            <v>210</v>
          </cell>
          <cell r="B12">
            <v>27.820000000000004</v>
          </cell>
          <cell r="C12">
            <v>27.82</v>
          </cell>
          <cell r="D12">
            <v>27.82</v>
          </cell>
          <cell r="E12">
            <v>27.82</v>
          </cell>
          <cell r="F12">
            <v>27.82</v>
          </cell>
          <cell r="G12">
            <v>27.819999999999997</v>
          </cell>
          <cell r="H12">
            <v>27.819999999999997</v>
          </cell>
          <cell r="I12">
            <v>27.819999999999997</v>
          </cell>
          <cell r="J12">
            <v>27.819999999999997</v>
          </cell>
          <cell r="K12">
            <v>27.819999999999997</v>
          </cell>
          <cell r="L12">
            <v>27.819999999999997</v>
          </cell>
          <cell r="M12">
            <v>27.819999999999997</v>
          </cell>
          <cell r="N12">
            <v>27.819999999999997</v>
          </cell>
          <cell r="O12">
            <v>27.819999999999997</v>
          </cell>
          <cell r="P12">
            <v>27.819999999999997</v>
          </cell>
          <cell r="Q12">
            <v>27.82</v>
          </cell>
          <cell r="R12">
            <v>27.819999999999997</v>
          </cell>
          <cell r="S12">
            <v>27.819999999999997</v>
          </cell>
          <cell r="T12">
            <v>27.82</v>
          </cell>
          <cell r="U12">
            <v>27.819999999999997</v>
          </cell>
          <cell r="V12">
            <v>27.819999999999997</v>
          </cell>
          <cell r="W12">
            <v>27.82</v>
          </cell>
          <cell r="X12">
            <v>27.819999999999997</v>
          </cell>
          <cell r="Y12">
            <v>27.82</v>
          </cell>
          <cell r="AG12" t="str">
            <v>201e</v>
          </cell>
          <cell r="AH12" t="str">
            <v>201e</v>
          </cell>
          <cell r="AI12">
            <v>23</v>
          </cell>
        </row>
        <row r="13">
          <cell r="A13">
            <v>210</v>
          </cell>
          <cell r="B13">
            <v>27.87</v>
          </cell>
          <cell r="C13">
            <v>27.87</v>
          </cell>
          <cell r="D13">
            <v>27.87</v>
          </cell>
          <cell r="E13">
            <v>27.87</v>
          </cell>
          <cell r="F13">
            <v>27.87</v>
          </cell>
          <cell r="G13">
            <v>27.87</v>
          </cell>
          <cell r="H13">
            <v>27.87</v>
          </cell>
          <cell r="I13">
            <v>27.87</v>
          </cell>
          <cell r="J13">
            <v>27.87</v>
          </cell>
          <cell r="K13">
            <v>27.87</v>
          </cell>
          <cell r="L13">
            <v>27.87</v>
          </cell>
          <cell r="M13">
            <v>27.87</v>
          </cell>
          <cell r="N13">
            <v>27.87</v>
          </cell>
          <cell r="O13">
            <v>27.87</v>
          </cell>
          <cell r="P13">
            <v>27.87</v>
          </cell>
          <cell r="Q13">
            <v>27.869999999999997</v>
          </cell>
          <cell r="R13">
            <v>27.87</v>
          </cell>
          <cell r="S13">
            <v>27.87</v>
          </cell>
          <cell r="T13">
            <v>27.869999999999997</v>
          </cell>
          <cell r="U13">
            <v>27.87</v>
          </cell>
          <cell r="V13">
            <v>27.869999999999997</v>
          </cell>
          <cell r="W13">
            <v>27.869999999999997</v>
          </cell>
          <cell r="X13">
            <v>27.87</v>
          </cell>
          <cell r="Y13">
            <v>27.869999999999997</v>
          </cell>
          <cell r="AG13" t="str">
            <v>204n</v>
          </cell>
          <cell r="AH13" t="str">
            <v>204n</v>
          </cell>
          <cell r="AI13">
            <v>25</v>
          </cell>
        </row>
        <row r="14">
          <cell r="A14">
            <v>214</v>
          </cell>
          <cell r="B14"/>
          <cell r="C14"/>
          <cell r="D14"/>
          <cell r="E14"/>
          <cell r="F14"/>
          <cell r="G14">
            <v>28.179999999999996</v>
          </cell>
          <cell r="H14">
            <v>28.180000000000003</v>
          </cell>
          <cell r="I14">
            <v>28.180000000000003</v>
          </cell>
          <cell r="J14">
            <v>28.180000000000003</v>
          </cell>
          <cell r="K14">
            <v>28.180000000000003</v>
          </cell>
          <cell r="L14">
            <v>28.18</v>
          </cell>
          <cell r="M14">
            <v>28.18</v>
          </cell>
          <cell r="N14">
            <v>28.18</v>
          </cell>
          <cell r="O14">
            <v>28.18</v>
          </cell>
          <cell r="P14">
            <v>28.180000000000003</v>
          </cell>
          <cell r="Q14">
            <v>28.180000000000003</v>
          </cell>
          <cell r="R14">
            <v>28.180000000000003</v>
          </cell>
          <cell r="S14">
            <v>28.180000000000003</v>
          </cell>
          <cell r="T14">
            <v>28.180000000000003</v>
          </cell>
          <cell r="U14">
            <v>28.180000000000003</v>
          </cell>
          <cell r="V14">
            <v>28.180000000000003</v>
          </cell>
          <cell r="W14">
            <v>28.18</v>
          </cell>
          <cell r="X14">
            <v>28.18</v>
          </cell>
          <cell r="Y14">
            <v>28.179999999999996</v>
          </cell>
          <cell r="AG14" t="str">
            <v>205c</v>
          </cell>
          <cell r="AH14" t="str">
            <v>205c</v>
          </cell>
          <cell r="AI14">
            <v>27</v>
          </cell>
        </row>
        <row r="15">
          <cell r="A15">
            <v>214</v>
          </cell>
          <cell r="B15"/>
          <cell r="C15"/>
          <cell r="D15"/>
          <cell r="E15"/>
          <cell r="F15"/>
          <cell r="G15">
            <v>25.94</v>
          </cell>
          <cell r="H15">
            <v>25.94</v>
          </cell>
          <cell r="I15">
            <v>25.94</v>
          </cell>
          <cell r="J15">
            <v>25.94</v>
          </cell>
          <cell r="K15">
            <v>25.94</v>
          </cell>
          <cell r="L15">
            <v>25.940000000000005</v>
          </cell>
          <cell r="M15">
            <v>25.940000000000005</v>
          </cell>
          <cell r="N15">
            <v>25.940000000000005</v>
          </cell>
          <cell r="O15">
            <v>25.940000000000005</v>
          </cell>
          <cell r="P15">
            <v>25.94</v>
          </cell>
          <cell r="Q15">
            <v>25.94</v>
          </cell>
          <cell r="R15">
            <v>25.94</v>
          </cell>
          <cell r="S15">
            <v>25.94</v>
          </cell>
          <cell r="T15">
            <v>25.94</v>
          </cell>
          <cell r="U15">
            <v>25.94</v>
          </cell>
          <cell r="V15">
            <v>25.94</v>
          </cell>
          <cell r="W15">
            <v>25.940000000000005</v>
          </cell>
          <cell r="X15">
            <v>25.94</v>
          </cell>
          <cell r="Y15">
            <v>25.94</v>
          </cell>
          <cell r="AG15" t="str">
            <v>210e</v>
          </cell>
          <cell r="AH15" t="str">
            <v>210e</v>
          </cell>
          <cell r="AI15">
            <v>29</v>
          </cell>
        </row>
        <row r="16">
          <cell r="A16">
            <v>224</v>
          </cell>
          <cell r="B16"/>
          <cell r="C16"/>
          <cell r="D16"/>
          <cell r="E16"/>
          <cell r="F16"/>
          <cell r="G16">
            <v>20.04</v>
          </cell>
          <cell r="H16">
            <v>20.039999999999996</v>
          </cell>
          <cell r="I16">
            <v>20.059999999999999</v>
          </cell>
          <cell r="J16">
            <v>20.079999999999998</v>
          </cell>
          <cell r="K16">
            <v>20.079999999999998</v>
          </cell>
          <cell r="L16">
            <v>20.04</v>
          </cell>
          <cell r="M16">
            <v>20.04</v>
          </cell>
          <cell r="N16">
            <v>20.039999999999996</v>
          </cell>
          <cell r="O16">
            <v>20.039999999999996</v>
          </cell>
          <cell r="P16">
            <v>20.039999999999996</v>
          </cell>
          <cell r="Q16">
            <v>20.039999999999996</v>
          </cell>
          <cell r="R16">
            <v>20.039999999999996</v>
          </cell>
          <cell r="S16">
            <v>20.039999999999996</v>
          </cell>
          <cell r="T16">
            <v>20.039999999999996</v>
          </cell>
          <cell r="U16">
            <v>20.039999999999996</v>
          </cell>
          <cell r="V16">
            <v>20.04</v>
          </cell>
          <cell r="W16">
            <v>20.04</v>
          </cell>
          <cell r="X16">
            <v>20.04</v>
          </cell>
          <cell r="Y16">
            <v>20.04</v>
          </cell>
          <cell r="AG16" t="str">
            <v>210v</v>
          </cell>
          <cell r="AH16" t="str">
            <v>210v</v>
          </cell>
          <cell r="AI16">
            <v>31</v>
          </cell>
        </row>
        <row r="17">
          <cell r="A17">
            <v>224</v>
          </cell>
          <cell r="B17"/>
          <cell r="C17"/>
          <cell r="D17"/>
          <cell r="E17"/>
          <cell r="F17"/>
          <cell r="G17">
            <v>20.12</v>
          </cell>
          <cell r="H17">
            <v>20.12</v>
          </cell>
          <cell r="I17">
            <v>20.12</v>
          </cell>
          <cell r="J17">
            <v>20.12</v>
          </cell>
          <cell r="K17">
            <v>20.12</v>
          </cell>
          <cell r="L17">
            <v>20.12</v>
          </cell>
          <cell r="M17">
            <v>20.12</v>
          </cell>
          <cell r="N17">
            <v>20.12</v>
          </cell>
          <cell r="O17">
            <v>20.12</v>
          </cell>
          <cell r="P17">
            <v>20.12</v>
          </cell>
          <cell r="Q17">
            <v>20.12</v>
          </cell>
          <cell r="R17">
            <v>20.12</v>
          </cell>
          <cell r="S17">
            <v>20.12</v>
          </cell>
          <cell r="T17">
            <v>20.12</v>
          </cell>
          <cell r="U17">
            <v>20.12</v>
          </cell>
          <cell r="V17">
            <v>20.12</v>
          </cell>
          <cell r="W17">
            <v>20.12</v>
          </cell>
          <cell r="X17">
            <v>20.12</v>
          </cell>
          <cell r="Y17"/>
          <cell r="AG17" t="str">
            <v>264n</v>
          </cell>
          <cell r="AH17" t="str">
            <v>264n</v>
          </cell>
          <cell r="AI17">
            <v>33</v>
          </cell>
        </row>
        <row r="18">
          <cell r="A18">
            <v>226</v>
          </cell>
          <cell r="B18">
            <v>28.66</v>
          </cell>
          <cell r="C18"/>
          <cell r="D18"/>
          <cell r="E18"/>
          <cell r="F18"/>
          <cell r="G18">
            <v>28.66</v>
          </cell>
          <cell r="H18">
            <v>28.66</v>
          </cell>
          <cell r="I18">
            <v>28.66</v>
          </cell>
          <cell r="J18">
            <v>28.66</v>
          </cell>
          <cell r="K18">
            <v>28.66</v>
          </cell>
          <cell r="L18">
            <v>28.660000000000004</v>
          </cell>
          <cell r="M18">
            <v>28.660000000000004</v>
          </cell>
          <cell r="N18">
            <v>28.66</v>
          </cell>
          <cell r="O18">
            <v>28.66</v>
          </cell>
          <cell r="P18">
            <v>28.66</v>
          </cell>
          <cell r="Q18">
            <v>28.660000000000004</v>
          </cell>
          <cell r="R18">
            <v>28.66</v>
          </cell>
          <cell r="S18">
            <v>28.66</v>
          </cell>
          <cell r="T18">
            <v>28.66</v>
          </cell>
          <cell r="U18">
            <v>28.66</v>
          </cell>
          <cell r="V18">
            <v>28.66</v>
          </cell>
          <cell r="W18">
            <v>28.66</v>
          </cell>
          <cell r="X18">
            <v>28.660000000000004</v>
          </cell>
          <cell r="Y18">
            <v>28.66</v>
          </cell>
          <cell r="AG18" t="str">
            <v>B41</v>
          </cell>
          <cell r="AH18" t="str">
            <v>B41</v>
          </cell>
          <cell r="AI18">
            <v>35</v>
          </cell>
        </row>
        <row r="19">
          <cell r="A19">
            <v>226</v>
          </cell>
          <cell r="B19">
            <v>28.07</v>
          </cell>
          <cell r="C19"/>
          <cell r="D19"/>
          <cell r="E19"/>
          <cell r="F19"/>
          <cell r="G19">
            <v>28.070000000000004</v>
          </cell>
          <cell r="H19">
            <v>28.069999999999997</v>
          </cell>
          <cell r="I19">
            <v>28.069999999999997</v>
          </cell>
          <cell r="J19">
            <v>28.069999999999997</v>
          </cell>
          <cell r="K19">
            <v>28.069999999999997</v>
          </cell>
          <cell r="L19">
            <v>28.07</v>
          </cell>
          <cell r="M19">
            <v>28.07</v>
          </cell>
          <cell r="N19">
            <v>28.069999999999997</v>
          </cell>
          <cell r="O19">
            <v>28.069999999999997</v>
          </cell>
          <cell r="P19">
            <v>28.069999999999997</v>
          </cell>
          <cell r="Q19">
            <v>28.07</v>
          </cell>
          <cell r="R19">
            <v>28.069999999999997</v>
          </cell>
          <cell r="S19">
            <v>28.069999999999997</v>
          </cell>
          <cell r="T19">
            <v>28.069999999999997</v>
          </cell>
          <cell r="U19">
            <v>28.069999999999997</v>
          </cell>
          <cell r="V19">
            <v>28.069999999999997</v>
          </cell>
          <cell r="W19">
            <v>28.07</v>
          </cell>
          <cell r="X19">
            <v>28.07</v>
          </cell>
          <cell r="Y19">
            <v>28.070000000000004</v>
          </cell>
          <cell r="AG19" t="str">
            <v>H05</v>
          </cell>
          <cell r="AH19" t="str">
            <v>H05</v>
          </cell>
          <cell r="AI19">
            <v>37</v>
          </cell>
        </row>
        <row r="20">
          <cell r="A20">
            <v>227</v>
          </cell>
          <cell r="B20"/>
          <cell r="C20"/>
          <cell r="D20"/>
          <cell r="E20"/>
          <cell r="F20"/>
          <cell r="G20">
            <v>28.16</v>
          </cell>
          <cell r="H20">
            <v>28.160000000000004</v>
          </cell>
          <cell r="I20">
            <v>28.16</v>
          </cell>
          <cell r="J20">
            <v>28.16</v>
          </cell>
          <cell r="K20">
            <v>28.16</v>
          </cell>
          <cell r="L20">
            <v>28.16</v>
          </cell>
          <cell r="M20">
            <v>28.16</v>
          </cell>
          <cell r="N20">
            <v>28.160000000000004</v>
          </cell>
          <cell r="O20">
            <v>28.16</v>
          </cell>
          <cell r="P20">
            <v>28.16</v>
          </cell>
          <cell r="Q20">
            <v>28.16</v>
          </cell>
          <cell r="R20">
            <v>28.16</v>
          </cell>
          <cell r="S20">
            <v>28.16</v>
          </cell>
          <cell r="T20">
            <v>28.160000000000004</v>
          </cell>
          <cell r="U20">
            <v>28.160000000000004</v>
          </cell>
          <cell r="V20">
            <v>28.160000000000004</v>
          </cell>
          <cell r="W20">
            <v>28.16</v>
          </cell>
          <cell r="X20">
            <v>28.160000000000004</v>
          </cell>
          <cell r="Y20">
            <v>28.16</v>
          </cell>
          <cell r="AG20" t="str">
            <v>H09</v>
          </cell>
          <cell r="AH20" t="str">
            <v>H09</v>
          </cell>
          <cell r="AI20">
            <v>39</v>
          </cell>
        </row>
        <row r="21">
          <cell r="A21">
            <v>227</v>
          </cell>
          <cell r="B21"/>
          <cell r="C21"/>
          <cell r="D21"/>
          <cell r="E21"/>
          <cell r="F21"/>
          <cell r="G21">
            <v>27</v>
          </cell>
          <cell r="H21">
            <v>27.234000000000002</v>
          </cell>
          <cell r="I21">
            <v>27.389999999999997</v>
          </cell>
          <cell r="J21">
            <v>27.389999999999997</v>
          </cell>
          <cell r="K21">
            <v>27.389999999999997</v>
          </cell>
          <cell r="L21">
            <v>27</v>
          </cell>
          <cell r="M21">
            <v>27</v>
          </cell>
          <cell r="N21">
            <v>27</v>
          </cell>
          <cell r="O21">
            <v>27</v>
          </cell>
          <cell r="P21">
            <v>27</v>
          </cell>
          <cell r="Q21">
            <v>27</v>
          </cell>
          <cell r="R21">
            <v>27</v>
          </cell>
          <cell r="S21">
            <v>27</v>
          </cell>
          <cell r="T21">
            <v>27</v>
          </cell>
          <cell r="U21">
            <v>27</v>
          </cell>
          <cell r="V21">
            <v>27</v>
          </cell>
          <cell r="W21">
            <v>27</v>
          </cell>
          <cell r="X21">
            <v>27</v>
          </cell>
          <cell r="Y21">
            <v>27</v>
          </cell>
          <cell r="AG21" t="str">
            <v>H24</v>
          </cell>
          <cell r="AH21" t="str">
            <v>H24</v>
          </cell>
          <cell r="AI21">
            <v>41</v>
          </cell>
        </row>
        <row r="22">
          <cell r="A22">
            <v>230</v>
          </cell>
          <cell r="B22">
            <v>26.64</v>
          </cell>
          <cell r="C22">
            <v>26.64</v>
          </cell>
          <cell r="D22">
            <v>26.64</v>
          </cell>
          <cell r="E22">
            <v>26.64</v>
          </cell>
          <cell r="F22">
            <v>26.64</v>
          </cell>
          <cell r="G22">
            <v>26.64</v>
          </cell>
          <cell r="H22">
            <v>26.639999999999997</v>
          </cell>
          <cell r="I22">
            <v>26.639999999999997</v>
          </cell>
          <cell r="J22">
            <v>26.639999999999997</v>
          </cell>
          <cell r="K22">
            <v>26.64</v>
          </cell>
          <cell r="L22">
            <v>26.64</v>
          </cell>
          <cell r="M22">
            <v>26.639999999999997</v>
          </cell>
          <cell r="N22">
            <v>26.639999999999997</v>
          </cell>
          <cell r="O22">
            <v>26.64</v>
          </cell>
          <cell r="P22">
            <v>26.64</v>
          </cell>
          <cell r="Q22">
            <v>26.639999999999997</v>
          </cell>
          <cell r="R22">
            <v>26.639999999999997</v>
          </cell>
          <cell r="S22">
            <v>26.639999999999997</v>
          </cell>
          <cell r="T22">
            <v>26.639999999999997</v>
          </cell>
          <cell r="U22">
            <v>26.639999999999997</v>
          </cell>
          <cell r="V22">
            <v>26.639999999999997</v>
          </cell>
          <cell r="W22">
            <v>26.639999999999997</v>
          </cell>
          <cell r="X22">
            <v>26.64</v>
          </cell>
          <cell r="Y22">
            <v>26.64</v>
          </cell>
          <cell r="AH22"/>
          <cell r="AI22"/>
        </row>
        <row r="23">
          <cell r="A23">
            <v>272</v>
          </cell>
          <cell r="B23"/>
          <cell r="C23"/>
          <cell r="D23"/>
          <cell r="E23"/>
          <cell r="F23"/>
          <cell r="G23">
            <v>25.11</v>
          </cell>
          <cell r="H23">
            <v>25.109999999999996</v>
          </cell>
          <cell r="I23">
            <v>25.109999999999996</v>
          </cell>
          <cell r="J23">
            <v>25.11</v>
          </cell>
          <cell r="K23">
            <v>25.11</v>
          </cell>
          <cell r="L23">
            <v>25.11</v>
          </cell>
          <cell r="M23">
            <v>25.11</v>
          </cell>
          <cell r="N23">
            <v>25.11</v>
          </cell>
          <cell r="O23">
            <v>25.11</v>
          </cell>
          <cell r="P23">
            <v>25.11</v>
          </cell>
          <cell r="Q23">
            <v>25.11</v>
          </cell>
          <cell r="R23">
            <v>25.109999999999996</v>
          </cell>
          <cell r="S23">
            <v>25.11</v>
          </cell>
          <cell r="T23">
            <v>25.109999999999996</v>
          </cell>
          <cell r="U23">
            <v>25.11</v>
          </cell>
          <cell r="V23">
            <v>25.11</v>
          </cell>
          <cell r="W23">
            <v>25.11</v>
          </cell>
          <cell r="X23">
            <v>25.11</v>
          </cell>
          <cell r="Y23">
            <v>25.11</v>
          </cell>
          <cell r="AH23"/>
          <cell r="AI23"/>
        </row>
        <row r="24">
          <cell r="A24" t="str">
            <v>201e</v>
          </cell>
          <cell r="B24"/>
          <cell r="C24"/>
          <cell r="D24"/>
          <cell r="E24"/>
          <cell r="F24"/>
          <cell r="G24">
            <v>21.72</v>
          </cell>
          <cell r="H24">
            <v>21.72</v>
          </cell>
          <cell r="I24">
            <v>21.72</v>
          </cell>
          <cell r="J24">
            <v>21.72</v>
          </cell>
          <cell r="K24">
            <v>21.72</v>
          </cell>
          <cell r="L24">
            <v>21.72</v>
          </cell>
          <cell r="M24">
            <v>21.72</v>
          </cell>
          <cell r="N24">
            <v>21.72</v>
          </cell>
          <cell r="O24">
            <v>21.72</v>
          </cell>
          <cell r="P24">
            <v>21.72</v>
          </cell>
          <cell r="Q24">
            <v>21.72</v>
          </cell>
          <cell r="R24">
            <v>21.72</v>
          </cell>
          <cell r="S24">
            <v>21.72</v>
          </cell>
          <cell r="T24">
            <v>21.72</v>
          </cell>
          <cell r="U24">
            <v>21.72</v>
          </cell>
          <cell r="V24">
            <v>21.72</v>
          </cell>
          <cell r="W24">
            <v>21.72</v>
          </cell>
          <cell r="X24">
            <v>21.72</v>
          </cell>
          <cell r="Y24">
            <v>21.72</v>
          </cell>
          <cell r="AH24"/>
          <cell r="AI24"/>
        </row>
        <row r="25">
          <cell r="A25" t="str">
            <v>201e</v>
          </cell>
          <cell r="B25"/>
          <cell r="C25"/>
          <cell r="D25"/>
          <cell r="E25"/>
          <cell r="F25"/>
          <cell r="G25">
            <v>22.3</v>
          </cell>
          <cell r="H25">
            <v>22.300000000000004</v>
          </cell>
          <cell r="I25">
            <v>22.300000000000008</v>
          </cell>
          <cell r="J25">
            <v>22.300000000000004</v>
          </cell>
          <cell r="K25">
            <v>22.3</v>
          </cell>
          <cell r="L25">
            <v>22.3</v>
          </cell>
          <cell r="M25">
            <v>22.3</v>
          </cell>
          <cell r="N25">
            <v>22.3</v>
          </cell>
          <cell r="O25">
            <v>22.300000000000004</v>
          </cell>
          <cell r="P25">
            <v>22.3</v>
          </cell>
          <cell r="Q25">
            <v>22.3</v>
          </cell>
          <cell r="R25">
            <v>22.300000000000004</v>
          </cell>
          <cell r="S25">
            <v>22.300000000000008</v>
          </cell>
          <cell r="T25">
            <v>22.300000000000008</v>
          </cell>
          <cell r="U25">
            <v>22.300000000000008</v>
          </cell>
          <cell r="V25">
            <v>22.300000000000004</v>
          </cell>
          <cell r="W25">
            <v>22.300000000000004</v>
          </cell>
          <cell r="X25">
            <v>22.300000000000004</v>
          </cell>
          <cell r="Y25"/>
          <cell r="AH25"/>
          <cell r="AI25"/>
        </row>
        <row r="26">
          <cell r="A26" t="str">
            <v>204n</v>
          </cell>
          <cell r="B26">
            <v>27.77</v>
          </cell>
          <cell r="C26">
            <v>27.77</v>
          </cell>
          <cell r="D26">
            <v>27.77</v>
          </cell>
          <cell r="E26">
            <v>27.77</v>
          </cell>
          <cell r="F26">
            <v>27.77</v>
          </cell>
          <cell r="G26">
            <v>27.77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AH26"/>
          <cell r="AI26"/>
        </row>
        <row r="27">
          <cell r="A27" t="str">
            <v>204n</v>
          </cell>
          <cell r="B27">
            <v>26.95</v>
          </cell>
          <cell r="C27">
            <v>26.95</v>
          </cell>
          <cell r="D27">
            <v>26.95</v>
          </cell>
          <cell r="E27">
            <v>26.95</v>
          </cell>
          <cell r="F27">
            <v>26.95</v>
          </cell>
          <cell r="G27">
            <v>26.95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AH27"/>
          <cell r="AI27"/>
        </row>
        <row r="28">
          <cell r="A28" t="str">
            <v>205c</v>
          </cell>
          <cell r="B28"/>
          <cell r="C28"/>
          <cell r="D28"/>
          <cell r="E28"/>
          <cell r="F28"/>
          <cell r="G28">
            <v>34.29</v>
          </cell>
          <cell r="H28">
            <v>34.290000000000006</v>
          </cell>
          <cell r="I28">
            <v>34.290000000000006</v>
          </cell>
          <cell r="J28">
            <v>34.29</v>
          </cell>
          <cell r="K28">
            <v>34.29</v>
          </cell>
          <cell r="L28"/>
          <cell r="M28"/>
          <cell r="N28"/>
          <cell r="O28"/>
          <cell r="P28"/>
          <cell r="Q28"/>
          <cell r="R28"/>
          <cell r="S28"/>
          <cell r="T28">
            <v>34.29</v>
          </cell>
          <cell r="U28">
            <v>34.29</v>
          </cell>
          <cell r="V28">
            <v>34.29</v>
          </cell>
          <cell r="W28">
            <v>34.29</v>
          </cell>
          <cell r="X28"/>
          <cell r="Y28"/>
          <cell r="AH28"/>
          <cell r="AI28"/>
        </row>
        <row r="29">
          <cell r="A29" t="str">
            <v>210e</v>
          </cell>
          <cell r="B29"/>
          <cell r="C29"/>
          <cell r="D29"/>
          <cell r="E29"/>
          <cell r="F29"/>
          <cell r="G29"/>
          <cell r="H29">
            <v>30.82</v>
          </cell>
          <cell r="I29">
            <v>30.82</v>
          </cell>
          <cell r="J29">
            <v>30.82</v>
          </cell>
          <cell r="K29"/>
          <cell r="L29"/>
          <cell r="M29"/>
          <cell r="N29"/>
          <cell r="O29"/>
          <cell r="P29"/>
          <cell r="Q29"/>
          <cell r="R29"/>
          <cell r="S29">
            <v>30.820000000000004</v>
          </cell>
          <cell r="T29">
            <v>30.82</v>
          </cell>
          <cell r="U29">
            <v>30.82</v>
          </cell>
          <cell r="V29">
            <v>30.82</v>
          </cell>
          <cell r="W29"/>
          <cell r="X29"/>
          <cell r="Y29"/>
          <cell r="AH29"/>
          <cell r="AI29"/>
        </row>
        <row r="30">
          <cell r="A30" t="str">
            <v>210e</v>
          </cell>
          <cell r="B30"/>
          <cell r="C30"/>
          <cell r="D30"/>
          <cell r="E30"/>
          <cell r="F30"/>
          <cell r="G30">
            <v>31.03</v>
          </cell>
          <cell r="H30">
            <v>31.03</v>
          </cell>
          <cell r="I30">
            <v>31.03</v>
          </cell>
          <cell r="J30">
            <v>31.03</v>
          </cell>
          <cell r="K30"/>
          <cell r="L30"/>
          <cell r="M30"/>
          <cell r="N30"/>
          <cell r="O30"/>
          <cell r="P30"/>
          <cell r="Q30"/>
          <cell r="R30"/>
          <cell r="S30">
            <v>31.03</v>
          </cell>
          <cell r="T30">
            <v>31.03</v>
          </cell>
          <cell r="U30">
            <v>31.03</v>
          </cell>
          <cell r="V30"/>
          <cell r="W30"/>
          <cell r="X30"/>
          <cell r="Y30"/>
          <cell r="AH30"/>
          <cell r="AI30"/>
        </row>
        <row r="31">
          <cell r="A31" t="str">
            <v>210v</v>
          </cell>
          <cell r="B31">
            <v>28.78</v>
          </cell>
          <cell r="C31">
            <v>28.78</v>
          </cell>
          <cell r="D31">
            <v>28.78</v>
          </cell>
          <cell r="E31">
            <v>28.78</v>
          </cell>
          <cell r="F31">
            <v>28.78</v>
          </cell>
          <cell r="G31">
            <v>28.78</v>
          </cell>
          <cell r="H31">
            <v>28.78</v>
          </cell>
          <cell r="I31">
            <v>28.78</v>
          </cell>
          <cell r="J31">
            <v>28.78</v>
          </cell>
          <cell r="K31">
            <v>28.78</v>
          </cell>
          <cell r="L31">
            <v>28.78</v>
          </cell>
          <cell r="M31">
            <v>28.78</v>
          </cell>
          <cell r="N31">
            <v>28.78</v>
          </cell>
          <cell r="O31">
            <v>28.78</v>
          </cell>
          <cell r="P31">
            <v>28.78</v>
          </cell>
          <cell r="Q31">
            <v>28.78</v>
          </cell>
          <cell r="R31">
            <v>28.78</v>
          </cell>
          <cell r="S31">
            <v>28.78</v>
          </cell>
          <cell r="T31">
            <v>28.78</v>
          </cell>
          <cell r="U31">
            <v>28.78</v>
          </cell>
          <cell r="V31">
            <v>28.78</v>
          </cell>
          <cell r="W31">
            <v>28.78</v>
          </cell>
          <cell r="X31">
            <v>28.78</v>
          </cell>
          <cell r="Y31">
            <v>28.78</v>
          </cell>
          <cell r="AH31"/>
          <cell r="AI31"/>
        </row>
        <row r="32">
          <cell r="A32" t="str">
            <v>210v</v>
          </cell>
          <cell r="B32">
            <v>29.52</v>
          </cell>
          <cell r="C32">
            <v>29.52</v>
          </cell>
          <cell r="D32">
            <v>29.52</v>
          </cell>
          <cell r="E32">
            <v>29.52</v>
          </cell>
          <cell r="F32">
            <v>29.52</v>
          </cell>
          <cell r="G32">
            <v>29.52</v>
          </cell>
          <cell r="H32">
            <v>29.52</v>
          </cell>
          <cell r="I32">
            <v>29.52</v>
          </cell>
          <cell r="J32">
            <v>29.52</v>
          </cell>
          <cell r="K32">
            <v>29.52</v>
          </cell>
          <cell r="L32">
            <v>29.52</v>
          </cell>
          <cell r="M32">
            <v>29.52</v>
          </cell>
          <cell r="N32">
            <v>29.52</v>
          </cell>
          <cell r="O32">
            <v>29.52</v>
          </cell>
          <cell r="P32">
            <v>29.52</v>
          </cell>
          <cell r="Q32">
            <v>29.52</v>
          </cell>
          <cell r="R32">
            <v>29.52</v>
          </cell>
          <cell r="S32">
            <v>29.520000000000003</v>
          </cell>
          <cell r="T32">
            <v>29.52</v>
          </cell>
          <cell r="U32">
            <v>29.52</v>
          </cell>
          <cell r="V32">
            <v>29.520000000000003</v>
          </cell>
          <cell r="W32">
            <v>29.520000000000003</v>
          </cell>
          <cell r="X32">
            <v>29.52</v>
          </cell>
          <cell r="Y32">
            <v>29.52</v>
          </cell>
          <cell r="AH32"/>
          <cell r="AI32"/>
        </row>
        <row r="33">
          <cell r="A33" t="str">
            <v>264n</v>
          </cell>
          <cell r="B33">
            <v>37.81</v>
          </cell>
          <cell r="C33">
            <v>37.81</v>
          </cell>
          <cell r="D33">
            <v>37.81</v>
          </cell>
          <cell r="E33">
            <v>37.81</v>
          </cell>
          <cell r="F33">
            <v>37.81</v>
          </cell>
          <cell r="G33">
            <v>37.81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AH33"/>
          <cell r="AI33"/>
        </row>
        <row r="34">
          <cell r="A34" t="str">
            <v>264n</v>
          </cell>
          <cell r="B34">
            <v>36.53</v>
          </cell>
          <cell r="C34">
            <v>36.53</v>
          </cell>
          <cell r="D34">
            <v>36.53</v>
          </cell>
          <cell r="E34">
            <v>36.53</v>
          </cell>
          <cell r="F34">
            <v>36.53</v>
          </cell>
          <cell r="G34">
            <v>36.53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AH34"/>
          <cell r="AI34"/>
        </row>
        <row r="35">
          <cell r="A35" t="str">
            <v>B41</v>
          </cell>
          <cell r="B35"/>
          <cell r="C35"/>
          <cell r="D35"/>
          <cell r="E35"/>
          <cell r="F35"/>
          <cell r="G35">
            <v>21.28</v>
          </cell>
          <cell r="H35">
            <v>21.28</v>
          </cell>
          <cell r="I35">
            <v>21.28</v>
          </cell>
          <cell r="J35">
            <v>21.28</v>
          </cell>
          <cell r="K35">
            <v>21.28</v>
          </cell>
          <cell r="L35">
            <v>21.28</v>
          </cell>
          <cell r="M35">
            <v>21.28</v>
          </cell>
          <cell r="N35">
            <v>21.28</v>
          </cell>
          <cell r="O35">
            <v>21.28</v>
          </cell>
          <cell r="P35">
            <v>21.28</v>
          </cell>
          <cell r="Q35">
            <v>21.28</v>
          </cell>
          <cell r="R35">
            <v>21.28</v>
          </cell>
          <cell r="S35">
            <v>21.28</v>
          </cell>
          <cell r="T35">
            <v>21.28</v>
          </cell>
          <cell r="U35">
            <v>21.28</v>
          </cell>
          <cell r="V35">
            <v>21.28</v>
          </cell>
          <cell r="W35">
            <v>21.28</v>
          </cell>
          <cell r="X35">
            <v>21.28</v>
          </cell>
          <cell r="Y35">
            <v>21.28</v>
          </cell>
          <cell r="AH35"/>
          <cell r="AI35"/>
        </row>
        <row r="36">
          <cell r="A36" t="str">
            <v>H05</v>
          </cell>
          <cell r="B36"/>
          <cell r="C36"/>
          <cell r="D36"/>
          <cell r="E36"/>
          <cell r="F36"/>
          <cell r="G36">
            <v>14.69</v>
          </cell>
          <cell r="H36">
            <v>14.690000000000001</v>
          </cell>
          <cell r="I36">
            <v>14.690000000000001</v>
          </cell>
          <cell r="J36">
            <v>14.69</v>
          </cell>
          <cell r="K36">
            <v>14.69</v>
          </cell>
          <cell r="L36">
            <v>14.69</v>
          </cell>
          <cell r="M36">
            <v>14.69</v>
          </cell>
          <cell r="N36">
            <v>14.69</v>
          </cell>
          <cell r="O36">
            <v>14.69</v>
          </cell>
          <cell r="P36">
            <v>14.69</v>
          </cell>
          <cell r="Q36">
            <v>14.69</v>
          </cell>
          <cell r="R36">
            <v>14.690000000000001</v>
          </cell>
          <cell r="S36">
            <v>14.690000000000001</v>
          </cell>
          <cell r="T36">
            <v>14.690000000000001</v>
          </cell>
          <cell r="U36">
            <v>14.69</v>
          </cell>
          <cell r="V36">
            <v>14.69</v>
          </cell>
          <cell r="W36">
            <v>14.69</v>
          </cell>
          <cell r="X36">
            <v>14.69</v>
          </cell>
          <cell r="Y36">
            <v>14.69</v>
          </cell>
          <cell r="AH36"/>
          <cell r="AI36"/>
        </row>
        <row r="37">
          <cell r="A37" t="str">
            <v>H05</v>
          </cell>
          <cell r="B37"/>
          <cell r="C37"/>
          <cell r="D37"/>
          <cell r="E37"/>
          <cell r="F37"/>
          <cell r="G37">
            <v>15.52</v>
          </cell>
          <cell r="H37">
            <v>15.519999999999998</v>
          </cell>
          <cell r="I37">
            <v>15.52</v>
          </cell>
          <cell r="J37">
            <v>15.52</v>
          </cell>
          <cell r="K37">
            <v>15.52</v>
          </cell>
          <cell r="L37">
            <v>15.52</v>
          </cell>
          <cell r="M37">
            <v>15.52</v>
          </cell>
          <cell r="N37">
            <v>15.52</v>
          </cell>
          <cell r="O37">
            <v>15.52</v>
          </cell>
          <cell r="P37">
            <v>15.52</v>
          </cell>
          <cell r="Q37">
            <v>15.52</v>
          </cell>
          <cell r="R37">
            <v>15.52</v>
          </cell>
          <cell r="S37">
            <v>15.52</v>
          </cell>
          <cell r="T37">
            <v>15.52</v>
          </cell>
          <cell r="U37">
            <v>15.52</v>
          </cell>
          <cell r="V37">
            <v>15.52</v>
          </cell>
          <cell r="W37">
            <v>15.52</v>
          </cell>
          <cell r="X37">
            <v>15.520000000000001</v>
          </cell>
          <cell r="Y37"/>
          <cell r="AH37"/>
          <cell r="AI37"/>
        </row>
        <row r="38">
          <cell r="A38" t="str">
            <v>H09</v>
          </cell>
          <cell r="B38"/>
          <cell r="C38"/>
          <cell r="D38"/>
          <cell r="E38"/>
          <cell r="F38"/>
          <cell r="G38">
            <v>14.39</v>
          </cell>
          <cell r="H38">
            <v>14.39</v>
          </cell>
          <cell r="I38">
            <v>14.39</v>
          </cell>
          <cell r="J38">
            <v>14.39</v>
          </cell>
          <cell r="K38">
            <v>14.39</v>
          </cell>
          <cell r="L38">
            <v>14.39</v>
          </cell>
          <cell r="M38">
            <v>14.39</v>
          </cell>
          <cell r="N38">
            <v>14.39</v>
          </cell>
          <cell r="O38">
            <v>14.39</v>
          </cell>
          <cell r="P38">
            <v>14.39</v>
          </cell>
          <cell r="Q38">
            <v>14.39</v>
          </cell>
          <cell r="R38">
            <v>14.39</v>
          </cell>
          <cell r="S38">
            <v>14.39</v>
          </cell>
          <cell r="T38">
            <v>14.39</v>
          </cell>
          <cell r="U38">
            <v>14.39</v>
          </cell>
          <cell r="V38">
            <v>14.39</v>
          </cell>
          <cell r="W38">
            <v>14.39</v>
          </cell>
          <cell r="X38">
            <v>14.39</v>
          </cell>
          <cell r="Y38">
            <v>14.39</v>
          </cell>
        </row>
        <row r="39">
          <cell r="A39" t="str">
            <v>H09</v>
          </cell>
          <cell r="B39"/>
          <cell r="C39"/>
          <cell r="D39"/>
          <cell r="E39"/>
          <cell r="F39"/>
          <cell r="G39">
            <v>14.4</v>
          </cell>
          <cell r="H39">
            <v>14.4</v>
          </cell>
          <cell r="I39">
            <v>14.4</v>
          </cell>
          <cell r="J39">
            <v>14.4</v>
          </cell>
          <cell r="K39">
            <v>14.4</v>
          </cell>
          <cell r="L39">
            <v>14.4</v>
          </cell>
          <cell r="M39">
            <v>14.4</v>
          </cell>
          <cell r="N39">
            <v>14.4</v>
          </cell>
          <cell r="O39">
            <v>14.4</v>
          </cell>
          <cell r="P39">
            <v>14.4</v>
          </cell>
          <cell r="Q39">
            <v>14.4</v>
          </cell>
          <cell r="R39">
            <v>14.4</v>
          </cell>
          <cell r="S39">
            <v>14.4</v>
          </cell>
          <cell r="T39">
            <v>14.4</v>
          </cell>
          <cell r="U39">
            <v>14.4</v>
          </cell>
          <cell r="V39">
            <v>14.4</v>
          </cell>
          <cell r="W39">
            <v>14.4</v>
          </cell>
          <cell r="X39">
            <v>14.4</v>
          </cell>
          <cell r="Y39">
            <v>14.4</v>
          </cell>
        </row>
        <row r="40">
          <cell r="A40" t="str">
            <v>H24</v>
          </cell>
          <cell r="B40"/>
          <cell r="C40"/>
          <cell r="D40"/>
          <cell r="E40"/>
          <cell r="F40"/>
          <cell r="G40">
            <v>21.05</v>
          </cell>
          <cell r="H40">
            <v>21.05</v>
          </cell>
          <cell r="I40">
            <v>21.05</v>
          </cell>
          <cell r="J40">
            <v>21.05</v>
          </cell>
          <cell r="K40">
            <v>21.05</v>
          </cell>
          <cell r="L40">
            <v>21.05</v>
          </cell>
          <cell r="M40">
            <v>21.05</v>
          </cell>
          <cell r="N40">
            <v>21.05</v>
          </cell>
          <cell r="O40">
            <v>21.05</v>
          </cell>
          <cell r="P40">
            <v>21.05</v>
          </cell>
          <cell r="Q40">
            <v>21.05</v>
          </cell>
          <cell r="R40">
            <v>21.05</v>
          </cell>
          <cell r="S40">
            <v>21.05</v>
          </cell>
          <cell r="T40">
            <v>21.05</v>
          </cell>
          <cell r="U40">
            <v>21.05</v>
          </cell>
          <cell r="V40">
            <v>21.05</v>
          </cell>
          <cell r="W40">
            <v>21.05</v>
          </cell>
          <cell r="X40">
            <v>21.05</v>
          </cell>
          <cell r="Y40">
            <v>21.05</v>
          </cell>
        </row>
        <row r="41">
          <cell r="A41" t="str">
            <v>H24</v>
          </cell>
          <cell r="B41"/>
          <cell r="C41"/>
          <cell r="D41"/>
          <cell r="E41"/>
          <cell r="F41"/>
          <cell r="G41">
            <v>21.65</v>
          </cell>
          <cell r="H41">
            <v>21.650000000000002</v>
          </cell>
          <cell r="I41">
            <v>21.650000000000002</v>
          </cell>
          <cell r="J41">
            <v>21.65</v>
          </cell>
          <cell r="K41">
            <v>21.65</v>
          </cell>
          <cell r="L41">
            <v>21.65</v>
          </cell>
          <cell r="M41">
            <v>21.65</v>
          </cell>
          <cell r="N41">
            <v>21.65</v>
          </cell>
          <cell r="O41">
            <v>21.65</v>
          </cell>
          <cell r="P41">
            <v>21.65</v>
          </cell>
          <cell r="Q41">
            <v>21.65</v>
          </cell>
          <cell r="R41">
            <v>21.65</v>
          </cell>
          <cell r="S41">
            <v>21.65</v>
          </cell>
          <cell r="T41">
            <v>21.65</v>
          </cell>
          <cell r="U41">
            <v>21.65</v>
          </cell>
          <cell r="V41">
            <v>21.65</v>
          </cell>
          <cell r="W41">
            <v>21.65</v>
          </cell>
          <cell r="X41">
            <v>21.65</v>
          </cell>
          <cell r="Y41"/>
        </row>
        <row r="231">
          <cell r="A231" t="str">
            <v>MH</v>
          </cell>
          <cell r="B231">
            <v>0</v>
          </cell>
          <cell r="C231">
            <v>4.1666666666666664E-2</v>
          </cell>
          <cell r="D231">
            <v>8.3333333333333301E-2</v>
          </cell>
          <cell r="E231">
            <v>0.125</v>
          </cell>
          <cell r="F231">
            <v>0.16666666666666699</v>
          </cell>
          <cell r="G231">
            <v>0.20833333333333301</v>
          </cell>
          <cell r="H231">
            <v>0.25</v>
          </cell>
          <cell r="I231">
            <v>0.29166666666666702</v>
          </cell>
          <cell r="J231">
            <v>0.33333333333333298</v>
          </cell>
          <cell r="K231">
            <v>0.375</v>
          </cell>
          <cell r="L231">
            <v>0.41666666666666702</v>
          </cell>
          <cell r="M231">
            <v>0.45833333333333298</v>
          </cell>
          <cell r="N231">
            <v>0.5</v>
          </cell>
          <cell r="O231">
            <v>0.54166666666666696</v>
          </cell>
          <cell r="P231">
            <v>0.58333333333333304</v>
          </cell>
          <cell r="Q231">
            <v>0.625</v>
          </cell>
          <cell r="R231">
            <v>0.66666666666666696</v>
          </cell>
          <cell r="S231">
            <v>0.70833333333333304</v>
          </cell>
          <cell r="T231">
            <v>0.75</v>
          </cell>
          <cell r="U231">
            <v>0.79166666666666696</v>
          </cell>
          <cell r="V231">
            <v>0.83333333333333304</v>
          </cell>
          <cell r="W231">
            <v>0.875</v>
          </cell>
          <cell r="X231">
            <v>0.91666666666666696</v>
          </cell>
          <cell r="Y231">
            <v>0.95833333333333304</v>
          </cell>
        </row>
        <row r="232">
          <cell r="A232" t="str">
            <v>LP</v>
          </cell>
          <cell r="B232">
            <v>1</v>
          </cell>
          <cell r="C232">
            <v>1</v>
          </cell>
          <cell r="D232">
            <v>1</v>
          </cell>
          <cell r="E232">
            <v>1</v>
          </cell>
          <cell r="F232">
            <v>1</v>
          </cell>
          <cell r="G232">
            <v>1</v>
          </cell>
          <cell r="H232">
            <v>1</v>
          </cell>
          <cell r="I232">
            <v>1</v>
          </cell>
          <cell r="J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1</v>
          </cell>
          <cell r="Q232">
            <v>1</v>
          </cell>
          <cell r="R232">
            <v>1</v>
          </cell>
          <cell r="S232">
            <v>1</v>
          </cell>
          <cell r="T232">
            <v>1</v>
          </cell>
          <cell r="U232">
            <v>1</v>
          </cell>
          <cell r="V232">
            <v>1</v>
          </cell>
          <cell r="W232">
            <v>1</v>
          </cell>
          <cell r="X232">
            <v>1</v>
          </cell>
          <cell r="Y232">
            <v>1</v>
          </cell>
        </row>
        <row r="233">
          <cell r="A233">
            <v>201</v>
          </cell>
          <cell r="B233">
            <v>33.520000000000003</v>
          </cell>
          <cell r="C233">
            <v>33.520000000000003</v>
          </cell>
          <cell r="D233">
            <v>33.520000000000003</v>
          </cell>
          <cell r="E233">
            <v>33.520000000000003</v>
          </cell>
          <cell r="F233">
            <v>33.520000000000003</v>
          </cell>
          <cell r="G233">
            <v>33.520000000000003</v>
          </cell>
          <cell r="H233">
            <v>33.520000000000003</v>
          </cell>
          <cell r="I233">
            <v>33.520000000000003</v>
          </cell>
          <cell r="J233">
            <v>33.520000000000003</v>
          </cell>
          <cell r="K233">
            <v>33.520000000000003</v>
          </cell>
          <cell r="L233">
            <v>33.520000000000003</v>
          </cell>
          <cell r="M233">
            <v>33.520000000000003</v>
          </cell>
          <cell r="N233">
            <v>33.520000000000003</v>
          </cell>
          <cell r="O233">
            <v>33.520000000000003</v>
          </cell>
          <cell r="P233">
            <v>33.520000000000003</v>
          </cell>
          <cell r="Q233">
            <v>33.520000000000003</v>
          </cell>
          <cell r="R233">
            <v>33.520000000000003</v>
          </cell>
          <cell r="S233">
            <v>33.520000000000003</v>
          </cell>
          <cell r="T233">
            <v>33.520000000000003</v>
          </cell>
          <cell r="U233">
            <v>33.520000000000003</v>
          </cell>
          <cell r="V233">
            <v>33.520000000000003</v>
          </cell>
          <cell r="W233">
            <v>33.520000000000003</v>
          </cell>
          <cell r="X233">
            <v>33.520000000000003</v>
          </cell>
          <cell r="Y233">
            <v>33.520000000000003</v>
          </cell>
        </row>
        <row r="234">
          <cell r="A234">
            <v>201</v>
          </cell>
          <cell r="B234">
            <v>32.93</v>
          </cell>
          <cell r="C234">
            <v>32.93</v>
          </cell>
          <cell r="D234">
            <v>32.93</v>
          </cell>
          <cell r="E234">
            <v>32.93</v>
          </cell>
          <cell r="F234">
            <v>32.93</v>
          </cell>
          <cell r="G234">
            <v>32.93</v>
          </cell>
          <cell r="H234">
            <v>32.93</v>
          </cell>
          <cell r="I234">
            <v>32.93</v>
          </cell>
          <cell r="J234">
            <v>32.93</v>
          </cell>
          <cell r="K234">
            <v>32.93</v>
          </cell>
          <cell r="L234">
            <v>32.93</v>
          </cell>
          <cell r="M234">
            <v>32.93</v>
          </cell>
          <cell r="N234">
            <v>32.93</v>
          </cell>
          <cell r="O234">
            <v>32.93</v>
          </cell>
          <cell r="P234">
            <v>32.93</v>
          </cell>
          <cell r="Q234">
            <v>32.93</v>
          </cell>
          <cell r="R234">
            <v>32.93</v>
          </cell>
          <cell r="S234">
            <v>32.93</v>
          </cell>
          <cell r="T234">
            <v>32.93</v>
          </cell>
          <cell r="U234">
            <v>32.93</v>
          </cell>
          <cell r="V234">
            <v>32.93</v>
          </cell>
          <cell r="W234">
            <v>32.93</v>
          </cell>
          <cell r="X234">
            <v>32.93</v>
          </cell>
          <cell r="Y234">
            <v>32.93</v>
          </cell>
        </row>
        <row r="235">
          <cell r="A235">
            <v>204</v>
          </cell>
          <cell r="B235"/>
          <cell r="C235"/>
          <cell r="D235"/>
          <cell r="E235"/>
          <cell r="F235"/>
          <cell r="G235">
            <v>25.16</v>
          </cell>
          <cell r="H235">
            <v>25.16</v>
          </cell>
          <cell r="I235">
            <v>25.16</v>
          </cell>
          <cell r="J235">
            <v>25.16</v>
          </cell>
          <cell r="K235">
            <v>25.16</v>
          </cell>
          <cell r="L235">
            <v>25.16</v>
          </cell>
          <cell r="M235">
            <v>25.16</v>
          </cell>
          <cell r="N235">
            <v>25.16</v>
          </cell>
          <cell r="O235">
            <v>25.16</v>
          </cell>
          <cell r="P235">
            <v>25.16</v>
          </cell>
          <cell r="Q235">
            <v>25.16</v>
          </cell>
          <cell r="R235">
            <v>25.16</v>
          </cell>
          <cell r="S235">
            <v>25.16</v>
          </cell>
          <cell r="T235">
            <v>25.16</v>
          </cell>
          <cell r="U235">
            <v>25.16</v>
          </cell>
          <cell r="V235">
            <v>25.16</v>
          </cell>
          <cell r="W235">
            <v>25.16</v>
          </cell>
          <cell r="X235">
            <v>25.16</v>
          </cell>
          <cell r="Y235">
            <v>25.16</v>
          </cell>
        </row>
        <row r="236">
          <cell r="A236">
            <v>204</v>
          </cell>
          <cell r="B236"/>
          <cell r="C236"/>
          <cell r="D236"/>
          <cell r="E236"/>
          <cell r="F236"/>
          <cell r="G236">
            <v>24.899999999999995</v>
          </cell>
          <cell r="H236">
            <v>24.9</v>
          </cell>
          <cell r="I236">
            <v>24.900000000000002</v>
          </cell>
          <cell r="J236">
            <v>24.900000000000002</v>
          </cell>
          <cell r="K236">
            <v>24.900000000000002</v>
          </cell>
          <cell r="L236">
            <v>24.900000000000002</v>
          </cell>
          <cell r="M236">
            <v>24.900000000000002</v>
          </cell>
          <cell r="N236">
            <v>24.900000000000002</v>
          </cell>
          <cell r="O236">
            <v>24.900000000000002</v>
          </cell>
          <cell r="P236">
            <v>24.900000000000002</v>
          </cell>
          <cell r="Q236">
            <v>24.900000000000002</v>
          </cell>
          <cell r="R236">
            <v>24.900000000000002</v>
          </cell>
          <cell r="S236">
            <v>24.900000000000002</v>
          </cell>
          <cell r="T236">
            <v>24.900000000000002</v>
          </cell>
          <cell r="U236">
            <v>24.9</v>
          </cell>
          <cell r="V236">
            <v>24.9</v>
          </cell>
          <cell r="W236">
            <v>24.9</v>
          </cell>
          <cell r="X236">
            <v>24.9</v>
          </cell>
          <cell r="Y236">
            <v>24.899999999999995</v>
          </cell>
        </row>
        <row r="237">
          <cell r="A237">
            <v>205</v>
          </cell>
          <cell r="B237">
            <v>25.149999999999995</v>
          </cell>
          <cell r="C237"/>
          <cell r="D237"/>
          <cell r="E237"/>
          <cell r="F237"/>
          <cell r="G237">
            <v>25.15</v>
          </cell>
          <cell r="H237">
            <v>25.15</v>
          </cell>
          <cell r="I237">
            <v>25.15</v>
          </cell>
          <cell r="J237">
            <v>25.15</v>
          </cell>
          <cell r="K237">
            <v>25.15</v>
          </cell>
          <cell r="L237">
            <v>25.15</v>
          </cell>
          <cell r="M237">
            <v>25.15</v>
          </cell>
          <cell r="N237">
            <v>25.15</v>
          </cell>
          <cell r="O237">
            <v>25.15</v>
          </cell>
          <cell r="P237">
            <v>25.15</v>
          </cell>
          <cell r="Q237">
            <v>25.15</v>
          </cell>
          <cell r="R237">
            <v>25.15</v>
          </cell>
          <cell r="S237">
            <v>25.15</v>
          </cell>
          <cell r="T237">
            <v>25.15</v>
          </cell>
          <cell r="U237">
            <v>25.15</v>
          </cell>
          <cell r="V237">
            <v>25.15</v>
          </cell>
          <cell r="W237">
            <v>25.15</v>
          </cell>
          <cell r="X237">
            <v>25.15</v>
          </cell>
          <cell r="Y237">
            <v>25.149999999999995</v>
          </cell>
        </row>
        <row r="238">
          <cell r="A238">
            <v>205</v>
          </cell>
          <cell r="B238">
            <v>24.19</v>
          </cell>
          <cell r="C238"/>
          <cell r="D238"/>
          <cell r="E238"/>
          <cell r="F238"/>
          <cell r="G238">
            <v>24.19</v>
          </cell>
          <cell r="H238">
            <v>24.19</v>
          </cell>
          <cell r="I238">
            <v>24.19</v>
          </cell>
          <cell r="J238">
            <v>24.19</v>
          </cell>
          <cell r="K238">
            <v>24.19</v>
          </cell>
          <cell r="L238">
            <v>24.19</v>
          </cell>
          <cell r="M238">
            <v>24.19</v>
          </cell>
          <cell r="N238">
            <v>24.19</v>
          </cell>
          <cell r="O238">
            <v>24.19</v>
          </cell>
          <cell r="P238">
            <v>24.19</v>
          </cell>
          <cell r="Q238">
            <v>24.19</v>
          </cell>
          <cell r="R238">
            <v>24.19</v>
          </cell>
          <cell r="S238">
            <v>24.19</v>
          </cell>
          <cell r="T238">
            <v>24.19</v>
          </cell>
          <cell r="U238">
            <v>24.19</v>
          </cell>
          <cell r="V238">
            <v>24.19</v>
          </cell>
          <cell r="W238">
            <v>24.19</v>
          </cell>
          <cell r="X238">
            <v>24.19</v>
          </cell>
          <cell r="Y238">
            <v>24.19</v>
          </cell>
        </row>
        <row r="239">
          <cell r="A239">
            <v>210</v>
          </cell>
          <cell r="B239">
            <v>27.820000000000004</v>
          </cell>
          <cell r="C239">
            <v>27.82</v>
          </cell>
          <cell r="D239">
            <v>27.82</v>
          </cell>
          <cell r="E239">
            <v>27.82</v>
          </cell>
          <cell r="F239">
            <v>27.82</v>
          </cell>
          <cell r="G239">
            <v>27.820000000000004</v>
          </cell>
          <cell r="H239">
            <v>27.82</v>
          </cell>
          <cell r="I239">
            <v>27.82</v>
          </cell>
          <cell r="J239">
            <v>27.82</v>
          </cell>
          <cell r="K239">
            <v>27.82</v>
          </cell>
          <cell r="L239">
            <v>27.819999999999997</v>
          </cell>
          <cell r="M239">
            <v>27.82</v>
          </cell>
          <cell r="N239">
            <v>27.819999999999997</v>
          </cell>
          <cell r="O239">
            <v>27.819999999999997</v>
          </cell>
          <cell r="P239">
            <v>27.82</v>
          </cell>
          <cell r="Q239">
            <v>27.82</v>
          </cell>
          <cell r="R239">
            <v>27.82</v>
          </cell>
          <cell r="S239">
            <v>27.82</v>
          </cell>
          <cell r="T239">
            <v>27.819999999999997</v>
          </cell>
          <cell r="U239">
            <v>27.819999999999997</v>
          </cell>
          <cell r="V239">
            <v>27.819999999999997</v>
          </cell>
          <cell r="W239">
            <v>27.819999999999997</v>
          </cell>
          <cell r="X239">
            <v>27.82</v>
          </cell>
          <cell r="Y239">
            <v>27.82</v>
          </cell>
        </row>
        <row r="240">
          <cell r="A240">
            <v>210</v>
          </cell>
          <cell r="B240">
            <v>27.87</v>
          </cell>
          <cell r="C240">
            <v>27.87</v>
          </cell>
          <cell r="D240">
            <v>27.87</v>
          </cell>
          <cell r="E240">
            <v>27.87</v>
          </cell>
          <cell r="F240">
            <v>27.87</v>
          </cell>
          <cell r="G240">
            <v>27.869999999999997</v>
          </cell>
          <cell r="H240">
            <v>27.87</v>
          </cell>
          <cell r="I240">
            <v>27.869999999999997</v>
          </cell>
          <cell r="J240">
            <v>27.869999999999997</v>
          </cell>
          <cell r="K240">
            <v>27.87</v>
          </cell>
          <cell r="L240">
            <v>27.87</v>
          </cell>
          <cell r="M240">
            <v>27.87</v>
          </cell>
          <cell r="N240">
            <v>27.87</v>
          </cell>
          <cell r="O240">
            <v>27.87</v>
          </cell>
          <cell r="P240">
            <v>27.869999999999997</v>
          </cell>
          <cell r="Q240">
            <v>27.869999999999997</v>
          </cell>
          <cell r="R240">
            <v>27.869999999999997</v>
          </cell>
          <cell r="S240">
            <v>27.869999999999997</v>
          </cell>
          <cell r="T240">
            <v>27.87</v>
          </cell>
          <cell r="U240">
            <v>27.87</v>
          </cell>
          <cell r="V240">
            <v>27.87</v>
          </cell>
          <cell r="W240">
            <v>27.87</v>
          </cell>
          <cell r="X240">
            <v>27.869999999999997</v>
          </cell>
          <cell r="Y240">
            <v>27.87</v>
          </cell>
        </row>
        <row r="241">
          <cell r="A241">
            <v>214</v>
          </cell>
          <cell r="B241"/>
          <cell r="C241"/>
          <cell r="D241"/>
          <cell r="E241"/>
          <cell r="F241"/>
          <cell r="G241">
            <v>28.18</v>
          </cell>
          <cell r="H241">
            <v>28.18</v>
          </cell>
          <cell r="I241">
            <v>28.18</v>
          </cell>
          <cell r="J241">
            <v>28.18</v>
          </cell>
          <cell r="K241">
            <v>28.18</v>
          </cell>
          <cell r="L241">
            <v>28.18</v>
          </cell>
          <cell r="M241">
            <v>28.180000000000003</v>
          </cell>
          <cell r="N241">
            <v>28.18</v>
          </cell>
          <cell r="O241">
            <v>28.18</v>
          </cell>
          <cell r="P241">
            <v>28.18</v>
          </cell>
          <cell r="Q241">
            <v>28.18</v>
          </cell>
          <cell r="R241">
            <v>28.18</v>
          </cell>
          <cell r="S241">
            <v>28.18</v>
          </cell>
          <cell r="T241">
            <v>28.18</v>
          </cell>
          <cell r="U241">
            <v>28.18</v>
          </cell>
          <cell r="V241">
            <v>28.18</v>
          </cell>
          <cell r="W241">
            <v>28.18</v>
          </cell>
          <cell r="X241">
            <v>28.18</v>
          </cell>
          <cell r="Y241">
            <v>28.179999999999996</v>
          </cell>
        </row>
        <row r="242">
          <cell r="A242">
            <v>214</v>
          </cell>
          <cell r="B242"/>
          <cell r="C242"/>
          <cell r="D242"/>
          <cell r="E242"/>
          <cell r="F242"/>
          <cell r="G242">
            <v>25.94</v>
          </cell>
          <cell r="H242">
            <v>25.94</v>
          </cell>
          <cell r="I242">
            <v>25.94</v>
          </cell>
          <cell r="J242">
            <v>25.94</v>
          </cell>
          <cell r="K242">
            <v>25.940000000000005</v>
          </cell>
          <cell r="L242">
            <v>25.940000000000005</v>
          </cell>
          <cell r="M242">
            <v>25.94</v>
          </cell>
          <cell r="N242">
            <v>25.940000000000005</v>
          </cell>
          <cell r="O242">
            <v>25.940000000000005</v>
          </cell>
          <cell r="P242">
            <v>25.94</v>
          </cell>
          <cell r="Q242">
            <v>25.940000000000005</v>
          </cell>
          <cell r="R242">
            <v>25.940000000000005</v>
          </cell>
          <cell r="S242">
            <v>25.940000000000005</v>
          </cell>
          <cell r="T242">
            <v>25.940000000000005</v>
          </cell>
          <cell r="U242">
            <v>25.940000000000005</v>
          </cell>
          <cell r="V242">
            <v>25.94</v>
          </cell>
          <cell r="W242">
            <v>25.94</v>
          </cell>
          <cell r="X242">
            <v>25.94</v>
          </cell>
          <cell r="Y242">
            <v>25.94</v>
          </cell>
        </row>
        <row r="243">
          <cell r="A243">
            <v>224</v>
          </cell>
          <cell r="B243"/>
          <cell r="C243"/>
          <cell r="D243"/>
          <cell r="E243"/>
          <cell r="F243"/>
          <cell r="G243"/>
          <cell r="H243">
            <v>20.04</v>
          </cell>
          <cell r="I243">
            <v>20.04</v>
          </cell>
          <cell r="J243">
            <v>20.04</v>
          </cell>
          <cell r="K243">
            <v>20.04</v>
          </cell>
          <cell r="L243">
            <v>20.04</v>
          </cell>
          <cell r="M243">
            <v>20.04</v>
          </cell>
          <cell r="N243">
            <v>20.04</v>
          </cell>
          <cell r="O243">
            <v>20.039999999999996</v>
          </cell>
          <cell r="P243">
            <v>20.039999999999996</v>
          </cell>
          <cell r="Q243">
            <v>20.04</v>
          </cell>
          <cell r="R243">
            <v>20.039999999999996</v>
          </cell>
          <cell r="S243">
            <v>20.039999999999996</v>
          </cell>
          <cell r="T243">
            <v>20.039999999999996</v>
          </cell>
          <cell r="U243">
            <v>20.039999999999996</v>
          </cell>
          <cell r="V243">
            <v>20.039999999999996</v>
          </cell>
          <cell r="W243">
            <v>20.04</v>
          </cell>
          <cell r="X243">
            <v>20.04</v>
          </cell>
          <cell r="Y243">
            <v>20.04</v>
          </cell>
        </row>
        <row r="244">
          <cell r="A244">
            <v>224</v>
          </cell>
          <cell r="B244"/>
          <cell r="C244"/>
          <cell r="D244"/>
          <cell r="E244"/>
          <cell r="F244"/>
          <cell r="G244">
            <v>20.12</v>
          </cell>
          <cell r="H244">
            <v>20.12</v>
          </cell>
          <cell r="I244">
            <v>20.12</v>
          </cell>
          <cell r="J244">
            <v>20.12</v>
          </cell>
          <cell r="K244">
            <v>20.12</v>
          </cell>
          <cell r="L244">
            <v>20.12</v>
          </cell>
          <cell r="M244">
            <v>20.12</v>
          </cell>
          <cell r="N244">
            <v>20.12</v>
          </cell>
          <cell r="O244">
            <v>20.12</v>
          </cell>
          <cell r="P244">
            <v>20.12</v>
          </cell>
          <cell r="Q244">
            <v>20.12</v>
          </cell>
          <cell r="R244">
            <v>20.12</v>
          </cell>
          <cell r="S244">
            <v>20.12</v>
          </cell>
          <cell r="T244">
            <v>20.12</v>
          </cell>
          <cell r="U244">
            <v>20.12</v>
          </cell>
          <cell r="V244">
            <v>20.12</v>
          </cell>
          <cell r="W244">
            <v>20.12</v>
          </cell>
          <cell r="X244">
            <v>20.12</v>
          </cell>
          <cell r="Y244"/>
        </row>
        <row r="245">
          <cell r="A245">
            <v>226</v>
          </cell>
          <cell r="B245">
            <v>28.66</v>
          </cell>
          <cell r="C245"/>
          <cell r="D245"/>
          <cell r="E245"/>
          <cell r="F245"/>
          <cell r="G245">
            <v>28.66</v>
          </cell>
          <cell r="H245">
            <v>28.66</v>
          </cell>
          <cell r="I245">
            <v>28.660000000000004</v>
          </cell>
          <cell r="J245">
            <v>28.66</v>
          </cell>
          <cell r="K245">
            <v>28.660000000000004</v>
          </cell>
          <cell r="L245">
            <v>28.660000000000004</v>
          </cell>
          <cell r="M245">
            <v>28.66</v>
          </cell>
          <cell r="N245">
            <v>28.660000000000004</v>
          </cell>
          <cell r="O245">
            <v>28.660000000000004</v>
          </cell>
          <cell r="P245">
            <v>28.660000000000004</v>
          </cell>
          <cell r="Q245">
            <v>28.660000000000004</v>
          </cell>
          <cell r="R245">
            <v>28.660000000000004</v>
          </cell>
          <cell r="S245">
            <v>28.660000000000004</v>
          </cell>
          <cell r="T245">
            <v>28.660000000000004</v>
          </cell>
          <cell r="U245">
            <v>28.660000000000004</v>
          </cell>
          <cell r="V245">
            <v>28.660000000000004</v>
          </cell>
          <cell r="W245">
            <v>28.66</v>
          </cell>
          <cell r="X245">
            <v>28.66</v>
          </cell>
          <cell r="Y245">
            <v>28.66</v>
          </cell>
        </row>
        <row r="246">
          <cell r="A246">
            <v>226</v>
          </cell>
          <cell r="B246">
            <v>28.07</v>
          </cell>
          <cell r="C246"/>
          <cell r="D246"/>
          <cell r="E246"/>
          <cell r="F246"/>
          <cell r="G246">
            <v>28.07</v>
          </cell>
          <cell r="H246">
            <v>28.07</v>
          </cell>
          <cell r="I246">
            <v>28.07</v>
          </cell>
          <cell r="J246">
            <v>28.07</v>
          </cell>
          <cell r="K246">
            <v>28.07</v>
          </cell>
          <cell r="L246">
            <v>28.07</v>
          </cell>
          <cell r="M246">
            <v>28.07</v>
          </cell>
          <cell r="N246">
            <v>28.07</v>
          </cell>
          <cell r="O246">
            <v>28.07</v>
          </cell>
          <cell r="P246">
            <v>28.07</v>
          </cell>
          <cell r="Q246">
            <v>28.07</v>
          </cell>
          <cell r="R246">
            <v>28.07</v>
          </cell>
          <cell r="S246">
            <v>28.07</v>
          </cell>
          <cell r="T246">
            <v>28.07</v>
          </cell>
          <cell r="U246">
            <v>28.07</v>
          </cell>
          <cell r="V246">
            <v>28.07</v>
          </cell>
          <cell r="W246">
            <v>28.07</v>
          </cell>
          <cell r="X246">
            <v>28.07</v>
          </cell>
          <cell r="Y246">
            <v>28.07</v>
          </cell>
        </row>
        <row r="247">
          <cell r="A247">
            <v>227</v>
          </cell>
          <cell r="B247"/>
          <cell r="C247"/>
          <cell r="D247"/>
          <cell r="E247"/>
          <cell r="F247"/>
          <cell r="G247">
            <v>28.16</v>
          </cell>
          <cell r="H247">
            <v>28.16</v>
          </cell>
          <cell r="I247">
            <v>28.16</v>
          </cell>
          <cell r="J247">
            <v>28.16</v>
          </cell>
          <cell r="K247">
            <v>28.16</v>
          </cell>
          <cell r="L247">
            <v>28.16</v>
          </cell>
          <cell r="M247">
            <v>28.160000000000004</v>
          </cell>
          <cell r="N247">
            <v>28.160000000000004</v>
          </cell>
          <cell r="O247">
            <v>28.160000000000004</v>
          </cell>
          <cell r="P247">
            <v>28.160000000000004</v>
          </cell>
          <cell r="Q247">
            <v>28.160000000000004</v>
          </cell>
          <cell r="R247">
            <v>28.16</v>
          </cell>
          <cell r="S247">
            <v>28.16</v>
          </cell>
          <cell r="T247">
            <v>28.160000000000004</v>
          </cell>
          <cell r="U247">
            <v>28.160000000000004</v>
          </cell>
          <cell r="V247">
            <v>28.16</v>
          </cell>
          <cell r="W247">
            <v>28.16</v>
          </cell>
          <cell r="X247">
            <v>28.16</v>
          </cell>
          <cell r="Y247">
            <v>28.16</v>
          </cell>
        </row>
        <row r="248">
          <cell r="A248">
            <v>227</v>
          </cell>
          <cell r="B248"/>
          <cell r="C248"/>
          <cell r="D248"/>
          <cell r="E248"/>
          <cell r="F248"/>
          <cell r="G248">
            <v>27</v>
          </cell>
          <cell r="H248">
            <v>27</v>
          </cell>
          <cell r="I248">
            <v>27</v>
          </cell>
          <cell r="J248">
            <v>27</v>
          </cell>
          <cell r="K248">
            <v>27</v>
          </cell>
          <cell r="L248">
            <v>27</v>
          </cell>
          <cell r="M248">
            <v>27</v>
          </cell>
          <cell r="N248">
            <v>27</v>
          </cell>
          <cell r="O248">
            <v>27</v>
          </cell>
          <cell r="P248">
            <v>27</v>
          </cell>
          <cell r="Q248">
            <v>27</v>
          </cell>
          <cell r="R248">
            <v>27</v>
          </cell>
          <cell r="S248">
            <v>27</v>
          </cell>
          <cell r="T248">
            <v>27</v>
          </cell>
          <cell r="U248">
            <v>27</v>
          </cell>
          <cell r="V248">
            <v>27</v>
          </cell>
          <cell r="W248">
            <v>27</v>
          </cell>
          <cell r="X248">
            <v>27</v>
          </cell>
          <cell r="Y248">
            <v>27</v>
          </cell>
        </row>
        <row r="249">
          <cell r="A249">
            <v>230</v>
          </cell>
          <cell r="B249">
            <v>26.64</v>
          </cell>
          <cell r="C249">
            <v>26.64</v>
          </cell>
          <cell r="D249">
            <v>26.64</v>
          </cell>
          <cell r="E249">
            <v>26.64</v>
          </cell>
          <cell r="F249">
            <v>26.64</v>
          </cell>
          <cell r="G249">
            <v>26.64</v>
          </cell>
          <cell r="H249">
            <v>26.64</v>
          </cell>
          <cell r="I249">
            <v>26.64</v>
          </cell>
          <cell r="J249">
            <v>26.639999999999997</v>
          </cell>
          <cell r="K249">
            <v>26.639999999999997</v>
          </cell>
          <cell r="L249">
            <v>26.639999999999997</v>
          </cell>
          <cell r="M249">
            <v>26.64</v>
          </cell>
          <cell r="N249">
            <v>26.639999999999997</v>
          </cell>
          <cell r="O249">
            <v>26.64</v>
          </cell>
          <cell r="P249">
            <v>26.64</v>
          </cell>
          <cell r="Q249">
            <v>26.64</v>
          </cell>
          <cell r="R249">
            <v>26.64</v>
          </cell>
          <cell r="S249">
            <v>26.64</v>
          </cell>
          <cell r="T249">
            <v>26.64</v>
          </cell>
          <cell r="U249">
            <v>26.64</v>
          </cell>
          <cell r="V249">
            <v>26.64</v>
          </cell>
          <cell r="W249">
            <v>26.64</v>
          </cell>
          <cell r="X249">
            <v>26.64</v>
          </cell>
          <cell r="Y249">
            <v>26.64</v>
          </cell>
        </row>
        <row r="250">
          <cell r="A250">
            <v>272</v>
          </cell>
          <cell r="B250"/>
          <cell r="C250"/>
          <cell r="D250"/>
          <cell r="E250"/>
          <cell r="F250"/>
          <cell r="G250">
            <v>25.11</v>
          </cell>
          <cell r="H250">
            <v>25.11</v>
          </cell>
          <cell r="I250">
            <v>25.11</v>
          </cell>
          <cell r="J250">
            <v>25.11</v>
          </cell>
          <cell r="K250">
            <v>25.11</v>
          </cell>
          <cell r="L250">
            <v>25.11</v>
          </cell>
          <cell r="M250">
            <v>25.11</v>
          </cell>
          <cell r="N250">
            <v>25.11</v>
          </cell>
          <cell r="O250">
            <v>25.11</v>
          </cell>
          <cell r="P250">
            <v>25.11</v>
          </cell>
          <cell r="Q250">
            <v>25.11</v>
          </cell>
          <cell r="R250">
            <v>25.11</v>
          </cell>
          <cell r="S250">
            <v>25.11</v>
          </cell>
          <cell r="T250">
            <v>25.11</v>
          </cell>
          <cell r="U250">
            <v>25.11</v>
          </cell>
          <cell r="V250">
            <v>25.11</v>
          </cell>
          <cell r="W250">
            <v>25.11</v>
          </cell>
          <cell r="X250">
            <v>25.11</v>
          </cell>
          <cell r="Y250">
            <v>25.11</v>
          </cell>
        </row>
        <row r="251">
          <cell r="A251" t="str">
            <v>201e</v>
          </cell>
          <cell r="B251"/>
          <cell r="C251"/>
          <cell r="D251"/>
          <cell r="E251"/>
          <cell r="F251"/>
          <cell r="G251">
            <v>21.72</v>
          </cell>
          <cell r="H251">
            <v>21.72</v>
          </cell>
          <cell r="I251">
            <v>21.72</v>
          </cell>
          <cell r="J251">
            <v>21.72</v>
          </cell>
          <cell r="K251">
            <v>21.72</v>
          </cell>
          <cell r="L251">
            <v>21.72</v>
          </cell>
          <cell r="M251">
            <v>21.72</v>
          </cell>
          <cell r="N251">
            <v>21.72</v>
          </cell>
          <cell r="O251">
            <v>21.72</v>
          </cell>
          <cell r="P251">
            <v>21.72</v>
          </cell>
          <cell r="Q251">
            <v>21.72</v>
          </cell>
          <cell r="R251">
            <v>21.72</v>
          </cell>
          <cell r="S251">
            <v>21.72</v>
          </cell>
          <cell r="T251">
            <v>21.72</v>
          </cell>
          <cell r="U251">
            <v>21.72</v>
          </cell>
          <cell r="V251">
            <v>21.72</v>
          </cell>
          <cell r="W251">
            <v>21.72</v>
          </cell>
          <cell r="X251">
            <v>21.72</v>
          </cell>
          <cell r="Y251"/>
        </row>
        <row r="252">
          <cell r="A252" t="str">
            <v>201e</v>
          </cell>
          <cell r="B252"/>
          <cell r="C252"/>
          <cell r="D252"/>
          <cell r="E252"/>
          <cell r="F252"/>
          <cell r="G252">
            <v>22.3</v>
          </cell>
          <cell r="H252">
            <v>22.3</v>
          </cell>
          <cell r="I252">
            <v>22.3</v>
          </cell>
          <cell r="J252">
            <v>22.3</v>
          </cell>
          <cell r="K252">
            <v>22.3</v>
          </cell>
          <cell r="L252">
            <v>22.3</v>
          </cell>
          <cell r="M252">
            <v>22.3</v>
          </cell>
          <cell r="N252">
            <v>22.3</v>
          </cell>
          <cell r="O252">
            <v>22.3</v>
          </cell>
          <cell r="P252">
            <v>22.3</v>
          </cell>
          <cell r="Q252">
            <v>22.3</v>
          </cell>
          <cell r="R252">
            <v>22.3</v>
          </cell>
          <cell r="S252">
            <v>22.3</v>
          </cell>
          <cell r="T252">
            <v>22.3</v>
          </cell>
          <cell r="U252">
            <v>22.3</v>
          </cell>
          <cell r="V252">
            <v>22.3</v>
          </cell>
          <cell r="W252">
            <v>22.3</v>
          </cell>
          <cell r="X252">
            <v>22.3</v>
          </cell>
          <cell r="Y252"/>
        </row>
        <row r="253">
          <cell r="A253" t="str">
            <v>204n</v>
          </cell>
          <cell r="B253">
            <v>27.77</v>
          </cell>
          <cell r="C253">
            <v>27.77</v>
          </cell>
          <cell r="D253">
            <v>27.77</v>
          </cell>
          <cell r="E253">
            <v>27.77</v>
          </cell>
          <cell r="F253">
            <v>27.77</v>
          </cell>
          <cell r="G253">
            <v>27.77</v>
          </cell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</row>
        <row r="254">
          <cell r="A254" t="str">
            <v>204n</v>
          </cell>
          <cell r="B254">
            <v>26.95</v>
          </cell>
          <cell r="C254">
            <v>26.95</v>
          </cell>
          <cell r="D254">
            <v>26.95</v>
          </cell>
          <cell r="E254">
            <v>26.95</v>
          </cell>
          <cell r="F254">
            <v>26.95</v>
          </cell>
          <cell r="G254">
            <v>26.95</v>
          </cell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</row>
        <row r="255">
          <cell r="A255" t="str">
            <v>210v</v>
          </cell>
          <cell r="B255">
            <v>28.78</v>
          </cell>
          <cell r="C255">
            <v>28.78</v>
          </cell>
          <cell r="D255">
            <v>28.78</v>
          </cell>
          <cell r="E255">
            <v>28.78</v>
          </cell>
          <cell r="F255">
            <v>28.78</v>
          </cell>
          <cell r="G255">
            <v>28.78</v>
          </cell>
          <cell r="H255">
            <v>28.78</v>
          </cell>
          <cell r="I255">
            <v>28.78</v>
          </cell>
          <cell r="J255">
            <v>28.78</v>
          </cell>
          <cell r="K255">
            <v>28.78</v>
          </cell>
          <cell r="L255">
            <v>28.78</v>
          </cell>
          <cell r="M255">
            <v>28.78</v>
          </cell>
          <cell r="N255">
            <v>28.78</v>
          </cell>
          <cell r="O255">
            <v>28.78</v>
          </cell>
          <cell r="P255">
            <v>28.78</v>
          </cell>
          <cell r="Q255">
            <v>28.78</v>
          </cell>
          <cell r="R255">
            <v>28.78</v>
          </cell>
          <cell r="S255">
            <v>28.78</v>
          </cell>
          <cell r="T255">
            <v>28.78</v>
          </cell>
          <cell r="U255">
            <v>28.78</v>
          </cell>
          <cell r="V255">
            <v>28.78</v>
          </cell>
          <cell r="W255">
            <v>28.78</v>
          </cell>
          <cell r="X255">
            <v>28.78</v>
          </cell>
          <cell r="Y255">
            <v>28.78</v>
          </cell>
        </row>
        <row r="256">
          <cell r="A256" t="str">
            <v>210v</v>
          </cell>
          <cell r="B256">
            <v>29.52</v>
          </cell>
          <cell r="C256">
            <v>29.52</v>
          </cell>
          <cell r="D256">
            <v>29.52</v>
          </cell>
          <cell r="E256">
            <v>29.52</v>
          </cell>
          <cell r="F256">
            <v>29.52</v>
          </cell>
          <cell r="G256">
            <v>29.52</v>
          </cell>
          <cell r="H256">
            <v>29.52</v>
          </cell>
          <cell r="I256">
            <v>29.52</v>
          </cell>
          <cell r="J256">
            <v>29.52</v>
          </cell>
          <cell r="K256">
            <v>29.52</v>
          </cell>
          <cell r="L256">
            <v>29.52</v>
          </cell>
          <cell r="M256">
            <v>29.52</v>
          </cell>
          <cell r="N256">
            <v>29.52</v>
          </cell>
          <cell r="O256">
            <v>29.52</v>
          </cell>
          <cell r="P256">
            <v>29.52</v>
          </cell>
          <cell r="Q256">
            <v>29.52</v>
          </cell>
          <cell r="R256">
            <v>29.52</v>
          </cell>
          <cell r="S256">
            <v>29.52</v>
          </cell>
          <cell r="T256">
            <v>29.52</v>
          </cell>
          <cell r="U256">
            <v>29.52</v>
          </cell>
          <cell r="V256">
            <v>29.52</v>
          </cell>
          <cell r="W256">
            <v>29.52</v>
          </cell>
          <cell r="X256">
            <v>29.52</v>
          </cell>
          <cell r="Y256">
            <v>29.52</v>
          </cell>
        </row>
        <row r="257">
          <cell r="A257" t="str">
            <v>264n</v>
          </cell>
          <cell r="B257">
            <v>37.81</v>
          </cell>
          <cell r="C257">
            <v>37.81</v>
          </cell>
          <cell r="D257">
            <v>37.81</v>
          </cell>
          <cell r="E257">
            <v>37.81</v>
          </cell>
          <cell r="F257">
            <v>37.81</v>
          </cell>
          <cell r="G257">
            <v>37.81</v>
          </cell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</row>
        <row r="258">
          <cell r="A258" t="str">
            <v>264n</v>
          </cell>
          <cell r="B258">
            <v>36.53</v>
          </cell>
          <cell r="C258">
            <v>36.53</v>
          </cell>
          <cell r="D258">
            <v>36.53</v>
          </cell>
          <cell r="E258">
            <v>36.53</v>
          </cell>
          <cell r="F258">
            <v>36.53</v>
          </cell>
          <cell r="G258">
            <v>36.53</v>
          </cell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</row>
        <row r="259">
          <cell r="A259" t="str">
            <v>B41</v>
          </cell>
          <cell r="B259"/>
          <cell r="C259"/>
          <cell r="D259"/>
          <cell r="E259"/>
          <cell r="F259"/>
          <cell r="G259">
            <v>21.28</v>
          </cell>
          <cell r="H259">
            <v>21.28</v>
          </cell>
          <cell r="I259">
            <v>21.28</v>
          </cell>
          <cell r="J259">
            <v>21.28</v>
          </cell>
          <cell r="K259">
            <v>21.28</v>
          </cell>
          <cell r="L259">
            <v>21.28</v>
          </cell>
          <cell r="M259">
            <v>21.28</v>
          </cell>
          <cell r="N259">
            <v>21.28</v>
          </cell>
          <cell r="O259">
            <v>21.28</v>
          </cell>
          <cell r="P259">
            <v>21.28</v>
          </cell>
          <cell r="Q259">
            <v>21.28</v>
          </cell>
          <cell r="R259">
            <v>21.28</v>
          </cell>
          <cell r="S259">
            <v>21.28</v>
          </cell>
          <cell r="T259">
            <v>21.28</v>
          </cell>
          <cell r="U259">
            <v>21.28</v>
          </cell>
          <cell r="V259">
            <v>21.28</v>
          </cell>
          <cell r="W259">
            <v>21.28</v>
          </cell>
          <cell r="X259">
            <v>21.28</v>
          </cell>
          <cell r="Y259">
            <v>21.28</v>
          </cell>
        </row>
        <row r="260">
          <cell r="A260" t="str">
            <v>H05</v>
          </cell>
          <cell r="B260"/>
          <cell r="C260"/>
          <cell r="D260"/>
          <cell r="E260"/>
          <cell r="F260"/>
          <cell r="G260">
            <v>14.69</v>
          </cell>
          <cell r="H260">
            <v>14.69</v>
          </cell>
          <cell r="I260">
            <v>14.69</v>
          </cell>
          <cell r="J260">
            <v>14.69</v>
          </cell>
          <cell r="K260">
            <v>14.69</v>
          </cell>
          <cell r="L260">
            <v>14.69</v>
          </cell>
          <cell r="M260">
            <v>14.69</v>
          </cell>
          <cell r="N260">
            <v>14.69</v>
          </cell>
          <cell r="O260">
            <v>14.69</v>
          </cell>
          <cell r="P260">
            <v>14.69</v>
          </cell>
          <cell r="Q260">
            <v>14.69</v>
          </cell>
          <cell r="R260">
            <v>14.69</v>
          </cell>
          <cell r="S260">
            <v>14.69</v>
          </cell>
          <cell r="T260">
            <v>14.69</v>
          </cell>
          <cell r="U260">
            <v>14.69</v>
          </cell>
          <cell r="V260">
            <v>14.69</v>
          </cell>
          <cell r="W260">
            <v>14.69</v>
          </cell>
          <cell r="X260">
            <v>14.69</v>
          </cell>
          <cell r="Y260">
            <v>14.69</v>
          </cell>
        </row>
        <row r="261">
          <cell r="A261" t="str">
            <v>H05</v>
          </cell>
          <cell r="B261"/>
          <cell r="C261"/>
          <cell r="D261"/>
          <cell r="E261"/>
          <cell r="F261"/>
          <cell r="G261">
            <v>15.52</v>
          </cell>
          <cell r="H261">
            <v>15.520000000000001</v>
          </cell>
          <cell r="I261">
            <v>15.52</v>
          </cell>
          <cell r="J261">
            <v>15.520000000000001</v>
          </cell>
          <cell r="K261">
            <v>15.52</v>
          </cell>
          <cell r="L261">
            <v>15.52</v>
          </cell>
          <cell r="M261">
            <v>15.520000000000001</v>
          </cell>
          <cell r="N261">
            <v>15.52</v>
          </cell>
          <cell r="O261">
            <v>15.52</v>
          </cell>
          <cell r="P261">
            <v>15.520000000000001</v>
          </cell>
          <cell r="Q261">
            <v>15.52</v>
          </cell>
          <cell r="R261">
            <v>15.52</v>
          </cell>
          <cell r="S261">
            <v>15.52</v>
          </cell>
          <cell r="T261">
            <v>15.52</v>
          </cell>
          <cell r="U261">
            <v>15.52</v>
          </cell>
          <cell r="V261">
            <v>15.520000000000001</v>
          </cell>
          <cell r="W261">
            <v>15.520000000000001</v>
          </cell>
          <cell r="X261">
            <v>15.520000000000001</v>
          </cell>
          <cell r="Y261"/>
        </row>
        <row r="262">
          <cell r="A262" t="str">
            <v>H09</v>
          </cell>
          <cell r="B262"/>
          <cell r="C262"/>
          <cell r="D262"/>
          <cell r="E262"/>
          <cell r="F262"/>
          <cell r="G262">
            <v>14.39</v>
          </cell>
          <cell r="H262">
            <v>14.39</v>
          </cell>
          <cell r="I262">
            <v>14.39</v>
          </cell>
          <cell r="J262">
            <v>14.39</v>
          </cell>
          <cell r="K262">
            <v>14.39</v>
          </cell>
          <cell r="L262">
            <v>14.39</v>
          </cell>
          <cell r="M262">
            <v>14.39</v>
          </cell>
          <cell r="N262">
            <v>14.39</v>
          </cell>
          <cell r="O262">
            <v>14.39</v>
          </cell>
          <cell r="P262">
            <v>14.39</v>
          </cell>
          <cell r="Q262">
            <v>14.39</v>
          </cell>
          <cell r="R262">
            <v>14.39</v>
          </cell>
          <cell r="S262">
            <v>14.39</v>
          </cell>
          <cell r="T262">
            <v>14.39</v>
          </cell>
          <cell r="U262">
            <v>14.39</v>
          </cell>
          <cell r="V262">
            <v>14.39</v>
          </cell>
          <cell r="W262">
            <v>14.39</v>
          </cell>
          <cell r="X262">
            <v>14.39</v>
          </cell>
          <cell r="Y262">
            <v>14.39</v>
          </cell>
        </row>
        <row r="263">
          <cell r="A263" t="str">
            <v>H09</v>
          </cell>
          <cell r="B263"/>
          <cell r="C263"/>
          <cell r="D263"/>
          <cell r="E263"/>
          <cell r="F263"/>
          <cell r="G263">
            <v>14.4</v>
          </cell>
          <cell r="H263">
            <v>14.4</v>
          </cell>
          <cell r="I263">
            <v>14.4</v>
          </cell>
          <cell r="J263">
            <v>14.4</v>
          </cell>
          <cell r="K263">
            <v>14.4</v>
          </cell>
          <cell r="L263">
            <v>14.4</v>
          </cell>
          <cell r="M263">
            <v>14.4</v>
          </cell>
          <cell r="N263">
            <v>14.4</v>
          </cell>
          <cell r="O263">
            <v>14.4</v>
          </cell>
          <cell r="P263">
            <v>14.4</v>
          </cell>
          <cell r="Q263">
            <v>14.4</v>
          </cell>
          <cell r="R263">
            <v>14.4</v>
          </cell>
          <cell r="S263">
            <v>14.4</v>
          </cell>
          <cell r="T263">
            <v>14.4</v>
          </cell>
          <cell r="U263">
            <v>14.4</v>
          </cell>
          <cell r="V263">
            <v>14.4</v>
          </cell>
          <cell r="W263">
            <v>14.4</v>
          </cell>
          <cell r="X263">
            <v>14.4</v>
          </cell>
          <cell r="Y263">
            <v>14.4</v>
          </cell>
        </row>
        <row r="264">
          <cell r="A264" t="str">
            <v>H24</v>
          </cell>
          <cell r="B264"/>
          <cell r="C264"/>
          <cell r="D264"/>
          <cell r="E264"/>
          <cell r="F264"/>
          <cell r="G264">
            <v>21.05</v>
          </cell>
          <cell r="H264">
            <v>21.05</v>
          </cell>
          <cell r="I264">
            <v>21.05</v>
          </cell>
          <cell r="J264">
            <v>21.05</v>
          </cell>
          <cell r="K264">
            <v>21.05</v>
          </cell>
          <cell r="L264">
            <v>21.05</v>
          </cell>
          <cell r="M264">
            <v>21.05</v>
          </cell>
          <cell r="N264">
            <v>21.05</v>
          </cell>
          <cell r="O264">
            <v>21.05</v>
          </cell>
          <cell r="P264">
            <v>21.05</v>
          </cell>
          <cell r="Q264">
            <v>21.05</v>
          </cell>
          <cell r="R264">
            <v>21.05</v>
          </cell>
          <cell r="S264">
            <v>21.05</v>
          </cell>
          <cell r="T264">
            <v>21.05</v>
          </cell>
          <cell r="U264">
            <v>21.05</v>
          </cell>
          <cell r="V264">
            <v>21.05</v>
          </cell>
          <cell r="W264">
            <v>21.05</v>
          </cell>
          <cell r="X264">
            <v>21.05</v>
          </cell>
          <cell r="Y264">
            <v>21.05</v>
          </cell>
        </row>
        <row r="265">
          <cell r="A265" t="str">
            <v>H24</v>
          </cell>
          <cell r="B265"/>
          <cell r="C265"/>
          <cell r="D265"/>
          <cell r="E265"/>
          <cell r="F265"/>
          <cell r="G265">
            <v>21.65</v>
          </cell>
          <cell r="H265">
            <v>21.65</v>
          </cell>
          <cell r="I265">
            <v>21.65</v>
          </cell>
          <cell r="J265">
            <v>21.65</v>
          </cell>
          <cell r="K265">
            <v>21.65</v>
          </cell>
          <cell r="L265">
            <v>21.65</v>
          </cell>
          <cell r="M265">
            <v>21.65</v>
          </cell>
          <cell r="N265">
            <v>21.65</v>
          </cell>
          <cell r="O265">
            <v>21.65</v>
          </cell>
          <cell r="P265">
            <v>21.65</v>
          </cell>
          <cell r="Q265">
            <v>21.65</v>
          </cell>
          <cell r="R265">
            <v>21.65</v>
          </cell>
          <cell r="S265">
            <v>21.65</v>
          </cell>
          <cell r="T265">
            <v>21.65</v>
          </cell>
          <cell r="U265">
            <v>21.65</v>
          </cell>
          <cell r="V265">
            <v>21.65</v>
          </cell>
          <cell r="W265">
            <v>21.65</v>
          </cell>
          <cell r="X265">
            <v>21.649999999999995</v>
          </cell>
          <cell r="Y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</row>
        <row r="456">
          <cell r="A456" t="str">
            <v>MH</v>
          </cell>
          <cell r="B456">
            <v>0</v>
          </cell>
          <cell r="C456">
            <v>4.1666666666666664E-2</v>
          </cell>
          <cell r="D456">
            <v>8.3333333333333301E-2</v>
          </cell>
          <cell r="E456">
            <v>0.125</v>
          </cell>
          <cell r="F456">
            <v>0.16666666666666699</v>
          </cell>
          <cell r="G456">
            <v>0.20833333333333301</v>
          </cell>
          <cell r="H456">
            <v>0.25</v>
          </cell>
          <cell r="I456">
            <v>0.29166666666666702</v>
          </cell>
          <cell r="J456">
            <v>0.33333333333333298</v>
          </cell>
          <cell r="K456">
            <v>0.375</v>
          </cell>
          <cell r="L456">
            <v>0.41666666666666702</v>
          </cell>
          <cell r="M456">
            <v>0.45833333333333298</v>
          </cell>
          <cell r="N456">
            <v>0.5</v>
          </cell>
          <cell r="O456">
            <v>0.54166666666666696</v>
          </cell>
          <cell r="P456">
            <v>0.58333333333333304</v>
          </cell>
          <cell r="Q456">
            <v>0.625</v>
          </cell>
          <cell r="R456">
            <v>0.66666666666666696</v>
          </cell>
          <cell r="S456">
            <v>0.70833333333333304</v>
          </cell>
          <cell r="T456">
            <v>0.75</v>
          </cell>
          <cell r="U456">
            <v>0.79166666666666696</v>
          </cell>
          <cell r="V456">
            <v>0.83333333333333304</v>
          </cell>
          <cell r="W456">
            <v>0.875</v>
          </cell>
          <cell r="X456">
            <v>0.91666666666666696</v>
          </cell>
          <cell r="Y456">
            <v>0.95833333333333304</v>
          </cell>
        </row>
        <row r="457">
          <cell r="A457" t="str">
            <v>LP</v>
          </cell>
          <cell r="B457">
            <v>1</v>
          </cell>
          <cell r="C457">
            <v>1</v>
          </cell>
          <cell r="D457">
            <v>1</v>
          </cell>
          <cell r="E457">
            <v>1</v>
          </cell>
          <cell r="F457">
            <v>1</v>
          </cell>
          <cell r="G457">
            <v>1</v>
          </cell>
          <cell r="H457">
            <v>1</v>
          </cell>
          <cell r="I457">
            <v>1</v>
          </cell>
          <cell r="J457">
            <v>1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O457">
            <v>1</v>
          </cell>
          <cell r="P457">
            <v>1</v>
          </cell>
          <cell r="Q457">
            <v>1</v>
          </cell>
          <cell r="R457">
            <v>1</v>
          </cell>
          <cell r="S457">
            <v>1</v>
          </cell>
          <cell r="T457">
            <v>1</v>
          </cell>
          <cell r="U457">
            <v>1</v>
          </cell>
          <cell r="V457">
            <v>1</v>
          </cell>
          <cell r="W457">
            <v>1</v>
          </cell>
          <cell r="X457">
            <v>1</v>
          </cell>
          <cell r="Y457">
            <v>1</v>
          </cell>
        </row>
        <row r="458">
          <cell r="A458">
            <v>201</v>
          </cell>
          <cell r="B458">
            <v>33.520000000000003</v>
          </cell>
          <cell r="C458">
            <v>33.520000000000003</v>
          </cell>
          <cell r="D458">
            <v>33.520000000000003</v>
          </cell>
          <cell r="E458">
            <v>33.520000000000003</v>
          </cell>
          <cell r="F458">
            <v>33.520000000000003</v>
          </cell>
          <cell r="G458">
            <v>33.520000000000003</v>
          </cell>
          <cell r="H458">
            <v>33.520000000000003</v>
          </cell>
          <cell r="I458">
            <v>33.520000000000003</v>
          </cell>
          <cell r="J458">
            <v>33.520000000000003</v>
          </cell>
          <cell r="K458">
            <v>33.520000000000003</v>
          </cell>
          <cell r="L458">
            <v>33.520000000000003</v>
          </cell>
          <cell r="M458">
            <v>33.520000000000003</v>
          </cell>
          <cell r="N458">
            <v>33.520000000000003</v>
          </cell>
          <cell r="O458">
            <v>33.520000000000003</v>
          </cell>
          <cell r="P458">
            <v>33.520000000000003</v>
          </cell>
          <cell r="Q458">
            <v>33.520000000000003</v>
          </cell>
          <cell r="R458">
            <v>33.520000000000003</v>
          </cell>
          <cell r="S458">
            <v>33.520000000000003</v>
          </cell>
          <cell r="T458">
            <v>33.520000000000003</v>
          </cell>
          <cell r="U458">
            <v>33.520000000000003</v>
          </cell>
          <cell r="V458">
            <v>33.520000000000003</v>
          </cell>
          <cell r="W458">
            <v>33.520000000000003</v>
          </cell>
          <cell r="X458">
            <v>33.520000000000003</v>
          </cell>
          <cell r="Y458">
            <v>33.520000000000003</v>
          </cell>
        </row>
        <row r="459">
          <cell r="A459">
            <v>201</v>
          </cell>
          <cell r="B459">
            <v>32.93</v>
          </cell>
          <cell r="C459">
            <v>32.93</v>
          </cell>
          <cell r="D459">
            <v>32.93</v>
          </cell>
          <cell r="E459">
            <v>32.93</v>
          </cell>
          <cell r="F459">
            <v>32.93</v>
          </cell>
          <cell r="G459">
            <v>32.93</v>
          </cell>
          <cell r="H459">
            <v>32.93</v>
          </cell>
          <cell r="I459">
            <v>32.93</v>
          </cell>
          <cell r="J459">
            <v>32.93</v>
          </cell>
          <cell r="K459">
            <v>32.93</v>
          </cell>
          <cell r="L459">
            <v>32.93</v>
          </cell>
          <cell r="M459">
            <v>32.93</v>
          </cell>
          <cell r="N459">
            <v>32.93</v>
          </cell>
          <cell r="O459">
            <v>32.93</v>
          </cell>
          <cell r="P459">
            <v>32.93</v>
          </cell>
          <cell r="Q459">
            <v>32.93</v>
          </cell>
          <cell r="R459">
            <v>32.93</v>
          </cell>
          <cell r="S459">
            <v>32.93</v>
          </cell>
          <cell r="T459">
            <v>32.93</v>
          </cell>
          <cell r="U459">
            <v>32.93</v>
          </cell>
          <cell r="V459">
            <v>32.93</v>
          </cell>
          <cell r="W459">
            <v>32.93</v>
          </cell>
          <cell r="X459">
            <v>32.93</v>
          </cell>
          <cell r="Y459">
            <v>32.93</v>
          </cell>
        </row>
        <row r="460">
          <cell r="A460">
            <v>204</v>
          </cell>
          <cell r="B460"/>
          <cell r="C460"/>
          <cell r="D460"/>
          <cell r="E460"/>
          <cell r="F460"/>
          <cell r="G460">
            <v>25.16</v>
          </cell>
          <cell r="H460">
            <v>25.16</v>
          </cell>
          <cell r="I460">
            <v>25.16</v>
          </cell>
          <cell r="J460">
            <v>25.16</v>
          </cell>
          <cell r="K460">
            <v>25.16</v>
          </cell>
          <cell r="L460">
            <v>25.16</v>
          </cell>
          <cell r="M460">
            <v>25.16</v>
          </cell>
          <cell r="N460">
            <v>25.16</v>
          </cell>
          <cell r="O460">
            <v>25.16</v>
          </cell>
          <cell r="P460">
            <v>25.16</v>
          </cell>
          <cell r="Q460">
            <v>25.16</v>
          </cell>
          <cell r="R460">
            <v>25.16</v>
          </cell>
          <cell r="S460">
            <v>25.16</v>
          </cell>
          <cell r="T460">
            <v>25.16</v>
          </cell>
          <cell r="U460">
            <v>25.16</v>
          </cell>
          <cell r="V460">
            <v>25.16</v>
          </cell>
          <cell r="W460">
            <v>25.16</v>
          </cell>
          <cell r="X460">
            <v>25.16</v>
          </cell>
          <cell r="Y460">
            <v>25.16</v>
          </cell>
        </row>
        <row r="461">
          <cell r="A461">
            <v>204</v>
          </cell>
          <cell r="B461"/>
          <cell r="C461"/>
          <cell r="D461"/>
          <cell r="E461"/>
          <cell r="F461"/>
          <cell r="G461">
            <v>24.899999999999995</v>
          </cell>
          <cell r="H461">
            <v>24.9</v>
          </cell>
          <cell r="I461">
            <v>24.900000000000002</v>
          </cell>
          <cell r="J461">
            <v>24.900000000000002</v>
          </cell>
          <cell r="K461">
            <v>24.900000000000002</v>
          </cell>
          <cell r="L461">
            <v>24.900000000000002</v>
          </cell>
          <cell r="M461">
            <v>24.900000000000002</v>
          </cell>
          <cell r="N461">
            <v>24.900000000000002</v>
          </cell>
          <cell r="O461">
            <v>24.900000000000002</v>
          </cell>
          <cell r="P461">
            <v>24.900000000000002</v>
          </cell>
          <cell r="Q461">
            <v>24.900000000000002</v>
          </cell>
          <cell r="R461">
            <v>24.900000000000002</v>
          </cell>
          <cell r="S461">
            <v>24.900000000000002</v>
          </cell>
          <cell r="T461">
            <v>24.900000000000002</v>
          </cell>
          <cell r="U461">
            <v>24.9</v>
          </cell>
          <cell r="V461">
            <v>24.9</v>
          </cell>
          <cell r="W461">
            <v>24.9</v>
          </cell>
          <cell r="X461">
            <v>24.9</v>
          </cell>
          <cell r="Y461">
            <v>24.899999999999995</v>
          </cell>
        </row>
        <row r="462">
          <cell r="A462">
            <v>205</v>
          </cell>
          <cell r="B462">
            <v>25.149999999999995</v>
          </cell>
          <cell r="C462"/>
          <cell r="D462"/>
          <cell r="E462"/>
          <cell r="F462"/>
          <cell r="G462">
            <v>25.15</v>
          </cell>
          <cell r="H462">
            <v>25.15</v>
          </cell>
          <cell r="I462">
            <v>25.15</v>
          </cell>
          <cell r="J462">
            <v>25.15</v>
          </cell>
          <cell r="K462">
            <v>25.15</v>
          </cell>
          <cell r="L462">
            <v>25.15</v>
          </cell>
          <cell r="M462">
            <v>25.15</v>
          </cell>
          <cell r="N462">
            <v>25.15</v>
          </cell>
          <cell r="O462">
            <v>25.15</v>
          </cell>
          <cell r="P462">
            <v>25.15</v>
          </cell>
          <cell r="Q462">
            <v>25.15</v>
          </cell>
          <cell r="R462">
            <v>25.15</v>
          </cell>
          <cell r="S462">
            <v>25.15</v>
          </cell>
          <cell r="T462">
            <v>25.15</v>
          </cell>
          <cell r="U462">
            <v>25.15</v>
          </cell>
          <cell r="V462">
            <v>25.15</v>
          </cell>
          <cell r="W462">
            <v>25.15</v>
          </cell>
          <cell r="X462">
            <v>25.15</v>
          </cell>
          <cell r="Y462">
            <v>25.149999999999995</v>
          </cell>
        </row>
        <row r="463">
          <cell r="A463">
            <v>205</v>
          </cell>
          <cell r="B463">
            <v>24.19</v>
          </cell>
          <cell r="C463"/>
          <cell r="D463"/>
          <cell r="E463"/>
          <cell r="F463"/>
          <cell r="G463">
            <v>24.19</v>
          </cell>
          <cell r="H463">
            <v>24.19</v>
          </cell>
          <cell r="I463">
            <v>24.19</v>
          </cell>
          <cell r="J463">
            <v>24.19</v>
          </cell>
          <cell r="K463">
            <v>24.19</v>
          </cell>
          <cell r="L463">
            <v>24.19</v>
          </cell>
          <cell r="M463">
            <v>24.19</v>
          </cell>
          <cell r="N463">
            <v>24.19</v>
          </cell>
          <cell r="O463">
            <v>24.19</v>
          </cell>
          <cell r="P463">
            <v>24.19</v>
          </cell>
          <cell r="Q463">
            <v>24.19</v>
          </cell>
          <cell r="R463">
            <v>24.19</v>
          </cell>
          <cell r="S463">
            <v>24.19</v>
          </cell>
          <cell r="T463">
            <v>24.19</v>
          </cell>
          <cell r="U463">
            <v>24.19</v>
          </cell>
          <cell r="V463">
            <v>24.19</v>
          </cell>
          <cell r="W463">
            <v>24.19</v>
          </cell>
          <cell r="X463">
            <v>24.19</v>
          </cell>
          <cell r="Y463">
            <v>24.19</v>
          </cell>
        </row>
        <row r="464">
          <cell r="A464">
            <v>210</v>
          </cell>
          <cell r="B464">
            <v>27.820000000000004</v>
          </cell>
          <cell r="C464">
            <v>27.82</v>
          </cell>
          <cell r="D464">
            <v>27.82</v>
          </cell>
          <cell r="E464">
            <v>27.82</v>
          </cell>
          <cell r="F464">
            <v>27.82</v>
          </cell>
          <cell r="G464">
            <v>27.820000000000004</v>
          </cell>
          <cell r="H464">
            <v>27.82</v>
          </cell>
          <cell r="I464">
            <v>27.82</v>
          </cell>
          <cell r="J464">
            <v>27.82</v>
          </cell>
          <cell r="K464">
            <v>27.82</v>
          </cell>
          <cell r="L464">
            <v>27.819999999999997</v>
          </cell>
          <cell r="M464">
            <v>27.82</v>
          </cell>
          <cell r="N464">
            <v>27.819999999999997</v>
          </cell>
          <cell r="O464">
            <v>27.819999999999997</v>
          </cell>
          <cell r="P464">
            <v>27.82</v>
          </cell>
          <cell r="Q464">
            <v>27.82</v>
          </cell>
          <cell r="R464">
            <v>27.82</v>
          </cell>
          <cell r="S464">
            <v>27.82</v>
          </cell>
          <cell r="T464">
            <v>27.819999999999997</v>
          </cell>
          <cell r="U464">
            <v>27.819999999999997</v>
          </cell>
          <cell r="V464">
            <v>27.819999999999997</v>
          </cell>
          <cell r="W464">
            <v>27.819999999999997</v>
          </cell>
          <cell r="X464">
            <v>27.82</v>
          </cell>
          <cell r="Y464">
            <v>27.82</v>
          </cell>
        </row>
        <row r="465">
          <cell r="A465">
            <v>210</v>
          </cell>
          <cell r="B465">
            <v>27.87</v>
          </cell>
          <cell r="C465">
            <v>27.87</v>
          </cell>
          <cell r="D465">
            <v>27.87</v>
          </cell>
          <cell r="E465">
            <v>27.87</v>
          </cell>
          <cell r="F465">
            <v>27.87</v>
          </cell>
          <cell r="G465">
            <v>27.869999999999997</v>
          </cell>
          <cell r="H465">
            <v>27.87</v>
          </cell>
          <cell r="I465">
            <v>27.869999999999997</v>
          </cell>
          <cell r="J465">
            <v>27.869999999999997</v>
          </cell>
          <cell r="K465">
            <v>27.87</v>
          </cell>
          <cell r="L465">
            <v>27.87</v>
          </cell>
          <cell r="M465">
            <v>27.87</v>
          </cell>
          <cell r="N465">
            <v>27.87</v>
          </cell>
          <cell r="O465">
            <v>27.87</v>
          </cell>
          <cell r="P465">
            <v>27.869999999999997</v>
          </cell>
          <cell r="Q465">
            <v>27.869999999999997</v>
          </cell>
          <cell r="R465">
            <v>27.869999999999997</v>
          </cell>
          <cell r="S465">
            <v>27.869999999999997</v>
          </cell>
          <cell r="T465">
            <v>27.87</v>
          </cell>
          <cell r="U465">
            <v>27.87</v>
          </cell>
          <cell r="V465">
            <v>27.87</v>
          </cell>
          <cell r="W465">
            <v>27.87</v>
          </cell>
          <cell r="X465">
            <v>27.869999999999997</v>
          </cell>
          <cell r="Y465">
            <v>27.87</v>
          </cell>
        </row>
        <row r="466">
          <cell r="A466">
            <v>214</v>
          </cell>
          <cell r="B466"/>
          <cell r="C466"/>
          <cell r="D466"/>
          <cell r="E466"/>
          <cell r="F466"/>
          <cell r="G466">
            <v>28.18</v>
          </cell>
          <cell r="H466">
            <v>28.18</v>
          </cell>
          <cell r="I466">
            <v>28.18</v>
          </cell>
          <cell r="J466">
            <v>28.18</v>
          </cell>
          <cell r="K466">
            <v>28.18</v>
          </cell>
          <cell r="L466">
            <v>28.18</v>
          </cell>
          <cell r="M466">
            <v>28.180000000000003</v>
          </cell>
          <cell r="N466">
            <v>28.18</v>
          </cell>
          <cell r="O466">
            <v>28.18</v>
          </cell>
          <cell r="P466">
            <v>28.18</v>
          </cell>
          <cell r="Q466">
            <v>28.18</v>
          </cell>
          <cell r="R466">
            <v>28.18</v>
          </cell>
          <cell r="S466">
            <v>28.18</v>
          </cell>
          <cell r="T466">
            <v>28.18</v>
          </cell>
          <cell r="U466">
            <v>28.18</v>
          </cell>
          <cell r="V466">
            <v>28.18</v>
          </cell>
          <cell r="W466">
            <v>28.18</v>
          </cell>
          <cell r="X466">
            <v>28.18</v>
          </cell>
          <cell r="Y466">
            <v>28.179999999999996</v>
          </cell>
        </row>
        <row r="467">
          <cell r="A467">
            <v>214</v>
          </cell>
          <cell r="B467"/>
          <cell r="C467"/>
          <cell r="D467"/>
          <cell r="E467"/>
          <cell r="F467"/>
          <cell r="G467">
            <v>25.94</v>
          </cell>
          <cell r="H467">
            <v>25.94</v>
          </cell>
          <cell r="I467">
            <v>25.94</v>
          </cell>
          <cell r="J467">
            <v>25.94</v>
          </cell>
          <cell r="K467">
            <v>25.940000000000005</v>
          </cell>
          <cell r="L467">
            <v>25.940000000000005</v>
          </cell>
          <cell r="M467">
            <v>25.94</v>
          </cell>
          <cell r="N467">
            <v>25.940000000000005</v>
          </cell>
          <cell r="O467">
            <v>25.940000000000005</v>
          </cell>
          <cell r="P467">
            <v>25.94</v>
          </cell>
          <cell r="Q467">
            <v>25.940000000000005</v>
          </cell>
          <cell r="R467">
            <v>25.940000000000005</v>
          </cell>
          <cell r="S467">
            <v>25.940000000000005</v>
          </cell>
          <cell r="T467">
            <v>25.940000000000005</v>
          </cell>
          <cell r="U467">
            <v>25.940000000000005</v>
          </cell>
          <cell r="V467">
            <v>25.94</v>
          </cell>
          <cell r="W467">
            <v>25.94</v>
          </cell>
          <cell r="X467">
            <v>25.94</v>
          </cell>
          <cell r="Y467">
            <v>25.94</v>
          </cell>
        </row>
        <row r="468">
          <cell r="A468">
            <v>224</v>
          </cell>
          <cell r="B468"/>
          <cell r="C468"/>
          <cell r="D468"/>
          <cell r="E468"/>
          <cell r="F468"/>
          <cell r="G468"/>
          <cell r="H468">
            <v>20.04</v>
          </cell>
          <cell r="I468">
            <v>20.04</v>
          </cell>
          <cell r="J468">
            <v>20.04</v>
          </cell>
          <cell r="K468">
            <v>20.04</v>
          </cell>
          <cell r="L468">
            <v>20.04</v>
          </cell>
          <cell r="M468">
            <v>20.04</v>
          </cell>
          <cell r="N468">
            <v>20.04</v>
          </cell>
          <cell r="O468">
            <v>20.039999999999996</v>
          </cell>
          <cell r="P468">
            <v>20.039999999999996</v>
          </cell>
          <cell r="Q468">
            <v>20.04</v>
          </cell>
          <cell r="R468">
            <v>20.039999999999996</v>
          </cell>
          <cell r="S468">
            <v>20.039999999999996</v>
          </cell>
          <cell r="T468">
            <v>20.039999999999996</v>
          </cell>
          <cell r="U468">
            <v>20.039999999999996</v>
          </cell>
          <cell r="V468">
            <v>20.039999999999996</v>
          </cell>
          <cell r="W468">
            <v>20.04</v>
          </cell>
          <cell r="X468">
            <v>20.04</v>
          </cell>
          <cell r="Y468">
            <v>20.04</v>
          </cell>
        </row>
        <row r="469">
          <cell r="A469">
            <v>224</v>
          </cell>
          <cell r="B469"/>
          <cell r="C469"/>
          <cell r="D469"/>
          <cell r="E469"/>
          <cell r="F469"/>
          <cell r="G469">
            <v>20.12</v>
          </cell>
          <cell r="H469">
            <v>20.12</v>
          </cell>
          <cell r="I469">
            <v>20.12</v>
          </cell>
          <cell r="J469">
            <v>20.12</v>
          </cell>
          <cell r="K469">
            <v>20.12</v>
          </cell>
          <cell r="L469">
            <v>20.12</v>
          </cell>
          <cell r="M469">
            <v>20.12</v>
          </cell>
          <cell r="N469">
            <v>20.12</v>
          </cell>
          <cell r="O469">
            <v>20.12</v>
          </cell>
          <cell r="P469">
            <v>20.12</v>
          </cell>
          <cell r="Q469">
            <v>20.12</v>
          </cell>
          <cell r="R469">
            <v>20.12</v>
          </cell>
          <cell r="S469">
            <v>20.12</v>
          </cell>
          <cell r="T469">
            <v>20.12</v>
          </cell>
          <cell r="U469">
            <v>20.12</v>
          </cell>
          <cell r="V469">
            <v>20.12</v>
          </cell>
          <cell r="W469">
            <v>20.12</v>
          </cell>
          <cell r="X469">
            <v>20.12</v>
          </cell>
          <cell r="Y469"/>
        </row>
        <row r="470">
          <cell r="A470">
            <v>226</v>
          </cell>
          <cell r="B470">
            <v>28.66</v>
          </cell>
          <cell r="C470"/>
          <cell r="D470"/>
          <cell r="E470"/>
          <cell r="F470"/>
          <cell r="G470">
            <v>28.66</v>
          </cell>
          <cell r="H470">
            <v>28.66</v>
          </cell>
          <cell r="I470">
            <v>28.660000000000004</v>
          </cell>
          <cell r="J470">
            <v>28.66</v>
          </cell>
          <cell r="K470">
            <v>28.660000000000004</v>
          </cell>
          <cell r="L470">
            <v>28.660000000000004</v>
          </cell>
          <cell r="M470">
            <v>28.66</v>
          </cell>
          <cell r="N470">
            <v>28.660000000000004</v>
          </cell>
          <cell r="O470">
            <v>28.660000000000004</v>
          </cell>
          <cell r="P470">
            <v>28.660000000000004</v>
          </cell>
          <cell r="Q470">
            <v>28.660000000000004</v>
          </cell>
          <cell r="R470">
            <v>28.660000000000004</v>
          </cell>
          <cell r="S470">
            <v>28.660000000000004</v>
          </cell>
          <cell r="T470">
            <v>28.660000000000004</v>
          </cell>
          <cell r="U470">
            <v>28.660000000000004</v>
          </cell>
          <cell r="V470">
            <v>28.660000000000004</v>
          </cell>
          <cell r="W470">
            <v>28.66</v>
          </cell>
          <cell r="X470">
            <v>28.66</v>
          </cell>
          <cell r="Y470">
            <v>28.66</v>
          </cell>
        </row>
        <row r="471">
          <cell r="A471">
            <v>226</v>
          </cell>
          <cell r="B471">
            <v>28.07</v>
          </cell>
          <cell r="C471"/>
          <cell r="D471"/>
          <cell r="E471"/>
          <cell r="F471"/>
          <cell r="G471">
            <v>28.07</v>
          </cell>
          <cell r="H471">
            <v>28.07</v>
          </cell>
          <cell r="I471">
            <v>28.07</v>
          </cell>
          <cell r="J471">
            <v>28.07</v>
          </cell>
          <cell r="K471">
            <v>28.07</v>
          </cell>
          <cell r="L471">
            <v>28.07</v>
          </cell>
          <cell r="M471">
            <v>28.07</v>
          </cell>
          <cell r="N471">
            <v>28.07</v>
          </cell>
          <cell r="O471">
            <v>28.07</v>
          </cell>
          <cell r="P471">
            <v>28.07</v>
          </cell>
          <cell r="Q471">
            <v>28.07</v>
          </cell>
          <cell r="R471">
            <v>28.07</v>
          </cell>
          <cell r="S471">
            <v>28.07</v>
          </cell>
          <cell r="T471">
            <v>28.07</v>
          </cell>
          <cell r="U471">
            <v>28.07</v>
          </cell>
          <cell r="V471">
            <v>28.07</v>
          </cell>
          <cell r="W471">
            <v>28.07</v>
          </cell>
          <cell r="X471">
            <v>28.07</v>
          </cell>
          <cell r="Y471">
            <v>28.07</v>
          </cell>
        </row>
        <row r="472">
          <cell r="A472">
            <v>227</v>
          </cell>
          <cell r="B472"/>
          <cell r="C472"/>
          <cell r="D472"/>
          <cell r="E472"/>
          <cell r="F472"/>
          <cell r="G472">
            <v>28.16</v>
          </cell>
          <cell r="H472">
            <v>28.16</v>
          </cell>
          <cell r="I472">
            <v>28.16</v>
          </cell>
          <cell r="J472">
            <v>28.16</v>
          </cell>
          <cell r="K472">
            <v>28.16</v>
          </cell>
          <cell r="L472">
            <v>28.16</v>
          </cell>
          <cell r="M472">
            <v>28.160000000000004</v>
          </cell>
          <cell r="N472">
            <v>28.160000000000004</v>
          </cell>
          <cell r="O472">
            <v>28.160000000000004</v>
          </cell>
          <cell r="P472">
            <v>28.160000000000004</v>
          </cell>
          <cell r="Q472">
            <v>28.160000000000004</v>
          </cell>
          <cell r="R472">
            <v>28.16</v>
          </cell>
          <cell r="S472">
            <v>28.16</v>
          </cell>
          <cell r="T472">
            <v>28.160000000000004</v>
          </cell>
          <cell r="U472">
            <v>28.160000000000004</v>
          </cell>
          <cell r="V472">
            <v>28.16</v>
          </cell>
          <cell r="W472">
            <v>28.16</v>
          </cell>
          <cell r="X472">
            <v>28.16</v>
          </cell>
          <cell r="Y472">
            <v>28.16</v>
          </cell>
        </row>
        <row r="473">
          <cell r="A473">
            <v>227</v>
          </cell>
          <cell r="B473"/>
          <cell r="C473"/>
          <cell r="D473"/>
          <cell r="E473"/>
          <cell r="F473"/>
          <cell r="G473">
            <v>27</v>
          </cell>
          <cell r="H473">
            <v>27</v>
          </cell>
          <cell r="I473">
            <v>27</v>
          </cell>
          <cell r="J473">
            <v>27</v>
          </cell>
          <cell r="K473">
            <v>27</v>
          </cell>
          <cell r="L473">
            <v>27</v>
          </cell>
          <cell r="M473">
            <v>27</v>
          </cell>
          <cell r="N473">
            <v>27</v>
          </cell>
          <cell r="O473">
            <v>27</v>
          </cell>
          <cell r="P473">
            <v>27</v>
          </cell>
          <cell r="Q473">
            <v>27</v>
          </cell>
          <cell r="R473">
            <v>27</v>
          </cell>
          <cell r="S473">
            <v>27</v>
          </cell>
          <cell r="T473">
            <v>27</v>
          </cell>
          <cell r="U473">
            <v>27</v>
          </cell>
          <cell r="V473">
            <v>27</v>
          </cell>
          <cell r="W473">
            <v>27</v>
          </cell>
          <cell r="X473">
            <v>27</v>
          </cell>
          <cell r="Y473">
            <v>27</v>
          </cell>
        </row>
        <row r="474">
          <cell r="A474">
            <v>230</v>
          </cell>
          <cell r="B474">
            <v>26.64</v>
          </cell>
          <cell r="C474">
            <v>26.64</v>
          </cell>
          <cell r="D474">
            <v>26.64</v>
          </cell>
          <cell r="E474">
            <v>26.64</v>
          </cell>
          <cell r="F474">
            <v>26.64</v>
          </cell>
          <cell r="G474">
            <v>26.64</v>
          </cell>
          <cell r="H474">
            <v>26.64</v>
          </cell>
          <cell r="I474">
            <v>26.64</v>
          </cell>
          <cell r="J474">
            <v>26.639999999999997</v>
          </cell>
          <cell r="K474">
            <v>26.639999999999997</v>
          </cell>
          <cell r="L474">
            <v>26.639999999999997</v>
          </cell>
          <cell r="M474">
            <v>26.64</v>
          </cell>
          <cell r="N474">
            <v>26.639999999999997</v>
          </cell>
          <cell r="O474">
            <v>26.64</v>
          </cell>
          <cell r="P474">
            <v>26.64</v>
          </cell>
          <cell r="Q474">
            <v>26.64</v>
          </cell>
          <cell r="R474">
            <v>26.64</v>
          </cell>
          <cell r="S474">
            <v>26.64</v>
          </cell>
          <cell r="T474">
            <v>26.64</v>
          </cell>
          <cell r="U474">
            <v>26.64</v>
          </cell>
          <cell r="V474">
            <v>26.64</v>
          </cell>
          <cell r="W474">
            <v>26.64</v>
          </cell>
          <cell r="X474">
            <v>26.64</v>
          </cell>
          <cell r="Y474">
            <v>26.64</v>
          </cell>
        </row>
        <row r="475">
          <cell r="A475">
            <v>272</v>
          </cell>
          <cell r="B475"/>
          <cell r="C475"/>
          <cell r="D475"/>
          <cell r="E475"/>
          <cell r="F475"/>
          <cell r="G475">
            <v>25.11</v>
          </cell>
          <cell r="H475">
            <v>25.11</v>
          </cell>
          <cell r="I475">
            <v>25.11</v>
          </cell>
          <cell r="J475">
            <v>25.11</v>
          </cell>
          <cell r="K475">
            <v>25.11</v>
          </cell>
          <cell r="L475">
            <v>25.11</v>
          </cell>
          <cell r="M475">
            <v>25.11</v>
          </cell>
          <cell r="N475">
            <v>25.11</v>
          </cell>
          <cell r="O475">
            <v>25.11</v>
          </cell>
          <cell r="P475">
            <v>25.11</v>
          </cell>
          <cell r="Q475">
            <v>25.11</v>
          </cell>
          <cell r="R475">
            <v>25.11</v>
          </cell>
          <cell r="S475">
            <v>25.11</v>
          </cell>
          <cell r="T475">
            <v>25.11</v>
          </cell>
          <cell r="U475">
            <v>25.11</v>
          </cell>
          <cell r="V475">
            <v>25.11</v>
          </cell>
          <cell r="W475">
            <v>25.11</v>
          </cell>
          <cell r="X475">
            <v>25.11</v>
          </cell>
          <cell r="Y475">
            <v>25.11</v>
          </cell>
        </row>
        <row r="476">
          <cell r="A476" t="str">
            <v>201e</v>
          </cell>
          <cell r="B476"/>
          <cell r="C476"/>
          <cell r="D476"/>
          <cell r="E476"/>
          <cell r="F476"/>
          <cell r="G476">
            <v>21.72</v>
          </cell>
          <cell r="H476">
            <v>21.72</v>
          </cell>
          <cell r="I476">
            <v>21.72</v>
          </cell>
          <cell r="J476">
            <v>21.72</v>
          </cell>
          <cell r="K476">
            <v>21.72</v>
          </cell>
          <cell r="L476">
            <v>21.72</v>
          </cell>
          <cell r="M476">
            <v>21.72</v>
          </cell>
          <cell r="N476">
            <v>21.72</v>
          </cell>
          <cell r="O476">
            <v>21.72</v>
          </cell>
          <cell r="P476">
            <v>21.72</v>
          </cell>
          <cell r="Q476">
            <v>21.72</v>
          </cell>
          <cell r="R476">
            <v>21.72</v>
          </cell>
          <cell r="S476">
            <v>21.72</v>
          </cell>
          <cell r="T476">
            <v>21.72</v>
          </cell>
          <cell r="U476">
            <v>21.72</v>
          </cell>
          <cell r="V476">
            <v>21.72</v>
          </cell>
          <cell r="W476">
            <v>21.72</v>
          </cell>
          <cell r="X476">
            <v>21.72</v>
          </cell>
          <cell r="Y476"/>
        </row>
        <row r="477">
          <cell r="A477" t="str">
            <v>201e</v>
          </cell>
          <cell r="B477"/>
          <cell r="C477"/>
          <cell r="D477"/>
          <cell r="E477"/>
          <cell r="F477"/>
          <cell r="G477">
            <v>22.3</v>
          </cell>
          <cell r="H477">
            <v>22.3</v>
          </cell>
          <cell r="I477">
            <v>22.3</v>
          </cell>
          <cell r="J477">
            <v>22.3</v>
          </cell>
          <cell r="K477">
            <v>22.3</v>
          </cell>
          <cell r="L477">
            <v>22.3</v>
          </cell>
          <cell r="M477">
            <v>22.3</v>
          </cell>
          <cell r="N477">
            <v>22.3</v>
          </cell>
          <cell r="O477">
            <v>22.3</v>
          </cell>
          <cell r="P477">
            <v>22.3</v>
          </cell>
          <cell r="Q477">
            <v>22.3</v>
          </cell>
          <cell r="R477">
            <v>22.3</v>
          </cell>
          <cell r="S477">
            <v>22.3</v>
          </cell>
          <cell r="T477">
            <v>22.3</v>
          </cell>
          <cell r="U477">
            <v>22.3</v>
          </cell>
          <cell r="V477">
            <v>22.3</v>
          </cell>
          <cell r="W477">
            <v>22.3</v>
          </cell>
          <cell r="X477">
            <v>22.3</v>
          </cell>
          <cell r="Y477"/>
        </row>
        <row r="478">
          <cell r="A478" t="str">
            <v>204n</v>
          </cell>
          <cell r="B478">
            <v>27.77</v>
          </cell>
          <cell r="C478">
            <v>27.77</v>
          </cell>
          <cell r="D478">
            <v>27.77</v>
          </cell>
          <cell r="E478">
            <v>27.77</v>
          </cell>
          <cell r="F478">
            <v>27.77</v>
          </cell>
          <cell r="G478">
            <v>27.77</v>
          </cell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</row>
        <row r="479">
          <cell r="A479" t="str">
            <v>204n</v>
          </cell>
          <cell r="B479">
            <v>26.95</v>
          </cell>
          <cell r="C479">
            <v>26.95</v>
          </cell>
          <cell r="D479">
            <v>26.95</v>
          </cell>
          <cell r="E479">
            <v>26.95</v>
          </cell>
          <cell r="F479">
            <v>26.95</v>
          </cell>
          <cell r="G479">
            <v>26.95</v>
          </cell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</row>
        <row r="480">
          <cell r="A480" t="str">
            <v>210v</v>
          </cell>
          <cell r="B480">
            <v>28.78</v>
          </cell>
          <cell r="C480">
            <v>28.78</v>
          </cell>
          <cell r="D480">
            <v>28.78</v>
          </cell>
          <cell r="E480">
            <v>28.78</v>
          </cell>
          <cell r="F480">
            <v>28.78</v>
          </cell>
          <cell r="G480">
            <v>28.78</v>
          </cell>
          <cell r="H480">
            <v>28.78</v>
          </cell>
          <cell r="I480">
            <v>28.78</v>
          </cell>
          <cell r="J480">
            <v>28.78</v>
          </cell>
          <cell r="K480">
            <v>28.78</v>
          </cell>
          <cell r="L480">
            <v>28.78</v>
          </cell>
          <cell r="M480">
            <v>28.78</v>
          </cell>
          <cell r="N480">
            <v>28.78</v>
          </cell>
          <cell r="O480">
            <v>28.78</v>
          </cell>
          <cell r="P480">
            <v>28.78</v>
          </cell>
          <cell r="Q480">
            <v>28.78</v>
          </cell>
          <cell r="R480">
            <v>28.78</v>
          </cell>
          <cell r="S480">
            <v>28.78</v>
          </cell>
          <cell r="T480">
            <v>28.78</v>
          </cell>
          <cell r="U480">
            <v>28.78</v>
          </cell>
          <cell r="V480">
            <v>28.78</v>
          </cell>
          <cell r="W480">
            <v>28.78</v>
          </cell>
          <cell r="X480">
            <v>28.78</v>
          </cell>
          <cell r="Y480">
            <v>28.78</v>
          </cell>
        </row>
        <row r="481">
          <cell r="A481" t="str">
            <v>210v</v>
          </cell>
          <cell r="B481">
            <v>29.52</v>
          </cell>
          <cell r="C481">
            <v>29.52</v>
          </cell>
          <cell r="D481">
            <v>29.52</v>
          </cell>
          <cell r="E481">
            <v>29.52</v>
          </cell>
          <cell r="F481">
            <v>29.52</v>
          </cell>
          <cell r="G481">
            <v>29.52</v>
          </cell>
          <cell r="H481">
            <v>29.52</v>
          </cell>
          <cell r="I481">
            <v>29.52</v>
          </cell>
          <cell r="J481">
            <v>29.52</v>
          </cell>
          <cell r="K481">
            <v>29.52</v>
          </cell>
          <cell r="L481">
            <v>29.52</v>
          </cell>
          <cell r="M481">
            <v>29.52</v>
          </cell>
          <cell r="N481">
            <v>29.52</v>
          </cell>
          <cell r="O481">
            <v>29.52</v>
          </cell>
          <cell r="P481">
            <v>29.52</v>
          </cell>
          <cell r="Q481">
            <v>29.52</v>
          </cell>
          <cell r="R481">
            <v>29.52</v>
          </cell>
          <cell r="S481">
            <v>29.52</v>
          </cell>
          <cell r="T481">
            <v>29.52</v>
          </cell>
          <cell r="U481">
            <v>29.52</v>
          </cell>
          <cell r="V481">
            <v>29.52</v>
          </cell>
          <cell r="W481">
            <v>29.52</v>
          </cell>
          <cell r="X481">
            <v>29.52</v>
          </cell>
          <cell r="Y481">
            <v>29.52</v>
          </cell>
        </row>
        <row r="482">
          <cell r="A482" t="str">
            <v>264n</v>
          </cell>
          <cell r="B482">
            <v>37.81</v>
          </cell>
          <cell r="C482">
            <v>37.81</v>
          </cell>
          <cell r="D482">
            <v>37.81</v>
          </cell>
          <cell r="E482">
            <v>37.81</v>
          </cell>
          <cell r="F482">
            <v>37.81</v>
          </cell>
          <cell r="G482">
            <v>37.81</v>
          </cell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</row>
        <row r="483">
          <cell r="A483" t="str">
            <v>264n</v>
          </cell>
          <cell r="B483">
            <v>36.53</v>
          </cell>
          <cell r="C483">
            <v>36.53</v>
          </cell>
          <cell r="D483">
            <v>36.53</v>
          </cell>
          <cell r="E483">
            <v>36.53</v>
          </cell>
          <cell r="F483">
            <v>36.53</v>
          </cell>
          <cell r="G483">
            <v>36.53</v>
          </cell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</row>
        <row r="484">
          <cell r="A484" t="str">
            <v>B41</v>
          </cell>
          <cell r="B484"/>
          <cell r="C484"/>
          <cell r="D484"/>
          <cell r="E484"/>
          <cell r="F484"/>
          <cell r="G484">
            <v>21.28</v>
          </cell>
          <cell r="H484">
            <v>21.28</v>
          </cell>
          <cell r="I484">
            <v>21.28</v>
          </cell>
          <cell r="J484">
            <v>21.28</v>
          </cell>
          <cell r="K484">
            <v>21.28</v>
          </cell>
          <cell r="L484">
            <v>21.28</v>
          </cell>
          <cell r="M484">
            <v>21.28</v>
          </cell>
          <cell r="N484">
            <v>21.28</v>
          </cell>
          <cell r="O484">
            <v>21.28</v>
          </cell>
          <cell r="P484">
            <v>21.28</v>
          </cell>
          <cell r="Q484">
            <v>21.28</v>
          </cell>
          <cell r="R484">
            <v>21.28</v>
          </cell>
          <cell r="S484">
            <v>21.28</v>
          </cell>
          <cell r="T484">
            <v>21.28</v>
          </cell>
          <cell r="U484">
            <v>21.28</v>
          </cell>
          <cell r="V484">
            <v>21.28</v>
          </cell>
          <cell r="W484">
            <v>21.28</v>
          </cell>
          <cell r="X484">
            <v>21.28</v>
          </cell>
          <cell r="Y484">
            <v>21.28</v>
          </cell>
        </row>
        <row r="485">
          <cell r="A485" t="str">
            <v>H05</v>
          </cell>
          <cell r="B485"/>
          <cell r="C485"/>
          <cell r="D485"/>
          <cell r="E485"/>
          <cell r="F485"/>
          <cell r="G485">
            <v>14.69</v>
          </cell>
          <cell r="H485">
            <v>14.69</v>
          </cell>
          <cell r="I485">
            <v>14.69</v>
          </cell>
          <cell r="J485">
            <v>14.69</v>
          </cell>
          <cell r="K485">
            <v>14.69</v>
          </cell>
          <cell r="L485">
            <v>14.69</v>
          </cell>
          <cell r="M485">
            <v>14.69</v>
          </cell>
          <cell r="N485">
            <v>14.69</v>
          </cell>
          <cell r="O485">
            <v>14.69</v>
          </cell>
          <cell r="P485">
            <v>14.69</v>
          </cell>
          <cell r="Q485">
            <v>14.69</v>
          </cell>
          <cell r="R485">
            <v>14.69</v>
          </cell>
          <cell r="S485">
            <v>14.69</v>
          </cell>
          <cell r="T485">
            <v>14.69</v>
          </cell>
          <cell r="U485">
            <v>14.69</v>
          </cell>
          <cell r="V485">
            <v>14.69</v>
          </cell>
          <cell r="W485">
            <v>14.69</v>
          </cell>
          <cell r="X485">
            <v>14.69</v>
          </cell>
          <cell r="Y485">
            <v>14.69</v>
          </cell>
        </row>
        <row r="486">
          <cell r="A486" t="str">
            <v>H05</v>
          </cell>
          <cell r="B486"/>
          <cell r="C486"/>
          <cell r="D486"/>
          <cell r="E486"/>
          <cell r="F486"/>
          <cell r="G486">
            <v>15.52</v>
          </cell>
          <cell r="H486">
            <v>15.520000000000001</v>
          </cell>
          <cell r="I486">
            <v>15.52</v>
          </cell>
          <cell r="J486">
            <v>15.520000000000001</v>
          </cell>
          <cell r="K486">
            <v>15.52</v>
          </cell>
          <cell r="L486">
            <v>15.52</v>
          </cell>
          <cell r="M486">
            <v>15.520000000000001</v>
          </cell>
          <cell r="N486">
            <v>15.52</v>
          </cell>
          <cell r="O486">
            <v>15.52</v>
          </cell>
          <cell r="P486">
            <v>15.520000000000001</v>
          </cell>
          <cell r="Q486">
            <v>15.52</v>
          </cell>
          <cell r="R486">
            <v>15.52</v>
          </cell>
          <cell r="S486">
            <v>15.52</v>
          </cell>
          <cell r="T486">
            <v>15.52</v>
          </cell>
          <cell r="U486">
            <v>15.52</v>
          </cell>
          <cell r="V486">
            <v>15.520000000000001</v>
          </cell>
          <cell r="W486">
            <v>15.520000000000001</v>
          </cell>
          <cell r="X486">
            <v>15.520000000000001</v>
          </cell>
          <cell r="Y486"/>
        </row>
        <row r="487">
          <cell r="A487" t="str">
            <v>H09</v>
          </cell>
          <cell r="B487"/>
          <cell r="C487"/>
          <cell r="D487"/>
          <cell r="E487"/>
          <cell r="F487"/>
          <cell r="G487">
            <v>14.39</v>
          </cell>
          <cell r="H487">
            <v>14.39</v>
          </cell>
          <cell r="I487">
            <v>14.39</v>
          </cell>
          <cell r="J487">
            <v>14.39</v>
          </cell>
          <cell r="K487">
            <v>14.39</v>
          </cell>
          <cell r="L487">
            <v>14.39</v>
          </cell>
          <cell r="M487">
            <v>14.39</v>
          </cell>
          <cell r="N487">
            <v>14.39</v>
          </cell>
          <cell r="O487">
            <v>14.39</v>
          </cell>
          <cell r="P487">
            <v>14.39</v>
          </cell>
          <cell r="Q487">
            <v>14.39</v>
          </cell>
          <cell r="R487">
            <v>14.39</v>
          </cell>
          <cell r="S487">
            <v>14.39</v>
          </cell>
          <cell r="T487">
            <v>14.39</v>
          </cell>
          <cell r="U487">
            <v>14.39</v>
          </cell>
          <cell r="V487">
            <v>14.39</v>
          </cell>
          <cell r="W487">
            <v>14.39</v>
          </cell>
          <cell r="X487">
            <v>14.39</v>
          </cell>
          <cell r="Y487">
            <v>14.39</v>
          </cell>
        </row>
        <row r="488">
          <cell r="A488" t="str">
            <v>H09</v>
          </cell>
          <cell r="B488"/>
          <cell r="C488"/>
          <cell r="D488"/>
          <cell r="E488"/>
          <cell r="F488"/>
          <cell r="G488">
            <v>14.4</v>
          </cell>
          <cell r="H488">
            <v>14.4</v>
          </cell>
          <cell r="I488">
            <v>14.4</v>
          </cell>
          <cell r="J488">
            <v>14.4</v>
          </cell>
          <cell r="K488">
            <v>14.4</v>
          </cell>
          <cell r="L488">
            <v>14.4</v>
          </cell>
          <cell r="M488">
            <v>14.4</v>
          </cell>
          <cell r="N488">
            <v>14.4</v>
          </cell>
          <cell r="O488">
            <v>14.4</v>
          </cell>
          <cell r="P488">
            <v>14.4</v>
          </cell>
          <cell r="Q488">
            <v>14.4</v>
          </cell>
          <cell r="R488">
            <v>14.4</v>
          </cell>
          <cell r="S488">
            <v>14.4</v>
          </cell>
          <cell r="T488">
            <v>14.4</v>
          </cell>
          <cell r="U488">
            <v>14.4</v>
          </cell>
          <cell r="V488">
            <v>14.4</v>
          </cell>
          <cell r="W488">
            <v>14.4</v>
          </cell>
          <cell r="X488">
            <v>14.4</v>
          </cell>
          <cell r="Y488">
            <v>14.4</v>
          </cell>
        </row>
        <row r="489">
          <cell r="A489" t="str">
            <v>H24</v>
          </cell>
          <cell r="B489"/>
          <cell r="C489"/>
          <cell r="D489"/>
          <cell r="E489"/>
          <cell r="F489"/>
          <cell r="G489">
            <v>21.05</v>
          </cell>
          <cell r="H489">
            <v>21.05</v>
          </cell>
          <cell r="I489">
            <v>21.05</v>
          </cell>
          <cell r="J489">
            <v>21.05</v>
          </cell>
          <cell r="K489">
            <v>21.05</v>
          </cell>
          <cell r="L489">
            <v>21.05</v>
          </cell>
          <cell r="M489">
            <v>21.05</v>
          </cell>
          <cell r="N489">
            <v>21.05</v>
          </cell>
          <cell r="O489">
            <v>21.05</v>
          </cell>
          <cell r="P489">
            <v>21.05</v>
          </cell>
          <cell r="Q489">
            <v>21.05</v>
          </cell>
          <cell r="R489">
            <v>21.05</v>
          </cell>
          <cell r="S489">
            <v>21.05</v>
          </cell>
          <cell r="T489">
            <v>21.05</v>
          </cell>
          <cell r="U489">
            <v>21.05</v>
          </cell>
          <cell r="V489">
            <v>21.05</v>
          </cell>
          <cell r="W489">
            <v>21.05</v>
          </cell>
          <cell r="X489">
            <v>21.05</v>
          </cell>
          <cell r="Y489">
            <v>21.05</v>
          </cell>
        </row>
        <row r="490">
          <cell r="A490" t="str">
            <v>H24</v>
          </cell>
          <cell r="B490"/>
          <cell r="C490"/>
          <cell r="D490"/>
          <cell r="E490"/>
          <cell r="F490"/>
          <cell r="G490">
            <v>21.65</v>
          </cell>
          <cell r="H490">
            <v>21.65</v>
          </cell>
          <cell r="I490">
            <v>21.65</v>
          </cell>
          <cell r="J490">
            <v>21.65</v>
          </cell>
          <cell r="K490">
            <v>21.65</v>
          </cell>
          <cell r="L490">
            <v>21.65</v>
          </cell>
          <cell r="M490">
            <v>21.65</v>
          </cell>
          <cell r="N490">
            <v>21.65</v>
          </cell>
          <cell r="O490">
            <v>21.65</v>
          </cell>
          <cell r="P490">
            <v>21.65</v>
          </cell>
          <cell r="Q490">
            <v>21.65</v>
          </cell>
          <cell r="R490">
            <v>21.65</v>
          </cell>
          <cell r="S490">
            <v>21.65</v>
          </cell>
          <cell r="T490">
            <v>21.65</v>
          </cell>
          <cell r="U490">
            <v>21.65</v>
          </cell>
          <cell r="V490">
            <v>21.65</v>
          </cell>
          <cell r="W490">
            <v>21.65</v>
          </cell>
          <cell r="X490">
            <v>21.649999999999995</v>
          </cell>
          <cell r="Y490"/>
        </row>
      </sheetData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N° Interno</v>
          </cell>
          <cell r="C1" t="str">
            <v>N° Chasis</v>
          </cell>
          <cell r="D1" t="str">
            <v>N Motor</v>
          </cell>
          <cell r="E1" t="str">
            <v>Marca chasis</v>
          </cell>
          <cell r="F1" t="str">
            <v>Modelo Chasis</v>
          </cell>
          <cell r="G1" t="str">
            <v>Marca Carrocería</v>
          </cell>
          <cell r="H1" t="str">
            <v>Modelo Carrocería</v>
          </cell>
          <cell r="I1" t="str">
            <v>Año</v>
          </cell>
          <cell r="J1" t="str">
            <v>Tipo de Bus</v>
          </cell>
          <cell r="K1" t="str">
            <v>Nombre Terminal Asignado</v>
          </cell>
          <cell r="L1" t="str">
            <v xml:space="preserve">Dirección Terminal </v>
          </cell>
          <cell r="M1" t="str">
            <v xml:space="preserve">Comuna </v>
          </cell>
          <cell r="N1" t="str">
            <v>Tipo de bus</v>
          </cell>
        </row>
        <row r="2">
          <cell r="B2" t="str">
            <v/>
          </cell>
          <cell r="C2" t="str">
            <v>De Baja</v>
          </cell>
          <cell r="D2" t="str">
            <v>De Baja</v>
          </cell>
          <cell r="E2" t="str">
            <v>De Baja</v>
          </cell>
          <cell r="F2" t="str">
            <v>De Baja</v>
          </cell>
          <cell r="G2" t="str">
            <v>De Baja</v>
          </cell>
          <cell r="H2" t="str">
            <v>De Baja</v>
          </cell>
          <cell r="I2" t="str">
            <v>De Baja</v>
          </cell>
          <cell r="J2" t="str">
            <v>De Baja</v>
          </cell>
          <cell r="K2" t="str">
            <v>De Baja</v>
          </cell>
          <cell r="L2" t="str">
            <v>De Baja</v>
          </cell>
          <cell r="M2" t="str">
            <v>De Baja</v>
          </cell>
        </row>
        <row r="3">
          <cell r="B3">
            <v>1000</v>
          </cell>
          <cell r="C3" t="str">
            <v>D8478292K2PL</v>
          </cell>
          <cell r="D3" t="str">
            <v>YV3T7U524KA195142</v>
          </cell>
          <cell r="E3" t="str">
            <v>Volvo</v>
          </cell>
          <cell r="F3" t="str">
            <v>B8R</v>
          </cell>
          <cell r="G3" t="str">
            <v>MARCOPOLO</v>
          </cell>
          <cell r="H3" t="str">
            <v>TORINO</v>
          </cell>
          <cell r="I3">
            <v>2019</v>
          </cell>
          <cell r="J3" t="str">
            <v>B2PAL</v>
          </cell>
          <cell r="K3" t="str">
            <v>LOS LIBERTADORES</v>
          </cell>
          <cell r="L3" t="str">
            <v>Los Liberadores 6450, Lote 4A</v>
          </cell>
          <cell r="M3" t="str">
            <v>Huechuraba</v>
          </cell>
          <cell r="N3" t="str">
            <v>B</v>
          </cell>
        </row>
        <row r="4">
          <cell r="B4">
            <v>1096</v>
          </cell>
          <cell r="C4" t="str">
            <v>D8482685K2PL</v>
          </cell>
          <cell r="D4" t="str">
            <v>YV3T7U521KA195230</v>
          </cell>
          <cell r="E4" t="str">
            <v>Volvo</v>
          </cell>
          <cell r="F4" t="str">
            <v>B8R</v>
          </cell>
          <cell r="G4" t="str">
            <v>MARCOPOLO</v>
          </cell>
          <cell r="H4" t="str">
            <v>TORINO</v>
          </cell>
          <cell r="I4">
            <v>2019</v>
          </cell>
          <cell r="J4" t="str">
            <v>B2PAL</v>
          </cell>
          <cell r="K4" t="str">
            <v>LOS LIBERTADORES</v>
          </cell>
          <cell r="L4" t="str">
            <v>Los Liberadores 6450, Lote 4A</v>
          </cell>
          <cell r="M4" t="str">
            <v>Huechuraba</v>
          </cell>
          <cell r="N4" t="str">
            <v>B</v>
          </cell>
        </row>
        <row r="5">
          <cell r="B5">
            <v>1002</v>
          </cell>
          <cell r="C5" t="str">
            <v>D8483833K2PL</v>
          </cell>
          <cell r="D5" t="str">
            <v>YV3T7U520KA195641</v>
          </cell>
          <cell r="E5" t="str">
            <v>Volvo</v>
          </cell>
          <cell r="F5" t="str">
            <v>B8R</v>
          </cell>
          <cell r="G5" t="str">
            <v>MARCOPOLO</v>
          </cell>
          <cell r="H5" t="str">
            <v>TORINO</v>
          </cell>
          <cell r="I5">
            <v>2019</v>
          </cell>
          <cell r="J5" t="str">
            <v>B2PAL</v>
          </cell>
          <cell r="K5" t="str">
            <v>LOS LIBERTADORES</v>
          </cell>
          <cell r="L5" t="str">
            <v>Los Liberadores 6450, Lote 4A</v>
          </cell>
          <cell r="M5" t="str">
            <v>Huechuraba</v>
          </cell>
          <cell r="N5" t="str">
            <v>B</v>
          </cell>
        </row>
        <row r="6">
          <cell r="B6">
            <v>1003</v>
          </cell>
          <cell r="C6" t="str">
            <v>D8483530K2PL</v>
          </cell>
          <cell r="D6" t="str">
            <v>YV3T7U522KA195642</v>
          </cell>
          <cell r="E6" t="str">
            <v>Volvo</v>
          </cell>
          <cell r="F6" t="str">
            <v>B8R</v>
          </cell>
          <cell r="G6" t="str">
            <v>MARCOPOLO</v>
          </cell>
          <cell r="H6" t="str">
            <v>TORINO</v>
          </cell>
          <cell r="I6">
            <v>2019</v>
          </cell>
          <cell r="J6" t="str">
            <v>B2PAL</v>
          </cell>
          <cell r="K6" t="str">
            <v>LOS LIBERTADORES</v>
          </cell>
          <cell r="L6" t="str">
            <v>Los Liberadores 6450, Lote 4A</v>
          </cell>
          <cell r="M6" t="str">
            <v>Huechuraba</v>
          </cell>
          <cell r="N6" t="str">
            <v>B</v>
          </cell>
        </row>
        <row r="7">
          <cell r="B7">
            <v>1004</v>
          </cell>
          <cell r="C7" t="str">
            <v>D8483789K2PL</v>
          </cell>
          <cell r="D7" t="str">
            <v>YV3T7U524KA195643</v>
          </cell>
          <cell r="E7" t="str">
            <v>Volvo</v>
          </cell>
          <cell r="F7" t="str">
            <v>B8R</v>
          </cell>
          <cell r="G7" t="str">
            <v>MARCOPOLO</v>
          </cell>
          <cell r="H7" t="str">
            <v>TORINO</v>
          </cell>
          <cell r="I7">
            <v>2019</v>
          </cell>
          <cell r="J7" t="str">
            <v>B2PAL</v>
          </cell>
          <cell r="K7" t="str">
            <v>SAN JOSE</v>
          </cell>
          <cell r="L7" t="str">
            <v>San José 030 (José Besa 669)</v>
          </cell>
          <cell r="M7" t="str">
            <v>San Bernardo</v>
          </cell>
          <cell r="N7" t="str">
            <v>B</v>
          </cell>
        </row>
        <row r="8">
          <cell r="B8">
            <v>1005</v>
          </cell>
          <cell r="C8" t="str">
            <v>D8484480K2PL</v>
          </cell>
          <cell r="D8" t="str">
            <v>YV3T7U524KA195688</v>
          </cell>
          <cell r="E8" t="str">
            <v>Volvo</v>
          </cell>
          <cell r="F8" t="str">
            <v>B8R</v>
          </cell>
          <cell r="G8" t="str">
            <v>MARCOPOLO</v>
          </cell>
          <cell r="H8" t="str">
            <v>TORINO</v>
          </cell>
          <cell r="I8">
            <v>2019</v>
          </cell>
          <cell r="J8" t="str">
            <v>B2PAL</v>
          </cell>
          <cell r="K8" t="str">
            <v>SAN JOSE</v>
          </cell>
          <cell r="L8" t="str">
            <v>San José 030 (José Besa 669)</v>
          </cell>
          <cell r="M8" t="str">
            <v>San Bernardo</v>
          </cell>
          <cell r="N8" t="str">
            <v>B</v>
          </cell>
        </row>
        <row r="9">
          <cell r="B9">
            <v>1006</v>
          </cell>
          <cell r="C9" t="str">
            <v>D8484637K2PL</v>
          </cell>
          <cell r="D9" t="str">
            <v>YV3T7U528KA195712</v>
          </cell>
          <cell r="E9" t="str">
            <v>Volvo</v>
          </cell>
          <cell r="F9" t="str">
            <v>B8R</v>
          </cell>
          <cell r="G9" t="str">
            <v>MARCOPOLO</v>
          </cell>
          <cell r="H9" t="str">
            <v>TORINO</v>
          </cell>
          <cell r="I9">
            <v>2019</v>
          </cell>
          <cell r="J9" t="str">
            <v>B2PAL</v>
          </cell>
          <cell r="K9" t="str">
            <v>SAN JOSE</v>
          </cell>
          <cell r="L9" t="str">
            <v>San José 030 (José Besa 669)</v>
          </cell>
          <cell r="M9" t="str">
            <v>San Bernardo</v>
          </cell>
          <cell r="N9" t="str">
            <v>B</v>
          </cell>
        </row>
        <row r="10">
          <cell r="B10">
            <v>1007</v>
          </cell>
          <cell r="C10" t="str">
            <v>D8484676K2PL</v>
          </cell>
          <cell r="D10" t="str">
            <v>YV3T7U52XKA195713</v>
          </cell>
          <cell r="E10" t="str">
            <v>Volvo</v>
          </cell>
          <cell r="F10" t="str">
            <v>B8R</v>
          </cell>
          <cell r="G10" t="str">
            <v>MARCOPOLO</v>
          </cell>
          <cell r="H10" t="str">
            <v>TORINO</v>
          </cell>
          <cell r="I10">
            <v>2019</v>
          </cell>
          <cell r="J10" t="str">
            <v>B2PAL</v>
          </cell>
          <cell r="K10" t="str">
            <v>LOS LIBERTADORES</v>
          </cell>
          <cell r="L10" t="str">
            <v>Los Liberadores 6450, Lote 4A</v>
          </cell>
          <cell r="M10" t="str">
            <v>Huechuraba</v>
          </cell>
          <cell r="N10" t="str">
            <v>B</v>
          </cell>
        </row>
        <row r="11">
          <cell r="B11">
            <v>1008</v>
          </cell>
          <cell r="C11" t="str">
            <v>D8484733K2PL</v>
          </cell>
          <cell r="D11" t="str">
            <v>YV3T7U526KA195742</v>
          </cell>
          <cell r="E11" t="str">
            <v>Volvo</v>
          </cell>
          <cell r="F11" t="str">
            <v>B8R</v>
          </cell>
          <cell r="G11" t="str">
            <v>MARCOPOLO</v>
          </cell>
          <cell r="H11" t="str">
            <v>TORINO</v>
          </cell>
          <cell r="I11">
            <v>2019</v>
          </cell>
          <cell r="J11" t="str">
            <v>B2PAL</v>
          </cell>
          <cell r="K11" t="str">
            <v>LOS LIBERTADORES</v>
          </cell>
          <cell r="L11" t="str">
            <v>Los Liberadores 6450, Lote 4A</v>
          </cell>
          <cell r="M11" t="str">
            <v>Huechuraba</v>
          </cell>
          <cell r="N11" t="str">
            <v>B</v>
          </cell>
        </row>
        <row r="12">
          <cell r="B12">
            <v>1009</v>
          </cell>
          <cell r="C12" t="str">
            <v>D8481621K2PL</v>
          </cell>
          <cell r="D12" t="str">
            <v>YV3T7U528KA195175</v>
          </cell>
          <cell r="E12" t="str">
            <v>Volvo</v>
          </cell>
          <cell r="F12" t="str">
            <v>B8R</v>
          </cell>
          <cell r="G12" t="str">
            <v>MARCOPOLO</v>
          </cell>
          <cell r="H12" t="str">
            <v>TORINO</v>
          </cell>
          <cell r="I12">
            <v>2019</v>
          </cell>
          <cell r="J12" t="str">
            <v>B2PAL</v>
          </cell>
          <cell r="K12" t="str">
            <v>LOS LIBERTADORES</v>
          </cell>
          <cell r="L12" t="str">
            <v>Los Liberadores 6450, Lote 4A</v>
          </cell>
          <cell r="M12" t="str">
            <v>Huechuraba</v>
          </cell>
          <cell r="N12" t="str">
            <v>B</v>
          </cell>
        </row>
        <row r="13">
          <cell r="B13">
            <v>1010</v>
          </cell>
          <cell r="C13" t="str">
            <v>D8482769K2PL</v>
          </cell>
          <cell r="D13" t="str">
            <v>YV3T7U522KA195303</v>
          </cell>
          <cell r="E13" t="str">
            <v>Volvo</v>
          </cell>
          <cell r="F13" t="str">
            <v>B8R</v>
          </cell>
          <cell r="G13" t="str">
            <v>MARCOPOLO</v>
          </cell>
          <cell r="H13" t="str">
            <v>TORINO</v>
          </cell>
          <cell r="I13">
            <v>2019</v>
          </cell>
          <cell r="J13" t="str">
            <v>B2PAL</v>
          </cell>
          <cell r="K13" t="str">
            <v>LOS LIBERTADORES</v>
          </cell>
          <cell r="L13" t="str">
            <v>Los Liberadores 6450, Lote 4A</v>
          </cell>
          <cell r="M13" t="str">
            <v>Huechuraba</v>
          </cell>
          <cell r="N13" t="str">
            <v>B</v>
          </cell>
        </row>
        <row r="14">
          <cell r="B14">
            <v>1011</v>
          </cell>
          <cell r="C14" t="str">
            <v>D8478205K2PL</v>
          </cell>
          <cell r="D14" t="str">
            <v>YV3T7U520KA195140</v>
          </cell>
          <cell r="E14" t="str">
            <v>Volvo</v>
          </cell>
          <cell r="F14" t="str">
            <v>B8R</v>
          </cell>
          <cell r="G14" t="str">
            <v>MARCOPOLO</v>
          </cell>
          <cell r="H14" t="str">
            <v>TORINO</v>
          </cell>
          <cell r="I14">
            <v>2019</v>
          </cell>
          <cell r="J14" t="str">
            <v>B2PAL</v>
          </cell>
          <cell r="K14" t="str">
            <v>LOS LIBERTADORES</v>
          </cell>
          <cell r="L14" t="str">
            <v>Los Liberadores 6450, Lote 4A</v>
          </cell>
          <cell r="M14" t="str">
            <v>Huechuraba</v>
          </cell>
          <cell r="N14" t="str">
            <v>B</v>
          </cell>
        </row>
        <row r="15">
          <cell r="B15">
            <v>1012</v>
          </cell>
          <cell r="C15" t="str">
            <v>D8481556K2PL</v>
          </cell>
          <cell r="D15" t="str">
            <v>YV3T7U521KA195177</v>
          </cell>
          <cell r="E15" t="str">
            <v>Volvo</v>
          </cell>
          <cell r="F15" t="str">
            <v>B8R</v>
          </cell>
          <cell r="G15" t="str">
            <v>MARCOPOLO</v>
          </cell>
          <cell r="H15" t="str">
            <v>TORINO</v>
          </cell>
          <cell r="I15">
            <v>2019</v>
          </cell>
          <cell r="J15" t="str">
            <v>B2PAL</v>
          </cell>
          <cell r="K15" t="str">
            <v>SAN JOSE</v>
          </cell>
          <cell r="L15" t="str">
            <v>San José 030 (José Besa 669)</v>
          </cell>
          <cell r="M15" t="str">
            <v>San Bernardo</v>
          </cell>
          <cell r="N15" t="str">
            <v>B</v>
          </cell>
        </row>
        <row r="16">
          <cell r="B16">
            <v>1013</v>
          </cell>
          <cell r="C16" t="str">
            <v>D8482482K2PL</v>
          </cell>
          <cell r="D16" t="str">
            <v>YV3T7U523KA195326</v>
          </cell>
          <cell r="E16" t="str">
            <v>Volvo</v>
          </cell>
          <cell r="F16" t="str">
            <v>B8R</v>
          </cell>
          <cell r="G16" t="str">
            <v>MARCOPOLO</v>
          </cell>
          <cell r="H16" t="str">
            <v>TORINO</v>
          </cell>
          <cell r="I16">
            <v>2019</v>
          </cell>
          <cell r="J16" t="str">
            <v>B2PAL</v>
          </cell>
          <cell r="K16" t="str">
            <v>LOS LIBERTADORES</v>
          </cell>
          <cell r="L16" t="str">
            <v>Los Liberadores 6450, Lote 4A</v>
          </cell>
          <cell r="M16" t="str">
            <v>Huechuraba</v>
          </cell>
          <cell r="N16" t="str">
            <v>B</v>
          </cell>
        </row>
        <row r="17">
          <cell r="B17">
            <v>1014</v>
          </cell>
          <cell r="C17" t="str">
            <v>D8482478K2PL</v>
          </cell>
          <cell r="D17" t="str">
            <v>YV3T7U525KA195327</v>
          </cell>
          <cell r="E17" t="str">
            <v>Volvo</v>
          </cell>
          <cell r="F17" t="str">
            <v>B8R</v>
          </cell>
          <cell r="G17" t="str">
            <v>MARCOPOLO</v>
          </cell>
          <cell r="H17" t="str">
            <v>TORINO</v>
          </cell>
          <cell r="I17">
            <v>2019</v>
          </cell>
          <cell r="J17" t="str">
            <v>B2PAL</v>
          </cell>
          <cell r="K17" t="str">
            <v>LOS LIBERTADORES</v>
          </cell>
          <cell r="L17" t="str">
            <v>Los Liberadores 6450, Lote 4A</v>
          </cell>
          <cell r="M17" t="str">
            <v>Huechuraba</v>
          </cell>
          <cell r="N17" t="str">
            <v>B</v>
          </cell>
        </row>
        <row r="18">
          <cell r="B18">
            <v>1015</v>
          </cell>
          <cell r="C18" t="str">
            <v>D8482400K2PL</v>
          </cell>
          <cell r="D18" t="str">
            <v>YV3T7U527KA195328</v>
          </cell>
          <cell r="E18" t="str">
            <v>Volvo</v>
          </cell>
          <cell r="F18" t="str">
            <v>B8R</v>
          </cell>
          <cell r="G18" t="str">
            <v>MARCOPOLO</v>
          </cell>
          <cell r="H18" t="str">
            <v>TORINO</v>
          </cell>
          <cell r="I18">
            <v>2019</v>
          </cell>
          <cell r="J18" t="str">
            <v>B2PAL</v>
          </cell>
          <cell r="K18" t="str">
            <v>LOS LIBERTADORES</v>
          </cell>
          <cell r="L18" t="str">
            <v>Los Liberadores 6450, Lote 4A</v>
          </cell>
          <cell r="M18" t="str">
            <v>Huechuraba</v>
          </cell>
          <cell r="N18" t="str">
            <v>B</v>
          </cell>
        </row>
        <row r="19">
          <cell r="B19">
            <v>1016</v>
          </cell>
          <cell r="C19" t="str">
            <v>D8482554K2PL</v>
          </cell>
          <cell r="D19" t="str">
            <v>YV3T7U520KA195350</v>
          </cell>
          <cell r="E19" t="str">
            <v>Volvo</v>
          </cell>
          <cell r="F19" t="str">
            <v>B8R</v>
          </cell>
          <cell r="G19" t="str">
            <v>MARCOPOLO</v>
          </cell>
          <cell r="H19" t="str">
            <v>TORINO</v>
          </cell>
          <cell r="I19">
            <v>2019</v>
          </cell>
          <cell r="J19" t="str">
            <v>B2PAL</v>
          </cell>
          <cell r="K19" t="str">
            <v>LOS LIBERTADORES</v>
          </cell>
          <cell r="L19" t="str">
            <v>Los Liberadores 6450, Lote 4A</v>
          </cell>
          <cell r="M19" t="str">
            <v>Huechuraba</v>
          </cell>
          <cell r="N19" t="str">
            <v>B</v>
          </cell>
        </row>
        <row r="20">
          <cell r="B20">
            <v>1017</v>
          </cell>
          <cell r="C20" t="str">
            <v>D8482519K2PL</v>
          </cell>
          <cell r="D20" t="str">
            <v>YV3T7U522KA195351</v>
          </cell>
          <cell r="E20" t="str">
            <v>Volvo</v>
          </cell>
          <cell r="F20" t="str">
            <v>B8R</v>
          </cell>
          <cell r="G20" t="str">
            <v>MARCOPOLO</v>
          </cell>
          <cell r="H20" t="str">
            <v>TORINO</v>
          </cell>
          <cell r="I20">
            <v>2019</v>
          </cell>
          <cell r="J20" t="str">
            <v>B2PAL</v>
          </cell>
          <cell r="K20" t="str">
            <v>LOS LIBERTADORES</v>
          </cell>
          <cell r="L20" t="str">
            <v>Los Liberadores 6450, Lote 4A</v>
          </cell>
          <cell r="M20" t="str">
            <v>Huechuraba</v>
          </cell>
          <cell r="N20" t="str">
            <v>B</v>
          </cell>
        </row>
        <row r="21">
          <cell r="B21">
            <v>1018</v>
          </cell>
          <cell r="C21" t="str">
            <v>D8482509K2PL</v>
          </cell>
          <cell r="D21" t="str">
            <v>YV3T7U524KA195352</v>
          </cell>
          <cell r="E21" t="str">
            <v>Volvo</v>
          </cell>
          <cell r="F21" t="str">
            <v>B8R</v>
          </cell>
          <cell r="G21" t="str">
            <v>MARCOPOLO</v>
          </cell>
          <cell r="H21" t="str">
            <v>TORINO</v>
          </cell>
          <cell r="I21">
            <v>2019</v>
          </cell>
          <cell r="J21" t="str">
            <v>B2PAL</v>
          </cell>
          <cell r="K21" t="str">
            <v>LOS LIBERTADORES</v>
          </cell>
          <cell r="L21" t="str">
            <v>Los Liberadores 6450, Lote 4A</v>
          </cell>
          <cell r="M21" t="str">
            <v>Huechuraba</v>
          </cell>
          <cell r="N21" t="str">
            <v>B</v>
          </cell>
        </row>
        <row r="22">
          <cell r="B22">
            <v>1019</v>
          </cell>
          <cell r="C22" t="str">
            <v>D8478282K2PL</v>
          </cell>
          <cell r="D22" t="str">
            <v>YV3T7U526KA195143</v>
          </cell>
          <cell r="E22" t="str">
            <v>Volvo</v>
          </cell>
          <cell r="F22" t="str">
            <v>B8R</v>
          </cell>
          <cell r="G22" t="str">
            <v>MARCOPOLO</v>
          </cell>
          <cell r="H22" t="str">
            <v>TORINO</v>
          </cell>
          <cell r="I22">
            <v>2019</v>
          </cell>
          <cell r="J22" t="str">
            <v>B2PAL</v>
          </cell>
          <cell r="K22" t="str">
            <v>LOS LIBERTADORES</v>
          </cell>
          <cell r="L22" t="str">
            <v>Los Liberadores 6450, Lote 4A</v>
          </cell>
          <cell r="M22" t="str">
            <v>Huechuraba</v>
          </cell>
          <cell r="N22" t="str">
            <v>B</v>
          </cell>
        </row>
        <row r="23">
          <cell r="B23">
            <v>1020</v>
          </cell>
          <cell r="C23" t="str">
            <v>D8482576K2PL</v>
          </cell>
          <cell r="D23" t="str">
            <v>YV3T7U523KA195357</v>
          </cell>
          <cell r="E23" t="str">
            <v>Volvo</v>
          </cell>
          <cell r="F23" t="str">
            <v>B8R</v>
          </cell>
          <cell r="G23" t="str">
            <v>MARCOPOLO</v>
          </cell>
          <cell r="H23" t="str">
            <v>TORINO</v>
          </cell>
          <cell r="I23">
            <v>2019</v>
          </cell>
          <cell r="J23" t="str">
            <v>B2PAL</v>
          </cell>
          <cell r="K23" t="str">
            <v>LOS LIBERTADORES</v>
          </cell>
          <cell r="L23" t="str">
            <v>Los Liberadores 6450, Lote 4A</v>
          </cell>
          <cell r="M23" t="str">
            <v>Huechuraba</v>
          </cell>
          <cell r="N23" t="str">
            <v>B</v>
          </cell>
        </row>
        <row r="24">
          <cell r="B24">
            <v>1021</v>
          </cell>
          <cell r="C24" t="str">
            <v>D8482502K2PL</v>
          </cell>
          <cell r="D24" t="str">
            <v>YV3T7U523KA195360</v>
          </cell>
          <cell r="E24" t="str">
            <v>Volvo</v>
          </cell>
          <cell r="F24" t="str">
            <v>B8R</v>
          </cell>
          <cell r="G24" t="str">
            <v>MARCOPOLO</v>
          </cell>
          <cell r="H24" t="str">
            <v>TORINO</v>
          </cell>
          <cell r="I24">
            <v>2019</v>
          </cell>
          <cell r="J24" t="str">
            <v>B2PAL</v>
          </cell>
          <cell r="K24" t="str">
            <v>LOS LIBERTADORES</v>
          </cell>
          <cell r="L24" t="str">
            <v>Los Liberadores 6450, Lote 4A</v>
          </cell>
          <cell r="M24" t="str">
            <v>Huechuraba</v>
          </cell>
          <cell r="N24" t="str">
            <v>B</v>
          </cell>
        </row>
        <row r="25">
          <cell r="B25">
            <v>1022</v>
          </cell>
          <cell r="C25" t="str">
            <v>D8482597K2PL</v>
          </cell>
          <cell r="D25" t="str">
            <v>YV3T7U525KA195361</v>
          </cell>
          <cell r="E25" t="str">
            <v>Volvo</v>
          </cell>
          <cell r="F25" t="str">
            <v>B8R</v>
          </cell>
          <cell r="G25" t="str">
            <v>MARCOPOLO</v>
          </cell>
          <cell r="H25" t="str">
            <v>TORINO</v>
          </cell>
          <cell r="I25">
            <v>2019</v>
          </cell>
          <cell r="J25" t="str">
            <v>B2PAL</v>
          </cell>
          <cell r="K25" t="str">
            <v>LOS LIBERTADORES</v>
          </cell>
          <cell r="L25" t="str">
            <v>Los Liberadores 6450, Lote 4A</v>
          </cell>
          <cell r="M25" t="str">
            <v>Huechuraba</v>
          </cell>
          <cell r="N25" t="str">
            <v>B</v>
          </cell>
        </row>
        <row r="26">
          <cell r="B26">
            <v>1023</v>
          </cell>
          <cell r="C26" t="str">
            <v>D8481798K2PL</v>
          </cell>
          <cell r="D26" t="str">
            <v>YV3T7U527KA195460</v>
          </cell>
          <cell r="E26" t="str">
            <v>Volvo</v>
          </cell>
          <cell r="F26" t="str">
            <v>B8R</v>
          </cell>
          <cell r="G26" t="str">
            <v>MARCOPOLO</v>
          </cell>
          <cell r="H26" t="str">
            <v>TORINO</v>
          </cell>
          <cell r="I26">
            <v>2019</v>
          </cell>
          <cell r="J26" t="str">
            <v>B2PAL</v>
          </cell>
          <cell r="K26" t="str">
            <v>LOS LIBERTADORES</v>
          </cell>
          <cell r="L26" t="str">
            <v>Los Liberadores 6450, Lote 4A</v>
          </cell>
          <cell r="M26" t="str">
            <v>Huechuraba</v>
          </cell>
          <cell r="N26" t="str">
            <v>B</v>
          </cell>
        </row>
        <row r="27">
          <cell r="B27">
            <v>1024</v>
          </cell>
          <cell r="C27" t="str">
            <v>D8481794K2PL</v>
          </cell>
          <cell r="D27" t="str">
            <v>YV3T7U529KA195461</v>
          </cell>
          <cell r="E27" t="str">
            <v>Volvo</v>
          </cell>
          <cell r="F27" t="str">
            <v>B8R</v>
          </cell>
          <cell r="G27" t="str">
            <v>MARCOPOLO</v>
          </cell>
          <cell r="H27" t="str">
            <v>TORINO</v>
          </cell>
          <cell r="I27">
            <v>2019</v>
          </cell>
          <cell r="J27" t="str">
            <v>B2PAL</v>
          </cell>
          <cell r="K27" t="str">
            <v>LOS LIBERTADORES</v>
          </cell>
          <cell r="L27" t="str">
            <v>Los Liberadores 6450, Lote 4A</v>
          </cell>
          <cell r="M27" t="str">
            <v>Huechuraba</v>
          </cell>
          <cell r="N27" t="str">
            <v>B</v>
          </cell>
        </row>
        <row r="28">
          <cell r="B28">
            <v>1025</v>
          </cell>
          <cell r="C28" t="str">
            <v>D8483045K2PL</v>
          </cell>
          <cell r="D28" t="str">
            <v>YV3T7U520KA195462</v>
          </cell>
          <cell r="E28" t="str">
            <v>Volvo</v>
          </cell>
          <cell r="F28" t="str">
            <v>B8R</v>
          </cell>
          <cell r="G28" t="str">
            <v>MARCOPOLO</v>
          </cell>
          <cell r="H28" t="str">
            <v>TORINO</v>
          </cell>
          <cell r="I28">
            <v>2019</v>
          </cell>
          <cell r="J28" t="str">
            <v>B2PAL</v>
          </cell>
          <cell r="K28" t="str">
            <v>LOS LIBERTADORES</v>
          </cell>
          <cell r="L28" t="str">
            <v>Los Liberadores 6450, Lote 4A</v>
          </cell>
          <cell r="M28" t="str">
            <v>Huechuraba</v>
          </cell>
          <cell r="N28" t="str">
            <v>B</v>
          </cell>
        </row>
        <row r="29">
          <cell r="B29">
            <v>1026</v>
          </cell>
          <cell r="C29" t="str">
            <v>D8483063K2PL</v>
          </cell>
          <cell r="D29" t="str">
            <v>YV3T7U522KA195463</v>
          </cell>
          <cell r="E29" t="str">
            <v>Volvo</v>
          </cell>
          <cell r="F29" t="str">
            <v>B8R</v>
          </cell>
          <cell r="G29" t="str">
            <v>MARCOPOLO</v>
          </cell>
          <cell r="H29" t="str">
            <v>TORINO</v>
          </cell>
          <cell r="I29">
            <v>2019</v>
          </cell>
          <cell r="J29" t="str">
            <v>B2PAL</v>
          </cell>
          <cell r="K29" t="str">
            <v>LOS LIBERTADORES</v>
          </cell>
          <cell r="L29" t="str">
            <v>Los Liberadores 6450, Lote 4A</v>
          </cell>
          <cell r="M29" t="str">
            <v>Huechuraba</v>
          </cell>
          <cell r="N29" t="str">
            <v>B</v>
          </cell>
        </row>
        <row r="30">
          <cell r="B30">
            <v>1027</v>
          </cell>
          <cell r="C30" t="str">
            <v>D8483109K2PL</v>
          </cell>
          <cell r="D30" t="str">
            <v>YV3T7U523KA195486</v>
          </cell>
          <cell r="E30" t="str">
            <v>Volvo</v>
          </cell>
          <cell r="F30" t="str">
            <v>B8R</v>
          </cell>
          <cell r="G30" t="str">
            <v>MARCOPOLO</v>
          </cell>
          <cell r="H30" t="str">
            <v>TORINO</v>
          </cell>
          <cell r="I30">
            <v>2019</v>
          </cell>
          <cell r="J30" t="str">
            <v>B2PAL</v>
          </cell>
          <cell r="K30" t="str">
            <v>LOS LIBERTADORES</v>
          </cell>
          <cell r="L30" t="str">
            <v>Los Liberadores 6450, Lote 4A</v>
          </cell>
          <cell r="M30" t="str">
            <v>Huechuraba</v>
          </cell>
          <cell r="N30" t="str">
            <v>B</v>
          </cell>
        </row>
        <row r="31">
          <cell r="B31" t="str">
            <v/>
          </cell>
          <cell r="C31" t="str">
            <v>D8483197K2PL</v>
          </cell>
          <cell r="D31" t="str">
            <v>YV3T7U526KA195532</v>
          </cell>
          <cell r="E31" t="str">
            <v>Volvo</v>
          </cell>
          <cell r="F31" t="str">
            <v>B8R</v>
          </cell>
          <cell r="G31" t="str">
            <v>MARCOPOLO</v>
          </cell>
          <cell r="H31" t="str">
            <v>TORINO</v>
          </cell>
          <cell r="I31">
            <v>2019</v>
          </cell>
          <cell r="J31" t="str">
            <v>B2PAL</v>
          </cell>
          <cell r="K31" t="str">
            <v>LOS LIBERTADORES</v>
          </cell>
          <cell r="L31" t="str">
            <v>Los Liberadores 6450, Lote 4A</v>
          </cell>
          <cell r="M31" t="str">
            <v>Huechuraba</v>
          </cell>
          <cell r="N31" t="str">
            <v>B</v>
          </cell>
        </row>
        <row r="32">
          <cell r="B32">
            <v>1029</v>
          </cell>
          <cell r="C32" t="str">
            <v>D8483194K2PL</v>
          </cell>
          <cell r="D32" t="str">
            <v>YV3T7U528KA195533</v>
          </cell>
          <cell r="E32" t="str">
            <v>Volvo</v>
          </cell>
          <cell r="F32" t="str">
            <v>B8R</v>
          </cell>
          <cell r="G32" t="str">
            <v>MARCOPOLO</v>
          </cell>
          <cell r="H32" t="str">
            <v>TORINO</v>
          </cell>
          <cell r="I32">
            <v>2019</v>
          </cell>
          <cell r="J32" t="str">
            <v>B2PAL</v>
          </cell>
          <cell r="K32" t="str">
            <v>LOS LIBERTADORES</v>
          </cell>
          <cell r="L32" t="str">
            <v>Los Liberadores 6450, Lote 4A</v>
          </cell>
          <cell r="M32" t="str">
            <v>Huechuraba</v>
          </cell>
          <cell r="N32" t="str">
            <v>B</v>
          </cell>
        </row>
        <row r="33">
          <cell r="B33">
            <v>1030</v>
          </cell>
          <cell r="C33" t="str">
            <v>D8478297K2PL</v>
          </cell>
          <cell r="D33" t="str">
            <v>YV3T7U528KA195144</v>
          </cell>
          <cell r="E33" t="str">
            <v>Volvo</v>
          </cell>
          <cell r="F33" t="str">
            <v>B8R</v>
          </cell>
          <cell r="G33" t="str">
            <v>MARCOPOLO</v>
          </cell>
          <cell r="H33" t="str">
            <v>TORINO</v>
          </cell>
          <cell r="I33">
            <v>2019</v>
          </cell>
          <cell r="J33" t="str">
            <v>B2PAL</v>
          </cell>
          <cell r="K33" t="str">
            <v>LOS LIBERTADORES</v>
          </cell>
          <cell r="L33" t="str">
            <v>Los Liberadores 6450, Lote 4A</v>
          </cell>
          <cell r="M33" t="str">
            <v>Huechuraba</v>
          </cell>
          <cell r="N33" t="str">
            <v>B</v>
          </cell>
        </row>
        <row r="34">
          <cell r="B34">
            <v>1031</v>
          </cell>
          <cell r="C34" t="str">
            <v>D8483221K2PL</v>
          </cell>
          <cell r="D34" t="str">
            <v>YV3T7U521KA195535</v>
          </cell>
          <cell r="E34" t="str">
            <v>Volvo</v>
          </cell>
          <cell r="F34" t="str">
            <v>B8R</v>
          </cell>
          <cell r="G34" t="str">
            <v>MARCOPOLO</v>
          </cell>
          <cell r="H34" t="str">
            <v>TORINO</v>
          </cell>
          <cell r="I34">
            <v>2019</v>
          </cell>
          <cell r="J34" t="str">
            <v>B2PAL</v>
          </cell>
          <cell r="K34" t="str">
            <v>LOS LIBERTADORES</v>
          </cell>
          <cell r="L34" t="str">
            <v>Los Liberadores 6450, Lote 4A</v>
          </cell>
          <cell r="M34" t="str">
            <v>Huechuraba</v>
          </cell>
          <cell r="N34" t="str">
            <v>B</v>
          </cell>
        </row>
        <row r="35">
          <cell r="B35">
            <v>1032</v>
          </cell>
          <cell r="C35" t="str">
            <v>D89303077</v>
          </cell>
          <cell r="D35" t="str">
            <v>YV3T7U523KA195553</v>
          </cell>
          <cell r="E35" t="str">
            <v>Volvo</v>
          </cell>
          <cell r="F35" t="str">
            <v>B8R</v>
          </cell>
          <cell r="G35" t="str">
            <v>MARCOPOLO</v>
          </cell>
          <cell r="H35" t="str">
            <v>TORINO</v>
          </cell>
          <cell r="I35">
            <v>2019</v>
          </cell>
          <cell r="J35" t="str">
            <v>B2PAL</v>
          </cell>
          <cell r="K35" t="str">
            <v>LOS LIBERTADORES</v>
          </cell>
          <cell r="L35" t="str">
            <v>Los Liberadores 6450, Lote 4A</v>
          </cell>
          <cell r="M35" t="str">
            <v>Huechuraba</v>
          </cell>
          <cell r="N35" t="str">
            <v>B</v>
          </cell>
        </row>
        <row r="36">
          <cell r="B36">
            <v>1033</v>
          </cell>
          <cell r="C36" t="str">
            <v>D8483453K2PL</v>
          </cell>
          <cell r="D36" t="str">
            <v>YV3T7U527KA195572</v>
          </cell>
          <cell r="E36" t="str">
            <v>Volvo</v>
          </cell>
          <cell r="F36" t="str">
            <v>B8R</v>
          </cell>
          <cell r="G36" t="str">
            <v>MARCOPOLO</v>
          </cell>
          <cell r="H36" t="str">
            <v>TORINO</v>
          </cell>
          <cell r="I36">
            <v>2019</v>
          </cell>
          <cell r="J36" t="str">
            <v>B2PAL</v>
          </cell>
          <cell r="K36" t="str">
            <v>LOS LIBERTADORES</v>
          </cell>
          <cell r="L36" t="str">
            <v>Los Liberadores 6450, Lote 4A</v>
          </cell>
          <cell r="M36" t="str">
            <v>Huechuraba</v>
          </cell>
          <cell r="N36" t="str">
            <v>B</v>
          </cell>
        </row>
        <row r="37">
          <cell r="B37">
            <v>1034</v>
          </cell>
          <cell r="C37" t="str">
            <v>D8483890K2PL</v>
          </cell>
          <cell r="D37" t="str">
            <v>YV3T7U520KA195574</v>
          </cell>
          <cell r="E37" t="str">
            <v>Volvo</v>
          </cell>
          <cell r="F37" t="str">
            <v>B8R</v>
          </cell>
          <cell r="G37" t="str">
            <v>MARCOPOLO</v>
          </cell>
          <cell r="H37" t="str">
            <v>TORINO</v>
          </cell>
          <cell r="I37">
            <v>2019</v>
          </cell>
          <cell r="J37" t="str">
            <v>B2PAL</v>
          </cell>
          <cell r="K37" t="str">
            <v>LOS LIBERTADORES</v>
          </cell>
          <cell r="L37" t="str">
            <v>Los Liberadores 6450, Lote 4A</v>
          </cell>
          <cell r="M37" t="str">
            <v>Huechuraba</v>
          </cell>
          <cell r="N37" t="str">
            <v>B</v>
          </cell>
        </row>
        <row r="38">
          <cell r="B38">
            <v>1035</v>
          </cell>
          <cell r="C38" t="str">
            <v>D8478276K2PL</v>
          </cell>
          <cell r="D38" t="str">
            <v>YV3T7U522KA195141</v>
          </cell>
          <cell r="E38" t="str">
            <v>Volvo</v>
          </cell>
          <cell r="F38" t="str">
            <v>B8R</v>
          </cell>
          <cell r="G38" t="str">
            <v>MARCOPOLO</v>
          </cell>
          <cell r="H38" t="str">
            <v>TORINO</v>
          </cell>
          <cell r="I38">
            <v>2019</v>
          </cell>
          <cell r="J38" t="str">
            <v>B2PAL</v>
          </cell>
          <cell r="K38" t="str">
            <v>LOS LIBERTADORES</v>
          </cell>
          <cell r="L38" t="str">
            <v>Los Liberadores 6450, Lote 4A</v>
          </cell>
          <cell r="M38" t="str">
            <v>Huechuraba</v>
          </cell>
          <cell r="N38" t="str">
            <v>B</v>
          </cell>
        </row>
        <row r="39">
          <cell r="B39">
            <v>1036</v>
          </cell>
          <cell r="C39" t="str">
            <v>D8481604K2PL</v>
          </cell>
          <cell r="D39" t="str">
            <v>YV3T7U52XKA195145</v>
          </cell>
          <cell r="E39" t="str">
            <v>Volvo</v>
          </cell>
          <cell r="F39" t="str">
            <v>B8R</v>
          </cell>
          <cell r="G39" t="str">
            <v>MARCOPOLO</v>
          </cell>
          <cell r="H39" t="str">
            <v>TORINO</v>
          </cell>
          <cell r="I39">
            <v>2019</v>
          </cell>
          <cell r="J39" t="str">
            <v>B2PAL</v>
          </cell>
          <cell r="K39" t="str">
            <v>LOS LIBERTADORES</v>
          </cell>
          <cell r="L39" t="str">
            <v>Los Liberadores 6450, Lote 4A</v>
          </cell>
          <cell r="M39" t="str">
            <v>Huechuraba</v>
          </cell>
          <cell r="N39" t="str">
            <v>B</v>
          </cell>
        </row>
        <row r="40">
          <cell r="B40">
            <v>1037</v>
          </cell>
          <cell r="C40" t="str">
            <v>D8481609K2PL</v>
          </cell>
          <cell r="D40" t="str">
            <v>YV3T7U521KA195146</v>
          </cell>
          <cell r="E40" t="str">
            <v>Volvo</v>
          </cell>
          <cell r="F40" t="str">
            <v>B8R</v>
          </cell>
          <cell r="G40" t="str">
            <v>MARCOPOLO</v>
          </cell>
          <cell r="H40" t="str">
            <v>TORINO</v>
          </cell>
          <cell r="I40">
            <v>2019</v>
          </cell>
          <cell r="J40" t="str">
            <v>B2PAL</v>
          </cell>
          <cell r="K40" t="str">
            <v>LOS LIBERTADORES</v>
          </cell>
          <cell r="L40" t="str">
            <v>Los Liberadores 6450, Lote 4A</v>
          </cell>
          <cell r="M40" t="str">
            <v>Huechuraba</v>
          </cell>
          <cell r="N40" t="str">
            <v>B</v>
          </cell>
        </row>
        <row r="41">
          <cell r="B41">
            <v>1038</v>
          </cell>
          <cell r="C41" t="str">
            <v>D8478221K2PL</v>
          </cell>
          <cell r="D41" t="str">
            <v>YV3T7U523KA195147</v>
          </cell>
          <cell r="E41" t="str">
            <v>Volvo</v>
          </cell>
          <cell r="F41" t="str">
            <v>B8R</v>
          </cell>
          <cell r="G41" t="str">
            <v>MARCOPOLO</v>
          </cell>
          <cell r="H41" t="str">
            <v>TORINO</v>
          </cell>
          <cell r="I41">
            <v>2019</v>
          </cell>
          <cell r="J41" t="str">
            <v>B2PAL</v>
          </cell>
          <cell r="K41" t="str">
            <v>LOS LIBERTADORES</v>
          </cell>
          <cell r="L41" t="str">
            <v>Los Liberadores 6450, Lote 4A</v>
          </cell>
          <cell r="M41" t="str">
            <v>Huechuraba</v>
          </cell>
          <cell r="N41" t="str">
            <v>B</v>
          </cell>
        </row>
        <row r="42">
          <cell r="B42">
            <v>1039</v>
          </cell>
          <cell r="C42" t="str">
            <v>D8478290K2PL</v>
          </cell>
          <cell r="D42" t="str">
            <v>YV3T7U525KA195148</v>
          </cell>
          <cell r="E42" t="str">
            <v>Volvo</v>
          </cell>
          <cell r="F42" t="str">
            <v>B8R</v>
          </cell>
          <cell r="G42" t="str">
            <v>MARCOPOLO</v>
          </cell>
          <cell r="H42" t="str">
            <v>TORINO</v>
          </cell>
          <cell r="I42">
            <v>2019</v>
          </cell>
          <cell r="J42" t="str">
            <v>B2PAL</v>
          </cell>
          <cell r="K42" t="str">
            <v>LOS LIBERTADORES</v>
          </cell>
          <cell r="L42" t="str">
            <v>Los Liberadores 6450, Lote 4A</v>
          </cell>
          <cell r="M42" t="str">
            <v>Huechuraba</v>
          </cell>
          <cell r="N42" t="str">
            <v>B</v>
          </cell>
        </row>
        <row r="43">
          <cell r="B43">
            <v>1040</v>
          </cell>
          <cell r="C43" t="str">
            <v>D8481517K2PL</v>
          </cell>
          <cell r="D43" t="str">
            <v>YV3T7U520KA195171</v>
          </cell>
          <cell r="E43" t="str">
            <v>Volvo</v>
          </cell>
          <cell r="F43" t="str">
            <v>B8R</v>
          </cell>
          <cell r="G43" t="str">
            <v>MARCOPOLO</v>
          </cell>
          <cell r="H43" t="str">
            <v>TORINO</v>
          </cell>
          <cell r="I43">
            <v>2019</v>
          </cell>
          <cell r="J43" t="str">
            <v>B2PAL</v>
          </cell>
          <cell r="K43" t="str">
            <v>LOS LIBERTADORES</v>
          </cell>
          <cell r="L43" t="str">
            <v>Los Liberadores 6450, Lote 4A</v>
          </cell>
          <cell r="M43" t="str">
            <v>Huechuraba</v>
          </cell>
          <cell r="N43" t="str">
            <v>B</v>
          </cell>
        </row>
        <row r="44">
          <cell r="B44">
            <v>1041</v>
          </cell>
          <cell r="C44" t="str">
            <v>D8481625K2PL</v>
          </cell>
          <cell r="D44" t="str">
            <v>YV3T7U526KA195174</v>
          </cell>
          <cell r="E44" t="str">
            <v>Volvo</v>
          </cell>
          <cell r="F44" t="str">
            <v>B8R</v>
          </cell>
          <cell r="G44" t="str">
            <v>MARCOPOLO</v>
          </cell>
          <cell r="H44" t="str">
            <v>TORINO</v>
          </cell>
          <cell r="I44">
            <v>2019</v>
          </cell>
          <cell r="J44" t="str">
            <v>B2PAL</v>
          </cell>
          <cell r="K44" t="str">
            <v>LOS LIBERTADORES</v>
          </cell>
          <cell r="L44" t="str">
            <v>Los Liberadores 6450, Lote 4A</v>
          </cell>
          <cell r="M44" t="str">
            <v>Huechuraba</v>
          </cell>
          <cell r="N44" t="str">
            <v>B</v>
          </cell>
        </row>
        <row r="45">
          <cell r="B45">
            <v>1042</v>
          </cell>
          <cell r="C45" t="str">
            <v>D8481615K2PL</v>
          </cell>
          <cell r="D45" t="str">
            <v>YV3T7U524KA195173</v>
          </cell>
          <cell r="E45" t="str">
            <v>Volvo</v>
          </cell>
          <cell r="F45" t="str">
            <v>B8R</v>
          </cell>
          <cell r="G45" t="str">
            <v>MARCOPOLO</v>
          </cell>
          <cell r="H45" t="str">
            <v>TORINO</v>
          </cell>
          <cell r="I45">
            <v>2019</v>
          </cell>
          <cell r="J45" t="str">
            <v>B2PAL</v>
          </cell>
          <cell r="K45" t="str">
            <v>LOS LIBERTADORES</v>
          </cell>
          <cell r="L45" t="str">
            <v>Los Liberadores 6450, Lote 4A</v>
          </cell>
          <cell r="M45" t="str">
            <v>Huechuraba</v>
          </cell>
          <cell r="N45" t="str">
            <v>B</v>
          </cell>
        </row>
        <row r="46">
          <cell r="B46">
            <v>1043</v>
          </cell>
          <cell r="C46" t="str">
            <v>D8481618K2PL</v>
          </cell>
          <cell r="D46" t="str">
            <v>YV3T7U52XKA195176</v>
          </cell>
          <cell r="E46" t="str">
            <v>Volvo</v>
          </cell>
          <cell r="F46" t="str">
            <v>B8R</v>
          </cell>
          <cell r="G46" t="str">
            <v>MARCOPOLO</v>
          </cell>
          <cell r="H46" t="str">
            <v>TORINO</v>
          </cell>
          <cell r="I46">
            <v>2019</v>
          </cell>
          <cell r="J46" t="str">
            <v>B2PAL</v>
          </cell>
          <cell r="K46" t="str">
            <v>LOS LIBERTADORES</v>
          </cell>
          <cell r="L46" t="str">
            <v>Los Liberadores 6450, Lote 4A</v>
          </cell>
          <cell r="M46" t="str">
            <v>Huechuraba</v>
          </cell>
          <cell r="N46" t="str">
            <v>B</v>
          </cell>
        </row>
        <row r="47">
          <cell r="B47">
            <v>1044</v>
          </cell>
          <cell r="C47" t="str">
            <v>D8481639K2PL</v>
          </cell>
          <cell r="D47" t="str">
            <v>YV3T7U523KA195178</v>
          </cell>
          <cell r="E47" t="str">
            <v>Volvo</v>
          </cell>
          <cell r="F47" t="str">
            <v>B8R</v>
          </cell>
          <cell r="G47" t="str">
            <v>MARCOPOLO</v>
          </cell>
          <cell r="H47" t="str">
            <v>TORINO</v>
          </cell>
          <cell r="I47">
            <v>2019</v>
          </cell>
          <cell r="J47" t="str">
            <v>B2PAL</v>
          </cell>
          <cell r="K47" t="str">
            <v>LOS LIBERTADORES</v>
          </cell>
          <cell r="L47" t="str">
            <v>Los Liberadores 6450, Lote 4A</v>
          </cell>
          <cell r="M47" t="str">
            <v>Huechuraba</v>
          </cell>
          <cell r="N47" t="str">
            <v>B</v>
          </cell>
        </row>
        <row r="48">
          <cell r="B48">
            <v>1045</v>
          </cell>
          <cell r="C48" t="str">
            <v>D8481597K2PL</v>
          </cell>
          <cell r="D48" t="str">
            <v>YV3T7U523KA195181</v>
          </cell>
          <cell r="E48" t="str">
            <v>Volvo</v>
          </cell>
          <cell r="F48" t="str">
            <v>B8R</v>
          </cell>
          <cell r="G48" t="str">
            <v>MARCOPOLO</v>
          </cell>
          <cell r="H48" t="str">
            <v>TORINO</v>
          </cell>
          <cell r="I48">
            <v>2019</v>
          </cell>
          <cell r="J48" t="str">
            <v>B2PAL</v>
          </cell>
          <cell r="K48" t="str">
            <v>LOS LIBERTADORES</v>
          </cell>
          <cell r="L48" t="str">
            <v>Los Liberadores 6450, Lote 4A</v>
          </cell>
          <cell r="M48" t="str">
            <v>Huechuraba</v>
          </cell>
          <cell r="N48" t="str">
            <v>B</v>
          </cell>
        </row>
        <row r="49">
          <cell r="B49">
            <v>1046</v>
          </cell>
          <cell r="C49" t="str">
            <v>D8481673K2PL</v>
          </cell>
          <cell r="D49" t="str">
            <v>YV3T7U524KA195190</v>
          </cell>
          <cell r="E49" t="str">
            <v>Volvo</v>
          </cell>
          <cell r="F49" t="str">
            <v>B8R</v>
          </cell>
          <cell r="G49" t="str">
            <v>MARCOPOLO</v>
          </cell>
          <cell r="H49" t="str">
            <v>TORINO</v>
          </cell>
          <cell r="I49">
            <v>2019</v>
          </cell>
          <cell r="J49" t="str">
            <v>B2PAL</v>
          </cell>
          <cell r="K49" t="str">
            <v>LOS LIBERTADORES</v>
          </cell>
          <cell r="L49" t="str">
            <v>Los Liberadores 6450, Lote 4A</v>
          </cell>
          <cell r="M49" t="str">
            <v>Huechuraba</v>
          </cell>
          <cell r="N49" t="str">
            <v>B</v>
          </cell>
        </row>
        <row r="50">
          <cell r="B50">
            <v>1047</v>
          </cell>
          <cell r="C50" t="str">
            <v>D8481885K2PL</v>
          </cell>
          <cell r="D50" t="str">
            <v>YV3T7U526KA195191</v>
          </cell>
          <cell r="E50" t="str">
            <v>Volvo</v>
          </cell>
          <cell r="F50" t="str">
            <v>B8R</v>
          </cell>
          <cell r="G50" t="str">
            <v>MARCOPOLO</v>
          </cell>
          <cell r="H50" t="str">
            <v>TORINO</v>
          </cell>
          <cell r="I50">
            <v>2019</v>
          </cell>
          <cell r="J50" t="str">
            <v>B2PAL</v>
          </cell>
          <cell r="K50" t="str">
            <v>LOS LIBERTADORES</v>
          </cell>
          <cell r="L50" t="str">
            <v>Los Liberadores 6450, Lote 4A</v>
          </cell>
          <cell r="M50" t="str">
            <v>Huechuraba</v>
          </cell>
          <cell r="N50" t="str">
            <v>B</v>
          </cell>
        </row>
        <row r="51">
          <cell r="B51">
            <v>1048</v>
          </cell>
          <cell r="C51" t="str">
            <v>D8481866K2PL</v>
          </cell>
          <cell r="D51" t="str">
            <v>YV3T7U528KA195192</v>
          </cell>
          <cell r="E51" t="str">
            <v>Volvo</v>
          </cell>
          <cell r="F51" t="str">
            <v>B8R</v>
          </cell>
          <cell r="G51" t="str">
            <v>MARCOPOLO</v>
          </cell>
          <cell r="H51" t="str">
            <v>TORINO</v>
          </cell>
          <cell r="I51">
            <v>2019</v>
          </cell>
          <cell r="J51" t="str">
            <v>B2PAL</v>
          </cell>
          <cell r="K51" t="str">
            <v>LOS LIBERTADORES</v>
          </cell>
          <cell r="L51" t="str">
            <v>Los Liberadores 6450, Lote 4A</v>
          </cell>
          <cell r="M51" t="str">
            <v>Huechuraba</v>
          </cell>
          <cell r="N51" t="str">
            <v>B</v>
          </cell>
        </row>
        <row r="52">
          <cell r="B52">
            <v>1049</v>
          </cell>
          <cell r="C52" t="str">
            <v>D8481887K2PL</v>
          </cell>
          <cell r="D52" t="str">
            <v>YV3T7U52XKA195193</v>
          </cell>
          <cell r="E52" t="str">
            <v>Volvo</v>
          </cell>
          <cell r="F52" t="str">
            <v>B8R</v>
          </cell>
          <cell r="G52" t="str">
            <v>MARCOPOLO</v>
          </cell>
          <cell r="H52" t="str">
            <v>TORINO</v>
          </cell>
          <cell r="I52">
            <v>2019</v>
          </cell>
          <cell r="J52" t="str">
            <v>B2PAL</v>
          </cell>
          <cell r="K52" t="str">
            <v>LOS LIBERTADORES</v>
          </cell>
          <cell r="L52" t="str">
            <v>Los Liberadores 6450, Lote 4A</v>
          </cell>
          <cell r="M52" t="str">
            <v>Huechuraba</v>
          </cell>
          <cell r="N52" t="str">
            <v>B</v>
          </cell>
        </row>
        <row r="53">
          <cell r="B53">
            <v>1050</v>
          </cell>
          <cell r="C53" t="str">
            <v>D8481478K2PL</v>
          </cell>
          <cell r="D53" t="str">
            <v>YV3T7U527KA195197</v>
          </cell>
          <cell r="E53" t="str">
            <v>Volvo</v>
          </cell>
          <cell r="F53" t="str">
            <v>B8R</v>
          </cell>
          <cell r="G53" t="str">
            <v>MARCOPOLO</v>
          </cell>
          <cell r="H53" t="str">
            <v>TORINO</v>
          </cell>
          <cell r="I53">
            <v>2019</v>
          </cell>
          <cell r="J53" t="str">
            <v>B2PAL</v>
          </cell>
          <cell r="K53" t="str">
            <v>LOS LIBERTADORES</v>
          </cell>
          <cell r="L53" t="str">
            <v>Los Liberadores 6450, Lote 4A</v>
          </cell>
          <cell r="M53" t="str">
            <v>Huechuraba</v>
          </cell>
          <cell r="N53" t="str">
            <v>B</v>
          </cell>
        </row>
        <row r="54">
          <cell r="B54">
            <v>1051</v>
          </cell>
          <cell r="C54" t="str">
            <v>D8481635K2PL</v>
          </cell>
          <cell r="D54" t="str">
            <v>YV3T7U529KA195198</v>
          </cell>
          <cell r="E54" t="str">
            <v>Volvo</v>
          </cell>
          <cell r="F54" t="str">
            <v>B8R</v>
          </cell>
          <cell r="G54" t="str">
            <v>MARCOPOLO</v>
          </cell>
          <cell r="H54" t="str">
            <v>TORINO</v>
          </cell>
          <cell r="I54">
            <v>2019</v>
          </cell>
          <cell r="J54" t="str">
            <v>B2PAL</v>
          </cell>
          <cell r="K54" t="str">
            <v>LOS LIBERTADORES</v>
          </cell>
          <cell r="L54" t="str">
            <v>Los Liberadores 6450, Lote 4A</v>
          </cell>
          <cell r="M54" t="str">
            <v>Huechuraba</v>
          </cell>
          <cell r="N54" t="str">
            <v>B</v>
          </cell>
        </row>
        <row r="55">
          <cell r="B55">
            <v>1052</v>
          </cell>
          <cell r="C55" t="str">
            <v>D8481607K2PL</v>
          </cell>
          <cell r="D55" t="str">
            <v>YV3T7U521KA195180</v>
          </cell>
          <cell r="E55" t="str">
            <v>Volvo</v>
          </cell>
          <cell r="F55" t="str">
            <v>B8R</v>
          </cell>
          <cell r="G55" t="str">
            <v>MARCOPOLO</v>
          </cell>
          <cell r="H55" t="str">
            <v>TORINO</v>
          </cell>
          <cell r="I55">
            <v>2019</v>
          </cell>
          <cell r="J55" t="str">
            <v>B2PAL</v>
          </cell>
          <cell r="K55" t="str">
            <v>LOS LIBERTADORES</v>
          </cell>
          <cell r="L55" t="str">
            <v>Los Liberadores 6450, Lote 4A</v>
          </cell>
          <cell r="M55" t="str">
            <v>Huechuraba</v>
          </cell>
          <cell r="N55" t="str">
            <v>B</v>
          </cell>
        </row>
        <row r="56">
          <cell r="B56">
            <v>1053</v>
          </cell>
          <cell r="C56" t="str">
            <v>D8481488K2PL</v>
          </cell>
          <cell r="D56" t="str">
            <v>YV3T7U525KA195229</v>
          </cell>
          <cell r="E56" t="str">
            <v>Volvo</v>
          </cell>
          <cell r="F56" t="str">
            <v>B8R</v>
          </cell>
          <cell r="G56" t="str">
            <v>MARCOPOLO</v>
          </cell>
          <cell r="H56" t="str">
            <v>TORINO</v>
          </cell>
          <cell r="I56">
            <v>2019</v>
          </cell>
          <cell r="J56" t="str">
            <v>B2PAL</v>
          </cell>
          <cell r="K56" t="str">
            <v>LOS LIBERTADORES</v>
          </cell>
          <cell r="L56" t="str">
            <v>Los Liberadores 6450, Lote 4A</v>
          </cell>
          <cell r="M56" t="str">
            <v>Huechuraba</v>
          </cell>
          <cell r="N56" t="str">
            <v>B</v>
          </cell>
        </row>
        <row r="57">
          <cell r="B57">
            <v>1054</v>
          </cell>
          <cell r="C57" t="str">
            <v>D8482670K2PL</v>
          </cell>
          <cell r="D57" t="str">
            <v>YV3T7U523KA195231</v>
          </cell>
          <cell r="E57" t="str">
            <v>Volvo</v>
          </cell>
          <cell r="F57" t="str">
            <v>B8R</v>
          </cell>
          <cell r="G57" t="str">
            <v>MARCOPOLO</v>
          </cell>
          <cell r="H57" t="str">
            <v>TORINO</v>
          </cell>
          <cell r="I57">
            <v>2019</v>
          </cell>
          <cell r="J57" t="str">
            <v>B2PAL</v>
          </cell>
          <cell r="K57" t="str">
            <v>LOS LIBERTADORES</v>
          </cell>
          <cell r="L57" t="str">
            <v>Los Liberadores 6450, Lote 4A</v>
          </cell>
          <cell r="M57" t="str">
            <v>Huechuraba</v>
          </cell>
          <cell r="N57" t="str">
            <v>B</v>
          </cell>
        </row>
        <row r="58">
          <cell r="B58">
            <v>1055</v>
          </cell>
          <cell r="C58" t="str">
            <v>D8481984K2PL</v>
          </cell>
          <cell r="D58" t="str">
            <v>YV3T7U524KA195268</v>
          </cell>
          <cell r="E58" t="str">
            <v>Volvo</v>
          </cell>
          <cell r="F58" t="str">
            <v>B8R</v>
          </cell>
          <cell r="G58" t="str">
            <v>MARCOPOLO</v>
          </cell>
          <cell r="H58" t="str">
            <v>TORINO</v>
          </cell>
          <cell r="I58">
            <v>2019</v>
          </cell>
          <cell r="J58" t="str">
            <v>B2PAL</v>
          </cell>
          <cell r="K58" t="str">
            <v>LOS LIBERTADORES</v>
          </cell>
          <cell r="L58" t="str">
            <v>Los Liberadores 6450, Lote 4A</v>
          </cell>
          <cell r="M58" t="str">
            <v>Huechuraba</v>
          </cell>
          <cell r="N58" t="str">
            <v>B</v>
          </cell>
        </row>
        <row r="59">
          <cell r="B59">
            <v>1056</v>
          </cell>
          <cell r="C59" t="str">
            <v>D8481907K2PL</v>
          </cell>
          <cell r="D59" t="str">
            <v>YV3T7U526KA195269</v>
          </cell>
          <cell r="E59" t="str">
            <v>Volvo</v>
          </cell>
          <cell r="F59" t="str">
            <v>B8R</v>
          </cell>
          <cell r="G59" t="str">
            <v>MARCOPOLO</v>
          </cell>
          <cell r="H59" t="str">
            <v>TORINO</v>
          </cell>
          <cell r="I59">
            <v>2019</v>
          </cell>
          <cell r="J59" t="str">
            <v>B2PAL</v>
          </cell>
          <cell r="K59" t="str">
            <v>LOS LIBERTADORES</v>
          </cell>
          <cell r="L59" t="str">
            <v>Los Liberadores 6450, Lote 4A</v>
          </cell>
          <cell r="M59" t="str">
            <v>Huechuraba</v>
          </cell>
          <cell r="N59" t="str">
            <v>B</v>
          </cell>
        </row>
        <row r="60">
          <cell r="B60">
            <v>1057</v>
          </cell>
          <cell r="C60" t="str">
            <v>D8481955K2PL</v>
          </cell>
          <cell r="D60" t="str">
            <v>YV3T7U522KA195270</v>
          </cell>
          <cell r="E60" t="str">
            <v>Volvo</v>
          </cell>
          <cell r="F60" t="str">
            <v>B8R</v>
          </cell>
          <cell r="G60" t="str">
            <v>MARCOPOLO</v>
          </cell>
          <cell r="H60" t="str">
            <v>TORINO</v>
          </cell>
          <cell r="I60">
            <v>2019</v>
          </cell>
          <cell r="J60" t="str">
            <v>B2PAL</v>
          </cell>
          <cell r="K60" t="str">
            <v>LOS LIBERTADORES</v>
          </cell>
          <cell r="L60" t="str">
            <v>Los Liberadores 6450, Lote 4A</v>
          </cell>
          <cell r="M60" t="str">
            <v>Huechuraba</v>
          </cell>
          <cell r="N60" t="str">
            <v>B</v>
          </cell>
        </row>
        <row r="61">
          <cell r="B61">
            <v>1058</v>
          </cell>
          <cell r="C61" t="str">
            <v>D8482733K2PL</v>
          </cell>
          <cell r="D61" t="str">
            <v>YV3T7U524KA195299</v>
          </cell>
          <cell r="E61" t="str">
            <v>Volvo</v>
          </cell>
          <cell r="F61" t="str">
            <v>B8R</v>
          </cell>
          <cell r="G61" t="str">
            <v>MARCOPOLO</v>
          </cell>
          <cell r="H61" t="str">
            <v>TORINO</v>
          </cell>
          <cell r="I61">
            <v>2019</v>
          </cell>
          <cell r="J61" t="str">
            <v>B2PAL</v>
          </cell>
          <cell r="K61" t="str">
            <v>LOS LIBERTADORES</v>
          </cell>
          <cell r="L61" t="str">
            <v>Los Liberadores 6450, Lote 4A</v>
          </cell>
          <cell r="M61" t="str">
            <v>Huechuraba</v>
          </cell>
          <cell r="N61" t="str">
            <v>B</v>
          </cell>
        </row>
        <row r="62">
          <cell r="B62">
            <v>1059</v>
          </cell>
          <cell r="C62" t="str">
            <v>D8482727K2PL</v>
          </cell>
          <cell r="D62" t="str">
            <v>YV3T7U527KA195300</v>
          </cell>
          <cell r="E62" t="str">
            <v>Volvo</v>
          </cell>
          <cell r="F62" t="str">
            <v>B8R</v>
          </cell>
          <cell r="G62" t="str">
            <v>MARCOPOLO</v>
          </cell>
          <cell r="H62" t="str">
            <v>TORINO</v>
          </cell>
          <cell r="I62">
            <v>2019</v>
          </cell>
          <cell r="J62" t="str">
            <v>B2PAL</v>
          </cell>
          <cell r="K62" t="str">
            <v>LOS LIBERTADORES</v>
          </cell>
          <cell r="L62" t="str">
            <v>Los Liberadores 6450, Lote 4A</v>
          </cell>
          <cell r="M62" t="str">
            <v>Huechuraba</v>
          </cell>
          <cell r="N62" t="str">
            <v>B</v>
          </cell>
        </row>
        <row r="63">
          <cell r="B63">
            <v>1060</v>
          </cell>
          <cell r="C63" t="str">
            <v>D8482362K2PL</v>
          </cell>
          <cell r="D63" t="str">
            <v>YV3T7U526KA195286</v>
          </cell>
          <cell r="E63" t="str">
            <v>Volvo</v>
          </cell>
          <cell r="F63" t="str">
            <v>B8R</v>
          </cell>
          <cell r="G63" t="str">
            <v>MARCOPOLO</v>
          </cell>
          <cell r="H63" t="str">
            <v>TORINO</v>
          </cell>
          <cell r="I63">
            <v>2019</v>
          </cell>
          <cell r="J63" t="str">
            <v>B2PAL</v>
          </cell>
          <cell r="K63" t="str">
            <v>LOS LIBERTADORES</v>
          </cell>
          <cell r="L63" t="str">
            <v>Los Liberadores 6450, Lote 4A</v>
          </cell>
          <cell r="M63" t="str">
            <v>Huechuraba</v>
          </cell>
          <cell r="N63" t="str">
            <v>B</v>
          </cell>
        </row>
        <row r="64">
          <cell r="B64">
            <v>1061</v>
          </cell>
          <cell r="C64" t="str">
            <v>D8482765K2PL</v>
          </cell>
          <cell r="D64" t="str">
            <v>YV3T7U520KA195302</v>
          </cell>
          <cell r="E64" t="str">
            <v>Volvo</v>
          </cell>
          <cell r="F64" t="str">
            <v>B8R</v>
          </cell>
          <cell r="G64" t="str">
            <v>MARCOPOLO</v>
          </cell>
          <cell r="H64" t="str">
            <v>TORINO</v>
          </cell>
          <cell r="I64">
            <v>2019</v>
          </cell>
          <cell r="J64" t="str">
            <v>B2PAL</v>
          </cell>
          <cell r="K64" t="str">
            <v>LOS LIBERTADORES</v>
          </cell>
          <cell r="L64" t="str">
            <v>Los Liberadores 6450, Lote 4A</v>
          </cell>
          <cell r="M64" t="str">
            <v>Huechuraba</v>
          </cell>
          <cell r="N64" t="str">
            <v>B</v>
          </cell>
        </row>
        <row r="65">
          <cell r="B65">
            <v>1062</v>
          </cell>
          <cell r="C65" t="str">
            <v>D8482772K2PL</v>
          </cell>
          <cell r="D65" t="str">
            <v>YV3T7U526KA195305</v>
          </cell>
          <cell r="E65" t="str">
            <v>Volvo</v>
          </cell>
          <cell r="F65" t="str">
            <v>B8R</v>
          </cell>
          <cell r="G65" t="str">
            <v>MARCOPOLO</v>
          </cell>
          <cell r="H65" t="str">
            <v>TORINO</v>
          </cell>
          <cell r="I65">
            <v>2019</v>
          </cell>
          <cell r="J65" t="str">
            <v>B2PAL</v>
          </cell>
          <cell r="K65" t="str">
            <v>LOS LIBERTADORES</v>
          </cell>
          <cell r="L65" t="str">
            <v>Los Liberadores 6450, Lote 4A</v>
          </cell>
          <cell r="M65" t="str">
            <v>Huechuraba</v>
          </cell>
          <cell r="N65" t="str">
            <v>B</v>
          </cell>
        </row>
        <row r="66">
          <cell r="B66">
            <v>1063</v>
          </cell>
          <cell r="C66" t="str">
            <v>D8481853K2PL</v>
          </cell>
          <cell r="D66" t="str">
            <v>YV3T7U523KA195195</v>
          </cell>
          <cell r="E66" t="str">
            <v>Volvo</v>
          </cell>
          <cell r="F66" t="str">
            <v>B8R</v>
          </cell>
          <cell r="G66" t="str">
            <v>MARCOPOLO</v>
          </cell>
          <cell r="H66" t="str">
            <v>TORINO</v>
          </cell>
          <cell r="I66">
            <v>2019</v>
          </cell>
          <cell r="J66" t="str">
            <v>B2PAL</v>
          </cell>
          <cell r="K66" t="str">
            <v>LOS LIBERTADORES</v>
          </cell>
          <cell r="L66" t="str">
            <v>Los Liberadores 6450, Lote 4A</v>
          </cell>
          <cell r="M66" t="str">
            <v>Huechuraba</v>
          </cell>
          <cell r="N66" t="str">
            <v>B</v>
          </cell>
        </row>
        <row r="67">
          <cell r="B67">
            <v>1064</v>
          </cell>
          <cell r="C67" t="str">
            <v>D8482473K2PL</v>
          </cell>
          <cell r="D67" t="str">
            <v>YV3T7U520KA195316</v>
          </cell>
          <cell r="E67" t="str">
            <v>Volvo</v>
          </cell>
          <cell r="F67" t="str">
            <v>B8R</v>
          </cell>
          <cell r="G67" t="str">
            <v>MARCOPOLO</v>
          </cell>
          <cell r="H67" t="str">
            <v>TORINO</v>
          </cell>
          <cell r="I67">
            <v>2019</v>
          </cell>
          <cell r="J67" t="str">
            <v>B2PAL</v>
          </cell>
          <cell r="K67" t="str">
            <v>LOS LIBERTADORES</v>
          </cell>
          <cell r="L67" t="str">
            <v>Los Liberadores 6450, Lote 4A</v>
          </cell>
          <cell r="M67" t="str">
            <v>Huechuraba</v>
          </cell>
          <cell r="N67" t="str">
            <v>B</v>
          </cell>
        </row>
        <row r="68">
          <cell r="B68">
            <v>1065</v>
          </cell>
          <cell r="C68" t="str">
            <v>D8484011K2PL</v>
          </cell>
          <cell r="D68" t="str">
            <v>YV3T7U522KA195592</v>
          </cell>
          <cell r="E68" t="str">
            <v>Volvo</v>
          </cell>
          <cell r="F68" t="str">
            <v>B8R</v>
          </cell>
          <cell r="G68" t="str">
            <v>MARCOPOLO</v>
          </cell>
          <cell r="H68" t="str">
            <v>TORINO</v>
          </cell>
          <cell r="I68">
            <v>2019</v>
          </cell>
          <cell r="J68" t="str">
            <v>B2PAL</v>
          </cell>
          <cell r="K68" t="str">
            <v>LOS LIBERTADORES</v>
          </cell>
          <cell r="L68" t="str">
            <v>Los Liberadores 6450, Lote 4A</v>
          </cell>
          <cell r="M68" t="str">
            <v>Huechuraba</v>
          </cell>
          <cell r="N68" t="str">
            <v>B</v>
          </cell>
        </row>
        <row r="69">
          <cell r="B69">
            <v>1066</v>
          </cell>
          <cell r="C69" t="str">
            <v>D8483863K2PL</v>
          </cell>
          <cell r="D69" t="str">
            <v>YV3T7U526KA195594</v>
          </cell>
          <cell r="E69" t="str">
            <v>Volvo</v>
          </cell>
          <cell r="F69" t="str">
            <v>B8R</v>
          </cell>
          <cell r="G69" t="str">
            <v>MARCOPOLO</v>
          </cell>
          <cell r="H69" t="str">
            <v>TORINO</v>
          </cell>
          <cell r="I69">
            <v>2019</v>
          </cell>
          <cell r="J69" t="str">
            <v>B2PAL</v>
          </cell>
          <cell r="K69" t="str">
            <v>LOS LIBERTADORES</v>
          </cell>
          <cell r="L69" t="str">
            <v>Los Liberadores 6450, Lote 4A</v>
          </cell>
          <cell r="M69" t="str">
            <v>Huechuraba</v>
          </cell>
          <cell r="N69" t="str">
            <v>B</v>
          </cell>
        </row>
        <row r="70">
          <cell r="B70">
            <v>1067</v>
          </cell>
          <cell r="C70" t="str">
            <v>D8452415K2PL</v>
          </cell>
          <cell r="D70" t="str">
            <v>YV3T7U529JA189190</v>
          </cell>
          <cell r="E70" t="str">
            <v>Volvo</v>
          </cell>
          <cell r="F70" t="str">
            <v>B8R</v>
          </cell>
          <cell r="G70" t="str">
            <v>MARCOPOLO</v>
          </cell>
          <cell r="H70" t="str">
            <v>TORINO</v>
          </cell>
          <cell r="I70">
            <v>2019</v>
          </cell>
          <cell r="J70" t="str">
            <v>B2PAL</v>
          </cell>
          <cell r="K70" t="str">
            <v>SAN JOSE</v>
          </cell>
          <cell r="L70" t="str">
            <v>San José 030 (José Besa 669)</v>
          </cell>
          <cell r="M70" t="str">
            <v>San Bernardo</v>
          </cell>
          <cell r="N70" t="str">
            <v>B</v>
          </cell>
        </row>
        <row r="71">
          <cell r="B71">
            <v>1068</v>
          </cell>
          <cell r="C71" t="str">
            <v>D8481542K2PL</v>
          </cell>
          <cell r="D71" t="str">
            <v>YV3T7U522KA195172</v>
          </cell>
          <cell r="E71" t="str">
            <v>Volvo</v>
          </cell>
          <cell r="F71" t="str">
            <v>B8R</v>
          </cell>
          <cell r="G71" t="str">
            <v>MARCOPOLO</v>
          </cell>
          <cell r="H71" t="str">
            <v>TORINO</v>
          </cell>
          <cell r="I71">
            <v>2019</v>
          </cell>
          <cell r="J71" t="str">
            <v>B2PAL</v>
          </cell>
          <cell r="K71" t="str">
            <v>LOS LIBERTADORES</v>
          </cell>
          <cell r="L71" t="str">
            <v>Los Liberadores 6450, Lote 4A</v>
          </cell>
          <cell r="M71" t="str">
            <v>Huechuraba</v>
          </cell>
          <cell r="N71" t="str">
            <v>B</v>
          </cell>
        </row>
        <row r="72">
          <cell r="B72">
            <v>1069</v>
          </cell>
          <cell r="C72" t="str">
            <v>D8482361K2PL</v>
          </cell>
          <cell r="D72" t="str">
            <v>YV3T7U528KA195287</v>
          </cell>
          <cell r="E72" t="str">
            <v>Volvo</v>
          </cell>
          <cell r="F72" t="str">
            <v>B8R</v>
          </cell>
          <cell r="G72" t="str">
            <v>MARCOPOLO</v>
          </cell>
          <cell r="H72" t="str">
            <v>TORINO</v>
          </cell>
          <cell r="I72">
            <v>2019</v>
          </cell>
          <cell r="J72" t="str">
            <v>B2PAL</v>
          </cell>
          <cell r="K72" t="str">
            <v>LOS LIBERTADORES</v>
          </cell>
          <cell r="L72" t="str">
            <v>Los Liberadores 6450, Lote 4A</v>
          </cell>
          <cell r="M72" t="str">
            <v>Huechuraba</v>
          </cell>
          <cell r="N72" t="str">
            <v>B</v>
          </cell>
        </row>
        <row r="73">
          <cell r="B73">
            <v>1070</v>
          </cell>
          <cell r="C73" t="str">
            <v>D8482775K2PL</v>
          </cell>
          <cell r="D73" t="str">
            <v>YV3T7U528KA195306</v>
          </cell>
          <cell r="E73" t="str">
            <v>Volvo</v>
          </cell>
          <cell r="F73" t="str">
            <v>B8R</v>
          </cell>
          <cell r="G73" t="str">
            <v>MARCOPOLO</v>
          </cell>
          <cell r="H73" t="str">
            <v>TORINO</v>
          </cell>
          <cell r="I73">
            <v>2019</v>
          </cell>
          <cell r="J73" t="str">
            <v>B2PAL</v>
          </cell>
          <cell r="K73" t="str">
            <v>LOS LIBERTADORES</v>
          </cell>
          <cell r="L73" t="str">
            <v>Los Liberadores 6450, Lote 4A</v>
          </cell>
          <cell r="M73" t="str">
            <v>Huechuraba</v>
          </cell>
          <cell r="N73" t="str">
            <v>B</v>
          </cell>
        </row>
        <row r="74">
          <cell r="B74">
            <v>1071</v>
          </cell>
          <cell r="C74" t="str">
            <v>D8482721K2PL</v>
          </cell>
          <cell r="D74" t="str">
            <v>YV3T7U52XKA195307</v>
          </cell>
          <cell r="E74" t="str">
            <v>Volvo</v>
          </cell>
          <cell r="F74" t="str">
            <v>B8R</v>
          </cell>
          <cell r="G74" t="str">
            <v>MARCOPOLO</v>
          </cell>
          <cell r="H74" t="str">
            <v>TORINO</v>
          </cell>
          <cell r="I74">
            <v>2019</v>
          </cell>
          <cell r="J74" t="str">
            <v>B2PAL</v>
          </cell>
          <cell r="K74" t="str">
            <v>LOS LIBERTADORES</v>
          </cell>
          <cell r="L74" t="str">
            <v>Los Liberadores 6450, Lote 4A</v>
          </cell>
          <cell r="M74" t="str">
            <v>Huechuraba</v>
          </cell>
          <cell r="N74" t="str">
            <v>B</v>
          </cell>
        </row>
        <row r="75">
          <cell r="B75">
            <v>1072</v>
          </cell>
          <cell r="C75" t="str">
            <v>D8482748K2PL</v>
          </cell>
          <cell r="D75" t="str">
            <v>YV3T7U521KA195308</v>
          </cell>
          <cell r="E75" t="str">
            <v>Volvo</v>
          </cell>
          <cell r="F75" t="str">
            <v>B8R</v>
          </cell>
          <cell r="G75" t="str">
            <v>MARCOPOLO</v>
          </cell>
          <cell r="H75" t="str">
            <v>TORINO</v>
          </cell>
          <cell r="I75">
            <v>2019</v>
          </cell>
          <cell r="J75" t="str">
            <v>B2PAL</v>
          </cell>
          <cell r="K75" t="str">
            <v>SAN JOSE</v>
          </cell>
          <cell r="L75" t="str">
            <v>San José 030 (José Besa 669)</v>
          </cell>
          <cell r="M75" t="str">
            <v>San Bernardo</v>
          </cell>
          <cell r="N75" t="str">
            <v>B</v>
          </cell>
        </row>
        <row r="76">
          <cell r="B76">
            <v>1073</v>
          </cell>
          <cell r="C76" t="str">
            <v>D8482485K2PL</v>
          </cell>
          <cell r="D76" t="str">
            <v>YV3T7U522KA195317</v>
          </cell>
          <cell r="E76" t="str">
            <v>Volvo</v>
          </cell>
          <cell r="F76" t="str">
            <v>B8R</v>
          </cell>
          <cell r="G76" t="str">
            <v>MARCOPOLO</v>
          </cell>
          <cell r="H76" t="str">
            <v>TORINO</v>
          </cell>
          <cell r="I76">
            <v>2019</v>
          </cell>
          <cell r="J76" t="str">
            <v>B2PAL</v>
          </cell>
          <cell r="K76" t="str">
            <v>LOS LIBERTADORES</v>
          </cell>
          <cell r="L76" t="str">
            <v>Los Liberadores 6450, Lote 4A</v>
          </cell>
          <cell r="M76" t="str">
            <v>Huechuraba</v>
          </cell>
          <cell r="N76" t="str">
            <v>B</v>
          </cell>
        </row>
        <row r="77">
          <cell r="B77">
            <v>1074</v>
          </cell>
          <cell r="C77" t="str">
            <v>D8481452K2PL</v>
          </cell>
          <cell r="D77" t="str">
            <v>YV3T7U525KA195196</v>
          </cell>
          <cell r="E77" t="str">
            <v>Volvo</v>
          </cell>
          <cell r="F77" t="str">
            <v>B8R</v>
          </cell>
          <cell r="G77" t="str">
            <v>MARCOPOLO</v>
          </cell>
          <cell r="H77" t="str">
            <v>TORINO</v>
          </cell>
          <cell r="I77">
            <v>2019</v>
          </cell>
          <cell r="J77" t="str">
            <v>B2PAL</v>
          </cell>
          <cell r="K77" t="str">
            <v>LOS LIBERTADORES</v>
          </cell>
          <cell r="L77" t="str">
            <v>Los Liberadores 6450, Lote 4A</v>
          </cell>
          <cell r="M77" t="str">
            <v>Huechuraba</v>
          </cell>
          <cell r="N77" t="str">
            <v>B</v>
          </cell>
        </row>
        <row r="78">
          <cell r="B78">
            <v>1075</v>
          </cell>
          <cell r="C78" t="str">
            <v>D8482455K2PL</v>
          </cell>
          <cell r="D78" t="str">
            <v>YV3T7U524KA195318</v>
          </cell>
          <cell r="E78" t="str">
            <v>Volvo</v>
          </cell>
          <cell r="F78" t="str">
            <v>B8R</v>
          </cell>
          <cell r="G78" t="str">
            <v>MARCOPOLO</v>
          </cell>
          <cell r="H78" t="str">
            <v>TORINO</v>
          </cell>
          <cell r="I78">
            <v>2019</v>
          </cell>
          <cell r="J78" t="str">
            <v>B2PAL</v>
          </cell>
          <cell r="K78" t="str">
            <v>LOS LIBERTADORES</v>
          </cell>
          <cell r="L78" t="str">
            <v>Los Liberadores 6450, Lote 4A</v>
          </cell>
          <cell r="M78" t="str">
            <v>Huechuraba</v>
          </cell>
          <cell r="N78" t="str">
            <v>B</v>
          </cell>
        </row>
        <row r="79">
          <cell r="B79">
            <v>1076</v>
          </cell>
          <cell r="C79" t="str">
            <v>D8482471K2PL</v>
          </cell>
          <cell r="D79" t="str">
            <v>YV3T7U526KA195319</v>
          </cell>
          <cell r="E79" t="str">
            <v>Volvo</v>
          </cell>
          <cell r="F79" t="str">
            <v>B8R</v>
          </cell>
          <cell r="G79" t="str">
            <v>MARCOPOLO</v>
          </cell>
          <cell r="H79" t="str">
            <v>TORINO</v>
          </cell>
          <cell r="I79">
            <v>2019</v>
          </cell>
          <cell r="J79" t="str">
            <v>B2PAL</v>
          </cell>
          <cell r="K79" t="str">
            <v>SAN JOSE</v>
          </cell>
          <cell r="L79" t="str">
            <v>San José 030 (José Besa 669)</v>
          </cell>
          <cell r="M79" t="str">
            <v>San Bernardo</v>
          </cell>
          <cell r="N79" t="str">
            <v>B</v>
          </cell>
        </row>
        <row r="80">
          <cell r="B80">
            <v>1077</v>
          </cell>
          <cell r="C80" t="str">
            <v>D8482458K2PL</v>
          </cell>
          <cell r="D80" t="str">
            <v>YV3T7U522KA195320</v>
          </cell>
          <cell r="E80" t="str">
            <v>Volvo</v>
          </cell>
          <cell r="F80" t="str">
            <v>B8R</v>
          </cell>
          <cell r="G80" t="str">
            <v>MARCOPOLO</v>
          </cell>
          <cell r="H80" t="str">
            <v>TORINO</v>
          </cell>
          <cell r="I80">
            <v>2019</v>
          </cell>
          <cell r="J80" t="str">
            <v>B2PAL</v>
          </cell>
          <cell r="K80" t="str">
            <v>LOS LIBERTADORES</v>
          </cell>
          <cell r="L80" t="str">
            <v>Los Liberadores 6450, Lote 4A</v>
          </cell>
          <cell r="M80" t="str">
            <v>Huechuraba</v>
          </cell>
          <cell r="N80" t="str">
            <v>B</v>
          </cell>
        </row>
        <row r="81">
          <cell r="B81">
            <v>1078</v>
          </cell>
          <cell r="C81" t="str">
            <v>D8482397K2PL</v>
          </cell>
          <cell r="D81" t="str">
            <v>YV3T7U524KA195321</v>
          </cell>
          <cell r="E81" t="str">
            <v>Volvo</v>
          </cell>
          <cell r="F81" t="str">
            <v>B8R</v>
          </cell>
          <cell r="G81" t="str">
            <v>MARCOPOLO</v>
          </cell>
          <cell r="H81" t="str">
            <v>TORINO</v>
          </cell>
          <cell r="I81">
            <v>2019</v>
          </cell>
          <cell r="J81" t="str">
            <v>B2PAL</v>
          </cell>
          <cell r="K81" t="str">
            <v>LOS LIBERTADORES</v>
          </cell>
          <cell r="L81" t="str">
            <v>Los Liberadores 6450, Lote 4A</v>
          </cell>
          <cell r="M81" t="str">
            <v>Huechuraba</v>
          </cell>
          <cell r="N81" t="str">
            <v>B</v>
          </cell>
        </row>
        <row r="82">
          <cell r="B82">
            <v>1079</v>
          </cell>
          <cell r="C82" t="str">
            <v>D8482405K2PL</v>
          </cell>
          <cell r="D82" t="str">
            <v>YV3T7U526KA195322</v>
          </cell>
          <cell r="E82" t="str">
            <v>Volvo</v>
          </cell>
          <cell r="F82" t="str">
            <v>B8R</v>
          </cell>
          <cell r="G82" t="str">
            <v>MARCOPOLO</v>
          </cell>
          <cell r="H82" t="str">
            <v>TORINO</v>
          </cell>
          <cell r="I82">
            <v>2019</v>
          </cell>
          <cell r="J82" t="str">
            <v>B2PAL</v>
          </cell>
          <cell r="K82" t="str">
            <v>SAN JOSE</v>
          </cell>
          <cell r="L82" t="str">
            <v>San José 030 (José Besa 669)</v>
          </cell>
          <cell r="M82" t="str">
            <v>San Bernardo</v>
          </cell>
          <cell r="N82" t="str">
            <v>B</v>
          </cell>
        </row>
        <row r="83">
          <cell r="B83">
            <v>1080</v>
          </cell>
          <cell r="C83" t="str">
            <v>D8482402K2PL</v>
          </cell>
          <cell r="D83" t="str">
            <v>YV3T7U528KA195323</v>
          </cell>
          <cell r="E83" t="str">
            <v>Volvo</v>
          </cell>
          <cell r="F83" t="str">
            <v>B8R</v>
          </cell>
          <cell r="G83" t="str">
            <v>MARCOPOLO</v>
          </cell>
          <cell r="H83" t="str">
            <v>TORINO</v>
          </cell>
          <cell r="I83">
            <v>2019</v>
          </cell>
          <cell r="J83" t="str">
            <v>B2PAL</v>
          </cell>
          <cell r="K83" t="str">
            <v>SAN JOSE</v>
          </cell>
          <cell r="L83" t="str">
            <v>San José 030 (José Besa 669)</v>
          </cell>
          <cell r="M83" t="str">
            <v>San Bernardo</v>
          </cell>
          <cell r="N83" t="str">
            <v>B</v>
          </cell>
        </row>
        <row r="84">
          <cell r="B84">
            <v>1081</v>
          </cell>
          <cell r="C84" t="str">
            <v>D8482422K2PL</v>
          </cell>
          <cell r="D84" t="str">
            <v>YV3T7U521KA195325</v>
          </cell>
          <cell r="E84" t="str">
            <v>Volvo</v>
          </cell>
          <cell r="F84" t="str">
            <v>B8R</v>
          </cell>
          <cell r="G84" t="str">
            <v>MARCOPOLO</v>
          </cell>
          <cell r="H84" t="str">
            <v>TORINO</v>
          </cell>
          <cell r="I84">
            <v>2019</v>
          </cell>
          <cell r="J84" t="str">
            <v>B2PAL</v>
          </cell>
          <cell r="K84" t="str">
            <v>SAN JOSE</v>
          </cell>
          <cell r="L84" t="str">
            <v>San José 030 (José Besa 669)</v>
          </cell>
          <cell r="M84" t="str">
            <v>San Bernardo</v>
          </cell>
          <cell r="N84" t="str">
            <v>B</v>
          </cell>
        </row>
        <row r="85">
          <cell r="B85">
            <v>1082</v>
          </cell>
          <cell r="C85" t="str">
            <v>D8482534K2PL</v>
          </cell>
          <cell r="D85" t="str">
            <v>YV3T7U527KA195359</v>
          </cell>
          <cell r="E85" t="str">
            <v>Volvo</v>
          </cell>
          <cell r="F85" t="str">
            <v>B8R</v>
          </cell>
          <cell r="G85" t="str">
            <v>MARCOPOLO</v>
          </cell>
          <cell r="H85" t="str">
            <v>TORINO</v>
          </cell>
          <cell r="I85">
            <v>2019</v>
          </cell>
          <cell r="J85" t="str">
            <v>B2PAL</v>
          </cell>
          <cell r="K85" t="str">
            <v>SAN JOSE</v>
          </cell>
          <cell r="L85" t="str">
            <v>San José 030 (José Besa 669)</v>
          </cell>
          <cell r="M85" t="str">
            <v>San Bernardo</v>
          </cell>
          <cell r="N85" t="str">
            <v>B</v>
          </cell>
        </row>
        <row r="86">
          <cell r="B86">
            <v>1083</v>
          </cell>
          <cell r="C86" t="str">
            <v>D8482872K2PL</v>
          </cell>
          <cell r="D86" t="str">
            <v>YV3T7U52XKA195405</v>
          </cell>
          <cell r="E86" t="str">
            <v>Volvo</v>
          </cell>
          <cell r="F86" t="str">
            <v>B8R</v>
          </cell>
          <cell r="G86" t="str">
            <v>MARCOPOLO</v>
          </cell>
          <cell r="H86" t="str">
            <v>TORINO</v>
          </cell>
          <cell r="I86">
            <v>2019</v>
          </cell>
          <cell r="J86" t="str">
            <v>B2PAL</v>
          </cell>
          <cell r="K86" t="str">
            <v>LOS LIBERTADORES</v>
          </cell>
          <cell r="L86" t="str">
            <v>Los Liberadores 6450, Lote 4A</v>
          </cell>
          <cell r="M86" t="str">
            <v>Huechuraba</v>
          </cell>
          <cell r="N86" t="str">
            <v>B</v>
          </cell>
        </row>
        <row r="87">
          <cell r="B87">
            <v>1084</v>
          </cell>
          <cell r="C87" t="str">
            <v>D8482892K2PL</v>
          </cell>
          <cell r="D87" t="str">
            <v>YV3T7U521KA195406</v>
          </cell>
          <cell r="E87" t="str">
            <v>Volvo</v>
          </cell>
          <cell r="F87" t="str">
            <v>B8R</v>
          </cell>
          <cell r="G87" t="str">
            <v>MARCOPOLO</v>
          </cell>
          <cell r="H87" t="str">
            <v>TORINO</v>
          </cell>
          <cell r="I87">
            <v>2019</v>
          </cell>
          <cell r="J87" t="str">
            <v>B2PAL</v>
          </cell>
          <cell r="K87" t="str">
            <v>SAN JOSE</v>
          </cell>
          <cell r="L87" t="str">
            <v>San José 030 (José Besa 669)</v>
          </cell>
          <cell r="M87" t="str">
            <v>San Bernardo</v>
          </cell>
          <cell r="N87" t="str">
            <v>B</v>
          </cell>
        </row>
        <row r="88">
          <cell r="B88">
            <v>1085</v>
          </cell>
          <cell r="C88" t="str">
            <v>D8481676K2PL</v>
          </cell>
          <cell r="D88" t="str">
            <v>YV3T7U520KA195199</v>
          </cell>
          <cell r="E88" t="str">
            <v>Volvo</v>
          </cell>
          <cell r="F88" t="str">
            <v>B8R</v>
          </cell>
          <cell r="G88" t="str">
            <v>MARCOPOLO</v>
          </cell>
          <cell r="H88" t="str">
            <v>TORINO</v>
          </cell>
          <cell r="I88">
            <v>2019</v>
          </cell>
          <cell r="J88" t="str">
            <v>B2PAL</v>
          </cell>
          <cell r="K88" t="str">
            <v>LOS LIBERTADORES</v>
          </cell>
          <cell r="L88" t="str">
            <v>Los Liberadores 6450, Lote 4A</v>
          </cell>
          <cell r="M88" t="str">
            <v>Huechuraba</v>
          </cell>
          <cell r="N88" t="str">
            <v>B</v>
          </cell>
        </row>
        <row r="89">
          <cell r="B89">
            <v>1086</v>
          </cell>
          <cell r="C89" t="str">
            <v>D8481773K2PL</v>
          </cell>
          <cell r="D89" t="str">
            <v>YV3T7U522KA195429</v>
          </cell>
          <cell r="E89" t="str">
            <v>Volvo</v>
          </cell>
          <cell r="F89" t="str">
            <v>B8R</v>
          </cell>
          <cell r="G89" t="str">
            <v>MARCOPOLO</v>
          </cell>
          <cell r="H89" t="str">
            <v>TORINO</v>
          </cell>
          <cell r="I89">
            <v>2019</v>
          </cell>
          <cell r="J89" t="str">
            <v>B2PAL</v>
          </cell>
          <cell r="K89" t="str">
            <v>LOS LIBERTADORES</v>
          </cell>
          <cell r="L89" t="str">
            <v>Los Liberadores 6450, Lote 4A</v>
          </cell>
          <cell r="M89" t="str">
            <v>Huechuraba</v>
          </cell>
          <cell r="N89" t="str">
            <v>B</v>
          </cell>
        </row>
        <row r="90">
          <cell r="B90">
            <v>1087</v>
          </cell>
          <cell r="C90" t="str">
            <v>D8483496K2PL</v>
          </cell>
          <cell r="D90" t="str">
            <v>YV3T7U52XKA195551</v>
          </cell>
          <cell r="E90" t="str">
            <v>Volvo</v>
          </cell>
          <cell r="F90" t="str">
            <v>B8R</v>
          </cell>
          <cell r="G90" t="str">
            <v>MARCOPOLO</v>
          </cell>
          <cell r="H90" t="str">
            <v>TORINO</v>
          </cell>
          <cell r="I90">
            <v>2019</v>
          </cell>
          <cell r="J90" t="str">
            <v>B2PAL</v>
          </cell>
          <cell r="K90" t="str">
            <v>SAN JOSE</v>
          </cell>
          <cell r="L90" t="str">
            <v>San José 030 (José Besa 669)</v>
          </cell>
          <cell r="M90" t="str">
            <v>San Bernardo</v>
          </cell>
          <cell r="N90" t="str">
            <v>B</v>
          </cell>
        </row>
        <row r="91">
          <cell r="B91">
            <v>1088</v>
          </cell>
          <cell r="C91" t="str">
            <v>D8483527K2PL</v>
          </cell>
          <cell r="D91" t="str">
            <v>YV3T7U521KA195552</v>
          </cell>
          <cell r="E91" t="str">
            <v>Volvo</v>
          </cell>
          <cell r="F91" t="str">
            <v>B8R</v>
          </cell>
          <cell r="G91" t="str">
            <v>MARCOPOLO</v>
          </cell>
          <cell r="H91" t="str">
            <v>TORINO</v>
          </cell>
          <cell r="I91">
            <v>2019</v>
          </cell>
          <cell r="J91" t="str">
            <v>B2PAL</v>
          </cell>
          <cell r="K91" t="str">
            <v>SAN JOSE</v>
          </cell>
          <cell r="L91" t="str">
            <v>San José 030 (José Besa 669)</v>
          </cell>
          <cell r="M91" t="str">
            <v>San Bernardo</v>
          </cell>
          <cell r="N91" t="str">
            <v>B</v>
          </cell>
        </row>
        <row r="92">
          <cell r="B92">
            <v>1089</v>
          </cell>
          <cell r="C92" t="str">
            <v>D8483438K2PL</v>
          </cell>
          <cell r="D92" t="str">
            <v>YV3T7U525KA195554</v>
          </cell>
          <cell r="E92" t="str">
            <v>Volvo</v>
          </cell>
          <cell r="F92" t="str">
            <v>B8R</v>
          </cell>
          <cell r="G92" t="str">
            <v>MARCOPOLO</v>
          </cell>
          <cell r="H92" t="str">
            <v>TORINO</v>
          </cell>
          <cell r="I92">
            <v>2019</v>
          </cell>
          <cell r="J92" t="str">
            <v>B2PAL</v>
          </cell>
          <cell r="K92" t="str">
            <v>SAN JOSE</v>
          </cell>
          <cell r="L92" t="str">
            <v>San José 030 (José Besa 669)</v>
          </cell>
          <cell r="M92" t="str">
            <v>San Bernardo</v>
          </cell>
          <cell r="N92" t="str">
            <v>B</v>
          </cell>
        </row>
        <row r="93">
          <cell r="B93">
            <v>1090</v>
          </cell>
          <cell r="C93" t="str">
            <v>D8484688K2PL</v>
          </cell>
          <cell r="D93" t="str">
            <v>YV3T7U521KA195714</v>
          </cell>
          <cell r="E93" t="str">
            <v>Volvo</v>
          </cell>
          <cell r="F93" t="str">
            <v>B8R</v>
          </cell>
          <cell r="G93" t="str">
            <v>MARCOPOLO</v>
          </cell>
          <cell r="H93" t="str">
            <v>TORINO</v>
          </cell>
          <cell r="I93">
            <v>2019</v>
          </cell>
          <cell r="J93" t="str">
            <v>B2PAL</v>
          </cell>
          <cell r="K93" t="str">
            <v>SAN JOSE</v>
          </cell>
          <cell r="L93" t="str">
            <v>San José 030 (José Besa 669)</v>
          </cell>
          <cell r="M93" t="str">
            <v>San Bernardo</v>
          </cell>
          <cell r="N93" t="str">
            <v>B</v>
          </cell>
        </row>
        <row r="94">
          <cell r="B94">
            <v>1091</v>
          </cell>
          <cell r="C94" t="str">
            <v>D8482515K2PL</v>
          </cell>
          <cell r="D94" t="str">
            <v>YV3T7U524KA195349</v>
          </cell>
          <cell r="E94" t="str">
            <v>Volvo</v>
          </cell>
          <cell r="F94" t="str">
            <v>B8R</v>
          </cell>
          <cell r="G94" t="str">
            <v>MARCOPOLO</v>
          </cell>
          <cell r="H94" t="str">
            <v>TORINO</v>
          </cell>
          <cell r="I94">
            <v>2019</v>
          </cell>
          <cell r="J94" t="str">
            <v>B2PAL</v>
          </cell>
          <cell r="K94" t="str">
            <v>LOS LIBERTADORES</v>
          </cell>
          <cell r="L94" t="str">
            <v>Los Liberadores 6450, Lote 4A</v>
          </cell>
          <cell r="M94" t="str">
            <v>Huechuraba</v>
          </cell>
          <cell r="N94" t="str">
            <v>B</v>
          </cell>
        </row>
        <row r="95">
          <cell r="B95">
            <v>1092</v>
          </cell>
          <cell r="C95" t="str">
            <v>D8482526K2PL</v>
          </cell>
          <cell r="D95" t="str">
            <v>YV3T7U526KA195353</v>
          </cell>
          <cell r="E95" t="str">
            <v>Volvo</v>
          </cell>
          <cell r="F95" t="str">
            <v>B8R</v>
          </cell>
          <cell r="G95" t="str">
            <v>MARCOPOLO</v>
          </cell>
          <cell r="H95" t="str">
            <v>TORINO</v>
          </cell>
          <cell r="I95">
            <v>2019</v>
          </cell>
          <cell r="J95" t="str">
            <v>B2PAL</v>
          </cell>
          <cell r="K95" t="str">
            <v>SAN JOSE</v>
          </cell>
          <cell r="L95" t="str">
            <v>San José 030 (José Besa 669)</v>
          </cell>
          <cell r="M95" t="str">
            <v>San Bernardo</v>
          </cell>
          <cell r="N95" t="str">
            <v>B</v>
          </cell>
        </row>
        <row r="96">
          <cell r="B96">
            <v>1093</v>
          </cell>
          <cell r="C96" t="str">
            <v>D8482598K2PL</v>
          </cell>
          <cell r="D96" t="str">
            <v>YV3T7U52XKA195355</v>
          </cell>
          <cell r="E96" t="str">
            <v>Volvo</v>
          </cell>
          <cell r="F96" t="str">
            <v>B8R</v>
          </cell>
          <cell r="G96" t="str">
            <v>MARCOPOLO</v>
          </cell>
          <cell r="H96" t="str">
            <v>TORINO</v>
          </cell>
          <cell r="I96">
            <v>2019</v>
          </cell>
          <cell r="J96" t="str">
            <v>B2PAL</v>
          </cell>
          <cell r="K96" t="str">
            <v>SAN JOSE</v>
          </cell>
          <cell r="L96" t="str">
            <v>San José 030 (José Besa 669)</v>
          </cell>
          <cell r="M96" t="str">
            <v>San Bernardo</v>
          </cell>
          <cell r="N96" t="str">
            <v>B</v>
          </cell>
        </row>
        <row r="97">
          <cell r="B97">
            <v>1094</v>
          </cell>
          <cell r="C97" t="str">
            <v>D8483001K2PL</v>
          </cell>
          <cell r="D97" t="str">
            <v>YV3T7U526KA195403</v>
          </cell>
          <cell r="E97" t="str">
            <v>Volvo</v>
          </cell>
          <cell r="F97" t="str">
            <v>B8R</v>
          </cell>
          <cell r="G97" t="str">
            <v>MARCOPOLO</v>
          </cell>
          <cell r="H97" t="str">
            <v>TORINO</v>
          </cell>
          <cell r="I97">
            <v>2019</v>
          </cell>
          <cell r="J97" t="str">
            <v>B2PAL</v>
          </cell>
          <cell r="K97" t="str">
            <v>LOS LIBERTADORES</v>
          </cell>
          <cell r="L97" t="str">
            <v>Los Liberadores 6450, Lote 4A</v>
          </cell>
          <cell r="M97" t="str">
            <v>Huechuraba</v>
          </cell>
          <cell r="N97" t="str">
            <v>B</v>
          </cell>
        </row>
        <row r="98">
          <cell r="B98">
            <v>1095</v>
          </cell>
          <cell r="C98" t="str">
            <v>D8483444K2PL</v>
          </cell>
          <cell r="D98" t="str">
            <v>YV3T7U528KA195404</v>
          </cell>
          <cell r="E98" t="str">
            <v>Volvo</v>
          </cell>
          <cell r="F98" t="str">
            <v>B8R</v>
          </cell>
          <cell r="G98" t="str">
            <v>MARCOPOLO</v>
          </cell>
          <cell r="H98" t="str">
            <v>TORINO</v>
          </cell>
          <cell r="I98">
            <v>2019</v>
          </cell>
          <cell r="J98" t="str">
            <v>B2PAL</v>
          </cell>
          <cell r="K98" t="str">
            <v>SAN JOSE</v>
          </cell>
          <cell r="L98" t="str">
            <v>San José 030 (José Besa 669)</v>
          </cell>
          <cell r="M98" t="str">
            <v>San Bernardo</v>
          </cell>
          <cell r="N98" t="str">
            <v>B</v>
          </cell>
        </row>
        <row r="99">
          <cell r="B99">
            <v>1096</v>
          </cell>
          <cell r="C99" t="str">
            <v>D8481462K2PL</v>
          </cell>
          <cell r="D99" t="str">
            <v>YV3T7U523KA195200</v>
          </cell>
          <cell r="E99" t="str">
            <v>Volvo</v>
          </cell>
          <cell r="F99" t="str">
            <v>B8R</v>
          </cell>
          <cell r="G99" t="str">
            <v>MARCOPOLO</v>
          </cell>
          <cell r="H99" t="str">
            <v>TORINO</v>
          </cell>
          <cell r="I99">
            <v>2019</v>
          </cell>
          <cell r="J99" t="str">
            <v>B2PAL</v>
          </cell>
          <cell r="K99" t="str">
            <v>LOS LIBERTADORES</v>
          </cell>
          <cell r="L99" t="str">
            <v>Los Liberadores 6450, Lote 4A</v>
          </cell>
          <cell r="M99" t="str">
            <v>Huechuraba</v>
          </cell>
          <cell r="N99" t="str">
            <v>B</v>
          </cell>
        </row>
        <row r="100">
          <cell r="B100">
            <v>1097</v>
          </cell>
          <cell r="C100" t="str">
            <v>D8481807K2PL</v>
          </cell>
          <cell r="D100" t="str">
            <v>YV3T7U520KA195428</v>
          </cell>
          <cell r="E100" t="str">
            <v>Volvo</v>
          </cell>
          <cell r="F100" t="str">
            <v>B8R</v>
          </cell>
          <cell r="G100" t="str">
            <v>MARCOPOLO</v>
          </cell>
          <cell r="H100" t="str">
            <v>TORINO</v>
          </cell>
          <cell r="I100">
            <v>2019</v>
          </cell>
          <cell r="J100" t="str">
            <v>B2PAL</v>
          </cell>
          <cell r="K100" t="str">
            <v>SAN JOSE</v>
          </cell>
          <cell r="L100" t="str">
            <v>San José 030 (José Besa 669)</v>
          </cell>
          <cell r="M100" t="str">
            <v>San Bernardo</v>
          </cell>
          <cell r="N100" t="str">
            <v>B</v>
          </cell>
        </row>
        <row r="101">
          <cell r="B101">
            <v>1098</v>
          </cell>
          <cell r="C101" t="str">
            <v>D8481802K2PL</v>
          </cell>
          <cell r="D101" t="str">
            <v>YV3T7U529KA195430</v>
          </cell>
          <cell r="E101" t="str">
            <v>Volvo</v>
          </cell>
          <cell r="F101" t="str">
            <v>B8R</v>
          </cell>
          <cell r="G101" t="str">
            <v>MARCOPOLO</v>
          </cell>
          <cell r="H101" t="str">
            <v>TORINO</v>
          </cell>
          <cell r="I101">
            <v>2019</v>
          </cell>
          <cell r="J101" t="str">
            <v>B2PAL</v>
          </cell>
          <cell r="K101" t="str">
            <v>SAN JOSE</v>
          </cell>
          <cell r="L101" t="str">
            <v>San José 030 (José Besa 669)</v>
          </cell>
          <cell r="M101" t="str">
            <v>San Bernardo</v>
          </cell>
          <cell r="N101" t="str">
            <v>B</v>
          </cell>
        </row>
        <row r="102">
          <cell r="B102">
            <v>1099</v>
          </cell>
          <cell r="C102" t="str">
            <v>D8481788K2PL</v>
          </cell>
          <cell r="D102" t="str">
            <v>YV3T7U520KA195431</v>
          </cell>
          <cell r="E102" t="str">
            <v>Volvo</v>
          </cell>
          <cell r="F102" t="str">
            <v>B8R</v>
          </cell>
          <cell r="G102" t="str">
            <v>MARCOPOLO</v>
          </cell>
          <cell r="H102" t="str">
            <v>TORINO</v>
          </cell>
          <cell r="I102">
            <v>2019</v>
          </cell>
          <cell r="J102" t="str">
            <v>B2PAL</v>
          </cell>
          <cell r="K102" t="str">
            <v>SAN JOSE</v>
          </cell>
          <cell r="L102" t="str">
            <v>San José 030 (José Besa 669)</v>
          </cell>
          <cell r="M102" t="str">
            <v>San Bernardo</v>
          </cell>
          <cell r="N102" t="str">
            <v>B</v>
          </cell>
        </row>
        <row r="103">
          <cell r="B103">
            <v>1028</v>
          </cell>
          <cell r="C103" t="str">
            <v>D8483123K2PL</v>
          </cell>
          <cell r="D103" t="str">
            <v>YV3T7U525KA195487</v>
          </cell>
          <cell r="E103" t="str">
            <v>Volvo</v>
          </cell>
          <cell r="F103" t="str">
            <v>B8R</v>
          </cell>
          <cell r="G103" t="str">
            <v>MARCOPOLO</v>
          </cell>
          <cell r="H103" t="str">
            <v>TORINO</v>
          </cell>
          <cell r="I103">
            <v>2019</v>
          </cell>
          <cell r="J103" t="str">
            <v>B2PAL</v>
          </cell>
          <cell r="K103" t="str">
            <v>SAN JOSE</v>
          </cell>
          <cell r="L103" t="str">
            <v>San José 030 (José Besa 669)</v>
          </cell>
          <cell r="M103" t="str">
            <v>San Bernardo</v>
          </cell>
          <cell r="N103" t="str">
            <v>B</v>
          </cell>
        </row>
        <row r="104">
          <cell r="B104">
            <v>1101</v>
          </cell>
          <cell r="C104" t="str">
            <v>D8483090K2PL</v>
          </cell>
          <cell r="D104" t="str">
            <v>YV3T7U527KA195488</v>
          </cell>
          <cell r="E104" t="str">
            <v>Volvo</v>
          </cell>
          <cell r="F104" t="str">
            <v>B8R</v>
          </cell>
          <cell r="G104" t="str">
            <v>MARCOPOLO</v>
          </cell>
          <cell r="H104" t="str">
            <v>TORINO</v>
          </cell>
          <cell r="I104">
            <v>2019</v>
          </cell>
          <cell r="J104" t="str">
            <v>B2PAL</v>
          </cell>
          <cell r="K104" t="str">
            <v>SAN JOSE</v>
          </cell>
          <cell r="L104" t="str">
            <v>San José 030 (José Besa 669)</v>
          </cell>
          <cell r="M104" t="str">
            <v>San Bernardo</v>
          </cell>
          <cell r="N104" t="str">
            <v>B</v>
          </cell>
        </row>
        <row r="105">
          <cell r="B105">
            <v>1102</v>
          </cell>
          <cell r="C105" t="str">
            <v>D8483468K2PL</v>
          </cell>
          <cell r="D105" t="str">
            <v>YV3T7U525KA195571</v>
          </cell>
          <cell r="E105" t="str">
            <v>Volvo</v>
          </cell>
          <cell r="F105" t="str">
            <v>B8R</v>
          </cell>
          <cell r="G105" t="str">
            <v>MARCOPOLO</v>
          </cell>
          <cell r="H105" t="str">
            <v>TORINO</v>
          </cell>
          <cell r="I105">
            <v>2019</v>
          </cell>
          <cell r="J105" t="str">
            <v>B2PAL</v>
          </cell>
          <cell r="K105" t="str">
            <v>SAN JOSE</v>
          </cell>
          <cell r="L105" t="str">
            <v>San José 030 (José Besa 669)</v>
          </cell>
          <cell r="M105" t="str">
            <v>San Bernardo</v>
          </cell>
          <cell r="N105" t="str">
            <v>B</v>
          </cell>
        </row>
        <row r="106">
          <cell r="B106">
            <v>1103</v>
          </cell>
          <cell r="C106" t="str">
            <v>D8483819K2PL</v>
          </cell>
          <cell r="D106" t="str">
            <v>YV3T7U520KA195686</v>
          </cell>
          <cell r="E106" t="str">
            <v>Volvo</v>
          </cell>
          <cell r="F106" t="str">
            <v>B8R</v>
          </cell>
          <cell r="G106" t="str">
            <v>MARCOPOLO</v>
          </cell>
          <cell r="H106" t="str">
            <v>TORINO</v>
          </cell>
          <cell r="I106">
            <v>2019</v>
          </cell>
          <cell r="J106" t="str">
            <v>B2PAL</v>
          </cell>
          <cell r="K106" t="str">
            <v>SAN JOSE</v>
          </cell>
          <cell r="L106" t="str">
            <v>San José 030 (José Besa 669)</v>
          </cell>
          <cell r="M106" t="str">
            <v>San Bernardo</v>
          </cell>
          <cell r="N106" t="str">
            <v>B</v>
          </cell>
        </row>
        <row r="107">
          <cell r="B107">
            <v>1104</v>
          </cell>
          <cell r="C107" t="str">
            <v>D8481869K2PL</v>
          </cell>
          <cell r="D107" t="str">
            <v>YV3T7U521KA195194</v>
          </cell>
          <cell r="E107" t="str">
            <v>Volvo</v>
          </cell>
          <cell r="F107" t="str">
            <v>B8R</v>
          </cell>
          <cell r="G107" t="str">
            <v>MARCOPOLO</v>
          </cell>
          <cell r="H107" t="str">
            <v>TORINO</v>
          </cell>
          <cell r="I107">
            <v>2019</v>
          </cell>
          <cell r="J107" t="str">
            <v>B2PAL</v>
          </cell>
          <cell r="K107" t="str">
            <v>SAN JOSE</v>
          </cell>
          <cell r="L107" t="str">
            <v>San José 030 (José Besa 669)</v>
          </cell>
          <cell r="M107" t="str">
            <v>San Bernardo</v>
          </cell>
          <cell r="N107" t="str">
            <v>B</v>
          </cell>
        </row>
        <row r="108">
          <cell r="B108">
            <v>1105</v>
          </cell>
          <cell r="C108" t="str">
            <v>D8483079K2PL</v>
          </cell>
          <cell r="D108" t="str">
            <v>YV3T7U529KA195489</v>
          </cell>
          <cell r="E108" t="str">
            <v>Volvo</v>
          </cell>
          <cell r="F108" t="str">
            <v>B8R</v>
          </cell>
          <cell r="G108" t="str">
            <v>MARCOPOLO</v>
          </cell>
          <cell r="H108" t="str">
            <v>TORINO</v>
          </cell>
          <cell r="I108">
            <v>2019</v>
          </cell>
          <cell r="J108" t="str">
            <v>B2PAL</v>
          </cell>
          <cell r="K108" t="str">
            <v>SAN JOSE</v>
          </cell>
          <cell r="L108" t="str">
            <v>San José 030 (José Besa 669)</v>
          </cell>
          <cell r="M108" t="str">
            <v>San Bernardo</v>
          </cell>
          <cell r="N108" t="str">
            <v>B</v>
          </cell>
        </row>
        <row r="109">
          <cell r="B109">
            <v>1106</v>
          </cell>
          <cell r="C109" t="str">
            <v>D8483914K2PL</v>
          </cell>
          <cell r="D109" t="str">
            <v>YV3T7U524KA195593</v>
          </cell>
          <cell r="E109" t="str">
            <v>Volvo</v>
          </cell>
          <cell r="F109" t="str">
            <v>B8R</v>
          </cell>
          <cell r="G109" t="str">
            <v>MARCOPOLO</v>
          </cell>
          <cell r="H109" t="str">
            <v>TORINO</v>
          </cell>
          <cell r="I109">
            <v>2019</v>
          </cell>
          <cell r="J109" t="str">
            <v>B2PAL</v>
          </cell>
          <cell r="K109" t="str">
            <v>SAN JOSE</v>
          </cell>
          <cell r="L109" t="str">
            <v>San José 030 (José Besa 669)</v>
          </cell>
          <cell r="M109" t="str">
            <v>San Bernardo</v>
          </cell>
          <cell r="N109" t="str">
            <v>B</v>
          </cell>
        </row>
        <row r="110">
          <cell r="B110">
            <v>1107</v>
          </cell>
          <cell r="C110" t="str">
            <v>LDYECS31XS0043931</v>
          </cell>
          <cell r="D110" t="str">
            <v>MDN35025010058</v>
          </cell>
          <cell r="E110" t="str">
            <v>Zhong Tong</v>
          </cell>
          <cell r="F110" t="str">
            <v>Lck6122evg</v>
          </cell>
          <cell r="G110" t="str">
            <v>ZHONGTONG</v>
          </cell>
          <cell r="H110" t="str">
            <v>LCK6122EVG</v>
          </cell>
          <cell r="I110">
            <v>2025</v>
          </cell>
          <cell r="J110" t="str">
            <v>B</v>
          </cell>
          <cell r="K110" t="str">
            <v>SAN JOSE</v>
          </cell>
          <cell r="L110" t="str">
            <v>San José 030 (José Besa 669)</v>
          </cell>
          <cell r="M110" t="str">
            <v>San Bernardo</v>
          </cell>
          <cell r="N110" t="str">
            <v>B</v>
          </cell>
        </row>
        <row r="111">
          <cell r="B111">
            <v>1108</v>
          </cell>
          <cell r="C111" t="str">
            <v>LDYECS315S0043917</v>
          </cell>
          <cell r="D111" t="str">
            <v>MDN35025010105</v>
          </cell>
          <cell r="E111" t="str">
            <v>Zhong Tong</v>
          </cell>
          <cell r="F111" t="str">
            <v>Lck6122evg</v>
          </cell>
          <cell r="G111" t="str">
            <v>ZHONGTONG</v>
          </cell>
          <cell r="H111" t="str">
            <v>LCK6122EVG</v>
          </cell>
          <cell r="I111">
            <v>2025</v>
          </cell>
          <cell r="J111" t="str">
            <v>B</v>
          </cell>
          <cell r="K111" t="str">
            <v>SAN JOSE</v>
          </cell>
          <cell r="L111" t="str">
            <v>San José 030 (José Besa 669)</v>
          </cell>
          <cell r="M111" t="str">
            <v>San Bernardo</v>
          </cell>
          <cell r="N111" t="str">
            <v>B</v>
          </cell>
        </row>
        <row r="112">
          <cell r="B112">
            <v>1109</v>
          </cell>
          <cell r="C112" t="str">
            <v>LDYECS319S0043970</v>
          </cell>
          <cell r="D112" t="str">
            <v>MDN35025010061</v>
          </cell>
          <cell r="E112" t="str">
            <v>Zhong Tong</v>
          </cell>
          <cell r="F112" t="str">
            <v>Lck6122evg</v>
          </cell>
          <cell r="G112" t="str">
            <v>ZHONGTONG</v>
          </cell>
          <cell r="H112" t="str">
            <v>LCK6122EVG</v>
          </cell>
          <cell r="I112">
            <v>2025</v>
          </cell>
          <cell r="J112" t="str">
            <v>B</v>
          </cell>
          <cell r="K112" t="str">
            <v>SAN JOSE</v>
          </cell>
          <cell r="L112" t="str">
            <v>San José 030 (José Besa 669)</v>
          </cell>
          <cell r="M112" t="str">
            <v>San Bernardo</v>
          </cell>
          <cell r="N112" t="str">
            <v>B</v>
          </cell>
        </row>
        <row r="113">
          <cell r="B113">
            <v>1110</v>
          </cell>
          <cell r="C113" t="str">
            <v>LDYECS318S0043930</v>
          </cell>
          <cell r="D113" t="str">
            <v>MDN35025010059</v>
          </cell>
          <cell r="E113" t="str">
            <v>Zhong Tong</v>
          </cell>
          <cell r="F113" t="str">
            <v>Lck6122evg</v>
          </cell>
          <cell r="G113" t="str">
            <v>ZHONGTONG</v>
          </cell>
          <cell r="H113" t="str">
            <v>LCK6122EVG</v>
          </cell>
          <cell r="I113">
            <v>2025</v>
          </cell>
          <cell r="J113" t="str">
            <v>B</v>
          </cell>
          <cell r="K113" t="str">
            <v>SAN JOSE</v>
          </cell>
          <cell r="L113" t="str">
            <v>San José 030 (José Besa 669)</v>
          </cell>
          <cell r="M113" t="str">
            <v>San Bernardo</v>
          </cell>
          <cell r="N113" t="str">
            <v>B</v>
          </cell>
        </row>
        <row r="114">
          <cell r="B114">
            <v>1111</v>
          </cell>
          <cell r="C114" t="str">
            <v>LDYECS319S0043919</v>
          </cell>
          <cell r="D114" t="str">
            <v>MDN35025010112</v>
          </cell>
          <cell r="E114" t="str">
            <v>Zhong Tong</v>
          </cell>
          <cell r="F114" t="str">
            <v>Lck6122evg</v>
          </cell>
          <cell r="G114" t="str">
            <v>ZHONGTONG</v>
          </cell>
          <cell r="H114" t="str">
            <v>LCK6122EVG</v>
          </cell>
          <cell r="I114">
            <v>2025</v>
          </cell>
          <cell r="J114" t="str">
            <v>B</v>
          </cell>
          <cell r="K114" t="str">
            <v>SAN JOSE</v>
          </cell>
          <cell r="L114" t="str">
            <v>San José 030 (José Besa 669)</v>
          </cell>
          <cell r="M114" t="str">
            <v>San Bernardo</v>
          </cell>
          <cell r="N114" t="str">
            <v>B</v>
          </cell>
        </row>
        <row r="115">
          <cell r="B115">
            <v>1112</v>
          </cell>
          <cell r="C115" t="str">
            <v>LDYECS314S0043908</v>
          </cell>
          <cell r="D115" t="str">
            <v>MDN35025010130</v>
          </cell>
          <cell r="E115" t="str">
            <v>Zhong Tong</v>
          </cell>
          <cell r="F115" t="str">
            <v>Lck6122evg</v>
          </cell>
          <cell r="G115" t="str">
            <v>ZHONGTONG</v>
          </cell>
          <cell r="H115" t="str">
            <v>LCK6122EVG</v>
          </cell>
          <cell r="I115">
            <v>2025</v>
          </cell>
          <cell r="J115" t="str">
            <v>B</v>
          </cell>
          <cell r="K115" t="str">
            <v>SAN JOSE</v>
          </cell>
          <cell r="L115" t="str">
            <v>San José 030 (José Besa 669)</v>
          </cell>
          <cell r="M115" t="str">
            <v>San Bernardo</v>
          </cell>
          <cell r="N115" t="str">
            <v>B</v>
          </cell>
        </row>
        <row r="116">
          <cell r="B116">
            <v>1113</v>
          </cell>
          <cell r="C116" t="str">
            <v>LDYECS312S0043924</v>
          </cell>
          <cell r="D116" t="str">
            <v>MDN35025010050</v>
          </cell>
          <cell r="E116" t="str">
            <v>Zhong Tong</v>
          </cell>
          <cell r="F116" t="str">
            <v>Lck6122evg</v>
          </cell>
          <cell r="G116" t="str">
            <v>ZHONGTONG</v>
          </cell>
          <cell r="H116" t="str">
            <v>LCK6122EVG</v>
          </cell>
          <cell r="I116">
            <v>2025</v>
          </cell>
          <cell r="J116" t="str">
            <v>B</v>
          </cell>
          <cell r="K116" t="str">
            <v>SAN JOSE</v>
          </cell>
          <cell r="L116" t="str">
            <v>San José 030 (José Besa 669)</v>
          </cell>
          <cell r="M116" t="str">
            <v>San Bernardo</v>
          </cell>
          <cell r="N116" t="str">
            <v>B</v>
          </cell>
        </row>
        <row r="117">
          <cell r="B117">
            <v>1114</v>
          </cell>
          <cell r="C117" t="str">
            <v>LDYECS311S0043946</v>
          </cell>
          <cell r="D117" t="str">
            <v>MDN35025010056</v>
          </cell>
          <cell r="E117" t="str">
            <v>Zhong Tong</v>
          </cell>
          <cell r="F117" t="str">
            <v>Lck6122evg</v>
          </cell>
          <cell r="G117" t="str">
            <v>ZHONGTONG</v>
          </cell>
          <cell r="H117" t="str">
            <v>LCK6122EVG</v>
          </cell>
          <cell r="I117">
            <v>2025</v>
          </cell>
          <cell r="J117" t="str">
            <v>B</v>
          </cell>
          <cell r="K117" t="str">
            <v>SAN JOSE</v>
          </cell>
          <cell r="L117" t="str">
            <v>San José 030 (José Besa 669)</v>
          </cell>
          <cell r="M117" t="str">
            <v>San Bernardo</v>
          </cell>
          <cell r="N117" t="str">
            <v>B</v>
          </cell>
        </row>
        <row r="118">
          <cell r="B118">
            <v>1115</v>
          </cell>
          <cell r="C118" t="str">
            <v>LDYECS318S0043913</v>
          </cell>
          <cell r="D118" t="str">
            <v>MDN35025010045</v>
          </cell>
          <cell r="E118" t="str">
            <v>Zhong Tong</v>
          </cell>
          <cell r="F118" t="str">
            <v>Lck6122evg</v>
          </cell>
          <cell r="G118" t="str">
            <v>ZHONGTONG</v>
          </cell>
          <cell r="H118" t="str">
            <v>LCK6122EVG</v>
          </cell>
          <cell r="I118">
            <v>2025</v>
          </cell>
          <cell r="J118" t="str">
            <v>B</v>
          </cell>
          <cell r="K118" t="str">
            <v>SAN JOSE</v>
          </cell>
          <cell r="L118" t="str">
            <v>San José 030 (José Besa 669)</v>
          </cell>
          <cell r="M118" t="str">
            <v>San Bernardo</v>
          </cell>
          <cell r="N118" t="str">
            <v>B</v>
          </cell>
        </row>
        <row r="119">
          <cell r="B119">
            <v>1116</v>
          </cell>
          <cell r="C119" t="str">
            <v>LDYECS31XS0043895</v>
          </cell>
          <cell r="D119" t="str">
            <v>MDN35025010235</v>
          </cell>
          <cell r="E119" t="str">
            <v>Zhong Tong</v>
          </cell>
          <cell r="F119" t="str">
            <v>Lck6122evg</v>
          </cell>
          <cell r="G119" t="str">
            <v>ZHONGTONG</v>
          </cell>
          <cell r="H119" t="str">
            <v>LCK6122EVG</v>
          </cell>
          <cell r="I119">
            <v>2025</v>
          </cell>
          <cell r="J119" t="str">
            <v>B</v>
          </cell>
          <cell r="K119" t="str">
            <v>SAN JOSE</v>
          </cell>
          <cell r="L119" t="str">
            <v>San José 030 (José Besa 669)</v>
          </cell>
          <cell r="M119" t="str">
            <v>San Bernardo</v>
          </cell>
          <cell r="N119" t="str">
            <v>B</v>
          </cell>
        </row>
        <row r="120">
          <cell r="B120">
            <v>1117</v>
          </cell>
          <cell r="C120" t="str">
            <v>LDYECS317S0043935</v>
          </cell>
          <cell r="D120" t="str">
            <v>MDN35025010210</v>
          </cell>
          <cell r="E120" t="str">
            <v>Zhong Tong</v>
          </cell>
          <cell r="F120" t="str">
            <v>Lck6122evg</v>
          </cell>
          <cell r="G120" t="str">
            <v>ZHONGTONG</v>
          </cell>
          <cell r="H120" t="str">
            <v>LCK6122EVG</v>
          </cell>
          <cell r="I120">
            <v>2025</v>
          </cell>
          <cell r="J120" t="str">
            <v>B</v>
          </cell>
          <cell r="K120" t="str">
            <v>SAN JOSE</v>
          </cell>
          <cell r="L120" t="str">
            <v>San José 030 (José Besa 669)</v>
          </cell>
          <cell r="M120" t="str">
            <v>San Bernardo</v>
          </cell>
          <cell r="N120" t="str">
            <v>B</v>
          </cell>
        </row>
        <row r="121">
          <cell r="B121">
            <v>1118</v>
          </cell>
          <cell r="C121" t="str">
            <v>LDYECS316S0043926</v>
          </cell>
          <cell r="D121" t="str">
            <v>MDN35025010044</v>
          </cell>
          <cell r="E121" t="str">
            <v>Zhong Tong</v>
          </cell>
          <cell r="F121" t="str">
            <v>Lck6122evg</v>
          </cell>
          <cell r="G121" t="str">
            <v>ZHONGTONG</v>
          </cell>
          <cell r="H121" t="str">
            <v>LCK6122EVG</v>
          </cell>
          <cell r="I121">
            <v>2025</v>
          </cell>
          <cell r="J121" t="str">
            <v>B</v>
          </cell>
          <cell r="K121" t="str">
            <v>SAN JOSE</v>
          </cell>
          <cell r="L121" t="str">
            <v>San José 030 (José Besa 669)</v>
          </cell>
          <cell r="M121" t="str">
            <v>San Bernardo</v>
          </cell>
          <cell r="N121" t="str">
            <v>B</v>
          </cell>
        </row>
        <row r="122">
          <cell r="B122">
            <v>1119</v>
          </cell>
          <cell r="C122" t="str">
            <v>LDYECS31XS0043914</v>
          </cell>
          <cell r="D122" t="str">
            <v>MDN35025010074</v>
          </cell>
          <cell r="E122" t="str">
            <v>Zhong Tong</v>
          </cell>
          <cell r="F122" t="str">
            <v>Lck6122evg</v>
          </cell>
          <cell r="G122" t="str">
            <v>ZHONGTONG</v>
          </cell>
          <cell r="H122" t="str">
            <v>LCK6122EVG</v>
          </cell>
          <cell r="I122">
            <v>2025</v>
          </cell>
          <cell r="J122" t="str">
            <v>B</v>
          </cell>
          <cell r="K122" t="str">
            <v>SAN JOSE</v>
          </cell>
          <cell r="L122" t="str">
            <v>San José 030 (José Besa 669)</v>
          </cell>
          <cell r="M122" t="str">
            <v>San Bernardo</v>
          </cell>
          <cell r="N122" t="str">
            <v>B</v>
          </cell>
        </row>
        <row r="123">
          <cell r="B123">
            <v>1120</v>
          </cell>
          <cell r="C123" t="str">
            <v>LDYECS310S0043906</v>
          </cell>
          <cell r="D123" t="str">
            <v>MDN35025010080</v>
          </cell>
          <cell r="E123" t="str">
            <v>Zhong Tong</v>
          </cell>
          <cell r="F123" t="str">
            <v>Lck6122evg</v>
          </cell>
          <cell r="G123" t="str">
            <v>ZHONGTONG</v>
          </cell>
          <cell r="H123" t="str">
            <v>LCK6122EVG</v>
          </cell>
          <cell r="I123">
            <v>2025</v>
          </cell>
          <cell r="J123" t="str">
            <v>B</v>
          </cell>
          <cell r="K123" t="str">
            <v>SAN JOSE</v>
          </cell>
          <cell r="L123" t="str">
            <v>San José 030 (José Besa 669)</v>
          </cell>
          <cell r="M123" t="str">
            <v>San Bernardo</v>
          </cell>
          <cell r="N123" t="str">
            <v>B</v>
          </cell>
        </row>
        <row r="124">
          <cell r="B124">
            <v>1121</v>
          </cell>
          <cell r="C124" t="str">
            <v>LDYECS31XS0043928</v>
          </cell>
          <cell r="D124" t="str">
            <v>MDN35025010051</v>
          </cell>
          <cell r="E124" t="str">
            <v>Zhong Tong</v>
          </cell>
          <cell r="F124" t="str">
            <v>Lck6122evg</v>
          </cell>
          <cell r="G124" t="str">
            <v>ZHONGTONG</v>
          </cell>
          <cell r="H124" t="str">
            <v>LCK6122EVG</v>
          </cell>
          <cell r="I124">
            <v>2025</v>
          </cell>
          <cell r="J124" t="str">
            <v>B</v>
          </cell>
          <cell r="K124" t="str">
            <v>SAN JOSE</v>
          </cell>
          <cell r="L124" t="str">
            <v>San José 030 (José Besa 669)</v>
          </cell>
          <cell r="M124" t="str">
            <v>San Bernardo</v>
          </cell>
          <cell r="N124" t="str">
            <v>B</v>
          </cell>
        </row>
        <row r="125">
          <cell r="B125">
            <v>1122</v>
          </cell>
          <cell r="C125" t="str">
            <v>LDYECS315S0043934</v>
          </cell>
          <cell r="D125" t="str">
            <v>MDN35025010214</v>
          </cell>
          <cell r="E125" t="str">
            <v>Zhong Tong</v>
          </cell>
          <cell r="F125" t="str">
            <v>Lck6122evg</v>
          </cell>
          <cell r="G125" t="str">
            <v>ZHONGTONG</v>
          </cell>
          <cell r="H125" t="str">
            <v>LCK6122EVG</v>
          </cell>
          <cell r="I125">
            <v>2025</v>
          </cell>
          <cell r="J125" t="str">
            <v>B</v>
          </cell>
          <cell r="K125" t="str">
            <v>CERRILLOS</v>
          </cell>
          <cell r="L125" t="str">
            <v>Calle Uno 7371</v>
          </cell>
          <cell r="M125" t="str">
            <v>Huechuraba</v>
          </cell>
          <cell r="N125" t="str">
            <v>B</v>
          </cell>
        </row>
        <row r="126">
          <cell r="B126">
            <v>1123</v>
          </cell>
          <cell r="C126" t="str">
            <v>LDYECS317S0043983</v>
          </cell>
          <cell r="D126" t="str">
            <v>MDN35025020100</v>
          </cell>
          <cell r="E126" t="str">
            <v>Zhong Tong</v>
          </cell>
          <cell r="F126" t="str">
            <v>Lck6122evg</v>
          </cell>
          <cell r="G126" t="str">
            <v>ZHONGTONG</v>
          </cell>
          <cell r="H126" t="str">
            <v>LCK6122EVG</v>
          </cell>
          <cell r="I126">
            <v>2025</v>
          </cell>
          <cell r="J126" t="str">
            <v>B</v>
          </cell>
          <cell r="K126" t="str">
            <v>LOS LIBERTADORES</v>
          </cell>
          <cell r="L126" t="str">
            <v>Los Liberadores 6450, Lote 4A</v>
          </cell>
          <cell r="M126" t="str">
            <v>Huechuraba</v>
          </cell>
          <cell r="N126" t="str">
            <v>B</v>
          </cell>
        </row>
        <row r="127">
          <cell r="B127">
            <v>1124</v>
          </cell>
          <cell r="C127" t="str">
            <v>LDYECS315S0043979</v>
          </cell>
          <cell r="D127" t="str">
            <v>MDN35025020094</v>
          </cell>
          <cell r="E127" t="str">
            <v>Zhong Tong</v>
          </cell>
          <cell r="F127" t="str">
            <v>Lck6122evg</v>
          </cell>
          <cell r="G127" t="str">
            <v>ZHONGTONG</v>
          </cell>
          <cell r="H127" t="str">
            <v>LCK6122EVG</v>
          </cell>
          <cell r="I127">
            <v>2025</v>
          </cell>
          <cell r="J127" t="str">
            <v>B</v>
          </cell>
          <cell r="K127" t="str">
            <v>LOS LIBERTADORES</v>
          </cell>
          <cell r="L127" t="str">
            <v>Los Liberadores 6450, Lote 4A</v>
          </cell>
          <cell r="M127" t="str">
            <v>Huechuraba</v>
          </cell>
          <cell r="N127" t="str">
            <v>B</v>
          </cell>
        </row>
        <row r="128">
          <cell r="B128">
            <v>1125</v>
          </cell>
          <cell r="C128" t="str">
            <v>LDYECS314S0043956</v>
          </cell>
          <cell r="D128" t="str">
            <v>MDN35025020090</v>
          </cell>
          <cell r="E128" t="str">
            <v>Zhong Tong</v>
          </cell>
          <cell r="F128" t="str">
            <v>Lck6122evg</v>
          </cell>
          <cell r="G128" t="str">
            <v>ZHONGTONG</v>
          </cell>
          <cell r="H128" t="str">
            <v>LCK6122EVG</v>
          </cell>
          <cell r="I128">
            <v>2025</v>
          </cell>
          <cell r="J128" t="str">
            <v>B</v>
          </cell>
          <cell r="K128" t="str">
            <v>LOS LIBERTADORES</v>
          </cell>
          <cell r="L128" t="str">
            <v>Los Liberadores 6450, Lote 4A</v>
          </cell>
          <cell r="M128" t="str">
            <v>Huechuraba</v>
          </cell>
          <cell r="N128" t="str">
            <v>B</v>
          </cell>
        </row>
        <row r="129">
          <cell r="B129">
            <v>1126</v>
          </cell>
          <cell r="C129" t="str">
            <v>LDYECS316S0043957</v>
          </cell>
          <cell r="D129" t="str">
            <v>MDN35025020069</v>
          </cell>
          <cell r="E129" t="str">
            <v>Zhong Tong</v>
          </cell>
          <cell r="F129" t="str">
            <v>Lck6122evg</v>
          </cell>
          <cell r="G129" t="str">
            <v>ZHONGTONG</v>
          </cell>
          <cell r="H129" t="str">
            <v>LCK6122EVG</v>
          </cell>
          <cell r="I129">
            <v>2025</v>
          </cell>
          <cell r="J129" t="str">
            <v>B</v>
          </cell>
          <cell r="K129" t="str">
            <v>SAN JOSE</v>
          </cell>
          <cell r="L129" t="str">
            <v>San José 030 (José Besa 669)</v>
          </cell>
          <cell r="M129" t="str">
            <v>San Bernardo</v>
          </cell>
          <cell r="N129" t="str">
            <v>B</v>
          </cell>
        </row>
        <row r="130">
          <cell r="B130">
            <v>1127</v>
          </cell>
          <cell r="C130" t="str">
            <v>LDYECS319S0043953</v>
          </cell>
          <cell r="D130" t="str">
            <v>MDN35025020052</v>
          </cell>
          <cell r="E130" t="str">
            <v>Zhong Tong</v>
          </cell>
          <cell r="F130" t="str">
            <v>Lck6122evg</v>
          </cell>
          <cell r="G130" t="str">
            <v>ZHONGTONG</v>
          </cell>
          <cell r="H130" t="str">
            <v>LCK6122EVG</v>
          </cell>
          <cell r="I130">
            <v>2025</v>
          </cell>
          <cell r="J130" t="str">
            <v>B</v>
          </cell>
          <cell r="K130" t="str">
            <v>SAN JOSE</v>
          </cell>
          <cell r="L130" t="str">
            <v>San José 030 (José Besa 669)</v>
          </cell>
          <cell r="M130" t="str">
            <v>San Bernardo</v>
          </cell>
          <cell r="N130" t="str">
            <v>B</v>
          </cell>
        </row>
        <row r="131">
          <cell r="B131">
            <v>1128</v>
          </cell>
          <cell r="C131" t="str">
            <v>LDYECS310S0043954</v>
          </cell>
          <cell r="D131" t="str">
            <v>MDN35025020088</v>
          </cell>
          <cell r="E131" t="str">
            <v>Zhong Tong</v>
          </cell>
          <cell r="F131" t="str">
            <v>Lck6122evg</v>
          </cell>
          <cell r="G131" t="str">
            <v>ZHONGTONG</v>
          </cell>
          <cell r="H131" t="str">
            <v>LCK6122EVG</v>
          </cell>
          <cell r="I131">
            <v>2025</v>
          </cell>
          <cell r="J131" t="str">
            <v>B</v>
          </cell>
          <cell r="K131" t="str">
            <v>SAN JOSE</v>
          </cell>
          <cell r="L131" t="str">
            <v>San José 030 (José Besa 669)</v>
          </cell>
          <cell r="M131" t="str">
            <v>San Bernardo</v>
          </cell>
          <cell r="N131" t="str">
            <v>B</v>
          </cell>
        </row>
        <row r="132">
          <cell r="B132">
            <v>1129</v>
          </cell>
          <cell r="C132" t="str">
            <v>LDYECS311S0043915</v>
          </cell>
          <cell r="D132" t="str">
            <v>MDN35025010066</v>
          </cell>
          <cell r="E132" t="str">
            <v>Zhong Tong</v>
          </cell>
          <cell r="F132" t="str">
            <v>Lck6122evg</v>
          </cell>
          <cell r="G132" t="str">
            <v>ZHONGTONG</v>
          </cell>
          <cell r="H132" t="str">
            <v>LCK6122EVG</v>
          </cell>
          <cell r="I132">
            <v>2025</v>
          </cell>
          <cell r="J132" t="str">
            <v>B</v>
          </cell>
          <cell r="K132" t="str">
            <v>SAN JOSE</v>
          </cell>
          <cell r="L132" t="str">
            <v>San José 030 (José Besa 669)</v>
          </cell>
          <cell r="M132" t="str">
            <v>San Bernardo</v>
          </cell>
          <cell r="N132" t="str">
            <v>B</v>
          </cell>
        </row>
        <row r="133">
          <cell r="B133">
            <v>1130</v>
          </cell>
          <cell r="C133" t="str">
            <v>LDYECS319S0043984</v>
          </cell>
          <cell r="D133" t="str">
            <v>MDN35025020097</v>
          </cell>
          <cell r="E133" t="str">
            <v>Zhong Tong</v>
          </cell>
          <cell r="F133" t="str">
            <v>Lck6122evg</v>
          </cell>
          <cell r="G133" t="str">
            <v>ZHONGTONG</v>
          </cell>
          <cell r="H133" t="str">
            <v>LCK6122EVG</v>
          </cell>
          <cell r="I133">
            <v>2025</v>
          </cell>
          <cell r="J133" t="str">
            <v>B</v>
          </cell>
          <cell r="K133" t="str">
            <v>CERRILLOS</v>
          </cell>
          <cell r="L133" t="str">
            <v>Calle Uno 7371</v>
          </cell>
          <cell r="M133" t="str">
            <v>Cerrillos</v>
          </cell>
          <cell r="N133" t="str">
            <v>B</v>
          </cell>
        </row>
        <row r="134">
          <cell r="B134">
            <v>1131</v>
          </cell>
          <cell r="C134" t="str">
            <v>LDYECS314S0043987</v>
          </cell>
          <cell r="D134" t="str">
            <v>MDN35025020056</v>
          </cell>
          <cell r="E134" t="str">
            <v>Zhong Tong</v>
          </cell>
          <cell r="F134" t="str">
            <v>Lck6122evg</v>
          </cell>
          <cell r="G134" t="str">
            <v>ZHONGTONG</v>
          </cell>
          <cell r="H134" t="str">
            <v>LCK6122EVG</v>
          </cell>
          <cell r="I134">
            <v>2025</v>
          </cell>
          <cell r="J134" t="str">
            <v>B</v>
          </cell>
          <cell r="K134" t="str">
            <v>LOS LIBERTADORES</v>
          </cell>
          <cell r="L134" t="str">
            <v>Los Liberadores 6450, Lote 4A</v>
          </cell>
          <cell r="M134" t="str">
            <v>Huechuraba</v>
          </cell>
          <cell r="N134" t="str">
            <v>B</v>
          </cell>
        </row>
        <row r="135">
          <cell r="B135">
            <v>1132</v>
          </cell>
          <cell r="C135" t="str">
            <v>LDYECS314S0043973</v>
          </cell>
          <cell r="D135" t="str">
            <v>MDN35025020087</v>
          </cell>
          <cell r="E135" t="str">
            <v>Zhong Tong</v>
          </cell>
          <cell r="F135" t="str">
            <v>Lck6122evg</v>
          </cell>
          <cell r="G135" t="str">
            <v>ZHONGTONG</v>
          </cell>
          <cell r="H135" t="str">
            <v>LCK6122EVG</v>
          </cell>
          <cell r="I135">
            <v>2025</v>
          </cell>
          <cell r="J135" t="str">
            <v>B</v>
          </cell>
          <cell r="K135" t="str">
            <v>LOS LIBERTADORES</v>
          </cell>
          <cell r="L135" t="str">
            <v>Los Liberadores 6450, Lote 4A</v>
          </cell>
          <cell r="M135" t="str">
            <v>Huechuraba</v>
          </cell>
          <cell r="N135" t="str">
            <v>B</v>
          </cell>
        </row>
        <row r="136">
          <cell r="B136">
            <v>1133</v>
          </cell>
          <cell r="C136" t="str">
            <v>LDYECS316S0043974</v>
          </cell>
          <cell r="D136" t="str">
            <v>MDN35025020079</v>
          </cell>
          <cell r="E136" t="str">
            <v>Zhong Tong</v>
          </cell>
          <cell r="F136" t="str">
            <v>Lck6122evg</v>
          </cell>
          <cell r="G136" t="str">
            <v>ZHONGTONG</v>
          </cell>
          <cell r="H136" t="str">
            <v>LCK6122EVG</v>
          </cell>
          <cell r="I136">
            <v>2025</v>
          </cell>
          <cell r="J136" t="str">
            <v>B</v>
          </cell>
          <cell r="K136" t="str">
            <v>LOS LIBERTADORES</v>
          </cell>
          <cell r="L136" t="str">
            <v>Los Liberadores 6450, Lote 4A</v>
          </cell>
          <cell r="M136" t="str">
            <v>Huechuraba</v>
          </cell>
          <cell r="N136" t="str">
            <v>B</v>
          </cell>
        </row>
        <row r="137">
          <cell r="B137">
            <v>1134</v>
          </cell>
          <cell r="C137" t="str">
            <v>LDYECS311S0043980</v>
          </cell>
          <cell r="D137" t="str">
            <v>MDN35025020095</v>
          </cell>
          <cell r="E137" t="str">
            <v>Zhong Tong</v>
          </cell>
          <cell r="F137" t="str">
            <v>Lck6122evg</v>
          </cell>
          <cell r="G137" t="str">
            <v>ZHONGTONG</v>
          </cell>
          <cell r="H137" t="str">
            <v>LCK6122EVG</v>
          </cell>
          <cell r="I137">
            <v>2025</v>
          </cell>
          <cell r="J137" t="str">
            <v>B</v>
          </cell>
          <cell r="K137" t="str">
            <v>LOS LIBERTADORES</v>
          </cell>
          <cell r="L137" t="str">
            <v>Los Liberadores 6450, Lote 4A</v>
          </cell>
          <cell r="M137" t="str">
            <v>Huechuraba</v>
          </cell>
          <cell r="N137" t="str">
            <v>B</v>
          </cell>
        </row>
        <row r="138">
          <cell r="B138">
            <v>1135</v>
          </cell>
          <cell r="C138" t="str">
            <v>LDYECS319S0044004</v>
          </cell>
          <cell r="D138" t="str">
            <v>MDN35025020057</v>
          </cell>
          <cell r="E138" t="str">
            <v>Zhong Tong</v>
          </cell>
          <cell r="F138" t="str">
            <v>Lck6122evg</v>
          </cell>
          <cell r="G138" t="str">
            <v>ZHONGTONG</v>
          </cell>
          <cell r="H138" t="str">
            <v>LCK6122EVG</v>
          </cell>
          <cell r="I138">
            <v>2025</v>
          </cell>
          <cell r="J138" t="str">
            <v>B</v>
          </cell>
          <cell r="K138" t="str">
            <v>LOS LIBERTADORES</v>
          </cell>
          <cell r="L138" t="str">
            <v>Los Liberadores 6450, Lote 4A</v>
          </cell>
          <cell r="M138" t="str">
            <v>Huechuraba</v>
          </cell>
          <cell r="N138" t="str">
            <v>B</v>
          </cell>
        </row>
        <row r="139">
          <cell r="B139">
            <v>1136</v>
          </cell>
          <cell r="C139" t="str">
            <v>LDYECS312S0043955</v>
          </cell>
          <cell r="D139" t="str">
            <v>MDN35025020084</v>
          </cell>
          <cell r="E139" t="str">
            <v>Zhong Tong</v>
          </cell>
          <cell r="F139" t="str">
            <v>Lck6122evg</v>
          </cell>
          <cell r="G139" t="str">
            <v>ZHONGTONG</v>
          </cell>
          <cell r="H139" t="str">
            <v>LCK6122EVG</v>
          </cell>
          <cell r="I139">
            <v>2025</v>
          </cell>
          <cell r="J139" t="str">
            <v>B</v>
          </cell>
          <cell r="K139" t="str">
            <v>LOS LIBERTADORES</v>
          </cell>
          <cell r="L139" t="str">
            <v>Los Liberadores 6450, Lote 4A</v>
          </cell>
          <cell r="M139" t="str">
            <v>Huechuraba</v>
          </cell>
          <cell r="N139" t="str">
            <v>B</v>
          </cell>
        </row>
        <row r="140">
          <cell r="B140">
            <v>1137</v>
          </cell>
          <cell r="C140" t="str">
            <v>LDYECS318S0043989</v>
          </cell>
          <cell r="D140" t="str">
            <v>MDN35025020060</v>
          </cell>
          <cell r="E140" t="str">
            <v>Zhong Tong</v>
          </cell>
          <cell r="F140" t="str">
            <v>Lck6122evg</v>
          </cell>
          <cell r="G140" t="str">
            <v>ZHONGTONG</v>
          </cell>
          <cell r="H140" t="str">
            <v>LCK6122EVG</v>
          </cell>
          <cell r="I140">
            <v>2025</v>
          </cell>
          <cell r="J140" t="str">
            <v>B</v>
          </cell>
          <cell r="K140" t="str">
            <v>LOS LIBERTADORES</v>
          </cell>
          <cell r="L140" t="str">
            <v>Los Liberadores 6450, Lote 4A</v>
          </cell>
          <cell r="M140" t="str">
            <v>Huechuraba</v>
          </cell>
          <cell r="N140" t="str">
            <v>B</v>
          </cell>
        </row>
        <row r="141">
          <cell r="B141">
            <v>1138</v>
          </cell>
          <cell r="C141" t="str">
            <v>LDYECS311S0043977</v>
          </cell>
          <cell r="D141" t="str">
            <v>MDN35025020058</v>
          </cell>
          <cell r="E141" t="str">
            <v>Zhong Tong</v>
          </cell>
          <cell r="F141" t="str">
            <v>Lck6122evg</v>
          </cell>
          <cell r="G141" t="str">
            <v>ZHONGTONG</v>
          </cell>
          <cell r="H141" t="str">
            <v>LCK6122EVG</v>
          </cell>
          <cell r="I141">
            <v>2025</v>
          </cell>
          <cell r="J141" t="str">
            <v>B</v>
          </cell>
          <cell r="K141" t="str">
            <v>LOS LIBERTADORES</v>
          </cell>
          <cell r="L141" t="str">
            <v>Los Liberadores 6450, Lote 4A</v>
          </cell>
          <cell r="M141" t="str">
            <v>Huechuraba</v>
          </cell>
          <cell r="N141" t="str">
            <v>B</v>
          </cell>
        </row>
        <row r="142">
          <cell r="B142">
            <v>1139</v>
          </cell>
          <cell r="C142" t="str">
            <v>LDYECS318S0043975</v>
          </cell>
          <cell r="D142" t="str">
            <v>MDN35025020063</v>
          </cell>
          <cell r="E142" t="str">
            <v>Zhong Tong</v>
          </cell>
          <cell r="F142" t="str">
            <v>Lck6122evg</v>
          </cell>
          <cell r="G142" t="str">
            <v>ZHONGTONG</v>
          </cell>
          <cell r="H142" t="str">
            <v>LCK6122EVG</v>
          </cell>
          <cell r="I142">
            <v>2025</v>
          </cell>
          <cell r="J142" t="str">
            <v>B</v>
          </cell>
          <cell r="K142" t="str">
            <v>LOS LIBERTADORES</v>
          </cell>
          <cell r="L142" t="str">
            <v>Los Liberadores 6450, Lote 4A</v>
          </cell>
          <cell r="M142" t="str">
            <v>Huechuraba</v>
          </cell>
          <cell r="N142" t="str">
            <v>B</v>
          </cell>
        </row>
        <row r="143">
          <cell r="B143">
            <v>1140</v>
          </cell>
          <cell r="C143" t="str">
            <v>LDYECS312S0043910</v>
          </cell>
          <cell r="D143" t="str">
            <v>MDN35025010079</v>
          </cell>
          <cell r="E143" t="str">
            <v>Zhong Tong</v>
          </cell>
          <cell r="F143" t="str">
            <v>Lck6122evg</v>
          </cell>
          <cell r="G143" t="str">
            <v>ZHONGTONG</v>
          </cell>
          <cell r="H143" t="str">
            <v>LCK6122EVG</v>
          </cell>
          <cell r="I143">
            <v>2025</v>
          </cell>
          <cell r="J143" t="str">
            <v>B</v>
          </cell>
          <cell r="K143" t="str">
            <v>SAN JOSE</v>
          </cell>
          <cell r="L143" t="str">
            <v>San José 030 (José Besa 669)</v>
          </cell>
          <cell r="M143" t="str">
            <v>San Bernardo</v>
          </cell>
          <cell r="N143" t="str">
            <v>B</v>
          </cell>
        </row>
        <row r="144">
          <cell r="B144">
            <v>1141</v>
          </cell>
          <cell r="C144" t="str">
            <v>LDYECS316S0043991</v>
          </cell>
          <cell r="D144" t="str">
            <v>MDN35025020122</v>
          </cell>
          <cell r="E144" t="str">
            <v>Zhong Tong</v>
          </cell>
          <cell r="F144" t="str">
            <v>Lck6122evg</v>
          </cell>
          <cell r="G144" t="str">
            <v>ZHONGTONG</v>
          </cell>
          <cell r="H144" t="str">
            <v>LCK6122EVG</v>
          </cell>
          <cell r="I144">
            <v>2025</v>
          </cell>
          <cell r="J144" t="str">
            <v>B</v>
          </cell>
          <cell r="K144" t="str">
            <v>LOS LIBERTADORES</v>
          </cell>
          <cell r="L144" t="str">
            <v>Los Liberadores 6450, Lote 4A</v>
          </cell>
          <cell r="M144" t="str">
            <v>Huechuraba</v>
          </cell>
          <cell r="N144" t="str">
            <v>B</v>
          </cell>
        </row>
        <row r="145">
          <cell r="B145">
            <v>1142</v>
          </cell>
          <cell r="C145" t="str">
            <v>LDYECS317S0044115</v>
          </cell>
          <cell r="D145" t="str">
            <v>MDN35025010018</v>
          </cell>
          <cell r="E145" t="str">
            <v>Zhong Tong</v>
          </cell>
          <cell r="F145" t="str">
            <v>Lck6122evg</v>
          </cell>
          <cell r="G145" t="str">
            <v>ZHONGTONG</v>
          </cell>
          <cell r="H145" t="str">
            <v>LCK6122EVG</v>
          </cell>
          <cell r="I145">
            <v>2025</v>
          </cell>
          <cell r="J145" t="str">
            <v>B</v>
          </cell>
          <cell r="K145" t="str">
            <v>LOS LIBERTADORES</v>
          </cell>
          <cell r="L145" t="str">
            <v>Los Liberadores 6450, Lote 4A</v>
          </cell>
          <cell r="M145" t="str">
            <v>Huechuraba</v>
          </cell>
          <cell r="N145" t="str">
            <v>B</v>
          </cell>
        </row>
        <row r="146">
          <cell r="B146">
            <v>1143</v>
          </cell>
          <cell r="C146" t="str">
            <v>LDYECS315S0043996</v>
          </cell>
          <cell r="D146" t="str">
            <v>MDN35025020055</v>
          </cell>
          <cell r="E146" t="str">
            <v>Zhong Tong</v>
          </cell>
          <cell r="F146" t="str">
            <v>Lck6122evg</v>
          </cell>
          <cell r="G146" t="str">
            <v>ZHONGTONG</v>
          </cell>
          <cell r="H146" t="str">
            <v>LCK6122EVG</v>
          </cell>
          <cell r="I146">
            <v>2025</v>
          </cell>
          <cell r="J146" t="str">
            <v>B</v>
          </cell>
          <cell r="K146" t="str">
            <v>LOS LIBERTADORES</v>
          </cell>
          <cell r="L146" t="str">
            <v>Los Liberadores 6450, Lote 4A</v>
          </cell>
          <cell r="M146" t="str">
            <v>Huechuraba</v>
          </cell>
          <cell r="N146" t="str">
            <v>B</v>
          </cell>
        </row>
        <row r="147">
          <cell r="B147">
            <v>1144</v>
          </cell>
          <cell r="C147" t="str">
            <v>LDYECS313S0043978</v>
          </cell>
          <cell r="D147" t="str">
            <v>MDN35025020093</v>
          </cell>
          <cell r="E147" t="str">
            <v>Zhong Tong</v>
          </cell>
          <cell r="F147" t="str">
            <v>Lck6122evg</v>
          </cell>
          <cell r="G147" t="str">
            <v>ZHONGTONG</v>
          </cell>
          <cell r="H147" t="str">
            <v>LCK6122EVG</v>
          </cell>
          <cell r="I147">
            <v>2025</v>
          </cell>
          <cell r="J147" t="str">
            <v>B</v>
          </cell>
          <cell r="K147" t="str">
            <v>LOS LIBERTADORES</v>
          </cell>
          <cell r="L147" t="str">
            <v>Los Liberadores 6450, Lote 4A</v>
          </cell>
          <cell r="M147" t="str">
            <v>Huechuraba</v>
          </cell>
          <cell r="N147" t="str">
            <v>B</v>
          </cell>
        </row>
        <row r="148">
          <cell r="B148">
            <v>1145</v>
          </cell>
          <cell r="C148" t="str">
            <v>LDYECS31XS0044027</v>
          </cell>
          <cell r="D148" t="str">
            <v>MDN35025020112</v>
          </cell>
          <cell r="E148" t="str">
            <v>Zhong Tong</v>
          </cell>
          <cell r="F148" t="str">
            <v>Lck6122evg</v>
          </cell>
          <cell r="G148" t="str">
            <v>ZHONGTONG</v>
          </cell>
          <cell r="H148" t="str">
            <v>LCK6122EVG</v>
          </cell>
          <cell r="I148">
            <v>2025</v>
          </cell>
          <cell r="J148" t="str">
            <v>B</v>
          </cell>
          <cell r="K148" t="str">
            <v>LOS LIBERTADORES</v>
          </cell>
          <cell r="L148" t="str">
            <v>Los Liberadores 6450, Lote 4A</v>
          </cell>
          <cell r="M148" t="str">
            <v>Huechuraba</v>
          </cell>
          <cell r="N148" t="str">
            <v>B</v>
          </cell>
        </row>
        <row r="149">
          <cell r="B149">
            <v>1146</v>
          </cell>
          <cell r="C149" t="str">
            <v>LDYECS315S0043982</v>
          </cell>
          <cell r="D149" t="str">
            <v>MDN35025020067</v>
          </cell>
          <cell r="E149" t="str">
            <v>Zhong Tong</v>
          </cell>
          <cell r="F149" t="str">
            <v>Lck6122evg</v>
          </cell>
          <cell r="G149" t="str">
            <v>ZHONGTONG</v>
          </cell>
          <cell r="H149" t="str">
            <v>LCK6122EVG</v>
          </cell>
          <cell r="I149">
            <v>2025</v>
          </cell>
          <cell r="J149" t="str">
            <v>B</v>
          </cell>
          <cell r="K149" t="str">
            <v>LOS LIBERTADORES</v>
          </cell>
          <cell r="L149" t="str">
            <v>Los Liberadores 6450, Lote 4A</v>
          </cell>
          <cell r="M149" t="str">
            <v>Huechuraba</v>
          </cell>
          <cell r="N149" t="str">
            <v>B</v>
          </cell>
        </row>
        <row r="150">
          <cell r="B150">
            <v>1147</v>
          </cell>
          <cell r="C150" t="str">
            <v>LDYECS317S0043997</v>
          </cell>
          <cell r="D150" t="str">
            <v>MDN35025020022</v>
          </cell>
          <cell r="E150" t="str">
            <v>Zhong Tong</v>
          </cell>
          <cell r="F150" t="str">
            <v>Lck6122evg</v>
          </cell>
          <cell r="G150" t="str">
            <v>ZHONGTONG</v>
          </cell>
          <cell r="H150" t="str">
            <v>LCK6122EVG</v>
          </cell>
          <cell r="I150">
            <v>2025</v>
          </cell>
          <cell r="J150" t="str">
            <v>B</v>
          </cell>
          <cell r="K150" t="str">
            <v>LOS LIBERTADORES</v>
          </cell>
          <cell r="L150" t="str">
            <v>Los Liberadores 6450, Lote 4A</v>
          </cell>
          <cell r="M150" t="str">
            <v>Huechuraba</v>
          </cell>
          <cell r="N150" t="str">
            <v>B</v>
          </cell>
        </row>
        <row r="151">
          <cell r="B151">
            <v>1148</v>
          </cell>
          <cell r="C151" t="str">
            <v>LDYECS314S0043911</v>
          </cell>
          <cell r="D151" t="str">
            <v>MDN35025010115</v>
          </cell>
          <cell r="E151" t="str">
            <v>Zhong Tong</v>
          </cell>
          <cell r="F151" t="str">
            <v>Lck6122evg</v>
          </cell>
          <cell r="G151" t="str">
            <v>ZHONGTONG</v>
          </cell>
          <cell r="H151" t="str">
            <v>LCK6122EVG</v>
          </cell>
          <cell r="I151">
            <v>2025</v>
          </cell>
          <cell r="J151" t="str">
            <v>B</v>
          </cell>
          <cell r="K151" t="str">
            <v>LOS LIBERTADORES</v>
          </cell>
          <cell r="L151" t="str">
            <v>Los Liberadores 6450, Lote 4A</v>
          </cell>
          <cell r="M151" t="str">
            <v>Huechuraba</v>
          </cell>
          <cell r="N151" t="str">
            <v>B</v>
          </cell>
        </row>
        <row r="152">
          <cell r="B152">
            <v>1149</v>
          </cell>
          <cell r="C152" t="str">
            <v>LDYECS314S0043925</v>
          </cell>
          <cell r="D152" t="str">
            <v>MDN35025010120</v>
          </cell>
          <cell r="E152" t="str">
            <v>Zhong Tong</v>
          </cell>
          <cell r="F152" t="str">
            <v>Lck6122evg</v>
          </cell>
          <cell r="G152" t="str">
            <v>ZHONGTONG</v>
          </cell>
          <cell r="H152" t="str">
            <v>LCK6122EVG</v>
          </cell>
          <cell r="I152">
            <v>2025</v>
          </cell>
          <cell r="J152" t="str">
            <v>B</v>
          </cell>
          <cell r="K152" t="str">
            <v>SAN JOSE</v>
          </cell>
          <cell r="L152" t="str">
            <v>San José 030 (José Besa 669)</v>
          </cell>
          <cell r="M152" t="str">
            <v>San Bernardo</v>
          </cell>
          <cell r="N152" t="str">
            <v>B</v>
          </cell>
        </row>
        <row r="153">
          <cell r="B153">
            <v>1150</v>
          </cell>
          <cell r="C153" t="str">
            <v>LDYECS315S0043898</v>
          </cell>
          <cell r="D153" t="str">
            <v>MDN35025010184</v>
          </cell>
          <cell r="E153" t="str">
            <v>Zhong Tong</v>
          </cell>
          <cell r="F153" t="str">
            <v>Lck6122evg</v>
          </cell>
          <cell r="G153" t="str">
            <v>ZHONGTONG</v>
          </cell>
          <cell r="H153" t="str">
            <v>LCK6122EVG</v>
          </cell>
          <cell r="I153">
            <v>2025</v>
          </cell>
          <cell r="J153" t="str">
            <v>B</v>
          </cell>
          <cell r="K153" t="str">
            <v>SAN JOSE</v>
          </cell>
          <cell r="L153" t="str">
            <v>San José 030 (José Besa 669)</v>
          </cell>
          <cell r="M153" t="str">
            <v>San Bernardo</v>
          </cell>
          <cell r="N153" t="str">
            <v>B</v>
          </cell>
        </row>
        <row r="154">
          <cell r="B154">
            <v>1151</v>
          </cell>
          <cell r="C154" t="str">
            <v>LDYECS316S0043909</v>
          </cell>
          <cell r="D154" t="str">
            <v>MDN35025010068</v>
          </cell>
          <cell r="E154" t="str">
            <v>Zhong Tong</v>
          </cell>
          <cell r="F154" t="str">
            <v>Lck6122evg</v>
          </cell>
          <cell r="G154" t="str">
            <v>ZHONGTONG</v>
          </cell>
          <cell r="H154" t="str">
            <v>LCK6122EVG</v>
          </cell>
          <cell r="I154">
            <v>2025</v>
          </cell>
          <cell r="J154" t="str">
            <v>B</v>
          </cell>
          <cell r="K154" t="str">
            <v>SAN JOSE</v>
          </cell>
          <cell r="L154" t="str">
            <v>San José 030 (José Besa 669)</v>
          </cell>
          <cell r="M154" t="str">
            <v>San Bernardo</v>
          </cell>
          <cell r="N154" t="str">
            <v>B</v>
          </cell>
        </row>
        <row r="155">
          <cell r="B155">
            <v>1152</v>
          </cell>
          <cell r="C155" t="str">
            <v>LDYECS316S0043943</v>
          </cell>
          <cell r="D155" t="str">
            <v>MDN35025010049</v>
          </cell>
          <cell r="E155" t="str">
            <v>Zhong Tong</v>
          </cell>
          <cell r="F155" t="str">
            <v>Lck6122evg</v>
          </cell>
          <cell r="G155" t="str">
            <v>ZHONGTONG</v>
          </cell>
          <cell r="H155" t="str">
            <v>LCK6122EVG</v>
          </cell>
          <cell r="I155">
            <v>2025</v>
          </cell>
          <cell r="J155" t="str">
            <v>B</v>
          </cell>
          <cell r="K155" t="str">
            <v>CERRILLOS</v>
          </cell>
          <cell r="L155" t="str">
            <v>Calle Uno 7371</v>
          </cell>
          <cell r="M155" t="str">
            <v>Estacion Central</v>
          </cell>
          <cell r="N155" t="str">
            <v>B</v>
          </cell>
        </row>
        <row r="156">
          <cell r="B156">
            <v>1153</v>
          </cell>
          <cell r="C156" t="str">
            <v>LDYECS319S0043905</v>
          </cell>
          <cell r="D156" t="str">
            <v>MDN35025010108</v>
          </cell>
          <cell r="E156" t="str">
            <v>Zhong Tong</v>
          </cell>
          <cell r="F156" t="str">
            <v>Lck6122evg</v>
          </cell>
          <cell r="G156" t="str">
            <v>ZHONGTONG</v>
          </cell>
          <cell r="H156" t="str">
            <v>LCK6122EVG</v>
          </cell>
          <cell r="I156">
            <v>2025</v>
          </cell>
          <cell r="J156" t="str">
            <v>B</v>
          </cell>
          <cell r="K156" t="str">
            <v>SAN ALFONSO</v>
          </cell>
          <cell r="L156" t="str">
            <v>San Alfonso 2141 (Ramón Subercaseaux 3060)</v>
          </cell>
          <cell r="M156" t="str">
            <v>Estacion Central</v>
          </cell>
          <cell r="N156" t="str">
            <v>B</v>
          </cell>
        </row>
        <row r="157">
          <cell r="B157">
            <v>1225</v>
          </cell>
          <cell r="C157" t="str">
            <v>YV3T7U520JA189191</v>
          </cell>
          <cell r="D157">
            <v>451887</v>
          </cell>
          <cell r="E157" t="str">
            <v>Volvo</v>
          </cell>
          <cell r="F157" t="str">
            <v>B8RLEA</v>
          </cell>
          <cell r="G157" t="str">
            <v>MARCOPOLO</v>
          </cell>
          <cell r="H157" t="str">
            <v>TORINO</v>
          </cell>
          <cell r="I157">
            <v>2020</v>
          </cell>
          <cell r="J157" t="str">
            <v>C</v>
          </cell>
          <cell r="K157" t="str">
            <v>SAN ALFONSO</v>
          </cell>
          <cell r="L157" t="str">
            <v>San Alfonso 2141 (Ramón Subercaseaux 3060)</v>
          </cell>
          <cell r="M157" t="str">
            <v>Estacion Central</v>
          </cell>
          <cell r="N157" t="str">
            <v>C</v>
          </cell>
        </row>
        <row r="158">
          <cell r="B158">
            <v>1154</v>
          </cell>
          <cell r="C158" t="str">
            <v>YV3T7U523LA201711</v>
          </cell>
          <cell r="D158">
            <v>508408</v>
          </cell>
          <cell r="E158" t="str">
            <v>Volvo</v>
          </cell>
          <cell r="F158" t="str">
            <v>B8RLEA</v>
          </cell>
          <cell r="G158" t="str">
            <v>MARCOPOLO</v>
          </cell>
          <cell r="H158" t="str">
            <v>GRAN VIALE</v>
          </cell>
          <cell r="I158">
            <v>2020</v>
          </cell>
          <cell r="J158" t="str">
            <v>C</v>
          </cell>
          <cell r="K158" t="str">
            <v>PIE ANDINO</v>
          </cell>
          <cell r="L158" t="str">
            <v>Pie Andino 31 (Pie Andino 383)</v>
          </cell>
          <cell r="M158" t="str">
            <v>Puente Alto</v>
          </cell>
          <cell r="N158" t="str">
            <v>C</v>
          </cell>
        </row>
        <row r="159">
          <cell r="B159">
            <v>1155</v>
          </cell>
          <cell r="C159" t="str">
            <v>YV3T7U527LA201923</v>
          </cell>
          <cell r="D159">
            <v>509327</v>
          </cell>
          <cell r="E159" t="str">
            <v>Volvo</v>
          </cell>
          <cell r="F159" t="str">
            <v>B8RLEA</v>
          </cell>
          <cell r="G159" t="str">
            <v>MARCOPOLO</v>
          </cell>
          <cell r="H159" t="str">
            <v>GRAN VIALE</v>
          </cell>
          <cell r="I159">
            <v>2020</v>
          </cell>
          <cell r="J159" t="str">
            <v>C</v>
          </cell>
          <cell r="K159" t="str">
            <v>PIE ANDINO</v>
          </cell>
          <cell r="L159" t="str">
            <v>Pie Andino 31 (Pie Andino 383)</v>
          </cell>
          <cell r="M159" t="str">
            <v>Puente Alto</v>
          </cell>
          <cell r="N159" t="str">
            <v>C</v>
          </cell>
        </row>
        <row r="160">
          <cell r="B160">
            <v>1156</v>
          </cell>
          <cell r="C160" t="str">
            <v>YV3T7U525LA201709</v>
          </cell>
          <cell r="D160">
            <v>508437</v>
          </cell>
          <cell r="E160" t="str">
            <v>Volvo</v>
          </cell>
          <cell r="F160" t="str">
            <v>B8RLEA</v>
          </cell>
          <cell r="G160" t="str">
            <v>MARCOPOLO</v>
          </cell>
          <cell r="H160" t="str">
            <v>GRAN VIALE</v>
          </cell>
          <cell r="I160">
            <v>2020</v>
          </cell>
          <cell r="J160" t="str">
            <v>C</v>
          </cell>
          <cell r="K160" t="str">
            <v>PIE ANDINO</v>
          </cell>
          <cell r="L160" t="str">
            <v>Pie Andino 31 (Pie Andino 383)</v>
          </cell>
          <cell r="M160" t="str">
            <v>Puente Alto</v>
          </cell>
          <cell r="N160" t="str">
            <v>C</v>
          </cell>
        </row>
        <row r="161">
          <cell r="B161">
            <v>1157</v>
          </cell>
          <cell r="C161" t="str">
            <v>YV3T7U520LA201665</v>
          </cell>
          <cell r="D161">
            <v>508572</v>
          </cell>
          <cell r="E161" t="str">
            <v>Volvo</v>
          </cell>
          <cell r="F161" t="str">
            <v>B8RLEA</v>
          </cell>
          <cell r="G161" t="str">
            <v>MARCOPOLO</v>
          </cell>
          <cell r="H161" t="str">
            <v>GRAN VIALE</v>
          </cell>
          <cell r="I161">
            <v>2020</v>
          </cell>
          <cell r="J161" t="str">
            <v>C</v>
          </cell>
          <cell r="K161" t="str">
            <v>PIE ANDINO</v>
          </cell>
          <cell r="L161" t="str">
            <v>Pie Andino 31 (Pie Andino 383)</v>
          </cell>
          <cell r="M161" t="str">
            <v>Puente Alto</v>
          </cell>
          <cell r="N161" t="str">
            <v>C</v>
          </cell>
        </row>
        <row r="162">
          <cell r="B162">
            <v>1158</v>
          </cell>
          <cell r="C162" t="str">
            <v>YV3T7U521LA201710</v>
          </cell>
          <cell r="D162">
            <v>508361</v>
          </cell>
          <cell r="E162" t="str">
            <v>Volvo</v>
          </cell>
          <cell r="F162" t="str">
            <v>B8RLEA</v>
          </cell>
          <cell r="G162" t="str">
            <v>MARCOPOLO</v>
          </cell>
          <cell r="H162" t="str">
            <v>GRAN VIALE</v>
          </cell>
          <cell r="I162">
            <v>2020</v>
          </cell>
          <cell r="J162" t="str">
            <v>C</v>
          </cell>
          <cell r="K162" t="str">
            <v>PIE ANDINO</v>
          </cell>
          <cell r="L162" t="str">
            <v>Pie Andino 31 (Pie Andino 383)</v>
          </cell>
          <cell r="M162" t="str">
            <v>Puente Alto</v>
          </cell>
          <cell r="N162" t="str">
            <v>C</v>
          </cell>
        </row>
        <row r="163">
          <cell r="B163">
            <v>1159</v>
          </cell>
          <cell r="C163" t="str">
            <v>YV3T7U526LA201699</v>
          </cell>
          <cell r="D163">
            <v>508380</v>
          </cell>
          <cell r="E163" t="str">
            <v>Volvo</v>
          </cell>
          <cell r="F163" t="str">
            <v>B8RLEA</v>
          </cell>
          <cell r="G163" t="str">
            <v>MARCOPOLO</v>
          </cell>
          <cell r="H163" t="str">
            <v>GRAN VIALE</v>
          </cell>
          <cell r="I163">
            <v>2020</v>
          </cell>
          <cell r="J163" t="str">
            <v>C</v>
          </cell>
          <cell r="K163" t="str">
            <v>PIE ANDINO</v>
          </cell>
          <cell r="L163" t="str">
            <v>Pie Andino 31 (Pie Andino 383)</v>
          </cell>
          <cell r="M163" t="str">
            <v>Puente Alto</v>
          </cell>
          <cell r="N163" t="str">
            <v>C</v>
          </cell>
        </row>
        <row r="164">
          <cell r="B164">
            <v>1160</v>
          </cell>
          <cell r="C164" t="str">
            <v>YV3T7U522LA201697</v>
          </cell>
          <cell r="D164">
            <v>508444</v>
          </cell>
          <cell r="E164" t="str">
            <v>Volvo</v>
          </cell>
          <cell r="F164" t="str">
            <v>B8RLEA</v>
          </cell>
          <cell r="G164" t="str">
            <v>MARCOPOLO</v>
          </cell>
          <cell r="H164" t="str">
            <v>GRAN VIALE</v>
          </cell>
          <cell r="I164">
            <v>2020</v>
          </cell>
          <cell r="J164" t="str">
            <v>C</v>
          </cell>
          <cell r="K164" t="str">
            <v>PIE ANDINO</v>
          </cell>
          <cell r="L164" t="str">
            <v>Pie Andino 31 (Pie Andino 383)</v>
          </cell>
          <cell r="M164" t="str">
            <v>Puente Alto</v>
          </cell>
          <cell r="N164" t="str">
            <v>C</v>
          </cell>
        </row>
        <row r="165">
          <cell r="B165">
            <v>1161</v>
          </cell>
          <cell r="C165" t="str">
            <v>YV3T7U524LA201698</v>
          </cell>
          <cell r="D165">
            <v>508467</v>
          </cell>
          <cell r="E165" t="str">
            <v>Volvo</v>
          </cell>
          <cell r="F165" t="str">
            <v>B8RLEA</v>
          </cell>
          <cell r="G165" t="str">
            <v>MARCOPOLO</v>
          </cell>
          <cell r="H165" t="str">
            <v>GRAN VIALE</v>
          </cell>
          <cell r="I165">
            <v>2020</v>
          </cell>
          <cell r="J165" t="str">
            <v>C</v>
          </cell>
          <cell r="K165" t="str">
            <v>PIE ANDINO</v>
          </cell>
          <cell r="L165" t="str">
            <v>Pie Andino 31 (Pie Andino 383)</v>
          </cell>
          <cell r="M165" t="str">
            <v>Puente Alto</v>
          </cell>
          <cell r="N165" t="str">
            <v>C</v>
          </cell>
        </row>
        <row r="166">
          <cell r="B166">
            <v>1162</v>
          </cell>
          <cell r="C166" t="str">
            <v>YV3T7U523LA198728</v>
          </cell>
          <cell r="D166">
            <v>508196</v>
          </cell>
          <cell r="E166" t="str">
            <v>Volvo</v>
          </cell>
          <cell r="F166" t="str">
            <v>B8RLEA</v>
          </cell>
          <cell r="G166" t="str">
            <v>MARCOPOLO</v>
          </cell>
          <cell r="H166" t="str">
            <v>GRAN VIALE</v>
          </cell>
          <cell r="I166">
            <v>2020</v>
          </cell>
          <cell r="J166" t="str">
            <v>C</v>
          </cell>
          <cell r="K166" t="str">
            <v>PIE ANDINO</v>
          </cell>
          <cell r="L166" t="str">
            <v>Pie Andino 31 (Pie Andino 383)</v>
          </cell>
          <cell r="M166" t="str">
            <v>Puente Alto</v>
          </cell>
          <cell r="N166" t="str">
            <v>C</v>
          </cell>
        </row>
        <row r="167">
          <cell r="B167">
            <v>1163</v>
          </cell>
          <cell r="C167" t="str">
            <v>YV3T7U526LA201623</v>
          </cell>
          <cell r="D167">
            <v>508277</v>
          </cell>
          <cell r="E167" t="str">
            <v>Volvo</v>
          </cell>
          <cell r="F167" t="str">
            <v>B8RLEA</v>
          </cell>
          <cell r="G167" t="str">
            <v>MARCOPOLO</v>
          </cell>
          <cell r="H167" t="str">
            <v>GRAN VIALE</v>
          </cell>
          <cell r="I167">
            <v>2020</v>
          </cell>
          <cell r="J167" t="str">
            <v>C</v>
          </cell>
          <cell r="K167" t="str">
            <v>PIE ANDINO</v>
          </cell>
          <cell r="L167" t="str">
            <v>Pie Andino 31 (Pie Andino 383)</v>
          </cell>
          <cell r="M167" t="str">
            <v>Puente Alto</v>
          </cell>
          <cell r="N167" t="str">
            <v>C</v>
          </cell>
        </row>
        <row r="168">
          <cell r="B168">
            <v>1164</v>
          </cell>
          <cell r="C168" t="str">
            <v>YV3T7U52XLA198726</v>
          </cell>
          <cell r="D168">
            <v>508208</v>
          </cell>
          <cell r="E168" t="str">
            <v>Volvo</v>
          </cell>
          <cell r="F168" t="str">
            <v>B8RLEA</v>
          </cell>
          <cell r="G168" t="str">
            <v>MARCOPOLO</v>
          </cell>
          <cell r="H168" t="str">
            <v>GRAN VIALE</v>
          </cell>
          <cell r="I168">
            <v>2020</v>
          </cell>
          <cell r="J168" t="str">
            <v>C</v>
          </cell>
          <cell r="K168" t="str">
            <v>PIE ANDINO</v>
          </cell>
          <cell r="L168" t="str">
            <v>Pie Andino 31 (Pie Andino 383)</v>
          </cell>
          <cell r="M168" t="str">
            <v>Puente Alto</v>
          </cell>
          <cell r="N168" t="str">
            <v>C</v>
          </cell>
        </row>
        <row r="169">
          <cell r="B169">
            <v>1165</v>
          </cell>
          <cell r="C169" t="str">
            <v>YV3T7U526LA198724</v>
          </cell>
          <cell r="D169">
            <v>508167</v>
          </cell>
          <cell r="E169" t="str">
            <v>Volvo</v>
          </cell>
          <cell r="F169" t="str">
            <v>B8RLEA</v>
          </cell>
          <cell r="G169" t="str">
            <v>MARCOPOLO</v>
          </cell>
          <cell r="H169" t="str">
            <v>GRAN VIALE</v>
          </cell>
          <cell r="I169">
            <v>2020</v>
          </cell>
          <cell r="J169" t="str">
            <v>C</v>
          </cell>
          <cell r="K169" t="str">
            <v>PIE ANDINO</v>
          </cell>
          <cell r="L169" t="str">
            <v>Pie Andino 31 (Pie Andino 383)</v>
          </cell>
          <cell r="M169" t="str">
            <v>Puente Alto</v>
          </cell>
          <cell r="N169" t="str">
            <v>C</v>
          </cell>
        </row>
        <row r="170">
          <cell r="B170">
            <v>1166</v>
          </cell>
          <cell r="C170" t="str">
            <v>YV3T7U521LA201500</v>
          </cell>
          <cell r="D170">
            <v>507859</v>
          </cell>
          <cell r="E170" t="str">
            <v>Volvo</v>
          </cell>
          <cell r="F170" t="str">
            <v>B8RLEA</v>
          </cell>
          <cell r="G170" t="str">
            <v>MARCOPOLO</v>
          </cell>
          <cell r="H170" t="str">
            <v>GRAN VIALE</v>
          </cell>
          <cell r="I170">
            <v>2020</v>
          </cell>
          <cell r="J170" t="str">
            <v>C</v>
          </cell>
          <cell r="K170" t="str">
            <v>PIE ANDINO</v>
          </cell>
          <cell r="L170" t="str">
            <v>Pie Andino 31 (Pie Andino 383)</v>
          </cell>
          <cell r="M170" t="str">
            <v>Puente Alto</v>
          </cell>
          <cell r="N170" t="str">
            <v>C</v>
          </cell>
        </row>
        <row r="171">
          <cell r="B171">
            <v>1167</v>
          </cell>
          <cell r="C171" t="str">
            <v>YV3T7U522LA198722</v>
          </cell>
          <cell r="D171">
            <v>508172</v>
          </cell>
          <cell r="E171" t="str">
            <v>Volvo</v>
          </cell>
          <cell r="F171" t="str">
            <v>B8RLEA</v>
          </cell>
          <cell r="G171" t="str">
            <v>MARCOPOLO</v>
          </cell>
          <cell r="H171" t="str">
            <v>GRAN VIALE</v>
          </cell>
          <cell r="I171">
            <v>2020</v>
          </cell>
          <cell r="J171" t="str">
            <v>C</v>
          </cell>
          <cell r="K171" t="str">
            <v>PIE ANDINO</v>
          </cell>
          <cell r="L171" t="str">
            <v>Pie Andino 31 (Pie Andino 383)</v>
          </cell>
          <cell r="M171" t="str">
            <v>Puente Alto</v>
          </cell>
          <cell r="N171" t="str">
            <v>C</v>
          </cell>
        </row>
        <row r="172">
          <cell r="B172">
            <v>1226</v>
          </cell>
          <cell r="C172" t="str">
            <v>YV3T7U520LA201696</v>
          </cell>
          <cell r="D172">
            <v>508690</v>
          </cell>
          <cell r="E172" t="str">
            <v>Volvo</v>
          </cell>
          <cell r="F172" t="str">
            <v>B8RLEA</v>
          </cell>
          <cell r="G172" t="str">
            <v>MARCOPOLO</v>
          </cell>
          <cell r="H172" t="str">
            <v>GRAN VIALE</v>
          </cell>
          <cell r="I172">
            <v>2020</v>
          </cell>
          <cell r="J172" t="str">
            <v>C</v>
          </cell>
          <cell r="K172" t="str">
            <v>SAN ALFONSO</v>
          </cell>
          <cell r="L172" t="str">
            <v>San Alfonso 2141 (Ramón Subercaseaux 3060)</v>
          </cell>
          <cell r="M172" t="str">
            <v>Estacion Central</v>
          </cell>
          <cell r="N172" t="str">
            <v>C</v>
          </cell>
        </row>
        <row r="173">
          <cell r="B173">
            <v>1168</v>
          </cell>
          <cell r="C173" t="str">
            <v>YV3T7U52XLA201608</v>
          </cell>
          <cell r="D173">
            <v>508223</v>
          </cell>
          <cell r="E173" t="str">
            <v>Volvo</v>
          </cell>
          <cell r="F173" t="str">
            <v>B8RLEA</v>
          </cell>
          <cell r="G173" t="str">
            <v>MARCOPOLO</v>
          </cell>
          <cell r="H173" t="str">
            <v>GRAN VIALE</v>
          </cell>
          <cell r="I173">
            <v>2020</v>
          </cell>
          <cell r="J173" t="str">
            <v>C</v>
          </cell>
          <cell r="K173" t="str">
            <v>PIE ANDINO</v>
          </cell>
          <cell r="L173" t="str">
            <v>Pie Andino 31 (Pie Andino 383)</v>
          </cell>
          <cell r="M173" t="str">
            <v>Puente Alto</v>
          </cell>
          <cell r="N173" t="str">
            <v>C</v>
          </cell>
        </row>
        <row r="174">
          <cell r="B174">
            <v>1169</v>
          </cell>
          <cell r="C174" t="str">
            <v>YV3T7U521LA201545</v>
          </cell>
          <cell r="D174">
            <v>508144</v>
          </cell>
          <cell r="E174" t="str">
            <v>Volvo</v>
          </cell>
          <cell r="F174" t="str">
            <v>B8RLEA</v>
          </cell>
          <cell r="G174" t="str">
            <v>MARCOPOLO</v>
          </cell>
          <cell r="H174" t="str">
            <v>GRAN VIALE</v>
          </cell>
          <cell r="I174">
            <v>2020</v>
          </cell>
          <cell r="J174" t="str">
            <v>C</v>
          </cell>
          <cell r="K174" t="str">
            <v>PIE ANDINO</v>
          </cell>
          <cell r="L174" t="str">
            <v>Pie Andino 31 (Pie Andino 383)</v>
          </cell>
          <cell r="M174" t="str">
            <v>Puente Alto</v>
          </cell>
          <cell r="N174" t="str">
            <v>C</v>
          </cell>
        </row>
        <row r="175">
          <cell r="B175">
            <v>1170</v>
          </cell>
          <cell r="C175" t="str">
            <v>YV3T7U528LA201543</v>
          </cell>
          <cell r="D175">
            <v>508132</v>
          </cell>
          <cell r="E175" t="str">
            <v>Volvo</v>
          </cell>
          <cell r="F175" t="str">
            <v>B8RLEA</v>
          </cell>
          <cell r="G175" t="str">
            <v>MARCOPOLO</v>
          </cell>
          <cell r="H175" t="str">
            <v>GRAN VIALE</v>
          </cell>
          <cell r="I175">
            <v>2020</v>
          </cell>
          <cell r="J175" t="str">
            <v>C</v>
          </cell>
          <cell r="K175" t="str">
            <v>PIE ANDINO</v>
          </cell>
          <cell r="L175" t="str">
            <v>Pie Andino 31 (Pie Andino 383)</v>
          </cell>
          <cell r="M175" t="str">
            <v>Puente Alto</v>
          </cell>
          <cell r="N175" t="str">
            <v>C</v>
          </cell>
        </row>
        <row r="176">
          <cell r="B176">
            <v>1171</v>
          </cell>
          <cell r="C176" t="str">
            <v>YV3T7U528LA201624</v>
          </cell>
          <cell r="D176">
            <v>508345</v>
          </cell>
          <cell r="E176" t="str">
            <v>Volvo</v>
          </cell>
          <cell r="F176" t="str">
            <v>B8RLEA</v>
          </cell>
          <cell r="G176" t="str">
            <v>MARCOPOLO</v>
          </cell>
          <cell r="H176" t="str">
            <v>GRAN VIALE</v>
          </cell>
          <cell r="I176">
            <v>2020</v>
          </cell>
          <cell r="J176" t="str">
            <v>C</v>
          </cell>
          <cell r="K176" t="str">
            <v>PIE ANDINO</v>
          </cell>
          <cell r="L176" t="str">
            <v>Pie Andino 31 (Pie Andino 383)</v>
          </cell>
          <cell r="M176" t="str">
            <v>Puente Alto</v>
          </cell>
          <cell r="N176" t="str">
            <v>C</v>
          </cell>
        </row>
        <row r="177">
          <cell r="B177">
            <v>1172</v>
          </cell>
          <cell r="C177" t="str">
            <v>YV3T7U525LA198729</v>
          </cell>
          <cell r="D177">
            <v>508201</v>
          </cell>
          <cell r="E177" t="str">
            <v>Volvo</v>
          </cell>
          <cell r="F177" t="str">
            <v>B8RLEA</v>
          </cell>
          <cell r="G177" t="str">
            <v>MARCOPOLO</v>
          </cell>
          <cell r="H177" t="str">
            <v>GRAN VIALE</v>
          </cell>
          <cell r="I177">
            <v>2020</v>
          </cell>
          <cell r="J177" t="str">
            <v>C</v>
          </cell>
          <cell r="K177" t="str">
            <v>PIE ANDINO</v>
          </cell>
          <cell r="L177" t="str">
            <v>Pie Andino 31 (Pie Andino 383)</v>
          </cell>
          <cell r="M177" t="str">
            <v>Puente Alto</v>
          </cell>
          <cell r="N177" t="str">
            <v>C</v>
          </cell>
        </row>
        <row r="178">
          <cell r="B178">
            <v>1173</v>
          </cell>
          <cell r="C178" t="str">
            <v>YV3T7U526LA201542</v>
          </cell>
          <cell r="D178">
            <v>508119</v>
          </cell>
          <cell r="E178" t="str">
            <v>Volvo</v>
          </cell>
          <cell r="F178" t="str">
            <v>B8RLEA</v>
          </cell>
          <cell r="G178" t="str">
            <v>MARCOPOLO</v>
          </cell>
          <cell r="H178" t="str">
            <v>GRAN VIALE</v>
          </cell>
          <cell r="I178">
            <v>2020</v>
          </cell>
          <cell r="J178" t="str">
            <v>C</v>
          </cell>
          <cell r="K178" t="str">
            <v>PIE ANDINO</v>
          </cell>
          <cell r="L178" t="str">
            <v>Pie Andino 31 (Pie Andino 383)</v>
          </cell>
          <cell r="M178" t="str">
            <v>Puente Alto</v>
          </cell>
          <cell r="N178" t="str">
            <v>C</v>
          </cell>
        </row>
        <row r="179">
          <cell r="B179">
            <v>1174</v>
          </cell>
          <cell r="C179" t="str">
            <v>YV3T7U524LA201622</v>
          </cell>
          <cell r="D179">
            <v>508282</v>
          </cell>
          <cell r="E179" t="str">
            <v>Volvo</v>
          </cell>
          <cell r="F179" t="str">
            <v>B8RLEA</v>
          </cell>
          <cell r="G179" t="str">
            <v>MARCOPOLO</v>
          </cell>
          <cell r="H179" t="str">
            <v>GRAN VIALE</v>
          </cell>
          <cell r="I179">
            <v>2020</v>
          </cell>
          <cell r="J179" t="str">
            <v>C</v>
          </cell>
          <cell r="K179" t="str">
            <v>PIE ANDINO</v>
          </cell>
          <cell r="L179" t="str">
            <v>Pie Andino 31 (Pie Andino 383)</v>
          </cell>
          <cell r="M179" t="str">
            <v>Puente Alto</v>
          </cell>
          <cell r="N179" t="str">
            <v>C</v>
          </cell>
        </row>
        <row r="180">
          <cell r="B180">
            <v>1227</v>
          </cell>
          <cell r="C180" t="str">
            <v>YV3T7U52XLA201544</v>
          </cell>
          <cell r="D180">
            <v>508121</v>
          </cell>
          <cell r="E180" t="str">
            <v>Volvo</v>
          </cell>
          <cell r="F180" t="str">
            <v>B8RLEA</v>
          </cell>
          <cell r="G180" t="str">
            <v>MARCOPOLO</v>
          </cell>
          <cell r="H180" t="str">
            <v>GRAN VIALE</v>
          </cell>
          <cell r="I180">
            <v>2020</v>
          </cell>
          <cell r="J180" t="str">
            <v>C</v>
          </cell>
          <cell r="K180" t="str">
            <v>SAN ALFONSO</v>
          </cell>
          <cell r="L180" t="str">
            <v>San Alfonso 2141 (Ramón Subercaseaux 3060)</v>
          </cell>
          <cell r="M180" t="str">
            <v>Estacion Central</v>
          </cell>
          <cell r="N180" t="str">
            <v>C</v>
          </cell>
        </row>
        <row r="181">
          <cell r="B181">
            <v>1228</v>
          </cell>
          <cell r="C181" t="str">
            <v>YV3T7U528LA198725</v>
          </cell>
          <cell r="D181">
            <v>508224</v>
          </cell>
          <cell r="E181" t="str">
            <v>Volvo</v>
          </cell>
          <cell r="F181" t="str">
            <v>B8RLEA</v>
          </cell>
          <cell r="G181" t="str">
            <v>MARCOPOLO</v>
          </cell>
          <cell r="H181" t="str">
            <v>GRAN VIALE</v>
          </cell>
          <cell r="I181">
            <v>2020</v>
          </cell>
          <cell r="J181" t="str">
            <v>C</v>
          </cell>
          <cell r="K181" t="str">
            <v>SAN ALFONSO</v>
          </cell>
          <cell r="L181" t="str">
            <v>San Alfonso 2141 (Ramón Subercaseaux 3060)</v>
          </cell>
          <cell r="M181" t="str">
            <v>Estacion Central</v>
          </cell>
          <cell r="N181" t="str">
            <v>C</v>
          </cell>
        </row>
        <row r="182">
          <cell r="B182">
            <v>1175</v>
          </cell>
          <cell r="C182" t="str">
            <v>YV3T7U524LA201667</v>
          </cell>
          <cell r="D182">
            <v>508615</v>
          </cell>
          <cell r="E182" t="str">
            <v>Volvo</v>
          </cell>
          <cell r="F182" t="str">
            <v>B8RLEA</v>
          </cell>
          <cell r="G182" t="str">
            <v>MARCOPOLO</v>
          </cell>
          <cell r="H182" t="str">
            <v>GRAN VIALE</v>
          </cell>
          <cell r="I182">
            <v>2020</v>
          </cell>
          <cell r="J182" t="str">
            <v>C</v>
          </cell>
          <cell r="K182" t="str">
            <v>PIE ANDINO</v>
          </cell>
          <cell r="L182" t="str">
            <v>Pie Andino 31 (Pie Andino 383)</v>
          </cell>
          <cell r="M182" t="str">
            <v>Puente Alto</v>
          </cell>
          <cell r="N182" t="str">
            <v>C</v>
          </cell>
        </row>
        <row r="183">
          <cell r="B183">
            <v>1229</v>
          </cell>
          <cell r="C183" t="str">
            <v>YV3T7U524LA201670</v>
          </cell>
          <cell r="D183">
            <v>508569</v>
          </cell>
          <cell r="E183" t="str">
            <v>Volvo</v>
          </cell>
          <cell r="F183" t="str">
            <v>B8RLEA</v>
          </cell>
          <cell r="G183" t="str">
            <v>MARCOPOLO</v>
          </cell>
          <cell r="H183" t="str">
            <v>GRAN VIALE</v>
          </cell>
          <cell r="I183">
            <v>2020</v>
          </cell>
          <cell r="J183" t="str">
            <v>C</v>
          </cell>
          <cell r="K183" t="str">
            <v>SAN ALFONSO</v>
          </cell>
          <cell r="L183" t="str">
            <v>San Alfonso 2141 (Ramón Subercaseaux 3060)</v>
          </cell>
          <cell r="M183" t="str">
            <v>Estacion Central</v>
          </cell>
          <cell r="N183" t="str">
            <v>C</v>
          </cell>
        </row>
        <row r="184">
          <cell r="B184">
            <v>1176</v>
          </cell>
          <cell r="C184" t="str">
            <v>YV3T7U52XLA201625</v>
          </cell>
          <cell r="D184">
            <v>508297</v>
          </cell>
          <cell r="E184" t="str">
            <v>Volvo</v>
          </cell>
          <cell r="F184" t="str">
            <v>B8RLEA</v>
          </cell>
          <cell r="G184" t="str">
            <v>MARCOPOLO</v>
          </cell>
          <cell r="H184" t="str">
            <v>GRAN VIALE</v>
          </cell>
          <cell r="I184">
            <v>2020</v>
          </cell>
          <cell r="J184" t="str">
            <v>C</v>
          </cell>
          <cell r="K184" t="str">
            <v>PIE ANDINO</v>
          </cell>
          <cell r="L184" t="str">
            <v>Pie Andino 31 (Pie Andino 383)</v>
          </cell>
          <cell r="M184" t="str">
            <v>Puente Alto</v>
          </cell>
          <cell r="N184" t="str">
            <v>C</v>
          </cell>
        </row>
        <row r="185">
          <cell r="B185">
            <v>1177</v>
          </cell>
          <cell r="C185" t="str">
            <v>YV3T7U520LA201620</v>
          </cell>
          <cell r="D185">
            <v>508303</v>
          </cell>
          <cell r="E185" t="str">
            <v>Volvo</v>
          </cell>
          <cell r="F185" t="str">
            <v>B8RLEA</v>
          </cell>
          <cell r="G185" t="str">
            <v>MARCOPOLO</v>
          </cell>
          <cell r="H185" t="str">
            <v>GRAN VIALE</v>
          </cell>
          <cell r="I185">
            <v>2020</v>
          </cell>
          <cell r="J185" t="str">
            <v>C</v>
          </cell>
          <cell r="K185" t="str">
            <v>PIE ANDINO</v>
          </cell>
          <cell r="L185" t="str">
            <v>Pie Andino 31 (Pie Andino 383)</v>
          </cell>
          <cell r="M185" t="str">
            <v>Puente Alto</v>
          </cell>
          <cell r="N185" t="str">
            <v>C</v>
          </cell>
        </row>
        <row r="186">
          <cell r="B186">
            <v>1178</v>
          </cell>
          <cell r="C186" t="str">
            <v>YV3T7U526LA201606</v>
          </cell>
          <cell r="D186">
            <v>508235</v>
          </cell>
          <cell r="E186" t="str">
            <v>Volvo</v>
          </cell>
          <cell r="F186" t="str">
            <v>B8RLEA</v>
          </cell>
          <cell r="G186" t="str">
            <v>MARCOPOLO</v>
          </cell>
          <cell r="H186" t="str">
            <v>GRAN VIALE</v>
          </cell>
          <cell r="I186">
            <v>2020</v>
          </cell>
          <cell r="J186" t="str">
            <v>C</v>
          </cell>
          <cell r="K186" t="str">
            <v>PIE ANDINO</v>
          </cell>
          <cell r="L186" t="str">
            <v>Pie Andino 31 (Pie Andino 383)</v>
          </cell>
          <cell r="M186" t="str">
            <v>Puente Alto</v>
          </cell>
          <cell r="N186" t="str">
            <v>C</v>
          </cell>
        </row>
        <row r="187">
          <cell r="B187">
            <v>1179</v>
          </cell>
          <cell r="C187" t="str">
            <v>YV3T7U527LA201498</v>
          </cell>
          <cell r="D187">
            <v>507854</v>
          </cell>
          <cell r="E187" t="str">
            <v>Volvo</v>
          </cell>
          <cell r="F187" t="str">
            <v>B8RLEA</v>
          </cell>
          <cell r="G187" t="str">
            <v>MARCOPOLO</v>
          </cell>
          <cell r="H187" t="str">
            <v>GRAN VIALE</v>
          </cell>
          <cell r="I187">
            <v>2020</v>
          </cell>
          <cell r="J187" t="str">
            <v>C</v>
          </cell>
          <cell r="K187" t="str">
            <v>PIE ANDINO</v>
          </cell>
          <cell r="L187" t="str">
            <v>Pie Andino 31 (Pie Andino 383)</v>
          </cell>
          <cell r="M187" t="str">
            <v>Puente Alto</v>
          </cell>
          <cell r="N187" t="str">
            <v>C</v>
          </cell>
        </row>
        <row r="188">
          <cell r="B188">
            <v>1230</v>
          </cell>
          <cell r="C188" t="str">
            <v>YV3T7U522LA201540</v>
          </cell>
          <cell r="D188">
            <v>507955</v>
          </cell>
          <cell r="E188" t="str">
            <v>Volvo</v>
          </cell>
          <cell r="F188" t="str">
            <v>B8RLEA</v>
          </cell>
          <cell r="G188" t="str">
            <v>MARCOPOLO</v>
          </cell>
          <cell r="H188" t="str">
            <v>GRAN VIALE</v>
          </cell>
          <cell r="I188">
            <v>2020</v>
          </cell>
          <cell r="J188" t="str">
            <v>C</v>
          </cell>
          <cell r="K188" t="str">
            <v>SAN ALFONSO</v>
          </cell>
          <cell r="L188" t="str">
            <v>San Alfonso 2141 (Ramón Subercaseaux 3060)</v>
          </cell>
          <cell r="M188" t="str">
            <v>Estacion Central</v>
          </cell>
          <cell r="N188" t="str">
            <v>C</v>
          </cell>
        </row>
        <row r="189">
          <cell r="B189">
            <v>1180</v>
          </cell>
          <cell r="C189" t="str">
            <v>YV3T7U526LA201668</v>
          </cell>
          <cell r="D189">
            <v>508633</v>
          </cell>
          <cell r="E189" t="str">
            <v>Volvo</v>
          </cell>
          <cell r="F189" t="str">
            <v>B8RLEA</v>
          </cell>
          <cell r="G189" t="str">
            <v>MARCOPOLO</v>
          </cell>
          <cell r="H189" t="str">
            <v>GRAN VIALE</v>
          </cell>
          <cell r="I189">
            <v>2020</v>
          </cell>
          <cell r="J189" t="str">
            <v>C</v>
          </cell>
          <cell r="K189" t="str">
            <v>PIE ANDINO</v>
          </cell>
          <cell r="L189" t="str">
            <v>Pie Andino 31 (Pie Andino 383)</v>
          </cell>
          <cell r="M189" t="str">
            <v>Puente Alto</v>
          </cell>
          <cell r="N189" t="str">
            <v>C</v>
          </cell>
        </row>
        <row r="190">
          <cell r="B190">
            <v>1181</v>
          </cell>
          <cell r="C190" t="str">
            <v>YV3T7U529LA201695</v>
          </cell>
          <cell r="D190">
            <v>508651</v>
          </cell>
          <cell r="E190" t="str">
            <v>Volvo</v>
          </cell>
          <cell r="F190" t="str">
            <v>B8RLEA</v>
          </cell>
          <cell r="G190" t="str">
            <v>MARCOPOLO</v>
          </cell>
          <cell r="H190" t="str">
            <v>GRAN VIALE</v>
          </cell>
          <cell r="I190">
            <v>2020</v>
          </cell>
          <cell r="J190" t="str">
            <v>C</v>
          </cell>
          <cell r="K190" t="str">
            <v>PIE ANDINO</v>
          </cell>
          <cell r="L190" t="str">
            <v>Pie Andino 31 (Pie Andino 383)</v>
          </cell>
          <cell r="M190" t="str">
            <v>Puente Alto</v>
          </cell>
          <cell r="N190" t="str">
            <v>C</v>
          </cell>
        </row>
        <row r="191">
          <cell r="B191">
            <v>1182</v>
          </cell>
          <cell r="C191" t="str">
            <v>YV3T7U521LA201609</v>
          </cell>
          <cell r="D191">
            <v>508236</v>
          </cell>
          <cell r="E191" t="str">
            <v>Volvo</v>
          </cell>
          <cell r="F191" t="str">
            <v>B8RLEA</v>
          </cell>
          <cell r="G191" t="str">
            <v>MARCOPOLO</v>
          </cell>
          <cell r="H191" t="str">
            <v>GRAN VIALE</v>
          </cell>
          <cell r="I191">
            <v>2020</v>
          </cell>
          <cell r="J191" t="str">
            <v>C</v>
          </cell>
          <cell r="K191" t="str">
            <v>PIE ANDINO</v>
          </cell>
          <cell r="L191" t="str">
            <v>Pie Andino 31 (Pie Andino 383)</v>
          </cell>
          <cell r="M191" t="str">
            <v>Puente Alto</v>
          </cell>
          <cell r="N191" t="str">
            <v>C</v>
          </cell>
        </row>
        <row r="192">
          <cell r="B192">
            <v>1183</v>
          </cell>
          <cell r="C192" t="str">
            <v>YV3T7U522LA201621</v>
          </cell>
          <cell r="D192">
            <v>508307</v>
          </cell>
          <cell r="E192" t="str">
            <v>Volvo</v>
          </cell>
          <cell r="F192" t="str">
            <v>B8RLEA</v>
          </cell>
          <cell r="G192" t="str">
            <v>MARCOPOLO</v>
          </cell>
          <cell r="H192" t="str">
            <v>GRAN VIALE</v>
          </cell>
          <cell r="I192">
            <v>2020</v>
          </cell>
          <cell r="J192" t="str">
            <v>C</v>
          </cell>
          <cell r="K192" t="str">
            <v>PIE ANDINO</v>
          </cell>
          <cell r="L192" t="str">
            <v>Pie Andino 31 (Pie Andino 383)</v>
          </cell>
          <cell r="M192" t="str">
            <v>Puente Alto</v>
          </cell>
          <cell r="N192" t="str">
            <v>C</v>
          </cell>
        </row>
        <row r="193">
          <cell r="B193">
            <v>1231</v>
          </cell>
          <cell r="C193" t="str">
            <v>YV3T7U528LA201607</v>
          </cell>
          <cell r="D193">
            <v>508215</v>
          </cell>
          <cell r="E193" t="str">
            <v>Volvo</v>
          </cell>
          <cell r="F193" t="str">
            <v>B8RLEA</v>
          </cell>
          <cell r="G193" t="str">
            <v>MARCOPOLO</v>
          </cell>
          <cell r="H193" t="str">
            <v>GRAN VIALE</v>
          </cell>
          <cell r="I193">
            <v>2020</v>
          </cell>
          <cell r="J193" t="str">
            <v>C</v>
          </cell>
          <cell r="K193" t="str">
            <v>SAN ALFONSO</v>
          </cell>
          <cell r="L193" t="str">
            <v>San Alfonso 2141 (Ramón Subercaseaux 3060)</v>
          </cell>
          <cell r="M193" t="str">
            <v>Estacion Central</v>
          </cell>
          <cell r="N193" t="str">
            <v>C</v>
          </cell>
        </row>
        <row r="194">
          <cell r="B194">
            <v>1184</v>
          </cell>
          <cell r="C194" t="str">
            <v>YV3T7U527LA201694</v>
          </cell>
          <cell r="D194">
            <v>508655</v>
          </cell>
          <cell r="E194" t="str">
            <v>Volvo</v>
          </cell>
          <cell r="F194" t="str">
            <v>B8RLEA</v>
          </cell>
          <cell r="G194" t="str">
            <v>MARCOPOLO</v>
          </cell>
          <cell r="H194" t="str">
            <v>GRAN VIALE</v>
          </cell>
          <cell r="I194">
            <v>2020</v>
          </cell>
          <cell r="J194" t="str">
            <v>C</v>
          </cell>
          <cell r="K194" t="str">
            <v>PIE ANDINO</v>
          </cell>
          <cell r="L194" t="str">
            <v>Pie Andino 31 (Pie Andino 383)</v>
          </cell>
          <cell r="M194" t="str">
            <v>Puente Alto</v>
          </cell>
          <cell r="N194" t="str">
            <v>C</v>
          </cell>
        </row>
        <row r="195">
          <cell r="B195">
            <v>1185</v>
          </cell>
          <cell r="C195" t="str">
            <v>YV3T7U528LA201610</v>
          </cell>
          <cell r="D195">
            <v>508198</v>
          </cell>
          <cell r="E195" t="str">
            <v>Volvo</v>
          </cell>
          <cell r="F195" t="str">
            <v>B8RLEA</v>
          </cell>
          <cell r="G195" t="str">
            <v>MARCOPOLO</v>
          </cell>
          <cell r="H195" t="str">
            <v>GRAN VIALE</v>
          </cell>
          <cell r="I195">
            <v>2020</v>
          </cell>
          <cell r="J195" t="str">
            <v>C</v>
          </cell>
          <cell r="K195" t="str">
            <v>PIE ANDINO</v>
          </cell>
          <cell r="L195" t="str">
            <v>Pie Andino 31 (Pie Andino 383)</v>
          </cell>
          <cell r="M195" t="str">
            <v>Puente Alto</v>
          </cell>
          <cell r="N195" t="str">
            <v>C</v>
          </cell>
        </row>
        <row r="196">
          <cell r="B196">
            <v>1232</v>
          </cell>
          <cell r="C196" t="str">
            <v>YV3T7U525LA201922</v>
          </cell>
          <cell r="D196">
            <v>509348</v>
          </cell>
          <cell r="E196" t="str">
            <v>Volvo</v>
          </cell>
          <cell r="F196" t="str">
            <v>B8RLEA</v>
          </cell>
          <cell r="G196" t="str">
            <v>MARCOPOLO</v>
          </cell>
          <cell r="H196" t="str">
            <v>GRAN VIALE</v>
          </cell>
          <cell r="I196">
            <v>2020</v>
          </cell>
          <cell r="J196" t="str">
            <v>C</v>
          </cell>
          <cell r="K196" t="str">
            <v>SAN ALFONSO</v>
          </cell>
          <cell r="L196" t="str">
            <v>San Alfonso 2141 (Ramón Subercaseaux 3060)</v>
          </cell>
          <cell r="M196" t="str">
            <v>Estacion Central</v>
          </cell>
          <cell r="N196" t="str">
            <v>C</v>
          </cell>
        </row>
        <row r="197">
          <cell r="B197">
            <v>1233</v>
          </cell>
          <cell r="C197" t="str">
            <v>YV3T7U527LA201906</v>
          </cell>
          <cell r="D197">
            <v>509467</v>
          </cell>
          <cell r="E197" t="str">
            <v>Volvo</v>
          </cell>
          <cell r="F197" t="str">
            <v>B8RLEA</v>
          </cell>
          <cell r="G197" t="str">
            <v>MARCOPOLO</v>
          </cell>
          <cell r="H197" t="str">
            <v>GRAN VIALE</v>
          </cell>
          <cell r="I197">
            <v>2020</v>
          </cell>
          <cell r="J197" t="str">
            <v>C</v>
          </cell>
          <cell r="K197" t="str">
            <v>SAN ALFONSO</v>
          </cell>
          <cell r="L197" t="str">
            <v>San Alfonso 2141 (Ramón Subercaseaux 3060)</v>
          </cell>
          <cell r="M197" t="str">
            <v>Estacion Central</v>
          </cell>
          <cell r="N197" t="str">
            <v>C</v>
          </cell>
        </row>
        <row r="198">
          <cell r="B198">
            <v>1162</v>
          </cell>
          <cell r="C198" t="str">
            <v>YV3T7U528LA201848</v>
          </cell>
          <cell r="D198">
            <v>507981</v>
          </cell>
          <cell r="E198" t="str">
            <v>Volvo</v>
          </cell>
          <cell r="F198" t="str">
            <v>B8RLEA</v>
          </cell>
          <cell r="G198" t="str">
            <v>MARCOPOLO</v>
          </cell>
          <cell r="H198" t="str">
            <v>GRAN VIALE</v>
          </cell>
          <cell r="I198">
            <v>2020</v>
          </cell>
          <cell r="J198" t="str">
            <v>C</v>
          </cell>
          <cell r="K198" t="str">
            <v>PIE ANDINO</v>
          </cell>
          <cell r="L198" t="str">
            <v>Pie Andino 31 (Pie Andino 383)</v>
          </cell>
          <cell r="M198" t="str">
            <v>Puente Alto</v>
          </cell>
          <cell r="N198" t="str">
            <v>C</v>
          </cell>
        </row>
        <row r="199">
          <cell r="B199">
            <v>1187</v>
          </cell>
          <cell r="C199" t="str">
            <v>YV3T7U523LA201708</v>
          </cell>
          <cell r="D199">
            <v>508404</v>
          </cell>
          <cell r="E199" t="str">
            <v>Volvo</v>
          </cell>
          <cell r="F199" t="str">
            <v>B8RLEA</v>
          </cell>
          <cell r="G199" t="str">
            <v>MARCOPOLO</v>
          </cell>
          <cell r="H199" t="str">
            <v>GRAN VIALE</v>
          </cell>
          <cell r="I199">
            <v>2020</v>
          </cell>
          <cell r="J199" t="str">
            <v>C</v>
          </cell>
          <cell r="K199" t="str">
            <v>PIE ANDINO</v>
          </cell>
          <cell r="L199" t="str">
            <v>Pie Andino 31 (Pie Andino 383)</v>
          </cell>
          <cell r="M199" t="str">
            <v>Puente Alto</v>
          </cell>
          <cell r="N199" t="str">
            <v>C</v>
          </cell>
        </row>
        <row r="200">
          <cell r="B200">
            <v>1188</v>
          </cell>
          <cell r="C200" t="str">
            <v>YV3T7U525LA201905</v>
          </cell>
          <cell r="D200">
            <v>509585</v>
          </cell>
          <cell r="E200" t="str">
            <v>Volvo</v>
          </cell>
          <cell r="F200" t="str">
            <v>B8RLEA</v>
          </cell>
          <cell r="G200" t="str">
            <v>MARCOPOLO</v>
          </cell>
          <cell r="H200" t="str">
            <v>GRAN VIALE</v>
          </cell>
          <cell r="I200">
            <v>2020</v>
          </cell>
          <cell r="J200" t="str">
            <v>C</v>
          </cell>
          <cell r="K200" t="str">
            <v>PIE ANDINO</v>
          </cell>
          <cell r="L200" t="str">
            <v>Pie Andino 31 (Pie Andino 383)</v>
          </cell>
          <cell r="M200" t="str">
            <v>Puente Alto</v>
          </cell>
          <cell r="N200" t="str">
            <v>C</v>
          </cell>
        </row>
        <row r="201">
          <cell r="B201">
            <v>1189</v>
          </cell>
          <cell r="C201" t="str">
            <v>YV3T7U520LA201908</v>
          </cell>
          <cell r="D201">
            <v>509583</v>
          </cell>
          <cell r="E201" t="str">
            <v>Volvo</v>
          </cell>
          <cell r="F201" t="str">
            <v>B8RLEA</v>
          </cell>
          <cell r="G201" t="str">
            <v>MARCOPOLO</v>
          </cell>
          <cell r="H201" t="str">
            <v>GRAN VIALE</v>
          </cell>
          <cell r="I201">
            <v>2020</v>
          </cell>
          <cell r="J201" t="str">
            <v>C</v>
          </cell>
          <cell r="K201" t="str">
            <v>PIE ANDINO</v>
          </cell>
          <cell r="L201" t="str">
            <v>Pie Andino 31 (Pie Andino 383)</v>
          </cell>
          <cell r="M201" t="str">
            <v>Puente Alto</v>
          </cell>
          <cell r="N201" t="str">
            <v>C</v>
          </cell>
        </row>
        <row r="202">
          <cell r="B202">
            <v>1190</v>
          </cell>
          <cell r="C202" t="str">
            <v>YV3T7U529LA201907</v>
          </cell>
          <cell r="D202">
            <v>509444</v>
          </cell>
          <cell r="E202" t="str">
            <v>Volvo</v>
          </cell>
          <cell r="F202" t="str">
            <v>B8RLEA</v>
          </cell>
          <cell r="G202" t="str">
            <v>MARCOPOLO</v>
          </cell>
          <cell r="H202" t="str">
            <v>GRAN VIALE</v>
          </cell>
          <cell r="I202">
            <v>2020</v>
          </cell>
          <cell r="J202" t="str">
            <v>C</v>
          </cell>
          <cell r="K202" t="str">
            <v>PIE ANDINO</v>
          </cell>
          <cell r="L202" t="str">
            <v>Pie Andino 31 (Pie Andino 383)</v>
          </cell>
          <cell r="M202" t="str">
            <v>Puente Alto</v>
          </cell>
          <cell r="N202" t="str">
            <v>C</v>
          </cell>
        </row>
        <row r="203">
          <cell r="B203">
            <v>1191</v>
          </cell>
          <cell r="C203" t="str">
            <v>YV3T7U526LA201802</v>
          </cell>
          <cell r="D203">
            <v>509171</v>
          </cell>
          <cell r="E203" t="str">
            <v>Volvo</v>
          </cell>
          <cell r="F203" t="str">
            <v>B8RLEA</v>
          </cell>
          <cell r="G203" t="str">
            <v>MARCOPOLO</v>
          </cell>
          <cell r="H203" t="str">
            <v>GRAN VIALE</v>
          </cell>
          <cell r="I203">
            <v>2020</v>
          </cell>
          <cell r="J203" t="str">
            <v>C</v>
          </cell>
          <cell r="K203" t="str">
            <v>PIE ANDINO</v>
          </cell>
          <cell r="L203" t="str">
            <v>Pie Andino 31 (Pie Andino 383)</v>
          </cell>
          <cell r="M203" t="str">
            <v>Puente Alto</v>
          </cell>
          <cell r="N203" t="str">
            <v>C</v>
          </cell>
        </row>
        <row r="204">
          <cell r="B204">
            <v>1192</v>
          </cell>
          <cell r="C204" t="str">
            <v>YV3T7U523LA201904</v>
          </cell>
          <cell r="D204">
            <v>509572</v>
          </cell>
          <cell r="E204" t="str">
            <v>Volvo</v>
          </cell>
          <cell r="F204" t="str">
            <v>B8RLEA</v>
          </cell>
          <cell r="G204" t="str">
            <v>MARCOPOLO</v>
          </cell>
          <cell r="H204" t="str">
            <v>GRAN VIALE</v>
          </cell>
          <cell r="I204">
            <v>2020</v>
          </cell>
          <cell r="J204" t="str">
            <v>C</v>
          </cell>
          <cell r="K204" t="str">
            <v>PIE ANDINO</v>
          </cell>
          <cell r="L204" t="str">
            <v>Pie Andino 31 (Pie Andino 383)</v>
          </cell>
          <cell r="M204" t="str">
            <v>Puente Alto</v>
          </cell>
          <cell r="N204" t="str">
            <v>C</v>
          </cell>
        </row>
        <row r="205">
          <cell r="B205">
            <v>1193</v>
          </cell>
          <cell r="C205" t="str">
            <v>YV3T7U525LA201712</v>
          </cell>
          <cell r="D205">
            <v>508475</v>
          </cell>
          <cell r="E205" t="str">
            <v>Volvo</v>
          </cell>
          <cell r="F205" t="str">
            <v>B8RLEA</v>
          </cell>
          <cell r="G205" t="str">
            <v>MARCOPOLO</v>
          </cell>
          <cell r="H205" t="str">
            <v>GRAN VIALE</v>
          </cell>
          <cell r="I205">
            <v>2020</v>
          </cell>
          <cell r="J205" t="str">
            <v>C</v>
          </cell>
          <cell r="K205" t="str">
            <v>PIE ANDINO</v>
          </cell>
          <cell r="L205" t="str">
            <v>Pie Andino 31 (Pie Andino 383)</v>
          </cell>
          <cell r="M205" t="str">
            <v>Puente Alto</v>
          </cell>
          <cell r="N205" t="str">
            <v>C</v>
          </cell>
        </row>
        <row r="206">
          <cell r="B206">
            <v>1194</v>
          </cell>
          <cell r="C206" t="str">
            <v>YV3T7U526LA201847</v>
          </cell>
          <cell r="D206">
            <v>507974</v>
          </cell>
          <cell r="E206" t="str">
            <v>Volvo</v>
          </cell>
          <cell r="F206" t="str">
            <v>B8RLEA</v>
          </cell>
          <cell r="G206" t="str">
            <v>MARCOPOLO</v>
          </cell>
          <cell r="H206" t="str">
            <v>GRAN VIALE</v>
          </cell>
          <cell r="I206">
            <v>2020</v>
          </cell>
          <cell r="J206" t="str">
            <v>C</v>
          </cell>
          <cell r="K206" t="str">
            <v>PIE ANDINO</v>
          </cell>
          <cell r="L206" t="str">
            <v>Pie Andino 31 (Pie Andino 383)</v>
          </cell>
          <cell r="M206" t="str">
            <v>Puente Alto</v>
          </cell>
          <cell r="N206" t="str">
            <v>C</v>
          </cell>
        </row>
        <row r="207">
          <cell r="B207">
            <v>1195</v>
          </cell>
          <cell r="C207" t="str">
            <v>YV3T7U528LA201851</v>
          </cell>
          <cell r="D207">
            <v>508008</v>
          </cell>
          <cell r="E207" t="str">
            <v>Volvo</v>
          </cell>
          <cell r="F207" t="str">
            <v>B8RLEA</v>
          </cell>
          <cell r="G207" t="str">
            <v>MARCOPOLO</v>
          </cell>
          <cell r="H207" t="str">
            <v>GRAN VIALE</v>
          </cell>
          <cell r="I207">
            <v>2020</v>
          </cell>
          <cell r="J207" t="str">
            <v>C</v>
          </cell>
          <cell r="K207" t="str">
            <v>PIE ANDINO</v>
          </cell>
          <cell r="L207" t="str">
            <v>Pie Andino 31 (Pie Andino 383)</v>
          </cell>
          <cell r="M207" t="str">
            <v>Puente Alto</v>
          </cell>
          <cell r="N207" t="str">
            <v>C</v>
          </cell>
        </row>
        <row r="208">
          <cell r="B208">
            <v>1196</v>
          </cell>
          <cell r="C208" t="str">
            <v>YV3T7U529LA201499</v>
          </cell>
          <cell r="D208">
            <v>507878</v>
          </cell>
          <cell r="E208" t="str">
            <v>Volvo</v>
          </cell>
          <cell r="F208" t="str">
            <v>B8RLEA</v>
          </cell>
          <cell r="G208" t="str">
            <v>MARCOPOLO</v>
          </cell>
          <cell r="H208" t="str">
            <v>GRAN VIALE</v>
          </cell>
          <cell r="I208">
            <v>2020</v>
          </cell>
          <cell r="J208" t="str">
            <v>C</v>
          </cell>
          <cell r="K208" t="str">
            <v>PIE ANDINO</v>
          </cell>
          <cell r="L208" t="str">
            <v>Pie Andino 31 (Pie Andino 383)</v>
          </cell>
          <cell r="M208" t="str">
            <v>Puente Alto</v>
          </cell>
          <cell r="N208" t="str">
            <v>C</v>
          </cell>
        </row>
        <row r="209">
          <cell r="B209">
            <v>1197</v>
          </cell>
          <cell r="C209" t="str">
            <v>YV3T7U524LA201541</v>
          </cell>
          <cell r="D209">
            <v>507933</v>
          </cell>
          <cell r="E209" t="str">
            <v>Volvo</v>
          </cell>
          <cell r="F209" t="str">
            <v>B8RLEA</v>
          </cell>
          <cell r="G209" t="str">
            <v>MARCOPOLO</v>
          </cell>
          <cell r="H209" t="str">
            <v>GRAN VIALE</v>
          </cell>
          <cell r="I209">
            <v>2020</v>
          </cell>
          <cell r="J209" t="str">
            <v>C</v>
          </cell>
          <cell r="K209" t="str">
            <v>PIE ANDINO</v>
          </cell>
          <cell r="L209" t="str">
            <v>Pie Andino 31 (Pie Andino 383)</v>
          </cell>
          <cell r="M209" t="str">
            <v>Puente Alto</v>
          </cell>
          <cell r="N209" t="str">
            <v>C</v>
          </cell>
        </row>
        <row r="210">
          <cell r="B210">
            <v>1198</v>
          </cell>
          <cell r="C210" t="str">
            <v>YV3T7U524LA198723</v>
          </cell>
          <cell r="D210">
            <v>508173</v>
          </cell>
          <cell r="E210" t="str">
            <v>Volvo</v>
          </cell>
          <cell r="F210" t="str">
            <v>B8RLEA</v>
          </cell>
          <cell r="G210" t="str">
            <v>MARCOPOLO</v>
          </cell>
          <cell r="H210" t="str">
            <v>GRAN VIALE</v>
          </cell>
          <cell r="I210">
            <v>2020</v>
          </cell>
          <cell r="J210" t="str">
            <v>C</v>
          </cell>
          <cell r="K210" t="str">
            <v>PIE ANDINO</v>
          </cell>
          <cell r="L210" t="str">
            <v>Pie Andino 31 (Pie Andino 383)</v>
          </cell>
          <cell r="M210" t="str">
            <v>Puente Alto</v>
          </cell>
          <cell r="N210" t="str">
            <v>C</v>
          </cell>
        </row>
        <row r="211">
          <cell r="B211">
            <v>1199</v>
          </cell>
          <cell r="C211" t="str">
            <v>YV3T7U528KA194902</v>
          </cell>
          <cell r="D211">
            <v>480074</v>
          </cell>
          <cell r="E211" t="str">
            <v>Volvo</v>
          </cell>
          <cell r="F211" t="str">
            <v>B8RLEA</v>
          </cell>
          <cell r="G211" t="str">
            <v>MARCOPOLO</v>
          </cell>
          <cell r="H211" t="str">
            <v>MONDEGO II</v>
          </cell>
          <cell r="I211">
            <v>2021</v>
          </cell>
          <cell r="J211" t="str">
            <v>C</v>
          </cell>
          <cell r="K211" t="str">
            <v>PIE ANDINO</v>
          </cell>
          <cell r="L211" t="str">
            <v>Pie Andino 31 (Pie Andino 383)</v>
          </cell>
          <cell r="M211" t="str">
            <v>Puente Alto</v>
          </cell>
          <cell r="N211" t="str">
            <v>C</v>
          </cell>
        </row>
        <row r="212">
          <cell r="B212">
            <v>1200</v>
          </cell>
          <cell r="C212" t="str">
            <v>YV3T7U52XNA207976</v>
          </cell>
          <cell r="D212">
            <v>552632</v>
          </cell>
          <cell r="E212" t="str">
            <v>Volvo</v>
          </cell>
          <cell r="F212" t="str">
            <v>B8RLEA</v>
          </cell>
          <cell r="G212" t="str">
            <v>MARCOPOLO</v>
          </cell>
          <cell r="H212" t="str">
            <v>GRAN VIALE</v>
          </cell>
          <cell r="I212">
            <v>2022</v>
          </cell>
          <cell r="J212" t="str">
            <v>C</v>
          </cell>
          <cell r="K212" t="str">
            <v>PIE ANDINO</v>
          </cell>
          <cell r="L212" t="str">
            <v>Pie Andino 31 (Pie Andino 383)</v>
          </cell>
          <cell r="M212" t="str">
            <v>Puente Alto</v>
          </cell>
          <cell r="N212" t="str">
            <v>C</v>
          </cell>
        </row>
        <row r="213">
          <cell r="B213">
            <v>1234</v>
          </cell>
          <cell r="C213" t="str">
            <v>YV3T7U52XNA207895</v>
          </cell>
          <cell r="D213">
            <v>552649</v>
          </cell>
          <cell r="E213" t="str">
            <v>Volvo</v>
          </cell>
          <cell r="F213" t="str">
            <v>B8RLEA</v>
          </cell>
          <cell r="G213" t="str">
            <v>MARCOPOLO</v>
          </cell>
          <cell r="H213" t="str">
            <v>GRAN VIALE</v>
          </cell>
          <cell r="I213">
            <v>2022</v>
          </cell>
          <cell r="J213" t="str">
            <v>C</v>
          </cell>
          <cell r="K213" t="str">
            <v>SAN ALFONSO</v>
          </cell>
          <cell r="L213" t="str">
            <v>San Alfonso 2141 (Ramón Subercaseaux 3060)</v>
          </cell>
          <cell r="M213" t="str">
            <v>Estacion Central</v>
          </cell>
          <cell r="N213" t="str">
            <v>C</v>
          </cell>
        </row>
        <row r="214">
          <cell r="B214">
            <v>1235</v>
          </cell>
          <cell r="C214" t="str">
            <v>YV3T7U528NA207894</v>
          </cell>
          <cell r="D214">
            <v>552624</v>
          </cell>
          <cell r="E214" t="str">
            <v>Volvo</v>
          </cell>
          <cell r="F214" t="str">
            <v>B8RLEA</v>
          </cell>
          <cell r="G214" t="str">
            <v>MARCOPOLO</v>
          </cell>
          <cell r="H214" t="str">
            <v>GRAN VIALE</v>
          </cell>
          <cell r="I214">
            <v>2022</v>
          </cell>
          <cell r="J214" t="str">
            <v>C</v>
          </cell>
          <cell r="K214" t="str">
            <v>SAN ALFONSO</v>
          </cell>
          <cell r="L214" t="str">
            <v>San Alfonso 2141 (Ramón Subercaseaux 3060)</v>
          </cell>
          <cell r="M214" t="str">
            <v>Estacion Central</v>
          </cell>
          <cell r="N214" t="str">
            <v>C</v>
          </cell>
        </row>
        <row r="215">
          <cell r="B215">
            <v>1236</v>
          </cell>
          <cell r="C215" t="str">
            <v>YV3T7U526NA207893</v>
          </cell>
          <cell r="D215">
            <v>552338</v>
          </cell>
          <cell r="E215" t="str">
            <v>Volvo</v>
          </cell>
          <cell r="F215" t="str">
            <v>B8RLEA</v>
          </cell>
          <cell r="G215" t="str">
            <v>MARCOPOLO</v>
          </cell>
          <cell r="H215" t="str">
            <v>GRAN VIALE</v>
          </cell>
          <cell r="I215">
            <v>2022</v>
          </cell>
          <cell r="J215" t="str">
            <v>C</v>
          </cell>
          <cell r="K215" t="str">
            <v>SAN ALFONSO</v>
          </cell>
          <cell r="L215" t="str">
            <v>San Alfonso 2141 (Ramón Subercaseaux 3060)</v>
          </cell>
          <cell r="M215" t="str">
            <v>Estacion Central</v>
          </cell>
          <cell r="N215" t="str">
            <v>C</v>
          </cell>
        </row>
        <row r="216">
          <cell r="B216">
            <v>1237</v>
          </cell>
          <cell r="C216" t="str">
            <v>YV3T7U525NA207884</v>
          </cell>
          <cell r="D216">
            <v>552333</v>
          </cell>
          <cell r="E216" t="str">
            <v>Volvo</v>
          </cell>
          <cell r="F216" t="str">
            <v>B8RLEA</v>
          </cell>
          <cell r="G216" t="str">
            <v>MARCOPOLO</v>
          </cell>
          <cell r="H216" t="str">
            <v>GRAN VIALE</v>
          </cell>
          <cell r="I216">
            <v>2022</v>
          </cell>
          <cell r="J216" t="str">
            <v>C</v>
          </cell>
          <cell r="K216" t="str">
            <v>SAN ALFONSO</v>
          </cell>
          <cell r="L216" t="str">
            <v>San Alfonso 2141 (Ramón Subercaseaux 3060)</v>
          </cell>
          <cell r="M216" t="str">
            <v>Estacion Central</v>
          </cell>
          <cell r="N216" t="str">
            <v>C</v>
          </cell>
        </row>
        <row r="217">
          <cell r="B217">
            <v>1201</v>
          </cell>
          <cell r="C217" t="str">
            <v>YV3T7U523NA207995</v>
          </cell>
          <cell r="D217">
            <v>552881</v>
          </cell>
          <cell r="E217" t="str">
            <v>Volvo</v>
          </cell>
          <cell r="F217" t="str">
            <v>B8RLEA</v>
          </cell>
          <cell r="G217" t="str">
            <v>MARCOPOLO</v>
          </cell>
          <cell r="H217" t="str">
            <v>GRAN VIALE</v>
          </cell>
          <cell r="I217">
            <v>2022</v>
          </cell>
          <cell r="J217" t="str">
            <v>C</v>
          </cell>
          <cell r="K217" t="str">
            <v>PIE ANDINO</v>
          </cell>
          <cell r="L217" t="str">
            <v>Pie Andino 31 (Pie Andino 383)</v>
          </cell>
          <cell r="M217" t="str">
            <v>Puente Alto</v>
          </cell>
          <cell r="N217" t="str">
            <v>C</v>
          </cell>
        </row>
        <row r="218">
          <cell r="B218">
            <v>1238</v>
          </cell>
          <cell r="C218" t="str">
            <v>YV3T7U521NA207834</v>
          </cell>
          <cell r="D218">
            <v>550630</v>
          </cell>
          <cell r="E218" t="str">
            <v>Volvo</v>
          </cell>
          <cell r="F218" t="str">
            <v>B8RLEA</v>
          </cell>
          <cell r="G218" t="str">
            <v>MARCOPOLO</v>
          </cell>
          <cell r="H218" t="str">
            <v>GRAN VIALE</v>
          </cell>
          <cell r="I218">
            <v>2022</v>
          </cell>
          <cell r="J218" t="str">
            <v>C</v>
          </cell>
          <cell r="K218" t="str">
            <v>SAN ALFONSO</v>
          </cell>
          <cell r="L218" t="str">
            <v>San Alfonso 2141 (Ramón Subercaseaux 3060)</v>
          </cell>
          <cell r="M218" t="str">
            <v>Estacion Central</v>
          </cell>
          <cell r="N218" t="str">
            <v>C</v>
          </cell>
        </row>
        <row r="219">
          <cell r="B219">
            <v>1202</v>
          </cell>
          <cell r="C219" t="str">
            <v>YV3T7U529NA207967</v>
          </cell>
          <cell r="D219">
            <v>552303</v>
          </cell>
          <cell r="E219" t="str">
            <v>Volvo</v>
          </cell>
          <cell r="F219" t="str">
            <v>B8RLEA</v>
          </cell>
          <cell r="G219" t="str">
            <v>MARCOPOLO</v>
          </cell>
          <cell r="H219" t="str">
            <v>GRAN VIALE</v>
          </cell>
          <cell r="I219">
            <v>2022</v>
          </cell>
          <cell r="J219" t="str">
            <v>C</v>
          </cell>
          <cell r="K219" t="str">
            <v>PIE ANDINO</v>
          </cell>
          <cell r="L219" t="str">
            <v>Pie Andino 31 (Pie Andino 383)</v>
          </cell>
          <cell r="M219" t="str">
            <v>Puente Alto</v>
          </cell>
          <cell r="N219" t="str">
            <v>C</v>
          </cell>
        </row>
        <row r="220">
          <cell r="B220">
            <v>1203</v>
          </cell>
          <cell r="C220" t="str">
            <v>YV3T7U528NA207930</v>
          </cell>
          <cell r="D220">
            <v>551701</v>
          </cell>
          <cell r="E220" t="str">
            <v>Volvo</v>
          </cell>
          <cell r="F220" t="str">
            <v>B8RLEA</v>
          </cell>
          <cell r="G220" t="str">
            <v>MARCOPOLO</v>
          </cell>
          <cell r="H220" t="str">
            <v>GRAN VIALE</v>
          </cell>
          <cell r="I220">
            <v>2022</v>
          </cell>
          <cell r="J220" t="str">
            <v>C</v>
          </cell>
          <cell r="K220" t="str">
            <v>PIE ANDINO</v>
          </cell>
          <cell r="L220" t="str">
            <v>Pie Andino 31 (Pie Andino 383)</v>
          </cell>
          <cell r="M220" t="str">
            <v>Puente Alto</v>
          </cell>
          <cell r="N220" t="str">
            <v>C</v>
          </cell>
        </row>
        <row r="221">
          <cell r="B221">
            <v>1239</v>
          </cell>
          <cell r="C221" t="str">
            <v>YV3T7U522NA207891</v>
          </cell>
          <cell r="D221">
            <v>552373</v>
          </cell>
          <cell r="E221" t="str">
            <v>Volvo</v>
          </cell>
          <cell r="F221" t="str">
            <v>B8RLEA</v>
          </cell>
          <cell r="G221" t="str">
            <v>MARCOPOLO</v>
          </cell>
          <cell r="H221" t="str">
            <v>GRAN VIALE</v>
          </cell>
          <cell r="I221">
            <v>2022</v>
          </cell>
          <cell r="J221" t="str">
            <v>C</v>
          </cell>
          <cell r="K221" t="str">
            <v>SAN ALFONSO</v>
          </cell>
          <cell r="L221" t="str">
            <v>San Alfonso 2141 (Ramón Subercaseaux 3060)</v>
          </cell>
          <cell r="M221" t="str">
            <v>Estacion Central</v>
          </cell>
          <cell r="N221" t="str">
            <v>C</v>
          </cell>
        </row>
        <row r="222">
          <cell r="B222">
            <v>1240</v>
          </cell>
          <cell r="C222" t="str">
            <v>YV3T7U52XNA207881</v>
          </cell>
          <cell r="D222">
            <v>552573</v>
          </cell>
          <cell r="E222" t="str">
            <v>Volvo</v>
          </cell>
          <cell r="F222" t="str">
            <v>B8RLEA</v>
          </cell>
          <cell r="G222" t="str">
            <v>MARCOPOLO</v>
          </cell>
          <cell r="H222" t="str">
            <v>GRAN VIALE</v>
          </cell>
          <cell r="I222">
            <v>2022</v>
          </cell>
          <cell r="J222" t="str">
            <v>C</v>
          </cell>
          <cell r="K222" t="str">
            <v>SAN ALFONSO</v>
          </cell>
          <cell r="L222" t="str">
            <v>San Alfonso 2141 (Ramón Subercaseaux 3060)</v>
          </cell>
          <cell r="M222" t="str">
            <v>Estacion Central</v>
          </cell>
          <cell r="N222" t="str">
            <v>C</v>
          </cell>
        </row>
        <row r="223">
          <cell r="B223">
            <v>1241</v>
          </cell>
          <cell r="C223" t="str">
            <v>YV3T7U527NA207837</v>
          </cell>
          <cell r="D223">
            <v>550568</v>
          </cell>
          <cell r="E223" t="str">
            <v>Volvo</v>
          </cell>
          <cell r="F223" t="str">
            <v>B8RLEA</v>
          </cell>
          <cell r="G223" t="str">
            <v>MARCOPOLO</v>
          </cell>
          <cell r="H223" t="str">
            <v>GRAN VIALE</v>
          </cell>
          <cell r="I223">
            <v>2022</v>
          </cell>
          <cell r="J223" t="str">
            <v>C</v>
          </cell>
          <cell r="K223" t="str">
            <v>SAN ALFONSO</v>
          </cell>
          <cell r="L223" t="str">
            <v>San Alfonso 2141 (Ramón Subercaseaux 3060)</v>
          </cell>
          <cell r="M223" t="str">
            <v>Estacion Central</v>
          </cell>
          <cell r="N223" t="str">
            <v>C</v>
          </cell>
        </row>
        <row r="224">
          <cell r="B224">
            <v>1204</v>
          </cell>
          <cell r="C224" t="str">
            <v>YV3T7U527NA207935</v>
          </cell>
          <cell r="D224">
            <v>551734</v>
          </cell>
          <cell r="E224" t="str">
            <v>Volvo</v>
          </cell>
          <cell r="F224" t="str">
            <v>B8RLEA</v>
          </cell>
          <cell r="G224" t="str">
            <v>MARCOPOLO</v>
          </cell>
          <cell r="H224" t="str">
            <v>GRAN VIALE</v>
          </cell>
          <cell r="I224">
            <v>2022</v>
          </cell>
          <cell r="J224" t="str">
            <v>C</v>
          </cell>
          <cell r="K224" t="str">
            <v>PIE ANDINO</v>
          </cell>
          <cell r="L224" t="str">
            <v>Pie Andino 31 (Pie Andino 383)</v>
          </cell>
          <cell r="M224" t="str">
            <v>Puente Alto</v>
          </cell>
          <cell r="N224" t="str">
            <v>C</v>
          </cell>
        </row>
        <row r="225">
          <cell r="B225">
            <v>1242</v>
          </cell>
          <cell r="C225" t="str">
            <v>YV3T7U524NA207892</v>
          </cell>
          <cell r="D225">
            <v>552393</v>
          </cell>
          <cell r="E225" t="str">
            <v>Volvo</v>
          </cell>
          <cell r="F225" t="str">
            <v>B8RLEA</v>
          </cell>
          <cell r="G225" t="str">
            <v>MARCOPOLO</v>
          </cell>
          <cell r="H225" t="str">
            <v>GRAN VIALE</v>
          </cell>
          <cell r="I225">
            <v>2022</v>
          </cell>
          <cell r="J225" t="str">
            <v>C</v>
          </cell>
          <cell r="K225" t="str">
            <v>SAN ALFONSO</v>
          </cell>
          <cell r="L225" t="str">
            <v>San Alfonso 2141 (Ramón Subercaseaux 3060)</v>
          </cell>
          <cell r="M225" t="str">
            <v>Estacion Central</v>
          </cell>
          <cell r="N225" t="str">
            <v>C</v>
          </cell>
        </row>
        <row r="226">
          <cell r="B226">
            <v>1243</v>
          </cell>
          <cell r="C226" t="str">
            <v>YV3T7U523NA207835</v>
          </cell>
          <cell r="D226">
            <v>550593</v>
          </cell>
          <cell r="E226" t="str">
            <v>Volvo</v>
          </cell>
          <cell r="F226" t="str">
            <v>B8RLEA</v>
          </cell>
          <cell r="G226" t="str">
            <v>MARCOPOLO</v>
          </cell>
          <cell r="H226" t="str">
            <v>GRAN VIALE</v>
          </cell>
          <cell r="I226">
            <v>2022</v>
          </cell>
          <cell r="J226" t="str">
            <v>C</v>
          </cell>
          <cell r="K226" t="str">
            <v>SAN ALFONSO</v>
          </cell>
          <cell r="L226" t="str">
            <v>San Alfonso 2141 (Ramón Subercaseaux 3060)</v>
          </cell>
          <cell r="M226" t="str">
            <v>Estacion Central</v>
          </cell>
          <cell r="N226" t="str">
            <v>C</v>
          </cell>
        </row>
        <row r="227">
          <cell r="B227">
            <v>1244</v>
          </cell>
          <cell r="C227" t="str">
            <v>YV3T7U52XNA207833</v>
          </cell>
          <cell r="D227">
            <v>550451</v>
          </cell>
          <cell r="E227" t="str">
            <v>Volvo</v>
          </cell>
          <cell r="F227" t="str">
            <v>B8RLEA</v>
          </cell>
          <cell r="G227" t="str">
            <v>MARCOPOLO</v>
          </cell>
          <cell r="H227" t="str">
            <v>GRAN VIALE</v>
          </cell>
          <cell r="I227">
            <v>2022</v>
          </cell>
          <cell r="J227" t="str">
            <v>C</v>
          </cell>
          <cell r="K227" t="str">
            <v>SAN ALFONSO</v>
          </cell>
          <cell r="L227" t="str">
            <v>San Alfonso 2141 (Ramón Subercaseaux 3060)</v>
          </cell>
          <cell r="M227" t="str">
            <v>Estacion Central</v>
          </cell>
          <cell r="N227" t="str">
            <v>C</v>
          </cell>
        </row>
        <row r="228">
          <cell r="B228">
            <v>1205</v>
          </cell>
          <cell r="C228" t="str">
            <v>YV3T7U520NA207937</v>
          </cell>
          <cell r="D228">
            <v>551900</v>
          </cell>
          <cell r="E228" t="str">
            <v>Volvo</v>
          </cell>
          <cell r="F228" t="str">
            <v>B8RLEA</v>
          </cell>
          <cell r="G228" t="str">
            <v>MARCOPOLO</v>
          </cell>
          <cell r="H228" t="str">
            <v>GRAN VIALE</v>
          </cell>
          <cell r="I228">
            <v>2022</v>
          </cell>
          <cell r="J228" t="str">
            <v>C</v>
          </cell>
          <cell r="K228" t="str">
            <v>PIE ANDINO</v>
          </cell>
          <cell r="L228" t="str">
            <v>Pie Andino 31 (Pie Andino 383)</v>
          </cell>
          <cell r="M228" t="str">
            <v>Puente Alto</v>
          </cell>
          <cell r="N228" t="str">
            <v>C</v>
          </cell>
        </row>
        <row r="229">
          <cell r="B229">
            <v>1206</v>
          </cell>
          <cell r="C229" t="str">
            <v>YV3T7U523NA207978</v>
          </cell>
          <cell r="D229">
            <v>553953</v>
          </cell>
          <cell r="E229" t="str">
            <v>Volvo</v>
          </cell>
          <cell r="F229" t="str">
            <v>B8RLEA</v>
          </cell>
          <cell r="G229" t="str">
            <v>MARCOPOLO</v>
          </cell>
          <cell r="H229" t="str">
            <v>GRAN VIALE</v>
          </cell>
          <cell r="I229">
            <v>2022</v>
          </cell>
          <cell r="J229" t="str">
            <v>C</v>
          </cell>
          <cell r="K229" t="str">
            <v>PIE ANDINO</v>
          </cell>
          <cell r="L229" t="str">
            <v>Pie Andino 31 (Pie Andino 383)</v>
          </cell>
          <cell r="M229" t="str">
            <v>Puente Alto</v>
          </cell>
          <cell r="N229" t="str">
            <v>C</v>
          </cell>
        </row>
        <row r="230">
          <cell r="B230">
            <v>1207</v>
          </cell>
          <cell r="C230" t="str">
            <v>YV3T7U525NA207934</v>
          </cell>
          <cell r="D230">
            <v>551716</v>
          </cell>
          <cell r="E230" t="str">
            <v>Volvo</v>
          </cell>
          <cell r="F230" t="str">
            <v>B8RLEA</v>
          </cell>
          <cell r="G230" t="str">
            <v>MARCOPOLO</v>
          </cell>
          <cell r="H230" t="str">
            <v>GRAN VIALE</v>
          </cell>
          <cell r="I230">
            <v>2022</v>
          </cell>
          <cell r="J230" t="str">
            <v>C</v>
          </cell>
          <cell r="K230" t="str">
            <v>PIE ANDINO</v>
          </cell>
          <cell r="L230" t="str">
            <v>Pie Andino 31 (Pie Andino 383)</v>
          </cell>
          <cell r="M230" t="str">
            <v>Puente Alto</v>
          </cell>
          <cell r="N230" t="str">
            <v>C</v>
          </cell>
        </row>
        <row r="231">
          <cell r="B231">
            <v>1208</v>
          </cell>
          <cell r="C231" t="str">
            <v>YV3T7U523NA207933</v>
          </cell>
          <cell r="D231">
            <v>551695</v>
          </cell>
          <cell r="E231" t="str">
            <v>Volvo</v>
          </cell>
          <cell r="F231" t="str">
            <v>B8RLEA</v>
          </cell>
          <cell r="G231" t="str">
            <v>MARCOPOLO</v>
          </cell>
          <cell r="H231" t="str">
            <v>GRAN VIALE</v>
          </cell>
          <cell r="I231">
            <v>2022</v>
          </cell>
          <cell r="J231" t="str">
            <v>C</v>
          </cell>
          <cell r="K231" t="str">
            <v>PIE ANDINO</v>
          </cell>
          <cell r="L231" t="str">
            <v>Pie Andino 31 (Pie Andino 383)</v>
          </cell>
          <cell r="M231" t="str">
            <v>Puente Alto</v>
          </cell>
          <cell r="N231" t="str">
            <v>C</v>
          </cell>
        </row>
        <row r="232">
          <cell r="B232">
            <v>1209</v>
          </cell>
          <cell r="C232" t="str">
            <v>YV3T7U521NA207932</v>
          </cell>
          <cell r="D232">
            <v>551682</v>
          </cell>
          <cell r="E232" t="str">
            <v>Volvo</v>
          </cell>
          <cell r="F232" t="str">
            <v>B8RLEA</v>
          </cell>
          <cell r="G232" t="str">
            <v>MARCOPOLO</v>
          </cell>
          <cell r="H232" t="str">
            <v>GRAN VIALE</v>
          </cell>
          <cell r="I232">
            <v>2022</v>
          </cell>
          <cell r="J232" t="str">
            <v>C</v>
          </cell>
          <cell r="K232" t="str">
            <v>PIE ANDINO</v>
          </cell>
          <cell r="L232" t="str">
            <v>Pie Andino 31 (Pie Andino 383)</v>
          </cell>
          <cell r="M232" t="str">
            <v>Puente Alto</v>
          </cell>
          <cell r="N232" t="str">
            <v>C</v>
          </cell>
        </row>
        <row r="233">
          <cell r="B233">
            <v>1210</v>
          </cell>
          <cell r="C233" t="str">
            <v>YV3T7U52XNA207931</v>
          </cell>
          <cell r="D233">
            <v>551698</v>
          </cell>
          <cell r="E233" t="str">
            <v>Volvo</v>
          </cell>
          <cell r="F233" t="str">
            <v>B8RLEA</v>
          </cell>
          <cell r="G233" t="str">
            <v>MARCOPOLO</v>
          </cell>
          <cell r="H233" t="str">
            <v>GRAN VIALE</v>
          </cell>
          <cell r="I233">
            <v>2022</v>
          </cell>
          <cell r="J233" t="str">
            <v>C</v>
          </cell>
          <cell r="K233" t="str">
            <v>PIE ANDINO</v>
          </cell>
          <cell r="L233" t="str">
            <v>Pie Andino 31 (Pie Andino 383)</v>
          </cell>
          <cell r="M233" t="str">
            <v>Puente Alto</v>
          </cell>
          <cell r="N233" t="str">
            <v>C</v>
          </cell>
        </row>
        <row r="234">
          <cell r="B234">
            <v>1245</v>
          </cell>
          <cell r="C234" t="str">
            <v>YV3T7U52XNA207928</v>
          </cell>
          <cell r="D234">
            <v>551645</v>
          </cell>
          <cell r="E234" t="str">
            <v>Volvo</v>
          </cell>
          <cell r="F234" t="str">
            <v>B8RLEA</v>
          </cell>
          <cell r="G234" t="str">
            <v>MARCOPOLO</v>
          </cell>
          <cell r="H234" t="str">
            <v>GRAN VIALE</v>
          </cell>
          <cell r="I234">
            <v>2022</v>
          </cell>
          <cell r="J234" t="str">
            <v>C</v>
          </cell>
          <cell r="K234" t="str">
            <v>SAN ALFONSO</v>
          </cell>
          <cell r="L234" t="str">
            <v>San Alfonso 2141 (Ramón Subercaseaux 3060)</v>
          </cell>
          <cell r="M234" t="str">
            <v>Estacion Central</v>
          </cell>
          <cell r="N234" t="str">
            <v>C</v>
          </cell>
        </row>
        <row r="235">
          <cell r="B235">
            <v>1246</v>
          </cell>
          <cell r="C235" t="str">
            <v>YV3T7U528NA207927</v>
          </cell>
          <cell r="D235">
            <v>551661</v>
          </cell>
          <cell r="E235" t="str">
            <v>Volvo</v>
          </cell>
          <cell r="F235" t="str">
            <v>B8RLEA</v>
          </cell>
          <cell r="G235" t="str">
            <v>MARCOPOLO</v>
          </cell>
          <cell r="H235" t="str">
            <v>GRAN VIALE</v>
          </cell>
          <cell r="I235">
            <v>2022</v>
          </cell>
          <cell r="J235" t="str">
            <v>C</v>
          </cell>
          <cell r="K235" t="str">
            <v>SAN ALFONSO</v>
          </cell>
          <cell r="L235" t="str">
            <v>San Alfonso 2141 (Ramón Subercaseaux 3060)</v>
          </cell>
          <cell r="M235" t="str">
            <v>Estacion Central</v>
          </cell>
          <cell r="N235" t="str">
            <v>C</v>
          </cell>
        </row>
        <row r="236">
          <cell r="B236">
            <v>1211</v>
          </cell>
          <cell r="C236" t="str">
            <v>YV3T7U521NA208143</v>
          </cell>
          <cell r="D236">
            <v>554610</v>
          </cell>
          <cell r="E236" t="str">
            <v>Volvo</v>
          </cell>
          <cell r="F236" t="str">
            <v>B8RLEA</v>
          </cell>
          <cell r="G236" t="str">
            <v>MARCOPOLO</v>
          </cell>
          <cell r="H236" t="str">
            <v>GRAN VIALE</v>
          </cell>
          <cell r="I236">
            <v>2022</v>
          </cell>
          <cell r="J236" t="str">
            <v>C</v>
          </cell>
          <cell r="K236" t="str">
            <v>PIE ANDINO</v>
          </cell>
          <cell r="L236" t="str">
            <v>Pie Andino 31 (Pie Andino 383)</v>
          </cell>
          <cell r="M236" t="str">
            <v>Puente Alto</v>
          </cell>
          <cell r="N236" t="str">
            <v>C</v>
          </cell>
        </row>
        <row r="237">
          <cell r="B237">
            <v>1212</v>
          </cell>
          <cell r="C237" t="str">
            <v>YV3T7U523NA208144</v>
          </cell>
          <cell r="D237">
            <v>554682</v>
          </cell>
          <cell r="E237" t="str">
            <v>Volvo</v>
          </cell>
          <cell r="F237" t="str">
            <v>B8RLEA</v>
          </cell>
          <cell r="G237" t="str">
            <v>MARCOPOLO</v>
          </cell>
          <cell r="H237" t="str">
            <v>GRAN VIALE</v>
          </cell>
          <cell r="I237">
            <v>2022</v>
          </cell>
          <cell r="J237" t="str">
            <v>C</v>
          </cell>
          <cell r="K237" t="str">
            <v>PIE ANDINO</v>
          </cell>
          <cell r="L237" t="str">
            <v>Pie Andino 31 (Pie Andino 383)</v>
          </cell>
          <cell r="M237" t="str">
            <v>Puente Alto</v>
          </cell>
          <cell r="N237" t="str">
            <v>C</v>
          </cell>
        </row>
        <row r="238">
          <cell r="B238">
            <v>1213</v>
          </cell>
          <cell r="C238" t="str">
            <v>YV3T7U522NA208152</v>
          </cell>
          <cell r="D238">
            <v>554694</v>
          </cell>
          <cell r="E238" t="str">
            <v>Volvo</v>
          </cell>
          <cell r="F238" t="str">
            <v>B8RLEA</v>
          </cell>
          <cell r="G238" t="str">
            <v>MARCOPOLO</v>
          </cell>
          <cell r="H238" t="str">
            <v>GRAN VIALE</v>
          </cell>
          <cell r="I238">
            <v>2022</v>
          </cell>
          <cell r="J238" t="str">
            <v>C</v>
          </cell>
          <cell r="K238" t="str">
            <v>SAN ALFONSO</v>
          </cell>
          <cell r="L238" t="str">
            <v>San Alfonso 2141 (Ramón Subercaseaux 3060)</v>
          </cell>
          <cell r="M238" t="str">
            <v>Estacion Central</v>
          </cell>
          <cell r="N238" t="str">
            <v>C</v>
          </cell>
        </row>
        <row r="239">
          <cell r="B239">
            <v>1214</v>
          </cell>
          <cell r="C239" t="str">
            <v>YV3T7U527NA208163</v>
          </cell>
          <cell r="D239">
            <v>555374</v>
          </cell>
          <cell r="E239" t="str">
            <v>Volvo</v>
          </cell>
          <cell r="F239" t="str">
            <v>B8RLEA</v>
          </cell>
          <cell r="G239" t="str">
            <v>MARCOPOLO</v>
          </cell>
          <cell r="H239" t="str">
            <v>GRAN VIALE</v>
          </cell>
          <cell r="I239">
            <v>2022</v>
          </cell>
          <cell r="J239" t="str">
            <v>C</v>
          </cell>
          <cell r="K239" t="str">
            <v>SAN ALFONSO</v>
          </cell>
          <cell r="L239" t="str">
            <v>San Alfonso 2141 (Ramón Subercaseaux 3060)</v>
          </cell>
          <cell r="M239" t="str">
            <v>Estacion Central</v>
          </cell>
          <cell r="N239" t="str">
            <v>C</v>
          </cell>
        </row>
        <row r="240">
          <cell r="B240">
            <v>1215</v>
          </cell>
          <cell r="C240" t="str">
            <v>YV3T7U528NA208169</v>
          </cell>
          <cell r="D240">
            <v>555138</v>
          </cell>
          <cell r="E240" t="str">
            <v>Volvo</v>
          </cell>
          <cell r="F240" t="str">
            <v>B8RLEA</v>
          </cell>
          <cell r="G240" t="str">
            <v>MARCOPOLO</v>
          </cell>
          <cell r="H240" t="str">
            <v>GRAN VIALE</v>
          </cell>
          <cell r="I240">
            <v>2022</v>
          </cell>
          <cell r="J240" t="str">
            <v>C</v>
          </cell>
          <cell r="K240" t="str">
            <v>SAN ALFONSO</v>
          </cell>
          <cell r="L240" t="str">
            <v>San Alfonso 2141 (Ramón Subercaseaux 3060)</v>
          </cell>
          <cell r="M240" t="str">
            <v>Estacion Central</v>
          </cell>
          <cell r="N240" t="str">
            <v>C</v>
          </cell>
        </row>
        <row r="241">
          <cell r="B241">
            <v>1216</v>
          </cell>
          <cell r="C241" t="str">
            <v>YV3T7U525NA208193</v>
          </cell>
          <cell r="D241">
            <v>555050</v>
          </cell>
          <cell r="E241" t="str">
            <v>Volvo</v>
          </cell>
          <cell r="F241" t="str">
            <v>B8RLEA</v>
          </cell>
          <cell r="G241" t="str">
            <v>MARCOPOLO</v>
          </cell>
          <cell r="H241" t="str">
            <v>GRAN VIALE</v>
          </cell>
          <cell r="I241">
            <v>2022</v>
          </cell>
          <cell r="J241" t="str">
            <v>C</v>
          </cell>
          <cell r="K241" t="str">
            <v>SAN ALFONSO</v>
          </cell>
          <cell r="L241" t="str">
            <v>San Alfonso 2141 (Ramón Subercaseaux 3060)</v>
          </cell>
          <cell r="M241" t="str">
            <v>Estacion Central</v>
          </cell>
          <cell r="N241" t="str">
            <v>C</v>
          </cell>
        </row>
        <row r="242">
          <cell r="B242">
            <v>1217</v>
          </cell>
          <cell r="C242" t="str">
            <v>YV3T7U529RA212110</v>
          </cell>
          <cell r="D242">
            <v>593684</v>
          </cell>
          <cell r="E242" t="str">
            <v>Volvo</v>
          </cell>
          <cell r="F242" t="str">
            <v>B8RLEA</v>
          </cell>
          <cell r="G242" t="str">
            <v>MARCOPOLO</v>
          </cell>
          <cell r="H242" t="str">
            <v>GRAN VIALE</v>
          </cell>
          <cell r="I242">
            <v>2023</v>
          </cell>
          <cell r="J242" t="str">
            <v>C</v>
          </cell>
          <cell r="K242" t="str">
            <v>SAN ALFONSO</v>
          </cell>
          <cell r="L242" t="str">
            <v>San Alfonso 2141 (Ramón Subercaseaux 3060)</v>
          </cell>
          <cell r="M242" t="str">
            <v>Estacion Central</v>
          </cell>
          <cell r="N242" t="str">
            <v>C</v>
          </cell>
        </row>
        <row r="243">
          <cell r="B243">
            <v>1218</v>
          </cell>
          <cell r="C243" t="str">
            <v>YV3T7U522RA212109</v>
          </cell>
          <cell r="D243">
            <v>593717</v>
          </cell>
          <cell r="E243" t="str">
            <v>Volvo</v>
          </cell>
          <cell r="F243" t="str">
            <v>B8RLEA</v>
          </cell>
          <cell r="G243" t="str">
            <v>MARCOPOLO</v>
          </cell>
          <cell r="H243" t="str">
            <v>GRAN VIALE</v>
          </cell>
          <cell r="I243">
            <v>2023</v>
          </cell>
          <cell r="J243" t="str">
            <v>C</v>
          </cell>
          <cell r="K243" t="str">
            <v>SAN ALFONSO</v>
          </cell>
          <cell r="L243" t="str">
            <v>San Alfonso 2141 (Ramón Subercaseaux 3060)</v>
          </cell>
          <cell r="M243" t="str">
            <v>Estacion Central</v>
          </cell>
          <cell r="N243" t="str">
            <v>C</v>
          </cell>
        </row>
        <row r="244">
          <cell r="B244">
            <v>1247</v>
          </cell>
          <cell r="C244" t="str">
            <v>YV3T7U521RA211954</v>
          </cell>
          <cell r="D244">
            <v>592427</v>
          </cell>
          <cell r="E244" t="str">
            <v>Volvo</v>
          </cell>
          <cell r="F244" t="str">
            <v>B8RLEA</v>
          </cell>
          <cell r="G244" t="str">
            <v>MARCOPOLO</v>
          </cell>
          <cell r="H244" t="str">
            <v>GRAN VIALE</v>
          </cell>
          <cell r="I244">
            <v>2023</v>
          </cell>
          <cell r="J244" t="str">
            <v>C</v>
          </cell>
          <cell r="K244" t="str">
            <v>SAN ALFONSO</v>
          </cell>
          <cell r="L244" t="str">
            <v>San Alfonso 2141 (Ramón Subercaseaux 3060)</v>
          </cell>
          <cell r="M244" t="str">
            <v>Estacion Central</v>
          </cell>
          <cell r="N244" t="str">
            <v>C</v>
          </cell>
        </row>
        <row r="245">
          <cell r="B245">
            <v>1248</v>
          </cell>
          <cell r="C245" t="str">
            <v>YV3T7U527RA211988</v>
          </cell>
          <cell r="D245">
            <v>593907</v>
          </cell>
          <cell r="E245" t="str">
            <v>Volvo</v>
          </cell>
          <cell r="F245" t="str">
            <v>B8RLEA</v>
          </cell>
          <cell r="G245" t="str">
            <v>MARCOPOLO</v>
          </cell>
          <cell r="H245" t="str">
            <v>GRAN VIALE</v>
          </cell>
          <cell r="I245">
            <v>2023</v>
          </cell>
          <cell r="J245" t="str">
            <v>C</v>
          </cell>
          <cell r="K245" t="str">
            <v>SAN ALFONSO</v>
          </cell>
          <cell r="L245" t="str">
            <v>San Alfonso 2141 (Ramón Subercaseaux 3060)</v>
          </cell>
          <cell r="M245" t="str">
            <v>Estacion Central</v>
          </cell>
          <cell r="N245" t="str">
            <v>C</v>
          </cell>
        </row>
        <row r="246">
          <cell r="B246">
            <v>1219</v>
          </cell>
          <cell r="C246" t="str">
            <v>YV3T7U529RA211989</v>
          </cell>
          <cell r="D246">
            <v>593887</v>
          </cell>
          <cell r="E246" t="str">
            <v>Volvo</v>
          </cell>
          <cell r="F246" t="str">
            <v>B8RLEA</v>
          </cell>
          <cell r="G246" t="str">
            <v>MARCOPOLO</v>
          </cell>
          <cell r="H246" t="str">
            <v>GRAN VIALE</v>
          </cell>
          <cell r="I246">
            <v>2023</v>
          </cell>
          <cell r="J246" t="str">
            <v>C</v>
          </cell>
          <cell r="K246" t="str">
            <v>SAN ALFONSO</v>
          </cell>
          <cell r="L246" t="str">
            <v>San Alfonso 2141 (Ramón Subercaseaux 3060)</v>
          </cell>
          <cell r="M246" t="str">
            <v>Estacion Central</v>
          </cell>
          <cell r="N246" t="str">
            <v>C</v>
          </cell>
        </row>
        <row r="247">
          <cell r="B247">
            <v>1220</v>
          </cell>
          <cell r="C247" t="str">
            <v>YV3T7U525RA211990</v>
          </cell>
          <cell r="D247">
            <v>593899</v>
          </cell>
          <cell r="E247" t="str">
            <v>Volvo</v>
          </cell>
          <cell r="F247" t="str">
            <v>B8RLEA</v>
          </cell>
          <cell r="G247" t="str">
            <v>MARCOPOLO</v>
          </cell>
          <cell r="H247" t="str">
            <v>GRAN VIALE</v>
          </cell>
          <cell r="I247">
            <v>2023</v>
          </cell>
          <cell r="J247" t="str">
            <v>C</v>
          </cell>
          <cell r="K247" t="str">
            <v>SAN ALFONSO</v>
          </cell>
          <cell r="L247" t="str">
            <v>San Alfonso 2141 (Ramón Subercaseaux 3060)</v>
          </cell>
          <cell r="M247" t="str">
            <v>Estacion Central</v>
          </cell>
          <cell r="N247" t="str">
            <v>C</v>
          </cell>
        </row>
        <row r="248">
          <cell r="B248">
            <v>1221</v>
          </cell>
          <cell r="C248" t="str">
            <v>YV3T7U527RA211991</v>
          </cell>
          <cell r="D248">
            <v>593420</v>
          </cell>
          <cell r="E248" t="str">
            <v>Volvo</v>
          </cell>
          <cell r="F248" t="str">
            <v>B8RLEA</v>
          </cell>
          <cell r="G248" t="str">
            <v>MARCOPOLO</v>
          </cell>
          <cell r="H248" t="str">
            <v>GRAN VIALE</v>
          </cell>
          <cell r="I248">
            <v>2023</v>
          </cell>
          <cell r="J248" t="str">
            <v>C</v>
          </cell>
          <cell r="K248" t="str">
            <v>SAN ALFONSO</v>
          </cell>
          <cell r="L248" t="str">
            <v>San Alfonso 2141 (Ramón Subercaseaux 3060)</v>
          </cell>
          <cell r="M248" t="str">
            <v>Estacion Central</v>
          </cell>
          <cell r="N248" t="str">
            <v>C</v>
          </cell>
        </row>
        <row r="249">
          <cell r="B249">
            <v>1222</v>
          </cell>
          <cell r="C249" t="str">
            <v>YV3T7U529RA211992</v>
          </cell>
          <cell r="D249">
            <v>593506</v>
          </cell>
          <cell r="E249" t="str">
            <v>Volvo</v>
          </cell>
          <cell r="F249" t="str">
            <v>B8RLEA</v>
          </cell>
          <cell r="G249" t="str">
            <v>MARCOPOLO</v>
          </cell>
          <cell r="H249" t="str">
            <v>GRAN VIALE</v>
          </cell>
          <cell r="I249">
            <v>2023</v>
          </cell>
          <cell r="J249" t="str">
            <v>C</v>
          </cell>
          <cell r="K249" t="str">
            <v>SAN ALFONSO</v>
          </cell>
          <cell r="L249" t="str">
            <v>San Alfonso 2141 (Ramón Subercaseaux 3060)</v>
          </cell>
          <cell r="M249" t="str">
            <v>Estacion Central</v>
          </cell>
          <cell r="N249" t="str">
            <v>C</v>
          </cell>
        </row>
        <row r="250">
          <cell r="B250">
            <v>1223</v>
          </cell>
          <cell r="C250" t="str">
            <v>YV3T7U520RA211993</v>
          </cell>
          <cell r="D250">
            <v>593418</v>
          </cell>
          <cell r="E250" t="str">
            <v>Volvo</v>
          </cell>
          <cell r="F250" t="str">
            <v>B8RLEA</v>
          </cell>
          <cell r="G250" t="str">
            <v>MARCOPOLO</v>
          </cell>
          <cell r="H250" t="str">
            <v>GRAN VIALE</v>
          </cell>
          <cell r="I250">
            <v>2023</v>
          </cell>
          <cell r="J250" t="str">
            <v>C</v>
          </cell>
          <cell r="K250" t="str">
            <v>SAN ALFONSO</v>
          </cell>
          <cell r="L250" t="str">
            <v>San Alfonso 2141 (Ramón Subercaseaux 3060)</v>
          </cell>
          <cell r="M250" t="str">
            <v>Estacion Central</v>
          </cell>
          <cell r="N250" t="str">
            <v>C</v>
          </cell>
        </row>
        <row r="251">
          <cell r="B251">
            <v>1224</v>
          </cell>
          <cell r="C251" t="str">
            <v>YV3T7U529RA212107</v>
          </cell>
          <cell r="D251">
            <v>593145</v>
          </cell>
          <cell r="E251" t="str">
            <v>Volvo</v>
          </cell>
          <cell r="F251" t="str">
            <v>B8RLEA</v>
          </cell>
          <cell r="G251" t="str">
            <v>MARCOPOLO</v>
          </cell>
          <cell r="H251" t="str">
            <v>GRAN VIALE</v>
          </cell>
          <cell r="I251">
            <v>2023</v>
          </cell>
          <cell r="J251" t="str">
            <v>C</v>
          </cell>
          <cell r="K251" t="str">
            <v>SAN ALFONSO</v>
          </cell>
          <cell r="L251" t="str">
            <v>San Alfonso 2141 (Ramón Subercaseaux 3060)</v>
          </cell>
          <cell r="M251" t="str">
            <v>Estacion Central</v>
          </cell>
          <cell r="N251" t="str">
            <v>C</v>
          </cell>
        </row>
        <row r="252">
          <cell r="B252">
            <v>1251</v>
          </cell>
          <cell r="C252" t="str">
            <v>MDN35025020059</v>
          </cell>
          <cell r="D252" t="str">
            <v>LDYECS312S0043986</v>
          </cell>
          <cell r="E252" t="str">
            <v>Zhong Tong</v>
          </cell>
          <cell r="F252" t="str">
            <v>Lck6122evg</v>
          </cell>
          <cell r="G252" t="str">
            <v>ZHONGTONG</v>
          </cell>
          <cell r="H252" t="str">
            <v>LCK6122EVG</v>
          </cell>
          <cell r="I252">
            <v>2025</v>
          </cell>
          <cell r="J252" t="str">
            <v>B</v>
          </cell>
          <cell r="K252" t="str">
            <v>CERRILLOS</v>
          </cell>
          <cell r="L252" t="str">
            <v>Calle Uno 7371</v>
          </cell>
          <cell r="M252" t="str">
            <v>Cerrillos</v>
          </cell>
          <cell r="N252" t="str">
            <v>B</v>
          </cell>
        </row>
        <row r="253">
          <cell r="B253">
            <v>1252</v>
          </cell>
          <cell r="C253" t="str">
            <v>MDN35025020068</v>
          </cell>
          <cell r="D253" t="str">
            <v>LDYECS318S0044009</v>
          </cell>
          <cell r="E253" t="str">
            <v>Zhong Tong</v>
          </cell>
          <cell r="F253" t="str">
            <v>Lck6122evg</v>
          </cell>
          <cell r="G253" t="str">
            <v>ZHONGTONG</v>
          </cell>
          <cell r="H253" t="str">
            <v>LCK6122EVG</v>
          </cell>
          <cell r="I253">
            <v>2025</v>
          </cell>
          <cell r="J253" t="str">
            <v>B</v>
          </cell>
          <cell r="K253" t="str">
            <v>PIE ANDINO</v>
          </cell>
          <cell r="L253" t="str">
            <v>Pie Andino 31 (Pie Andino 383)</v>
          </cell>
          <cell r="M253" t="str">
            <v>Puente Alto</v>
          </cell>
          <cell r="N253" t="str">
            <v>B</v>
          </cell>
        </row>
        <row r="254">
          <cell r="B254">
            <v>1253</v>
          </cell>
          <cell r="C254" t="str">
            <v>MDN35025020104</v>
          </cell>
          <cell r="D254" t="str">
            <v>LDYECS315S0044016</v>
          </cell>
          <cell r="E254" t="str">
            <v>Zhong Tong</v>
          </cell>
          <cell r="F254" t="str">
            <v>Lck6122evg</v>
          </cell>
          <cell r="G254" t="str">
            <v>ZHONGTONG</v>
          </cell>
          <cell r="H254" t="str">
            <v>LCK6122EVG</v>
          </cell>
          <cell r="I254">
            <v>2025</v>
          </cell>
          <cell r="J254" t="str">
            <v>B</v>
          </cell>
          <cell r="K254" t="str">
            <v>SAN ALFONSO</v>
          </cell>
          <cell r="L254" t="str">
            <v>San Alfonso 2141 (Ramón Subercaseaux 3060)</v>
          </cell>
          <cell r="M254" t="str">
            <v>Estacion Central</v>
          </cell>
          <cell r="N254" t="str">
            <v>B</v>
          </cell>
        </row>
        <row r="255">
          <cell r="B255">
            <v>1254</v>
          </cell>
          <cell r="C255" t="str">
            <v>MDN35025020124</v>
          </cell>
          <cell r="D255" t="str">
            <v>LDYECS311S0044014</v>
          </cell>
          <cell r="E255" t="str">
            <v>Zhong Tong</v>
          </cell>
          <cell r="F255" t="str">
            <v>Lck6122evg</v>
          </cell>
          <cell r="G255" t="str">
            <v>ZHONGTONG</v>
          </cell>
          <cell r="H255" t="str">
            <v>LCK6122EVG</v>
          </cell>
          <cell r="I255">
            <v>2025</v>
          </cell>
          <cell r="J255" t="str">
            <v>B</v>
          </cell>
          <cell r="K255" t="str">
            <v>SAN ALFONSO</v>
          </cell>
          <cell r="L255" t="str">
            <v>San Alfonso 2141 (Ramón Subercaseaux 3060)</v>
          </cell>
          <cell r="M255" t="str">
            <v>Estacion Central</v>
          </cell>
          <cell r="N255" t="str">
            <v>B</v>
          </cell>
        </row>
        <row r="256">
          <cell r="B256">
            <v>1255</v>
          </cell>
          <cell r="C256" t="str">
            <v>MDN35025020027</v>
          </cell>
          <cell r="D256" t="str">
            <v>LDYECS317S0044003</v>
          </cell>
          <cell r="E256" t="str">
            <v>Zhong Tong</v>
          </cell>
          <cell r="F256" t="str">
            <v>Lck6122evg</v>
          </cell>
          <cell r="G256" t="str">
            <v>ZHONGTONG</v>
          </cell>
          <cell r="H256" t="str">
            <v>LCK6122EVG</v>
          </cell>
          <cell r="I256">
            <v>2025</v>
          </cell>
          <cell r="J256" t="str">
            <v>B</v>
          </cell>
          <cell r="K256" t="str">
            <v>PIE ANDINO</v>
          </cell>
          <cell r="L256" t="str">
            <v>Pie Andino 31 (Pie Andino 383)</v>
          </cell>
          <cell r="M256" t="str">
            <v>Puente Alto</v>
          </cell>
          <cell r="N256" t="str">
            <v>B</v>
          </cell>
        </row>
        <row r="257">
          <cell r="B257">
            <v>1256</v>
          </cell>
          <cell r="C257" t="str">
            <v>MDN35025020086</v>
          </cell>
          <cell r="D257" t="str">
            <v>LDYECS31XS0043976</v>
          </cell>
          <cell r="E257" t="str">
            <v>Zhong Tong</v>
          </cell>
          <cell r="F257" t="str">
            <v>Lck6122evg</v>
          </cell>
          <cell r="G257" t="str">
            <v>ZHONGTONG</v>
          </cell>
          <cell r="H257" t="str">
            <v>LCK6122EVG</v>
          </cell>
          <cell r="I257">
            <v>2025</v>
          </cell>
          <cell r="J257" t="str">
            <v>B</v>
          </cell>
          <cell r="K257" t="str">
            <v>CERRILLOS</v>
          </cell>
          <cell r="L257" t="str">
            <v>Calle Uno 7371</v>
          </cell>
          <cell r="M257" t="str">
            <v>Cerrillos</v>
          </cell>
          <cell r="N257" t="str">
            <v>B</v>
          </cell>
        </row>
        <row r="258">
          <cell r="B258">
            <v>1257</v>
          </cell>
          <cell r="C258" t="str">
            <v>MDN35025020119</v>
          </cell>
          <cell r="D258" t="str">
            <v>LDYECS313S0043981</v>
          </cell>
          <cell r="E258" t="str">
            <v>Zhong Tong</v>
          </cell>
          <cell r="F258" t="str">
            <v>Lck6122evg</v>
          </cell>
          <cell r="G258" t="str">
            <v>ZHONGTONG</v>
          </cell>
          <cell r="H258" t="str">
            <v>LCK6122EVG</v>
          </cell>
          <cell r="I258">
            <v>2025</v>
          </cell>
          <cell r="J258" t="str">
            <v>B</v>
          </cell>
          <cell r="K258" t="str">
            <v>PIE ANDINO</v>
          </cell>
          <cell r="L258" t="str">
            <v>Pie Andino 31 (Pie Andino 383)</v>
          </cell>
          <cell r="M258" t="str">
            <v>Puente Alto</v>
          </cell>
          <cell r="N258" t="str">
            <v>B</v>
          </cell>
        </row>
        <row r="259">
          <cell r="B259">
            <v>1258</v>
          </cell>
          <cell r="C259" t="str">
            <v>MDN35025020092</v>
          </cell>
          <cell r="D259" t="str">
            <v>LDYECS319S0043998</v>
          </cell>
          <cell r="E259" t="str">
            <v>Zhong Tong</v>
          </cell>
          <cell r="F259" t="str">
            <v>Lck6122evg</v>
          </cell>
          <cell r="G259" t="str">
            <v>ZHONGTONG</v>
          </cell>
          <cell r="H259" t="str">
            <v>LCK6122EVG</v>
          </cell>
          <cell r="I259">
            <v>2025</v>
          </cell>
          <cell r="J259" t="str">
            <v>B</v>
          </cell>
          <cell r="K259" t="str">
            <v>CERRILLOS</v>
          </cell>
          <cell r="L259" t="str">
            <v>Calle Uno 7371</v>
          </cell>
          <cell r="M259" t="str">
            <v>Cerrillos</v>
          </cell>
          <cell r="N259" t="str">
            <v>B</v>
          </cell>
        </row>
        <row r="260">
          <cell r="B260">
            <v>1259</v>
          </cell>
          <cell r="C260" t="str">
            <v>MDN35025020153</v>
          </cell>
          <cell r="D260" t="str">
            <v>LDYECS310S0043999</v>
          </cell>
          <cell r="E260" t="str">
            <v>Zhong Tong</v>
          </cell>
          <cell r="F260" t="str">
            <v>Lck6122evg</v>
          </cell>
          <cell r="G260" t="str">
            <v>ZHONGTONG</v>
          </cell>
          <cell r="H260" t="str">
            <v>LCK6122EVG</v>
          </cell>
          <cell r="I260">
            <v>2025</v>
          </cell>
          <cell r="J260" t="str">
            <v>B</v>
          </cell>
          <cell r="K260" t="str">
            <v>CERRILLOS</v>
          </cell>
          <cell r="L260" t="str">
            <v>Calle Uno 7371</v>
          </cell>
          <cell r="M260" t="str">
            <v>Cerrillos</v>
          </cell>
          <cell r="N260" t="str">
            <v>B</v>
          </cell>
        </row>
        <row r="261">
          <cell r="B261">
            <v>1260</v>
          </cell>
          <cell r="C261" t="str">
            <v>MDN35025010097</v>
          </cell>
          <cell r="D261" t="str">
            <v>LDYECS318S0044110</v>
          </cell>
          <cell r="E261" t="str">
            <v>Zhong Tong</v>
          </cell>
          <cell r="F261" t="str">
            <v>Lck6122evg</v>
          </cell>
          <cell r="G261" t="str">
            <v>ZHONGTONG</v>
          </cell>
          <cell r="H261" t="str">
            <v>LCK6122EVG</v>
          </cell>
          <cell r="I261">
            <v>2025</v>
          </cell>
          <cell r="J261" t="str">
            <v>B</v>
          </cell>
          <cell r="K261" t="str">
            <v>CERRILLOS</v>
          </cell>
          <cell r="L261" t="str">
            <v>Calle Uno 7371</v>
          </cell>
          <cell r="M261" t="str">
            <v>Cerrillos</v>
          </cell>
          <cell r="N261" t="str">
            <v>B</v>
          </cell>
        </row>
        <row r="262">
          <cell r="B262">
            <v>1261</v>
          </cell>
          <cell r="C262" t="str">
            <v>MDN35025020026</v>
          </cell>
          <cell r="D262" t="str">
            <v>LDYECS31XS0043993</v>
          </cell>
          <cell r="E262" t="str">
            <v>Zhong Tong</v>
          </cell>
          <cell r="F262" t="str">
            <v>Lck6122evg</v>
          </cell>
          <cell r="G262" t="str">
            <v>ZHONGTONG</v>
          </cell>
          <cell r="H262" t="str">
            <v>LCK6122EVG</v>
          </cell>
          <cell r="I262">
            <v>2025</v>
          </cell>
          <cell r="J262" t="str">
            <v>B</v>
          </cell>
          <cell r="K262" t="str">
            <v>CERRILLOS</v>
          </cell>
          <cell r="L262" t="str">
            <v>Calle Uno 7371</v>
          </cell>
          <cell r="M262" t="str">
            <v>Cerrillos</v>
          </cell>
          <cell r="N262" t="str">
            <v>B</v>
          </cell>
        </row>
        <row r="263">
          <cell r="B263">
            <v>1262</v>
          </cell>
          <cell r="C263" t="str">
            <v>MDN35025020048</v>
          </cell>
          <cell r="D263" t="str">
            <v>LDYECS316S0043988</v>
          </cell>
          <cell r="E263" t="str">
            <v>Zhong Tong</v>
          </cell>
          <cell r="F263" t="str">
            <v>Lck6122evg</v>
          </cell>
          <cell r="G263" t="str">
            <v>ZHONGTONG</v>
          </cell>
          <cell r="H263" t="str">
            <v>LCK6122EVG</v>
          </cell>
          <cell r="I263">
            <v>2025</v>
          </cell>
          <cell r="J263" t="str">
            <v>B</v>
          </cell>
          <cell r="K263" t="str">
            <v>PIE ANDINO</v>
          </cell>
          <cell r="L263" t="str">
            <v>Pie Andino 31 (Pie Andino 383)</v>
          </cell>
          <cell r="M263" t="str">
            <v>Puente Alto</v>
          </cell>
          <cell r="N263" t="str">
            <v>B</v>
          </cell>
        </row>
        <row r="264">
          <cell r="B264">
            <v>1263</v>
          </cell>
          <cell r="C264" t="str">
            <v>MDN35025020053</v>
          </cell>
          <cell r="D264" t="str">
            <v>LDYECS310S0043985</v>
          </cell>
          <cell r="E264" t="str">
            <v>Zhong Tong</v>
          </cell>
          <cell r="F264" t="str">
            <v>Lck6122evg</v>
          </cell>
          <cell r="G264" t="str">
            <v>ZHONGTONG</v>
          </cell>
          <cell r="H264" t="str">
            <v>LCK6122EVG</v>
          </cell>
          <cell r="I264">
            <v>2025</v>
          </cell>
          <cell r="J264" t="str">
            <v>B</v>
          </cell>
          <cell r="K264" t="str">
            <v>CERRILLOS</v>
          </cell>
          <cell r="L264" t="str">
            <v>Calle Uno 7371</v>
          </cell>
          <cell r="M264" t="str">
            <v>Cerrillos</v>
          </cell>
          <cell r="N264" t="str">
            <v>B</v>
          </cell>
        </row>
        <row r="265">
          <cell r="B265">
            <v>1264</v>
          </cell>
          <cell r="C265" t="str">
            <v>MDN35025020080</v>
          </cell>
          <cell r="D265" t="str">
            <v>LDYECS314S0043990</v>
          </cell>
          <cell r="E265" t="str">
            <v>Zhong Tong</v>
          </cell>
          <cell r="F265" t="str">
            <v>Lck6122evg</v>
          </cell>
          <cell r="G265" t="str">
            <v>ZHONGTONG</v>
          </cell>
          <cell r="H265" t="str">
            <v>LCK6122EVG</v>
          </cell>
          <cell r="I265">
            <v>2025</v>
          </cell>
          <cell r="J265" t="str">
            <v>B</v>
          </cell>
          <cell r="K265" t="str">
            <v>CERRILLOS</v>
          </cell>
          <cell r="L265" t="str">
            <v>Calle Uno 7371</v>
          </cell>
          <cell r="M265" t="str">
            <v>Cerrillos</v>
          </cell>
          <cell r="N265" t="str">
            <v>B</v>
          </cell>
        </row>
        <row r="266">
          <cell r="B266">
            <v>1265</v>
          </cell>
          <cell r="C266" t="str">
            <v>MDN35025020046</v>
          </cell>
          <cell r="D266" t="str">
            <v>LDYECS311S0043994</v>
          </cell>
          <cell r="E266" t="str">
            <v>Zhong Tong</v>
          </cell>
          <cell r="F266" t="str">
            <v>Lck6122evg</v>
          </cell>
          <cell r="G266" t="str">
            <v>ZHONGTONG</v>
          </cell>
          <cell r="H266" t="str">
            <v>LCK6122EVG</v>
          </cell>
          <cell r="I266">
            <v>2025</v>
          </cell>
          <cell r="J266" t="str">
            <v>B</v>
          </cell>
          <cell r="K266" t="str">
            <v>PIE ANDINO</v>
          </cell>
          <cell r="L266" t="str">
            <v>Pie Andino 31 (Pie Andino 383)</v>
          </cell>
          <cell r="M266" t="str">
            <v>Puente Alto</v>
          </cell>
          <cell r="N266" t="str">
            <v>B</v>
          </cell>
        </row>
        <row r="267">
          <cell r="B267">
            <v>1266</v>
          </cell>
          <cell r="C267" t="str">
            <v>MDN35025020061</v>
          </cell>
          <cell r="D267" t="str">
            <v>LDYECS318S0043992</v>
          </cell>
          <cell r="E267" t="str">
            <v>Zhong Tong</v>
          </cell>
          <cell r="F267" t="str">
            <v>Lck6122evg</v>
          </cell>
          <cell r="G267" t="str">
            <v>ZHONGTONG</v>
          </cell>
          <cell r="H267" t="str">
            <v>LCK6122EVG</v>
          </cell>
          <cell r="I267">
            <v>2025</v>
          </cell>
          <cell r="J267" t="str">
            <v>B</v>
          </cell>
          <cell r="K267" t="str">
            <v>SAN ALFONSO</v>
          </cell>
          <cell r="L267" t="str">
            <v>San Alfonso 2141 (Ramón Subercaseaux 3060)</v>
          </cell>
          <cell r="M267" t="str">
            <v>Estacion Central</v>
          </cell>
          <cell r="N267" t="str">
            <v>B</v>
          </cell>
        </row>
        <row r="268">
          <cell r="B268">
            <v>1267</v>
          </cell>
          <cell r="C268" t="str">
            <v>MDN35025020044</v>
          </cell>
          <cell r="D268" t="str">
            <v>LDYECS31XS0044058</v>
          </cell>
          <cell r="E268" t="str">
            <v>Zhong Tong</v>
          </cell>
          <cell r="F268" t="str">
            <v>Lck6122evg</v>
          </cell>
          <cell r="G268" t="str">
            <v>ZHONGTONG</v>
          </cell>
          <cell r="H268" t="str">
            <v>LCK6122EVG</v>
          </cell>
          <cell r="I268">
            <v>2025</v>
          </cell>
          <cell r="J268" t="str">
            <v>B</v>
          </cell>
          <cell r="K268" t="str">
            <v>CERRILLOS</v>
          </cell>
          <cell r="L268" t="str">
            <v>Calle Uno 7371</v>
          </cell>
          <cell r="M268" t="str">
            <v>Cerrillos</v>
          </cell>
          <cell r="N268" t="str">
            <v>B</v>
          </cell>
        </row>
        <row r="269">
          <cell r="B269">
            <v>1268</v>
          </cell>
          <cell r="C269" t="str">
            <v>MDN35025020113</v>
          </cell>
          <cell r="D269" t="str">
            <v>LDYECS318S0044012</v>
          </cell>
          <cell r="E269" t="str">
            <v>Zhong Tong</v>
          </cell>
          <cell r="F269" t="str">
            <v>Lck6122evg</v>
          </cell>
          <cell r="G269" t="str">
            <v>ZHONGTONG</v>
          </cell>
          <cell r="H269" t="str">
            <v>LCK6122EVG</v>
          </cell>
          <cell r="I269">
            <v>2025</v>
          </cell>
          <cell r="J269" t="str">
            <v>B</v>
          </cell>
          <cell r="K269" t="str">
            <v>CERRILLOS</v>
          </cell>
          <cell r="L269" t="str">
            <v>Calle Uno 7371</v>
          </cell>
          <cell r="M269" t="str">
            <v>Cerrillos</v>
          </cell>
          <cell r="N269" t="str">
            <v>B</v>
          </cell>
        </row>
        <row r="270">
          <cell r="B270">
            <v>1269</v>
          </cell>
          <cell r="C270" t="str">
            <v>MDN35025020051</v>
          </cell>
          <cell r="D270" t="str">
            <v>LDYECS310S0044019</v>
          </cell>
          <cell r="E270" t="str">
            <v>Zhong Tong</v>
          </cell>
          <cell r="F270" t="str">
            <v>Lck6122evg</v>
          </cell>
          <cell r="G270" t="str">
            <v>ZHONGTONG</v>
          </cell>
          <cell r="H270" t="str">
            <v>LCK6122EVG</v>
          </cell>
          <cell r="I270">
            <v>2025</v>
          </cell>
          <cell r="J270" t="str">
            <v>B</v>
          </cell>
          <cell r="K270" t="str">
            <v>PIE ANDINO</v>
          </cell>
          <cell r="L270" t="str">
            <v>Pie Andino 31 (Pie Andino 383)</v>
          </cell>
          <cell r="M270" t="str">
            <v>Puente Alto</v>
          </cell>
          <cell r="N270" t="str">
            <v>B</v>
          </cell>
        </row>
        <row r="271">
          <cell r="B271">
            <v>1270</v>
          </cell>
          <cell r="C271" t="str">
            <v>MDN35025020130</v>
          </cell>
          <cell r="D271" t="str">
            <v>LDYECS319S0044021</v>
          </cell>
          <cell r="E271" t="str">
            <v>Zhong Tong</v>
          </cell>
          <cell r="F271" t="str">
            <v>Lck6122evg</v>
          </cell>
          <cell r="G271" t="str">
            <v>ZHONGTONG</v>
          </cell>
          <cell r="H271" t="str">
            <v>LCK6122EVG</v>
          </cell>
          <cell r="I271">
            <v>2025</v>
          </cell>
          <cell r="J271" t="str">
            <v>B</v>
          </cell>
          <cell r="K271" t="str">
            <v>PIE ANDINO</v>
          </cell>
          <cell r="L271" t="str">
            <v>Pie Andino 31 (Pie Andino 383)</v>
          </cell>
          <cell r="M271" t="str">
            <v>Puente Alto</v>
          </cell>
          <cell r="N271" t="str">
            <v>B</v>
          </cell>
        </row>
        <row r="272">
          <cell r="B272">
            <v>1271</v>
          </cell>
          <cell r="C272" t="str">
            <v>MDN35025020025</v>
          </cell>
          <cell r="D272" t="str">
            <v>LDYECS313S0044001</v>
          </cell>
          <cell r="E272" t="str">
            <v>Zhong Tong</v>
          </cell>
          <cell r="F272" t="str">
            <v>Lck6122evg</v>
          </cell>
          <cell r="G272" t="str">
            <v>ZHONGTONG</v>
          </cell>
          <cell r="H272" t="str">
            <v>LCK6122EVG</v>
          </cell>
          <cell r="I272">
            <v>2025</v>
          </cell>
          <cell r="J272" t="str">
            <v>B</v>
          </cell>
          <cell r="K272" t="str">
            <v>CERRILLOS</v>
          </cell>
          <cell r="L272" t="str">
            <v>Calle Uno 7371</v>
          </cell>
          <cell r="M272" t="str">
            <v>Cerrillos</v>
          </cell>
          <cell r="N272" t="str">
            <v>B</v>
          </cell>
        </row>
        <row r="273">
          <cell r="B273">
            <v>1272</v>
          </cell>
          <cell r="C273" t="str">
            <v>MDN35025020054</v>
          </cell>
          <cell r="D273" t="str">
            <v>LDYECS311S0044000</v>
          </cell>
          <cell r="E273" t="str">
            <v>Zhong Tong</v>
          </cell>
          <cell r="F273" t="str">
            <v>Lck6122evg</v>
          </cell>
          <cell r="G273" t="str">
            <v>ZHONGTONG</v>
          </cell>
          <cell r="H273" t="str">
            <v>LCK6122EVG</v>
          </cell>
          <cell r="I273">
            <v>2025</v>
          </cell>
          <cell r="J273" t="str">
            <v>B</v>
          </cell>
          <cell r="K273" t="str">
            <v>PIE ANDINO</v>
          </cell>
          <cell r="L273" t="str">
            <v>Pie Andino 31 (Pie Andino 383)</v>
          </cell>
          <cell r="M273" t="str">
            <v>Puente Alto</v>
          </cell>
          <cell r="N273" t="str">
            <v>B</v>
          </cell>
        </row>
        <row r="274">
          <cell r="B274">
            <v>1273</v>
          </cell>
          <cell r="C274" t="str">
            <v>MDN35025020154</v>
          </cell>
          <cell r="D274" t="str">
            <v>LDYECS315S0044002</v>
          </cell>
          <cell r="E274" t="str">
            <v>Zhong Tong</v>
          </cell>
          <cell r="F274" t="str">
            <v>Lck6122evg</v>
          </cell>
          <cell r="G274" t="str">
            <v>ZHONGTONG</v>
          </cell>
          <cell r="H274" t="str">
            <v>LCK6122EVG</v>
          </cell>
          <cell r="I274">
            <v>2025</v>
          </cell>
          <cell r="J274" t="str">
            <v>B</v>
          </cell>
          <cell r="K274" t="str">
            <v>CERRILLOS</v>
          </cell>
          <cell r="L274" t="str">
            <v>Calle Uno 7371</v>
          </cell>
          <cell r="M274" t="str">
            <v>Cerrillos</v>
          </cell>
          <cell r="N274" t="str">
            <v>B</v>
          </cell>
        </row>
        <row r="275">
          <cell r="B275">
            <v>1274</v>
          </cell>
          <cell r="C275" t="str">
            <v>MDN35025020121</v>
          </cell>
          <cell r="D275" t="str">
            <v>LDYECS314S0044007</v>
          </cell>
          <cell r="E275" t="str">
            <v>Zhong Tong</v>
          </cell>
          <cell r="F275" t="str">
            <v>Lck6122evg</v>
          </cell>
          <cell r="G275" t="str">
            <v>ZHONGTONG</v>
          </cell>
          <cell r="H275" t="str">
            <v>LCK6122EVG</v>
          </cell>
          <cell r="I275">
            <v>2025</v>
          </cell>
          <cell r="J275" t="str">
            <v>B</v>
          </cell>
          <cell r="K275" t="str">
            <v>PIE ANDINO</v>
          </cell>
          <cell r="L275" t="str">
            <v>Pie Andino 31 (Pie Andino 383)</v>
          </cell>
          <cell r="M275" t="str">
            <v>Puente Alto</v>
          </cell>
          <cell r="N275" t="str">
            <v>B</v>
          </cell>
        </row>
        <row r="276">
          <cell r="B276">
            <v>1275</v>
          </cell>
          <cell r="C276" t="str">
            <v>MDN35025020096</v>
          </cell>
          <cell r="D276" t="str">
            <v>LDYECS318S0044060</v>
          </cell>
          <cell r="E276" t="str">
            <v>Zhong Tong</v>
          </cell>
          <cell r="F276" t="str">
            <v>Lck6122evg</v>
          </cell>
          <cell r="G276" t="str">
            <v>ZHONGTONG</v>
          </cell>
          <cell r="H276" t="str">
            <v>LCK6122EVG</v>
          </cell>
          <cell r="I276">
            <v>2025</v>
          </cell>
          <cell r="J276" t="str">
            <v>B</v>
          </cell>
          <cell r="K276" t="str">
            <v>PIE ANDINO</v>
          </cell>
          <cell r="L276" t="str">
            <v>Pie Andino 31 (Pie Andino 383)</v>
          </cell>
          <cell r="M276" t="str">
            <v>Puente Alto</v>
          </cell>
          <cell r="N276" t="str">
            <v>B</v>
          </cell>
        </row>
        <row r="277">
          <cell r="B277">
            <v>1276</v>
          </cell>
          <cell r="C277" t="str">
            <v>MDN35025020045</v>
          </cell>
          <cell r="D277" t="str">
            <v>LDYECS312S0044023</v>
          </cell>
          <cell r="E277" t="str">
            <v>Zhong Tong</v>
          </cell>
          <cell r="F277" t="str">
            <v>Lck6122evg</v>
          </cell>
          <cell r="G277" t="str">
            <v>ZHONGTONG</v>
          </cell>
          <cell r="H277" t="str">
            <v>LCK6122EVG</v>
          </cell>
          <cell r="I277">
            <v>2025</v>
          </cell>
          <cell r="J277" t="str">
            <v>B</v>
          </cell>
          <cell r="K277" t="str">
            <v>PIE ANDINO</v>
          </cell>
          <cell r="L277" t="str">
            <v>Pie Andino 31 (Pie Andino 383)</v>
          </cell>
          <cell r="M277" t="str">
            <v>Puente Alto</v>
          </cell>
          <cell r="N277" t="str">
            <v>B</v>
          </cell>
        </row>
        <row r="278">
          <cell r="B278">
            <v>1277</v>
          </cell>
          <cell r="C278" t="str">
            <v>MDN35025020128</v>
          </cell>
          <cell r="D278" t="str">
            <v>LDYECS31XS0044030</v>
          </cell>
          <cell r="E278" t="str">
            <v>Zhong Tong</v>
          </cell>
          <cell r="F278" t="str">
            <v>Lck6122evg</v>
          </cell>
          <cell r="G278" t="str">
            <v>ZHONGTONG</v>
          </cell>
          <cell r="H278" t="str">
            <v>LCK6122EVG</v>
          </cell>
          <cell r="I278">
            <v>2025</v>
          </cell>
          <cell r="J278" t="str">
            <v>B</v>
          </cell>
          <cell r="K278" t="str">
            <v>SAN ALFONSO</v>
          </cell>
          <cell r="L278" t="str">
            <v>San Alfonso 2141 (Ramón Subercaseaux 3060)</v>
          </cell>
          <cell r="M278" t="str">
            <v>Estacion Central</v>
          </cell>
          <cell r="N278" t="str">
            <v>B</v>
          </cell>
        </row>
        <row r="279">
          <cell r="B279">
            <v>1278</v>
          </cell>
          <cell r="C279" t="str">
            <v>MDN35025010019</v>
          </cell>
          <cell r="D279" t="str">
            <v>LDYECS319S0044116</v>
          </cell>
          <cell r="E279" t="str">
            <v>Zhong Tong</v>
          </cell>
          <cell r="F279" t="str">
            <v>Lck6122evg</v>
          </cell>
          <cell r="G279" t="str">
            <v>ZHONGTONG</v>
          </cell>
          <cell r="H279" t="str">
            <v>LCK6122EVG</v>
          </cell>
          <cell r="I279">
            <v>2025</v>
          </cell>
          <cell r="J279" t="str">
            <v>B</v>
          </cell>
          <cell r="K279" t="str">
            <v>CERRILLOS</v>
          </cell>
          <cell r="L279" t="str">
            <v>Calle Uno 7371</v>
          </cell>
          <cell r="M279" t="str">
            <v>Cerrillos</v>
          </cell>
          <cell r="N279" t="str">
            <v>B</v>
          </cell>
        </row>
        <row r="280">
          <cell r="B280">
            <v>1279</v>
          </cell>
          <cell r="C280" t="str">
            <v>MDN35025020127</v>
          </cell>
          <cell r="D280" t="str">
            <v>LDYECS313S0044029</v>
          </cell>
          <cell r="E280" t="str">
            <v>Zhong Tong</v>
          </cell>
          <cell r="F280" t="str">
            <v>Lck6122evg</v>
          </cell>
          <cell r="G280" t="str">
            <v>ZHONGTONG</v>
          </cell>
          <cell r="H280" t="str">
            <v>LCK6122EVG</v>
          </cell>
          <cell r="I280">
            <v>2025</v>
          </cell>
          <cell r="J280" t="str">
            <v>B</v>
          </cell>
          <cell r="K280" t="str">
            <v>PIE ANDINO</v>
          </cell>
          <cell r="L280" t="str">
            <v>Pie Andino 31 (Pie Andino 383)</v>
          </cell>
          <cell r="M280" t="str">
            <v>Puente Alto</v>
          </cell>
          <cell r="N280" t="str">
            <v>B</v>
          </cell>
        </row>
        <row r="281">
          <cell r="B281">
            <v>1280</v>
          </cell>
          <cell r="C281" t="str">
            <v>MDN35025020123</v>
          </cell>
          <cell r="D281" t="str">
            <v>LDYECS314S0044010</v>
          </cell>
          <cell r="E281" t="str">
            <v>Zhong Tong</v>
          </cell>
          <cell r="F281" t="str">
            <v>Lck6122evg</v>
          </cell>
          <cell r="G281" t="str">
            <v>ZHONGTONG</v>
          </cell>
          <cell r="H281" t="str">
            <v>LCK6122EVG</v>
          </cell>
          <cell r="I281">
            <v>2025</v>
          </cell>
          <cell r="J281" t="str">
            <v>B</v>
          </cell>
          <cell r="K281" t="str">
            <v>PIE ANDINO</v>
          </cell>
          <cell r="L281" t="str">
            <v>Pie Andino 31 (Pie Andino 383)</v>
          </cell>
          <cell r="M281" t="str">
            <v>Puente Alto</v>
          </cell>
          <cell r="N281" t="str">
            <v>B</v>
          </cell>
        </row>
        <row r="282">
          <cell r="B282">
            <v>1281</v>
          </cell>
          <cell r="C282" t="str">
            <v>MDN35025020070</v>
          </cell>
          <cell r="D282" t="str">
            <v>LDYECS313S0043995</v>
          </cell>
          <cell r="E282" t="str">
            <v>Zhong Tong</v>
          </cell>
          <cell r="F282" t="str">
            <v>Lck6122evg</v>
          </cell>
          <cell r="G282" t="str">
            <v>ZHONGTONG</v>
          </cell>
          <cell r="H282" t="str">
            <v>LCK6122EVG</v>
          </cell>
          <cell r="I282">
            <v>2025</v>
          </cell>
          <cell r="J282" t="str">
            <v>B</v>
          </cell>
          <cell r="K282" t="str">
            <v>CERRILLOS</v>
          </cell>
          <cell r="L282" t="str">
            <v>Calle Uno 7371</v>
          </cell>
          <cell r="M282" t="str">
            <v>Cerrillos</v>
          </cell>
          <cell r="N282" t="str">
            <v>B</v>
          </cell>
        </row>
        <row r="283">
          <cell r="B283">
            <v>1282</v>
          </cell>
          <cell r="C283" t="str">
            <v>MDN35025020109</v>
          </cell>
          <cell r="D283" t="str">
            <v>LDYECS314S0044024</v>
          </cell>
          <cell r="E283" t="str">
            <v>Zhong Tong</v>
          </cell>
          <cell r="F283" t="str">
            <v>Lck6122evg</v>
          </cell>
          <cell r="G283" t="str">
            <v>ZHONGTONG</v>
          </cell>
          <cell r="H283" t="str">
            <v>LCK6122EVG</v>
          </cell>
          <cell r="I283">
            <v>2025</v>
          </cell>
          <cell r="J283" t="str">
            <v>B</v>
          </cell>
          <cell r="K283" t="str">
            <v>PIE ANDINO</v>
          </cell>
          <cell r="L283" t="str">
            <v>Pie Andino 31 (Pie Andino 383)</v>
          </cell>
          <cell r="M283" t="str">
            <v>Puente Alto</v>
          </cell>
          <cell r="N283" t="str">
            <v>B</v>
          </cell>
        </row>
        <row r="284">
          <cell r="B284">
            <v>1283</v>
          </cell>
          <cell r="C284" t="str">
            <v>MDN35025020024</v>
          </cell>
          <cell r="D284" t="str">
            <v>LDYECS318S0044026</v>
          </cell>
          <cell r="E284" t="str">
            <v>Zhong Tong</v>
          </cell>
          <cell r="F284" t="str">
            <v>Lck6122evg</v>
          </cell>
          <cell r="G284" t="str">
            <v>ZHONGTONG</v>
          </cell>
          <cell r="H284" t="str">
            <v>LCK6122EVG</v>
          </cell>
          <cell r="I284">
            <v>2025</v>
          </cell>
          <cell r="J284" t="str">
            <v>B</v>
          </cell>
          <cell r="K284" t="str">
            <v>CERRILLOS</v>
          </cell>
          <cell r="L284" t="str">
            <v>Calle Uno 7371</v>
          </cell>
          <cell r="M284" t="str">
            <v>Cerrillos</v>
          </cell>
          <cell r="N284" t="str">
            <v>B</v>
          </cell>
        </row>
        <row r="285">
          <cell r="B285">
            <v>1284</v>
          </cell>
          <cell r="C285" t="str">
            <v>MDN35025020049</v>
          </cell>
          <cell r="D285" t="str">
            <v>LDYECS310S0044005</v>
          </cell>
          <cell r="E285" t="str">
            <v>Zhong Tong</v>
          </cell>
          <cell r="F285" t="str">
            <v>Lck6122evg</v>
          </cell>
          <cell r="G285" t="str">
            <v>ZHONGTONG</v>
          </cell>
          <cell r="H285" t="str">
            <v>LCK6122EVG</v>
          </cell>
          <cell r="I285">
            <v>2025</v>
          </cell>
          <cell r="J285" t="str">
            <v>B</v>
          </cell>
          <cell r="K285" t="str">
            <v>PIE ANDINO</v>
          </cell>
          <cell r="L285" t="str">
            <v>Pie Andino 31 (Pie Andino 383)</v>
          </cell>
          <cell r="M285" t="str">
            <v>Puente Alto</v>
          </cell>
          <cell r="N285" t="str">
            <v>B</v>
          </cell>
        </row>
        <row r="286">
          <cell r="B286">
            <v>1285</v>
          </cell>
          <cell r="C286" t="str">
            <v>MDN35025020108</v>
          </cell>
          <cell r="D286" t="str">
            <v>LDYECS31XS0044061</v>
          </cell>
          <cell r="E286" t="str">
            <v>Zhong Tong</v>
          </cell>
          <cell r="F286" t="str">
            <v>Lck6122evg</v>
          </cell>
          <cell r="G286" t="str">
            <v>ZHONGTONG</v>
          </cell>
          <cell r="H286" t="str">
            <v>LCK6122EVG</v>
          </cell>
          <cell r="I286">
            <v>2025</v>
          </cell>
          <cell r="J286" t="str">
            <v>B</v>
          </cell>
          <cell r="K286" t="str">
            <v>CERRILLOS</v>
          </cell>
          <cell r="L286" t="str">
            <v>Calle Uno 7371</v>
          </cell>
          <cell r="M286" t="str">
            <v>Cerrillos</v>
          </cell>
          <cell r="N286" t="str">
            <v>B</v>
          </cell>
        </row>
        <row r="287">
          <cell r="B287">
            <v>1286</v>
          </cell>
          <cell r="C287" t="str">
            <v>MDN35025020064</v>
          </cell>
          <cell r="D287" t="str">
            <v>LDYECS316S0044008</v>
          </cell>
          <cell r="E287" t="str">
            <v>Zhong Tong</v>
          </cell>
          <cell r="F287" t="str">
            <v>Lck6122evg</v>
          </cell>
          <cell r="G287" t="str">
            <v>ZHONGTONG</v>
          </cell>
          <cell r="H287" t="str">
            <v>LCK6122EVG</v>
          </cell>
          <cell r="I287">
            <v>2025</v>
          </cell>
          <cell r="J287" t="str">
            <v>B</v>
          </cell>
          <cell r="K287" t="str">
            <v>PIE ANDINO</v>
          </cell>
          <cell r="L287" t="str">
            <v>Pie Andino 31 (Pie Andino 383)</v>
          </cell>
          <cell r="M287" t="str">
            <v>Puente Alto</v>
          </cell>
          <cell r="N287" t="str">
            <v>B</v>
          </cell>
        </row>
        <row r="288">
          <cell r="B288">
            <v>1287</v>
          </cell>
          <cell r="C288" t="str">
            <v>MDN35025020103</v>
          </cell>
          <cell r="D288" t="str">
            <v>LDYECS313S0044015</v>
          </cell>
          <cell r="E288" t="str">
            <v>Zhong Tong</v>
          </cell>
          <cell r="F288" t="str">
            <v>Lck6122evg</v>
          </cell>
          <cell r="G288" t="str">
            <v>ZHONGTONG</v>
          </cell>
          <cell r="H288" t="str">
            <v>LCK6122EVG</v>
          </cell>
          <cell r="I288">
            <v>2025</v>
          </cell>
          <cell r="J288" t="str">
            <v>B</v>
          </cell>
          <cell r="K288" t="str">
            <v>CERRILLOS</v>
          </cell>
          <cell r="L288" t="str">
            <v>Calle Uno 7371</v>
          </cell>
          <cell r="M288" t="str">
            <v>Cerrillos</v>
          </cell>
          <cell r="N288" t="str">
            <v>B</v>
          </cell>
        </row>
        <row r="289">
          <cell r="B289">
            <v>1288</v>
          </cell>
          <cell r="C289" t="str">
            <v>MDN35025020131</v>
          </cell>
          <cell r="D289" t="str">
            <v>LDYECS317S0044017</v>
          </cell>
          <cell r="E289" t="str">
            <v>Zhong Tong</v>
          </cell>
          <cell r="F289" t="str">
            <v>Lck6122evg</v>
          </cell>
          <cell r="G289" t="str">
            <v>ZHONGTONG</v>
          </cell>
          <cell r="H289" t="str">
            <v>LCK6122EVG</v>
          </cell>
          <cell r="I289">
            <v>2025</v>
          </cell>
          <cell r="J289" t="str">
            <v>B</v>
          </cell>
          <cell r="K289" t="str">
            <v>PIE ANDINO</v>
          </cell>
          <cell r="L289" t="str">
            <v>Pie Andino 31 (Pie Andino 383)</v>
          </cell>
          <cell r="M289" t="str">
            <v>Puente Alto</v>
          </cell>
          <cell r="N289" t="str">
            <v>B</v>
          </cell>
        </row>
        <row r="290">
          <cell r="B290">
            <v>1289</v>
          </cell>
          <cell r="C290" t="str">
            <v>MDN35025020115</v>
          </cell>
          <cell r="D290" t="str">
            <v>LDYECS319S0044018</v>
          </cell>
          <cell r="E290" t="str">
            <v>Zhong Tong</v>
          </cell>
          <cell r="F290" t="str">
            <v>Lck6122evg</v>
          </cell>
          <cell r="G290" t="str">
            <v>ZHONGTONG</v>
          </cell>
          <cell r="H290" t="str">
            <v>LCK6122EVG</v>
          </cell>
          <cell r="I290">
            <v>2025</v>
          </cell>
          <cell r="J290" t="str">
            <v>B</v>
          </cell>
          <cell r="K290" t="str">
            <v>CERRILLOS</v>
          </cell>
          <cell r="L290" t="str">
            <v>Calle Uno 7371</v>
          </cell>
          <cell r="M290" t="str">
            <v>Cerrillos</v>
          </cell>
          <cell r="N290" t="str">
            <v>B</v>
          </cell>
        </row>
        <row r="291">
          <cell r="B291">
            <v>1290</v>
          </cell>
          <cell r="C291" t="str">
            <v>MDN35025020019</v>
          </cell>
          <cell r="D291" t="str">
            <v>LDYECS313S0044094</v>
          </cell>
          <cell r="E291" t="str">
            <v>Zhong Tong</v>
          </cell>
          <cell r="F291" t="str">
            <v>Lck6122evg</v>
          </cell>
          <cell r="G291" t="str">
            <v>ZHONGTONG</v>
          </cell>
          <cell r="H291" t="str">
            <v>LCK6122EVG</v>
          </cell>
          <cell r="I291">
            <v>2025</v>
          </cell>
          <cell r="J291" t="str">
            <v>B</v>
          </cell>
          <cell r="K291" t="str">
            <v>PIE ANDINO</v>
          </cell>
          <cell r="L291" t="str">
            <v>Pie Andino 31 (Pie Andino 383)</v>
          </cell>
          <cell r="M291" t="str">
            <v>Puente Alto</v>
          </cell>
          <cell r="N291" t="str">
            <v>B</v>
          </cell>
        </row>
        <row r="292">
          <cell r="B292">
            <v>1291</v>
          </cell>
          <cell r="C292" t="str">
            <v>MDN35025010038</v>
          </cell>
          <cell r="D292" t="str">
            <v>LDYECS315S0044114</v>
          </cell>
          <cell r="E292" t="str">
            <v>Zhong Tong</v>
          </cell>
          <cell r="F292" t="str">
            <v>Lck6122evg</v>
          </cell>
          <cell r="G292" t="str">
            <v>ZHONGTONG</v>
          </cell>
          <cell r="H292" t="str">
            <v>LCK6122EVG</v>
          </cell>
          <cell r="I292">
            <v>2025</v>
          </cell>
          <cell r="J292" t="str">
            <v>B</v>
          </cell>
          <cell r="K292" t="str">
            <v>PIE ANDINO</v>
          </cell>
          <cell r="L292" t="str">
            <v>Pie Andino 31 (Pie Andino 383)</v>
          </cell>
          <cell r="M292" t="str">
            <v>Puente Alto</v>
          </cell>
          <cell r="N292" t="str">
            <v>B</v>
          </cell>
        </row>
        <row r="293">
          <cell r="B293">
            <v>1292</v>
          </cell>
          <cell r="C293" t="str">
            <v>MDN35025020028</v>
          </cell>
          <cell r="D293" t="str">
            <v>LDYECS314S0044041</v>
          </cell>
          <cell r="E293" t="str">
            <v>Zhong Tong</v>
          </cell>
          <cell r="F293" t="str">
            <v>Lck6122evg</v>
          </cell>
          <cell r="G293" t="str">
            <v>ZHONGTONG</v>
          </cell>
          <cell r="H293" t="str">
            <v>LCK6122EVG</v>
          </cell>
          <cell r="I293">
            <v>2025</v>
          </cell>
          <cell r="J293" t="str">
            <v>B</v>
          </cell>
          <cell r="K293" t="str">
            <v>PIE ANDINO</v>
          </cell>
          <cell r="L293" t="str">
            <v>Pie Andino 31 (Pie Andino 383)</v>
          </cell>
          <cell r="M293" t="str">
            <v>Puente Alto</v>
          </cell>
          <cell r="N293" t="str">
            <v>B</v>
          </cell>
        </row>
        <row r="294">
          <cell r="B294">
            <v>1293</v>
          </cell>
          <cell r="C294" t="str">
            <v>MDN35025020111</v>
          </cell>
          <cell r="D294" t="str">
            <v>LDYECS31XS0044013</v>
          </cell>
          <cell r="E294" t="str">
            <v>Zhong Tong</v>
          </cell>
          <cell r="F294" t="str">
            <v>Lck6122evg</v>
          </cell>
          <cell r="G294" t="str">
            <v>ZHONGTONG</v>
          </cell>
          <cell r="H294" t="str">
            <v>LCK6122EVG</v>
          </cell>
          <cell r="I294">
            <v>2025</v>
          </cell>
          <cell r="J294" t="str">
            <v>B</v>
          </cell>
          <cell r="K294" t="str">
            <v>PIE ANDINO</v>
          </cell>
          <cell r="L294" t="str">
            <v>Pie Andino 31 (Pie Andino 383)</v>
          </cell>
          <cell r="M294" t="str">
            <v>Puente Alto</v>
          </cell>
          <cell r="N294" t="str">
            <v>B</v>
          </cell>
        </row>
        <row r="295">
          <cell r="B295">
            <v>1294</v>
          </cell>
          <cell r="C295" t="str">
            <v>MDN35025020125</v>
          </cell>
          <cell r="D295" t="str">
            <v>LDYECS313S0044032</v>
          </cell>
          <cell r="E295" t="str">
            <v>Zhong Tong</v>
          </cell>
          <cell r="F295" t="str">
            <v>Lck6122evg</v>
          </cell>
          <cell r="G295" t="str">
            <v>ZHONGTONG</v>
          </cell>
          <cell r="H295" t="str">
            <v>LCK6122EVG</v>
          </cell>
          <cell r="I295">
            <v>2025</v>
          </cell>
          <cell r="J295" t="str">
            <v>B</v>
          </cell>
          <cell r="K295" t="str">
            <v>PIE ANDINO</v>
          </cell>
          <cell r="L295" t="str">
            <v>Pie Andino 31 (Pie Andino 383)</v>
          </cell>
          <cell r="M295" t="str">
            <v>Puente Alto</v>
          </cell>
          <cell r="N295" t="str">
            <v>B</v>
          </cell>
        </row>
        <row r="296">
          <cell r="B296">
            <v>1295</v>
          </cell>
          <cell r="C296" t="str">
            <v>MDN35025020117</v>
          </cell>
          <cell r="D296" t="str">
            <v>LDYECS310S0044022</v>
          </cell>
          <cell r="E296" t="str">
            <v>Zhong Tong</v>
          </cell>
          <cell r="F296" t="str">
            <v>Lck6122evg</v>
          </cell>
          <cell r="G296" t="str">
            <v>ZHONGTONG</v>
          </cell>
          <cell r="H296" t="str">
            <v>LCK6122EVG</v>
          </cell>
          <cell r="I296">
            <v>2025</v>
          </cell>
          <cell r="J296" t="str">
            <v>B</v>
          </cell>
          <cell r="K296" t="str">
            <v>PIE ANDINO</v>
          </cell>
          <cell r="L296" t="str">
            <v>Pie Andino 31 (Pie Andino 383)</v>
          </cell>
          <cell r="M296" t="str">
            <v>Puente Alto</v>
          </cell>
          <cell r="N296" t="str">
            <v>B</v>
          </cell>
        </row>
        <row r="297">
          <cell r="B297">
            <v>1296</v>
          </cell>
          <cell r="C297" t="str">
            <v>MDN35025020006</v>
          </cell>
          <cell r="D297" t="str">
            <v>LDYECS316S0044073</v>
          </cell>
          <cell r="E297" t="str">
            <v>Zhong Tong</v>
          </cell>
          <cell r="F297" t="str">
            <v>Lck6122evg</v>
          </cell>
          <cell r="G297" t="str">
            <v>ZHONGTONG</v>
          </cell>
          <cell r="H297" t="str">
            <v>LCK6122EVG</v>
          </cell>
          <cell r="I297">
            <v>2025</v>
          </cell>
          <cell r="J297" t="str">
            <v>B</v>
          </cell>
          <cell r="K297" t="str">
            <v>PIE ANDINO</v>
          </cell>
          <cell r="L297" t="str">
            <v>Pie Andino 31 (Pie Andino 383)</v>
          </cell>
          <cell r="M297" t="str">
            <v>Puente Alto</v>
          </cell>
          <cell r="N297" t="str">
            <v>B</v>
          </cell>
        </row>
        <row r="298">
          <cell r="B298">
            <v>1297</v>
          </cell>
          <cell r="C298" t="str">
            <v>MDN35025020062</v>
          </cell>
          <cell r="D298" t="str">
            <v>LDYECS312S0044006</v>
          </cell>
          <cell r="E298" t="str">
            <v>Zhong Tong</v>
          </cell>
          <cell r="F298" t="str">
            <v>Lck6122evg</v>
          </cell>
          <cell r="G298" t="str">
            <v>ZHONGTONG</v>
          </cell>
          <cell r="H298" t="str">
            <v>LCK6122EVG</v>
          </cell>
          <cell r="I298">
            <v>2025</v>
          </cell>
          <cell r="J298" t="str">
            <v>B</v>
          </cell>
          <cell r="K298" t="str">
            <v>SAN ALFONSO</v>
          </cell>
          <cell r="L298" t="str">
            <v>San Alfonso 2141 (Ramón Subercaseaux 3060)</v>
          </cell>
          <cell r="M298" t="str">
            <v>Estacion Central</v>
          </cell>
          <cell r="N298" t="str">
            <v>B</v>
          </cell>
        </row>
        <row r="299">
          <cell r="B299">
            <v>1298</v>
          </cell>
          <cell r="C299" t="str">
            <v>MDN35025020116</v>
          </cell>
          <cell r="D299" t="str">
            <v>LDYECS317S0044020</v>
          </cell>
          <cell r="E299" t="str">
            <v>Zhong Tong</v>
          </cell>
          <cell r="F299" t="str">
            <v>Lck6122evg</v>
          </cell>
          <cell r="G299" t="str">
            <v>ZHONGTONG</v>
          </cell>
          <cell r="H299" t="str">
            <v>LCK6122EVG</v>
          </cell>
          <cell r="I299">
            <v>2025</v>
          </cell>
          <cell r="J299" t="str">
            <v>B</v>
          </cell>
          <cell r="K299" t="str">
            <v>SAN ALFONSO</v>
          </cell>
          <cell r="L299" t="str">
            <v>San Alfonso 2141 (Ramón Subercaseaux 3060)</v>
          </cell>
          <cell r="M299" t="str">
            <v>Estacion Central</v>
          </cell>
          <cell r="N299" t="str">
            <v>B</v>
          </cell>
        </row>
        <row r="300">
          <cell r="B300">
            <v>1299</v>
          </cell>
          <cell r="C300" t="str">
            <v>MDN35025020106</v>
          </cell>
          <cell r="D300" t="str">
            <v>LDYECS316S0044025</v>
          </cell>
          <cell r="E300" t="str">
            <v>Zhong Tong</v>
          </cell>
          <cell r="F300" t="str">
            <v>Lck6122evg</v>
          </cell>
          <cell r="G300" t="str">
            <v>ZHONGTONG</v>
          </cell>
          <cell r="H300" t="str">
            <v>LCK6122EVG</v>
          </cell>
          <cell r="I300">
            <v>2025</v>
          </cell>
          <cell r="J300" t="str">
            <v>B</v>
          </cell>
          <cell r="K300" t="str">
            <v>CERRILLOS</v>
          </cell>
          <cell r="L300" t="str">
            <v>Calle Uno 7371</v>
          </cell>
          <cell r="M300" t="str">
            <v>Cerrillos</v>
          </cell>
          <cell r="N300" t="str">
            <v>B</v>
          </cell>
        </row>
        <row r="301">
          <cell r="B301">
            <v>1300</v>
          </cell>
          <cell r="C301" t="str">
            <v>MDN35025020110</v>
          </cell>
          <cell r="D301" t="str">
            <v>LDYECS317S0044034</v>
          </cell>
          <cell r="E301" t="str">
            <v>Zhong Tong</v>
          </cell>
          <cell r="F301" t="str">
            <v>Lck6122evg</v>
          </cell>
          <cell r="G301" t="str">
            <v>ZHONGTONG</v>
          </cell>
          <cell r="H301" t="str">
            <v>LCK6122EVG</v>
          </cell>
          <cell r="I301">
            <v>2025</v>
          </cell>
          <cell r="J301" t="str">
            <v>B</v>
          </cell>
          <cell r="K301" t="str">
            <v>CERRILLOS</v>
          </cell>
          <cell r="L301" t="str">
            <v>Calle Uno 7371</v>
          </cell>
          <cell r="M301" t="str">
            <v>Cerrillos</v>
          </cell>
          <cell r="N301" t="str">
            <v>B</v>
          </cell>
        </row>
        <row r="302">
          <cell r="B302">
            <v>1301</v>
          </cell>
          <cell r="C302" t="str">
            <v>MDN35025020035</v>
          </cell>
          <cell r="D302" t="str">
            <v>LDYECS319S0044052</v>
          </cell>
          <cell r="E302" t="str">
            <v>Zhong Tong</v>
          </cell>
          <cell r="F302" t="str">
            <v>Lck6122evg</v>
          </cell>
          <cell r="G302" t="str">
            <v>ZHONGTONG</v>
          </cell>
          <cell r="H302" t="str">
            <v>LCK6122EVG</v>
          </cell>
          <cell r="I302">
            <v>2025</v>
          </cell>
          <cell r="J302" t="str">
            <v>B</v>
          </cell>
          <cell r="K302" t="str">
            <v>CERRILLOS</v>
          </cell>
          <cell r="L302" t="str">
            <v>Calle Uno 7371</v>
          </cell>
          <cell r="M302" t="str">
            <v>Cerrillos</v>
          </cell>
          <cell r="N302" t="str">
            <v>B</v>
          </cell>
        </row>
        <row r="303">
          <cell r="B303">
            <v>1302</v>
          </cell>
          <cell r="C303" t="str">
            <v>MDN35025020077</v>
          </cell>
          <cell r="D303" t="str">
            <v>LDYECS312S0044037</v>
          </cell>
          <cell r="E303" t="str">
            <v>Zhong Tong</v>
          </cell>
          <cell r="F303" t="str">
            <v>Lck6122evg</v>
          </cell>
          <cell r="G303" t="str">
            <v>ZHONGTONG</v>
          </cell>
          <cell r="H303" t="str">
            <v>LCK6122EVG</v>
          </cell>
          <cell r="I303">
            <v>2025</v>
          </cell>
          <cell r="J303" t="str">
            <v>B</v>
          </cell>
          <cell r="K303" t="str">
            <v>CERRILLOS</v>
          </cell>
          <cell r="L303" t="str">
            <v>Calle Uno 7371</v>
          </cell>
          <cell r="M303" t="str">
            <v>Cerrillos</v>
          </cell>
          <cell r="N303" t="str">
            <v>B</v>
          </cell>
        </row>
        <row r="304">
          <cell r="B304">
            <v>1303</v>
          </cell>
          <cell r="C304" t="str">
            <v>MDN35025020033</v>
          </cell>
          <cell r="D304" t="str">
            <v>LDYECS318S0044088</v>
          </cell>
          <cell r="E304" t="str">
            <v>Zhong Tong</v>
          </cell>
          <cell r="F304" t="str">
            <v>Lck6122evg</v>
          </cell>
          <cell r="G304" t="str">
            <v>ZHONGTONG</v>
          </cell>
          <cell r="H304" t="str">
            <v>LCK6122EVG</v>
          </cell>
          <cell r="I304">
            <v>2025</v>
          </cell>
          <cell r="J304" t="str">
            <v>B</v>
          </cell>
          <cell r="K304" t="str">
            <v>PIE ANDINO</v>
          </cell>
          <cell r="L304" t="str">
            <v>Pie Andino 31 (Pie Andino 383)</v>
          </cell>
          <cell r="M304" t="str">
            <v>Puente Alto</v>
          </cell>
          <cell r="N304" t="str">
            <v>B</v>
          </cell>
        </row>
        <row r="305">
          <cell r="B305">
            <v>1304</v>
          </cell>
          <cell r="C305" t="str">
            <v>MDN35025010021</v>
          </cell>
          <cell r="D305" t="str">
            <v>LDYECS313S0044113</v>
          </cell>
          <cell r="E305" t="str">
            <v>Zhong Tong</v>
          </cell>
          <cell r="F305" t="str">
            <v>Lck6122evg</v>
          </cell>
          <cell r="G305" t="str">
            <v>ZHONGTONG</v>
          </cell>
          <cell r="H305" t="str">
            <v>LCK6122EVG</v>
          </cell>
          <cell r="I305">
            <v>2025</v>
          </cell>
          <cell r="J305" t="str">
            <v>B</v>
          </cell>
          <cell r="K305" t="str">
            <v>CERRILLOS</v>
          </cell>
          <cell r="L305" t="str">
            <v>Calle Uno 7371</v>
          </cell>
          <cell r="M305" t="str">
            <v>Cerrillos</v>
          </cell>
          <cell r="N305" t="str">
            <v>B</v>
          </cell>
        </row>
        <row r="306">
          <cell r="B306">
            <v>1305</v>
          </cell>
          <cell r="C306" t="str">
            <v>MDN35025020120</v>
          </cell>
          <cell r="D306" t="str">
            <v>LDYECS316S0044011</v>
          </cell>
          <cell r="E306" t="str">
            <v>Zhong Tong</v>
          </cell>
          <cell r="F306" t="str">
            <v>Lck6122evg</v>
          </cell>
          <cell r="G306" t="str">
            <v>ZHONGTONG</v>
          </cell>
          <cell r="H306" t="str">
            <v>LCK6122EVG</v>
          </cell>
          <cell r="I306">
            <v>2025</v>
          </cell>
          <cell r="J306" t="str">
            <v>B</v>
          </cell>
          <cell r="K306" t="str">
            <v>CERRILLOS</v>
          </cell>
          <cell r="L306" t="str">
            <v>Calle Uno 7371</v>
          </cell>
          <cell r="M306" t="str">
            <v>Cerrillos</v>
          </cell>
          <cell r="N306" t="str">
            <v>B</v>
          </cell>
        </row>
        <row r="307">
          <cell r="B307">
            <v>1306</v>
          </cell>
          <cell r="C307" t="str">
            <v>MDN35025020101</v>
          </cell>
          <cell r="D307" t="str">
            <v>LDYECS315S0044047</v>
          </cell>
          <cell r="E307" t="str">
            <v>Zhong Tong</v>
          </cell>
          <cell r="F307" t="str">
            <v>Lck6122evg</v>
          </cell>
          <cell r="G307" t="str">
            <v>ZHONGTONG</v>
          </cell>
          <cell r="H307" t="str">
            <v>LCK6122EVG</v>
          </cell>
          <cell r="I307">
            <v>2025</v>
          </cell>
          <cell r="J307" t="str">
            <v>B</v>
          </cell>
          <cell r="K307" t="str">
            <v>CERRILLOS</v>
          </cell>
          <cell r="L307" t="str">
            <v>Calle Uno 7371</v>
          </cell>
          <cell r="M307" t="str">
            <v>Cerrillos</v>
          </cell>
          <cell r="N307" t="str">
            <v>B</v>
          </cell>
        </row>
        <row r="308">
          <cell r="B308">
            <v>1307</v>
          </cell>
          <cell r="C308" t="str">
            <v>MDN35025020071</v>
          </cell>
          <cell r="D308" t="str">
            <v>LDYECS316S0044039</v>
          </cell>
          <cell r="E308" t="str">
            <v>Zhong Tong</v>
          </cell>
          <cell r="F308" t="str">
            <v>Lck6122evg</v>
          </cell>
          <cell r="G308" t="str">
            <v>ZHONGTONG</v>
          </cell>
          <cell r="H308" t="str">
            <v>LCK6122EVG</v>
          </cell>
          <cell r="I308">
            <v>2025</v>
          </cell>
          <cell r="J308" t="str">
            <v>B</v>
          </cell>
          <cell r="K308" t="str">
            <v>PIE ANDINO</v>
          </cell>
          <cell r="L308" t="str">
            <v>Pie Andino 31 (Pie Andino 383)</v>
          </cell>
          <cell r="M308" t="str">
            <v>Puente Alto</v>
          </cell>
          <cell r="N308" t="str">
            <v>B</v>
          </cell>
        </row>
        <row r="309">
          <cell r="B309">
            <v>1308</v>
          </cell>
          <cell r="C309" t="str">
            <v>MDN35025010192</v>
          </cell>
          <cell r="D309" t="str">
            <v>LDYECS312S0044054</v>
          </cell>
          <cell r="E309" t="str">
            <v>Zhong Tong</v>
          </cell>
          <cell r="F309" t="str">
            <v>Lck6122evg</v>
          </cell>
          <cell r="G309" t="str">
            <v>ZHONGTONG</v>
          </cell>
          <cell r="H309" t="str">
            <v>LCK6122EVG</v>
          </cell>
          <cell r="I309">
            <v>2025</v>
          </cell>
          <cell r="J309" t="str">
            <v>B</v>
          </cell>
          <cell r="K309" t="str">
            <v>PIE ANDINO</v>
          </cell>
          <cell r="L309" t="str">
            <v>Pie Andino 31 (Pie Andino 383)</v>
          </cell>
          <cell r="M309" t="str">
            <v>Puente Alto</v>
          </cell>
          <cell r="N309" t="str">
            <v>B</v>
          </cell>
        </row>
        <row r="310">
          <cell r="B310">
            <v>1309</v>
          </cell>
          <cell r="C310" t="str">
            <v>MDN35025010191</v>
          </cell>
          <cell r="D310" t="str">
            <v>LDYECS316S0044056</v>
          </cell>
          <cell r="E310" t="str">
            <v>Zhong Tong</v>
          </cell>
          <cell r="F310" t="str">
            <v>Lck6122evg</v>
          </cell>
          <cell r="G310" t="str">
            <v>ZHONGTONG</v>
          </cell>
          <cell r="H310" t="str">
            <v>LCK6122EVG</v>
          </cell>
          <cell r="I310">
            <v>2025</v>
          </cell>
          <cell r="J310" t="str">
            <v>B</v>
          </cell>
          <cell r="K310" t="str">
            <v>PIE ANDINO</v>
          </cell>
          <cell r="L310" t="str">
            <v>Pie Andino 31 (Pie Andino 383)</v>
          </cell>
          <cell r="M310" t="str">
            <v>Puente Alto</v>
          </cell>
          <cell r="N310" t="str">
            <v>B</v>
          </cell>
        </row>
        <row r="311">
          <cell r="B311">
            <v>1310</v>
          </cell>
          <cell r="C311" t="str">
            <v>MDN35025010217</v>
          </cell>
          <cell r="D311" t="str">
            <v>LDYECS319S0044083</v>
          </cell>
          <cell r="E311" t="str">
            <v>Zhong Tong</v>
          </cell>
          <cell r="F311" t="str">
            <v>Lck6122evg</v>
          </cell>
          <cell r="G311" t="str">
            <v>ZHONGTONG</v>
          </cell>
          <cell r="H311" t="str">
            <v>LCK6122EVG</v>
          </cell>
          <cell r="I311">
            <v>2025</v>
          </cell>
          <cell r="J311" t="str">
            <v>B</v>
          </cell>
          <cell r="K311" t="str">
            <v>CERRILLOS</v>
          </cell>
          <cell r="L311" t="str">
            <v>Calle Uno 7371</v>
          </cell>
          <cell r="M311" t="str">
            <v>Cerrillos</v>
          </cell>
          <cell r="N311" t="str">
            <v>B</v>
          </cell>
        </row>
        <row r="312">
          <cell r="B312">
            <v>1311</v>
          </cell>
          <cell r="C312" t="str">
            <v>MDN35025020132</v>
          </cell>
          <cell r="D312" t="str">
            <v>LDYECS318S0044057</v>
          </cell>
          <cell r="E312" t="str">
            <v>Zhong Tong</v>
          </cell>
          <cell r="F312" t="str">
            <v>Lck6122evg</v>
          </cell>
          <cell r="G312" t="str">
            <v>ZHONGTONG</v>
          </cell>
          <cell r="H312" t="str">
            <v>LCK6122EVG</v>
          </cell>
          <cell r="I312">
            <v>2025</v>
          </cell>
          <cell r="J312" t="str">
            <v>B</v>
          </cell>
          <cell r="K312" t="str">
            <v>CERRILLOS</v>
          </cell>
          <cell r="L312" t="str">
            <v>Calle Uno 7371</v>
          </cell>
          <cell r="M312" t="str">
            <v>Cerrillos</v>
          </cell>
          <cell r="N312" t="str">
            <v>B</v>
          </cell>
        </row>
        <row r="313">
          <cell r="B313">
            <v>1312</v>
          </cell>
          <cell r="C313" t="str">
            <v>MDN35025020073</v>
          </cell>
          <cell r="D313" t="str">
            <v>LDYECS315S0044050</v>
          </cell>
          <cell r="E313" t="str">
            <v>Zhong Tong</v>
          </cell>
          <cell r="F313" t="str">
            <v>Lck6122evg</v>
          </cell>
          <cell r="G313" t="str">
            <v>ZHONGTONG</v>
          </cell>
          <cell r="H313" t="str">
            <v>LCK6122EVG</v>
          </cell>
          <cell r="I313">
            <v>2025</v>
          </cell>
          <cell r="J313" t="str">
            <v>B</v>
          </cell>
          <cell r="K313" t="str">
            <v>PIE ANDINO</v>
          </cell>
          <cell r="L313" t="str">
            <v>Pie Andino 31 (Pie Andino 383)</v>
          </cell>
          <cell r="M313" t="str">
            <v>Puente Alto</v>
          </cell>
          <cell r="N313" t="str">
            <v>B</v>
          </cell>
        </row>
        <row r="314">
          <cell r="B314">
            <v>1313</v>
          </cell>
          <cell r="C314" t="str">
            <v>MDN35025010190</v>
          </cell>
          <cell r="D314" t="str">
            <v>LDYECS310S0044084</v>
          </cell>
          <cell r="E314" t="str">
            <v>Zhong Tong</v>
          </cell>
          <cell r="F314" t="str">
            <v>Lck6122evg</v>
          </cell>
          <cell r="G314" t="str">
            <v>ZHONGTONG</v>
          </cell>
          <cell r="H314" t="str">
            <v>LCK6122EVG</v>
          </cell>
          <cell r="I314">
            <v>2025</v>
          </cell>
          <cell r="J314" t="str">
            <v>B</v>
          </cell>
          <cell r="K314" t="str">
            <v>PIE ANDINO</v>
          </cell>
          <cell r="L314" t="str">
            <v>Pie Andino 31 (Pie Andino 383)</v>
          </cell>
          <cell r="M314" t="str">
            <v>Puente Alto</v>
          </cell>
          <cell r="N314" t="str">
            <v>B</v>
          </cell>
        </row>
        <row r="315">
          <cell r="B315">
            <v>1314</v>
          </cell>
          <cell r="C315" t="str">
            <v>MDN35025020029</v>
          </cell>
          <cell r="D315" t="str">
            <v>LDYECS311S0044045</v>
          </cell>
          <cell r="E315" t="str">
            <v>Zhong Tong</v>
          </cell>
          <cell r="F315" t="str">
            <v>Lck6122evg</v>
          </cell>
          <cell r="G315" t="str">
            <v>ZHONGTONG</v>
          </cell>
          <cell r="H315" t="str">
            <v>LCK6122EVG</v>
          </cell>
          <cell r="I315">
            <v>2025</v>
          </cell>
          <cell r="J315" t="str">
            <v>B</v>
          </cell>
          <cell r="K315" t="str">
            <v>CERRILLOS</v>
          </cell>
          <cell r="L315" t="str">
            <v>Calle Uno 7371</v>
          </cell>
          <cell r="M315" t="str">
            <v>Cerrillos</v>
          </cell>
          <cell r="N315" t="str">
            <v>B</v>
          </cell>
        </row>
        <row r="316">
          <cell r="B316">
            <v>1315</v>
          </cell>
          <cell r="C316" t="str">
            <v>MDN35025010198</v>
          </cell>
          <cell r="D316" t="str">
            <v>LDYECS314S0044038</v>
          </cell>
          <cell r="E316" t="str">
            <v>Zhong Tong</v>
          </cell>
          <cell r="F316" t="str">
            <v>Lck6122evg</v>
          </cell>
          <cell r="G316" t="str">
            <v>ZHONGTONG</v>
          </cell>
          <cell r="H316" t="str">
            <v>LCK6122EVG</v>
          </cell>
          <cell r="I316">
            <v>2025</v>
          </cell>
          <cell r="J316" t="str">
            <v>B</v>
          </cell>
          <cell r="K316" t="str">
            <v>CERRILLOS</v>
          </cell>
          <cell r="L316" t="str">
            <v>Calle Uno 7371</v>
          </cell>
          <cell r="M316" t="str">
            <v>Cerrillos</v>
          </cell>
          <cell r="N316" t="str">
            <v>B</v>
          </cell>
        </row>
        <row r="317">
          <cell r="B317">
            <v>1316</v>
          </cell>
          <cell r="C317" t="str">
            <v>MDN35025020050</v>
          </cell>
          <cell r="D317" t="str">
            <v>LDYECS311S0044028</v>
          </cell>
          <cell r="E317" t="str">
            <v>Zhong Tong</v>
          </cell>
          <cell r="F317" t="str">
            <v>Lck6122evg</v>
          </cell>
          <cell r="G317" t="str">
            <v>ZHONGTONG</v>
          </cell>
          <cell r="H317" t="str">
            <v>LCK6122EVG</v>
          </cell>
          <cell r="I317">
            <v>2025</v>
          </cell>
          <cell r="J317" t="str">
            <v>B</v>
          </cell>
          <cell r="K317" t="str">
            <v>PIE ANDINO</v>
          </cell>
          <cell r="L317" t="str">
            <v>Pie Andino 31 (Pie Andino 383)</v>
          </cell>
          <cell r="M317" t="str">
            <v>Puente Alto</v>
          </cell>
          <cell r="N317" t="str">
            <v>B</v>
          </cell>
        </row>
        <row r="318">
          <cell r="B318">
            <v>1317</v>
          </cell>
          <cell r="C318" t="str">
            <v>MDN35025020099</v>
          </cell>
          <cell r="D318" t="str">
            <v>LDYECS311S0044031</v>
          </cell>
          <cell r="E318" t="str">
            <v>Zhong Tong</v>
          </cell>
          <cell r="F318" t="str">
            <v>Lck6122evg</v>
          </cell>
          <cell r="G318" t="str">
            <v>ZHONGTONG</v>
          </cell>
          <cell r="H318" t="str">
            <v>LCK6122EVG</v>
          </cell>
          <cell r="I318">
            <v>2025</v>
          </cell>
          <cell r="J318" t="str">
            <v>B</v>
          </cell>
          <cell r="K318" t="str">
            <v>PIE ANDINO</v>
          </cell>
          <cell r="L318" t="str">
            <v>Pie Andino 31 (Pie Andino 383)</v>
          </cell>
          <cell r="M318" t="str">
            <v>Puente Alto</v>
          </cell>
          <cell r="N318" t="str">
            <v>B</v>
          </cell>
        </row>
        <row r="319">
          <cell r="B319">
            <v>1318</v>
          </cell>
          <cell r="C319" t="str">
            <v>MDN35025010246</v>
          </cell>
          <cell r="D319" t="str">
            <v>LDYECS314S0044055</v>
          </cell>
          <cell r="E319" t="str">
            <v>Zhong Tong</v>
          </cell>
          <cell r="F319" t="str">
            <v>Lck6122evg</v>
          </cell>
          <cell r="G319" t="str">
            <v>ZHONGTONG</v>
          </cell>
          <cell r="H319" t="str">
            <v>LCK6122EVG</v>
          </cell>
          <cell r="I319">
            <v>2025</v>
          </cell>
          <cell r="J319" t="str">
            <v>B</v>
          </cell>
          <cell r="K319" t="str">
            <v>PIE ANDINO</v>
          </cell>
          <cell r="L319" t="str">
            <v>Pie Andino 31 (Pie Andino 383)</v>
          </cell>
          <cell r="M319" t="str">
            <v>Puente Alto</v>
          </cell>
          <cell r="N319" t="str">
            <v>B</v>
          </cell>
        </row>
        <row r="320">
          <cell r="B320">
            <v>1319</v>
          </cell>
          <cell r="C320" t="str">
            <v>MDN35025020047</v>
          </cell>
          <cell r="D320" t="str">
            <v>LDYECS310S0044036</v>
          </cell>
          <cell r="E320" t="str">
            <v>Zhong Tong</v>
          </cell>
          <cell r="F320" t="str">
            <v>Lck6122evg</v>
          </cell>
          <cell r="G320" t="str">
            <v>ZHONGTONG</v>
          </cell>
          <cell r="H320" t="str">
            <v>LCK6122EVG</v>
          </cell>
          <cell r="I320">
            <v>2025</v>
          </cell>
          <cell r="J320" t="str">
            <v>B</v>
          </cell>
          <cell r="K320" t="str">
            <v>PIE ANDINO</v>
          </cell>
          <cell r="L320" t="str">
            <v>Pie Andino 31 (Pie Andino 383)</v>
          </cell>
          <cell r="M320" t="str">
            <v>Puente Alto</v>
          </cell>
          <cell r="N320" t="str">
            <v>B</v>
          </cell>
        </row>
        <row r="321">
          <cell r="B321">
            <v>1320</v>
          </cell>
          <cell r="C321" t="str">
            <v>MDN35025020114</v>
          </cell>
          <cell r="D321" t="str">
            <v>LDYECS315S0044033</v>
          </cell>
          <cell r="E321" t="str">
            <v>Zhong Tong</v>
          </cell>
          <cell r="F321" t="str">
            <v>Lck6122evg</v>
          </cell>
          <cell r="G321" t="str">
            <v>ZHONGTONG</v>
          </cell>
          <cell r="H321" t="str">
            <v>LCK6122EVG</v>
          </cell>
          <cell r="I321">
            <v>2025</v>
          </cell>
          <cell r="J321" t="str">
            <v>B</v>
          </cell>
          <cell r="K321" t="str">
            <v>CERRILLOS</v>
          </cell>
          <cell r="L321" t="str">
            <v>Calle Uno 7371</v>
          </cell>
          <cell r="M321" t="str">
            <v>Cerrillos</v>
          </cell>
          <cell r="N321" t="str">
            <v>B</v>
          </cell>
        </row>
        <row r="322">
          <cell r="B322">
            <v>1321</v>
          </cell>
          <cell r="C322" t="str">
            <v>MDN35025020031</v>
          </cell>
          <cell r="D322" t="str">
            <v>LDYECS319S0044049</v>
          </cell>
          <cell r="E322" t="str">
            <v>Zhong Tong</v>
          </cell>
          <cell r="F322" t="str">
            <v>Lck6122evg</v>
          </cell>
          <cell r="G322" t="str">
            <v>ZHONGTONG</v>
          </cell>
          <cell r="H322" t="str">
            <v>LCK6122EVG</v>
          </cell>
          <cell r="I322">
            <v>2025</v>
          </cell>
          <cell r="J322" t="str">
            <v>B</v>
          </cell>
          <cell r="K322" t="str">
            <v>PIE ANDINO</v>
          </cell>
          <cell r="L322" t="str">
            <v>Pie Andino 31 (Pie Andino 383)</v>
          </cell>
          <cell r="M322" t="str">
            <v>Puente Alto</v>
          </cell>
          <cell r="N322" t="str">
            <v>B</v>
          </cell>
        </row>
        <row r="323">
          <cell r="B323">
            <v>1322</v>
          </cell>
          <cell r="C323" t="str">
            <v>MDN35025020072</v>
          </cell>
          <cell r="D323" t="str">
            <v>LDYECS317S0044051</v>
          </cell>
          <cell r="E323" t="str">
            <v>Zhong Tong</v>
          </cell>
          <cell r="F323" t="str">
            <v>Lck6122evg</v>
          </cell>
          <cell r="G323" t="str">
            <v>ZHONGTONG</v>
          </cell>
          <cell r="H323" t="str">
            <v>LCK6122EVG</v>
          </cell>
          <cell r="I323">
            <v>2025</v>
          </cell>
          <cell r="J323" t="str">
            <v>B</v>
          </cell>
          <cell r="K323" t="str">
            <v>PIE ANDINO</v>
          </cell>
          <cell r="L323" t="str">
            <v>Pie Andino 31 (Pie Andino 383)</v>
          </cell>
          <cell r="M323" t="str">
            <v>Puente Alto</v>
          </cell>
          <cell r="N323" t="str">
            <v>B</v>
          </cell>
        </row>
        <row r="324">
          <cell r="B324">
            <v>1323</v>
          </cell>
          <cell r="C324" t="str">
            <v>MDN35025020042</v>
          </cell>
          <cell r="D324" t="str">
            <v>LDYECS315S0044078</v>
          </cell>
          <cell r="E324" t="str">
            <v>Zhong Tong</v>
          </cell>
          <cell r="F324" t="str">
            <v>Lck6122evg</v>
          </cell>
          <cell r="G324" t="str">
            <v>ZHONGTONG</v>
          </cell>
          <cell r="H324" t="str">
            <v>LCK6122EVG</v>
          </cell>
          <cell r="I324">
            <v>2025</v>
          </cell>
          <cell r="J324" t="str">
            <v>B</v>
          </cell>
          <cell r="K324" t="str">
            <v>PIE ANDINO</v>
          </cell>
          <cell r="L324" t="str">
            <v>Pie Andino 31 (Pie Andino 383)</v>
          </cell>
          <cell r="M324" t="str">
            <v>Puente Alto</v>
          </cell>
          <cell r="N324" t="str">
            <v>B</v>
          </cell>
        </row>
        <row r="325">
          <cell r="B325">
            <v>1324</v>
          </cell>
          <cell r="C325" t="str">
            <v>MDN35025020105</v>
          </cell>
          <cell r="D325" t="str">
            <v>LDYECS312S0044040</v>
          </cell>
          <cell r="E325" t="str">
            <v>Zhong Tong</v>
          </cell>
          <cell r="F325" t="str">
            <v>Lck6122evg</v>
          </cell>
          <cell r="G325" t="str">
            <v>ZHONGTONG</v>
          </cell>
          <cell r="H325" t="str">
            <v>LCK6122EVG</v>
          </cell>
          <cell r="I325">
            <v>2025</v>
          </cell>
          <cell r="J325" t="str">
            <v>B</v>
          </cell>
          <cell r="K325" t="str">
            <v>SAN ALFONSO</v>
          </cell>
          <cell r="L325" t="str">
            <v>San Alfonso 2141 (Ramón Subercaseaux 3060)</v>
          </cell>
          <cell r="M325" t="str">
            <v>Estacion Central</v>
          </cell>
          <cell r="N325" t="str">
            <v>B</v>
          </cell>
        </row>
        <row r="326">
          <cell r="B326">
            <v>1325</v>
          </cell>
          <cell r="C326" t="str">
            <v>MDN35025020129</v>
          </cell>
          <cell r="D326" t="str">
            <v>LDYECS319S0044035</v>
          </cell>
          <cell r="E326" t="str">
            <v>Zhong Tong</v>
          </cell>
          <cell r="F326" t="str">
            <v>Lck6122evg</v>
          </cell>
          <cell r="G326" t="str">
            <v>ZHONGTONG</v>
          </cell>
          <cell r="H326" t="str">
            <v>LCK6122EVG</v>
          </cell>
          <cell r="I326">
            <v>2025</v>
          </cell>
          <cell r="J326" t="str">
            <v>B</v>
          </cell>
          <cell r="K326" t="str">
            <v>SAN ALFONSO</v>
          </cell>
          <cell r="L326" t="str">
            <v>San Alfonso 2141 (Ramón Subercaseaux 3060)</v>
          </cell>
          <cell r="M326" t="str">
            <v>Estacion Central</v>
          </cell>
          <cell r="N326" t="str">
            <v>B</v>
          </cell>
        </row>
        <row r="327">
          <cell r="B327">
            <v>1326</v>
          </cell>
          <cell r="C327" t="str">
            <v>MDN35025020107</v>
          </cell>
          <cell r="D327" t="str">
            <v>LDYECS313S0044063</v>
          </cell>
          <cell r="E327" t="str">
            <v>Zhong Tong</v>
          </cell>
          <cell r="F327" t="str">
            <v>Lck6122evg</v>
          </cell>
          <cell r="G327" t="str">
            <v>ZHONGTONG</v>
          </cell>
          <cell r="H327" t="str">
            <v>LCK6122EVG</v>
          </cell>
          <cell r="I327">
            <v>2025</v>
          </cell>
          <cell r="J327" t="str">
            <v>B</v>
          </cell>
          <cell r="K327" t="str">
            <v>PIE ANDINO</v>
          </cell>
          <cell r="L327" t="str">
            <v>Pie Andino 31 (Pie Andino 383)</v>
          </cell>
          <cell r="M327" t="str">
            <v>Puente Alto</v>
          </cell>
          <cell r="N327" t="str">
            <v>B</v>
          </cell>
        </row>
        <row r="328">
          <cell r="B328">
            <v>1327</v>
          </cell>
          <cell r="C328" t="str">
            <v>MDN35025010243</v>
          </cell>
          <cell r="D328" t="str">
            <v>LDYECS310S0044053</v>
          </cell>
          <cell r="E328" t="str">
            <v>Zhong Tong</v>
          </cell>
          <cell r="F328" t="str">
            <v>Lck6122evg</v>
          </cell>
          <cell r="G328" t="str">
            <v>ZHONGTONG</v>
          </cell>
          <cell r="H328" t="str">
            <v>LCK6122EVG</v>
          </cell>
          <cell r="I328">
            <v>2025</v>
          </cell>
          <cell r="J328" t="str">
            <v>B</v>
          </cell>
          <cell r="K328" t="str">
            <v>PIE ANDINO</v>
          </cell>
          <cell r="L328" t="str">
            <v>Pie Andino 31 (Pie Andino 383)</v>
          </cell>
          <cell r="M328" t="str">
            <v>Puente Alto</v>
          </cell>
          <cell r="N328" t="str">
            <v>B</v>
          </cell>
        </row>
        <row r="329">
          <cell r="B329">
            <v>1328</v>
          </cell>
          <cell r="C329" t="str">
            <v>MDN35025020034</v>
          </cell>
          <cell r="D329" t="str">
            <v>LDYECS315S0044064</v>
          </cell>
          <cell r="E329" t="str">
            <v>Zhong Tong</v>
          </cell>
          <cell r="F329" t="str">
            <v>Lck6122evg</v>
          </cell>
          <cell r="G329" t="str">
            <v>ZHONGTONG</v>
          </cell>
          <cell r="H329" t="str">
            <v>LCK6122EVG</v>
          </cell>
          <cell r="I329">
            <v>2025</v>
          </cell>
          <cell r="J329" t="str">
            <v>B</v>
          </cell>
          <cell r="K329" t="str">
            <v>PIE ANDINO</v>
          </cell>
          <cell r="L329" t="str">
            <v>Pie Andino 31 (Pie Andino 383)</v>
          </cell>
          <cell r="M329" t="str">
            <v>Puente Alto</v>
          </cell>
          <cell r="N329" t="str">
            <v>B</v>
          </cell>
        </row>
        <row r="330">
          <cell r="B330">
            <v>1329</v>
          </cell>
          <cell r="C330" t="str">
            <v>MDN35025010187</v>
          </cell>
          <cell r="D330" t="str">
            <v>LDYECS318S0044043</v>
          </cell>
          <cell r="E330" t="str">
            <v>Zhong Tong</v>
          </cell>
          <cell r="F330" t="str">
            <v>Lck6122evg</v>
          </cell>
          <cell r="G330" t="str">
            <v>ZHONGTONG</v>
          </cell>
          <cell r="H330" t="str">
            <v>LCK6122EVG</v>
          </cell>
          <cell r="I330">
            <v>2025</v>
          </cell>
          <cell r="J330" t="str">
            <v>B</v>
          </cell>
          <cell r="K330" t="str">
            <v>PIE ANDINO</v>
          </cell>
          <cell r="L330" t="str">
            <v>Pie Andino 31 (Pie Andino 383)</v>
          </cell>
          <cell r="M330" t="str">
            <v>Puente Alto</v>
          </cell>
          <cell r="N330" t="str">
            <v>B</v>
          </cell>
        </row>
        <row r="331">
          <cell r="B331">
            <v>1330</v>
          </cell>
          <cell r="C331" t="str">
            <v>MDN35025010199</v>
          </cell>
          <cell r="D331" t="str">
            <v>LDYECS316S0044042</v>
          </cell>
          <cell r="E331" t="str">
            <v>Zhong Tong</v>
          </cell>
          <cell r="F331" t="str">
            <v>Lck6122evg</v>
          </cell>
          <cell r="G331" t="str">
            <v>ZHONGTONG</v>
          </cell>
          <cell r="H331" t="str">
            <v>LCK6122EVG</v>
          </cell>
          <cell r="I331">
            <v>2025</v>
          </cell>
          <cell r="J331" t="str">
            <v>B</v>
          </cell>
          <cell r="K331" t="str">
            <v>PIE ANDINO</v>
          </cell>
          <cell r="L331" t="str">
            <v>Pie Andino 31 (Pie Andino 383)</v>
          </cell>
          <cell r="M331" t="str">
            <v>Puente Alto</v>
          </cell>
          <cell r="N331" t="str">
            <v>B</v>
          </cell>
        </row>
        <row r="332">
          <cell r="B332">
            <v>1331</v>
          </cell>
          <cell r="C332" t="str">
            <v>MDN35025020089</v>
          </cell>
          <cell r="D332" t="str">
            <v>LDYECS317S0044048</v>
          </cell>
          <cell r="E332" t="str">
            <v>Zhong Tong</v>
          </cell>
          <cell r="F332" t="str">
            <v>Lck6122evg</v>
          </cell>
          <cell r="G332" t="str">
            <v>ZHONGTONG</v>
          </cell>
          <cell r="H332" t="str">
            <v>LCK6122EVG</v>
          </cell>
          <cell r="I332">
            <v>2025</v>
          </cell>
          <cell r="J332" t="str">
            <v>B</v>
          </cell>
          <cell r="K332" t="str">
            <v>SAN ALFONSO</v>
          </cell>
          <cell r="L332" t="str">
            <v>San Alfonso 2141 (Ramón Subercaseaux 3060)</v>
          </cell>
          <cell r="M332" t="str">
            <v>Estacion Central</v>
          </cell>
          <cell r="N332" t="str">
            <v>B</v>
          </cell>
        </row>
        <row r="333">
          <cell r="B333">
            <v>1332</v>
          </cell>
          <cell r="C333" t="str">
            <v>MDN35025020078</v>
          </cell>
          <cell r="D333" t="str">
            <v>LDYECS311S0044062</v>
          </cell>
          <cell r="E333" t="str">
            <v>Zhong Tong</v>
          </cell>
          <cell r="F333" t="str">
            <v>Lck6122evg</v>
          </cell>
          <cell r="G333" t="str">
            <v>ZHONGTONG</v>
          </cell>
          <cell r="H333" t="str">
            <v>LCK6122EVG</v>
          </cell>
          <cell r="I333">
            <v>2025</v>
          </cell>
          <cell r="J333" t="str">
            <v>B</v>
          </cell>
          <cell r="K333" t="str">
            <v>SAN ALFONSO</v>
          </cell>
          <cell r="L333" t="str">
            <v>San Alfonso 2141 (Ramón Subercaseaux 3060)</v>
          </cell>
          <cell r="M333" t="str">
            <v>Estacion Central</v>
          </cell>
          <cell r="N333" t="str">
            <v>B</v>
          </cell>
        </row>
        <row r="334">
          <cell r="B334">
            <v>1333</v>
          </cell>
          <cell r="C334" t="str">
            <v>MDN35025020036</v>
          </cell>
          <cell r="D334" t="str">
            <v>LDYECS319S0044066</v>
          </cell>
          <cell r="E334" t="str">
            <v>Zhong Tong</v>
          </cell>
          <cell r="F334" t="str">
            <v>Lck6122evg</v>
          </cell>
          <cell r="G334" t="str">
            <v>ZHONGTONG</v>
          </cell>
          <cell r="H334" t="str">
            <v>LCK6122EVG</v>
          </cell>
          <cell r="I334">
            <v>2025</v>
          </cell>
          <cell r="J334" t="str">
            <v>B</v>
          </cell>
          <cell r="K334" t="str">
            <v>PIE ANDINO</v>
          </cell>
          <cell r="L334" t="str">
            <v>Pie Andino 31 (Pie Andino 383)</v>
          </cell>
          <cell r="M334" t="str">
            <v>Puente Alto</v>
          </cell>
          <cell r="N334" t="str">
            <v>B</v>
          </cell>
        </row>
        <row r="335">
          <cell r="B335">
            <v>1334</v>
          </cell>
          <cell r="C335" t="str">
            <v>MDN35025020126</v>
          </cell>
          <cell r="D335" t="str">
            <v>LDYECS318S0044074</v>
          </cell>
          <cell r="E335" t="str">
            <v>Zhong Tong</v>
          </cell>
          <cell r="F335" t="str">
            <v>Lck6122evg</v>
          </cell>
          <cell r="G335" t="str">
            <v>ZHONGTONG</v>
          </cell>
          <cell r="H335" t="str">
            <v>LCK6122EVG</v>
          </cell>
          <cell r="I335">
            <v>2025</v>
          </cell>
          <cell r="J335" t="str">
            <v>B</v>
          </cell>
          <cell r="K335" t="str">
            <v>PIE ANDINO</v>
          </cell>
          <cell r="L335" t="str">
            <v>Pie Andino 31 (Pie Andino 383)</v>
          </cell>
          <cell r="M335" t="str">
            <v>Puente Alto</v>
          </cell>
          <cell r="N335" t="str">
            <v>B</v>
          </cell>
        </row>
        <row r="336">
          <cell r="B336">
            <v>1335</v>
          </cell>
          <cell r="C336" t="str">
            <v>MDN35025010041</v>
          </cell>
          <cell r="D336" t="str">
            <v>LDYECS315S0043819</v>
          </cell>
          <cell r="E336" t="str">
            <v>Zhong Tong</v>
          </cell>
          <cell r="F336" t="str">
            <v>Lck6122evg</v>
          </cell>
          <cell r="G336" t="str">
            <v>ZHONGTONG</v>
          </cell>
          <cell r="H336" t="str">
            <v>LCK6122EVG</v>
          </cell>
          <cell r="I336">
            <v>2025</v>
          </cell>
          <cell r="J336" t="str">
            <v>B</v>
          </cell>
          <cell r="K336" t="str">
            <v>SAN ALFONSO</v>
          </cell>
          <cell r="L336" t="str">
            <v>San Alfonso 2141 (Ramón Subercaseaux 3060)</v>
          </cell>
          <cell r="M336" t="str">
            <v>Estacion Central</v>
          </cell>
          <cell r="N336" t="str">
            <v>B</v>
          </cell>
        </row>
        <row r="337">
          <cell r="B337">
            <v>1336</v>
          </cell>
          <cell r="C337" t="str">
            <v>MDN35025020021</v>
          </cell>
          <cell r="D337" t="str">
            <v>LDYECS316S0044106</v>
          </cell>
          <cell r="E337" t="str">
            <v>Zhong Tong</v>
          </cell>
          <cell r="F337" t="str">
            <v>Lck6122evg</v>
          </cell>
          <cell r="G337" t="str">
            <v>ZHONGTONG</v>
          </cell>
          <cell r="H337" t="str">
            <v>LCK6122EVG</v>
          </cell>
          <cell r="I337">
            <v>2025</v>
          </cell>
          <cell r="J337" t="str">
            <v>B</v>
          </cell>
          <cell r="K337" t="str">
            <v>SAN ALFONSO</v>
          </cell>
          <cell r="L337" t="str">
            <v>San Alfonso 2141 (Ramón Subercaseaux 3060)</v>
          </cell>
          <cell r="M337" t="str">
            <v>Estacion Central</v>
          </cell>
          <cell r="N337" t="str">
            <v>B</v>
          </cell>
        </row>
        <row r="338">
          <cell r="B338">
            <v>1337</v>
          </cell>
          <cell r="C338" t="str">
            <v>MDN35025020102</v>
          </cell>
          <cell r="D338" t="str">
            <v>LDYECS31XS0044044</v>
          </cell>
          <cell r="E338" t="str">
            <v>Zhong Tong</v>
          </cell>
          <cell r="F338" t="str">
            <v>Lck6122evg</v>
          </cell>
          <cell r="G338" t="str">
            <v>ZHONGTONG</v>
          </cell>
          <cell r="H338" t="str">
            <v>LCK6122EVG</v>
          </cell>
          <cell r="I338">
            <v>2025</v>
          </cell>
          <cell r="J338" t="str">
            <v>B</v>
          </cell>
          <cell r="K338" t="str">
            <v>SAN ALFONSO</v>
          </cell>
          <cell r="L338" t="str">
            <v>San Alfonso 2141 (Ramón Subercaseaux 3060)</v>
          </cell>
          <cell r="M338" t="str">
            <v>Estacion Central</v>
          </cell>
          <cell r="N338" t="str">
            <v>B</v>
          </cell>
        </row>
        <row r="339">
          <cell r="B339">
            <v>1338</v>
          </cell>
          <cell r="C339" t="str">
            <v>MDN35025020003</v>
          </cell>
          <cell r="D339" t="str">
            <v>LDYECS314S0044069</v>
          </cell>
          <cell r="E339" t="str">
            <v>Zhong Tong</v>
          </cell>
          <cell r="F339" t="str">
            <v>Lck6122evg</v>
          </cell>
          <cell r="G339" t="str">
            <v>ZHONGTONG</v>
          </cell>
          <cell r="H339" t="str">
            <v>LCK6122EVG</v>
          </cell>
          <cell r="I339">
            <v>2025</v>
          </cell>
          <cell r="J339" t="str">
            <v>B</v>
          </cell>
          <cell r="K339" t="str">
            <v>PIE ANDINO</v>
          </cell>
          <cell r="L339" t="str">
            <v>Pie Andino 31 (Pie Andino 383)</v>
          </cell>
          <cell r="M339" t="str">
            <v>Puente Alto</v>
          </cell>
          <cell r="N339" t="str">
            <v>B</v>
          </cell>
        </row>
        <row r="340">
          <cell r="B340">
            <v>1339</v>
          </cell>
          <cell r="C340" t="str">
            <v>MDN35025020091</v>
          </cell>
          <cell r="D340" t="str">
            <v>LDYECS313S0044046</v>
          </cell>
          <cell r="E340" t="str">
            <v>Zhong Tong</v>
          </cell>
          <cell r="F340" t="str">
            <v>Lck6122evg</v>
          </cell>
          <cell r="G340" t="str">
            <v>ZHONGTONG</v>
          </cell>
          <cell r="H340" t="str">
            <v>LCK6122EVG</v>
          </cell>
          <cell r="I340">
            <v>2025</v>
          </cell>
          <cell r="J340" t="str">
            <v>B</v>
          </cell>
          <cell r="K340" t="str">
            <v>SAN ALFONSO</v>
          </cell>
          <cell r="L340" t="str">
            <v>San Alfonso 2141 (Ramón Subercaseaux 3060)</v>
          </cell>
          <cell r="M340" t="str">
            <v>Estacion Central</v>
          </cell>
          <cell r="N340" t="str">
            <v>B</v>
          </cell>
        </row>
        <row r="341">
          <cell r="B341">
            <v>1340</v>
          </cell>
          <cell r="C341" t="str">
            <v>MDN35025020039</v>
          </cell>
          <cell r="D341" t="str">
            <v>LDYECS312S0044071</v>
          </cell>
          <cell r="E341" t="str">
            <v>Zhong Tong</v>
          </cell>
          <cell r="F341" t="str">
            <v>Lck6122evg</v>
          </cell>
          <cell r="G341" t="str">
            <v>ZHONGTONG</v>
          </cell>
          <cell r="H341" t="str">
            <v>LCK6122EVG</v>
          </cell>
          <cell r="I341">
            <v>2025</v>
          </cell>
          <cell r="J341" t="str">
            <v>B</v>
          </cell>
          <cell r="K341" t="str">
            <v>SAN ALFONSO</v>
          </cell>
          <cell r="L341" t="str">
            <v>San Alfonso 2141 (Ramón Subercaseaux 3060)</v>
          </cell>
          <cell r="M341" t="str">
            <v>Estacion Central</v>
          </cell>
          <cell r="N341" t="str">
            <v>B</v>
          </cell>
        </row>
        <row r="342">
          <cell r="B342">
            <v>1341</v>
          </cell>
          <cell r="C342" t="str">
            <v>MDN35025020085</v>
          </cell>
          <cell r="D342" t="str">
            <v>LDYECS311S0044076</v>
          </cell>
          <cell r="E342" t="str">
            <v>Zhong Tong</v>
          </cell>
          <cell r="F342" t="str">
            <v>Lck6122evg</v>
          </cell>
          <cell r="G342" t="str">
            <v>ZHONGTONG</v>
          </cell>
          <cell r="H342" t="str">
            <v>LCK6122EVG</v>
          </cell>
          <cell r="I342">
            <v>2025</v>
          </cell>
          <cell r="J342" t="str">
            <v>B</v>
          </cell>
          <cell r="K342" t="str">
            <v>SAN ALFONSO</v>
          </cell>
          <cell r="L342" t="str">
            <v>San Alfonso 2141 (Ramón Subercaseaux 3060)</v>
          </cell>
          <cell r="M342" t="str">
            <v>Estacion Central</v>
          </cell>
          <cell r="N342" t="str">
            <v>B</v>
          </cell>
        </row>
        <row r="343">
          <cell r="B343">
            <v>1342</v>
          </cell>
          <cell r="C343" t="str">
            <v>MDN35025010194</v>
          </cell>
          <cell r="D343" t="str">
            <v>LDYECS311S0044059</v>
          </cell>
          <cell r="E343" t="str">
            <v>Zhong Tong</v>
          </cell>
          <cell r="F343" t="str">
            <v>Lck6122evg</v>
          </cell>
          <cell r="G343" t="str">
            <v>ZHONGTONG</v>
          </cell>
          <cell r="H343" t="str">
            <v>LCK6122EVG</v>
          </cell>
          <cell r="I343">
            <v>2025</v>
          </cell>
          <cell r="J343" t="str">
            <v>B</v>
          </cell>
          <cell r="K343" t="str">
            <v>PIE ANDINO</v>
          </cell>
          <cell r="L343" t="str">
            <v>Pie Andino 31 (Pie Andino 383)</v>
          </cell>
          <cell r="M343" t="str">
            <v>Puente Alto</v>
          </cell>
          <cell r="N343" t="str">
            <v>B</v>
          </cell>
        </row>
        <row r="344">
          <cell r="B344">
            <v>1343</v>
          </cell>
          <cell r="C344" t="str">
            <v>MDN35025010098</v>
          </cell>
          <cell r="D344" t="str">
            <v>LDYECS31XS0044111</v>
          </cell>
          <cell r="E344" t="str">
            <v>Zhong Tong</v>
          </cell>
          <cell r="F344" t="str">
            <v>Lck6122evg</v>
          </cell>
          <cell r="G344" t="str">
            <v>ZHONGTONG</v>
          </cell>
          <cell r="H344" t="str">
            <v>LCK6122EVG</v>
          </cell>
          <cell r="I344">
            <v>2025</v>
          </cell>
          <cell r="J344" t="str">
            <v>B</v>
          </cell>
          <cell r="K344" t="str">
            <v>PIE ANDINO</v>
          </cell>
          <cell r="L344" t="str">
            <v>Pie Andino 31 (Pie Andino 383)</v>
          </cell>
          <cell r="M344" t="str">
            <v>Puente Alto</v>
          </cell>
          <cell r="N344" t="str">
            <v>B</v>
          </cell>
        </row>
        <row r="345">
          <cell r="B345">
            <v>1344</v>
          </cell>
          <cell r="C345" t="str">
            <v>MDN35025020037</v>
          </cell>
          <cell r="D345" t="str">
            <v>LDYECS310S0044070</v>
          </cell>
          <cell r="E345" t="str">
            <v>Zhong Tong</v>
          </cell>
          <cell r="F345" t="str">
            <v>Lck6122evg</v>
          </cell>
          <cell r="G345" t="str">
            <v>ZHONGTONG</v>
          </cell>
          <cell r="H345" t="str">
            <v>LCK6122EVG</v>
          </cell>
          <cell r="I345">
            <v>2025</v>
          </cell>
          <cell r="J345" t="str">
            <v>B</v>
          </cell>
          <cell r="K345" t="str">
            <v>PIE ANDINO</v>
          </cell>
          <cell r="L345" t="str">
            <v>Pie Andino 31 (Pie Andino 383)</v>
          </cell>
          <cell r="M345" t="str">
            <v>Puente Alto</v>
          </cell>
          <cell r="N345" t="str">
            <v>B</v>
          </cell>
        </row>
        <row r="346">
          <cell r="B346">
            <v>1345</v>
          </cell>
          <cell r="C346" t="str">
            <v>MDN35025020023</v>
          </cell>
          <cell r="D346" t="str">
            <v>LDYECS310S0044067</v>
          </cell>
          <cell r="E346" t="str">
            <v>Zhong Tong</v>
          </cell>
          <cell r="F346" t="str">
            <v>Lck6122evg</v>
          </cell>
          <cell r="G346" t="str">
            <v>ZHONGTONG</v>
          </cell>
          <cell r="H346" t="str">
            <v>LCK6122EVG</v>
          </cell>
          <cell r="I346">
            <v>2025</v>
          </cell>
          <cell r="J346" t="str">
            <v>B</v>
          </cell>
          <cell r="K346" t="str">
            <v>PIE ANDINO</v>
          </cell>
          <cell r="L346" t="str">
            <v>Pie Andino 31 (Pie Andino 383)</v>
          </cell>
          <cell r="M346" t="str">
            <v>Puente Alto</v>
          </cell>
          <cell r="N346" t="str">
            <v>B</v>
          </cell>
        </row>
        <row r="347">
          <cell r="B347">
            <v>1346</v>
          </cell>
          <cell r="C347" t="str">
            <v>MDN35025010218</v>
          </cell>
          <cell r="D347" t="str">
            <v>LDYECS316S0044087</v>
          </cell>
          <cell r="E347" t="str">
            <v>Zhong Tong</v>
          </cell>
          <cell r="F347" t="str">
            <v>Lck6122evg</v>
          </cell>
          <cell r="G347" t="str">
            <v>ZHONGTONG</v>
          </cell>
          <cell r="H347" t="str">
            <v>LCK6122EVG</v>
          </cell>
          <cell r="I347">
            <v>2025</v>
          </cell>
          <cell r="J347" t="str">
            <v>B</v>
          </cell>
          <cell r="K347" t="str">
            <v>SAN ALFONSO</v>
          </cell>
          <cell r="L347" t="str">
            <v>San Alfonso 2141 (Ramón Subercaseaux 3060)</v>
          </cell>
          <cell r="M347" t="str">
            <v>Estacion Central</v>
          </cell>
          <cell r="N347" t="str">
            <v>B</v>
          </cell>
        </row>
        <row r="348">
          <cell r="B348">
            <v>1347</v>
          </cell>
          <cell r="C348" t="str">
            <v>MDN35025020098</v>
          </cell>
          <cell r="D348" t="str">
            <v>LDYECS315S0044095</v>
          </cell>
          <cell r="E348" t="str">
            <v>Zhong Tong</v>
          </cell>
          <cell r="F348" t="str">
            <v>Lck6122evg</v>
          </cell>
          <cell r="G348" t="str">
            <v>ZHONGTONG</v>
          </cell>
          <cell r="H348" t="str">
            <v>LCK6122EVG</v>
          </cell>
          <cell r="I348">
            <v>2025</v>
          </cell>
          <cell r="J348" t="str">
            <v>B</v>
          </cell>
          <cell r="K348" t="str">
            <v>PIE ANDINO</v>
          </cell>
          <cell r="L348" t="str">
            <v>Pie Andino 31 (Pie Andino 383)</v>
          </cell>
          <cell r="M348" t="str">
            <v>Puente Alto</v>
          </cell>
          <cell r="N348" t="str">
            <v>B</v>
          </cell>
        </row>
        <row r="349">
          <cell r="B349">
            <v>1348</v>
          </cell>
          <cell r="C349" t="str">
            <v>MDN35025020038</v>
          </cell>
          <cell r="D349" t="str">
            <v>LDYECS317S0044065</v>
          </cell>
          <cell r="E349" t="str">
            <v>Zhong Tong</v>
          </cell>
          <cell r="F349" t="str">
            <v>Lck6122evg</v>
          </cell>
          <cell r="G349" t="str">
            <v>ZHONGTONG</v>
          </cell>
          <cell r="H349" t="str">
            <v>LCK6122EVG</v>
          </cell>
          <cell r="I349">
            <v>2025</v>
          </cell>
          <cell r="J349" t="str">
            <v>B</v>
          </cell>
          <cell r="K349" t="str">
            <v>PIE ANDINO</v>
          </cell>
          <cell r="L349" t="str">
            <v>Pie Andino 31 (Pie Andino 383)</v>
          </cell>
          <cell r="M349" t="str">
            <v>Puente Alto</v>
          </cell>
          <cell r="N349" t="str">
            <v>B</v>
          </cell>
        </row>
        <row r="350">
          <cell r="B350">
            <v>1349</v>
          </cell>
          <cell r="C350" t="str">
            <v>MDN35025010188</v>
          </cell>
          <cell r="D350" t="str">
            <v>LDYECS314S0044072</v>
          </cell>
          <cell r="E350" t="str">
            <v>Zhong Tong</v>
          </cell>
          <cell r="F350" t="str">
            <v>Lck6122evg</v>
          </cell>
          <cell r="G350" t="str">
            <v>ZHONGTONG</v>
          </cell>
          <cell r="H350" t="str">
            <v>LCK6122EVG</v>
          </cell>
          <cell r="I350">
            <v>2025</v>
          </cell>
          <cell r="J350" t="str">
            <v>B</v>
          </cell>
          <cell r="K350" t="str">
            <v>SAN ALFONSO</v>
          </cell>
          <cell r="L350" t="str">
            <v>San Alfonso 2141 (Ramón Subercaseaux 3060)</v>
          </cell>
          <cell r="M350" t="str">
            <v>Estacion Central</v>
          </cell>
          <cell r="N350" t="str">
            <v>B</v>
          </cell>
        </row>
        <row r="351">
          <cell r="B351">
            <v>1350</v>
          </cell>
          <cell r="C351" t="str">
            <v>MDN35025010203</v>
          </cell>
          <cell r="D351" t="str">
            <v>LDYECS311S0044109</v>
          </cell>
          <cell r="E351" t="str">
            <v>Zhong Tong</v>
          </cell>
          <cell r="F351" t="str">
            <v>Lck6122evg</v>
          </cell>
          <cell r="G351" t="str">
            <v>ZHONGTONG</v>
          </cell>
          <cell r="H351" t="str">
            <v>LCK6122EVG</v>
          </cell>
          <cell r="I351">
            <v>2025</v>
          </cell>
          <cell r="J351" t="str">
            <v>B</v>
          </cell>
          <cell r="K351" t="str">
            <v>SAN ALFONSO</v>
          </cell>
          <cell r="L351" t="str">
            <v>San Alfonso 2141 (Ramón Subercaseaux 3060)</v>
          </cell>
          <cell r="M351" t="str">
            <v>Estacion Central</v>
          </cell>
          <cell r="N351" t="str">
            <v>B</v>
          </cell>
        </row>
        <row r="352">
          <cell r="B352">
            <v>1351</v>
          </cell>
          <cell r="C352" t="str">
            <v>MDN35025010193</v>
          </cell>
          <cell r="D352" t="str">
            <v>LDYECS312S0044068</v>
          </cell>
          <cell r="E352" t="str">
            <v>Zhong Tong</v>
          </cell>
          <cell r="F352" t="str">
            <v>Lck6122evg</v>
          </cell>
          <cell r="G352" t="str">
            <v>ZHONGTONG</v>
          </cell>
          <cell r="H352" t="str">
            <v>LCK6122EVG</v>
          </cell>
          <cell r="I352">
            <v>2025</v>
          </cell>
          <cell r="J352" t="str">
            <v>B</v>
          </cell>
          <cell r="K352" t="str">
            <v>SAN ALFONSO</v>
          </cell>
          <cell r="L352" t="str">
            <v>San Alfonso 2141 (Ramón Subercaseaux 3060)</v>
          </cell>
          <cell r="M352" t="str">
            <v>Estacion Central</v>
          </cell>
          <cell r="N352" t="str">
            <v>B</v>
          </cell>
        </row>
        <row r="353">
          <cell r="B353">
            <v>1352</v>
          </cell>
          <cell r="C353" t="str">
            <v>MDN35025020011</v>
          </cell>
          <cell r="D353" t="str">
            <v>LDYECS316S0044090</v>
          </cell>
          <cell r="E353" t="str">
            <v>Zhong Tong</v>
          </cell>
          <cell r="F353" t="str">
            <v>Lck6122evg</v>
          </cell>
          <cell r="G353" t="str">
            <v>ZHONGTONG</v>
          </cell>
          <cell r="H353" t="str">
            <v>LCK6122EVG</v>
          </cell>
          <cell r="I353">
            <v>2025</v>
          </cell>
          <cell r="J353" t="str">
            <v>B</v>
          </cell>
          <cell r="K353" t="str">
            <v>SAN ALFONSO</v>
          </cell>
          <cell r="L353" t="str">
            <v>San Alfonso 2141 (Ramón Subercaseaux 3060)</v>
          </cell>
          <cell r="M353" t="str">
            <v>Estacion Central</v>
          </cell>
          <cell r="N353" t="str">
            <v>B</v>
          </cell>
        </row>
        <row r="354">
          <cell r="B354">
            <v>1353</v>
          </cell>
          <cell r="C354" t="str">
            <v>MDN35025010208</v>
          </cell>
          <cell r="D354" t="str">
            <v>LDYECS317S0044082</v>
          </cell>
          <cell r="E354" t="str">
            <v>Zhong Tong</v>
          </cell>
          <cell r="F354" t="str">
            <v>Lck6122evg</v>
          </cell>
          <cell r="G354" t="str">
            <v>ZHONGTONG</v>
          </cell>
          <cell r="H354" t="str">
            <v>LCK6122EVG</v>
          </cell>
          <cell r="I354">
            <v>2025</v>
          </cell>
          <cell r="J354" t="str">
            <v>B</v>
          </cell>
          <cell r="K354" t="str">
            <v>SAN ALFONSO</v>
          </cell>
          <cell r="L354" t="str">
            <v>San Alfonso 2141 (Ramón Subercaseaux 3060)</v>
          </cell>
          <cell r="M354" t="str">
            <v>Estacion Central</v>
          </cell>
          <cell r="N354" t="str">
            <v>B</v>
          </cell>
        </row>
        <row r="355">
          <cell r="B355">
            <v>1354</v>
          </cell>
          <cell r="C355" t="str">
            <v>MDN35025020043</v>
          </cell>
          <cell r="D355" t="str">
            <v>LDYECS31XS0044075</v>
          </cell>
          <cell r="E355" t="str">
            <v>Zhong Tong</v>
          </cell>
          <cell r="F355" t="str">
            <v>Lck6122evg</v>
          </cell>
          <cell r="G355" t="str">
            <v>ZHONGTONG</v>
          </cell>
          <cell r="H355" t="str">
            <v>LCK6122EVG</v>
          </cell>
          <cell r="I355">
            <v>2025</v>
          </cell>
          <cell r="J355" t="str">
            <v>B</v>
          </cell>
          <cell r="K355" t="str">
            <v>PIE ANDINO</v>
          </cell>
          <cell r="L355" t="str">
            <v>Pie Andino 31 (Pie Andino 383)</v>
          </cell>
          <cell r="M355" t="str">
            <v>Puente Alto</v>
          </cell>
          <cell r="N355" t="str">
            <v>B</v>
          </cell>
        </row>
        <row r="356">
          <cell r="B356">
            <v>1355</v>
          </cell>
          <cell r="C356" t="str">
            <v>MDN35025020017</v>
          </cell>
          <cell r="D356" t="str">
            <v>LDYECS312S0044085</v>
          </cell>
          <cell r="E356" t="str">
            <v>Zhong Tong</v>
          </cell>
          <cell r="F356" t="str">
            <v>Lck6122evg</v>
          </cell>
          <cell r="G356" t="str">
            <v>ZHONGTONG</v>
          </cell>
          <cell r="H356" t="str">
            <v>LCK6122EVG</v>
          </cell>
          <cell r="I356">
            <v>2025</v>
          </cell>
          <cell r="J356" t="str">
            <v>B</v>
          </cell>
          <cell r="K356" t="str">
            <v>PIE ANDINO</v>
          </cell>
          <cell r="L356" t="str">
            <v>Pie Andino 31 (Pie Andino 383)</v>
          </cell>
          <cell r="M356" t="str">
            <v>Puente Alto</v>
          </cell>
          <cell r="N356" t="str">
            <v>B</v>
          </cell>
        </row>
        <row r="357">
          <cell r="B357">
            <v>1356</v>
          </cell>
          <cell r="C357" t="str">
            <v>MDN35025020001</v>
          </cell>
          <cell r="D357" t="str">
            <v>LDYECS313S0044077</v>
          </cell>
          <cell r="E357" t="str">
            <v>Zhong Tong</v>
          </cell>
          <cell r="F357" t="str">
            <v>Lck6122evg</v>
          </cell>
          <cell r="G357" t="str">
            <v>ZHONGTONG</v>
          </cell>
          <cell r="H357" t="str">
            <v>LCK6122EVG</v>
          </cell>
          <cell r="I357">
            <v>2025</v>
          </cell>
          <cell r="J357" t="str">
            <v>B</v>
          </cell>
          <cell r="K357" t="str">
            <v>PIE ANDINO</v>
          </cell>
          <cell r="L357" t="str">
            <v>Pie Andino 31 (Pie Andino 383)</v>
          </cell>
          <cell r="M357" t="str">
            <v>Puente Alto</v>
          </cell>
          <cell r="N357" t="str">
            <v>B</v>
          </cell>
        </row>
        <row r="358">
          <cell r="B358">
            <v>1357</v>
          </cell>
          <cell r="C358" t="str">
            <v>MDN35025010028</v>
          </cell>
          <cell r="D358" t="str">
            <v>LDYECS311S0044112</v>
          </cell>
          <cell r="E358" t="str">
            <v>Zhong Tong</v>
          </cell>
          <cell r="F358" t="str">
            <v>Lck6122evg</v>
          </cell>
          <cell r="G358" t="str">
            <v>ZHONGTONG</v>
          </cell>
          <cell r="H358" t="str">
            <v>LCK6122EVG</v>
          </cell>
          <cell r="I358">
            <v>2025</v>
          </cell>
          <cell r="J358" t="str">
            <v>B</v>
          </cell>
          <cell r="K358" t="str">
            <v>SAN ALFONSO</v>
          </cell>
          <cell r="L358" t="str">
            <v>San Alfonso 2141 (Ramón Subercaseaux 3060)</v>
          </cell>
          <cell r="M358" t="str">
            <v>Estacion Central</v>
          </cell>
          <cell r="N358" t="str">
            <v>B</v>
          </cell>
        </row>
        <row r="359">
          <cell r="B359">
            <v>1358</v>
          </cell>
          <cell r="C359" t="str">
            <v>MDN35025020032</v>
          </cell>
          <cell r="D359" t="str">
            <v>LDYECS319S0044102</v>
          </cell>
          <cell r="E359" t="str">
            <v>Zhong Tong</v>
          </cell>
          <cell r="F359" t="str">
            <v>Lck6122evg</v>
          </cell>
          <cell r="G359" t="str">
            <v>ZHONGTONG</v>
          </cell>
          <cell r="H359" t="str">
            <v>LCK6122EVG</v>
          </cell>
          <cell r="I359">
            <v>2025</v>
          </cell>
          <cell r="J359" t="str">
            <v>B</v>
          </cell>
          <cell r="K359" t="str">
            <v>SAN ALFONSO</v>
          </cell>
          <cell r="L359" t="str">
            <v>San Alfonso 2141 (Ramón Subercaseaux 3060)</v>
          </cell>
          <cell r="M359" t="str">
            <v>Estacion Central</v>
          </cell>
          <cell r="N359" t="str">
            <v>B</v>
          </cell>
        </row>
        <row r="360">
          <cell r="B360">
            <v>1359</v>
          </cell>
          <cell r="C360" t="str">
            <v>MDN35025020030</v>
          </cell>
          <cell r="D360" t="str">
            <v>LDYECS31XS0044089</v>
          </cell>
          <cell r="E360" t="str">
            <v>Zhong Tong</v>
          </cell>
          <cell r="F360" t="str">
            <v>Lck6122evg</v>
          </cell>
          <cell r="G360" t="str">
            <v>ZHONGTONG</v>
          </cell>
          <cell r="H360" t="str">
            <v>LCK6122EVG</v>
          </cell>
          <cell r="I360">
            <v>2025</v>
          </cell>
          <cell r="J360" t="str">
            <v>B</v>
          </cell>
          <cell r="K360" t="str">
            <v>SAN ALFONSO</v>
          </cell>
          <cell r="L360" t="str">
            <v>San Alfonso 2141 (Ramón Subercaseaux 3060)</v>
          </cell>
          <cell r="M360" t="str">
            <v>Estacion Central</v>
          </cell>
          <cell r="N360" t="str">
            <v>B</v>
          </cell>
        </row>
        <row r="361">
          <cell r="B361">
            <v>1360</v>
          </cell>
          <cell r="C361" t="str">
            <v>MDN35025010247</v>
          </cell>
          <cell r="D361" t="str">
            <v>LDYECS312S0044104</v>
          </cell>
          <cell r="E361" t="str">
            <v>Zhong Tong</v>
          </cell>
          <cell r="F361" t="str">
            <v>Lck6122evg</v>
          </cell>
          <cell r="G361" t="str">
            <v>ZHONGTONG</v>
          </cell>
          <cell r="H361" t="str">
            <v>LCK6122EVG</v>
          </cell>
          <cell r="I361">
            <v>2025</v>
          </cell>
          <cell r="J361" t="str">
            <v>B</v>
          </cell>
          <cell r="K361" t="str">
            <v>SAN ALFONSO</v>
          </cell>
          <cell r="L361" t="str">
            <v>San Alfonso 2141 (Ramón Subercaseaux 3060)</v>
          </cell>
          <cell r="M361" t="str">
            <v>Estacion Central</v>
          </cell>
          <cell r="N361" t="str">
            <v>B</v>
          </cell>
        </row>
        <row r="362">
          <cell r="B362">
            <v>1361</v>
          </cell>
          <cell r="C362" t="str">
            <v>MDN35025010213</v>
          </cell>
          <cell r="D362" t="str">
            <v>LDYECS315S0044081</v>
          </cell>
          <cell r="E362" t="str">
            <v>Zhong Tong</v>
          </cell>
          <cell r="F362" t="str">
            <v>Lck6122evg</v>
          </cell>
          <cell r="G362" t="str">
            <v>ZHONGTONG</v>
          </cell>
          <cell r="H362" t="str">
            <v>LCK6122EVG</v>
          </cell>
          <cell r="I362">
            <v>2025</v>
          </cell>
          <cell r="J362" t="str">
            <v>B</v>
          </cell>
          <cell r="K362" t="str">
            <v>SAN ALFONSO</v>
          </cell>
          <cell r="L362" t="str">
            <v>San Alfonso 2141 (Ramón Subercaseaux 3060)</v>
          </cell>
          <cell r="M362" t="str">
            <v>Estacion Central</v>
          </cell>
          <cell r="N362" t="str">
            <v>B</v>
          </cell>
        </row>
        <row r="363">
          <cell r="B363">
            <v>1362</v>
          </cell>
          <cell r="C363" t="str">
            <v>MDN35025010226</v>
          </cell>
          <cell r="D363" t="str">
            <v>LDYECS313S0044080</v>
          </cell>
          <cell r="E363" t="str">
            <v>Zhong Tong</v>
          </cell>
          <cell r="F363" t="str">
            <v>Lck6122evg</v>
          </cell>
          <cell r="G363" t="str">
            <v>ZHONGTONG</v>
          </cell>
          <cell r="H363" t="str">
            <v>LCK6122EVG</v>
          </cell>
          <cell r="I363">
            <v>2025</v>
          </cell>
          <cell r="J363" t="str">
            <v>B</v>
          </cell>
          <cell r="K363" t="str">
            <v>PIE ANDINO</v>
          </cell>
          <cell r="L363" t="str">
            <v>Pie Andino 31 (Pie Andino 383)</v>
          </cell>
          <cell r="M363" t="str">
            <v>Puente Alto</v>
          </cell>
          <cell r="N363" t="str">
            <v>B</v>
          </cell>
        </row>
        <row r="364">
          <cell r="B364">
            <v>1363</v>
          </cell>
          <cell r="C364" t="str">
            <v>MDN35025010225</v>
          </cell>
          <cell r="D364" t="str">
            <v>LDYECS317S0044079</v>
          </cell>
          <cell r="E364" t="str">
            <v>Zhong Tong</v>
          </cell>
          <cell r="F364" t="str">
            <v>Lck6122evg</v>
          </cell>
          <cell r="G364" t="str">
            <v>ZHONGTONG</v>
          </cell>
          <cell r="H364" t="str">
            <v>LCK6122EVG</v>
          </cell>
          <cell r="I364">
            <v>2025</v>
          </cell>
          <cell r="J364" t="str">
            <v>B</v>
          </cell>
          <cell r="K364" t="str">
            <v>SAN ALFONSO</v>
          </cell>
          <cell r="L364" t="str">
            <v>San Alfonso 2141 (Ramón Subercaseaux 3060)</v>
          </cell>
          <cell r="M364" t="str">
            <v>Estacion Central</v>
          </cell>
          <cell r="N364" t="str">
            <v>B</v>
          </cell>
        </row>
        <row r="365">
          <cell r="B365">
            <v>1364</v>
          </cell>
          <cell r="C365" t="str">
            <v>MDN35025010204</v>
          </cell>
          <cell r="D365" t="str">
            <v>LDYECS31XS0044108</v>
          </cell>
          <cell r="E365" t="str">
            <v>Zhong Tong</v>
          </cell>
          <cell r="F365" t="str">
            <v>Lck6122evg</v>
          </cell>
          <cell r="G365" t="str">
            <v>ZHONGTONG</v>
          </cell>
          <cell r="H365" t="str">
            <v>LCK6122EVG</v>
          </cell>
          <cell r="I365">
            <v>2025</v>
          </cell>
          <cell r="J365" t="str">
            <v>B</v>
          </cell>
          <cell r="K365" t="str">
            <v>SAN ALFONSO</v>
          </cell>
          <cell r="L365" t="str">
            <v>San Alfonso 2141 (Ramón Subercaseaux 3060)</v>
          </cell>
          <cell r="M365" t="str">
            <v>Estacion Central</v>
          </cell>
          <cell r="N365" t="str">
            <v>B</v>
          </cell>
        </row>
        <row r="366">
          <cell r="B366">
            <v>1365</v>
          </cell>
          <cell r="C366" t="str">
            <v>MDN35025020040</v>
          </cell>
          <cell r="D366" t="str">
            <v>LDYECS314S0044086</v>
          </cell>
          <cell r="E366" t="str">
            <v>Zhong Tong</v>
          </cell>
          <cell r="F366" t="str">
            <v>Lck6122evg</v>
          </cell>
          <cell r="G366" t="str">
            <v>ZHONGTONG</v>
          </cell>
          <cell r="H366" t="str">
            <v>LCK6122EVG</v>
          </cell>
          <cell r="I366">
            <v>2025</v>
          </cell>
          <cell r="J366" t="str">
            <v>B</v>
          </cell>
          <cell r="K366" t="str">
            <v>PIE ANDINO</v>
          </cell>
          <cell r="L366" t="str">
            <v>Pie Andino 31 (Pie Andino 383)</v>
          </cell>
          <cell r="M366" t="str">
            <v>Puente Alto</v>
          </cell>
          <cell r="N366" t="str">
            <v>B</v>
          </cell>
        </row>
        <row r="367">
          <cell r="B367">
            <v>1366</v>
          </cell>
          <cell r="C367" t="str">
            <v>MDN35025020018</v>
          </cell>
          <cell r="D367" t="str">
            <v>LDYECS315S0044100</v>
          </cell>
          <cell r="E367" t="str">
            <v>Zhong Tong</v>
          </cell>
          <cell r="F367" t="str">
            <v>Lck6122evg</v>
          </cell>
          <cell r="G367" t="str">
            <v>ZHONGTONG</v>
          </cell>
          <cell r="H367" t="str">
            <v>LCK6122EVG</v>
          </cell>
          <cell r="I367">
            <v>2025</v>
          </cell>
          <cell r="J367" t="str">
            <v>B</v>
          </cell>
          <cell r="K367" t="str">
            <v>SAN ALFONSO</v>
          </cell>
          <cell r="L367" t="str">
            <v>San Alfonso 2141 (Ramón Subercaseaux 3060)</v>
          </cell>
          <cell r="M367" t="str">
            <v>Estacion Central</v>
          </cell>
          <cell r="N367" t="str">
            <v>B</v>
          </cell>
        </row>
        <row r="368">
          <cell r="B368">
            <v>1367</v>
          </cell>
          <cell r="C368" t="str">
            <v>MDN35025010216</v>
          </cell>
          <cell r="D368" t="str">
            <v>LDYECS318S0044107</v>
          </cell>
          <cell r="E368" t="str">
            <v>Zhong Tong</v>
          </cell>
          <cell r="F368" t="str">
            <v>Lck6122evg</v>
          </cell>
          <cell r="G368" t="str">
            <v>ZHONGTONG</v>
          </cell>
          <cell r="H368" t="str">
            <v>LCK6122EVG</v>
          </cell>
          <cell r="I368">
            <v>2025</v>
          </cell>
          <cell r="J368" t="str">
            <v>B</v>
          </cell>
          <cell r="K368" t="str">
            <v>SAN ALFONSO</v>
          </cell>
          <cell r="L368" t="str">
            <v>San Alfonso 2141 (Ramón Subercaseaux 3060)</v>
          </cell>
          <cell r="M368" t="str">
            <v>Estacion Central</v>
          </cell>
          <cell r="N368" t="str">
            <v>B</v>
          </cell>
        </row>
        <row r="369">
          <cell r="B369">
            <v>1368</v>
          </cell>
          <cell r="C369" t="str">
            <v>MDN35025010249</v>
          </cell>
          <cell r="D369" t="str">
            <v>LDYECS31XS0044092</v>
          </cell>
          <cell r="E369" t="str">
            <v>Zhong Tong</v>
          </cell>
          <cell r="F369" t="str">
            <v>Lck6122evg</v>
          </cell>
          <cell r="G369" t="str">
            <v>ZHONGTONG</v>
          </cell>
          <cell r="H369" t="str">
            <v>LCK6122EVG</v>
          </cell>
          <cell r="I369">
            <v>2025</v>
          </cell>
          <cell r="J369" t="str">
            <v>B</v>
          </cell>
          <cell r="K369" t="str">
            <v>PIE ANDINO</v>
          </cell>
          <cell r="L369" t="str">
            <v>Pie Andino 31 (Pie Andino 383)</v>
          </cell>
          <cell r="M369" t="str">
            <v>Puente Alto</v>
          </cell>
          <cell r="N369" t="str">
            <v>B</v>
          </cell>
        </row>
        <row r="370">
          <cell r="B370">
            <v>1369</v>
          </cell>
          <cell r="C370" t="str">
            <v>MDN35025020118</v>
          </cell>
          <cell r="D370" t="str">
            <v>LDYECS317S0044096</v>
          </cell>
          <cell r="E370" t="str">
            <v>Zhong Tong</v>
          </cell>
          <cell r="F370" t="str">
            <v>Lck6122evg</v>
          </cell>
          <cell r="G370" t="str">
            <v>ZHONGTONG</v>
          </cell>
          <cell r="H370" t="str">
            <v>LCK6122EVG</v>
          </cell>
          <cell r="I370">
            <v>2025</v>
          </cell>
          <cell r="J370" t="str">
            <v>B</v>
          </cell>
          <cell r="K370" t="str">
            <v>SAN ALFONSO</v>
          </cell>
          <cell r="L370" t="str">
            <v>San Alfonso 2141 (Ramón Subercaseaux 3060)</v>
          </cell>
          <cell r="M370" t="str">
            <v>Estacion Central</v>
          </cell>
          <cell r="N370" t="str">
            <v>B</v>
          </cell>
        </row>
        <row r="371">
          <cell r="B371">
            <v>1370</v>
          </cell>
          <cell r="C371" t="str">
            <v>MDN35025010242</v>
          </cell>
          <cell r="D371" t="str">
            <v>LDYECS317S0044101</v>
          </cell>
          <cell r="E371" t="str">
            <v>Zhong Tong</v>
          </cell>
          <cell r="F371" t="str">
            <v>Lck6122evg</v>
          </cell>
          <cell r="G371" t="str">
            <v>ZHONGTONG</v>
          </cell>
          <cell r="H371" t="str">
            <v>LCK6122EVG</v>
          </cell>
          <cell r="I371">
            <v>2025</v>
          </cell>
          <cell r="J371" t="str">
            <v>B</v>
          </cell>
          <cell r="K371" t="str">
            <v>SAN ALFONSO</v>
          </cell>
          <cell r="L371" t="str">
            <v>San Alfonso 2141 (Ramón Subercaseaux 3060)</v>
          </cell>
          <cell r="M371" t="str">
            <v>Estacion Central</v>
          </cell>
          <cell r="N371" t="str">
            <v>B</v>
          </cell>
        </row>
        <row r="372">
          <cell r="B372">
            <v>1371</v>
          </cell>
          <cell r="C372" t="str">
            <v>MDN35025020008</v>
          </cell>
          <cell r="D372" t="str">
            <v>LDYECS310S0044103</v>
          </cell>
          <cell r="E372" t="str">
            <v>Zhong Tong</v>
          </cell>
          <cell r="F372" t="str">
            <v>Lck6122evg</v>
          </cell>
          <cell r="G372" t="str">
            <v>ZHONGTONG</v>
          </cell>
          <cell r="H372" t="str">
            <v>LCK6122EVG</v>
          </cell>
          <cell r="I372">
            <v>2025</v>
          </cell>
          <cell r="J372" t="str">
            <v>B</v>
          </cell>
          <cell r="K372" t="str">
            <v>PIE ANDINO</v>
          </cell>
          <cell r="L372" t="str">
            <v>Pie Andino 31 (Pie Andino 383)</v>
          </cell>
          <cell r="M372" t="str">
            <v>Puente Alto</v>
          </cell>
          <cell r="N372" t="str">
            <v>B</v>
          </cell>
        </row>
        <row r="373">
          <cell r="B373">
            <v>1372</v>
          </cell>
          <cell r="C373" t="str">
            <v>MDN35025020020</v>
          </cell>
          <cell r="D373" t="str">
            <v>LDYECS310S0044098</v>
          </cell>
          <cell r="E373" t="str">
            <v>Zhong Tong</v>
          </cell>
          <cell r="F373" t="str">
            <v>Lck6122evg</v>
          </cell>
          <cell r="G373" t="str">
            <v>ZHONGTONG</v>
          </cell>
          <cell r="H373" t="str">
            <v>LCK6122EVG</v>
          </cell>
          <cell r="I373">
            <v>2025</v>
          </cell>
          <cell r="J373" t="str">
            <v>B</v>
          </cell>
          <cell r="K373" t="str">
            <v>SAN ALFONSO</v>
          </cell>
          <cell r="L373" t="str">
            <v>San Alfonso 2141 (Ramón Subercaseaux 3060)</v>
          </cell>
          <cell r="M373" t="str">
            <v>Estacion Central</v>
          </cell>
          <cell r="N373" t="str">
            <v>B</v>
          </cell>
        </row>
        <row r="374">
          <cell r="B374">
            <v>1373</v>
          </cell>
          <cell r="C374" t="str">
            <v>MDN35025010252</v>
          </cell>
          <cell r="D374" t="str">
            <v>LDYECS311S0044093</v>
          </cell>
          <cell r="E374" t="str">
            <v>Zhong Tong</v>
          </cell>
          <cell r="F374" t="str">
            <v>Lck6122evg</v>
          </cell>
          <cell r="G374" t="str">
            <v>ZHONGTONG</v>
          </cell>
          <cell r="H374" t="str">
            <v>LCK6122EVG</v>
          </cell>
          <cell r="I374">
            <v>2025</v>
          </cell>
          <cell r="J374" t="str">
            <v>B</v>
          </cell>
          <cell r="K374" t="str">
            <v>PIE ANDINO</v>
          </cell>
          <cell r="L374" t="str">
            <v>Pie Andino 31 (Pie Andino 383)</v>
          </cell>
          <cell r="M374" t="str">
            <v>Puente Alto</v>
          </cell>
          <cell r="N374" t="str">
            <v>B</v>
          </cell>
        </row>
        <row r="375">
          <cell r="B375">
            <v>1374</v>
          </cell>
          <cell r="C375" t="str">
            <v>MDN35025020014</v>
          </cell>
          <cell r="D375" t="str">
            <v>LDYECS318S0044091</v>
          </cell>
          <cell r="E375" t="str">
            <v>Zhong Tong</v>
          </cell>
          <cell r="F375" t="str">
            <v>Lck6122evg</v>
          </cell>
          <cell r="G375" t="str">
            <v>ZHONGTONG</v>
          </cell>
          <cell r="H375" t="str">
            <v>LCK6122EVG</v>
          </cell>
          <cell r="I375">
            <v>2025</v>
          </cell>
          <cell r="J375" t="str">
            <v>B</v>
          </cell>
          <cell r="K375" t="str">
            <v>PIE ANDINO</v>
          </cell>
          <cell r="L375" t="str">
            <v>Pie Andino 31 (Pie Andino 383)</v>
          </cell>
          <cell r="M375" t="str">
            <v>Puente Alto</v>
          </cell>
          <cell r="N375" t="str">
            <v>B</v>
          </cell>
        </row>
        <row r="376">
          <cell r="B376">
            <v>1375</v>
          </cell>
          <cell r="C376" t="str">
            <v>MDN35025020004</v>
          </cell>
          <cell r="D376" t="str">
            <v>LDYECS314S0044105</v>
          </cell>
          <cell r="E376" t="str">
            <v>Zhong Tong</v>
          </cell>
          <cell r="F376" t="str">
            <v>Lck6122evg</v>
          </cell>
          <cell r="G376" t="str">
            <v>ZHONGTONG</v>
          </cell>
          <cell r="H376" t="str">
            <v>LCK6122EVG</v>
          </cell>
          <cell r="I376">
            <v>2025</v>
          </cell>
          <cell r="J376" t="str">
            <v>B</v>
          </cell>
          <cell r="K376" t="str">
            <v>SAN ALFONSO</v>
          </cell>
          <cell r="L376" t="str">
            <v>San Alfonso 2141 (Ramón Subercaseaux 3060)</v>
          </cell>
          <cell r="M376" t="str">
            <v>Estacion Central</v>
          </cell>
          <cell r="N376" t="str">
            <v>B</v>
          </cell>
        </row>
        <row r="377">
          <cell r="B377">
            <v>1376</v>
          </cell>
          <cell r="C377" t="str">
            <v>MDN35025010245</v>
          </cell>
          <cell r="D377" t="str">
            <v>LDYECS312S0044099</v>
          </cell>
          <cell r="E377" t="str">
            <v>Zhong Tong</v>
          </cell>
          <cell r="F377" t="str">
            <v>Lck6122evg</v>
          </cell>
          <cell r="G377" t="str">
            <v>ZHONGTONG</v>
          </cell>
          <cell r="H377" t="str">
            <v>LCK6122EVG</v>
          </cell>
          <cell r="I377">
            <v>2025</v>
          </cell>
          <cell r="J377" t="str">
            <v>B</v>
          </cell>
          <cell r="K377" t="str">
            <v>PIE ANDINO</v>
          </cell>
          <cell r="L377" t="str">
            <v>Pie Andino 31 (Pie Andino 383)</v>
          </cell>
          <cell r="M377" t="str">
            <v>Puente Alto</v>
          </cell>
          <cell r="N377" t="str">
            <v>B</v>
          </cell>
        </row>
        <row r="378">
          <cell r="B378">
            <v>1377</v>
          </cell>
          <cell r="C378" t="str">
            <v>MDN35025010043</v>
          </cell>
          <cell r="D378" t="str">
            <v>LDYECS316S0043831</v>
          </cell>
          <cell r="E378" t="str">
            <v>Zhong Tong</v>
          </cell>
          <cell r="F378" t="str">
            <v>Lck6122evg</v>
          </cell>
          <cell r="G378" t="str">
            <v>ZHONGTONG</v>
          </cell>
          <cell r="H378" t="str">
            <v>LCK6122EVG</v>
          </cell>
          <cell r="I378">
            <v>2025</v>
          </cell>
          <cell r="J378" t="str">
            <v>B</v>
          </cell>
          <cell r="K378" t="str">
            <v>PIE ANDINO</v>
          </cell>
          <cell r="L378" t="str">
            <v>Pie Andino 31 (Pie Andino 383)</v>
          </cell>
          <cell r="M378" t="str">
            <v>Puente Alto</v>
          </cell>
          <cell r="N378" t="str">
            <v>B</v>
          </cell>
        </row>
        <row r="379">
          <cell r="B379">
            <v>1378</v>
          </cell>
          <cell r="C379" t="str">
            <v>MDN35025010020</v>
          </cell>
          <cell r="D379" t="str">
            <v>LDYECS31XS0043833</v>
          </cell>
          <cell r="E379" t="str">
            <v>Zhong Tong</v>
          </cell>
          <cell r="F379" t="str">
            <v>Lck6122evg</v>
          </cell>
          <cell r="G379" t="str">
            <v>ZHONGTONG</v>
          </cell>
          <cell r="H379" t="str">
            <v>LCK6122EVG</v>
          </cell>
          <cell r="I379">
            <v>2025</v>
          </cell>
          <cell r="J379" t="str">
            <v>B</v>
          </cell>
          <cell r="K379" t="str">
            <v>CERRILLOS</v>
          </cell>
          <cell r="L379" t="str">
            <v>Calle Uno 7371</v>
          </cell>
          <cell r="M379" t="str">
            <v>Cerrillos</v>
          </cell>
          <cell r="N379" t="str">
            <v>B</v>
          </cell>
        </row>
        <row r="380">
          <cell r="B380">
            <v>1379</v>
          </cell>
          <cell r="C380" t="str">
            <v>MDN35025010239</v>
          </cell>
          <cell r="D380" t="str">
            <v>LDYECS311S0043834</v>
          </cell>
          <cell r="E380" t="str">
            <v>Zhong Tong</v>
          </cell>
          <cell r="F380" t="str">
            <v>Lck6122evg</v>
          </cell>
          <cell r="G380" t="str">
            <v>ZHONGTONG</v>
          </cell>
          <cell r="H380" t="str">
            <v>LCK6122EVG</v>
          </cell>
          <cell r="I380">
            <v>2025</v>
          </cell>
          <cell r="J380" t="str">
            <v>B</v>
          </cell>
          <cell r="K380" t="str">
            <v>PIE ANDINO</v>
          </cell>
          <cell r="L380" t="str">
            <v>Pie Andino 31 (Pie Andino 383)</v>
          </cell>
          <cell r="M380" t="str">
            <v>Puente Alto</v>
          </cell>
          <cell r="N380" t="str">
            <v>B</v>
          </cell>
        </row>
        <row r="381">
          <cell r="B381">
            <v>1380</v>
          </cell>
          <cell r="C381" t="str">
            <v>MDN35025010027</v>
          </cell>
          <cell r="D381" t="str">
            <v>LDYECS314S0043830</v>
          </cell>
          <cell r="E381" t="str">
            <v>Zhong Tong</v>
          </cell>
          <cell r="F381" t="str">
            <v>Lck6122evg</v>
          </cell>
          <cell r="G381" t="str">
            <v>ZHONGTONG</v>
          </cell>
          <cell r="H381" t="str">
            <v>LCK6122EVG</v>
          </cell>
          <cell r="I381">
            <v>2025</v>
          </cell>
          <cell r="J381" t="str">
            <v>B</v>
          </cell>
          <cell r="K381" t="str">
            <v>CERRILLOS</v>
          </cell>
          <cell r="L381" t="str">
            <v>Calle Uno 7371</v>
          </cell>
          <cell r="M381" t="str">
            <v>Cerrillos</v>
          </cell>
          <cell r="N381" t="str">
            <v>B</v>
          </cell>
        </row>
        <row r="382">
          <cell r="B382">
            <v>1381</v>
          </cell>
          <cell r="C382" t="str">
            <v>MDN35025010024</v>
          </cell>
          <cell r="D382" t="str">
            <v>LDYECS319S0043824</v>
          </cell>
          <cell r="E382" t="str">
            <v>Zhong Tong</v>
          </cell>
          <cell r="F382" t="str">
            <v>Lck6122evg</v>
          </cell>
          <cell r="G382" t="str">
            <v>ZHONGTONG</v>
          </cell>
          <cell r="H382" t="str">
            <v>LCK6122EVG</v>
          </cell>
          <cell r="I382">
            <v>2025</v>
          </cell>
          <cell r="J382" t="str">
            <v>B</v>
          </cell>
          <cell r="K382" t="str">
            <v>PIE ANDINO</v>
          </cell>
          <cell r="L382" t="str">
            <v>Pie Andino 31 (Pie Andino 383)</v>
          </cell>
          <cell r="M382" t="str">
            <v>Puente Alto</v>
          </cell>
          <cell r="N382" t="str">
            <v>B</v>
          </cell>
        </row>
        <row r="383">
          <cell r="B383">
            <v>1382</v>
          </cell>
          <cell r="C383" t="str">
            <v>MDN35025010042</v>
          </cell>
          <cell r="D383" t="str">
            <v>LDYECS317S0043823</v>
          </cell>
          <cell r="E383" t="str">
            <v>Zhong Tong</v>
          </cell>
          <cell r="F383" t="str">
            <v>Lck6122evg</v>
          </cell>
          <cell r="G383" t="str">
            <v>ZHONGTONG</v>
          </cell>
          <cell r="H383" t="str">
            <v>LCK6122EVG</v>
          </cell>
          <cell r="I383">
            <v>2025</v>
          </cell>
          <cell r="J383" t="str">
            <v>B</v>
          </cell>
          <cell r="K383" t="str">
            <v>PIE ANDINO</v>
          </cell>
          <cell r="L383" t="str">
            <v>Pie Andino 31 (Pie Andino 383)</v>
          </cell>
          <cell r="M383" t="str">
            <v>Puente Alto</v>
          </cell>
          <cell r="N383" t="str">
            <v>B</v>
          </cell>
        </row>
        <row r="384">
          <cell r="B384">
            <v>1383</v>
          </cell>
          <cell r="C384" t="str">
            <v>MDN35025010034</v>
          </cell>
          <cell r="D384" t="str">
            <v>LDYECS310S0043839</v>
          </cell>
          <cell r="E384" t="str">
            <v>Zhong Tong</v>
          </cell>
          <cell r="F384" t="str">
            <v>Lck6122evg</v>
          </cell>
          <cell r="G384" t="str">
            <v>ZHONGTONG</v>
          </cell>
          <cell r="H384" t="str">
            <v>LCK6122EVG</v>
          </cell>
          <cell r="I384">
            <v>2025</v>
          </cell>
          <cell r="J384" t="str">
            <v>B</v>
          </cell>
          <cell r="K384" t="str">
            <v>PIE ANDINO</v>
          </cell>
          <cell r="L384" t="str">
            <v>Pie Andino 31 (Pie Andino 383)</v>
          </cell>
          <cell r="M384" t="str">
            <v>Puente Alto</v>
          </cell>
          <cell r="N384" t="str">
            <v>B</v>
          </cell>
        </row>
        <row r="385">
          <cell r="B385">
            <v>1384</v>
          </cell>
          <cell r="C385" t="str">
            <v>MDN35025020016</v>
          </cell>
          <cell r="D385" t="str">
            <v>LDYECS311S0043820</v>
          </cell>
          <cell r="E385" t="str">
            <v>Zhong Tong</v>
          </cell>
          <cell r="F385" t="str">
            <v>Lck6122evg</v>
          </cell>
          <cell r="G385" t="str">
            <v>ZHONGTONG</v>
          </cell>
          <cell r="H385" t="str">
            <v>LCK6122EVG</v>
          </cell>
          <cell r="I385">
            <v>2025</v>
          </cell>
          <cell r="J385" t="str">
            <v>B</v>
          </cell>
          <cell r="K385" t="str">
            <v>PIE ANDINO</v>
          </cell>
          <cell r="L385" t="str">
            <v>Pie Andino 31 (Pie Andino 383)</v>
          </cell>
          <cell r="M385" t="str">
            <v>Puente Alto</v>
          </cell>
          <cell r="N385" t="str">
            <v>B</v>
          </cell>
        </row>
        <row r="386">
          <cell r="B386">
            <v>1385</v>
          </cell>
          <cell r="C386" t="str">
            <v>MDN35025010090</v>
          </cell>
          <cell r="D386" t="str">
            <v>LDYECS315S0043822</v>
          </cell>
          <cell r="E386" t="str">
            <v>Zhong Tong</v>
          </cell>
          <cell r="F386" t="str">
            <v>Lck6122evg</v>
          </cell>
          <cell r="G386" t="str">
            <v>ZHONGTONG</v>
          </cell>
          <cell r="H386" t="str">
            <v>LCK6122EVG</v>
          </cell>
          <cell r="I386">
            <v>2025</v>
          </cell>
          <cell r="J386" t="str">
            <v>B</v>
          </cell>
          <cell r="K386" t="str">
            <v>CERRILLOS</v>
          </cell>
          <cell r="L386" t="str">
            <v>Calle Uno 7371</v>
          </cell>
          <cell r="M386" t="str">
            <v>Cerrillos</v>
          </cell>
          <cell r="N386" t="str">
            <v>B</v>
          </cell>
        </row>
        <row r="387">
          <cell r="B387">
            <v>1386</v>
          </cell>
          <cell r="C387" t="str">
            <v>MDN35025020041</v>
          </cell>
          <cell r="D387" t="str">
            <v>LDYECS319S0044097</v>
          </cell>
          <cell r="E387" t="str">
            <v>Zhong Tong</v>
          </cell>
          <cell r="F387" t="str">
            <v>Lck6122evg</v>
          </cell>
          <cell r="G387" t="str">
            <v>ZHONGTONG</v>
          </cell>
          <cell r="H387" t="str">
            <v>LCK6122EVG</v>
          </cell>
          <cell r="I387">
            <v>2025</v>
          </cell>
          <cell r="J387" t="str">
            <v>B</v>
          </cell>
          <cell r="K387" t="str">
            <v>PIE ANDINO</v>
          </cell>
          <cell r="L387" t="str">
            <v>Pie Andino 31 (Pie Andino 383)</v>
          </cell>
          <cell r="M387" t="str">
            <v>Puente Alto</v>
          </cell>
          <cell r="N387" t="str">
            <v>B</v>
          </cell>
        </row>
        <row r="388">
          <cell r="B388">
            <v>1387</v>
          </cell>
          <cell r="C388" t="str">
            <v>MDN35025010093</v>
          </cell>
          <cell r="D388" t="str">
            <v>LDYECS318S0043846</v>
          </cell>
          <cell r="E388" t="str">
            <v>Zhong Tong</v>
          </cell>
          <cell r="F388" t="str">
            <v>Lck6122evg</v>
          </cell>
          <cell r="G388" t="str">
            <v>ZHONGTONG</v>
          </cell>
          <cell r="H388" t="str">
            <v>LCK6122EVG</v>
          </cell>
          <cell r="I388">
            <v>2025</v>
          </cell>
          <cell r="J388" t="str">
            <v>B</v>
          </cell>
          <cell r="K388" t="str">
            <v>PIE ANDINO</v>
          </cell>
          <cell r="L388" t="str">
            <v>Pie Andino 31 (Pie Andino 383)</v>
          </cell>
          <cell r="M388" t="str">
            <v>Puente Alto</v>
          </cell>
          <cell r="N388" t="str">
            <v>B</v>
          </cell>
        </row>
        <row r="389">
          <cell r="B389">
            <v>1388</v>
          </cell>
          <cell r="C389" t="str">
            <v>MDN35025010087</v>
          </cell>
          <cell r="D389" t="str">
            <v>LDYECS318S0043829</v>
          </cell>
          <cell r="E389" t="str">
            <v>Zhong Tong</v>
          </cell>
          <cell r="F389" t="str">
            <v>Lck6122evg</v>
          </cell>
          <cell r="G389" t="str">
            <v>ZHONGTONG</v>
          </cell>
          <cell r="H389" t="str">
            <v>LCK6122EVG</v>
          </cell>
          <cell r="I389">
            <v>2025</v>
          </cell>
          <cell r="J389" t="str">
            <v>B</v>
          </cell>
          <cell r="K389" t="str">
            <v>PIE ANDINO</v>
          </cell>
          <cell r="L389" t="str">
            <v>Pie Andino 31 (Pie Andino 383)</v>
          </cell>
          <cell r="M389" t="str">
            <v>Puente Alto</v>
          </cell>
          <cell r="N389" t="str">
            <v>B</v>
          </cell>
        </row>
        <row r="390">
          <cell r="B390">
            <v>1389</v>
          </cell>
          <cell r="C390" t="str">
            <v>MDN35025010031</v>
          </cell>
          <cell r="D390" t="str">
            <v>LDYECS318S0043832</v>
          </cell>
          <cell r="E390" t="str">
            <v>Zhong Tong</v>
          </cell>
          <cell r="F390" t="str">
            <v>Lck6122evg</v>
          </cell>
          <cell r="G390" t="str">
            <v>ZHONGTONG</v>
          </cell>
          <cell r="H390" t="str">
            <v>LCK6122EVG</v>
          </cell>
          <cell r="I390">
            <v>2025</v>
          </cell>
          <cell r="J390" t="str">
            <v>B</v>
          </cell>
          <cell r="K390" t="str">
            <v>SAN ALFONSO</v>
          </cell>
          <cell r="L390" t="str">
            <v>San Alfonso 2141 (Ramón Subercaseaux 3060)</v>
          </cell>
          <cell r="M390" t="str">
            <v>Estacion Central</v>
          </cell>
          <cell r="N390" t="str">
            <v>B</v>
          </cell>
        </row>
        <row r="391">
          <cell r="B391">
            <v>1390</v>
          </cell>
          <cell r="C391" t="str">
            <v>MDN35025010251</v>
          </cell>
          <cell r="D391" t="str">
            <v>LDYECS314S0043844</v>
          </cell>
          <cell r="E391" t="str">
            <v>Zhong Tong</v>
          </cell>
          <cell r="F391" t="str">
            <v>Lck6122evg</v>
          </cell>
          <cell r="G391" t="str">
            <v>ZHONGTONG</v>
          </cell>
          <cell r="H391" t="str">
            <v>LCK6122EVG</v>
          </cell>
          <cell r="I391">
            <v>2025</v>
          </cell>
          <cell r="J391" t="str">
            <v>B</v>
          </cell>
          <cell r="K391" t="str">
            <v>SAN ALFONSO</v>
          </cell>
          <cell r="L391" t="str">
            <v>San Alfonso 2141 (Ramón Subercaseaux 3060)</v>
          </cell>
          <cell r="M391" t="str">
            <v>Estacion Central</v>
          </cell>
          <cell r="N391" t="str">
            <v>B</v>
          </cell>
        </row>
        <row r="392">
          <cell r="B392">
            <v>1391</v>
          </cell>
          <cell r="C392" t="str">
            <v>MDN35025010092</v>
          </cell>
          <cell r="D392" t="str">
            <v>LDYECS316S0043828</v>
          </cell>
          <cell r="E392" t="str">
            <v>Zhong Tong</v>
          </cell>
          <cell r="F392" t="str">
            <v>Lck6122evg</v>
          </cell>
          <cell r="G392" t="str">
            <v>ZHONGTONG</v>
          </cell>
          <cell r="H392" t="str">
            <v>LCK6122EVG</v>
          </cell>
          <cell r="I392">
            <v>2025</v>
          </cell>
          <cell r="J392" t="str">
            <v>B</v>
          </cell>
          <cell r="K392" t="str">
            <v>SAN ALFONSO</v>
          </cell>
          <cell r="L392" t="str">
            <v>San Alfonso 2141 (Ramón Subercaseaux 3060)</v>
          </cell>
          <cell r="M392" t="str">
            <v>Estacion Central</v>
          </cell>
          <cell r="N392" t="str">
            <v>B</v>
          </cell>
        </row>
        <row r="393">
          <cell r="B393">
            <v>1392</v>
          </cell>
          <cell r="C393" t="str">
            <v>MDN35025010241</v>
          </cell>
          <cell r="D393" t="str">
            <v>LDYECS312S0043843</v>
          </cell>
          <cell r="E393" t="str">
            <v>Zhong Tong</v>
          </cell>
          <cell r="F393" t="str">
            <v>Lck6122evg</v>
          </cell>
          <cell r="G393" t="str">
            <v>ZHONGTONG</v>
          </cell>
          <cell r="H393" t="str">
            <v>LCK6122EVG</v>
          </cell>
          <cell r="I393">
            <v>2025</v>
          </cell>
          <cell r="J393" t="str">
            <v>B</v>
          </cell>
          <cell r="K393" t="str">
            <v>PIE ANDINO</v>
          </cell>
          <cell r="L393" t="str">
            <v>Pie Andino 31 (Pie Andino 383)</v>
          </cell>
          <cell r="M393" t="str">
            <v>Puente Alto</v>
          </cell>
          <cell r="N393" t="str">
            <v>B</v>
          </cell>
        </row>
        <row r="394">
          <cell r="B394">
            <v>1393</v>
          </cell>
          <cell r="C394" t="str">
            <v>MDN35025010100</v>
          </cell>
          <cell r="D394" t="str">
            <v>LDYECS319S0043841</v>
          </cell>
          <cell r="E394" t="str">
            <v>Zhong Tong</v>
          </cell>
          <cell r="F394" t="str">
            <v>Lck6122evg</v>
          </cell>
          <cell r="G394" t="str">
            <v>ZHONGTONG</v>
          </cell>
          <cell r="H394" t="str">
            <v>LCK6122EVG</v>
          </cell>
          <cell r="I394">
            <v>2025</v>
          </cell>
          <cell r="J394" t="str">
            <v>B</v>
          </cell>
          <cell r="K394" t="str">
            <v>CERRILLOS</v>
          </cell>
          <cell r="L394" t="str">
            <v>Calle Uno 7371</v>
          </cell>
          <cell r="M394" t="str">
            <v>Cerrillos</v>
          </cell>
          <cell r="N394" t="str">
            <v>B</v>
          </cell>
        </row>
        <row r="395">
          <cell r="B395">
            <v>1394</v>
          </cell>
          <cell r="C395" t="str">
            <v>MDN35025010022</v>
          </cell>
          <cell r="D395" t="str">
            <v>LDYECS312S0043826</v>
          </cell>
          <cell r="E395" t="str">
            <v>Zhong Tong</v>
          </cell>
          <cell r="F395" t="str">
            <v>Lck6122evg</v>
          </cell>
          <cell r="G395" t="str">
            <v>ZHONGTONG</v>
          </cell>
          <cell r="H395" t="str">
            <v>LCK6122EVG</v>
          </cell>
          <cell r="I395">
            <v>2025</v>
          </cell>
          <cell r="J395" t="str">
            <v>B</v>
          </cell>
          <cell r="K395" t="str">
            <v>SAN ALFONSO</v>
          </cell>
          <cell r="L395" t="str">
            <v>San Alfonso 2141 (Ramón Subercaseaux 3060)</v>
          </cell>
          <cell r="M395" t="str">
            <v>Estacion Central</v>
          </cell>
          <cell r="N395" t="str">
            <v>B</v>
          </cell>
        </row>
        <row r="396">
          <cell r="B396">
            <v>1395</v>
          </cell>
          <cell r="C396" t="str">
            <v>MDN35025010032</v>
          </cell>
          <cell r="D396" t="str">
            <v>LDYECS315S0043836</v>
          </cell>
          <cell r="E396" t="str">
            <v>Zhong Tong</v>
          </cell>
          <cell r="F396" t="str">
            <v>Lck6122evg</v>
          </cell>
          <cell r="G396" t="str">
            <v>ZHONGTONG</v>
          </cell>
          <cell r="H396" t="str">
            <v>LCK6122EVG</v>
          </cell>
          <cell r="I396">
            <v>2025</v>
          </cell>
          <cell r="J396" t="str">
            <v>B</v>
          </cell>
          <cell r="K396" t="str">
            <v>PIE ANDINO</v>
          </cell>
          <cell r="L396" t="str">
            <v>Pie Andino 31 (Pie Andino 383)</v>
          </cell>
          <cell r="M396" t="str">
            <v>Puente Alto</v>
          </cell>
          <cell r="N396" t="str">
            <v>B</v>
          </cell>
        </row>
        <row r="397">
          <cell r="B397">
            <v>1396</v>
          </cell>
          <cell r="C397" t="str">
            <v>MDN35025010096</v>
          </cell>
          <cell r="D397" t="str">
            <v>LDYECS310S0043825</v>
          </cell>
          <cell r="E397" t="str">
            <v>Zhong Tong</v>
          </cell>
          <cell r="F397" t="str">
            <v>Lck6122evg</v>
          </cell>
          <cell r="G397" t="str">
            <v>ZHONGTONG</v>
          </cell>
          <cell r="H397" t="str">
            <v>LCK6122EVG</v>
          </cell>
          <cell r="I397">
            <v>2025</v>
          </cell>
          <cell r="J397" t="str">
            <v>B</v>
          </cell>
          <cell r="K397" t="str">
            <v>SAN ALFONSO</v>
          </cell>
          <cell r="L397" t="str">
            <v>San Alfonso 2141 (Ramón Subercaseaux 3060)</v>
          </cell>
          <cell r="M397" t="str">
            <v>Estacion Central</v>
          </cell>
          <cell r="N397" t="str">
            <v>B</v>
          </cell>
        </row>
        <row r="398">
          <cell r="B398">
            <v>1397</v>
          </cell>
          <cell r="C398" t="str">
            <v>MDN35025010133</v>
          </cell>
          <cell r="D398" t="str">
            <v>LDYECS310S0043842</v>
          </cell>
          <cell r="E398" t="str">
            <v>Zhong Tong</v>
          </cell>
          <cell r="F398" t="str">
            <v>Lck6122evg</v>
          </cell>
          <cell r="G398" t="str">
            <v>ZHONGTONG</v>
          </cell>
          <cell r="H398" t="str">
            <v>LCK6122EVG</v>
          </cell>
          <cell r="I398">
            <v>2025</v>
          </cell>
          <cell r="J398" t="str">
            <v>B</v>
          </cell>
          <cell r="K398" t="str">
            <v>SAN ALFONSO</v>
          </cell>
          <cell r="L398" t="str">
            <v>San Alfonso 2141 (Ramón Subercaseaux 3060)</v>
          </cell>
          <cell r="M398" t="str">
            <v>Estacion Central</v>
          </cell>
          <cell r="N398" t="str">
            <v>B</v>
          </cell>
        </row>
        <row r="399">
          <cell r="B399">
            <v>1398</v>
          </cell>
          <cell r="C399" t="str">
            <v>MDN35025020065</v>
          </cell>
          <cell r="D399" t="str">
            <v>LDYECS317S0043854</v>
          </cell>
          <cell r="E399" t="str">
            <v>Zhong Tong</v>
          </cell>
          <cell r="F399" t="str">
            <v>Lck6122evg</v>
          </cell>
          <cell r="G399" t="str">
            <v>ZHONGTONG</v>
          </cell>
          <cell r="H399" t="str">
            <v>LCK6122EVG</v>
          </cell>
          <cell r="I399">
            <v>2025</v>
          </cell>
          <cell r="J399" t="str">
            <v>B</v>
          </cell>
          <cell r="K399" t="str">
            <v>PIE ANDINO</v>
          </cell>
          <cell r="L399" t="str">
            <v>Pie Andino 31 (Pie Andino 383)</v>
          </cell>
          <cell r="M399" t="str">
            <v>Puente Alto</v>
          </cell>
          <cell r="N399" t="str">
            <v>B</v>
          </cell>
        </row>
        <row r="400">
          <cell r="B400">
            <v>1399</v>
          </cell>
          <cell r="C400" t="str">
            <v>MDN35025020066</v>
          </cell>
          <cell r="D400" t="str">
            <v>LDYECS313S0043849</v>
          </cell>
          <cell r="E400" t="str">
            <v>Zhong Tong</v>
          </cell>
          <cell r="F400" t="str">
            <v>Lck6122evg</v>
          </cell>
          <cell r="G400" t="str">
            <v>ZHONGTONG</v>
          </cell>
          <cell r="H400" t="str">
            <v>LCK6122EVG</v>
          </cell>
          <cell r="I400">
            <v>2025</v>
          </cell>
          <cell r="J400" t="str">
            <v>B</v>
          </cell>
          <cell r="K400" t="str">
            <v>PIE ANDINO</v>
          </cell>
          <cell r="L400" t="str">
            <v>Pie Andino 31 (Pie Andino 383)</v>
          </cell>
          <cell r="M400" t="str">
            <v>Puente Alto</v>
          </cell>
          <cell r="N400" t="str">
            <v>B</v>
          </cell>
        </row>
        <row r="401">
          <cell r="B401">
            <v>1400</v>
          </cell>
          <cell r="C401" t="str">
            <v>MDN35025010238</v>
          </cell>
          <cell r="D401" t="str">
            <v>LDYECS311S0043848</v>
          </cell>
          <cell r="E401" t="str">
            <v>Zhong Tong</v>
          </cell>
          <cell r="F401" t="str">
            <v>Lck6122evg</v>
          </cell>
          <cell r="G401" t="str">
            <v>ZHONGTONG</v>
          </cell>
          <cell r="H401" t="str">
            <v>LCK6122EVG</v>
          </cell>
          <cell r="I401">
            <v>2025</v>
          </cell>
          <cell r="J401" t="str">
            <v>B</v>
          </cell>
          <cell r="K401" t="str">
            <v>PIE ANDINO</v>
          </cell>
          <cell r="L401" t="str">
            <v>Pie Andino 31 (Pie Andino 383)</v>
          </cell>
          <cell r="M401" t="str">
            <v>Puente Alto</v>
          </cell>
          <cell r="N401" t="str">
            <v>B</v>
          </cell>
        </row>
        <row r="402">
          <cell r="B402">
            <v>1401</v>
          </cell>
          <cell r="C402" t="str">
            <v>MDN35025010109</v>
          </cell>
          <cell r="D402" t="str">
            <v>LDYECS31XS0043847</v>
          </cell>
          <cell r="E402" t="str">
            <v>Zhong Tong</v>
          </cell>
          <cell r="F402" t="str">
            <v>Lck6122evg</v>
          </cell>
          <cell r="G402" t="str">
            <v>ZHONGTONG</v>
          </cell>
          <cell r="H402" t="str">
            <v>LCK6122EVG</v>
          </cell>
          <cell r="I402">
            <v>2025</v>
          </cell>
          <cell r="J402" t="str">
            <v>B</v>
          </cell>
          <cell r="K402" t="str">
            <v>SAN ALFONSO</v>
          </cell>
          <cell r="L402" t="str">
            <v>San Alfonso 2141 (Ramón Subercaseaux 3060)</v>
          </cell>
          <cell r="M402" t="str">
            <v>Estacion Central</v>
          </cell>
          <cell r="N402" t="str">
            <v>B</v>
          </cell>
        </row>
        <row r="403">
          <cell r="B403">
            <v>1402</v>
          </cell>
          <cell r="C403" t="str">
            <v>MDN35025010035</v>
          </cell>
          <cell r="D403" t="str">
            <v>LDYECS314S0043827</v>
          </cell>
          <cell r="E403" t="str">
            <v>Zhong Tong</v>
          </cell>
          <cell r="F403" t="str">
            <v>Lck6122evg</v>
          </cell>
          <cell r="G403" t="str">
            <v>ZHONGTONG</v>
          </cell>
          <cell r="H403" t="str">
            <v>LCK6122EVG</v>
          </cell>
          <cell r="I403">
            <v>2025</v>
          </cell>
          <cell r="J403" t="str">
            <v>B</v>
          </cell>
          <cell r="K403" t="str">
            <v>PIE ANDINO</v>
          </cell>
          <cell r="L403" t="str">
            <v>Pie Andino 31 (Pie Andino 383)</v>
          </cell>
          <cell r="M403" t="str">
            <v>Puente Alto</v>
          </cell>
          <cell r="N403" t="str">
            <v>B</v>
          </cell>
        </row>
        <row r="404">
          <cell r="B404">
            <v>1403</v>
          </cell>
          <cell r="C404" t="str">
            <v>MDN35025010026</v>
          </cell>
          <cell r="D404" t="str">
            <v>LDYECS313S0043835</v>
          </cell>
          <cell r="E404" t="str">
            <v>Zhong Tong</v>
          </cell>
          <cell r="F404" t="str">
            <v>Lck6122evg</v>
          </cell>
          <cell r="G404" t="str">
            <v>ZHONGTONG</v>
          </cell>
          <cell r="H404" t="str">
            <v>LCK6122EVG</v>
          </cell>
          <cell r="I404">
            <v>2025</v>
          </cell>
          <cell r="J404" t="str">
            <v>B</v>
          </cell>
          <cell r="K404" t="str">
            <v>PIE ANDINO</v>
          </cell>
          <cell r="L404" t="str">
            <v>Pie Andino 31 (Pie Andino 383)</v>
          </cell>
          <cell r="M404" t="str">
            <v>Puente Alto</v>
          </cell>
          <cell r="N404" t="str">
            <v>B</v>
          </cell>
        </row>
        <row r="405">
          <cell r="B405">
            <v>1404</v>
          </cell>
          <cell r="C405" t="str">
            <v>MDN35025020082</v>
          </cell>
          <cell r="D405" t="str">
            <v>LDYECS315S0043853</v>
          </cell>
          <cell r="E405" t="str">
            <v>Zhong Tong</v>
          </cell>
          <cell r="F405" t="str">
            <v>Lck6122evg</v>
          </cell>
          <cell r="G405" t="str">
            <v>ZHONGTONG</v>
          </cell>
          <cell r="H405" t="str">
            <v>LCK6122EVG</v>
          </cell>
          <cell r="I405">
            <v>2025</v>
          </cell>
          <cell r="J405" t="str">
            <v>B</v>
          </cell>
          <cell r="K405" t="str">
            <v>CERRILLOS</v>
          </cell>
          <cell r="L405" t="str">
            <v>Calle Uno 7371</v>
          </cell>
          <cell r="M405" t="str">
            <v>Cerrillos</v>
          </cell>
          <cell r="N405" t="str">
            <v>B</v>
          </cell>
        </row>
        <row r="406">
          <cell r="B406">
            <v>1405</v>
          </cell>
          <cell r="C406" t="str">
            <v>MDN35025010099</v>
          </cell>
          <cell r="D406" t="str">
            <v>LDYECS317S0043837</v>
          </cell>
          <cell r="E406" t="str">
            <v>Zhong Tong</v>
          </cell>
          <cell r="F406" t="str">
            <v>Lck6122evg</v>
          </cell>
          <cell r="G406" t="str">
            <v>ZHONGTONG</v>
          </cell>
          <cell r="H406" t="str">
            <v>LCK6122EVG</v>
          </cell>
          <cell r="I406">
            <v>2025</v>
          </cell>
          <cell r="J406" t="str">
            <v>B</v>
          </cell>
          <cell r="K406" t="str">
            <v>SAN ALFONSO</v>
          </cell>
          <cell r="L406" t="str">
            <v>San Alfonso 2141 (Ramón Subercaseaux 3060)</v>
          </cell>
          <cell r="M406" t="str">
            <v>Estacion Central</v>
          </cell>
          <cell r="N406" t="str">
            <v>B</v>
          </cell>
        </row>
        <row r="407">
          <cell r="B407">
            <v>1406</v>
          </cell>
          <cell r="C407" t="str">
            <v>MDN35025020081</v>
          </cell>
          <cell r="D407" t="str">
            <v>LDYECS313S0043852</v>
          </cell>
          <cell r="E407" t="str">
            <v>Zhong Tong</v>
          </cell>
          <cell r="F407" t="str">
            <v>Lck6122evg</v>
          </cell>
          <cell r="G407" t="str">
            <v>ZHONGTONG</v>
          </cell>
          <cell r="H407" t="str">
            <v>LCK6122EVG</v>
          </cell>
          <cell r="I407">
            <v>2025</v>
          </cell>
          <cell r="J407" t="str">
            <v>B</v>
          </cell>
          <cell r="K407" t="str">
            <v>SAN ALFONSO</v>
          </cell>
          <cell r="L407" t="str">
            <v>San Alfonso 2141 (Ramón Subercaseaux 3060)</v>
          </cell>
          <cell r="M407" t="str">
            <v>Estacion Central</v>
          </cell>
          <cell r="N407" t="str">
            <v>B</v>
          </cell>
        </row>
        <row r="408">
          <cell r="B408">
            <v>1407</v>
          </cell>
          <cell r="C408" t="str">
            <v>MDN35025010250</v>
          </cell>
          <cell r="D408" t="str">
            <v>LDYECS316S0043845</v>
          </cell>
          <cell r="E408" t="str">
            <v>Zhong Tong</v>
          </cell>
          <cell r="F408" t="str">
            <v>Lck6122evg</v>
          </cell>
          <cell r="G408" t="str">
            <v>ZHONGTONG</v>
          </cell>
          <cell r="H408" t="str">
            <v>LCK6122EVG</v>
          </cell>
          <cell r="I408">
            <v>2025</v>
          </cell>
          <cell r="J408" t="str">
            <v>B</v>
          </cell>
          <cell r="K408" t="str">
            <v>PIE ANDINO</v>
          </cell>
          <cell r="L408" t="str">
            <v>Pie Andino 31 (Pie Andino 383)</v>
          </cell>
          <cell r="M408" t="str">
            <v>Puente Alto</v>
          </cell>
          <cell r="N408" t="str">
            <v>B</v>
          </cell>
        </row>
        <row r="409">
          <cell r="B409">
            <v>1408</v>
          </cell>
          <cell r="C409" t="str">
            <v>MDN35025010138</v>
          </cell>
          <cell r="D409" t="str">
            <v>LDYECS31XS0043850</v>
          </cell>
          <cell r="E409" t="str">
            <v>Zhong Tong</v>
          </cell>
          <cell r="F409" t="str">
            <v>Lck6122evg</v>
          </cell>
          <cell r="G409" t="str">
            <v>ZHONGTONG</v>
          </cell>
          <cell r="H409" t="str">
            <v>LCK6122EVG</v>
          </cell>
          <cell r="I409">
            <v>2025</v>
          </cell>
          <cell r="J409" t="str">
            <v>B</v>
          </cell>
          <cell r="K409" t="str">
            <v>PIE ANDINO</v>
          </cell>
          <cell r="L409" t="str">
            <v>Pie Andino 31 (Pie Andino 383)</v>
          </cell>
          <cell r="M409" t="str">
            <v>Puente Alto</v>
          </cell>
          <cell r="N409" t="str">
            <v>B</v>
          </cell>
        </row>
        <row r="410">
          <cell r="B410">
            <v>1409</v>
          </cell>
          <cell r="C410" t="str">
            <v>MDN35025020236</v>
          </cell>
          <cell r="D410" t="str">
            <v>LDYECS310S0043856</v>
          </cell>
          <cell r="E410" t="str">
            <v>Zhong Tong</v>
          </cell>
          <cell r="F410" t="str">
            <v>Lck6122evg</v>
          </cell>
          <cell r="G410" t="str">
            <v>ZHONGTONG</v>
          </cell>
          <cell r="H410" t="str">
            <v>LCK6122EVG</v>
          </cell>
          <cell r="I410">
            <v>2025</v>
          </cell>
          <cell r="J410" t="str">
            <v>B</v>
          </cell>
          <cell r="K410" t="str">
            <v>PIE ANDINO</v>
          </cell>
          <cell r="L410" t="str">
            <v>Pie Andino 31 (Pie Andino 383)</v>
          </cell>
          <cell r="M410" t="str">
            <v>Puente Alto</v>
          </cell>
          <cell r="N410" t="str">
            <v>B</v>
          </cell>
        </row>
        <row r="411">
          <cell r="B411">
            <v>1410</v>
          </cell>
          <cell r="C411" t="str">
            <v>MDN35025010240</v>
          </cell>
          <cell r="D411" t="str">
            <v>LDYECS317S0043840</v>
          </cell>
          <cell r="E411" t="str">
            <v>Zhong Tong</v>
          </cell>
          <cell r="F411" t="str">
            <v>Lck6122evg</v>
          </cell>
          <cell r="G411" t="str">
            <v>ZHONGTONG</v>
          </cell>
          <cell r="H411" t="str">
            <v>LCK6122EVG</v>
          </cell>
          <cell r="I411">
            <v>2025</v>
          </cell>
          <cell r="J411" t="str">
            <v>B</v>
          </cell>
          <cell r="K411" t="str">
            <v>PIE ANDINO</v>
          </cell>
          <cell r="L411" t="str">
            <v>Pie Andino 31 (Pie Andino 383)</v>
          </cell>
          <cell r="M411" t="str">
            <v>Puente Alto</v>
          </cell>
          <cell r="N411" t="str">
            <v>B</v>
          </cell>
        </row>
        <row r="412">
          <cell r="B412">
            <v>1411</v>
          </cell>
          <cell r="C412" t="str">
            <v>MDN35025010141</v>
          </cell>
          <cell r="D412" t="str">
            <v>LDYECS319S0043855</v>
          </cell>
          <cell r="E412" t="str">
            <v>Zhong Tong</v>
          </cell>
          <cell r="F412" t="str">
            <v>Lck6122evg</v>
          </cell>
          <cell r="G412" t="str">
            <v>ZHONGTONG</v>
          </cell>
          <cell r="H412" t="str">
            <v>LCK6122EVG</v>
          </cell>
          <cell r="I412">
            <v>2025</v>
          </cell>
          <cell r="J412" t="str">
            <v>B</v>
          </cell>
          <cell r="K412" t="str">
            <v>LOS LIBERTADORES</v>
          </cell>
          <cell r="L412" t="str">
            <v>Los Liberadores 6450, Lote 4A</v>
          </cell>
          <cell r="M412" t="str">
            <v>Huechuraba</v>
          </cell>
          <cell r="N412" t="str">
            <v>B</v>
          </cell>
        </row>
        <row r="413">
          <cell r="B413">
            <v>1412</v>
          </cell>
          <cell r="C413" t="str">
            <v>MDN35025010088</v>
          </cell>
          <cell r="D413" t="str">
            <v>LDYECS319S0043838</v>
          </cell>
          <cell r="E413" t="str">
            <v>Zhong Tong</v>
          </cell>
          <cell r="F413" t="str">
            <v>Lck6122evg</v>
          </cell>
          <cell r="G413" t="str">
            <v>ZHONGTONG</v>
          </cell>
          <cell r="H413" t="str">
            <v>LCK6122EVG</v>
          </cell>
          <cell r="I413">
            <v>2025</v>
          </cell>
          <cell r="J413" t="str">
            <v>B</v>
          </cell>
          <cell r="K413" t="str">
            <v>LOS LIBERTADORES</v>
          </cell>
          <cell r="L413" t="str">
            <v>Los Liberadores 6450, Lote 4A</v>
          </cell>
          <cell r="M413" t="str">
            <v>Huechuraba</v>
          </cell>
          <cell r="N413" t="str">
            <v>B</v>
          </cell>
        </row>
        <row r="414">
          <cell r="B414">
            <v>1413</v>
          </cell>
          <cell r="C414" t="str">
            <v>MDN35025010137</v>
          </cell>
          <cell r="D414" t="str">
            <v>LDYECS311S0043851</v>
          </cell>
          <cell r="E414" t="str">
            <v>Zhong Tong</v>
          </cell>
          <cell r="F414" t="str">
            <v>Lck6122evg</v>
          </cell>
          <cell r="G414" t="str">
            <v>ZHONGTONG</v>
          </cell>
          <cell r="H414" t="str">
            <v>LCK6122EVG</v>
          </cell>
          <cell r="I414">
            <v>2025</v>
          </cell>
          <cell r="J414" t="str">
            <v>B</v>
          </cell>
          <cell r="K414" t="str">
            <v>LOS LIBERTADORES</v>
          </cell>
          <cell r="L414" t="str">
            <v>Los Liberadores 6450, Lote 4A</v>
          </cell>
          <cell r="M414" t="str">
            <v>Huechuraba</v>
          </cell>
          <cell r="N414" t="str">
            <v>B</v>
          </cell>
        </row>
        <row r="415">
          <cell r="B415">
            <v>1414</v>
          </cell>
          <cell r="C415" t="str">
            <v>MDN35025010142</v>
          </cell>
          <cell r="D415" t="str">
            <v>LDYECS312S0043857</v>
          </cell>
          <cell r="E415" t="str">
            <v>Zhong Tong</v>
          </cell>
          <cell r="F415" t="str">
            <v>Lck6122evg</v>
          </cell>
          <cell r="G415" t="str">
            <v>ZHONGTONG</v>
          </cell>
          <cell r="H415" t="str">
            <v>LCK6122EVG</v>
          </cell>
          <cell r="I415">
            <v>2025</v>
          </cell>
          <cell r="J415" t="str">
            <v>B</v>
          </cell>
          <cell r="K415" t="str">
            <v>CERRILLOS</v>
          </cell>
          <cell r="L415" t="str">
            <v>Calle Uno 7371</v>
          </cell>
          <cell r="M415" t="str">
            <v>Cerrillos</v>
          </cell>
          <cell r="N415" t="str">
            <v>B</v>
          </cell>
        </row>
        <row r="416">
          <cell r="B416">
            <v>1415</v>
          </cell>
          <cell r="C416" t="str">
            <v>MDN35025030025</v>
          </cell>
          <cell r="D416" t="str">
            <v>LDYECS317S0044373</v>
          </cell>
          <cell r="E416" t="str">
            <v>Zhong Tong</v>
          </cell>
          <cell r="F416" t="str">
            <v>Lck6122evg</v>
          </cell>
          <cell r="G416" t="str">
            <v>ZHONGTONG</v>
          </cell>
          <cell r="H416" t="str">
            <v>LCK6122EVG</v>
          </cell>
          <cell r="I416">
            <v>2025</v>
          </cell>
          <cell r="J416" t="str">
            <v>B</v>
          </cell>
          <cell r="K416" t="str">
            <v>PIE ANDINO</v>
          </cell>
          <cell r="L416" t="str">
            <v>Pie Andino 31 (Pie Andino 383)</v>
          </cell>
          <cell r="M416" t="str">
            <v>Puente Alto</v>
          </cell>
          <cell r="N416" t="str">
            <v>B</v>
          </cell>
        </row>
        <row r="417">
          <cell r="B417">
            <v>1416</v>
          </cell>
          <cell r="C417" t="str">
            <v>MDN35025030153</v>
          </cell>
          <cell r="D417" t="str">
            <v>LDYECS310S0044327</v>
          </cell>
          <cell r="E417" t="str">
            <v>Zhong Tong</v>
          </cell>
          <cell r="F417" t="str">
            <v>Lck6122evg</v>
          </cell>
          <cell r="G417" t="str">
            <v>ZHONGTONG</v>
          </cell>
          <cell r="H417" t="str">
            <v>LCK6122EVG</v>
          </cell>
          <cell r="I417">
            <v>2025</v>
          </cell>
          <cell r="J417" t="str">
            <v>B</v>
          </cell>
          <cell r="K417" t="str">
            <v>SAN ALFONSO</v>
          </cell>
          <cell r="L417" t="str">
            <v>San Alfonso 2141 (Ramón Subercaseaux 3060)</v>
          </cell>
          <cell r="M417" t="str">
            <v>Estacion Central</v>
          </cell>
          <cell r="N417" t="str">
            <v>B</v>
          </cell>
        </row>
        <row r="418">
          <cell r="B418">
            <v>1417</v>
          </cell>
          <cell r="C418" t="str">
            <v>MDN35025030021</v>
          </cell>
          <cell r="D418" t="str">
            <v>LDYECS31XS0044304</v>
          </cell>
          <cell r="E418" t="str">
            <v>Zhong Tong</v>
          </cell>
          <cell r="F418" t="str">
            <v>Lck6122evg</v>
          </cell>
          <cell r="G418" t="str">
            <v>ZHONGTONG</v>
          </cell>
          <cell r="H418" t="str">
            <v>LCK6122EVG</v>
          </cell>
          <cell r="I418">
            <v>2025</v>
          </cell>
          <cell r="J418" t="str">
            <v>B</v>
          </cell>
          <cell r="K418" t="str">
            <v>CERRILLOS</v>
          </cell>
          <cell r="L418" t="str">
            <v>Calle Uno 7371</v>
          </cell>
          <cell r="M418" t="str">
            <v>Cerrillos</v>
          </cell>
          <cell r="N418" t="str">
            <v>B</v>
          </cell>
        </row>
        <row r="419">
          <cell r="B419">
            <v>1418</v>
          </cell>
          <cell r="C419" t="str">
            <v>MDN35025030136</v>
          </cell>
          <cell r="D419" t="str">
            <v>LDYECS315S0044324</v>
          </cell>
          <cell r="E419" t="str">
            <v>Zhong Tong</v>
          </cell>
          <cell r="F419" t="str">
            <v>Lck6122evg</v>
          </cell>
          <cell r="G419" t="str">
            <v>ZHONGTONG</v>
          </cell>
          <cell r="H419" t="str">
            <v>LCK6122EVG</v>
          </cell>
          <cell r="I419">
            <v>2025</v>
          </cell>
          <cell r="J419" t="str">
            <v>B</v>
          </cell>
          <cell r="K419" t="str">
            <v>PIE ANDINO</v>
          </cell>
          <cell r="L419" t="str">
            <v>Pie Andino 31 (Pie Andino 383)</v>
          </cell>
          <cell r="M419" t="str">
            <v>Puente Alto</v>
          </cell>
          <cell r="N419" t="str">
            <v>B</v>
          </cell>
        </row>
        <row r="420">
          <cell r="B420">
            <v>1419</v>
          </cell>
          <cell r="C420" t="str">
            <v>MDN35025030073</v>
          </cell>
          <cell r="D420" t="str">
            <v>LDYECS311S0044305</v>
          </cell>
          <cell r="E420" t="str">
            <v>Zhong Tong</v>
          </cell>
          <cell r="F420" t="str">
            <v>Lck6122evg</v>
          </cell>
          <cell r="G420" t="str">
            <v>ZHONGTONG</v>
          </cell>
          <cell r="H420" t="str">
            <v>LCK6122EVG</v>
          </cell>
          <cell r="I420">
            <v>2025</v>
          </cell>
          <cell r="J420" t="str">
            <v>B</v>
          </cell>
          <cell r="K420" t="str">
            <v>CERRILLOS</v>
          </cell>
          <cell r="L420" t="str">
            <v>Calle Uno 7371</v>
          </cell>
          <cell r="M420" t="str">
            <v>Cerrillos</v>
          </cell>
          <cell r="N420" t="str">
            <v>B</v>
          </cell>
        </row>
        <row r="421">
          <cell r="B421">
            <v>1420</v>
          </cell>
          <cell r="C421" t="str">
            <v>MDN35025030018</v>
          </cell>
          <cell r="D421" t="str">
            <v>LDYECS31XS0044383</v>
          </cell>
          <cell r="E421" t="str">
            <v>Zhong Tong</v>
          </cell>
          <cell r="F421" t="str">
            <v>Lck6122evg</v>
          </cell>
          <cell r="G421" t="str">
            <v>ZHONGTONG</v>
          </cell>
          <cell r="H421" t="str">
            <v>LCK6122EVG</v>
          </cell>
          <cell r="I421">
            <v>2025</v>
          </cell>
          <cell r="J421" t="str">
            <v>B</v>
          </cell>
          <cell r="K421" t="str">
            <v>PIE ANDINO</v>
          </cell>
          <cell r="L421" t="str">
            <v>Pie Andino 31 (Pie Andino 383)</v>
          </cell>
          <cell r="M421" t="str">
            <v>Puente Alto</v>
          </cell>
          <cell r="N421" t="str">
            <v>B</v>
          </cell>
        </row>
        <row r="422">
          <cell r="B422">
            <v>1421</v>
          </cell>
          <cell r="C422" t="str">
            <v>MDN35025010127</v>
          </cell>
          <cell r="D422" t="str">
            <v>LDYECS319S0044388</v>
          </cell>
          <cell r="E422" t="str">
            <v>Zhong Tong</v>
          </cell>
          <cell r="F422" t="str">
            <v>Lck6122evg</v>
          </cell>
          <cell r="G422" t="str">
            <v>ZHONGTONG</v>
          </cell>
          <cell r="H422" t="str">
            <v>LCK6122EVG</v>
          </cell>
          <cell r="I422">
            <v>2025</v>
          </cell>
          <cell r="J422" t="str">
            <v>B</v>
          </cell>
          <cell r="K422" t="str">
            <v>PIE ANDINO</v>
          </cell>
          <cell r="L422" t="str">
            <v>Pie Andino 31 (Pie Andino 383)</v>
          </cell>
          <cell r="M422" t="str">
            <v>Puente Alto</v>
          </cell>
          <cell r="N422" t="str">
            <v>B</v>
          </cell>
        </row>
        <row r="423">
          <cell r="B423">
            <v>1422</v>
          </cell>
          <cell r="C423" t="str">
            <v>MDN35025030199</v>
          </cell>
          <cell r="D423" t="str">
            <v>LDYECS317S0044325</v>
          </cell>
          <cell r="E423" t="str">
            <v>Zhong Tong</v>
          </cell>
          <cell r="F423" t="str">
            <v>Lck6122evg</v>
          </cell>
          <cell r="G423" t="str">
            <v>ZHONGTONG</v>
          </cell>
          <cell r="H423" t="str">
            <v>LCK6122EVG</v>
          </cell>
          <cell r="I423">
            <v>2025</v>
          </cell>
          <cell r="J423" t="str">
            <v>B</v>
          </cell>
          <cell r="K423" t="str">
            <v>PIE ANDINO</v>
          </cell>
          <cell r="L423" t="str">
            <v>Pie Andino 31 (Pie Andino 383)</v>
          </cell>
          <cell r="M423" t="str">
            <v>Puente Alto</v>
          </cell>
          <cell r="N423" t="str">
            <v>B</v>
          </cell>
        </row>
        <row r="424">
          <cell r="B424">
            <v>1423</v>
          </cell>
          <cell r="C424" t="str">
            <v>MDN35025030042</v>
          </cell>
          <cell r="D424" t="str">
            <v>LDYECS318S0044379</v>
          </cell>
          <cell r="E424" t="str">
            <v>Zhong Tong</v>
          </cell>
          <cell r="F424" t="str">
            <v>Lck6122evg</v>
          </cell>
          <cell r="G424" t="str">
            <v>ZHONGTONG</v>
          </cell>
          <cell r="H424" t="str">
            <v>LCK6122EVG</v>
          </cell>
          <cell r="I424">
            <v>2025</v>
          </cell>
          <cell r="J424" t="str">
            <v>B</v>
          </cell>
          <cell r="K424" t="str">
            <v>PIE ANDINO</v>
          </cell>
          <cell r="L424" t="str">
            <v>Pie Andino 31 (Pie Andino 383)</v>
          </cell>
          <cell r="M424" t="str">
            <v>Puente Alto</v>
          </cell>
          <cell r="N424" t="str">
            <v>B</v>
          </cell>
        </row>
        <row r="425">
          <cell r="B425">
            <v>1424</v>
          </cell>
          <cell r="C425" t="str">
            <v>MDN35025030041</v>
          </cell>
          <cell r="D425" t="str">
            <v>LDYECS313S0044385</v>
          </cell>
          <cell r="E425" t="str">
            <v>Zhong Tong</v>
          </cell>
          <cell r="F425" t="str">
            <v>Lck6122evg</v>
          </cell>
          <cell r="G425" t="str">
            <v>ZHONGTONG</v>
          </cell>
          <cell r="H425" t="str">
            <v>LCK6122EVG</v>
          </cell>
          <cell r="I425">
            <v>2025</v>
          </cell>
          <cell r="J425" t="str">
            <v>B</v>
          </cell>
          <cell r="K425" t="str">
            <v>PIE ANDINO</v>
          </cell>
          <cell r="L425" t="str">
            <v>Pie Andino 31 (Pie Andino 383)</v>
          </cell>
          <cell r="M425" t="str">
            <v>Puente Alto</v>
          </cell>
          <cell r="N425" t="str">
            <v>B</v>
          </cell>
        </row>
        <row r="426">
          <cell r="B426">
            <v>1425</v>
          </cell>
          <cell r="C426" t="str">
            <v>MDN35025030011</v>
          </cell>
          <cell r="D426" t="str">
            <v>LDYECS311S0044384</v>
          </cell>
          <cell r="E426" t="str">
            <v>Zhong Tong</v>
          </cell>
          <cell r="F426" t="str">
            <v>Lck6122evg</v>
          </cell>
          <cell r="G426" t="str">
            <v>ZHONGTONG</v>
          </cell>
          <cell r="H426" t="str">
            <v>LCK6122EVG</v>
          </cell>
          <cell r="I426">
            <v>2025</v>
          </cell>
          <cell r="J426" t="str">
            <v>B</v>
          </cell>
          <cell r="K426" t="str">
            <v>PIE ANDINO</v>
          </cell>
          <cell r="L426" t="str">
            <v>Pie Andino 31 (Pie Andino 383)</v>
          </cell>
          <cell r="M426" t="str">
            <v>Puente Alto</v>
          </cell>
          <cell r="N426" t="str">
            <v>B</v>
          </cell>
        </row>
        <row r="427">
          <cell r="B427">
            <v>1426</v>
          </cell>
          <cell r="C427" t="str">
            <v>MDN35025030056</v>
          </cell>
          <cell r="D427" t="str">
            <v>LDYECS313S0044371</v>
          </cell>
          <cell r="E427" t="str">
            <v>Zhong Tong</v>
          </cell>
          <cell r="F427" t="str">
            <v>Lck6122evg</v>
          </cell>
          <cell r="G427" t="str">
            <v>ZHONGTONG</v>
          </cell>
          <cell r="H427" t="str">
            <v>LCK6122EVG</v>
          </cell>
          <cell r="I427">
            <v>2025</v>
          </cell>
          <cell r="J427" t="str">
            <v>B</v>
          </cell>
          <cell r="K427" t="str">
            <v>PIE ANDINO</v>
          </cell>
          <cell r="L427" t="str">
            <v>Pie Andino 31 (Pie Andino 383)</v>
          </cell>
          <cell r="M427" t="str">
            <v>Puente Alto</v>
          </cell>
          <cell r="N427" t="str">
            <v>B</v>
          </cell>
        </row>
        <row r="428">
          <cell r="B428" t="str">
            <v/>
          </cell>
          <cell r="C428" t="str">
            <v>LDYECS834S0045636</v>
          </cell>
          <cell r="D428" t="str">
            <v>MJJ20025010047</v>
          </cell>
          <cell r="E428" t="str">
            <v>Zhong Tong</v>
          </cell>
          <cell r="F428" t="str">
            <v>LCK6850evg</v>
          </cell>
          <cell r="G428" t="str">
            <v>ZHONGTONG</v>
          </cell>
          <cell r="H428" t="str">
            <v>LCK6850evg</v>
          </cell>
          <cell r="I428">
            <v>2025</v>
          </cell>
          <cell r="J428" t="str">
            <v>A</v>
          </cell>
          <cell r="K428" t="str">
            <v>CERRILLOS</v>
          </cell>
          <cell r="L428" t="str">
            <v>Calle Uno 7371</v>
          </cell>
          <cell r="M428" t="str">
            <v>Cerrillos</v>
          </cell>
          <cell r="N428" t="str">
            <v>A</v>
          </cell>
        </row>
        <row r="429">
          <cell r="B429" t="str">
            <v/>
          </cell>
          <cell r="C429" t="str">
            <v>LDYECS832S0045635</v>
          </cell>
          <cell r="D429" t="str">
            <v>MJJ20025010001</v>
          </cell>
          <cell r="E429" t="str">
            <v>Zhong Tong</v>
          </cell>
          <cell r="F429" t="str">
            <v>LCK6850evg</v>
          </cell>
          <cell r="G429" t="str">
            <v>ZHONGTONG</v>
          </cell>
          <cell r="H429" t="str">
            <v>LCK6850evg</v>
          </cell>
          <cell r="I429">
            <v>2025</v>
          </cell>
          <cell r="J429" t="str">
            <v>A</v>
          </cell>
          <cell r="K429" t="str">
            <v>CERRILLOS</v>
          </cell>
          <cell r="L429" t="str">
            <v>Calle Uno 7371</v>
          </cell>
          <cell r="M429" t="str">
            <v>Cerrillos</v>
          </cell>
          <cell r="N429" t="str">
            <v>A</v>
          </cell>
        </row>
        <row r="430">
          <cell r="B430" t="str">
            <v/>
          </cell>
          <cell r="C430" t="str">
            <v>LDYECS836S0045637</v>
          </cell>
          <cell r="D430" t="str">
            <v>MJJ20025010040</v>
          </cell>
          <cell r="E430" t="str">
            <v>Zhong Tong</v>
          </cell>
          <cell r="F430" t="str">
            <v>LCK6850evg</v>
          </cell>
          <cell r="G430" t="str">
            <v>ZHONGTONG</v>
          </cell>
          <cell r="H430" t="str">
            <v>LCK6850evg</v>
          </cell>
          <cell r="I430">
            <v>2025</v>
          </cell>
          <cell r="J430" t="str">
            <v>A</v>
          </cell>
          <cell r="K430" t="str">
            <v>CERRILLOS</v>
          </cell>
          <cell r="L430" t="str">
            <v>Calle Uno 7371</v>
          </cell>
          <cell r="M430" t="str">
            <v>Cerrillos</v>
          </cell>
          <cell r="N430" t="str">
            <v>A</v>
          </cell>
        </row>
        <row r="431">
          <cell r="B431" t="str">
            <v/>
          </cell>
          <cell r="C431" t="str">
            <v>LDYECS83XS0045611</v>
          </cell>
          <cell r="D431" t="str">
            <v>MJJ20025010028</v>
          </cell>
          <cell r="E431" t="str">
            <v>Zhong Tong</v>
          </cell>
          <cell r="F431" t="str">
            <v>LCK6850evg</v>
          </cell>
          <cell r="G431" t="str">
            <v>ZHONGTONG</v>
          </cell>
          <cell r="H431" t="str">
            <v>LCK6850evg</v>
          </cell>
          <cell r="I431">
            <v>2025</v>
          </cell>
          <cell r="J431" t="str">
            <v>A</v>
          </cell>
          <cell r="K431" t="str">
            <v>CERRILLOS</v>
          </cell>
          <cell r="L431" t="str">
            <v>Calle Uno 7371</v>
          </cell>
          <cell r="M431" t="str">
            <v>Cerrillos</v>
          </cell>
          <cell r="N431" t="str">
            <v>A</v>
          </cell>
        </row>
        <row r="432">
          <cell r="B432" t="str">
            <v/>
          </cell>
          <cell r="C432" t="str">
            <v>LDYECS833S0045630</v>
          </cell>
          <cell r="D432" t="str">
            <v>MJJ20025010012</v>
          </cell>
          <cell r="E432" t="str">
            <v>Zhong Tong</v>
          </cell>
          <cell r="F432" t="str">
            <v>LCK6850evg</v>
          </cell>
          <cell r="G432" t="str">
            <v>ZHONGTONG</v>
          </cell>
          <cell r="H432" t="str">
            <v>LCK6850evg</v>
          </cell>
          <cell r="I432">
            <v>2025</v>
          </cell>
          <cell r="J432" t="str">
            <v>A</v>
          </cell>
          <cell r="K432" t="str">
            <v>CERRILLOS</v>
          </cell>
          <cell r="L432" t="str">
            <v>Calle Uno 7371</v>
          </cell>
          <cell r="M432" t="str">
            <v>Cerrillos</v>
          </cell>
          <cell r="N432" t="str">
            <v>A</v>
          </cell>
        </row>
        <row r="433">
          <cell r="B433" t="str">
            <v/>
          </cell>
          <cell r="C433" t="str">
            <v>LDYECS837S0045632</v>
          </cell>
          <cell r="D433" t="str">
            <v>MJJ20025010003</v>
          </cell>
          <cell r="E433" t="str">
            <v>Zhong Tong</v>
          </cell>
          <cell r="F433" t="str">
            <v>LCK6850evg</v>
          </cell>
          <cell r="G433" t="str">
            <v>ZHONGTONG</v>
          </cell>
          <cell r="H433" t="str">
            <v>LCK6850evg</v>
          </cell>
          <cell r="I433">
            <v>2025</v>
          </cell>
          <cell r="J433" t="str">
            <v>A</v>
          </cell>
          <cell r="K433" t="str">
            <v>CERRILLOS</v>
          </cell>
          <cell r="L433" t="str">
            <v>Calle Uno 7371</v>
          </cell>
          <cell r="M433" t="str">
            <v>Cerrillos</v>
          </cell>
          <cell r="N433" t="str">
            <v>A</v>
          </cell>
        </row>
        <row r="434">
          <cell r="B434" t="str">
            <v/>
          </cell>
          <cell r="C434" t="str">
            <v>LDYECS833S0045627</v>
          </cell>
          <cell r="D434" t="str">
            <v>MJJ20025010013</v>
          </cell>
          <cell r="E434" t="str">
            <v>Zhong Tong</v>
          </cell>
          <cell r="F434" t="str">
            <v>LCK6850evg</v>
          </cell>
          <cell r="G434" t="str">
            <v>ZHONGTONG</v>
          </cell>
          <cell r="H434" t="str">
            <v>LCK6850evg</v>
          </cell>
          <cell r="I434">
            <v>2025</v>
          </cell>
          <cell r="J434" t="str">
            <v>A</v>
          </cell>
          <cell r="K434" t="str">
            <v>CERRILLOS</v>
          </cell>
          <cell r="L434" t="str">
            <v>Calle Uno 7371</v>
          </cell>
          <cell r="M434" t="str">
            <v>Cerrillos</v>
          </cell>
          <cell r="N434" t="str">
            <v>A</v>
          </cell>
        </row>
        <row r="435">
          <cell r="B435" t="str">
            <v/>
          </cell>
          <cell r="C435" t="str">
            <v>LDYECS839S0045633</v>
          </cell>
          <cell r="D435" t="str">
            <v>MJJ20025010010</v>
          </cell>
          <cell r="E435" t="str">
            <v>Zhong Tong</v>
          </cell>
          <cell r="F435" t="str">
            <v>LCK6850evg</v>
          </cell>
          <cell r="G435" t="str">
            <v>ZHONGTONG</v>
          </cell>
          <cell r="H435" t="str">
            <v>LCK6850evg</v>
          </cell>
          <cell r="I435">
            <v>2025</v>
          </cell>
          <cell r="J435" t="str">
            <v>A</v>
          </cell>
          <cell r="K435" t="str">
            <v>CERRILLOS</v>
          </cell>
          <cell r="L435" t="str">
            <v>Calle Uno 7371</v>
          </cell>
          <cell r="M435" t="str">
            <v>Cerrillos</v>
          </cell>
          <cell r="N435" t="str">
            <v>A</v>
          </cell>
        </row>
        <row r="436">
          <cell r="B436" t="str">
            <v/>
          </cell>
          <cell r="C436" t="str">
            <v>LDYECS830S0045648</v>
          </cell>
          <cell r="D436" t="str">
            <v>MJJ20025010016</v>
          </cell>
          <cell r="E436" t="str">
            <v>Zhong Tong</v>
          </cell>
          <cell r="F436" t="str">
            <v>LCK6850evg</v>
          </cell>
          <cell r="G436" t="str">
            <v>ZHONGTONG</v>
          </cell>
          <cell r="H436" t="str">
            <v>LCK6850evg</v>
          </cell>
          <cell r="I436">
            <v>2025</v>
          </cell>
          <cell r="J436" t="str">
            <v>A</v>
          </cell>
          <cell r="K436" t="str">
            <v>CERRILLOS</v>
          </cell>
          <cell r="L436" t="str">
            <v>Calle Uno 7371</v>
          </cell>
          <cell r="M436" t="str">
            <v>Cerrillos</v>
          </cell>
          <cell r="N436" t="str">
            <v>A</v>
          </cell>
        </row>
        <row r="437">
          <cell r="B437" t="str">
            <v/>
          </cell>
          <cell r="C437" t="str">
            <v>LDYECS838S0045624</v>
          </cell>
          <cell r="D437" t="str">
            <v>MJJ20025010023</v>
          </cell>
          <cell r="E437" t="str">
            <v>Zhong Tong</v>
          </cell>
          <cell r="F437" t="str">
            <v>LCK6850evg</v>
          </cell>
          <cell r="G437" t="str">
            <v>ZHONGTONG</v>
          </cell>
          <cell r="H437" t="str">
            <v>LCK6850evg</v>
          </cell>
          <cell r="I437">
            <v>2025</v>
          </cell>
          <cell r="J437" t="str">
            <v>A</v>
          </cell>
          <cell r="K437" t="str">
            <v>CERRILLOS</v>
          </cell>
          <cell r="L437" t="str">
            <v>Calle Uno 7371</v>
          </cell>
          <cell r="M437" t="str">
            <v>Cerrillos</v>
          </cell>
          <cell r="N437" t="str">
            <v>A</v>
          </cell>
        </row>
        <row r="438">
          <cell r="B438" t="str">
            <v/>
          </cell>
          <cell r="C438" t="str">
            <v>LDYECS835S0045631</v>
          </cell>
          <cell r="D438" t="str">
            <v>MJJ20025010015</v>
          </cell>
          <cell r="E438" t="str">
            <v>Zhong Tong</v>
          </cell>
          <cell r="F438" t="str">
            <v>LCK6850evg</v>
          </cell>
          <cell r="G438" t="str">
            <v>ZHONGTONG</v>
          </cell>
          <cell r="H438" t="str">
            <v>LCK6850evg</v>
          </cell>
          <cell r="I438">
            <v>2025</v>
          </cell>
          <cell r="J438" t="str">
            <v>A</v>
          </cell>
          <cell r="K438" t="str">
            <v>CERRILLOS</v>
          </cell>
          <cell r="L438" t="str">
            <v>Calle Uno 7371</v>
          </cell>
          <cell r="M438" t="str">
            <v>Cerrillos</v>
          </cell>
          <cell r="N438" t="str">
            <v>A</v>
          </cell>
        </row>
        <row r="439">
          <cell r="B439" t="str">
            <v/>
          </cell>
          <cell r="C439" t="str">
            <v>LDYECS83XS0045639</v>
          </cell>
          <cell r="D439" t="str">
            <v>MJJ20025010020</v>
          </cell>
          <cell r="E439" t="str">
            <v>Zhong Tong</v>
          </cell>
          <cell r="F439" t="str">
            <v>LCK6850evg</v>
          </cell>
          <cell r="G439" t="str">
            <v>ZHONGTONG</v>
          </cell>
          <cell r="H439" t="str">
            <v>LCK6850evg</v>
          </cell>
          <cell r="I439">
            <v>2025</v>
          </cell>
          <cell r="J439" t="str">
            <v>A</v>
          </cell>
          <cell r="K439" t="str">
            <v>CERRILLOS</v>
          </cell>
          <cell r="L439" t="str">
            <v>Calle Uno 7371</v>
          </cell>
          <cell r="M439" t="str">
            <v>Cerrillos</v>
          </cell>
          <cell r="N439" t="str">
            <v>A</v>
          </cell>
        </row>
        <row r="440">
          <cell r="B440" t="str">
            <v/>
          </cell>
          <cell r="C440" t="str">
            <v>LDYECS831S0045626</v>
          </cell>
          <cell r="D440" t="str">
            <v>MJJ20025010058</v>
          </cell>
          <cell r="E440" t="str">
            <v>Zhong Tong</v>
          </cell>
          <cell r="F440" t="str">
            <v>LCK6850evg</v>
          </cell>
          <cell r="G440" t="str">
            <v>ZHONGTONG</v>
          </cell>
          <cell r="H440" t="str">
            <v>LCK6850evg</v>
          </cell>
          <cell r="I440">
            <v>2025</v>
          </cell>
          <cell r="J440" t="str">
            <v>A</v>
          </cell>
          <cell r="K440" t="str">
            <v>CERRILLOS</v>
          </cell>
          <cell r="L440" t="str">
            <v>Calle Uno 7371</v>
          </cell>
          <cell r="M440" t="str">
            <v>Cerrillos</v>
          </cell>
          <cell r="N440" t="str">
            <v>A</v>
          </cell>
        </row>
        <row r="441">
          <cell r="B441" t="str">
            <v/>
          </cell>
          <cell r="C441" t="str">
            <v>LDYECS833S0045644</v>
          </cell>
          <cell r="D441" t="str">
            <v>MJJ20025010033</v>
          </cell>
          <cell r="E441" t="str">
            <v>Zhong Tong</v>
          </cell>
          <cell r="F441" t="str">
            <v>LCK6850evg</v>
          </cell>
          <cell r="G441" t="str">
            <v>ZHONGTONG</v>
          </cell>
          <cell r="H441" t="str">
            <v>LCK6850evg</v>
          </cell>
          <cell r="I441">
            <v>2025</v>
          </cell>
          <cell r="J441" t="str">
            <v>A</v>
          </cell>
          <cell r="K441" t="str">
            <v>CERRILLOS</v>
          </cell>
          <cell r="L441" t="str">
            <v>Calle Uno 7371</v>
          </cell>
          <cell r="M441" t="str">
            <v>Cerrillos</v>
          </cell>
          <cell r="N441" t="str">
            <v>A</v>
          </cell>
        </row>
        <row r="442">
          <cell r="B442" t="str">
            <v/>
          </cell>
          <cell r="C442" t="str">
            <v>LDYECS837S0045646</v>
          </cell>
          <cell r="D442" t="str">
            <v>MJJ20025010007</v>
          </cell>
          <cell r="E442" t="str">
            <v>Zhong Tong</v>
          </cell>
          <cell r="F442" t="str">
            <v>LCK6850evg</v>
          </cell>
          <cell r="G442" t="str">
            <v>ZHONGTONG</v>
          </cell>
          <cell r="H442" t="str">
            <v>LCK6850evg</v>
          </cell>
          <cell r="I442">
            <v>2025</v>
          </cell>
          <cell r="J442" t="str">
            <v>A</v>
          </cell>
          <cell r="K442" t="str">
            <v>CERRILLOS</v>
          </cell>
          <cell r="L442" t="str">
            <v>Calle Uno 7371</v>
          </cell>
          <cell r="M442" t="str">
            <v>Cerrillos</v>
          </cell>
          <cell r="N442" t="str">
            <v>A</v>
          </cell>
        </row>
        <row r="443">
          <cell r="B443" t="str">
            <v/>
          </cell>
          <cell r="C443" t="str">
            <v>LDYECS836S0045640</v>
          </cell>
          <cell r="D443" t="str">
            <v>MJJ20025010019</v>
          </cell>
          <cell r="E443" t="str">
            <v>Zhong Tong</v>
          </cell>
          <cell r="F443" t="str">
            <v>LCK6850evg</v>
          </cell>
          <cell r="G443" t="str">
            <v>ZHONGTONG</v>
          </cell>
          <cell r="H443" t="str">
            <v>LCK6850evg</v>
          </cell>
          <cell r="I443">
            <v>2025</v>
          </cell>
          <cell r="J443" t="str">
            <v>A</v>
          </cell>
          <cell r="K443" t="str">
            <v>CERRILLOS</v>
          </cell>
          <cell r="L443" t="str">
            <v>Calle Uno 7371</v>
          </cell>
          <cell r="M443" t="str">
            <v>Cerrillos</v>
          </cell>
          <cell r="N443" t="str">
            <v>A</v>
          </cell>
        </row>
        <row r="444">
          <cell r="B444" t="str">
            <v/>
          </cell>
          <cell r="C444" t="str">
            <v>LDYECS83XS0045625</v>
          </cell>
          <cell r="D444" t="str">
            <v>MJJ20025010014</v>
          </cell>
          <cell r="E444" t="str">
            <v>Zhong Tong</v>
          </cell>
          <cell r="F444" t="str">
            <v>LCK6850evg</v>
          </cell>
          <cell r="G444" t="str">
            <v>ZHONGTONG</v>
          </cell>
          <cell r="H444" t="str">
            <v>LCK6850evg</v>
          </cell>
          <cell r="I444">
            <v>2025</v>
          </cell>
          <cell r="J444" t="str">
            <v>A</v>
          </cell>
          <cell r="K444" t="str">
            <v>CERRILLOS</v>
          </cell>
          <cell r="L444" t="str">
            <v>Calle Uno 7371</v>
          </cell>
          <cell r="M444" t="str">
            <v>Cerrillos</v>
          </cell>
          <cell r="N444" t="str">
            <v>A</v>
          </cell>
        </row>
        <row r="445">
          <cell r="B445" t="str">
            <v/>
          </cell>
          <cell r="C445" t="str">
            <v>LDYECS832S0045599</v>
          </cell>
          <cell r="D445" t="str">
            <v>MJJ20025010048</v>
          </cell>
          <cell r="E445" t="str">
            <v>Zhong Tong</v>
          </cell>
          <cell r="F445" t="str">
            <v>LCK6850evg</v>
          </cell>
          <cell r="G445" t="str">
            <v>ZHONGTONG</v>
          </cell>
          <cell r="H445" t="str">
            <v>LCK6850evg</v>
          </cell>
          <cell r="I445">
            <v>2025</v>
          </cell>
          <cell r="J445" t="str">
            <v>A</v>
          </cell>
          <cell r="K445" t="str">
            <v>CERRILLOS</v>
          </cell>
          <cell r="L445" t="str">
            <v>Calle Uno 7371</v>
          </cell>
          <cell r="M445" t="str">
            <v>Cerrillos</v>
          </cell>
          <cell r="N445" t="str">
            <v>A</v>
          </cell>
        </row>
        <row r="446">
          <cell r="B446" t="str">
            <v/>
          </cell>
          <cell r="C446" t="str">
            <v>LDYECS836S0045602</v>
          </cell>
          <cell r="D446" t="str">
            <v>MJJ20025010046</v>
          </cell>
          <cell r="E446" t="str">
            <v>Zhong Tong</v>
          </cell>
          <cell r="F446" t="str">
            <v>LCK6850evg</v>
          </cell>
          <cell r="G446" t="str">
            <v>ZHONGTONG</v>
          </cell>
          <cell r="H446" t="str">
            <v>LCK6850evg</v>
          </cell>
          <cell r="I446">
            <v>2025</v>
          </cell>
          <cell r="J446" t="str">
            <v>A</v>
          </cell>
          <cell r="K446" t="str">
            <v>CERRILLOS</v>
          </cell>
          <cell r="L446" t="str">
            <v>Calle Uno 7371</v>
          </cell>
          <cell r="M446" t="str">
            <v>Cerrillos</v>
          </cell>
          <cell r="N446" t="str">
            <v>A</v>
          </cell>
        </row>
        <row r="447">
          <cell r="B447" t="str">
            <v/>
          </cell>
          <cell r="C447" t="str">
            <v>LDYECS837S0045629</v>
          </cell>
          <cell r="D447" t="str">
            <v>MJJ20025010011</v>
          </cell>
          <cell r="E447" t="str">
            <v>Zhong Tong</v>
          </cell>
          <cell r="F447" t="str">
            <v>LCK6850evg</v>
          </cell>
          <cell r="G447" t="str">
            <v>ZHONGTONG</v>
          </cell>
          <cell r="H447" t="str">
            <v>LCK6850evg</v>
          </cell>
          <cell r="I447">
            <v>2025</v>
          </cell>
          <cell r="J447" t="str">
            <v>A</v>
          </cell>
          <cell r="K447" t="str">
            <v>CERRILLOS</v>
          </cell>
          <cell r="L447" t="str">
            <v>Calle Uno 7371</v>
          </cell>
          <cell r="M447" t="str">
            <v>Cerrillos</v>
          </cell>
          <cell r="N447" t="str">
            <v>A</v>
          </cell>
        </row>
        <row r="448">
          <cell r="B448" t="str">
            <v/>
          </cell>
          <cell r="C448" t="str">
            <v>LDYECS839S0045616</v>
          </cell>
          <cell r="D448" t="str">
            <v>MJJ20025010037</v>
          </cell>
          <cell r="E448" t="str">
            <v>Zhong Tong</v>
          </cell>
          <cell r="F448" t="str">
            <v>LCK6850evg</v>
          </cell>
          <cell r="G448" t="str">
            <v>ZHONGTONG</v>
          </cell>
          <cell r="H448" t="str">
            <v>LCK6850evg</v>
          </cell>
          <cell r="I448">
            <v>2025</v>
          </cell>
          <cell r="J448" t="str">
            <v>A</v>
          </cell>
          <cell r="K448" t="str">
            <v>CERRILLOS</v>
          </cell>
          <cell r="L448" t="str">
            <v>Calle Uno 7371</v>
          </cell>
          <cell r="M448" t="str">
            <v>Cerrillos</v>
          </cell>
          <cell r="N448" t="str">
            <v>A</v>
          </cell>
        </row>
        <row r="449">
          <cell r="B449" t="str">
            <v/>
          </cell>
          <cell r="C449" t="str">
            <v>LDYECS838S0045610</v>
          </cell>
          <cell r="D449" t="str">
            <v>MJJ20025030024</v>
          </cell>
          <cell r="E449" t="str">
            <v>Zhong Tong</v>
          </cell>
          <cell r="F449" t="str">
            <v>LCK6850evg</v>
          </cell>
          <cell r="G449" t="str">
            <v>ZHONGTONG</v>
          </cell>
          <cell r="H449" t="str">
            <v>LCK6850evg</v>
          </cell>
          <cell r="I449">
            <v>2025</v>
          </cell>
          <cell r="J449" t="str">
            <v>A</v>
          </cell>
          <cell r="K449" t="str">
            <v>CERRILLOS</v>
          </cell>
          <cell r="L449" t="str">
            <v>Calle Uno 7371</v>
          </cell>
          <cell r="M449" t="str">
            <v>Cerrillos</v>
          </cell>
          <cell r="N449" t="str">
            <v>A</v>
          </cell>
        </row>
        <row r="450">
          <cell r="B450" t="str">
            <v/>
          </cell>
          <cell r="C450" t="str">
            <v>LDYECS830S0045620</v>
          </cell>
          <cell r="D450" t="str">
            <v>MJJ20025010025</v>
          </cell>
          <cell r="E450" t="str">
            <v>Zhong Tong</v>
          </cell>
          <cell r="F450" t="str">
            <v>LCK6850evg</v>
          </cell>
          <cell r="G450" t="str">
            <v>ZHONGTONG</v>
          </cell>
          <cell r="H450" t="str">
            <v>LCK6850evg</v>
          </cell>
          <cell r="I450">
            <v>2025</v>
          </cell>
          <cell r="J450" t="str">
            <v>A</v>
          </cell>
          <cell r="K450" t="str">
            <v>CERRILLOS</v>
          </cell>
          <cell r="L450" t="str">
            <v>Calle Uno 7371</v>
          </cell>
          <cell r="M450" t="str">
            <v>Cerrillos</v>
          </cell>
          <cell r="N450" t="str">
            <v>A</v>
          </cell>
        </row>
        <row r="451">
          <cell r="B451" t="str">
            <v/>
          </cell>
          <cell r="C451" t="str">
            <v>LDYECS832S0045618</v>
          </cell>
          <cell r="D451" t="str">
            <v>MJJ20025010030</v>
          </cell>
          <cell r="E451" t="str">
            <v>Zhong Tong</v>
          </cell>
          <cell r="F451" t="str">
            <v>LCK6850evg</v>
          </cell>
          <cell r="G451" t="str">
            <v>ZHONGTONG</v>
          </cell>
          <cell r="H451" t="str">
            <v>LCK6850evg</v>
          </cell>
          <cell r="I451">
            <v>2025</v>
          </cell>
          <cell r="J451" t="str">
            <v>A</v>
          </cell>
          <cell r="K451" t="str">
            <v>CERRILLOS</v>
          </cell>
          <cell r="L451" t="str">
            <v>Calle Uno 7371</v>
          </cell>
          <cell r="M451" t="str">
            <v>Cerrillos</v>
          </cell>
          <cell r="N451" t="str">
            <v>A</v>
          </cell>
        </row>
        <row r="452">
          <cell r="B452" t="str">
            <v/>
          </cell>
          <cell r="C452" t="str">
            <v>LDYECS831S0045609</v>
          </cell>
          <cell r="D452" t="str">
            <v>MJJ20025010029</v>
          </cell>
          <cell r="E452" t="str">
            <v>Zhong Tong</v>
          </cell>
          <cell r="F452" t="str">
            <v>LCK6850evg</v>
          </cell>
          <cell r="G452" t="str">
            <v>ZHONGTONG</v>
          </cell>
          <cell r="H452" t="str">
            <v>LCK6850evg</v>
          </cell>
          <cell r="I452">
            <v>2025</v>
          </cell>
          <cell r="J452" t="str">
            <v>A</v>
          </cell>
          <cell r="K452" t="str">
            <v>CERRILLOS</v>
          </cell>
          <cell r="L452" t="str">
            <v>Calle Uno 7371</v>
          </cell>
          <cell r="M452" t="str">
            <v>Cerrillos</v>
          </cell>
          <cell r="N452" t="str">
            <v>A</v>
          </cell>
        </row>
        <row r="453">
          <cell r="B453" t="str">
            <v/>
          </cell>
          <cell r="C453" t="str">
            <v>LDYECS830S0045634</v>
          </cell>
          <cell r="D453" t="str">
            <v>MJJ20025010004</v>
          </cell>
          <cell r="E453" t="str">
            <v>Zhong Tong</v>
          </cell>
          <cell r="F453" t="str">
            <v>LCK6850evg</v>
          </cell>
          <cell r="G453" t="str">
            <v>ZHONGTONG</v>
          </cell>
          <cell r="H453" t="str">
            <v>LCK6850evg</v>
          </cell>
          <cell r="I453">
            <v>2025</v>
          </cell>
          <cell r="J453" t="str">
            <v>A</v>
          </cell>
          <cell r="K453" t="str">
            <v>CERRILLOS</v>
          </cell>
          <cell r="L453" t="str">
            <v>Calle Uno 7371</v>
          </cell>
          <cell r="M453" t="str">
            <v>Cerrillos</v>
          </cell>
          <cell r="N453" t="str">
            <v>A</v>
          </cell>
        </row>
        <row r="454">
          <cell r="B454" t="str">
            <v/>
          </cell>
          <cell r="C454" t="str">
            <v>LDYECS834S0045622</v>
          </cell>
          <cell r="D454" t="str">
            <v>MJJ20025030025</v>
          </cell>
          <cell r="E454" t="str">
            <v>Zhong Tong</v>
          </cell>
          <cell r="F454" t="str">
            <v>LCK6850evg</v>
          </cell>
          <cell r="G454" t="str">
            <v>ZHONGTONG</v>
          </cell>
          <cell r="H454" t="str">
            <v>LCK6850evg</v>
          </cell>
          <cell r="I454">
            <v>2025</v>
          </cell>
          <cell r="J454" t="str">
            <v>A</v>
          </cell>
          <cell r="K454" t="str">
            <v>CERRILLOS</v>
          </cell>
          <cell r="L454" t="str">
            <v>Calle Uno 7371</v>
          </cell>
          <cell r="M454" t="str">
            <v>Cerrillos</v>
          </cell>
          <cell r="N454" t="str">
            <v>A</v>
          </cell>
        </row>
        <row r="455">
          <cell r="B455" t="str">
            <v/>
          </cell>
          <cell r="C455" t="str">
            <v>LDYECS831S0045612</v>
          </cell>
          <cell r="D455" t="str">
            <v>MJJ20025010043</v>
          </cell>
          <cell r="E455" t="str">
            <v>Zhong Tong</v>
          </cell>
          <cell r="F455" t="str">
            <v>LCK6850evg</v>
          </cell>
          <cell r="G455" t="str">
            <v>ZHONGTONG</v>
          </cell>
          <cell r="H455" t="str">
            <v>LCK6850evg</v>
          </cell>
          <cell r="I455">
            <v>2025</v>
          </cell>
          <cell r="J455" t="str">
            <v>A</v>
          </cell>
          <cell r="K455" t="str">
            <v>CERRILLOS</v>
          </cell>
          <cell r="L455" t="str">
            <v>Calle Uno 7371</v>
          </cell>
          <cell r="M455" t="str">
            <v>Cerrillos</v>
          </cell>
          <cell r="N455" t="str">
            <v>A</v>
          </cell>
        </row>
        <row r="456">
          <cell r="B456" t="str">
            <v/>
          </cell>
          <cell r="C456" t="str">
            <v>LDYECS834S0045619</v>
          </cell>
          <cell r="D456" t="str">
            <v>MJJ2002503018</v>
          </cell>
          <cell r="E456" t="str">
            <v>Zhong Tong</v>
          </cell>
          <cell r="F456" t="str">
            <v>LCK6850evg</v>
          </cell>
          <cell r="G456" t="str">
            <v>ZHONGTONG</v>
          </cell>
          <cell r="H456" t="str">
            <v>LCK6850evg</v>
          </cell>
          <cell r="I456">
            <v>2025</v>
          </cell>
          <cell r="J456" t="str">
            <v>A</v>
          </cell>
          <cell r="K456" t="str">
            <v>CERRILLOS</v>
          </cell>
          <cell r="L456" t="str">
            <v>Calle Uno 7371</v>
          </cell>
          <cell r="M456" t="str">
            <v>Cerrillos</v>
          </cell>
          <cell r="N456" t="str">
            <v>A</v>
          </cell>
        </row>
        <row r="457">
          <cell r="B457" t="str">
            <v/>
          </cell>
          <cell r="C457" t="str">
            <v>LDYECS83XS0045608</v>
          </cell>
          <cell r="D457" t="str">
            <v>MJJ20025030023</v>
          </cell>
          <cell r="E457" t="str">
            <v>Zhong Tong</v>
          </cell>
          <cell r="F457" t="str">
            <v>LCK6850evg</v>
          </cell>
          <cell r="G457" t="str">
            <v>ZHONGTONG</v>
          </cell>
          <cell r="H457" t="str">
            <v>LCK6850evg</v>
          </cell>
          <cell r="I457">
            <v>2025</v>
          </cell>
          <cell r="J457" t="str">
            <v>A</v>
          </cell>
          <cell r="K457" t="str">
            <v>CERRILLOS</v>
          </cell>
          <cell r="L457" t="str">
            <v>Calle Uno 7371</v>
          </cell>
          <cell r="M457" t="str">
            <v>Cerrillos</v>
          </cell>
          <cell r="N457" t="str">
            <v>A</v>
          </cell>
        </row>
        <row r="458">
          <cell r="B458" t="str">
            <v/>
          </cell>
          <cell r="C458" t="str">
            <v>LDYECS832S0045649</v>
          </cell>
          <cell r="D458" t="str">
            <v>MJJ20025010008</v>
          </cell>
          <cell r="E458" t="str">
            <v>Zhong Tong</v>
          </cell>
          <cell r="F458" t="str">
            <v>LCK6850evg</v>
          </cell>
          <cell r="G458" t="str">
            <v>ZHONGTONG</v>
          </cell>
          <cell r="H458" t="str">
            <v>LCK6850evg</v>
          </cell>
          <cell r="I458">
            <v>2025</v>
          </cell>
          <cell r="J458" t="str">
            <v>A</v>
          </cell>
          <cell r="K458" t="str">
            <v>CERRILLOS</v>
          </cell>
          <cell r="L458" t="str">
            <v>Calle Uno 7371</v>
          </cell>
          <cell r="M458" t="str">
            <v>Cerrillos</v>
          </cell>
          <cell r="N458" t="str">
            <v>A</v>
          </cell>
        </row>
        <row r="459">
          <cell r="B459" t="str">
            <v/>
          </cell>
          <cell r="C459" t="str">
            <v>LDYECS836S0045623</v>
          </cell>
          <cell r="D459" t="str">
            <v>MJJ20025010021</v>
          </cell>
          <cell r="E459" t="str">
            <v>Zhong Tong</v>
          </cell>
          <cell r="F459" t="str">
            <v>LCK6850evg</v>
          </cell>
          <cell r="G459" t="str">
            <v>ZHONGTONG</v>
          </cell>
          <cell r="H459" t="str">
            <v>LCK6850evg</v>
          </cell>
          <cell r="I459">
            <v>2025</v>
          </cell>
          <cell r="J459" t="str">
            <v>A</v>
          </cell>
          <cell r="K459" t="str">
            <v>CERRILLOS</v>
          </cell>
          <cell r="L459" t="str">
            <v>Calle Uno 7371</v>
          </cell>
          <cell r="M459" t="str">
            <v>Cerrillos</v>
          </cell>
          <cell r="N459" t="str">
            <v>A</v>
          </cell>
        </row>
        <row r="460">
          <cell r="B460" t="str">
            <v/>
          </cell>
          <cell r="C460" t="str">
            <v>LDYECS312S0044409</v>
          </cell>
          <cell r="D460" t="str">
            <v>MDN35025030111</v>
          </cell>
          <cell r="E460" t="str">
            <v>Zhong Thong</v>
          </cell>
          <cell r="F460" t="str">
            <v>Lck6122evg</v>
          </cell>
          <cell r="G460" t="str">
            <v>Zhong Thong</v>
          </cell>
          <cell r="H460" t="str">
            <v>Lck6122evg</v>
          </cell>
          <cell r="I460">
            <v>2026</v>
          </cell>
          <cell r="J460" t="str">
            <v>B</v>
          </cell>
          <cell r="K460" t="str">
            <v>Recoleta</v>
          </cell>
          <cell r="N460" t="str">
            <v>B</v>
          </cell>
        </row>
        <row r="461">
          <cell r="B461" t="str">
            <v/>
          </cell>
          <cell r="C461" t="str">
            <v>LDYECS313S0044323</v>
          </cell>
          <cell r="D461" t="str">
            <v>MDN35025030135</v>
          </cell>
          <cell r="E461" t="str">
            <v>Zhong Thong</v>
          </cell>
          <cell r="F461" t="str">
            <v>Lck6122evg</v>
          </cell>
          <cell r="G461" t="str">
            <v>Zhong Thong</v>
          </cell>
          <cell r="H461" t="str">
            <v>Lck6122evg</v>
          </cell>
          <cell r="I461">
            <v>2026</v>
          </cell>
          <cell r="J461" t="str">
            <v>B</v>
          </cell>
          <cell r="K461" t="str">
            <v>Recoleta</v>
          </cell>
          <cell r="N461" t="str">
            <v>B</v>
          </cell>
        </row>
        <row r="462">
          <cell r="B462" t="str">
            <v/>
          </cell>
          <cell r="C462" t="str">
            <v>LDYECS310S0044392</v>
          </cell>
          <cell r="D462" t="str">
            <v>MDN35025030180</v>
          </cell>
          <cell r="E462" t="str">
            <v>Zhong Thong</v>
          </cell>
          <cell r="F462" t="str">
            <v>Lck6122evg</v>
          </cell>
          <cell r="G462" t="str">
            <v>Zhong Thong</v>
          </cell>
          <cell r="H462" t="str">
            <v>Lck6122evg</v>
          </cell>
          <cell r="I462">
            <v>2026</v>
          </cell>
          <cell r="J462" t="str">
            <v>B</v>
          </cell>
          <cell r="K462" t="str">
            <v>Recoleta</v>
          </cell>
          <cell r="N462" t="str">
            <v>B</v>
          </cell>
        </row>
        <row r="463">
          <cell r="B463" t="str">
            <v/>
          </cell>
          <cell r="C463" t="str">
            <v>LDYECS311S0044398</v>
          </cell>
          <cell r="D463" t="str">
            <v>MDN35025030205</v>
          </cell>
          <cell r="E463" t="str">
            <v>Zhong Thong</v>
          </cell>
          <cell r="F463" t="str">
            <v>Lck6122evg</v>
          </cell>
          <cell r="G463" t="str">
            <v>Zhong Thong</v>
          </cell>
          <cell r="H463" t="str">
            <v>Lck6122evg</v>
          </cell>
          <cell r="I463">
            <v>2026</v>
          </cell>
          <cell r="J463" t="str">
            <v>B</v>
          </cell>
          <cell r="K463" t="str">
            <v>Recoleta</v>
          </cell>
          <cell r="N463" t="str">
            <v>B</v>
          </cell>
        </row>
        <row r="464">
          <cell r="B464" t="str">
            <v/>
          </cell>
          <cell r="C464" t="str">
            <v>LDYECS317S0044339</v>
          </cell>
          <cell r="D464" t="str">
            <v>MDN35025030142</v>
          </cell>
          <cell r="E464" t="str">
            <v>Zhong Thong</v>
          </cell>
          <cell r="F464" t="str">
            <v>Lck6122evg</v>
          </cell>
          <cell r="G464" t="str">
            <v>Zhong Thong</v>
          </cell>
          <cell r="H464" t="str">
            <v>Lck6122evg</v>
          </cell>
          <cell r="I464">
            <v>2026</v>
          </cell>
          <cell r="J464" t="str">
            <v>B</v>
          </cell>
          <cell r="K464" t="str">
            <v>Lo Blanco</v>
          </cell>
          <cell r="N464" t="str">
            <v>B</v>
          </cell>
        </row>
        <row r="465">
          <cell r="B465" t="str">
            <v/>
          </cell>
          <cell r="C465" t="str">
            <v>LDYECS312S0044331</v>
          </cell>
          <cell r="D465" t="str">
            <v>MDN35025030246</v>
          </cell>
          <cell r="E465" t="str">
            <v>Zhong Thong</v>
          </cell>
          <cell r="F465" t="str">
            <v>Lck6122evg</v>
          </cell>
          <cell r="G465" t="str">
            <v>Zhong Thong</v>
          </cell>
          <cell r="H465" t="str">
            <v>Lck6122evg</v>
          </cell>
          <cell r="I465">
            <v>2026</v>
          </cell>
          <cell r="J465" t="str">
            <v>B</v>
          </cell>
          <cell r="K465" t="str">
            <v>Recoleta</v>
          </cell>
          <cell r="N465" t="str">
            <v>B</v>
          </cell>
        </row>
        <row r="466">
          <cell r="B466" t="str">
            <v/>
          </cell>
          <cell r="C466" t="str">
            <v>LDYECS319S0044407</v>
          </cell>
          <cell r="D466" t="str">
            <v>MDN35025030112</v>
          </cell>
          <cell r="E466" t="str">
            <v>Zhong Thong</v>
          </cell>
          <cell r="F466" t="str">
            <v>Lck6122evg</v>
          </cell>
          <cell r="G466" t="str">
            <v>Zhong Thong</v>
          </cell>
          <cell r="H466" t="str">
            <v>Lck6122evg</v>
          </cell>
          <cell r="I466">
            <v>2026</v>
          </cell>
          <cell r="J466" t="str">
            <v>B</v>
          </cell>
          <cell r="K466" t="str">
            <v>Recoleta</v>
          </cell>
          <cell r="N466" t="str">
            <v>B</v>
          </cell>
        </row>
        <row r="467">
          <cell r="B467" t="str">
            <v/>
          </cell>
          <cell r="C467" t="str">
            <v>LDYECS313S0044340</v>
          </cell>
          <cell r="D467" t="str">
            <v>MDN35025010149</v>
          </cell>
          <cell r="E467" t="str">
            <v>Zhong Thong</v>
          </cell>
          <cell r="F467" t="str">
            <v>Lck6122evg</v>
          </cell>
          <cell r="G467" t="str">
            <v>Zhong Thong</v>
          </cell>
          <cell r="H467" t="str">
            <v>Lck6122evg</v>
          </cell>
          <cell r="I467">
            <v>2026</v>
          </cell>
          <cell r="J467" t="str">
            <v>B</v>
          </cell>
          <cell r="K467" t="str">
            <v>Recoleta</v>
          </cell>
          <cell r="N467" t="str">
            <v>B</v>
          </cell>
        </row>
        <row r="468">
          <cell r="B468" t="str">
            <v/>
          </cell>
          <cell r="C468" t="str">
            <v>LDYECS314S0044332</v>
          </cell>
          <cell r="D468" t="str">
            <v>MDN35025030178</v>
          </cell>
          <cell r="E468" t="str">
            <v>Zhong Thong</v>
          </cell>
          <cell r="F468" t="str">
            <v>Lck6122evg</v>
          </cell>
          <cell r="G468" t="str">
            <v>Zhong Thong</v>
          </cell>
          <cell r="H468" t="str">
            <v>Lck6122evg</v>
          </cell>
          <cell r="I468">
            <v>2026</v>
          </cell>
          <cell r="J468" t="str">
            <v>B</v>
          </cell>
          <cell r="K468" t="str">
            <v>Recoleta</v>
          </cell>
          <cell r="N468" t="str">
            <v>B</v>
          </cell>
        </row>
        <row r="469">
          <cell r="B469" t="str">
            <v/>
          </cell>
          <cell r="C469" t="str">
            <v>LDYECS313S0044399</v>
          </cell>
          <cell r="D469" t="str">
            <v>MDN35025030198</v>
          </cell>
          <cell r="E469" t="str">
            <v>Zhong Thong</v>
          </cell>
          <cell r="F469" t="str">
            <v>Lck6122evg</v>
          </cell>
          <cell r="G469" t="str">
            <v>Zhong Thong</v>
          </cell>
          <cell r="H469" t="str">
            <v>Lck6122evg</v>
          </cell>
          <cell r="I469">
            <v>2026</v>
          </cell>
          <cell r="J469" t="str">
            <v>B</v>
          </cell>
          <cell r="K469" t="str">
            <v>Recoleta</v>
          </cell>
          <cell r="N469" t="str">
            <v>B</v>
          </cell>
        </row>
        <row r="470">
          <cell r="B470" t="str">
            <v/>
          </cell>
          <cell r="C470" t="str">
            <v>LDYECS313S0044337</v>
          </cell>
          <cell r="D470" t="str">
            <v>MDN350250138</v>
          </cell>
          <cell r="E470" t="str">
            <v>Zhong Thong</v>
          </cell>
          <cell r="F470" t="str">
            <v>Lck6122evg</v>
          </cell>
          <cell r="G470" t="str">
            <v>Zhong Thong</v>
          </cell>
          <cell r="H470" t="str">
            <v>Lck6122evg</v>
          </cell>
          <cell r="I470">
            <v>2026</v>
          </cell>
          <cell r="J470" t="str">
            <v>B</v>
          </cell>
          <cell r="K470" t="str">
            <v>Recoleta</v>
          </cell>
          <cell r="N470" t="str">
            <v>B</v>
          </cell>
        </row>
        <row r="471">
          <cell r="B471" t="str">
            <v/>
          </cell>
          <cell r="C471" t="str">
            <v>LDYECS313S0044404</v>
          </cell>
          <cell r="D471" t="str">
            <v>MDN35025030001</v>
          </cell>
          <cell r="E471" t="str">
            <v>Zhong Thong</v>
          </cell>
          <cell r="F471" t="str">
            <v>Lck6122evg</v>
          </cell>
          <cell r="G471" t="str">
            <v>Zhong Thong</v>
          </cell>
          <cell r="H471" t="str">
            <v>Lck6122evg</v>
          </cell>
          <cell r="I471">
            <v>2026</v>
          </cell>
          <cell r="J471" t="str">
            <v>B</v>
          </cell>
          <cell r="K471" t="str">
            <v>Recoleta</v>
          </cell>
          <cell r="N471" t="str">
            <v>B</v>
          </cell>
        </row>
        <row r="472">
          <cell r="B472" t="str">
            <v/>
          </cell>
          <cell r="C472" t="str">
            <v>LDYECS310S0044408</v>
          </cell>
          <cell r="D472" t="str">
            <v>MDN35025020174</v>
          </cell>
          <cell r="E472" t="str">
            <v>Zhong Thong</v>
          </cell>
          <cell r="F472" t="str">
            <v>Lck6122evg</v>
          </cell>
          <cell r="G472" t="str">
            <v>Zhong Thong</v>
          </cell>
          <cell r="H472" t="str">
            <v>Lck6122evg</v>
          </cell>
          <cell r="I472">
            <v>2026</v>
          </cell>
          <cell r="J472" t="str">
            <v>B</v>
          </cell>
          <cell r="K472" t="str">
            <v>Ducaud</v>
          </cell>
          <cell r="N472" t="str">
            <v>B</v>
          </cell>
        </row>
        <row r="473">
          <cell r="B473" t="str">
            <v/>
          </cell>
          <cell r="C473" t="str">
            <v>LDYECS315S0044405</v>
          </cell>
          <cell r="D473" t="str">
            <v>MDN35025020253</v>
          </cell>
          <cell r="E473" t="str">
            <v>Zhong Thong</v>
          </cell>
          <cell r="F473" t="str">
            <v>Lck6122evg</v>
          </cell>
          <cell r="G473" t="str">
            <v>Zhong Thong</v>
          </cell>
          <cell r="H473" t="str">
            <v>Lck6122evg</v>
          </cell>
          <cell r="I473">
            <v>2026</v>
          </cell>
          <cell r="J473" t="str">
            <v>B</v>
          </cell>
          <cell r="K473" t="str">
            <v>Ducaud</v>
          </cell>
          <cell r="N473" t="str">
            <v>B</v>
          </cell>
        </row>
        <row r="474">
          <cell r="B474" t="str">
            <v/>
          </cell>
          <cell r="C474" t="str">
            <v>LDYECS316S0044414</v>
          </cell>
          <cell r="D474" t="str">
            <v>MDN35025020075</v>
          </cell>
          <cell r="E474" t="str">
            <v>Zhong Thong</v>
          </cell>
          <cell r="F474" t="str">
            <v>Lck6122evg</v>
          </cell>
          <cell r="G474" t="str">
            <v>Zhong Thong</v>
          </cell>
          <cell r="H474" t="str">
            <v>Lck6122evg</v>
          </cell>
          <cell r="I474">
            <v>2026</v>
          </cell>
          <cell r="J474" t="str">
            <v>B</v>
          </cell>
          <cell r="K474" t="str">
            <v>Ducaud</v>
          </cell>
          <cell r="N474" t="str">
            <v>B</v>
          </cell>
        </row>
        <row r="475">
          <cell r="B475" t="str">
            <v/>
          </cell>
          <cell r="C475" t="str">
            <v>LDYECS313S0044239</v>
          </cell>
          <cell r="D475" t="str">
            <v>MDN35025020137</v>
          </cell>
          <cell r="E475" t="str">
            <v>Zhong Thong</v>
          </cell>
          <cell r="F475" t="str">
            <v>Lck6122evg</v>
          </cell>
          <cell r="G475" t="str">
            <v>Zhong Thong</v>
          </cell>
          <cell r="H475" t="str">
            <v>Lck6122evg</v>
          </cell>
          <cell r="I475">
            <v>2026</v>
          </cell>
          <cell r="J475" t="str">
            <v>B</v>
          </cell>
          <cell r="K475" t="str">
            <v>Ducaud</v>
          </cell>
          <cell r="N475" t="str">
            <v>B</v>
          </cell>
        </row>
        <row r="476">
          <cell r="B476" t="str">
            <v/>
          </cell>
          <cell r="C476" t="str">
            <v>LDYECS316S0044381</v>
          </cell>
          <cell r="D476" t="str">
            <v>MDN35025030006</v>
          </cell>
          <cell r="E476" t="str">
            <v>Zhong Thong</v>
          </cell>
          <cell r="F476" t="str">
            <v>Lck6122evg</v>
          </cell>
          <cell r="G476" t="str">
            <v>Zhong Thong</v>
          </cell>
          <cell r="H476" t="str">
            <v>Lck6122evg</v>
          </cell>
          <cell r="I476">
            <v>2026</v>
          </cell>
          <cell r="J476" t="str">
            <v>B</v>
          </cell>
          <cell r="K476" t="str">
            <v>Ducaud</v>
          </cell>
          <cell r="N476" t="str">
            <v>B</v>
          </cell>
        </row>
        <row r="477">
          <cell r="B477" t="str">
            <v/>
          </cell>
          <cell r="C477" t="str">
            <v>LDYECS311S0044319</v>
          </cell>
          <cell r="D477" t="str">
            <v>MDN35025010158</v>
          </cell>
          <cell r="E477" t="str">
            <v>Zhong Thong</v>
          </cell>
          <cell r="F477" t="str">
            <v>Lck6122evg</v>
          </cell>
          <cell r="G477" t="str">
            <v>Zhong Thong</v>
          </cell>
          <cell r="H477" t="str">
            <v>Lck6122evg</v>
          </cell>
          <cell r="I477">
            <v>2026</v>
          </cell>
          <cell r="J477" t="str">
            <v>B</v>
          </cell>
          <cell r="K477" t="str">
            <v>Ducaud</v>
          </cell>
          <cell r="N477" t="str">
            <v>B</v>
          </cell>
        </row>
        <row r="478">
          <cell r="B478" t="str">
            <v/>
          </cell>
          <cell r="C478" t="str">
            <v>LDYECS318S0044334</v>
          </cell>
          <cell r="D478" t="str">
            <v>MDN35025030245</v>
          </cell>
          <cell r="E478" t="str">
            <v>Zhong Thong</v>
          </cell>
          <cell r="F478" t="str">
            <v>Lck6122evg</v>
          </cell>
          <cell r="G478" t="str">
            <v>Zhong Thong</v>
          </cell>
          <cell r="H478" t="str">
            <v>Lck6122evg</v>
          </cell>
          <cell r="I478">
            <v>2026</v>
          </cell>
          <cell r="J478" t="str">
            <v>B</v>
          </cell>
          <cell r="K478" t="str">
            <v>Ducaud</v>
          </cell>
          <cell r="N478" t="str">
            <v>B</v>
          </cell>
        </row>
        <row r="479">
          <cell r="B479" t="str">
            <v/>
          </cell>
          <cell r="C479" t="str">
            <v>LDYECS312S0044328</v>
          </cell>
          <cell r="D479" t="str">
            <v>MDN35025030204</v>
          </cell>
          <cell r="E479" t="str">
            <v>Zhong Thong</v>
          </cell>
          <cell r="F479" t="str">
            <v>Lck6122evg</v>
          </cell>
          <cell r="G479" t="str">
            <v>Zhong Thong</v>
          </cell>
          <cell r="H479" t="str">
            <v>Lck6122evg</v>
          </cell>
          <cell r="I479">
            <v>2026</v>
          </cell>
          <cell r="J479" t="str">
            <v>B</v>
          </cell>
          <cell r="K479" t="str">
            <v>Recoleta</v>
          </cell>
          <cell r="N479" t="str">
            <v>B</v>
          </cell>
        </row>
        <row r="480">
          <cell r="B480" t="str">
            <v/>
          </cell>
          <cell r="C480" t="str">
            <v>LDYECS310S0044389</v>
          </cell>
          <cell r="D480" t="str">
            <v>MDN35025010119</v>
          </cell>
          <cell r="E480" t="str">
            <v>Zhong Thong</v>
          </cell>
          <cell r="F480" t="str">
            <v>Lck6122evg</v>
          </cell>
          <cell r="G480" t="str">
            <v>Zhong Thong</v>
          </cell>
          <cell r="H480" t="str">
            <v>Lck6122evg</v>
          </cell>
          <cell r="I480">
            <v>2026</v>
          </cell>
          <cell r="J480" t="str">
            <v>B</v>
          </cell>
          <cell r="K480" t="str">
            <v>Lo Blanco</v>
          </cell>
          <cell r="N480" t="str">
            <v>B</v>
          </cell>
        </row>
        <row r="481">
          <cell r="B481" t="str">
            <v/>
          </cell>
          <cell r="C481" t="str">
            <v>LDYECS31XS0044321</v>
          </cell>
          <cell r="D481" t="str">
            <v>MDN35025010152</v>
          </cell>
          <cell r="E481" t="str">
            <v>Zhong Thong</v>
          </cell>
          <cell r="F481" t="str">
            <v>Lck6122evg</v>
          </cell>
          <cell r="G481" t="str">
            <v>Zhong Thong</v>
          </cell>
          <cell r="H481" t="str">
            <v>Lck6122evg</v>
          </cell>
          <cell r="I481">
            <v>2026</v>
          </cell>
          <cell r="J481" t="str">
            <v>B</v>
          </cell>
          <cell r="K481" t="str">
            <v>Lo Blanco</v>
          </cell>
          <cell r="N481" t="str">
            <v>B</v>
          </cell>
        </row>
        <row r="482">
          <cell r="B482" t="str">
            <v/>
          </cell>
          <cell r="C482" t="str">
            <v>LDYECS318S0044396</v>
          </cell>
          <cell r="D482" t="str">
            <v>MDN35025010167</v>
          </cell>
          <cell r="E482" t="str">
            <v>Zhong Thong</v>
          </cell>
          <cell r="F482" t="str">
            <v>Lck6122evg</v>
          </cell>
          <cell r="G482" t="str">
            <v>Zhong Thong</v>
          </cell>
          <cell r="H482" t="str">
            <v>Lck6122evg</v>
          </cell>
          <cell r="I482">
            <v>2026</v>
          </cell>
          <cell r="J482" t="str">
            <v>B</v>
          </cell>
          <cell r="K482" t="str">
            <v>Lo Blanco</v>
          </cell>
          <cell r="N482" t="str">
            <v>B</v>
          </cell>
        </row>
        <row r="483">
          <cell r="B483" t="str">
            <v/>
          </cell>
          <cell r="C483" t="str">
            <v>LDYECS315S0044341</v>
          </cell>
          <cell r="D483" t="str">
            <v>MDN35025030185</v>
          </cell>
          <cell r="E483" t="str">
            <v>Zhong Thong</v>
          </cell>
          <cell r="F483" t="str">
            <v>Lck6122evg</v>
          </cell>
          <cell r="G483" t="str">
            <v>Zhong Thong</v>
          </cell>
          <cell r="H483" t="str">
            <v>Lck6122evg</v>
          </cell>
          <cell r="I483">
            <v>2026</v>
          </cell>
          <cell r="J483" t="str">
            <v>B</v>
          </cell>
          <cell r="K483" t="str">
            <v>Lo Blanco</v>
          </cell>
          <cell r="N483" t="str">
            <v>B</v>
          </cell>
        </row>
        <row r="484">
          <cell r="B484" t="str">
            <v/>
          </cell>
          <cell r="C484" t="str">
            <v>LDYECS316S0044333</v>
          </cell>
          <cell r="D484" t="str">
            <v>MDN35025030188</v>
          </cell>
          <cell r="E484" t="str">
            <v>Zhong Thong</v>
          </cell>
          <cell r="F484" t="str">
            <v>Lck6122evg</v>
          </cell>
          <cell r="G484" t="str">
            <v>Zhong Thong</v>
          </cell>
          <cell r="H484" t="str">
            <v>Lck6122evg</v>
          </cell>
          <cell r="I484">
            <v>2026</v>
          </cell>
          <cell r="J484" t="str">
            <v>B</v>
          </cell>
          <cell r="K484" t="str">
            <v>Lo Blanco</v>
          </cell>
          <cell r="N484" t="str">
            <v>B</v>
          </cell>
        </row>
        <row r="485">
          <cell r="B485" t="str">
            <v/>
          </cell>
          <cell r="C485" t="str">
            <v>LDYECS311S0044417</v>
          </cell>
          <cell r="D485" t="str">
            <v>MDN35025030119</v>
          </cell>
          <cell r="E485" t="str">
            <v>Zhong Thong</v>
          </cell>
          <cell r="F485" t="str">
            <v>Lck6122evg</v>
          </cell>
          <cell r="G485" t="str">
            <v>Zhong Thong</v>
          </cell>
          <cell r="H485" t="str">
            <v>Lck6122evg</v>
          </cell>
          <cell r="I485">
            <v>2026</v>
          </cell>
          <cell r="J485" t="str">
            <v>B</v>
          </cell>
          <cell r="K485" t="str">
            <v>Lo Blanco</v>
          </cell>
          <cell r="N485" t="str">
            <v>B</v>
          </cell>
        </row>
        <row r="486">
          <cell r="B486" t="str">
            <v/>
          </cell>
          <cell r="C486" t="str">
            <v>LDYECS31XS0044416</v>
          </cell>
          <cell r="D486" t="str">
            <v>MDN35025020083</v>
          </cell>
          <cell r="E486" t="str">
            <v>Zhong Thong</v>
          </cell>
          <cell r="F486" t="str">
            <v>Lck6122evg</v>
          </cell>
          <cell r="G486" t="str">
            <v>Zhong Thong</v>
          </cell>
          <cell r="H486" t="str">
            <v>Lck6122evg</v>
          </cell>
          <cell r="I486">
            <v>2026</v>
          </cell>
          <cell r="J486" t="str">
            <v>B</v>
          </cell>
          <cell r="K486" t="str">
            <v>Lo Blanco</v>
          </cell>
          <cell r="N486" t="str">
            <v>B</v>
          </cell>
        </row>
        <row r="487">
          <cell r="B487" t="str">
            <v/>
          </cell>
          <cell r="C487" t="str">
            <v>LDYECS318S0044401</v>
          </cell>
          <cell r="D487" t="str">
            <v>MDN35025030148</v>
          </cell>
          <cell r="E487" t="str">
            <v>Zhong Thong</v>
          </cell>
          <cell r="F487" t="str">
            <v>Lck6122evg</v>
          </cell>
          <cell r="G487" t="str">
            <v>Zhong Thong</v>
          </cell>
          <cell r="H487" t="str">
            <v>Lck6122evg</v>
          </cell>
          <cell r="I487">
            <v>2026</v>
          </cell>
          <cell r="J487" t="str">
            <v>B</v>
          </cell>
          <cell r="K487" t="str">
            <v>Lo Blanco</v>
          </cell>
          <cell r="N487" t="str">
            <v>B</v>
          </cell>
        </row>
        <row r="488">
          <cell r="B488" t="str">
            <v/>
          </cell>
          <cell r="C488" t="str">
            <v>LDYECS31XS0044402</v>
          </cell>
          <cell r="D488" t="str">
            <v>MDN35025030252</v>
          </cell>
          <cell r="E488" t="str">
            <v>Zhong Thong</v>
          </cell>
          <cell r="F488" t="str">
            <v>Lck6122evg</v>
          </cell>
          <cell r="G488" t="str">
            <v>Zhong Thong</v>
          </cell>
          <cell r="H488" t="str">
            <v>Lck6122evg</v>
          </cell>
          <cell r="I488">
            <v>2026</v>
          </cell>
          <cell r="J488" t="str">
            <v>B</v>
          </cell>
          <cell r="K488" t="str">
            <v>Lo Blanco</v>
          </cell>
          <cell r="N488" t="str">
            <v>B</v>
          </cell>
        </row>
        <row r="489">
          <cell r="B489" t="str">
            <v/>
          </cell>
          <cell r="C489" t="str">
            <v>LDYECS318S0044415</v>
          </cell>
          <cell r="D489" t="str">
            <v>MDN35025030034</v>
          </cell>
          <cell r="E489" t="str">
            <v>Zhong Thong</v>
          </cell>
          <cell r="F489" t="str">
            <v>Lck6122evg</v>
          </cell>
          <cell r="G489" t="str">
            <v>Zhong Thong</v>
          </cell>
          <cell r="H489" t="str">
            <v>Lck6122evg</v>
          </cell>
          <cell r="I489">
            <v>2026</v>
          </cell>
          <cell r="J489" t="str">
            <v>B</v>
          </cell>
          <cell r="K489" t="str">
            <v>Lo Blanco</v>
          </cell>
          <cell r="N489" t="str">
            <v>B</v>
          </cell>
        </row>
        <row r="490">
          <cell r="B490" t="str">
            <v/>
          </cell>
          <cell r="C490" t="str">
            <v>LDYECS314S0044413</v>
          </cell>
          <cell r="D490" t="str">
            <v>MDN35025030256</v>
          </cell>
          <cell r="E490" t="str">
            <v>Zhong Thong</v>
          </cell>
          <cell r="F490" t="str">
            <v>Lck6122evg</v>
          </cell>
          <cell r="G490" t="str">
            <v>Zhong Thong</v>
          </cell>
          <cell r="H490" t="str">
            <v>Lck6122evg</v>
          </cell>
          <cell r="I490">
            <v>2026</v>
          </cell>
          <cell r="J490" t="str">
            <v>B</v>
          </cell>
          <cell r="K490" t="str">
            <v>Lo Blanco</v>
          </cell>
          <cell r="N490" t="str">
            <v>B</v>
          </cell>
        </row>
        <row r="491">
          <cell r="B491" t="str">
            <v/>
          </cell>
          <cell r="C491" t="str">
            <v>LDYECS312S0044412</v>
          </cell>
          <cell r="D491" t="str">
            <v>MDN35025020183</v>
          </cell>
          <cell r="E491" t="str">
            <v>Zhong Thong</v>
          </cell>
          <cell r="F491" t="str">
            <v>Lck6122evg</v>
          </cell>
          <cell r="G491" t="str">
            <v>Zhong Thong</v>
          </cell>
          <cell r="H491" t="str">
            <v>Lck6122evg</v>
          </cell>
          <cell r="I491">
            <v>2026</v>
          </cell>
          <cell r="J491" t="str">
            <v>B</v>
          </cell>
          <cell r="K491" t="str">
            <v>Lo Blanco</v>
          </cell>
          <cell r="N491" t="str">
            <v>B</v>
          </cell>
        </row>
        <row r="492">
          <cell r="B492" t="str">
            <v/>
          </cell>
          <cell r="C492" t="str">
            <v>LDYECS315S0044162</v>
          </cell>
          <cell r="D492" t="str">
            <v>MDN35025020184</v>
          </cell>
          <cell r="E492" t="str">
            <v>Zhong Thong</v>
          </cell>
          <cell r="F492" t="str">
            <v>Lck6122evg</v>
          </cell>
          <cell r="G492" t="str">
            <v>Zhong Thong</v>
          </cell>
          <cell r="H492" t="str">
            <v>Lck6122evg</v>
          </cell>
          <cell r="I492">
            <v>2026</v>
          </cell>
          <cell r="J492" t="str">
            <v>B</v>
          </cell>
          <cell r="K492" t="str">
            <v>Lo Blanco</v>
          </cell>
          <cell r="N492" t="str">
            <v>B</v>
          </cell>
        </row>
        <row r="493">
          <cell r="B493" t="str">
            <v/>
          </cell>
          <cell r="C493" t="str">
            <v>LDYECS311S0044174</v>
          </cell>
          <cell r="D493" t="str">
            <v>MDN35025020232</v>
          </cell>
          <cell r="E493" t="str">
            <v>Zhong Thong</v>
          </cell>
          <cell r="F493" t="str">
            <v>Lck6122evg</v>
          </cell>
          <cell r="G493" t="str">
            <v>Zhong Thong</v>
          </cell>
          <cell r="H493" t="str">
            <v>Lck6122evg</v>
          </cell>
          <cell r="I493">
            <v>2026</v>
          </cell>
          <cell r="J493" t="str">
            <v>B</v>
          </cell>
          <cell r="K493" t="str">
            <v>Ducaud</v>
          </cell>
          <cell r="N493" t="str">
            <v>B</v>
          </cell>
        </row>
        <row r="494">
          <cell r="B494" t="str">
            <v/>
          </cell>
          <cell r="C494" t="str">
            <v>LDYECS310S0044179</v>
          </cell>
          <cell r="D494" t="str">
            <v>MDN35025020240</v>
          </cell>
          <cell r="E494" t="str">
            <v>Zhong Thong</v>
          </cell>
          <cell r="F494" t="str">
            <v>Lck6122evg</v>
          </cell>
          <cell r="G494" t="str">
            <v>Zhong Thong</v>
          </cell>
          <cell r="H494" t="str">
            <v>Lck6122evg</v>
          </cell>
          <cell r="I494">
            <v>2026</v>
          </cell>
          <cell r="J494" t="str">
            <v>B</v>
          </cell>
          <cell r="K494" t="str">
            <v>Ducaud</v>
          </cell>
          <cell r="N494" t="str">
            <v>B</v>
          </cell>
        </row>
        <row r="495">
          <cell r="B495" t="str">
            <v/>
          </cell>
          <cell r="C495" t="str">
            <v>LDYECS316S0044171</v>
          </cell>
          <cell r="D495" t="str">
            <v>MDN35025020235</v>
          </cell>
          <cell r="E495" t="str">
            <v>Zhong Thong</v>
          </cell>
          <cell r="F495" t="str">
            <v>Lck6122evg</v>
          </cell>
          <cell r="G495" t="str">
            <v>Zhong Thong</v>
          </cell>
          <cell r="H495" t="str">
            <v>Lck6122evg</v>
          </cell>
          <cell r="I495">
            <v>2026</v>
          </cell>
          <cell r="J495" t="str">
            <v>B</v>
          </cell>
          <cell r="K495" t="str">
            <v>Ducaud</v>
          </cell>
          <cell r="N495" t="str">
            <v>B</v>
          </cell>
        </row>
        <row r="496">
          <cell r="B496" t="str">
            <v/>
          </cell>
          <cell r="C496" t="str">
            <v>LDYECS315S0044226</v>
          </cell>
          <cell r="D496" t="str">
            <v>MDN35025020140</v>
          </cell>
          <cell r="E496" t="str">
            <v>Zhong Thong</v>
          </cell>
          <cell r="F496" t="str">
            <v>Lck6122evg</v>
          </cell>
          <cell r="G496" t="str">
            <v>Zhong Thong</v>
          </cell>
          <cell r="H496" t="str">
            <v>Lck6122evg</v>
          </cell>
          <cell r="I496">
            <v>2026</v>
          </cell>
          <cell r="J496" t="str">
            <v>B</v>
          </cell>
          <cell r="K496" t="str">
            <v>Lo Blanco</v>
          </cell>
          <cell r="N496" t="str">
            <v>B</v>
          </cell>
        </row>
        <row r="497">
          <cell r="B497" t="str">
            <v/>
          </cell>
          <cell r="C497" t="str">
            <v>LDYECS311S0044241</v>
          </cell>
          <cell r="D497" t="str">
            <v>MDN35025020192</v>
          </cell>
          <cell r="E497" t="str">
            <v>Zhong Thong</v>
          </cell>
          <cell r="F497" t="str">
            <v>Lck6122evg</v>
          </cell>
          <cell r="G497" t="str">
            <v>Zhong Thong</v>
          </cell>
          <cell r="H497" t="str">
            <v>Lck6122evg</v>
          </cell>
          <cell r="I497">
            <v>2026</v>
          </cell>
          <cell r="J497" t="str">
            <v>B</v>
          </cell>
          <cell r="K497" t="str">
            <v>Lo Blanco</v>
          </cell>
          <cell r="N497" t="str">
            <v>B</v>
          </cell>
        </row>
        <row r="498">
          <cell r="B498" t="str">
            <v/>
          </cell>
          <cell r="C498" t="str">
            <v>LDYECS310S0044148</v>
          </cell>
          <cell r="D498" t="str">
            <v>MDN35025030010</v>
          </cell>
          <cell r="E498" t="str">
            <v>Zhong Thong</v>
          </cell>
          <cell r="F498" t="str">
            <v>Lck6122evg</v>
          </cell>
          <cell r="G498" t="str">
            <v>Zhong Thong</v>
          </cell>
          <cell r="H498" t="str">
            <v>Lck6122evg</v>
          </cell>
          <cell r="I498">
            <v>2026</v>
          </cell>
          <cell r="J498" t="str">
            <v>B</v>
          </cell>
          <cell r="K498" t="str">
            <v>Lo Blanco</v>
          </cell>
          <cell r="N498" t="str">
            <v>B</v>
          </cell>
        </row>
        <row r="499">
          <cell r="B499" t="str">
            <v/>
          </cell>
          <cell r="C499" t="str">
            <v>LDYECS315S0044159</v>
          </cell>
          <cell r="D499" t="str">
            <v>MDN35025020161</v>
          </cell>
          <cell r="E499" t="str">
            <v>Zhong Thong</v>
          </cell>
          <cell r="F499" t="str">
            <v>Lck6122evg</v>
          </cell>
          <cell r="G499" t="str">
            <v>Zhong Thong</v>
          </cell>
          <cell r="H499" t="str">
            <v>Lck6122evg</v>
          </cell>
          <cell r="I499">
            <v>2026</v>
          </cell>
          <cell r="J499" t="str">
            <v>B</v>
          </cell>
          <cell r="K499" t="str">
            <v>Lo Blanco</v>
          </cell>
          <cell r="N499" t="str">
            <v>B</v>
          </cell>
        </row>
        <row r="500">
          <cell r="B500" t="str">
            <v/>
          </cell>
          <cell r="C500" t="str">
            <v>LDYECS310S0044232</v>
          </cell>
          <cell r="D500" t="str">
            <v>MDN35025030039</v>
          </cell>
          <cell r="E500" t="str">
            <v>Zhong Thong</v>
          </cell>
          <cell r="F500" t="str">
            <v>Lck6122evg</v>
          </cell>
          <cell r="G500" t="str">
            <v>Zhong Thong</v>
          </cell>
          <cell r="H500" t="str">
            <v>Lck6122evg</v>
          </cell>
          <cell r="I500">
            <v>2026</v>
          </cell>
          <cell r="J500" t="str">
            <v>B</v>
          </cell>
          <cell r="K500" t="str">
            <v>Lo Blanco</v>
          </cell>
          <cell r="N500" t="str">
            <v>B</v>
          </cell>
        </row>
        <row r="501">
          <cell r="B501" t="str">
            <v/>
          </cell>
          <cell r="C501" t="str">
            <v>LDYECS311S0044157</v>
          </cell>
          <cell r="D501" t="str">
            <v>MDN35025020182</v>
          </cell>
          <cell r="E501" t="str">
            <v>Zhong Thong</v>
          </cell>
          <cell r="F501" t="str">
            <v>Lck6122evg</v>
          </cell>
          <cell r="G501" t="str">
            <v>Zhong Thong</v>
          </cell>
          <cell r="H501" t="str">
            <v>Lck6122evg</v>
          </cell>
          <cell r="I501">
            <v>2026</v>
          </cell>
          <cell r="J501" t="str">
            <v>B</v>
          </cell>
          <cell r="K501" t="str">
            <v>Lo Blanco</v>
          </cell>
          <cell r="N501" t="str">
            <v>B</v>
          </cell>
        </row>
        <row r="502">
          <cell r="B502" t="str">
            <v/>
          </cell>
          <cell r="C502" t="str">
            <v>LDYECS319S0044150</v>
          </cell>
          <cell r="D502" t="str">
            <v>MDN35025030054</v>
          </cell>
          <cell r="E502" t="str">
            <v>Zhong Thong</v>
          </cell>
          <cell r="F502" t="str">
            <v>Lck6122evg</v>
          </cell>
          <cell r="G502" t="str">
            <v>Zhong Thong</v>
          </cell>
          <cell r="H502" t="str">
            <v>Lck6122evg</v>
          </cell>
          <cell r="I502">
            <v>2026</v>
          </cell>
          <cell r="J502" t="str">
            <v>B</v>
          </cell>
          <cell r="K502" t="str">
            <v>Lo Blanco</v>
          </cell>
          <cell r="N502" t="str">
            <v>B</v>
          </cell>
        </row>
        <row r="503">
          <cell r="B503" t="str">
            <v/>
          </cell>
          <cell r="C503" t="str">
            <v>LDYECS319S0044164</v>
          </cell>
          <cell r="D503" t="str">
            <v>MDN35025020178</v>
          </cell>
          <cell r="E503" t="str">
            <v>Zhong Thong</v>
          </cell>
          <cell r="F503" t="str">
            <v>Lck6122evg</v>
          </cell>
          <cell r="G503" t="str">
            <v>Zhong Thong</v>
          </cell>
          <cell r="H503" t="str">
            <v>Lck6122evg</v>
          </cell>
          <cell r="I503">
            <v>2026</v>
          </cell>
          <cell r="J503" t="str">
            <v>B</v>
          </cell>
          <cell r="K503" t="str">
            <v>Lo Blanco</v>
          </cell>
          <cell r="N503" t="str">
            <v>B</v>
          </cell>
        </row>
        <row r="504">
          <cell r="B504" t="str">
            <v/>
          </cell>
          <cell r="C504" t="str">
            <v>LDTECS314S0044234</v>
          </cell>
          <cell r="D504" t="str">
            <v>MDN35025020193</v>
          </cell>
          <cell r="E504" t="str">
            <v>Zhong Thong</v>
          </cell>
          <cell r="F504" t="str">
            <v>Lck6122evg</v>
          </cell>
          <cell r="G504" t="str">
            <v>Zhong Thong</v>
          </cell>
          <cell r="H504" t="str">
            <v>Lck6122evg</v>
          </cell>
          <cell r="I504">
            <v>2026</v>
          </cell>
          <cell r="J504" t="str">
            <v>B</v>
          </cell>
          <cell r="K504" t="str">
            <v>Lo Blanco</v>
          </cell>
          <cell r="N504" t="str">
            <v>B</v>
          </cell>
        </row>
        <row r="505">
          <cell r="B505" t="str">
            <v/>
          </cell>
          <cell r="C505" t="str">
            <v>LDYECS31XS0044254</v>
          </cell>
          <cell r="D505" t="str">
            <v>MDN35025020258</v>
          </cell>
          <cell r="E505" t="str">
            <v>Zhong Thong</v>
          </cell>
          <cell r="F505" t="str">
            <v>Lck6122evg</v>
          </cell>
          <cell r="G505" t="str">
            <v>Zhong Thong</v>
          </cell>
          <cell r="H505" t="str">
            <v>Lck6122evg</v>
          </cell>
          <cell r="I505">
            <v>2026</v>
          </cell>
          <cell r="J505" t="str">
            <v>B</v>
          </cell>
          <cell r="K505" t="str">
            <v>Lo Blanco</v>
          </cell>
          <cell r="N505" t="str">
            <v>B</v>
          </cell>
        </row>
        <row r="506">
          <cell r="B506" t="str">
            <v/>
          </cell>
          <cell r="C506" t="str">
            <v>LDYECS313S0044256</v>
          </cell>
          <cell r="D506" t="str">
            <v>MDN35025020180</v>
          </cell>
          <cell r="E506" t="str">
            <v>Zhong Thong</v>
          </cell>
          <cell r="F506" t="str">
            <v>Lck6122evg</v>
          </cell>
          <cell r="G506" t="str">
            <v>Zhong Thong</v>
          </cell>
          <cell r="H506" t="str">
            <v>Lck6122evg</v>
          </cell>
          <cell r="I506">
            <v>2026</v>
          </cell>
          <cell r="J506" t="str">
            <v>B</v>
          </cell>
          <cell r="K506" t="str">
            <v>Ducaud</v>
          </cell>
          <cell r="N506" t="str">
            <v>B</v>
          </cell>
        </row>
        <row r="507">
          <cell r="B507" t="str">
            <v/>
          </cell>
          <cell r="C507" t="str">
            <v>LDYECS316S0044252</v>
          </cell>
          <cell r="D507" t="str">
            <v>MDN35025020172</v>
          </cell>
          <cell r="E507" t="str">
            <v>Zhong Thong</v>
          </cell>
          <cell r="F507" t="str">
            <v>Lck6122evg</v>
          </cell>
          <cell r="G507" t="str">
            <v>Zhong Thong</v>
          </cell>
          <cell r="H507" t="str">
            <v>Lck6122evg</v>
          </cell>
          <cell r="I507">
            <v>2026</v>
          </cell>
          <cell r="J507" t="str">
            <v>B</v>
          </cell>
          <cell r="K507" t="str">
            <v>Ducaud</v>
          </cell>
          <cell r="N507" t="str">
            <v>B</v>
          </cell>
        </row>
        <row r="508">
          <cell r="B508" t="str">
            <v/>
          </cell>
          <cell r="C508" t="str">
            <v>LDYECS318S0044253</v>
          </cell>
          <cell r="D508" t="str">
            <v>MDN35025010248</v>
          </cell>
          <cell r="E508" t="str">
            <v>Zhong Thong</v>
          </cell>
          <cell r="F508" t="str">
            <v>Lck6122evg</v>
          </cell>
          <cell r="G508" t="str">
            <v>Zhong Thong</v>
          </cell>
          <cell r="H508" t="str">
            <v>Lck6122evg</v>
          </cell>
          <cell r="I508">
            <v>2026</v>
          </cell>
          <cell r="J508" t="str">
            <v>B</v>
          </cell>
          <cell r="K508" t="str">
            <v>Ducaud</v>
          </cell>
          <cell r="N508" t="str">
            <v>B</v>
          </cell>
        </row>
        <row r="509">
          <cell r="B509" t="str">
            <v/>
          </cell>
          <cell r="C509" t="str">
            <v>LDYECS318S0044186</v>
          </cell>
          <cell r="D509" t="str">
            <v>MDN35025020159</v>
          </cell>
          <cell r="E509" t="str">
            <v>Zhong Thong</v>
          </cell>
          <cell r="F509" t="str">
            <v>Lck6122evg</v>
          </cell>
          <cell r="G509" t="str">
            <v>Zhong Thong</v>
          </cell>
          <cell r="H509" t="str">
            <v>Lck6122evg</v>
          </cell>
          <cell r="I509">
            <v>2026</v>
          </cell>
          <cell r="J509" t="str">
            <v>B</v>
          </cell>
          <cell r="K509" t="str">
            <v>Ducaud</v>
          </cell>
          <cell r="N509" t="str">
            <v>B</v>
          </cell>
        </row>
        <row r="510">
          <cell r="B510" t="str">
            <v/>
          </cell>
          <cell r="C510" t="str">
            <v>LDYECS310S0044196</v>
          </cell>
          <cell r="D510" t="str">
            <v>MDN35025020243</v>
          </cell>
          <cell r="E510" t="str">
            <v>Zhong Thong</v>
          </cell>
          <cell r="F510" t="str">
            <v>Lck6122evg</v>
          </cell>
          <cell r="G510" t="str">
            <v>Zhong Thong</v>
          </cell>
          <cell r="H510" t="str">
            <v>Lck6122evg</v>
          </cell>
          <cell r="I510">
            <v>2026</v>
          </cell>
          <cell r="J510" t="str">
            <v>B</v>
          </cell>
          <cell r="K510" t="str">
            <v>Ducaud</v>
          </cell>
          <cell r="N510" t="str">
            <v>B</v>
          </cell>
        </row>
        <row r="511">
          <cell r="B511" t="str">
            <v/>
          </cell>
          <cell r="C511" t="str">
            <v>LDYECS317S0044308</v>
          </cell>
          <cell r="D511" t="str">
            <v>MDN35025010207</v>
          </cell>
          <cell r="E511" t="str">
            <v>Zhong Thong</v>
          </cell>
          <cell r="F511" t="str">
            <v>Lck6122evg</v>
          </cell>
          <cell r="G511" t="str">
            <v>Zhong Thong</v>
          </cell>
          <cell r="H511" t="str">
            <v>Lck6122evg</v>
          </cell>
          <cell r="I511">
            <v>2026</v>
          </cell>
          <cell r="J511" t="str">
            <v>B</v>
          </cell>
          <cell r="K511" t="str">
            <v>Ducaud</v>
          </cell>
          <cell r="N511" t="str">
            <v>B</v>
          </cell>
        </row>
        <row r="512">
          <cell r="B512" t="str">
            <v/>
          </cell>
          <cell r="C512" t="str">
            <v>LDYECS31XS0044366</v>
          </cell>
          <cell r="D512" t="str">
            <v>MDN35025010076</v>
          </cell>
          <cell r="E512" t="str">
            <v>Zhong Thong</v>
          </cell>
          <cell r="F512" t="str">
            <v>Lck6122evg</v>
          </cell>
          <cell r="G512" t="str">
            <v>Zhong Thong</v>
          </cell>
          <cell r="H512" t="str">
            <v>Lck6122evg</v>
          </cell>
          <cell r="I512">
            <v>2026</v>
          </cell>
          <cell r="J512" t="str">
            <v>B</v>
          </cell>
          <cell r="K512" t="str">
            <v>Ducaud</v>
          </cell>
          <cell r="N512" t="str">
            <v>B</v>
          </cell>
        </row>
        <row r="513">
          <cell r="B513" t="str">
            <v/>
          </cell>
          <cell r="C513" t="str">
            <v>LDYECS310S0044411</v>
          </cell>
          <cell r="D513" t="str">
            <v>MDN35025010155</v>
          </cell>
          <cell r="E513" t="str">
            <v>Zhong Thong</v>
          </cell>
          <cell r="F513" t="str">
            <v>Lck6122evg</v>
          </cell>
          <cell r="G513" t="str">
            <v>Zhong Thong</v>
          </cell>
          <cell r="H513" t="str">
            <v>Lck6122evg</v>
          </cell>
          <cell r="I513">
            <v>2026</v>
          </cell>
          <cell r="J513" t="str">
            <v>B</v>
          </cell>
          <cell r="K513" t="str">
            <v>Ducaud</v>
          </cell>
          <cell r="N513" t="str">
            <v>B</v>
          </cell>
        </row>
        <row r="514">
          <cell r="B514" t="str">
            <v/>
          </cell>
          <cell r="C514" t="str">
            <v>LDYECS318S0044382</v>
          </cell>
          <cell r="D514" t="str">
            <v>MDN35025030032</v>
          </cell>
          <cell r="E514" t="str">
            <v>Zhong Thong</v>
          </cell>
          <cell r="F514" t="str">
            <v>Lck6122evg</v>
          </cell>
          <cell r="G514" t="str">
            <v>Zhong Thong</v>
          </cell>
          <cell r="H514" t="str">
            <v>Lck6122evg</v>
          </cell>
          <cell r="I514">
            <v>2026</v>
          </cell>
          <cell r="J514" t="str">
            <v>B</v>
          </cell>
          <cell r="K514" t="str">
            <v>Ducaud</v>
          </cell>
          <cell r="N514" t="str">
            <v>B</v>
          </cell>
        </row>
        <row r="515">
          <cell r="B515" t="str">
            <v/>
          </cell>
          <cell r="C515" t="str">
            <v>LDYECS316S0044316</v>
          </cell>
          <cell r="D515" t="str">
            <v>MDN35025030023</v>
          </cell>
          <cell r="E515" t="str">
            <v>Zhong Thong</v>
          </cell>
          <cell r="F515" t="str">
            <v>Lck6122evg</v>
          </cell>
          <cell r="G515" t="str">
            <v>Zhong Thong</v>
          </cell>
          <cell r="H515" t="str">
            <v>Lck6122evg</v>
          </cell>
          <cell r="I515">
            <v>2026</v>
          </cell>
          <cell r="J515" t="str">
            <v>B</v>
          </cell>
          <cell r="K515" t="str">
            <v>Ducaud</v>
          </cell>
          <cell r="N515" t="str">
            <v>B</v>
          </cell>
        </row>
        <row r="516">
          <cell r="B516" t="str">
            <v/>
          </cell>
          <cell r="C516" t="str">
            <v>LDYECS316S0044168</v>
          </cell>
          <cell r="D516" t="str">
            <v>MDN35025020215</v>
          </cell>
          <cell r="E516" t="str">
            <v>Zhong Thong</v>
          </cell>
          <cell r="F516" t="str">
            <v>Lck6122evg</v>
          </cell>
          <cell r="G516" t="str">
            <v>Zhong Thong</v>
          </cell>
          <cell r="H516" t="str">
            <v>Lck6122evg</v>
          </cell>
          <cell r="I516">
            <v>2026</v>
          </cell>
          <cell r="J516" t="str">
            <v>B</v>
          </cell>
          <cell r="K516" t="str">
            <v>Lo Blanco</v>
          </cell>
          <cell r="N516" t="str">
            <v>B</v>
          </cell>
        </row>
        <row r="517">
          <cell r="B517" t="str">
            <v/>
          </cell>
          <cell r="C517" t="str">
            <v>LDYECS311S0044160</v>
          </cell>
          <cell r="D517" t="str">
            <v>MDN35025020177</v>
          </cell>
          <cell r="E517" t="str">
            <v>Zhong Thong</v>
          </cell>
          <cell r="F517" t="str">
            <v>Lck6122evg</v>
          </cell>
          <cell r="G517" t="str">
            <v>Zhong Thong</v>
          </cell>
          <cell r="H517" t="str">
            <v>Lck6122evg</v>
          </cell>
          <cell r="I517">
            <v>2026</v>
          </cell>
          <cell r="J517" t="str">
            <v>B</v>
          </cell>
          <cell r="K517" t="str">
            <v>Lo Blanco</v>
          </cell>
          <cell r="N517" t="str">
            <v>B</v>
          </cell>
        </row>
        <row r="518">
          <cell r="B518" t="str">
            <v/>
          </cell>
          <cell r="C518" t="str">
            <v>LDYECS310S0044277</v>
          </cell>
          <cell r="D518" t="str">
            <v>MDN35025020175</v>
          </cell>
          <cell r="E518" t="str">
            <v>Zhong Thong</v>
          </cell>
          <cell r="F518" t="str">
            <v>Lck6122evg</v>
          </cell>
          <cell r="G518" t="str">
            <v>Zhong Thong</v>
          </cell>
          <cell r="H518" t="str">
            <v>Lck6122evg</v>
          </cell>
          <cell r="I518">
            <v>2026</v>
          </cell>
          <cell r="J518" t="str">
            <v>B</v>
          </cell>
          <cell r="K518" t="str">
            <v>Ducaud</v>
          </cell>
          <cell r="N518" t="str">
            <v>B</v>
          </cell>
        </row>
        <row r="519">
          <cell r="B519" t="str">
            <v/>
          </cell>
          <cell r="C519" t="str">
            <v>LDYECS312S0044166</v>
          </cell>
          <cell r="D519" t="str">
            <v>MDN35025020222</v>
          </cell>
          <cell r="E519" t="str">
            <v>Zhong Thong</v>
          </cell>
          <cell r="F519" t="str">
            <v>Lck6122evg</v>
          </cell>
          <cell r="G519" t="str">
            <v>Zhong Thong</v>
          </cell>
          <cell r="H519" t="str">
            <v>Lck6122evg</v>
          </cell>
          <cell r="I519">
            <v>2026</v>
          </cell>
          <cell r="J519" t="str">
            <v>B</v>
          </cell>
          <cell r="K519" t="str">
            <v>Lo Blanco</v>
          </cell>
          <cell r="N519" t="str">
            <v>B</v>
          </cell>
        </row>
        <row r="520">
          <cell r="B520" t="str">
            <v/>
          </cell>
          <cell r="C520" t="str">
            <v>LDYECS314S0044217</v>
          </cell>
          <cell r="D520" t="str">
            <v>MDN35025010179</v>
          </cell>
          <cell r="E520" t="str">
            <v>Zhong Thong</v>
          </cell>
          <cell r="F520" t="str">
            <v>Lck6122evg</v>
          </cell>
          <cell r="G520" t="str">
            <v>Zhong Thong</v>
          </cell>
          <cell r="H520" t="str">
            <v>Lck6122evg</v>
          </cell>
          <cell r="I520">
            <v>2026</v>
          </cell>
          <cell r="J520" t="str">
            <v>B</v>
          </cell>
          <cell r="K520" t="str">
            <v>Ducaud</v>
          </cell>
          <cell r="N520" t="str">
            <v>B</v>
          </cell>
        </row>
        <row r="521">
          <cell r="B521" t="str">
            <v/>
          </cell>
          <cell r="C521" t="str">
            <v>LDYECS313S0044273</v>
          </cell>
          <cell r="D521" t="str">
            <v>MDN5025020155</v>
          </cell>
          <cell r="E521" t="str">
            <v>Zhong Thong</v>
          </cell>
          <cell r="F521" t="str">
            <v>Lck6122evg</v>
          </cell>
          <cell r="G521" t="str">
            <v>Zhong Thong</v>
          </cell>
          <cell r="H521" t="str">
            <v>Lck6122evg</v>
          </cell>
          <cell r="I521">
            <v>2026</v>
          </cell>
          <cell r="J521" t="str">
            <v>B</v>
          </cell>
          <cell r="K521" t="str">
            <v>Ducaud</v>
          </cell>
          <cell r="N521" t="str">
            <v>B</v>
          </cell>
        </row>
        <row r="522">
          <cell r="B522" t="str">
            <v/>
          </cell>
          <cell r="C522" t="str">
            <v>LDYECS317S0044213</v>
          </cell>
          <cell r="D522" t="str">
            <v>MDN35025030110</v>
          </cell>
          <cell r="E522" t="str">
            <v>Zhong Thong</v>
          </cell>
          <cell r="F522" t="str">
            <v>Lck6122evg</v>
          </cell>
          <cell r="G522" t="str">
            <v>Zhong Thong</v>
          </cell>
          <cell r="H522" t="str">
            <v>Lck6122evg</v>
          </cell>
          <cell r="I522">
            <v>2026</v>
          </cell>
          <cell r="J522" t="str">
            <v>B</v>
          </cell>
          <cell r="K522" t="str">
            <v>Ducaud</v>
          </cell>
          <cell r="N522" t="str">
            <v>B</v>
          </cell>
        </row>
        <row r="523">
          <cell r="B523" t="str">
            <v/>
          </cell>
          <cell r="C523" t="str">
            <v>LDYECS311S0044210</v>
          </cell>
          <cell r="D523" t="str">
            <v>MDN35025030109</v>
          </cell>
          <cell r="E523" t="str">
            <v>Zhong Thong</v>
          </cell>
          <cell r="F523" t="str">
            <v>Lck6122evg</v>
          </cell>
          <cell r="G523" t="str">
            <v>Zhong Thong</v>
          </cell>
          <cell r="H523" t="str">
            <v>Lck6122evg</v>
          </cell>
          <cell r="I523">
            <v>2026</v>
          </cell>
          <cell r="J523" t="str">
            <v>B</v>
          </cell>
          <cell r="K523" t="str">
            <v>Ducaud</v>
          </cell>
          <cell r="N523" t="str">
            <v>B</v>
          </cell>
        </row>
        <row r="524">
          <cell r="B524" t="str">
            <v/>
          </cell>
          <cell r="C524" t="str">
            <v>LDYECS31XS0044285</v>
          </cell>
          <cell r="D524" t="str">
            <v>MDN35025020245</v>
          </cell>
          <cell r="E524" t="str">
            <v>Zhong Thong</v>
          </cell>
          <cell r="F524" t="str">
            <v>Lck6122evg</v>
          </cell>
          <cell r="G524" t="str">
            <v>Zhong Thong</v>
          </cell>
          <cell r="H524" t="str">
            <v>Lck6122evg</v>
          </cell>
          <cell r="I524">
            <v>2026</v>
          </cell>
          <cell r="J524" t="str">
            <v>B</v>
          </cell>
          <cell r="K524" t="str">
            <v>Ducaud</v>
          </cell>
          <cell r="N524" t="str">
            <v>B</v>
          </cell>
        </row>
        <row r="525">
          <cell r="B525" t="str">
            <v/>
          </cell>
          <cell r="C525" t="str">
            <v>LDYECS316S0044218</v>
          </cell>
          <cell r="D525" t="str">
            <v>MDN35025010180</v>
          </cell>
          <cell r="E525" t="str">
            <v>Zhong Thong</v>
          </cell>
          <cell r="F525" t="str">
            <v>Lck6122evg</v>
          </cell>
          <cell r="G525" t="str">
            <v>Zhong Thong</v>
          </cell>
          <cell r="H525" t="str">
            <v>Lck6122evg</v>
          </cell>
          <cell r="I525">
            <v>2026</v>
          </cell>
          <cell r="J525" t="str">
            <v>B</v>
          </cell>
          <cell r="K525" t="str">
            <v>Ducaud</v>
          </cell>
          <cell r="N525" t="str">
            <v>B</v>
          </cell>
        </row>
        <row r="526">
          <cell r="B526" t="str">
            <v/>
          </cell>
          <cell r="C526" t="str">
            <v>LDYECS315S0044291</v>
          </cell>
          <cell r="D526" t="str">
            <v>MDN35025010116</v>
          </cell>
          <cell r="E526" t="str">
            <v>Zhong Thong</v>
          </cell>
          <cell r="F526" t="str">
            <v>Lck6122evg</v>
          </cell>
          <cell r="G526" t="str">
            <v>Zhong Thong</v>
          </cell>
          <cell r="H526" t="str">
            <v>Lck6122evg</v>
          </cell>
          <cell r="I526">
            <v>2026</v>
          </cell>
          <cell r="J526" t="str">
            <v>B</v>
          </cell>
          <cell r="K526" t="str">
            <v>Ducaud</v>
          </cell>
          <cell r="N526" t="str">
            <v>B</v>
          </cell>
        </row>
        <row r="527">
          <cell r="B527" t="str">
            <v/>
          </cell>
          <cell r="C527" t="str">
            <v>LDYECS31XS0044335</v>
          </cell>
          <cell r="D527" t="str">
            <v>MDN35025030151</v>
          </cell>
          <cell r="E527" t="str">
            <v>Zhong Thong</v>
          </cell>
          <cell r="F527" t="str">
            <v>Lck6122evg</v>
          </cell>
          <cell r="G527" t="str">
            <v>Zhong Thong</v>
          </cell>
          <cell r="H527" t="str">
            <v>Lck6122evg</v>
          </cell>
          <cell r="I527">
            <v>2026</v>
          </cell>
          <cell r="J527" t="str">
            <v>B</v>
          </cell>
          <cell r="K527" t="str">
            <v>Ducaud</v>
          </cell>
          <cell r="N527" t="str">
            <v>B</v>
          </cell>
        </row>
        <row r="528">
          <cell r="B528" t="str">
            <v/>
          </cell>
          <cell r="C528" t="str">
            <v>LDYECS317S0044342</v>
          </cell>
          <cell r="D528" t="str">
            <v>MDN35025010144</v>
          </cell>
          <cell r="E528" t="str">
            <v>Zhong Thong</v>
          </cell>
          <cell r="F528" t="str">
            <v>Lck6122evg</v>
          </cell>
          <cell r="G528" t="str">
            <v>Zhong Thong</v>
          </cell>
          <cell r="H528" t="str">
            <v>Lck6122evg</v>
          </cell>
          <cell r="I528">
            <v>2026</v>
          </cell>
          <cell r="J528" t="str">
            <v>B</v>
          </cell>
          <cell r="K528" t="str">
            <v>Ducaud</v>
          </cell>
          <cell r="N528" t="str">
            <v>B</v>
          </cell>
        </row>
        <row r="529">
          <cell r="B529" t="str">
            <v/>
          </cell>
          <cell r="C529" t="str">
            <v>LDYECS313S0044368</v>
          </cell>
          <cell r="D529" t="str">
            <v>MDN35025010047</v>
          </cell>
          <cell r="E529" t="str">
            <v>Zhong Thong</v>
          </cell>
          <cell r="F529" t="str">
            <v>Lck6122evg</v>
          </cell>
          <cell r="G529" t="str">
            <v>Zhong Thong</v>
          </cell>
          <cell r="H529" t="str">
            <v>Lck6122evg</v>
          </cell>
          <cell r="I529">
            <v>2026</v>
          </cell>
          <cell r="J529" t="str">
            <v>B</v>
          </cell>
          <cell r="K529" t="str">
            <v>Ducaud</v>
          </cell>
          <cell r="N529" t="str">
            <v>B</v>
          </cell>
        </row>
        <row r="530">
          <cell r="B530" t="str">
            <v/>
          </cell>
          <cell r="C530" t="str">
            <v>LDYECS316S0044364</v>
          </cell>
          <cell r="D530" t="str">
            <v>MDN35025030062</v>
          </cell>
          <cell r="E530" t="str">
            <v>Zhong Thong</v>
          </cell>
          <cell r="F530" t="str">
            <v>Lck6122evg</v>
          </cell>
          <cell r="G530" t="str">
            <v>Zhong Thong</v>
          </cell>
          <cell r="H530" t="str">
            <v>Lck6122evg</v>
          </cell>
          <cell r="I530">
            <v>2026</v>
          </cell>
          <cell r="J530" t="str">
            <v>B</v>
          </cell>
          <cell r="K530" t="str">
            <v>Ducaud</v>
          </cell>
          <cell r="N530" t="str">
            <v>B</v>
          </cell>
        </row>
        <row r="531">
          <cell r="B531" t="str">
            <v/>
          </cell>
          <cell r="C531" t="str">
            <v>LDYECS312S0044295</v>
          </cell>
          <cell r="D531" t="str">
            <v>MDN35025020211</v>
          </cell>
          <cell r="E531" t="str">
            <v>Zhong Thong</v>
          </cell>
          <cell r="F531" t="str">
            <v>Lck6122evg</v>
          </cell>
          <cell r="G531" t="str">
            <v>Zhong Thong</v>
          </cell>
          <cell r="H531" t="str">
            <v>Lck6122evg</v>
          </cell>
          <cell r="I531">
            <v>2026</v>
          </cell>
          <cell r="J531" t="str">
            <v>B</v>
          </cell>
          <cell r="K531" t="str">
            <v>Ducaud</v>
          </cell>
          <cell r="N531" t="str">
            <v>B</v>
          </cell>
        </row>
        <row r="532">
          <cell r="B532" t="str">
            <v/>
          </cell>
          <cell r="C532" t="str">
            <v>LDYECS312S0044362</v>
          </cell>
          <cell r="D532" t="str">
            <v>MDN35025010110</v>
          </cell>
          <cell r="E532" t="str">
            <v>Zhong Thong</v>
          </cell>
          <cell r="F532" t="str">
            <v>Lck6122evg</v>
          </cell>
          <cell r="G532" t="str">
            <v>Zhong Thong</v>
          </cell>
          <cell r="H532" t="str">
            <v>Lck6122evg</v>
          </cell>
          <cell r="I532">
            <v>2026</v>
          </cell>
          <cell r="J532" t="str">
            <v>B</v>
          </cell>
          <cell r="K532" t="str">
            <v>Ducaud</v>
          </cell>
          <cell r="N532" t="str">
            <v>B</v>
          </cell>
        </row>
        <row r="533">
          <cell r="B533" t="str">
            <v/>
          </cell>
          <cell r="C533" t="str">
            <v>LDYECS314S0044380</v>
          </cell>
          <cell r="D533" t="str">
            <v>MDN35025030033</v>
          </cell>
          <cell r="E533" t="str">
            <v>Zhong Thong</v>
          </cell>
          <cell r="F533" t="str">
            <v>Lck6122evg</v>
          </cell>
          <cell r="G533" t="str">
            <v>Zhong Thong</v>
          </cell>
          <cell r="H533" t="str">
            <v>Lck6122evg</v>
          </cell>
          <cell r="I533">
            <v>2026</v>
          </cell>
          <cell r="J533" t="str">
            <v>B</v>
          </cell>
          <cell r="K533" t="str">
            <v>Ducaud</v>
          </cell>
          <cell r="N533" t="str">
            <v>B</v>
          </cell>
        </row>
        <row r="534">
          <cell r="B534" t="str">
            <v/>
          </cell>
          <cell r="C534" t="str">
            <v>LDYECS312S0044300</v>
          </cell>
          <cell r="D534" t="str">
            <v>MDN350025010178</v>
          </cell>
          <cell r="E534" t="str">
            <v>Zhong Thong</v>
          </cell>
          <cell r="F534" t="str">
            <v>Lck6122evg</v>
          </cell>
          <cell r="G534" t="str">
            <v>Zhong Thong</v>
          </cell>
          <cell r="H534" t="str">
            <v>Lck6122evg</v>
          </cell>
          <cell r="I534">
            <v>2026</v>
          </cell>
          <cell r="J534" t="str">
            <v>B</v>
          </cell>
          <cell r="K534" t="str">
            <v>Ducaud</v>
          </cell>
          <cell r="N534" t="str">
            <v>B</v>
          </cell>
        </row>
        <row r="535">
          <cell r="B535" t="str">
            <v/>
          </cell>
          <cell r="C535" t="str">
            <v>LDYECS313S0044290</v>
          </cell>
          <cell r="D535" t="str">
            <v>MDN35025020214</v>
          </cell>
          <cell r="E535" t="str">
            <v>Zhong Thong</v>
          </cell>
          <cell r="F535" t="str">
            <v>Lck6122evg</v>
          </cell>
          <cell r="G535" t="str">
            <v>Zhong Thong</v>
          </cell>
          <cell r="H535" t="str">
            <v>Lck6122evg</v>
          </cell>
          <cell r="I535">
            <v>2026</v>
          </cell>
          <cell r="J535" t="str">
            <v>B</v>
          </cell>
          <cell r="K535" t="str">
            <v>Ducaud</v>
          </cell>
          <cell r="N535" t="str">
            <v>B</v>
          </cell>
        </row>
        <row r="536">
          <cell r="B536" t="str">
            <v/>
          </cell>
          <cell r="C536" t="str">
            <v>LDYECS317S0044356</v>
          </cell>
          <cell r="D536" t="str">
            <v>MDN35025010073</v>
          </cell>
          <cell r="E536" t="str">
            <v>Zhong Thong</v>
          </cell>
          <cell r="F536" t="str">
            <v>Lck6122evg</v>
          </cell>
          <cell r="G536" t="str">
            <v>Zhong Thong</v>
          </cell>
          <cell r="H536" t="str">
            <v>Lck6122evg</v>
          </cell>
          <cell r="I536">
            <v>2026</v>
          </cell>
          <cell r="J536" t="str">
            <v>B</v>
          </cell>
          <cell r="K536" t="str">
            <v>Ducaud</v>
          </cell>
          <cell r="N536" t="str">
            <v>B</v>
          </cell>
        </row>
        <row r="537">
          <cell r="B537" t="str">
            <v/>
          </cell>
          <cell r="C537" t="str">
            <v>LDYECS31XS0044139</v>
          </cell>
          <cell r="D537" t="str">
            <v>MDN35025030088</v>
          </cell>
          <cell r="E537" t="str">
            <v>Zhong Thong</v>
          </cell>
          <cell r="F537" t="str">
            <v>Lck6122evg</v>
          </cell>
          <cell r="G537" t="str">
            <v>Zhong Thong</v>
          </cell>
          <cell r="H537" t="str">
            <v>Lck6122evg</v>
          </cell>
          <cell r="I537">
            <v>2026</v>
          </cell>
          <cell r="J537" t="str">
            <v>B</v>
          </cell>
          <cell r="K537" t="str">
            <v>Lo Blanco</v>
          </cell>
          <cell r="N537" t="str">
            <v>B</v>
          </cell>
        </row>
        <row r="538">
          <cell r="B538" t="str">
            <v/>
          </cell>
          <cell r="C538" t="str">
            <v>LDYECS315S0044145</v>
          </cell>
          <cell r="D538" t="str">
            <v>MDN35025030096</v>
          </cell>
          <cell r="E538" t="str">
            <v>Zhong Thong</v>
          </cell>
          <cell r="F538" t="str">
            <v>Lck6122evg</v>
          </cell>
          <cell r="G538" t="str">
            <v>Zhong Thong</v>
          </cell>
          <cell r="H538" t="str">
            <v>Lck6122evg</v>
          </cell>
          <cell r="I538">
            <v>2026</v>
          </cell>
          <cell r="J538" t="str">
            <v>B</v>
          </cell>
          <cell r="K538" t="str">
            <v>Lo Blanco</v>
          </cell>
          <cell r="N538" t="str">
            <v>B</v>
          </cell>
        </row>
        <row r="539">
          <cell r="B539" t="str">
            <v/>
          </cell>
          <cell r="C539" t="str">
            <v>LDYECS316S0044140</v>
          </cell>
          <cell r="D539" t="str">
            <v>MDN35025030038</v>
          </cell>
          <cell r="E539" t="str">
            <v>Zhong Thong</v>
          </cell>
          <cell r="F539" t="str">
            <v>Lck6122evg</v>
          </cell>
          <cell r="G539" t="str">
            <v>Zhong Thong</v>
          </cell>
          <cell r="H539" t="str">
            <v>Lck6122evg</v>
          </cell>
          <cell r="I539">
            <v>2026</v>
          </cell>
          <cell r="J539" t="str">
            <v>B</v>
          </cell>
          <cell r="K539" t="str">
            <v>Lo Blanco</v>
          </cell>
          <cell r="N539" t="str">
            <v>B</v>
          </cell>
        </row>
        <row r="540">
          <cell r="B540" t="str">
            <v/>
          </cell>
          <cell r="C540" t="str">
            <v>LDYECS317S0044230</v>
          </cell>
          <cell r="D540" t="str">
            <v>MDN35025020272</v>
          </cell>
          <cell r="E540" t="str">
            <v>Zhong Thong</v>
          </cell>
          <cell r="F540" t="str">
            <v>Lck6122evg</v>
          </cell>
          <cell r="G540" t="str">
            <v>Zhong Thong</v>
          </cell>
          <cell r="H540" t="str">
            <v>Lck6122evg</v>
          </cell>
          <cell r="I540">
            <v>2026</v>
          </cell>
          <cell r="J540" t="str">
            <v>B</v>
          </cell>
          <cell r="K540" t="str">
            <v>Lo Blanco</v>
          </cell>
          <cell r="N540" t="str">
            <v>B</v>
          </cell>
        </row>
        <row r="541">
          <cell r="B541" t="str">
            <v/>
          </cell>
          <cell r="C541" t="str">
            <v>LDYECS317S0044227</v>
          </cell>
          <cell r="D541" t="str">
            <v>MDN35025020261</v>
          </cell>
          <cell r="E541" t="str">
            <v>Zhong Thong</v>
          </cell>
          <cell r="F541" t="str">
            <v>Lck6122evg</v>
          </cell>
          <cell r="G541" t="str">
            <v>Zhong Thong</v>
          </cell>
          <cell r="H541" t="str">
            <v>Lck6122evg</v>
          </cell>
          <cell r="I541">
            <v>2026</v>
          </cell>
          <cell r="J541" t="str">
            <v>B</v>
          </cell>
          <cell r="K541" t="str">
            <v>Lo Blanco</v>
          </cell>
          <cell r="N541" t="str">
            <v>B</v>
          </cell>
        </row>
        <row r="542">
          <cell r="B542" t="str">
            <v/>
          </cell>
          <cell r="C542" t="str">
            <v>LDYECS315S0044288</v>
          </cell>
          <cell r="D542" t="str">
            <v>MDN35025020208</v>
          </cell>
          <cell r="E542" t="str">
            <v>Zhong Thong</v>
          </cell>
          <cell r="F542" t="str">
            <v>Lck6122evg</v>
          </cell>
          <cell r="G542" t="str">
            <v>Zhong Thong</v>
          </cell>
          <cell r="H542" t="str">
            <v>Lck6122evg</v>
          </cell>
          <cell r="I542">
            <v>2026</v>
          </cell>
          <cell r="J542" t="str">
            <v>B</v>
          </cell>
          <cell r="K542" t="str">
            <v>Ducaud</v>
          </cell>
          <cell r="N542" t="str">
            <v>B</v>
          </cell>
        </row>
        <row r="543">
          <cell r="B543" t="str">
            <v/>
          </cell>
          <cell r="C543" t="str">
            <v>LDYECS313S0044192</v>
          </cell>
          <cell r="D543" t="str">
            <v>MDN35025020256</v>
          </cell>
          <cell r="E543" t="str">
            <v>Zhong Thong</v>
          </cell>
          <cell r="F543" t="str">
            <v>Lck6122evg</v>
          </cell>
          <cell r="G543" t="str">
            <v>Zhong Thong</v>
          </cell>
          <cell r="H543" t="str">
            <v>Lck6122evg</v>
          </cell>
          <cell r="I543">
            <v>2026</v>
          </cell>
          <cell r="J543" t="str">
            <v>B</v>
          </cell>
          <cell r="K543" t="str">
            <v>Ducaud</v>
          </cell>
          <cell r="N543" t="str">
            <v>B</v>
          </cell>
        </row>
        <row r="544">
          <cell r="B544" t="str">
            <v/>
          </cell>
          <cell r="C544" t="str">
            <v>LDYECS315S0044193</v>
          </cell>
          <cell r="D544" t="str">
            <v>MDN35025020248</v>
          </cell>
          <cell r="E544" t="str">
            <v>Zhong Thong</v>
          </cell>
          <cell r="F544" t="str">
            <v>Lck6122evg</v>
          </cell>
          <cell r="G544" t="str">
            <v>Zhong Thong</v>
          </cell>
          <cell r="H544" t="str">
            <v>Lck6122evg</v>
          </cell>
          <cell r="I544">
            <v>2026</v>
          </cell>
          <cell r="J544" t="str">
            <v>B</v>
          </cell>
          <cell r="K544" t="str">
            <v>Ducaud</v>
          </cell>
          <cell r="N544" t="str">
            <v>B</v>
          </cell>
        </row>
        <row r="545">
          <cell r="B545" t="str">
            <v/>
          </cell>
          <cell r="C545" t="str">
            <v>LDYECS31XS0044271</v>
          </cell>
          <cell r="D545" t="str">
            <v>MDN35025020210</v>
          </cell>
          <cell r="E545" t="str">
            <v>Zhong Thong</v>
          </cell>
          <cell r="F545" t="str">
            <v>Lck6122evg</v>
          </cell>
          <cell r="G545" t="str">
            <v>Zhong Thong</v>
          </cell>
          <cell r="H545" t="str">
            <v>Lck6122evg</v>
          </cell>
          <cell r="I545">
            <v>2026</v>
          </cell>
          <cell r="J545" t="str">
            <v>B</v>
          </cell>
          <cell r="K545" t="str">
            <v>Ducaud</v>
          </cell>
          <cell r="N545" t="str">
            <v>B</v>
          </cell>
        </row>
        <row r="546">
          <cell r="B546" t="str">
            <v/>
          </cell>
          <cell r="C546" t="str">
            <v>LDYECS31XS0044268</v>
          </cell>
          <cell r="D546" t="str">
            <v>MDN3502520269</v>
          </cell>
          <cell r="E546" t="str">
            <v>Zhong Thong</v>
          </cell>
          <cell r="F546" t="str">
            <v>Lck6122evg</v>
          </cell>
          <cell r="G546" t="str">
            <v>Zhong Thong</v>
          </cell>
          <cell r="H546" t="str">
            <v>Lck6122evg</v>
          </cell>
          <cell r="I546">
            <v>2026</v>
          </cell>
          <cell r="J546" t="str">
            <v>B</v>
          </cell>
          <cell r="K546" t="str">
            <v>Ducaud</v>
          </cell>
          <cell r="N546" t="str">
            <v>B</v>
          </cell>
        </row>
        <row r="547">
          <cell r="B547" t="str">
            <v/>
          </cell>
          <cell r="C547" t="str">
            <v>LDYECS319S0044262</v>
          </cell>
          <cell r="D547" t="str">
            <v>MDN35025020247</v>
          </cell>
          <cell r="E547" t="str">
            <v>Zhong Thong</v>
          </cell>
          <cell r="F547" t="str">
            <v>Lck6122evg</v>
          </cell>
          <cell r="G547" t="str">
            <v>Zhong Thong</v>
          </cell>
          <cell r="H547" t="str">
            <v>Lck6122evg</v>
          </cell>
          <cell r="I547">
            <v>2026</v>
          </cell>
          <cell r="J547" t="str">
            <v>B</v>
          </cell>
          <cell r="K547" t="str">
            <v>Ducaud</v>
          </cell>
          <cell r="N547" t="str">
            <v>B</v>
          </cell>
        </row>
        <row r="548">
          <cell r="B548" t="str">
            <v/>
          </cell>
          <cell r="C548" t="str">
            <v>LDYECS311S0044269</v>
          </cell>
          <cell r="D548" t="str">
            <v>MDN35025020266</v>
          </cell>
          <cell r="E548" t="str">
            <v>Zhong Thong</v>
          </cell>
          <cell r="F548" t="str">
            <v>Lck6122evg</v>
          </cell>
          <cell r="G548" t="str">
            <v>Zhong Thong</v>
          </cell>
          <cell r="H548" t="str">
            <v>Lck6122evg</v>
          </cell>
          <cell r="I548">
            <v>2026</v>
          </cell>
          <cell r="J548" t="str">
            <v>B</v>
          </cell>
          <cell r="K548" t="str">
            <v>Ducaud</v>
          </cell>
          <cell r="N548" t="str">
            <v>B</v>
          </cell>
        </row>
        <row r="549">
          <cell r="B549" t="str">
            <v/>
          </cell>
          <cell r="C549" t="str">
            <v>LDYECS311S0044272</v>
          </cell>
          <cell r="D549" t="str">
            <v>MDN35025020270</v>
          </cell>
          <cell r="E549" t="str">
            <v>Zhong Thong</v>
          </cell>
          <cell r="F549" t="str">
            <v>Lck6122evg</v>
          </cell>
          <cell r="G549" t="str">
            <v>Zhong Thong</v>
          </cell>
          <cell r="H549" t="str">
            <v>Lck6122evg</v>
          </cell>
          <cell r="I549">
            <v>2026</v>
          </cell>
          <cell r="J549" t="str">
            <v>B</v>
          </cell>
          <cell r="K549" t="str">
            <v>Ducaud</v>
          </cell>
          <cell r="N549" t="str">
            <v>B</v>
          </cell>
        </row>
        <row r="550">
          <cell r="B550" t="str">
            <v/>
          </cell>
          <cell r="C550" t="str">
            <v>LDYECS317S0044258</v>
          </cell>
          <cell r="D550" t="str">
            <v>MDN35025020200</v>
          </cell>
          <cell r="E550" t="str">
            <v>Zhong Thong</v>
          </cell>
          <cell r="F550" t="str">
            <v>Lck6122evg</v>
          </cell>
          <cell r="G550" t="str">
            <v>Zhong Thong</v>
          </cell>
          <cell r="H550" t="str">
            <v>Lck6122evg</v>
          </cell>
          <cell r="I550">
            <v>2026</v>
          </cell>
          <cell r="J550" t="str">
            <v>B</v>
          </cell>
          <cell r="K550" t="str">
            <v>Ducaud</v>
          </cell>
          <cell r="N550" t="str">
            <v>B</v>
          </cell>
        </row>
        <row r="551">
          <cell r="B551" t="str">
            <v/>
          </cell>
          <cell r="C551" t="str">
            <v>LDYECS315S0044274</v>
          </cell>
          <cell r="D551" t="str">
            <v>LDM35025020202</v>
          </cell>
          <cell r="E551" t="str">
            <v>Zhong Thong</v>
          </cell>
          <cell r="F551" t="str">
            <v>Lck6122evg</v>
          </cell>
          <cell r="G551" t="str">
            <v>Zhong Thong</v>
          </cell>
          <cell r="H551" t="str">
            <v>Lck6122evg</v>
          </cell>
          <cell r="I551">
            <v>2026</v>
          </cell>
          <cell r="J551" t="str">
            <v>B</v>
          </cell>
          <cell r="K551" t="str">
            <v>Ducaud</v>
          </cell>
          <cell r="N551" t="str">
            <v>B</v>
          </cell>
        </row>
        <row r="552">
          <cell r="B552" t="str">
            <v/>
          </cell>
          <cell r="C552" t="str">
            <v>LDYECS314S0044279</v>
          </cell>
          <cell r="D552" t="str">
            <v>MDN35025020206</v>
          </cell>
          <cell r="E552" t="str">
            <v>Zhong Thong</v>
          </cell>
          <cell r="F552" t="str">
            <v>Lck6122evg</v>
          </cell>
          <cell r="G552" t="str">
            <v>Zhong Thong</v>
          </cell>
          <cell r="H552" t="str">
            <v>Lck6122evg</v>
          </cell>
          <cell r="I552">
            <v>2026</v>
          </cell>
          <cell r="J552" t="str">
            <v>B</v>
          </cell>
          <cell r="K552" t="str">
            <v>Ducaud</v>
          </cell>
          <cell r="N552" t="str">
            <v>B</v>
          </cell>
        </row>
        <row r="553">
          <cell r="B553" t="str">
            <v/>
          </cell>
          <cell r="C553" t="str">
            <v>LDYECS316S0044204</v>
          </cell>
          <cell r="D553" t="str">
            <v>MDN35025020198</v>
          </cell>
          <cell r="E553" t="str">
            <v>Zhong Thong</v>
          </cell>
          <cell r="F553" t="str">
            <v>Lck6122evg</v>
          </cell>
          <cell r="G553" t="str">
            <v>Zhong Thong</v>
          </cell>
          <cell r="H553" t="str">
            <v>Lck6122evg</v>
          </cell>
          <cell r="I553">
            <v>2026</v>
          </cell>
          <cell r="J553" t="str">
            <v>B</v>
          </cell>
          <cell r="K553" t="str">
            <v>Ducaud</v>
          </cell>
          <cell r="N553" t="str">
            <v>B</v>
          </cell>
        </row>
        <row r="554">
          <cell r="B554" t="str">
            <v/>
          </cell>
          <cell r="C554" t="str">
            <v>LDYECS312S0044359</v>
          </cell>
          <cell r="D554" t="str">
            <v>MDN35025020203</v>
          </cell>
          <cell r="E554" t="str">
            <v>Zhong Thong</v>
          </cell>
          <cell r="F554" t="str">
            <v>Lck6122evg</v>
          </cell>
          <cell r="G554" t="str">
            <v>Zhong Thong</v>
          </cell>
          <cell r="H554" t="str">
            <v>Lck6122evg</v>
          </cell>
          <cell r="I554">
            <v>2026</v>
          </cell>
          <cell r="J554" t="str">
            <v>B</v>
          </cell>
          <cell r="K554" t="str">
            <v>Ducaud</v>
          </cell>
          <cell r="N554" t="str">
            <v>B</v>
          </cell>
        </row>
        <row r="555">
          <cell r="B555" t="str">
            <v/>
          </cell>
          <cell r="C555" t="str">
            <v>LDYECS314S0044363</v>
          </cell>
          <cell r="D555" t="str">
            <v>MDN35025010121</v>
          </cell>
          <cell r="E555" t="str">
            <v>Zhong Thong</v>
          </cell>
          <cell r="F555" t="str">
            <v>Lck6122evg</v>
          </cell>
          <cell r="G555" t="str">
            <v>Zhong Thong</v>
          </cell>
          <cell r="H555" t="str">
            <v>Lck6122evg</v>
          </cell>
          <cell r="I555">
            <v>2026</v>
          </cell>
          <cell r="J555" t="str">
            <v>B</v>
          </cell>
          <cell r="K555" t="str">
            <v>Ducaud</v>
          </cell>
          <cell r="N555" t="str">
            <v>B</v>
          </cell>
        </row>
        <row r="556">
          <cell r="B556" t="str">
            <v/>
          </cell>
          <cell r="C556" t="str">
            <v>LDYECS315S0044307</v>
          </cell>
          <cell r="D556" t="str">
            <v>MDN35025030028</v>
          </cell>
          <cell r="E556" t="str">
            <v>Zhong Thong</v>
          </cell>
          <cell r="F556" t="str">
            <v>Lck6122evg</v>
          </cell>
          <cell r="G556" t="str">
            <v>Zhong Thong</v>
          </cell>
          <cell r="H556" t="str">
            <v>Lck6122evg</v>
          </cell>
          <cell r="I556">
            <v>2026</v>
          </cell>
          <cell r="J556" t="str">
            <v>B</v>
          </cell>
          <cell r="K556" t="str">
            <v>Ducaud</v>
          </cell>
          <cell r="N556" t="str">
            <v>B</v>
          </cell>
        </row>
        <row r="557">
          <cell r="B557" t="str">
            <v/>
          </cell>
          <cell r="C557" t="str">
            <v>LDYECS317S0044311</v>
          </cell>
          <cell r="D557" t="str">
            <v>MDN35025030043</v>
          </cell>
          <cell r="E557" t="str">
            <v>Zhong Thong</v>
          </cell>
          <cell r="F557" t="str">
            <v>Lck6122evg</v>
          </cell>
          <cell r="G557" t="str">
            <v>Zhong Thong</v>
          </cell>
          <cell r="H557" t="str">
            <v>Lck6122evg</v>
          </cell>
          <cell r="I557">
            <v>2026</v>
          </cell>
          <cell r="J557" t="str">
            <v>B</v>
          </cell>
          <cell r="K557" t="str">
            <v>Ducaud</v>
          </cell>
          <cell r="N557" t="str">
            <v>B</v>
          </cell>
        </row>
        <row r="558">
          <cell r="B558" t="str">
            <v/>
          </cell>
          <cell r="C558" t="str">
            <v>LDYECS31XS44318</v>
          </cell>
          <cell r="D558" t="str">
            <v>MDN35025010176</v>
          </cell>
          <cell r="E558" t="str">
            <v>Zhong Thong</v>
          </cell>
          <cell r="F558" t="str">
            <v>Lck6122evg</v>
          </cell>
          <cell r="G558" t="str">
            <v>Zhong Thong</v>
          </cell>
          <cell r="H558" t="str">
            <v>Lck6122evg</v>
          </cell>
          <cell r="I558">
            <v>2026</v>
          </cell>
          <cell r="J558" t="str">
            <v>B</v>
          </cell>
          <cell r="K558" t="str">
            <v>Ducaud</v>
          </cell>
          <cell r="N558" t="str">
            <v>B</v>
          </cell>
        </row>
        <row r="559">
          <cell r="B559" t="str">
            <v/>
          </cell>
          <cell r="C559" t="str">
            <v>LDYECS312S0044314</v>
          </cell>
          <cell r="D559" t="str">
            <v>MDN35025030094</v>
          </cell>
          <cell r="E559" t="str">
            <v>Zhong Thong</v>
          </cell>
          <cell r="F559" t="str">
            <v>Lck6122evg</v>
          </cell>
          <cell r="G559" t="str">
            <v>Zhong Thong</v>
          </cell>
          <cell r="H559" t="str">
            <v>Lck6122evg</v>
          </cell>
          <cell r="I559">
            <v>2026</v>
          </cell>
          <cell r="J559" t="str">
            <v>B</v>
          </cell>
          <cell r="K559" t="str">
            <v>Ducaud</v>
          </cell>
          <cell r="N559" t="str">
            <v>B</v>
          </cell>
        </row>
        <row r="560">
          <cell r="B560" t="str">
            <v/>
          </cell>
          <cell r="C560" t="str">
            <v>LDYECS319S0044391</v>
          </cell>
          <cell r="D560" t="str">
            <v>MDN35025010114</v>
          </cell>
          <cell r="E560" t="str">
            <v>Zhong Thong</v>
          </cell>
          <cell r="F560" t="str">
            <v>Lck6122evg</v>
          </cell>
          <cell r="G560" t="str">
            <v>Zhong Thong</v>
          </cell>
          <cell r="H560" t="str">
            <v>Lck6122evg</v>
          </cell>
          <cell r="I560">
            <v>2026</v>
          </cell>
          <cell r="J560" t="str">
            <v>B</v>
          </cell>
          <cell r="K560" t="str">
            <v>Ducaud</v>
          </cell>
          <cell r="N560" t="str">
            <v>B</v>
          </cell>
        </row>
        <row r="561">
          <cell r="B561" t="str">
            <v/>
          </cell>
          <cell r="C561" t="str">
            <v>LDYECS317S0044387</v>
          </cell>
          <cell r="D561" t="str">
            <v>MDN35025010083</v>
          </cell>
          <cell r="E561" t="str">
            <v>Zhong Thong</v>
          </cell>
          <cell r="F561" t="str">
            <v>Lck6122evg</v>
          </cell>
          <cell r="G561" t="str">
            <v>Zhong Thong</v>
          </cell>
          <cell r="H561" t="str">
            <v>Lck6122evg</v>
          </cell>
          <cell r="I561">
            <v>2026</v>
          </cell>
          <cell r="J561" t="str">
            <v>B</v>
          </cell>
          <cell r="K561" t="str">
            <v>Ducaud</v>
          </cell>
          <cell r="N561" t="str">
            <v>B</v>
          </cell>
        </row>
        <row r="562">
          <cell r="B562" t="str">
            <v/>
          </cell>
          <cell r="C562" t="str">
            <v>LDYECS314S0044315</v>
          </cell>
          <cell r="D562" t="str">
            <v>MDN35025010082</v>
          </cell>
          <cell r="E562" t="str">
            <v>Zhong Thong</v>
          </cell>
          <cell r="F562" t="str">
            <v>Lck6122evg</v>
          </cell>
          <cell r="G562" t="str">
            <v>Zhong Thong</v>
          </cell>
          <cell r="H562" t="str">
            <v>Lck6122evg</v>
          </cell>
          <cell r="I562">
            <v>2026</v>
          </cell>
          <cell r="J562" t="str">
            <v>B</v>
          </cell>
          <cell r="K562" t="str">
            <v>Ducaud</v>
          </cell>
          <cell r="N562" t="str">
            <v>B</v>
          </cell>
        </row>
        <row r="563">
          <cell r="B563" t="str">
            <v/>
          </cell>
          <cell r="C563" t="str">
            <v>LDYECS312S0044393</v>
          </cell>
          <cell r="D563" t="str">
            <v>MDN35025030149</v>
          </cell>
          <cell r="E563" t="str">
            <v>Zhong Thong</v>
          </cell>
          <cell r="F563" t="str">
            <v>Lck6122evg</v>
          </cell>
          <cell r="G563" t="str">
            <v>Zhong Thong</v>
          </cell>
          <cell r="H563" t="str">
            <v>Lck6122evg</v>
          </cell>
          <cell r="I563">
            <v>2026</v>
          </cell>
          <cell r="J563" t="str">
            <v>B</v>
          </cell>
          <cell r="K563" t="str">
            <v>Ducaud</v>
          </cell>
          <cell r="N563" t="str">
            <v>B</v>
          </cell>
        </row>
        <row r="564">
          <cell r="B564" t="str">
            <v/>
          </cell>
          <cell r="C564" t="str">
            <v>MDYECS315S0044386</v>
          </cell>
          <cell r="D564" t="str">
            <v>MDN35025010084</v>
          </cell>
          <cell r="E564" t="str">
            <v>Zhong Thong</v>
          </cell>
          <cell r="F564" t="str">
            <v>Lck6122evg</v>
          </cell>
          <cell r="G564" t="str">
            <v>Zhong Thong</v>
          </cell>
          <cell r="H564" t="str">
            <v>Lck6122evg</v>
          </cell>
          <cell r="I564">
            <v>2026</v>
          </cell>
          <cell r="J564" t="str">
            <v>B</v>
          </cell>
          <cell r="K564" t="str">
            <v>Ducaud</v>
          </cell>
          <cell r="N564" t="str">
            <v>B</v>
          </cell>
        </row>
        <row r="565">
          <cell r="B565" t="str">
            <v/>
          </cell>
          <cell r="C565" t="str">
            <v>LDYECS318S0044320</v>
          </cell>
          <cell r="D565" t="str">
            <v>MDN35025010160</v>
          </cell>
          <cell r="E565" t="str">
            <v>Zhong Thong</v>
          </cell>
          <cell r="F565" t="str">
            <v>Lck6122evg</v>
          </cell>
          <cell r="G565" t="str">
            <v>Zhong Thong</v>
          </cell>
          <cell r="H565" t="str">
            <v>Lck6122evg</v>
          </cell>
          <cell r="I565">
            <v>2026</v>
          </cell>
          <cell r="J565" t="str">
            <v>B</v>
          </cell>
          <cell r="K565" t="str">
            <v>Ducaud</v>
          </cell>
          <cell r="N565" t="str">
            <v>B</v>
          </cell>
        </row>
        <row r="566">
          <cell r="B566" t="str">
            <v/>
          </cell>
          <cell r="C566" t="str">
            <v>LDYECS316S0044395</v>
          </cell>
          <cell r="D566" t="str">
            <v>MDN35025010172</v>
          </cell>
          <cell r="E566" t="str">
            <v>Zhong Thong</v>
          </cell>
          <cell r="F566" t="str">
            <v>Lck6122evg</v>
          </cell>
          <cell r="G566" t="str">
            <v>Zhong Thong</v>
          </cell>
          <cell r="H566" t="str">
            <v>Lck6122evg</v>
          </cell>
          <cell r="I566">
            <v>2026</v>
          </cell>
          <cell r="J566" t="str">
            <v>B</v>
          </cell>
          <cell r="K566" t="str">
            <v>Ducaud</v>
          </cell>
          <cell r="N566" t="str">
            <v>B</v>
          </cell>
        </row>
        <row r="567">
          <cell r="B567" t="str">
            <v/>
          </cell>
          <cell r="C567" t="str">
            <v>LDYECS314S0044329</v>
          </cell>
          <cell r="D567" t="str">
            <v>MDN35025010145</v>
          </cell>
          <cell r="E567" t="str">
            <v>Zhong Thong</v>
          </cell>
          <cell r="F567" t="str">
            <v>Lck6122evg</v>
          </cell>
          <cell r="G567" t="str">
            <v>Zhong Thong</v>
          </cell>
          <cell r="H567" t="str">
            <v>Lck6122evg</v>
          </cell>
          <cell r="I567">
            <v>2026</v>
          </cell>
          <cell r="J567" t="str">
            <v>B</v>
          </cell>
          <cell r="K567" t="str">
            <v>Ducaud</v>
          </cell>
          <cell r="N567" t="str">
            <v>B</v>
          </cell>
        </row>
        <row r="568">
          <cell r="B568" t="str">
            <v/>
          </cell>
          <cell r="C568" t="str">
            <v>LDYECS319S0044326</v>
          </cell>
          <cell r="D568" t="str">
            <v>MDN35025030181</v>
          </cell>
          <cell r="E568" t="str">
            <v>Zhong Thong</v>
          </cell>
          <cell r="F568" t="str">
            <v>Lck6122evg</v>
          </cell>
          <cell r="G568" t="str">
            <v>Zhong Thong</v>
          </cell>
          <cell r="H568" t="str">
            <v>Lck6122evg</v>
          </cell>
          <cell r="I568">
            <v>2026</v>
          </cell>
          <cell r="J568" t="str">
            <v>B</v>
          </cell>
          <cell r="K568" t="str">
            <v>Ducaud</v>
          </cell>
          <cell r="N568" t="str">
            <v>B</v>
          </cell>
        </row>
        <row r="569">
          <cell r="B569" t="str">
            <v/>
          </cell>
          <cell r="C569" t="str">
            <v>LDYECS310S0044330</v>
          </cell>
          <cell r="D569" t="str">
            <v>MDN35025030253</v>
          </cell>
          <cell r="E569" t="str">
            <v>Zhong Thong</v>
          </cell>
          <cell r="F569" t="str">
            <v>Lck6122evg</v>
          </cell>
          <cell r="G569" t="str">
            <v>Zhong Thong</v>
          </cell>
          <cell r="H569" t="str">
            <v>Lck6122evg</v>
          </cell>
          <cell r="I569">
            <v>2026</v>
          </cell>
          <cell r="J569" t="str">
            <v>B</v>
          </cell>
          <cell r="K569" t="str">
            <v>Ducaud</v>
          </cell>
          <cell r="N569" t="str">
            <v>B</v>
          </cell>
        </row>
        <row r="570">
          <cell r="B570" t="str">
            <v/>
          </cell>
          <cell r="C570" t="str">
            <v>LDYECS319S0044410</v>
          </cell>
          <cell r="D570" t="str">
            <v>MDN35025030046</v>
          </cell>
          <cell r="E570" t="str">
            <v>Zhong Thong</v>
          </cell>
          <cell r="F570" t="str">
            <v>Lck6122evg</v>
          </cell>
          <cell r="G570" t="str">
            <v>Zhong Thong</v>
          </cell>
          <cell r="H570" t="str">
            <v>Lck6122evg</v>
          </cell>
          <cell r="I570">
            <v>2026</v>
          </cell>
          <cell r="J570" t="str">
            <v>B</v>
          </cell>
          <cell r="K570" t="str">
            <v>Ducaud</v>
          </cell>
          <cell r="N570" t="str">
            <v>B</v>
          </cell>
        </row>
        <row r="571">
          <cell r="B571" t="str">
            <v/>
          </cell>
          <cell r="C571" t="str">
            <v>LDYECS31XS0044397</v>
          </cell>
          <cell r="D571" t="str">
            <v>MDN35025030184</v>
          </cell>
          <cell r="E571" t="str">
            <v>Zhong Thong</v>
          </cell>
          <cell r="F571" t="str">
            <v>Lck6122evg</v>
          </cell>
          <cell r="G571" t="str">
            <v>Zhong Thong</v>
          </cell>
          <cell r="H571" t="str">
            <v>Lck6122evg</v>
          </cell>
          <cell r="I571">
            <v>2026</v>
          </cell>
          <cell r="J571" t="str">
            <v>B</v>
          </cell>
          <cell r="K571" t="str">
            <v>Ducaud</v>
          </cell>
          <cell r="N571" t="str">
            <v>B</v>
          </cell>
        </row>
        <row r="572">
          <cell r="B572" t="str">
            <v/>
          </cell>
          <cell r="C572" t="str">
            <v>LDYECS316S0044400</v>
          </cell>
          <cell r="D572" t="str">
            <v>MDN35025030146</v>
          </cell>
          <cell r="E572" t="str">
            <v>Zhong Thong</v>
          </cell>
          <cell r="F572" t="str">
            <v>Lck6122evg</v>
          </cell>
          <cell r="G572" t="str">
            <v>Zhong Thong</v>
          </cell>
          <cell r="H572" t="str">
            <v>Lck6122evg</v>
          </cell>
          <cell r="I572">
            <v>2026</v>
          </cell>
          <cell r="J572" t="str">
            <v>B</v>
          </cell>
          <cell r="K572" t="str">
            <v>Ducaud</v>
          </cell>
          <cell r="N572" t="str">
            <v>B</v>
          </cell>
        </row>
        <row r="573">
          <cell r="B573" t="str">
            <v/>
          </cell>
          <cell r="C573" t="str">
            <v>LDYECS311S0044336</v>
          </cell>
          <cell r="D573" t="str">
            <v>MDN35025030152</v>
          </cell>
          <cell r="E573" t="str">
            <v>Zhong Thong</v>
          </cell>
          <cell r="F573" t="str">
            <v>Lck6122evg</v>
          </cell>
          <cell r="G573" t="str">
            <v>Zhong Thong</v>
          </cell>
          <cell r="H573" t="str">
            <v>Lck6122evg</v>
          </cell>
          <cell r="I573">
            <v>2026</v>
          </cell>
          <cell r="J573" t="str">
            <v>B</v>
          </cell>
          <cell r="K573" t="str">
            <v>Ducaud</v>
          </cell>
          <cell r="N573" t="str">
            <v>B</v>
          </cell>
        </row>
        <row r="574">
          <cell r="B574" t="str">
            <v/>
          </cell>
          <cell r="C574" t="str">
            <v>LDYECS315S0044338</v>
          </cell>
          <cell r="D574" t="str">
            <v>MDN35025010150</v>
          </cell>
          <cell r="E574" t="str">
            <v>Zhong Thong</v>
          </cell>
          <cell r="F574" t="str">
            <v>Lck6122evg</v>
          </cell>
          <cell r="G574" t="str">
            <v>Zhong Thong</v>
          </cell>
          <cell r="H574" t="str">
            <v>Lck6122evg</v>
          </cell>
          <cell r="I574">
            <v>2026</v>
          </cell>
          <cell r="J574" t="str">
            <v>B</v>
          </cell>
          <cell r="K574" t="str">
            <v>Ducaud</v>
          </cell>
          <cell r="N574" t="str">
            <v>B</v>
          </cell>
        </row>
        <row r="575">
          <cell r="B575" t="str">
            <v/>
          </cell>
          <cell r="C575" t="str">
            <v>LDYECS311S0044403</v>
          </cell>
          <cell r="D575" t="str">
            <v>MDN35025030154</v>
          </cell>
          <cell r="E575" t="str">
            <v>Zhong Thong</v>
          </cell>
          <cell r="F575" t="str">
            <v>Lck6122evg</v>
          </cell>
          <cell r="G575" t="str">
            <v>Zhong Thong</v>
          </cell>
          <cell r="H575" t="str">
            <v>Lck6122evg</v>
          </cell>
          <cell r="I575">
            <v>2026</v>
          </cell>
          <cell r="J575" t="str">
            <v>B</v>
          </cell>
          <cell r="K575" t="str">
            <v>Ducaud</v>
          </cell>
          <cell r="N575" t="str">
            <v>B</v>
          </cell>
        </row>
        <row r="576">
          <cell r="B576" t="str">
            <v/>
          </cell>
          <cell r="C576" t="str">
            <v>LDYECS319S0044309</v>
          </cell>
          <cell r="D576" t="str">
            <v>MDN35025030008</v>
          </cell>
          <cell r="E576" t="str">
            <v>Zhong Thong</v>
          </cell>
          <cell r="F576" t="str">
            <v>Lck6122evg</v>
          </cell>
          <cell r="G576" t="str">
            <v>Zhong Thong</v>
          </cell>
          <cell r="H576" t="str">
            <v>Lck6122evg</v>
          </cell>
          <cell r="I576">
            <v>2026</v>
          </cell>
          <cell r="J576" t="str">
            <v>B</v>
          </cell>
          <cell r="K576" t="str">
            <v>Ducaud</v>
          </cell>
          <cell r="N576" t="str">
            <v>B</v>
          </cell>
        </row>
        <row r="577">
          <cell r="B577" t="str">
            <v/>
          </cell>
          <cell r="C577" t="str">
            <v>LDYECS31XS0044190</v>
          </cell>
          <cell r="D577" t="str">
            <v>MDN35025020179</v>
          </cell>
          <cell r="E577" t="str">
            <v>Zhong Thong</v>
          </cell>
          <cell r="F577" t="str">
            <v>Lck6122evg</v>
          </cell>
          <cell r="G577" t="str">
            <v>Zhong Thong</v>
          </cell>
          <cell r="H577" t="str">
            <v>Lck6122evg</v>
          </cell>
          <cell r="I577">
            <v>2026</v>
          </cell>
          <cell r="J577" t="str">
            <v>B</v>
          </cell>
          <cell r="K577" t="str">
            <v>Ducaud</v>
          </cell>
          <cell r="N577" t="str">
            <v>B</v>
          </cell>
        </row>
        <row r="578">
          <cell r="B578" t="str">
            <v/>
          </cell>
          <cell r="C578" t="str">
            <v>LDYECS312S0044264</v>
          </cell>
          <cell r="D578" t="str">
            <v>MDN35025030090</v>
          </cell>
          <cell r="E578" t="str">
            <v>Zhong Thong</v>
          </cell>
          <cell r="F578" t="str">
            <v>Lck6122evg</v>
          </cell>
          <cell r="G578" t="str">
            <v>Zhong Thong</v>
          </cell>
          <cell r="H578" t="str">
            <v>Lck6122evg</v>
          </cell>
          <cell r="I578">
            <v>2026</v>
          </cell>
          <cell r="J578" t="str">
            <v>B</v>
          </cell>
          <cell r="K578" t="str">
            <v>Ducaud</v>
          </cell>
          <cell r="N578" t="str">
            <v>B</v>
          </cell>
        </row>
        <row r="579">
          <cell r="B579" t="str">
            <v/>
          </cell>
          <cell r="C579" t="str">
            <v>LDYECS315S0044355</v>
          </cell>
          <cell r="D579" t="str">
            <v>MDN35025010086</v>
          </cell>
          <cell r="E579" t="str">
            <v>Zhong Thong</v>
          </cell>
          <cell r="F579" t="str">
            <v>Lck6122evg</v>
          </cell>
          <cell r="G579" t="str">
            <v>Zhong Thong</v>
          </cell>
          <cell r="H579" t="str">
            <v>Lck6122evg</v>
          </cell>
          <cell r="I579">
            <v>2026</v>
          </cell>
          <cell r="J579" t="str">
            <v>B</v>
          </cell>
          <cell r="K579" t="str">
            <v>Ducaud</v>
          </cell>
          <cell r="N579" t="str">
            <v>B</v>
          </cell>
        </row>
        <row r="580">
          <cell r="B580" t="str">
            <v/>
          </cell>
          <cell r="C580" t="str">
            <v>LDYECS311S0044367</v>
          </cell>
          <cell r="D580" t="str">
            <v>MDN35025010046</v>
          </cell>
          <cell r="E580" t="str">
            <v>Zhong Thong</v>
          </cell>
          <cell r="F580" t="str">
            <v>Lck6122evg</v>
          </cell>
          <cell r="G580" t="str">
            <v>Zhong Thong</v>
          </cell>
          <cell r="H580" t="str">
            <v>Lck6122evg</v>
          </cell>
          <cell r="I580">
            <v>2026</v>
          </cell>
          <cell r="J580" t="str">
            <v>B</v>
          </cell>
          <cell r="K580" t="str">
            <v>Ducaud</v>
          </cell>
          <cell r="N580" t="str">
            <v>B</v>
          </cell>
        </row>
        <row r="581">
          <cell r="B581" t="str">
            <v/>
          </cell>
          <cell r="C581" t="str">
            <v>LDYECS311S0045762</v>
          </cell>
          <cell r="D581" t="str">
            <v>MDN35025030168</v>
          </cell>
          <cell r="E581" t="str">
            <v>Zhong Thong</v>
          </cell>
          <cell r="F581" t="str">
            <v>Lck6122evg</v>
          </cell>
          <cell r="G581" t="str">
            <v>Zhong Thong</v>
          </cell>
          <cell r="H581" t="str">
            <v>Lck6122evg</v>
          </cell>
          <cell r="I581">
            <v>2026</v>
          </cell>
          <cell r="J581" t="str">
            <v>B</v>
          </cell>
          <cell r="K581" t="str">
            <v>Ducaud</v>
          </cell>
          <cell r="N581" t="str">
            <v>B</v>
          </cell>
        </row>
        <row r="582">
          <cell r="B582" t="str">
            <v/>
          </cell>
          <cell r="C582" t="str">
            <v>LDYECS318S0045760</v>
          </cell>
          <cell r="D582" t="str">
            <v>MDN35025030276</v>
          </cell>
          <cell r="E582" t="str">
            <v>Zhong Thong</v>
          </cell>
          <cell r="F582" t="str">
            <v>Lck6122evg</v>
          </cell>
          <cell r="G582" t="str">
            <v>Zhong Thong</v>
          </cell>
          <cell r="H582" t="str">
            <v>Lck6122evg</v>
          </cell>
          <cell r="I582">
            <v>2026</v>
          </cell>
          <cell r="J582" t="str">
            <v>B</v>
          </cell>
          <cell r="K582" t="str">
            <v>Ducaud</v>
          </cell>
          <cell r="N582" t="str">
            <v>B</v>
          </cell>
        </row>
        <row r="583">
          <cell r="B583" t="str">
            <v/>
          </cell>
          <cell r="C583" t="str">
            <v>LDYECS313S0045763</v>
          </cell>
          <cell r="D583" t="str">
            <v>MDN35025030156</v>
          </cell>
          <cell r="E583" t="str">
            <v>Zhong Thong</v>
          </cell>
          <cell r="F583" t="str">
            <v>Lck6122evg</v>
          </cell>
          <cell r="G583" t="str">
            <v>Zhong Thong</v>
          </cell>
          <cell r="H583" t="str">
            <v>Lck6122evg</v>
          </cell>
          <cell r="I583">
            <v>2026</v>
          </cell>
          <cell r="J583" t="str">
            <v>B</v>
          </cell>
          <cell r="K583" t="str">
            <v>Ducaud</v>
          </cell>
          <cell r="N583" t="str">
            <v>B</v>
          </cell>
        </row>
        <row r="584">
          <cell r="B584" t="str">
            <v/>
          </cell>
          <cell r="C584" t="str">
            <v>LDYECS314S0044394</v>
          </cell>
          <cell r="D584" t="str">
            <v>MDN35025030249</v>
          </cell>
          <cell r="E584" t="str">
            <v>Zhong Thong</v>
          </cell>
          <cell r="F584" t="str">
            <v>Lck6122evg</v>
          </cell>
          <cell r="G584" t="str">
            <v>Zhong Thong</v>
          </cell>
          <cell r="H584" t="str">
            <v>Lck6122evg</v>
          </cell>
          <cell r="I584">
            <v>2026</v>
          </cell>
          <cell r="J584" t="str">
            <v>B</v>
          </cell>
          <cell r="K584" t="str">
            <v>Ducaud</v>
          </cell>
          <cell r="N584" t="str">
            <v>B</v>
          </cell>
        </row>
        <row r="585">
          <cell r="B585" t="str">
            <v/>
          </cell>
          <cell r="C585" t="str">
            <v>LDYECS315S0044257</v>
          </cell>
          <cell r="D585" t="str">
            <v>MDN35025020147</v>
          </cell>
          <cell r="E585" t="str">
            <v>Zhong Thong</v>
          </cell>
          <cell r="F585" t="str">
            <v>Lck6122evg</v>
          </cell>
          <cell r="G585" t="str">
            <v>Zhong Thong</v>
          </cell>
          <cell r="H585" t="str">
            <v>Lck6122evg</v>
          </cell>
          <cell r="I585">
            <v>2026</v>
          </cell>
          <cell r="J585" t="str">
            <v>B</v>
          </cell>
          <cell r="K585" t="str">
            <v>Ducaud</v>
          </cell>
          <cell r="N585" t="str">
            <v>B</v>
          </cell>
        </row>
        <row r="586">
          <cell r="B586" t="str">
            <v/>
          </cell>
          <cell r="C586" t="str">
            <v>LDYECS31XS0045758</v>
          </cell>
          <cell r="D586" t="str">
            <v>MDN35025030172</v>
          </cell>
          <cell r="E586" t="str">
            <v>Zhong Thong</v>
          </cell>
          <cell r="F586" t="str">
            <v>Lck6122evg</v>
          </cell>
          <cell r="G586" t="str">
            <v>Zhong Thong</v>
          </cell>
          <cell r="H586" t="str">
            <v>Lck6122evg</v>
          </cell>
          <cell r="I586">
            <v>2026</v>
          </cell>
          <cell r="J586" t="str">
            <v>B</v>
          </cell>
          <cell r="K586" t="str">
            <v>Ducaud</v>
          </cell>
          <cell r="N586" t="str">
            <v>B</v>
          </cell>
        </row>
        <row r="587">
          <cell r="B587" t="str">
            <v/>
          </cell>
          <cell r="C587" t="str">
            <v>LDYECS311S0045857</v>
          </cell>
          <cell r="D587" t="str">
            <v>MDN35025030292</v>
          </cell>
          <cell r="E587" t="str">
            <v>Zhong Thong</v>
          </cell>
          <cell r="F587" t="str">
            <v>Lck6122evg</v>
          </cell>
          <cell r="G587" t="str">
            <v>Zhong Thong</v>
          </cell>
          <cell r="H587" t="str">
            <v>Lck6122evg</v>
          </cell>
          <cell r="I587">
            <v>2026</v>
          </cell>
          <cell r="J587" t="str">
            <v>B</v>
          </cell>
          <cell r="K587" t="str">
            <v>Ducaud</v>
          </cell>
          <cell r="N587" t="str">
            <v>B</v>
          </cell>
        </row>
        <row r="588">
          <cell r="B588" t="str">
            <v/>
          </cell>
          <cell r="C588" t="str">
            <v>LDYECS315S0045764</v>
          </cell>
          <cell r="D588" t="str">
            <v>MDN35025030157</v>
          </cell>
          <cell r="E588" t="str">
            <v>Zhong Thong</v>
          </cell>
          <cell r="F588" t="str">
            <v>Lck6122evg</v>
          </cell>
          <cell r="G588" t="str">
            <v>Zhong Thong</v>
          </cell>
          <cell r="H588" t="str">
            <v>Lck6122evg</v>
          </cell>
          <cell r="I588">
            <v>2026</v>
          </cell>
          <cell r="J588" t="str">
            <v>B</v>
          </cell>
          <cell r="K588" t="str">
            <v>Ducaud</v>
          </cell>
          <cell r="N588" t="str">
            <v>B</v>
          </cell>
        </row>
        <row r="589">
          <cell r="B589" t="str">
            <v/>
          </cell>
          <cell r="C589" t="str">
            <v>LDYECS315S0045862</v>
          </cell>
          <cell r="D589" t="str">
            <v>MDN35025030216</v>
          </cell>
          <cell r="E589" t="str">
            <v>Zhong Thong</v>
          </cell>
          <cell r="F589" t="str">
            <v>Lck6122evg</v>
          </cell>
          <cell r="G589" t="str">
            <v>Zhong Thong</v>
          </cell>
          <cell r="H589" t="str">
            <v>Lck6122evg</v>
          </cell>
          <cell r="I589">
            <v>2026</v>
          </cell>
          <cell r="J589" t="str">
            <v>B</v>
          </cell>
          <cell r="K589" t="str">
            <v>Ducaud</v>
          </cell>
          <cell r="N589" t="str">
            <v>B</v>
          </cell>
        </row>
        <row r="590">
          <cell r="B590" t="str">
            <v/>
          </cell>
          <cell r="C590" t="str">
            <v>LDYECS318S0044155</v>
          </cell>
          <cell r="D590" t="str">
            <v>MDN35025020268</v>
          </cell>
          <cell r="E590" t="str">
            <v>Zhong Thong</v>
          </cell>
          <cell r="F590" t="str">
            <v>Lck6122evg</v>
          </cell>
          <cell r="G590" t="str">
            <v>Zhong Thong</v>
          </cell>
          <cell r="H590" t="str">
            <v>Lck6122evg</v>
          </cell>
          <cell r="I590">
            <v>2026</v>
          </cell>
          <cell r="J590" t="str">
            <v>B</v>
          </cell>
          <cell r="K590" t="str">
            <v>Ducaud</v>
          </cell>
          <cell r="N590" t="str">
            <v>B</v>
          </cell>
        </row>
        <row r="591">
          <cell r="B591" t="str">
            <v/>
          </cell>
          <cell r="C591" t="str">
            <v>LDYECS315S0045781</v>
          </cell>
          <cell r="D591" t="str">
            <v>MDN35025030229</v>
          </cell>
          <cell r="E591" t="str">
            <v>Zhong Thong</v>
          </cell>
          <cell r="F591" t="str">
            <v>Lck6122evg</v>
          </cell>
          <cell r="G591" t="str">
            <v>Zhong Thong</v>
          </cell>
          <cell r="H591" t="str">
            <v>Lck6122evg</v>
          </cell>
          <cell r="I591">
            <v>2026</v>
          </cell>
          <cell r="J591" t="str">
            <v>B</v>
          </cell>
          <cell r="K591" t="str">
            <v>Ducaud</v>
          </cell>
          <cell r="N591" t="str">
            <v>B</v>
          </cell>
        </row>
        <row r="592">
          <cell r="B592" t="str">
            <v/>
          </cell>
          <cell r="C592" t="str">
            <v>LDYECS317S0045765</v>
          </cell>
          <cell r="D592" t="str">
            <v>MDN35025030272</v>
          </cell>
          <cell r="E592" t="str">
            <v>Zhong Thong</v>
          </cell>
          <cell r="F592" t="str">
            <v>Lck6122evg</v>
          </cell>
          <cell r="G592" t="str">
            <v>Zhong Thong</v>
          </cell>
          <cell r="H592" t="str">
            <v>Lck6122evg</v>
          </cell>
          <cell r="I592">
            <v>2026</v>
          </cell>
          <cell r="J592" t="str">
            <v>B</v>
          </cell>
          <cell r="K592" t="str">
            <v>Ducaud</v>
          </cell>
          <cell r="N592" t="str">
            <v>B</v>
          </cell>
        </row>
        <row r="593">
          <cell r="B593" t="str">
            <v/>
          </cell>
          <cell r="C593" t="str">
            <v>LDYECS319S0045752</v>
          </cell>
          <cell r="D593" t="str">
            <v>MDN35025030131</v>
          </cell>
          <cell r="E593" t="str">
            <v>Zhong Thong</v>
          </cell>
          <cell r="F593" t="str">
            <v>Lck6122evg</v>
          </cell>
          <cell r="G593" t="str">
            <v>Zhong Thong</v>
          </cell>
          <cell r="H593" t="str">
            <v>Lck6122evg</v>
          </cell>
          <cell r="I593">
            <v>2026</v>
          </cell>
          <cell r="J593" t="str">
            <v>B</v>
          </cell>
          <cell r="K593" t="str">
            <v>Ducaud</v>
          </cell>
          <cell r="N593" t="str">
            <v>B</v>
          </cell>
        </row>
        <row r="594">
          <cell r="B594" t="str">
            <v/>
          </cell>
          <cell r="C594" t="str">
            <v>LDYECS313S0045861</v>
          </cell>
          <cell r="D594" t="str">
            <v>MDN35025030174</v>
          </cell>
          <cell r="E594" t="str">
            <v>Zhong Thong</v>
          </cell>
          <cell r="F594" t="str">
            <v>Lck6122evg</v>
          </cell>
          <cell r="G594" t="str">
            <v>Zhong Thong</v>
          </cell>
          <cell r="H594" t="str">
            <v>Lck6122evg</v>
          </cell>
          <cell r="I594">
            <v>2026</v>
          </cell>
          <cell r="J594" t="str">
            <v>B</v>
          </cell>
          <cell r="K594" t="str">
            <v>Ducaud</v>
          </cell>
          <cell r="N594" t="str">
            <v>B</v>
          </cell>
        </row>
        <row r="595">
          <cell r="B595" t="str">
            <v/>
          </cell>
          <cell r="C595" t="str">
            <v>LDYECS316S0045773</v>
          </cell>
          <cell r="D595" t="str">
            <v>MDN35025030170</v>
          </cell>
          <cell r="E595" t="str">
            <v>Zhong Thong</v>
          </cell>
          <cell r="F595" t="str">
            <v>Lck6122evg</v>
          </cell>
          <cell r="G595" t="str">
            <v>Zhong Thong</v>
          </cell>
          <cell r="H595" t="str">
            <v>Lck6122evg</v>
          </cell>
          <cell r="I595">
            <v>2026</v>
          </cell>
          <cell r="J595" t="str">
            <v>B</v>
          </cell>
          <cell r="K595" t="str">
            <v>Ducaud</v>
          </cell>
          <cell r="N595" t="str">
            <v>B</v>
          </cell>
        </row>
        <row r="596">
          <cell r="B596" t="str">
            <v/>
          </cell>
          <cell r="C596" t="str">
            <v>LDYECS312S0045771</v>
          </cell>
          <cell r="D596" t="str">
            <v>MDN35025030182</v>
          </cell>
          <cell r="E596" t="str">
            <v>Zhong Thong</v>
          </cell>
          <cell r="F596" t="str">
            <v>Lck6122evg</v>
          </cell>
          <cell r="G596" t="str">
            <v>Zhong Thong</v>
          </cell>
          <cell r="H596" t="str">
            <v>Lck6122evg</v>
          </cell>
          <cell r="I596">
            <v>2026</v>
          </cell>
          <cell r="J596" t="str">
            <v>B</v>
          </cell>
          <cell r="K596" t="str">
            <v>Ducaud</v>
          </cell>
          <cell r="N596" t="str">
            <v>B</v>
          </cell>
        </row>
        <row r="597">
          <cell r="B597" t="str">
            <v/>
          </cell>
          <cell r="C597" t="str">
            <v>LDYECS314S0045870</v>
          </cell>
          <cell r="D597" t="str">
            <v>MDN35025030202</v>
          </cell>
          <cell r="E597" t="str">
            <v>Zhong Thong</v>
          </cell>
          <cell r="F597" t="str">
            <v>Lck6122evg</v>
          </cell>
          <cell r="G597" t="str">
            <v>Zhong Thong</v>
          </cell>
          <cell r="H597" t="str">
            <v>Lck6122evg</v>
          </cell>
          <cell r="I597">
            <v>2026</v>
          </cell>
          <cell r="J597" t="str">
            <v>B</v>
          </cell>
          <cell r="K597" t="str">
            <v>Ducaud</v>
          </cell>
          <cell r="N597" t="str">
            <v>B</v>
          </cell>
        </row>
        <row r="598">
          <cell r="B598" t="str">
            <v/>
          </cell>
          <cell r="C598" t="str">
            <v>LDYECS312S0045866</v>
          </cell>
          <cell r="D598" t="str">
            <v>MDN35025030296</v>
          </cell>
          <cell r="E598" t="str">
            <v>Zhong Thong</v>
          </cell>
          <cell r="F598" t="str">
            <v>Lck6122evg</v>
          </cell>
          <cell r="G598" t="str">
            <v>Zhong Thong</v>
          </cell>
          <cell r="H598" t="str">
            <v>Lck6122evg</v>
          </cell>
          <cell r="I598">
            <v>2026</v>
          </cell>
          <cell r="J598" t="str">
            <v>B</v>
          </cell>
          <cell r="K598" t="str">
            <v>Ducaud</v>
          </cell>
          <cell r="N598" t="str">
            <v>B</v>
          </cell>
        </row>
        <row r="599">
          <cell r="B599" t="str">
            <v/>
          </cell>
          <cell r="C599" t="str">
            <v>LDYECS314S0045867</v>
          </cell>
          <cell r="D599" t="str">
            <v>MDN35025030263</v>
          </cell>
          <cell r="E599" t="str">
            <v>Zhong Thong</v>
          </cell>
          <cell r="F599" t="str">
            <v>Lck6122evg</v>
          </cell>
          <cell r="G599" t="str">
            <v>Zhong Thong</v>
          </cell>
          <cell r="H599" t="str">
            <v>Lck6122evg</v>
          </cell>
          <cell r="I599">
            <v>2026</v>
          </cell>
          <cell r="J599" t="str">
            <v>B</v>
          </cell>
          <cell r="K599" t="str">
            <v>Ducaud</v>
          </cell>
          <cell r="N599" t="str">
            <v>B</v>
          </cell>
        </row>
        <row r="600">
          <cell r="B600" t="str">
            <v/>
          </cell>
          <cell r="C600" t="str">
            <v>LDYECS318S0045872</v>
          </cell>
          <cell r="D600" t="str">
            <v>MDN35025030208</v>
          </cell>
          <cell r="E600" t="str">
            <v>Zhong Thong</v>
          </cell>
          <cell r="F600" t="str">
            <v>Lck6122evg</v>
          </cell>
          <cell r="G600" t="str">
            <v>Zhong Thong</v>
          </cell>
          <cell r="H600" t="str">
            <v>Lck6122evg</v>
          </cell>
          <cell r="I600">
            <v>2026</v>
          </cell>
          <cell r="J600" t="str">
            <v>B</v>
          </cell>
          <cell r="K600" t="str">
            <v>Ducaud</v>
          </cell>
          <cell r="N600" t="str">
            <v>B</v>
          </cell>
        </row>
        <row r="601">
          <cell r="B601" t="str">
            <v/>
          </cell>
          <cell r="C601" t="str">
            <v>LDYECS310S0045770</v>
          </cell>
          <cell r="D601" t="str">
            <v>MDN35025030277</v>
          </cell>
          <cell r="E601" t="str">
            <v>Zhong Thong</v>
          </cell>
          <cell r="F601" t="str">
            <v>Lck6122evg</v>
          </cell>
          <cell r="G601" t="str">
            <v>Zhong Thong</v>
          </cell>
          <cell r="H601" t="str">
            <v>Lck6122evg</v>
          </cell>
          <cell r="I601">
            <v>2026</v>
          </cell>
          <cell r="J601" t="str">
            <v>B</v>
          </cell>
          <cell r="K601" t="str">
            <v>Ducaud</v>
          </cell>
          <cell r="N601" t="str">
            <v>B</v>
          </cell>
        </row>
        <row r="602">
          <cell r="B602" t="str">
            <v/>
          </cell>
          <cell r="C602" t="str">
            <v>LDYECS31XS0045713</v>
          </cell>
          <cell r="D602" t="str">
            <v>MDN35025030118</v>
          </cell>
          <cell r="E602" t="str">
            <v>Zhong Thong</v>
          </cell>
          <cell r="F602" t="str">
            <v>Lck6122evg</v>
          </cell>
          <cell r="G602" t="str">
            <v>Zhong Thong</v>
          </cell>
          <cell r="H602" t="str">
            <v>Lck6122evg</v>
          </cell>
          <cell r="I602">
            <v>2026</v>
          </cell>
          <cell r="J602" t="str">
            <v>B</v>
          </cell>
          <cell r="K602" t="str">
            <v>Las Acacias</v>
          </cell>
          <cell r="N602" t="str">
            <v>B</v>
          </cell>
        </row>
        <row r="603">
          <cell r="B603" t="str">
            <v/>
          </cell>
          <cell r="C603" t="str">
            <v>LDYECS31XS0045808</v>
          </cell>
          <cell r="D603" t="str">
            <v>MDN35025030192</v>
          </cell>
          <cell r="E603" t="str">
            <v>Zhong Thong</v>
          </cell>
          <cell r="F603" t="str">
            <v>Lck6122evg</v>
          </cell>
          <cell r="G603" t="str">
            <v>Zhong Thong</v>
          </cell>
          <cell r="H603" t="str">
            <v>Lck6122evg</v>
          </cell>
          <cell r="I603">
            <v>2026</v>
          </cell>
          <cell r="J603" t="str">
            <v>B</v>
          </cell>
          <cell r="K603" t="str">
            <v>Las Acacias</v>
          </cell>
          <cell r="N603" t="str">
            <v>B</v>
          </cell>
        </row>
        <row r="604">
          <cell r="B604" t="str">
            <v/>
          </cell>
          <cell r="C604" t="str">
            <v>8LDYECS314S004578</v>
          </cell>
          <cell r="D604" t="str">
            <v>MDN35025030194</v>
          </cell>
          <cell r="E604" t="str">
            <v>Zhong Thong</v>
          </cell>
          <cell r="F604" t="str">
            <v>Lck6122evg</v>
          </cell>
          <cell r="G604" t="str">
            <v>Zhong Thong</v>
          </cell>
          <cell r="H604" t="str">
            <v>Lck6122evg</v>
          </cell>
          <cell r="I604">
            <v>2026</v>
          </cell>
          <cell r="J604" t="str">
            <v>B</v>
          </cell>
          <cell r="K604" t="str">
            <v>Las Acacias</v>
          </cell>
          <cell r="N604" t="str">
            <v>B</v>
          </cell>
        </row>
        <row r="605">
          <cell r="B605" t="str">
            <v/>
          </cell>
          <cell r="C605" t="str">
            <v>LDYECS310S0045705</v>
          </cell>
          <cell r="D605" t="str">
            <v>MDN35025030236</v>
          </cell>
          <cell r="E605" t="str">
            <v>Zhong Thong</v>
          </cell>
          <cell r="F605" t="str">
            <v>Lck6122evg</v>
          </cell>
          <cell r="G605" t="str">
            <v>Zhong Thong</v>
          </cell>
          <cell r="H605" t="str">
            <v>Lck6122evg</v>
          </cell>
          <cell r="I605">
            <v>2026</v>
          </cell>
          <cell r="J605" t="str">
            <v>B</v>
          </cell>
          <cell r="K605" t="str">
            <v>Las Acacias</v>
          </cell>
          <cell r="N605" t="str">
            <v>B</v>
          </cell>
        </row>
        <row r="606">
          <cell r="B606" t="str">
            <v/>
          </cell>
          <cell r="C606" t="str">
            <v>LDYECS318S0045774</v>
          </cell>
          <cell r="D606" t="str">
            <v>MDN35025030173</v>
          </cell>
          <cell r="E606" t="str">
            <v>Zhong Thong</v>
          </cell>
          <cell r="F606" t="str">
            <v>Lck6122evg</v>
          </cell>
          <cell r="G606" t="str">
            <v>Zhong Thong</v>
          </cell>
          <cell r="H606" t="str">
            <v>Lck6122evg</v>
          </cell>
          <cell r="I606">
            <v>2026</v>
          </cell>
          <cell r="J606" t="str">
            <v>B</v>
          </cell>
          <cell r="K606" t="str">
            <v>Las Acacias</v>
          </cell>
          <cell r="N606" t="str">
            <v>B</v>
          </cell>
        </row>
        <row r="607">
          <cell r="B607" t="str">
            <v/>
          </cell>
          <cell r="C607" t="str">
            <v>LDYECS310S0045784</v>
          </cell>
          <cell r="D607" t="str">
            <v>MDN35025030197</v>
          </cell>
          <cell r="E607" t="str">
            <v>Zhong Thong</v>
          </cell>
          <cell r="F607" t="str">
            <v>Lck6122evg</v>
          </cell>
          <cell r="G607" t="str">
            <v>Zhong Thong</v>
          </cell>
          <cell r="H607" t="str">
            <v>Lck6122evg</v>
          </cell>
          <cell r="I607">
            <v>2026</v>
          </cell>
          <cell r="J607" t="str">
            <v>B</v>
          </cell>
          <cell r="K607" t="str">
            <v>Las Acacias</v>
          </cell>
          <cell r="N607" t="str">
            <v>B</v>
          </cell>
        </row>
        <row r="608">
          <cell r="B608" t="str">
            <v/>
          </cell>
          <cell r="C608" t="str">
            <v>LDYECS311S0045700</v>
          </cell>
          <cell r="D608" t="str">
            <v>MDN35025030297</v>
          </cell>
          <cell r="E608" t="str">
            <v>Zhong Thong</v>
          </cell>
          <cell r="F608" t="str">
            <v>Lck6122evg</v>
          </cell>
          <cell r="G608" t="str">
            <v>Zhong Thong</v>
          </cell>
          <cell r="H608" t="str">
            <v>Lck6122evg</v>
          </cell>
          <cell r="I608">
            <v>2026</v>
          </cell>
          <cell r="J608" t="str">
            <v>B</v>
          </cell>
          <cell r="K608" t="str">
            <v>Las Acacias</v>
          </cell>
          <cell r="N608" t="str">
            <v>B</v>
          </cell>
        </row>
        <row r="609">
          <cell r="B609" t="str">
            <v/>
          </cell>
          <cell r="C609" t="str">
            <v>LDYECS316S0045871</v>
          </cell>
          <cell r="D609" t="str">
            <v>MDN35025030288</v>
          </cell>
          <cell r="E609" t="str">
            <v>Zhong Thong</v>
          </cell>
          <cell r="F609" t="str">
            <v>Lck6122evg</v>
          </cell>
          <cell r="G609" t="str">
            <v>Zhong Thong</v>
          </cell>
          <cell r="H609" t="str">
            <v>Lck6122evg</v>
          </cell>
          <cell r="I609">
            <v>2026</v>
          </cell>
          <cell r="J609" t="str">
            <v>B</v>
          </cell>
          <cell r="K609" t="str">
            <v>Las Acacias</v>
          </cell>
          <cell r="N609" t="str">
            <v>B</v>
          </cell>
        </row>
        <row r="610">
          <cell r="B610" t="str">
            <v/>
          </cell>
          <cell r="C610" t="str">
            <v>LDYECS312S0045768</v>
          </cell>
          <cell r="D610" t="str">
            <v>MDN35025030284</v>
          </cell>
          <cell r="E610" t="str">
            <v>Zhong Thong</v>
          </cell>
          <cell r="F610" t="str">
            <v>Lck6122evg</v>
          </cell>
          <cell r="G610" t="str">
            <v>Zhong Thong</v>
          </cell>
          <cell r="H610" t="str">
            <v>Lck6122evg</v>
          </cell>
          <cell r="I610">
            <v>2026</v>
          </cell>
          <cell r="J610" t="str">
            <v>B</v>
          </cell>
          <cell r="K610" t="str">
            <v>Las Acacias</v>
          </cell>
          <cell r="N610" t="str">
            <v>B</v>
          </cell>
        </row>
        <row r="611">
          <cell r="B611" t="str">
            <v/>
          </cell>
          <cell r="C611" t="str">
            <v>LDYECS311S0045874</v>
          </cell>
          <cell r="D611" t="str">
            <v>MDN35025030278</v>
          </cell>
          <cell r="E611" t="str">
            <v>Zhong Thong</v>
          </cell>
          <cell r="F611" t="str">
            <v>Lck6122evg</v>
          </cell>
          <cell r="G611" t="str">
            <v>Zhong Thong</v>
          </cell>
          <cell r="H611" t="str">
            <v>Lck6122evg</v>
          </cell>
          <cell r="I611">
            <v>2026</v>
          </cell>
          <cell r="J611" t="str">
            <v>B</v>
          </cell>
          <cell r="K611" t="str">
            <v>Las Acacias</v>
          </cell>
          <cell r="N611" t="str">
            <v>B</v>
          </cell>
        </row>
        <row r="612">
          <cell r="B612" t="str">
            <v/>
          </cell>
          <cell r="C612" t="str">
            <v>LDYECS311S0045759</v>
          </cell>
          <cell r="D612" t="str">
            <v>MDN35025030145</v>
          </cell>
          <cell r="E612" t="str">
            <v>Zhong Thong</v>
          </cell>
          <cell r="F612" t="str">
            <v>Lck6122evg</v>
          </cell>
          <cell r="G612" t="str">
            <v>Zhong Thong</v>
          </cell>
          <cell r="H612" t="str">
            <v>Lck6122evg</v>
          </cell>
          <cell r="I612">
            <v>2026</v>
          </cell>
          <cell r="J612" t="str">
            <v>B</v>
          </cell>
          <cell r="K612" t="str">
            <v>Las Acacias</v>
          </cell>
          <cell r="N612" t="str">
            <v>B</v>
          </cell>
        </row>
        <row r="613">
          <cell r="B613" t="str">
            <v/>
          </cell>
          <cell r="C613" t="str">
            <v>LDYECS839S0045647</v>
          </cell>
          <cell r="D613" t="str">
            <v>MJJ20025010022</v>
          </cell>
          <cell r="E613" t="str">
            <v>Zhong Thong</v>
          </cell>
          <cell r="F613" t="str">
            <v>Lck6850evg</v>
          </cell>
          <cell r="G613" t="str">
            <v>Zhong Thong</v>
          </cell>
          <cell r="H613" t="str">
            <v>Lck6850evg</v>
          </cell>
          <cell r="I613">
            <v>2026</v>
          </cell>
          <cell r="J613" t="str">
            <v>A</v>
          </cell>
          <cell r="K613" t="str">
            <v>Las Acacias</v>
          </cell>
          <cell r="N613" t="str">
            <v>A</v>
          </cell>
        </row>
        <row r="614">
          <cell r="B614" t="str">
            <v/>
          </cell>
          <cell r="C614" t="str">
            <v>LDYECS83XS0045642</v>
          </cell>
          <cell r="D614" t="str">
            <v>MJJ20025010017</v>
          </cell>
          <cell r="E614" t="str">
            <v>Zhong Thong</v>
          </cell>
          <cell r="F614" t="str">
            <v>Lck6850evg</v>
          </cell>
          <cell r="G614" t="str">
            <v>Zhong Thong</v>
          </cell>
          <cell r="H614" t="str">
            <v>Lck6850evg</v>
          </cell>
          <cell r="I614">
            <v>2026</v>
          </cell>
          <cell r="J614" t="str">
            <v>A</v>
          </cell>
          <cell r="K614" t="str">
            <v>Las Acacias</v>
          </cell>
          <cell r="N614" t="str">
            <v>A</v>
          </cell>
        </row>
        <row r="615">
          <cell r="B615" t="str">
            <v/>
          </cell>
          <cell r="C615" t="str">
            <v>LDYECS835S0045645</v>
          </cell>
          <cell r="D615" t="str">
            <v>MJJ20025010002</v>
          </cell>
          <cell r="E615" t="str">
            <v>Zhong Thong</v>
          </cell>
          <cell r="F615" t="str">
            <v>Lck6850evg</v>
          </cell>
          <cell r="G615" t="str">
            <v>Zhong Thong</v>
          </cell>
          <cell r="H615" t="str">
            <v>Lck6850evg</v>
          </cell>
          <cell r="I615">
            <v>2026</v>
          </cell>
          <cell r="J615" t="str">
            <v>A</v>
          </cell>
          <cell r="K615" t="str">
            <v>Las Acacias</v>
          </cell>
          <cell r="N615" t="str">
            <v>A</v>
          </cell>
        </row>
        <row r="616">
          <cell r="B616" t="str">
            <v/>
          </cell>
          <cell r="C616" t="str">
            <v>LDYECS838S0045638</v>
          </cell>
          <cell r="D616" t="str">
            <v>MJJ20025010018</v>
          </cell>
          <cell r="E616" t="str">
            <v>Zhong Thong</v>
          </cell>
          <cell r="F616" t="str">
            <v>Lck6850evg</v>
          </cell>
          <cell r="G616" t="str">
            <v>Zhong Thong</v>
          </cell>
          <cell r="H616" t="str">
            <v>Lck6850evg</v>
          </cell>
          <cell r="I616">
            <v>2026</v>
          </cell>
          <cell r="J616" t="str">
            <v>A</v>
          </cell>
          <cell r="K616" t="str">
            <v>Las Acacias</v>
          </cell>
          <cell r="N616" t="str">
            <v>A</v>
          </cell>
        </row>
        <row r="617">
          <cell r="B617" t="str">
            <v/>
          </cell>
          <cell r="C617" t="str">
            <v>LDYECS838S0045641</v>
          </cell>
          <cell r="D617" t="str">
            <v>MJJ20025010006</v>
          </cell>
          <cell r="E617" t="str">
            <v>Zhong Thong</v>
          </cell>
          <cell r="F617" t="str">
            <v>Lck6850evg</v>
          </cell>
          <cell r="G617" t="str">
            <v>Zhong Thong</v>
          </cell>
          <cell r="H617" t="str">
            <v>Lck6850evg</v>
          </cell>
          <cell r="I617">
            <v>2026</v>
          </cell>
          <cell r="J617" t="str">
            <v>A</v>
          </cell>
          <cell r="K617" t="str">
            <v>Las Acacias</v>
          </cell>
          <cell r="N617" t="str">
            <v>A</v>
          </cell>
        </row>
        <row r="618">
          <cell r="B618" t="str">
            <v/>
          </cell>
          <cell r="C618" t="str">
            <v>LDYECS831S0045643</v>
          </cell>
          <cell r="D618" t="str">
            <v>MJJ20025010055</v>
          </cell>
          <cell r="E618" t="str">
            <v>Zhong Thong</v>
          </cell>
          <cell r="F618" t="str">
            <v>Lck6850evg</v>
          </cell>
          <cell r="G618" t="str">
            <v>Zhong Thong</v>
          </cell>
          <cell r="H618" t="str">
            <v>Lck6850evg</v>
          </cell>
          <cell r="I618">
            <v>2026</v>
          </cell>
          <cell r="J618" t="str">
            <v>A</v>
          </cell>
          <cell r="K618" t="str">
            <v>Las Acacias</v>
          </cell>
          <cell r="N618" t="str">
            <v>A</v>
          </cell>
        </row>
        <row r="619">
          <cell r="B619" t="str">
            <v/>
          </cell>
          <cell r="C619" t="str">
            <v>LDYECS835S0044527</v>
          </cell>
          <cell r="D619" t="str">
            <v>MJJ20025010038</v>
          </cell>
          <cell r="E619" t="str">
            <v>Zhong Thong</v>
          </cell>
          <cell r="F619" t="str">
            <v>Lck6850evg</v>
          </cell>
          <cell r="G619" t="str">
            <v>Zhong Thong</v>
          </cell>
          <cell r="H619" t="str">
            <v>Lck6850evg</v>
          </cell>
          <cell r="I619">
            <v>2026</v>
          </cell>
          <cell r="J619" t="str">
            <v>A</v>
          </cell>
          <cell r="K619" t="str">
            <v>Las Acacias</v>
          </cell>
          <cell r="N619" t="str">
            <v>A</v>
          </cell>
        </row>
        <row r="620">
          <cell r="B620" t="str">
            <v/>
          </cell>
          <cell r="C620" t="str">
            <v>LDYECS837S0044528</v>
          </cell>
          <cell r="D620" t="str">
            <v>MJJ20025010031</v>
          </cell>
          <cell r="E620" t="str">
            <v>Zhong Thong</v>
          </cell>
          <cell r="F620" t="str">
            <v>Lck6850evg</v>
          </cell>
          <cell r="G620" t="str">
            <v>Zhong Thong</v>
          </cell>
          <cell r="H620" t="str">
            <v>Lck6850evg</v>
          </cell>
          <cell r="I620">
            <v>2026</v>
          </cell>
          <cell r="J620" t="str">
            <v>A</v>
          </cell>
          <cell r="K620" t="str">
            <v>Las Acacias</v>
          </cell>
          <cell r="N620" t="str">
            <v>A</v>
          </cell>
        </row>
        <row r="621">
          <cell r="B621" t="str">
            <v/>
          </cell>
          <cell r="C621" t="str">
            <v>LDYECS835S0045614</v>
          </cell>
          <cell r="D621" t="str">
            <v>MJJ20025010009</v>
          </cell>
          <cell r="E621" t="str">
            <v>Zhong Thong</v>
          </cell>
          <cell r="F621" t="str">
            <v>Lck6850evg</v>
          </cell>
          <cell r="G621" t="str">
            <v>Zhong Thong</v>
          </cell>
          <cell r="H621" t="str">
            <v>Lck6850evg</v>
          </cell>
          <cell r="I621">
            <v>2026</v>
          </cell>
          <cell r="J621" t="str">
            <v>A</v>
          </cell>
          <cell r="K621" t="str">
            <v>Las Acacias</v>
          </cell>
          <cell r="N621" t="str">
            <v>A</v>
          </cell>
        </row>
        <row r="622">
          <cell r="B622" t="str">
            <v/>
          </cell>
          <cell r="C622" t="str">
            <v>LDYECS319S0045797</v>
          </cell>
          <cell r="D622" t="str">
            <v>MDN35025030308</v>
          </cell>
          <cell r="E622" t="str">
            <v>Zhong Thong</v>
          </cell>
          <cell r="F622" t="str">
            <v>Lck6122evg</v>
          </cell>
          <cell r="G622" t="str">
            <v>Zhong Thong</v>
          </cell>
          <cell r="H622" t="str">
            <v>Lck6122evg</v>
          </cell>
          <cell r="I622">
            <v>2026</v>
          </cell>
          <cell r="J622" t="str">
            <v>B</v>
          </cell>
          <cell r="K622" t="str">
            <v>Las Acacias</v>
          </cell>
          <cell r="N622" t="str">
            <v>B</v>
          </cell>
        </row>
        <row r="623">
          <cell r="B623" t="str">
            <v/>
          </cell>
          <cell r="C623" t="str">
            <v>LDYECS315S0045800</v>
          </cell>
          <cell r="D623" t="str">
            <v>MDN35025030258</v>
          </cell>
          <cell r="E623" t="str">
            <v>Zhong Thong</v>
          </cell>
          <cell r="F623" t="str">
            <v>Lck6122evg</v>
          </cell>
          <cell r="G623" t="str">
            <v>Zhong Thong</v>
          </cell>
          <cell r="H623" t="str">
            <v>Lck6122evg</v>
          </cell>
          <cell r="I623">
            <v>2026</v>
          </cell>
          <cell r="J623" t="str">
            <v>B</v>
          </cell>
          <cell r="K623" t="str">
            <v>Las Acacias</v>
          </cell>
          <cell r="N623" t="str">
            <v>B</v>
          </cell>
        </row>
        <row r="624">
          <cell r="B624" t="str">
            <v/>
          </cell>
          <cell r="C624" t="str">
            <v>LDYECS315S0045795</v>
          </cell>
          <cell r="D624" t="str">
            <v>MDN35025030264</v>
          </cell>
          <cell r="E624" t="str">
            <v>Zhong Thong</v>
          </cell>
          <cell r="F624" t="str">
            <v>Lck6122evg</v>
          </cell>
          <cell r="G624" t="str">
            <v>Zhong Thong</v>
          </cell>
          <cell r="H624" t="str">
            <v>Lck6122evg</v>
          </cell>
          <cell r="I624">
            <v>2026</v>
          </cell>
          <cell r="J624" t="str">
            <v>B</v>
          </cell>
          <cell r="K624" t="str">
            <v>Las Acacias</v>
          </cell>
          <cell r="N624" t="str">
            <v>B</v>
          </cell>
        </row>
        <row r="625">
          <cell r="B625" t="str">
            <v/>
          </cell>
          <cell r="C625" t="str">
            <v>LDYECS310S0045722</v>
          </cell>
          <cell r="D625" t="str">
            <v>MDN35025030123</v>
          </cell>
          <cell r="E625" t="str">
            <v>Zhong Thong</v>
          </cell>
          <cell r="F625" t="str">
            <v>Lck6122evg</v>
          </cell>
          <cell r="G625" t="str">
            <v>Zhong Thong</v>
          </cell>
          <cell r="H625" t="str">
            <v>Lck6122evg</v>
          </cell>
          <cell r="I625">
            <v>2026</v>
          </cell>
          <cell r="J625" t="str">
            <v>B</v>
          </cell>
          <cell r="K625" t="str">
            <v>Las Acacias</v>
          </cell>
          <cell r="N625" t="str">
            <v>B</v>
          </cell>
        </row>
        <row r="626">
          <cell r="B626" t="str">
            <v/>
          </cell>
          <cell r="C626" t="str">
            <v>LDYECS310S0045798</v>
          </cell>
          <cell r="D626" t="str">
            <v>MDN35025030250</v>
          </cell>
          <cell r="E626" t="str">
            <v>Zhong Thong</v>
          </cell>
          <cell r="F626" t="str">
            <v>Lck6122evg</v>
          </cell>
          <cell r="G626" t="str">
            <v>Zhong Thong</v>
          </cell>
          <cell r="H626" t="str">
            <v>Lck6122evg</v>
          </cell>
          <cell r="I626">
            <v>2026</v>
          </cell>
          <cell r="J626" t="str">
            <v>B</v>
          </cell>
          <cell r="K626" t="str">
            <v>Las Acacias</v>
          </cell>
          <cell r="N626" t="str">
            <v>B</v>
          </cell>
        </row>
        <row r="627">
          <cell r="B627" t="str">
            <v/>
          </cell>
          <cell r="C627" t="str">
            <v>LDYECS313S0045813</v>
          </cell>
          <cell r="D627" t="str">
            <v>MDN35025030268</v>
          </cell>
          <cell r="E627" t="str">
            <v>Zhong Thong</v>
          </cell>
          <cell r="F627" t="str">
            <v>Lck6122evg</v>
          </cell>
          <cell r="G627" t="str">
            <v>Zhong Thong</v>
          </cell>
          <cell r="H627" t="str">
            <v>Lck6122evg</v>
          </cell>
          <cell r="I627">
            <v>2026</v>
          </cell>
          <cell r="J627" t="str">
            <v>B</v>
          </cell>
          <cell r="K627" t="str">
            <v>Las Acacias</v>
          </cell>
          <cell r="N627" t="str">
            <v>B</v>
          </cell>
        </row>
        <row r="628">
          <cell r="B628" t="str">
            <v/>
          </cell>
          <cell r="C628" t="str">
            <v>LDYECS315S0045814</v>
          </cell>
          <cell r="D628" t="str">
            <v>MDN35025030040</v>
          </cell>
          <cell r="E628" t="str">
            <v>Zhong Thong</v>
          </cell>
          <cell r="F628" t="str">
            <v>Lck6122evg</v>
          </cell>
          <cell r="G628" t="str">
            <v>Zhong Thong</v>
          </cell>
          <cell r="H628" t="str">
            <v>Lck6122evg</v>
          </cell>
          <cell r="I628">
            <v>2026</v>
          </cell>
          <cell r="J628" t="str">
            <v>B</v>
          </cell>
          <cell r="K628" t="str">
            <v>Las Acacias</v>
          </cell>
          <cell r="N628" t="str">
            <v>B</v>
          </cell>
        </row>
        <row r="629">
          <cell r="B629" t="str">
            <v/>
          </cell>
          <cell r="C629" t="str">
            <v>LDYECS317S0045779</v>
          </cell>
          <cell r="D629" t="str">
            <v>MDN35025030160</v>
          </cell>
          <cell r="E629" t="str">
            <v>Zhong Thong</v>
          </cell>
          <cell r="F629" t="str">
            <v>Lck6122evg</v>
          </cell>
          <cell r="G629" t="str">
            <v>Zhong Thong</v>
          </cell>
          <cell r="H629" t="str">
            <v>Lck6122evg</v>
          </cell>
          <cell r="I629">
            <v>2026</v>
          </cell>
          <cell r="J629" t="str">
            <v>B</v>
          </cell>
          <cell r="K629" t="str">
            <v>Las Acacias</v>
          </cell>
          <cell r="N629" t="str">
            <v>B</v>
          </cell>
        </row>
        <row r="630">
          <cell r="B630" t="str">
            <v/>
          </cell>
          <cell r="C630" t="str">
            <v>LDYECS311S0045809</v>
          </cell>
          <cell r="D630" t="str">
            <v>MDN35025030257</v>
          </cell>
          <cell r="E630" t="str">
            <v>Zhong Thong</v>
          </cell>
          <cell r="F630" t="str">
            <v>Lck6122evg</v>
          </cell>
          <cell r="G630" t="str">
            <v>Zhong Thong</v>
          </cell>
          <cell r="H630" t="str">
            <v>Lck6122evg</v>
          </cell>
          <cell r="I630">
            <v>2026</v>
          </cell>
          <cell r="J630" t="str">
            <v>B</v>
          </cell>
          <cell r="K630" t="str">
            <v>Las Acacias</v>
          </cell>
          <cell r="N630" t="str">
            <v>B</v>
          </cell>
        </row>
        <row r="631">
          <cell r="B631" t="str">
            <v/>
          </cell>
          <cell r="C631" t="str">
            <v>LDYECS314S0045724</v>
          </cell>
          <cell r="D631" t="str">
            <v>MDN35025030060</v>
          </cell>
          <cell r="E631" t="str">
            <v>Zhong Thong</v>
          </cell>
          <cell r="F631" t="str">
            <v>Lck6122evg</v>
          </cell>
          <cell r="G631" t="str">
            <v>Zhong Thong</v>
          </cell>
          <cell r="H631" t="str">
            <v>Lck6122evg</v>
          </cell>
          <cell r="I631">
            <v>2026</v>
          </cell>
          <cell r="J631" t="str">
            <v>B</v>
          </cell>
          <cell r="K631" t="str">
            <v>Las Acacias</v>
          </cell>
          <cell r="N631" t="str">
            <v>B</v>
          </cell>
        </row>
        <row r="632">
          <cell r="B632" t="str">
            <v/>
          </cell>
          <cell r="C632" t="str">
            <v>LDYECS318S0045810</v>
          </cell>
          <cell r="D632" t="str">
            <v>MDN35025030195</v>
          </cell>
          <cell r="E632" t="str">
            <v>Zhong Thong</v>
          </cell>
          <cell r="F632" t="str">
            <v>Lck6122evg</v>
          </cell>
          <cell r="G632" t="str">
            <v>Zhong Thong</v>
          </cell>
          <cell r="H632" t="str">
            <v>Lck6122evg</v>
          </cell>
          <cell r="I632">
            <v>2026</v>
          </cell>
          <cell r="J632" t="str">
            <v>B</v>
          </cell>
          <cell r="K632" t="str">
            <v>Las Acacias</v>
          </cell>
          <cell r="N632" t="str">
            <v>B</v>
          </cell>
        </row>
        <row r="633">
          <cell r="B633" t="str">
            <v/>
          </cell>
          <cell r="C633" t="str">
            <v>LDYECS31XS0045727</v>
          </cell>
          <cell r="D633" t="str">
            <v>MDN35025030224</v>
          </cell>
          <cell r="E633" t="str">
            <v>Zhong Thong</v>
          </cell>
          <cell r="F633" t="str">
            <v>Lck6122evg</v>
          </cell>
          <cell r="G633" t="str">
            <v>Zhong Thong</v>
          </cell>
          <cell r="H633" t="str">
            <v>Lck6122evg</v>
          </cell>
          <cell r="I633">
            <v>2026</v>
          </cell>
          <cell r="J633" t="str">
            <v>B</v>
          </cell>
          <cell r="K633" t="str">
            <v>Las Acacias</v>
          </cell>
          <cell r="N633" t="str">
            <v>B</v>
          </cell>
        </row>
        <row r="634">
          <cell r="B634" t="str">
            <v/>
          </cell>
          <cell r="C634" t="str">
            <v>LDYECS31XS0045811</v>
          </cell>
          <cell r="D634" t="str">
            <v>MDN35025030077</v>
          </cell>
          <cell r="E634" t="str">
            <v>Zhong Thong</v>
          </cell>
          <cell r="F634" t="str">
            <v>Lck6122evg</v>
          </cell>
          <cell r="G634" t="str">
            <v>Zhong Thong</v>
          </cell>
          <cell r="H634" t="str">
            <v>Lck6122evg</v>
          </cell>
          <cell r="I634">
            <v>2026</v>
          </cell>
          <cell r="J634" t="str">
            <v>B</v>
          </cell>
          <cell r="K634" t="str">
            <v>Las Acacias</v>
          </cell>
          <cell r="N634" t="str">
            <v>B</v>
          </cell>
        </row>
        <row r="635">
          <cell r="B635" t="str">
            <v/>
          </cell>
          <cell r="C635" t="str">
            <v>LDYECS314S0045819</v>
          </cell>
          <cell r="D635" t="str">
            <v>MDN35025030081</v>
          </cell>
          <cell r="E635" t="str">
            <v>Zhong Thong</v>
          </cell>
          <cell r="F635" t="str">
            <v>Lck6122evg</v>
          </cell>
          <cell r="G635" t="str">
            <v>Zhong Thong</v>
          </cell>
          <cell r="H635" t="str">
            <v>Lck6122evg</v>
          </cell>
          <cell r="I635">
            <v>2026</v>
          </cell>
          <cell r="J635" t="str">
            <v>B</v>
          </cell>
          <cell r="K635" t="str">
            <v>Las Acacias</v>
          </cell>
          <cell r="N635" t="str">
            <v>B</v>
          </cell>
        </row>
        <row r="636">
          <cell r="B636" t="str">
            <v/>
          </cell>
          <cell r="C636" t="str">
            <v>LDYECS311S0045728</v>
          </cell>
          <cell r="D636" t="str">
            <v>MDN35025030126</v>
          </cell>
          <cell r="E636" t="str">
            <v>Zhong Thong</v>
          </cell>
          <cell r="F636" t="str">
            <v>Lck6122evg</v>
          </cell>
          <cell r="G636" t="str">
            <v>Zhong Thong</v>
          </cell>
          <cell r="H636" t="str">
            <v>Lck6122evg</v>
          </cell>
          <cell r="I636">
            <v>2026</v>
          </cell>
          <cell r="J636" t="str">
            <v>B</v>
          </cell>
          <cell r="K636" t="str">
            <v>Las Acacias</v>
          </cell>
          <cell r="N636" t="str">
            <v>B</v>
          </cell>
        </row>
        <row r="637">
          <cell r="B637" t="str">
            <v/>
          </cell>
          <cell r="C637" t="str">
            <v>LDYECS316S0045840</v>
          </cell>
          <cell r="D637" t="str">
            <v>MDN35025030254</v>
          </cell>
          <cell r="E637" t="str">
            <v>Zhong Thong</v>
          </cell>
          <cell r="F637" t="str">
            <v>Lck6122evg</v>
          </cell>
          <cell r="G637" t="str">
            <v>Zhong Thong</v>
          </cell>
          <cell r="H637" t="str">
            <v>Lck6122evg</v>
          </cell>
          <cell r="I637">
            <v>2026</v>
          </cell>
          <cell r="J637" t="str">
            <v>B</v>
          </cell>
          <cell r="K637" t="str">
            <v>Las Acacias</v>
          </cell>
          <cell r="N637" t="str">
            <v>B</v>
          </cell>
        </row>
        <row r="638">
          <cell r="B638" t="str">
            <v/>
          </cell>
          <cell r="C638" t="str">
            <v>LDYECS314S0045822</v>
          </cell>
          <cell r="D638" t="str">
            <v>MDN35025030089</v>
          </cell>
          <cell r="E638" t="str">
            <v>Zhong Thong</v>
          </cell>
          <cell r="F638" t="str">
            <v>Lck6122evg</v>
          </cell>
          <cell r="G638" t="str">
            <v>Zhong Thong</v>
          </cell>
          <cell r="H638" t="str">
            <v>Lck6122evg</v>
          </cell>
          <cell r="I638">
            <v>2026</v>
          </cell>
          <cell r="J638" t="str">
            <v>B</v>
          </cell>
          <cell r="K638" t="str">
            <v>Las Acacias</v>
          </cell>
          <cell r="N638" t="str">
            <v>B</v>
          </cell>
        </row>
        <row r="639">
          <cell r="B639" t="str">
            <v/>
          </cell>
          <cell r="C639" t="str">
            <v>LDYECS315S0045828</v>
          </cell>
          <cell r="D639" t="str">
            <v>MDN35025030269</v>
          </cell>
          <cell r="E639" t="str">
            <v>Zhong Thong</v>
          </cell>
          <cell r="F639" t="str">
            <v>Lck6122evg</v>
          </cell>
          <cell r="G639" t="str">
            <v>Zhong Thong</v>
          </cell>
          <cell r="H639" t="str">
            <v>Lck6122evg</v>
          </cell>
          <cell r="I639">
            <v>2026</v>
          </cell>
          <cell r="J639" t="str">
            <v>B</v>
          </cell>
          <cell r="K639" t="str">
            <v>Las Acacias</v>
          </cell>
          <cell r="N639" t="str">
            <v>B</v>
          </cell>
        </row>
        <row r="640">
          <cell r="B640" t="str">
            <v/>
          </cell>
          <cell r="C640" t="str">
            <v>LDYECS31XS0045825</v>
          </cell>
          <cell r="D640" t="str">
            <v>MDN35025030210</v>
          </cell>
          <cell r="E640" t="str">
            <v>Zhong Thong</v>
          </cell>
          <cell r="F640" t="str">
            <v>Lck6122evg</v>
          </cell>
          <cell r="G640" t="str">
            <v>Zhong Thong</v>
          </cell>
          <cell r="H640" t="str">
            <v>Lck6122evg</v>
          </cell>
          <cell r="I640">
            <v>2026</v>
          </cell>
          <cell r="J640" t="str">
            <v>B</v>
          </cell>
          <cell r="K640" t="str">
            <v>Las Acacias</v>
          </cell>
          <cell r="N640" t="str">
            <v>B</v>
          </cell>
        </row>
        <row r="641">
          <cell r="B641" t="str">
            <v/>
          </cell>
          <cell r="C641" t="str">
            <v>LDYECS317S0045734</v>
          </cell>
          <cell r="D641" t="str">
            <v>MDN35025030214</v>
          </cell>
          <cell r="E641" t="str">
            <v>Zhong Thong</v>
          </cell>
          <cell r="F641" t="str">
            <v>Lck6122evg</v>
          </cell>
          <cell r="G641" t="str">
            <v>Zhong Thong</v>
          </cell>
          <cell r="H641" t="str">
            <v>Lck6122evg</v>
          </cell>
          <cell r="I641">
            <v>2026</v>
          </cell>
          <cell r="J641" t="str">
            <v>B</v>
          </cell>
          <cell r="K641" t="str">
            <v>Las Acacias</v>
          </cell>
          <cell r="N641" t="str">
            <v>B</v>
          </cell>
        </row>
        <row r="642">
          <cell r="B642" t="str">
            <v/>
          </cell>
          <cell r="C642" t="str">
            <v>LDYECS311S0045731</v>
          </cell>
          <cell r="D642" t="str">
            <v>MDN35025030130</v>
          </cell>
          <cell r="E642" t="str">
            <v>Zhong Thong</v>
          </cell>
          <cell r="F642" t="str">
            <v>Lck6122evg</v>
          </cell>
          <cell r="G642" t="str">
            <v>Zhong Thong</v>
          </cell>
          <cell r="H642" t="str">
            <v>Lck6122evg</v>
          </cell>
          <cell r="I642">
            <v>2026</v>
          </cell>
          <cell r="J642" t="str">
            <v>B</v>
          </cell>
          <cell r="K642" t="str">
            <v>Las Acacias</v>
          </cell>
          <cell r="N642" t="str">
            <v>B</v>
          </cell>
        </row>
        <row r="643">
          <cell r="B643" t="str">
            <v/>
          </cell>
          <cell r="C643" t="str">
            <v>LDYECS312S0045835</v>
          </cell>
          <cell r="D643" t="str">
            <v>MDN35025030316</v>
          </cell>
          <cell r="E643" t="str">
            <v>Zhong Thong</v>
          </cell>
          <cell r="F643" t="str">
            <v>Lck6122evg</v>
          </cell>
          <cell r="G643" t="str">
            <v>Zhong Thong</v>
          </cell>
          <cell r="H643" t="str">
            <v>Lck6122evg</v>
          </cell>
          <cell r="I643">
            <v>2026</v>
          </cell>
          <cell r="J643" t="str">
            <v>B</v>
          </cell>
          <cell r="K643" t="str">
            <v>Las Acacias</v>
          </cell>
          <cell r="N643" t="str">
            <v>B</v>
          </cell>
        </row>
        <row r="644">
          <cell r="B644" t="str">
            <v/>
          </cell>
          <cell r="C644" t="str">
            <v>LDYECS314S0045738</v>
          </cell>
          <cell r="D644" t="str">
            <v>MDN35025030247</v>
          </cell>
          <cell r="E644" t="str">
            <v>Zhong Thong</v>
          </cell>
          <cell r="F644" t="str">
            <v>Lck6122evg</v>
          </cell>
          <cell r="G644" t="str">
            <v>Zhong Thong</v>
          </cell>
          <cell r="H644" t="str">
            <v>Lck6122evg</v>
          </cell>
          <cell r="I644">
            <v>2026</v>
          </cell>
          <cell r="J644" t="str">
            <v>B</v>
          </cell>
          <cell r="K644" t="str">
            <v>Las Acacias</v>
          </cell>
          <cell r="N644" t="str">
            <v>B</v>
          </cell>
        </row>
        <row r="645">
          <cell r="B645" t="str">
            <v/>
          </cell>
          <cell r="C645" t="str">
            <v>LDYECS318S0045824</v>
          </cell>
          <cell r="D645" t="str">
            <v>MDN35025030189</v>
          </cell>
          <cell r="E645" t="str">
            <v>Zhong Thong</v>
          </cell>
          <cell r="F645" t="str">
            <v>Lck6122evg</v>
          </cell>
          <cell r="G645" t="str">
            <v>Zhong Thong</v>
          </cell>
          <cell r="H645" t="str">
            <v>Lck6122evg</v>
          </cell>
          <cell r="I645">
            <v>2026</v>
          </cell>
          <cell r="J645" t="str">
            <v>B</v>
          </cell>
          <cell r="K645" t="str">
            <v>Las Acacias</v>
          </cell>
          <cell r="N645" t="str">
            <v>B</v>
          </cell>
        </row>
        <row r="646">
          <cell r="B646" t="str">
            <v/>
          </cell>
          <cell r="C646" t="str">
            <v>LDYECS310S0045851</v>
          </cell>
          <cell r="D646" t="str">
            <v>MDN35025030193</v>
          </cell>
          <cell r="E646" t="str">
            <v>Zhong Thong</v>
          </cell>
          <cell r="F646" t="str">
            <v>Lck6122evg</v>
          </cell>
          <cell r="G646" t="str">
            <v>Zhong Thong</v>
          </cell>
          <cell r="H646" t="str">
            <v>Lck6122evg</v>
          </cell>
          <cell r="I646">
            <v>2026</v>
          </cell>
          <cell r="J646" t="str">
            <v>B</v>
          </cell>
          <cell r="K646" t="str">
            <v>Las Acacias</v>
          </cell>
          <cell r="N646" t="str">
            <v>B</v>
          </cell>
        </row>
        <row r="647">
          <cell r="B647" t="str">
            <v/>
          </cell>
          <cell r="C647" t="str">
            <v>LDYECS319S0045850</v>
          </cell>
          <cell r="D647" t="str">
            <v>MDN35025030244</v>
          </cell>
          <cell r="E647" t="str">
            <v>Zhong Thong</v>
          </cell>
          <cell r="F647" t="str">
            <v>Lck6122evg</v>
          </cell>
          <cell r="G647" t="str">
            <v>Zhong Thong</v>
          </cell>
          <cell r="H647" t="str">
            <v>Lck6122evg</v>
          </cell>
          <cell r="I647">
            <v>2026</v>
          </cell>
          <cell r="J647" t="str">
            <v>B</v>
          </cell>
          <cell r="K647" t="str">
            <v>Las Acacias</v>
          </cell>
          <cell r="N647" t="str">
            <v>B</v>
          </cell>
        </row>
        <row r="648">
          <cell r="B648" t="str">
            <v/>
          </cell>
          <cell r="C648" t="str">
            <v>LDYECS318S0045841</v>
          </cell>
          <cell r="D648" t="str">
            <v>MDN35025030300</v>
          </cell>
          <cell r="E648" t="str">
            <v>Zhong Thong</v>
          </cell>
          <cell r="F648" t="str">
            <v>Lck6122evg</v>
          </cell>
          <cell r="G648" t="str">
            <v>Zhong Thong</v>
          </cell>
          <cell r="H648" t="str">
            <v>Lck6122evg</v>
          </cell>
          <cell r="I648">
            <v>2026</v>
          </cell>
          <cell r="J648" t="str">
            <v>B</v>
          </cell>
          <cell r="K648" t="str">
            <v>Las Acacias</v>
          </cell>
          <cell r="N648" t="str">
            <v>B</v>
          </cell>
        </row>
        <row r="649">
          <cell r="B649" t="str">
            <v/>
          </cell>
          <cell r="C649" t="str">
            <v>LDYECS318S0045838</v>
          </cell>
          <cell r="D649" t="str">
            <v>MDN35025030084</v>
          </cell>
          <cell r="E649" t="str">
            <v>Zhong Thong</v>
          </cell>
          <cell r="F649" t="str">
            <v>Lck6122evg</v>
          </cell>
          <cell r="G649" t="str">
            <v>Zhong Thong</v>
          </cell>
          <cell r="H649" t="str">
            <v>Lck6122evg</v>
          </cell>
          <cell r="I649">
            <v>2026</v>
          </cell>
          <cell r="J649" t="str">
            <v>B</v>
          </cell>
          <cell r="K649" t="str">
            <v>Las Acacias</v>
          </cell>
          <cell r="N649" t="str">
            <v>B</v>
          </cell>
        </row>
        <row r="650">
          <cell r="B650" t="str">
            <v/>
          </cell>
          <cell r="C650" t="str">
            <v>LDYECS31XS0045744</v>
          </cell>
          <cell r="D650" t="str">
            <v>MDN35025030099</v>
          </cell>
          <cell r="E650" t="str">
            <v>Zhong Thong</v>
          </cell>
          <cell r="F650" t="str">
            <v>Lck6122evg</v>
          </cell>
          <cell r="G650" t="str">
            <v>Zhong Thong</v>
          </cell>
          <cell r="H650" t="str">
            <v>Lck6122evg</v>
          </cell>
          <cell r="I650">
            <v>2026</v>
          </cell>
          <cell r="J650" t="str">
            <v>B</v>
          </cell>
          <cell r="K650" t="str">
            <v>Las Acacias</v>
          </cell>
          <cell r="N650" t="str">
            <v>B</v>
          </cell>
        </row>
        <row r="651">
          <cell r="B651" t="str">
            <v/>
          </cell>
          <cell r="C651" t="str">
            <v>LDYECS311S0045843</v>
          </cell>
          <cell r="D651" t="str">
            <v>MDN35025030281</v>
          </cell>
          <cell r="E651" t="str">
            <v>Zhong Thong</v>
          </cell>
          <cell r="F651" t="str">
            <v>Lck6122evg</v>
          </cell>
          <cell r="G651" t="str">
            <v>Zhong Thong</v>
          </cell>
          <cell r="H651" t="str">
            <v>Lck6122evg</v>
          </cell>
          <cell r="I651">
            <v>2026</v>
          </cell>
          <cell r="J651" t="str">
            <v>B</v>
          </cell>
          <cell r="K651" t="str">
            <v>Las Acacias</v>
          </cell>
          <cell r="N651" t="str">
            <v>B</v>
          </cell>
        </row>
        <row r="652">
          <cell r="B652" t="str">
            <v/>
          </cell>
          <cell r="C652" t="str">
            <v>LDYECS31XS0045887</v>
          </cell>
          <cell r="D652" t="str">
            <v>MDN35025010014</v>
          </cell>
          <cell r="E652" t="str">
            <v>Zhong Thong</v>
          </cell>
          <cell r="F652" t="str">
            <v>Lck6122evg</v>
          </cell>
          <cell r="G652" t="str">
            <v>Zhong Thong</v>
          </cell>
          <cell r="H652" t="str">
            <v>Lck6122evg</v>
          </cell>
          <cell r="I652">
            <v>2026</v>
          </cell>
          <cell r="J652" t="str">
            <v>B</v>
          </cell>
          <cell r="K652" t="str">
            <v>Las Acacias</v>
          </cell>
          <cell r="N652" t="str">
            <v>B</v>
          </cell>
        </row>
        <row r="653">
          <cell r="B653" t="str">
            <v/>
          </cell>
          <cell r="C653" t="str">
            <v>LDYECS314S0045755</v>
          </cell>
          <cell r="D653" t="str">
            <v>MDN35025030243</v>
          </cell>
          <cell r="E653" t="str">
            <v>Zhong Thong</v>
          </cell>
          <cell r="F653" t="str">
            <v>Lck6122evg</v>
          </cell>
          <cell r="G653" t="str">
            <v>Zhong Thong</v>
          </cell>
          <cell r="H653" t="str">
            <v>Lck6122evg</v>
          </cell>
          <cell r="I653">
            <v>2026</v>
          </cell>
          <cell r="J653" t="str">
            <v>B</v>
          </cell>
          <cell r="K653" t="str">
            <v>Las Acacias</v>
          </cell>
          <cell r="N653" t="str">
            <v>B</v>
          </cell>
        </row>
        <row r="654">
          <cell r="B654" t="str">
            <v/>
          </cell>
          <cell r="C654" t="str">
            <v>LDYECS319S0045847</v>
          </cell>
          <cell r="D654" t="str">
            <v>MDN35025030242</v>
          </cell>
          <cell r="E654" t="str">
            <v>Zhong Thong</v>
          </cell>
          <cell r="F654" t="str">
            <v>Lck6122evg</v>
          </cell>
          <cell r="G654" t="str">
            <v>Zhong Thong</v>
          </cell>
          <cell r="H654" t="str">
            <v>Lck6122evg</v>
          </cell>
          <cell r="I654">
            <v>2026</v>
          </cell>
          <cell r="J654" t="str">
            <v>B</v>
          </cell>
          <cell r="K654" t="str">
            <v>Las Acacias</v>
          </cell>
          <cell r="N654" t="str">
            <v>B</v>
          </cell>
        </row>
        <row r="655">
          <cell r="B655" t="str">
            <v/>
          </cell>
          <cell r="C655" t="str">
            <v>LDYECS316S0045854</v>
          </cell>
          <cell r="D655" t="str">
            <v>MDN35025030125</v>
          </cell>
          <cell r="E655" t="str">
            <v>Zhong Thong</v>
          </cell>
          <cell r="F655" t="str">
            <v>Lck6122evg</v>
          </cell>
          <cell r="G655" t="str">
            <v>Zhong Thong</v>
          </cell>
          <cell r="H655" t="str">
            <v>Lck6122evg</v>
          </cell>
          <cell r="I655">
            <v>2026</v>
          </cell>
          <cell r="J655" t="str">
            <v>B</v>
          </cell>
          <cell r="K655" t="str">
            <v>Las Acacias</v>
          </cell>
          <cell r="N655" t="str">
            <v>B</v>
          </cell>
        </row>
        <row r="656">
          <cell r="B656" t="str">
            <v/>
          </cell>
          <cell r="C656" t="str">
            <v>LDYECS318S0045757</v>
          </cell>
          <cell r="D656" t="str">
            <v>MDN35025030175</v>
          </cell>
          <cell r="E656" t="str">
            <v>Zhong Thong</v>
          </cell>
          <cell r="F656" t="str">
            <v>Lck6122evg</v>
          </cell>
          <cell r="G656" t="str">
            <v>Zhong Thong</v>
          </cell>
          <cell r="H656" t="str">
            <v>Lck6122evg</v>
          </cell>
          <cell r="I656">
            <v>2026</v>
          </cell>
          <cell r="J656" t="str">
            <v>B</v>
          </cell>
          <cell r="K656" t="str">
            <v>Las Acacias</v>
          </cell>
          <cell r="N656" t="str">
            <v>B</v>
          </cell>
        </row>
        <row r="657">
          <cell r="B657" t="str">
            <v/>
          </cell>
          <cell r="C657" t="str">
            <v>LDYECS31XS0045856</v>
          </cell>
          <cell r="D657" t="str">
            <v>MDN35025030127</v>
          </cell>
          <cell r="E657" t="str">
            <v>Zhong Thong</v>
          </cell>
          <cell r="F657" t="str">
            <v>Lck6122evg</v>
          </cell>
          <cell r="G657" t="str">
            <v>Zhong Thong</v>
          </cell>
          <cell r="H657" t="str">
            <v>Lck6122evg</v>
          </cell>
          <cell r="I657">
            <v>2026</v>
          </cell>
          <cell r="J657" t="str">
            <v>B</v>
          </cell>
          <cell r="K657" t="str">
            <v>Las Acacias</v>
          </cell>
          <cell r="N657" t="str">
            <v>B</v>
          </cell>
        </row>
        <row r="658">
          <cell r="B658" t="str">
            <v/>
          </cell>
          <cell r="C658" t="str">
            <v>LDYECS312S0045849</v>
          </cell>
          <cell r="D658" t="str">
            <v>MDN35025030294</v>
          </cell>
          <cell r="E658" t="str">
            <v>Zhong Thong</v>
          </cell>
          <cell r="F658" t="str">
            <v>Lck6122evg</v>
          </cell>
          <cell r="G658" t="str">
            <v>Zhong Thong</v>
          </cell>
          <cell r="H658" t="str">
            <v>Lck6122evg</v>
          </cell>
          <cell r="I658">
            <v>2026</v>
          </cell>
          <cell r="J658" t="str">
            <v>B</v>
          </cell>
          <cell r="K658" t="str">
            <v>Las Acacias</v>
          </cell>
          <cell r="N658" t="str">
            <v>B</v>
          </cell>
        </row>
        <row r="659">
          <cell r="B659" t="str">
            <v/>
          </cell>
          <cell r="C659" t="str">
            <v>LDYECS312S0045754</v>
          </cell>
          <cell r="D659" t="str">
            <v>MDN35025030177</v>
          </cell>
          <cell r="E659" t="str">
            <v>Zhong Thong</v>
          </cell>
          <cell r="F659" t="str">
            <v>Lck6122evg</v>
          </cell>
          <cell r="G659" t="str">
            <v>Zhong Thong</v>
          </cell>
          <cell r="H659" t="str">
            <v>Lck6122evg</v>
          </cell>
          <cell r="I659">
            <v>2026</v>
          </cell>
          <cell r="J659" t="str">
            <v>B</v>
          </cell>
          <cell r="K659" t="str">
            <v>Las Acacias</v>
          </cell>
          <cell r="N659" t="str">
            <v>B</v>
          </cell>
        </row>
        <row r="660">
          <cell r="B660" t="str">
            <v/>
          </cell>
          <cell r="C660" t="str">
            <v>LDYECS310S0045865</v>
          </cell>
          <cell r="D660" t="str">
            <v>MDN35025030267</v>
          </cell>
          <cell r="E660" t="str">
            <v>Zhong Thong</v>
          </cell>
          <cell r="F660" t="str">
            <v>Lck6122evg</v>
          </cell>
          <cell r="G660" t="str">
            <v>Zhong Thong</v>
          </cell>
          <cell r="H660" t="str">
            <v>Lck6122evg</v>
          </cell>
          <cell r="I660">
            <v>2026</v>
          </cell>
          <cell r="J660" t="str">
            <v>B</v>
          </cell>
          <cell r="K660" t="str">
            <v>Las Acacias</v>
          </cell>
          <cell r="N660" t="str">
            <v>B</v>
          </cell>
        </row>
        <row r="661">
          <cell r="B661" t="str">
            <v/>
          </cell>
          <cell r="C661" t="str">
            <v>LC9LC30F5JALA6109</v>
          </cell>
          <cell r="D661" t="str">
            <v>G174J60001</v>
          </cell>
          <cell r="E661" t="str">
            <v>KING LONG</v>
          </cell>
          <cell r="F661" t="str">
            <v>XMQ 6127</v>
          </cell>
          <cell r="G661" t="str">
            <v>KING LONG</v>
          </cell>
          <cell r="H661" t="str">
            <v>XMQ 6127G E TECH</v>
          </cell>
          <cell r="I661">
            <v>2019</v>
          </cell>
          <cell r="J661" t="str">
            <v>B</v>
          </cell>
          <cell r="K661" t="str">
            <v>Recoleta</v>
          </cell>
          <cell r="N661" t="str">
            <v>B</v>
          </cell>
        </row>
        <row r="662">
          <cell r="B662" t="str">
            <v/>
          </cell>
          <cell r="C662" t="str">
            <v>YV3T7U52XKA195288</v>
          </cell>
          <cell r="D662">
            <v>482342</v>
          </cell>
          <cell r="E662" t="str">
            <v>VOLVO</v>
          </cell>
          <cell r="F662" t="str">
            <v>B8R</v>
          </cell>
          <cell r="G662" t="str">
            <v>MARCOPOLO</v>
          </cell>
          <cell r="H662" t="str">
            <v>TORINO</v>
          </cell>
          <cell r="I662">
            <v>2019</v>
          </cell>
          <cell r="J662" t="str">
            <v>BPAL</v>
          </cell>
          <cell r="K662" t="str">
            <v>Santa Rosa</v>
          </cell>
          <cell r="N662" t="str">
            <v>B</v>
          </cell>
        </row>
        <row r="663">
          <cell r="B663" t="str">
            <v/>
          </cell>
          <cell r="C663" t="str">
            <v>YV3T7U520KA195591</v>
          </cell>
          <cell r="D663">
            <v>483878</v>
          </cell>
          <cell r="E663" t="str">
            <v>VOLVO</v>
          </cell>
          <cell r="F663" t="str">
            <v>B8R</v>
          </cell>
          <cell r="G663" t="str">
            <v>MARCOPOLO</v>
          </cell>
          <cell r="H663" t="str">
            <v>TORINO</v>
          </cell>
          <cell r="I663">
            <v>2019</v>
          </cell>
          <cell r="J663" t="str">
            <v>BPAL</v>
          </cell>
          <cell r="K663" t="str">
            <v>Recoleta</v>
          </cell>
          <cell r="N663" t="str">
            <v>B</v>
          </cell>
        </row>
        <row r="664">
          <cell r="B664" t="str">
            <v/>
          </cell>
          <cell r="C664" t="str">
            <v>YV3T7U529KA195640</v>
          </cell>
          <cell r="D664">
            <v>479849</v>
          </cell>
          <cell r="E664" t="str">
            <v>VOLVO</v>
          </cell>
          <cell r="F664" t="str">
            <v>B8R</v>
          </cell>
          <cell r="G664" t="str">
            <v>MARCOPOLO</v>
          </cell>
          <cell r="H664" t="str">
            <v>TORINO</v>
          </cell>
          <cell r="I664">
            <v>2019</v>
          </cell>
          <cell r="J664" t="str">
            <v>BPAL</v>
          </cell>
          <cell r="K664" t="str">
            <v>Recoleta</v>
          </cell>
          <cell r="N664" t="str">
            <v>B</v>
          </cell>
        </row>
        <row r="665">
          <cell r="B665" t="str">
            <v/>
          </cell>
          <cell r="C665" t="str">
            <v>YV3T7U526KA195689</v>
          </cell>
          <cell r="D665">
            <v>484541</v>
          </cell>
          <cell r="E665" t="str">
            <v>VOLVO</v>
          </cell>
          <cell r="F665" t="str">
            <v>B8R</v>
          </cell>
          <cell r="G665" t="str">
            <v>MARCOPOLO</v>
          </cell>
          <cell r="H665" t="str">
            <v>TORINO</v>
          </cell>
          <cell r="I665">
            <v>2019</v>
          </cell>
          <cell r="J665" t="str">
            <v>BPAL</v>
          </cell>
          <cell r="K665" t="str">
            <v>Recoleta</v>
          </cell>
          <cell r="N665" t="str">
            <v>B</v>
          </cell>
        </row>
        <row r="666">
          <cell r="B666" t="str">
            <v/>
          </cell>
          <cell r="C666" t="str">
            <v>YV3T7U528KA195189</v>
          </cell>
          <cell r="D666">
            <v>481662</v>
          </cell>
          <cell r="E666" t="str">
            <v>VOLVO</v>
          </cell>
          <cell r="F666" t="str">
            <v>B8R</v>
          </cell>
          <cell r="G666" t="str">
            <v>MARCOPOLO</v>
          </cell>
          <cell r="H666" t="str">
            <v>TORINO</v>
          </cell>
          <cell r="I666">
            <v>2019</v>
          </cell>
          <cell r="J666" t="str">
            <v>BPAL</v>
          </cell>
          <cell r="K666" t="str">
            <v>Santa Rosa</v>
          </cell>
          <cell r="N666" t="str">
            <v>B</v>
          </cell>
        </row>
        <row r="667">
          <cell r="B667" t="str">
            <v/>
          </cell>
          <cell r="C667" t="str">
            <v>YV3T7U527KA195149</v>
          </cell>
          <cell r="D667">
            <v>478253</v>
          </cell>
          <cell r="E667" t="str">
            <v>VOLVO</v>
          </cell>
          <cell r="F667" t="str">
            <v>B8R</v>
          </cell>
          <cell r="G667" t="str">
            <v>MARCOPOLO</v>
          </cell>
          <cell r="H667" t="str">
            <v>TORINO</v>
          </cell>
          <cell r="I667">
            <v>2019</v>
          </cell>
          <cell r="J667" t="str">
            <v>BPAL</v>
          </cell>
          <cell r="K667" t="str">
            <v>Santa Rosa</v>
          </cell>
          <cell r="N667" t="str">
            <v>B</v>
          </cell>
        </row>
        <row r="668">
          <cell r="B668" t="str">
            <v/>
          </cell>
          <cell r="C668" t="str">
            <v>YV3T7U528KA195354</v>
          </cell>
          <cell r="D668">
            <v>482584</v>
          </cell>
          <cell r="E668" t="str">
            <v>VOLVO</v>
          </cell>
          <cell r="F668" t="str">
            <v>B8R</v>
          </cell>
          <cell r="G668" t="str">
            <v>MARCOPOLO</v>
          </cell>
          <cell r="H668" t="str">
            <v>TORINO</v>
          </cell>
          <cell r="I668">
            <v>2019</v>
          </cell>
          <cell r="J668" t="str">
            <v>BPAL</v>
          </cell>
          <cell r="K668" t="str">
            <v>Santa Rosa</v>
          </cell>
          <cell r="N668" t="str">
            <v>B</v>
          </cell>
        </row>
        <row r="669">
          <cell r="B669" t="str">
            <v/>
          </cell>
          <cell r="C669" t="str">
            <v>YV3T7U525KA195358</v>
          </cell>
          <cell r="D669">
            <v>482487</v>
          </cell>
          <cell r="E669" t="str">
            <v>VOLVO</v>
          </cell>
          <cell r="F669" t="str">
            <v>B8R</v>
          </cell>
          <cell r="G669" t="str">
            <v>MARCOPOLO</v>
          </cell>
          <cell r="H669" t="str">
            <v>TORINO</v>
          </cell>
          <cell r="I669">
            <v>2019</v>
          </cell>
          <cell r="J669" t="str">
            <v>BPAL</v>
          </cell>
          <cell r="K669" t="str">
            <v>Santa Rosa</v>
          </cell>
          <cell r="N669" t="str">
            <v>B</v>
          </cell>
        </row>
        <row r="670">
          <cell r="B670" t="str">
            <v/>
          </cell>
          <cell r="C670" t="str">
            <v>YV3T7U529KA195573</v>
          </cell>
          <cell r="D670">
            <v>483422</v>
          </cell>
          <cell r="E670" t="str">
            <v>VOLVO</v>
          </cell>
          <cell r="F670" t="str">
            <v>B8R</v>
          </cell>
          <cell r="G670" t="str">
            <v>MARCOPOLO</v>
          </cell>
          <cell r="H670" t="str">
            <v>TORINO</v>
          </cell>
          <cell r="I670">
            <v>2019</v>
          </cell>
          <cell r="J670" t="str">
            <v>BPAL</v>
          </cell>
          <cell r="K670" t="str">
            <v>Recoleta</v>
          </cell>
          <cell r="N670" t="str">
            <v>B</v>
          </cell>
        </row>
        <row r="671">
          <cell r="B671" t="str">
            <v/>
          </cell>
          <cell r="C671" t="str">
            <v>YV3T7U526KA195711</v>
          </cell>
          <cell r="D671">
            <v>484639</v>
          </cell>
          <cell r="E671" t="str">
            <v>VOLVO</v>
          </cell>
          <cell r="F671" t="str">
            <v>B8R</v>
          </cell>
          <cell r="G671" t="str">
            <v>MARCOPOLO</v>
          </cell>
          <cell r="H671" t="str">
            <v>TORINO</v>
          </cell>
          <cell r="I671">
            <v>2019</v>
          </cell>
          <cell r="J671" t="str">
            <v>BPAL</v>
          </cell>
          <cell r="K671" t="str">
            <v>Recoleta</v>
          </cell>
          <cell r="N671" t="str">
            <v>B</v>
          </cell>
        </row>
        <row r="672">
          <cell r="B672" t="str">
            <v/>
          </cell>
          <cell r="C672" t="str">
            <v>YV3T7U522KA195687</v>
          </cell>
          <cell r="D672">
            <v>484547</v>
          </cell>
          <cell r="E672" t="str">
            <v>VOLVO</v>
          </cell>
          <cell r="F672" t="str">
            <v>B8R</v>
          </cell>
          <cell r="G672" t="str">
            <v>MARCOPOLO</v>
          </cell>
          <cell r="H672" t="str">
            <v>TORINO</v>
          </cell>
          <cell r="I672">
            <v>2019</v>
          </cell>
          <cell r="J672" t="str">
            <v>BPAL</v>
          </cell>
          <cell r="K672" t="str">
            <v>Recoleta</v>
          </cell>
          <cell r="N672" t="str">
            <v>B</v>
          </cell>
        </row>
        <row r="673">
          <cell r="B673" t="str">
            <v/>
          </cell>
          <cell r="C673" t="str">
            <v>YV3T7U520LA200970</v>
          </cell>
          <cell r="D673">
            <v>506294</v>
          </cell>
          <cell r="E673" t="str">
            <v>VOLVO</v>
          </cell>
          <cell r="F673" t="str">
            <v>B8RLEA</v>
          </cell>
          <cell r="G673" t="str">
            <v>MARCOPOLO</v>
          </cell>
          <cell r="H673" t="str">
            <v>GRAN VIALE</v>
          </cell>
          <cell r="I673">
            <v>2020</v>
          </cell>
          <cell r="J673" t="str">
            <v>C</v>
          </cell>
          <cell r="K673" t="str">
            <v>Recoleta</v>
          </cell>
          <cell r="N673" t="str">
            <v>C</v>
          </cell>
        </row>
        <row r="674">
          <cell r="B674" t="str">
            <v/>
          </cell>
          <cell r="C674" t="str">
            <v>YV3T7U524LA200874</v>
          </cell>
          <cell r="D674">
            <v>505924</v>
          </cell>
          <cell r="E674" t="str">
            <v>VOLVO</v>
          </cell>
          <cell r="F674" t="str">
            <v>B8RLEA</v>
          </cell>
          <cell r="G674" t="str">
            <v>MARCOPOLO</v>
          </cell>
          <cell r="H674" t="str">
            <v>GRAN VIALE</v>
          </cell>
          <cell r="I674">
            <v>2020</v>
          </cell>
          <cell r="J674" t="str">
            <v>C</v>
          </cell>
          <cell r="K674" t="str">
            <v>Recoleta</v>
          </cell>
          <cell r="N674" t="str">
            <v>C</v>
          </cell>
        </row>
        <row r="675">
          <cell r="B675" t="str">
            <v/>
          </cell>
          <cell r="C675" t="str">
            <v>YV3T7U526LA200875</v>
          </cell>
          <cell r="D675">
            <v>505881</v>
          </cell>
          <cell r="E675" t="str">
            <v>VOLVO</v>
          </cell>
          <cell r="F675" t="str">
            <v>B8RLEA</v>
          </cell>
          <cell r="G675" t="str">
            <v>MARCOPOLO</v>
          </cell>
          <cell r="H675" t="str">
            <v>GRAN VIALE</v>
          </cell>
          <cell r="I675">
            <v>2020</v>
          </cell>
          <cell r="J675" t="str">
            <v>C</v>
          </cell>
          <cell r="K675" t="str">
            <v>Lo Blanco</v>
          </cell>
          <cell r="N675" t="str">
            <v>C</v>
          </cell>
        </row>
        <row r="676">
          <cell r="B676" t="str">
            <v/>
          </cell>
          <cell r="C676" t="str">
            <v>YV3T7U528LA200876</v>
          </cell>
          <cell r="D676">
            <v>505895</v>
          </cell>
          <cell r="E676" t="str">
            <v>VOLVO</v>
          </cell>
          <cell r="F676" t="str">
            <v>B8RLEA</v>
          </cell>
          <cell r="G676" t="str">
            <v>MARCOPOLO</v>
          </cell>
          <cell r="H676" t="str">
            <v>GRAN VIALE</v>
          </cell>
          <cell r="I676">
            <v>2020</v>
          </cell>
          <cell r="J676" t="str">
            <v>C</v>
          </cell>
          <cell r="K676" t="str">
            <v>Recoleta</v>
          </cell>
          <cell r="N676" t="str">
            <v>C</v>
          </cell>
        </row>
        <row r="677">
          <cell r="B677" t="str">
            <v/>
          </cell>
          <cell r="C677" t="str">
            <v>YV3T7U520LA200886</v>
          </cell>
          <cell r="D677">
            <v>506176</v>
          </cell>
          <cell r="E677" t="str">
            <v>VOLVO</v>
          </cell>
          <cell r="F677" t="str">
            <v>B8RLEA</v>
          </cell>
          <cell r="G677" t="str">
            <v>MARCOPOLO</v>
          </cell>
          <cell r="H677" t="str">
            <v>GRAN VIALE</v>
          </cell>
          <cell r="I677">
            <v>2020</v>
          </cell>
          <cell r="J677" t="str">
            <v>C</v>
          </cell>
          <cell r="K677" t="str">
            <v>Recoleta</v>
          </cell>
          <cell r="N677" t="str">
            <v>C</v>
          </cell>
        </row>
        <row r="678">
          <cell r="B678" t="str">
            <v/>
          </cell>
          <cell r="C678" t="str">
            <v>YV3T7U522LA200887</v>
          </cell>
          <cell r="D678">
            <v>506197</v>
          </cell>
          <cell r="E678" t="str">
            <v>VOLVO</v>
          </cell>
          <cell r="F678" t="str">
            <v>B8RLEA</v>
          </cell>
          <cell r="G678" t="str">
            <v>MARCOPOLO</v>
          </cell>
          <cell r="H678" t="str">
            <v>GRAN VIALE</v>
          </cell>
          <cell r="I678">
            <v>2020</v>
          </cell>
          <cell r="J678" t="str">
            <v>C</v>
          </cell>
          <cell r="K678" t="str">
            <v>Recoleta</v>
          </cell>
          <cell r="N678" t="str">
            <v>C</v>
          </cell>
        </row>
        <row r="679">
          <cell r="B679" t="str">
            <v/>
          </cell>
          <cell r="C679" t="str">
            <v>YV3T7U526LA200925</v>
          </cell>
          <cell r="D679">
            <v>506187</v>
          </cell>
          <cell r="E679" t="str">
            <v>VOLVO</v>
          </cell>
          <cell r="F679" t="str">
            <v>B8RLEA</v>
          </cell>
          <cell r="G679" t="str">
            <v>MARCOPOLO</v>
          </cell>
          <cell r="H679" t="str">
            <v>GRAN VIALE</v>
          </cell>
          <cell r="I679">
            <v>2020</v>
          </cell>
          <cell r="J679" t="str">
            <v>C</v>
          </cell>
          <cell r="K679" t="str">
            <v>Recoleta</v>
          </cell>
          <cell r="N679" t="str">
            <v>C</v>
          </cell>
        </row>
        <row r="680">
          <cell r="B680" t="str">
            <v/>
          </cell>
          <cell r="C680" t="str">
            <v>YV3T7U527LA200934</v>
          </cell>
          <cell r="D680">
            <v>506345</v>
          </cell>
          <cell r="E680" t="str">
            <v>VOLVO</v>
          </cell>
          <cell r="F680" t="str">
            <v>B8RLEA</v>
          </cell>
          <cell r="G680" t="str">
            <v>MARCOPOLO</v>
          </cell>
          <cell r="H680" t="str">
            <v>GRAN VIALE</v>
          </cell>
          <cell r="I680">
            <v>2020</v>
          </cell>
          <cell r="J680" t="str">
            <v>C</v>
          </cell>
          <cell r="K680" t="str">
            <v>Recoleta</v>
          </cell>
          <cell r="N680" t="str">
            <v>C</v>
          </cell>
        </row>
        <row r="681">
          <cell r="B681" t="str">
            <v/>
          </cell>
          <cell r="C681" t="str">
            <v>YV3T7U529LA200935</v>
          </cell>
          <cell r="D681">
            <v>506403</v>
          </cell>
          <cell r="E681" t="str">
            <v>VOLVO</v>
          </cell>
          <cell r="F681" t="str">
            <v>B8RLEA</v>
          </cell>
          <cell r="G681" t="str">
            <v>MARCOPOLO</v>
          </cell>
          <cell r="H681" t="str">
            <v>GRAN VIALE</v>
          </cell>
          <cell r="I681">
            <v>2020</v>
          </cell>
          <cell r="J681" t="str">
            <v>C</v>
          </cell>
          <cell r="K681" t="str">
            <v>Recoleta</v>
          </cell>
          <cell r="N681" t="str">
            <v>C</v>
          </cell>
        </row>
        <row r="682">
          <cell r="B682" t="str">
            <v/>
          </cell>
          <cell r="C682" t="str">
            <v>YV3T7U520LA200936</v>
          </cell>
          <cell r="D682">
            <v>506358</v>
          </cell>
          <cell r="E682" t="str">
            <v>VOLVO</v>
          </cell>
          <cell r="F682" t="str">
            <v>B8RLEA</v>
          </cell>
          <cell r="G682" t="str">
            <v>MARCOPOLO</v>
          </cell>
          <cell r="H682" t="str">
            <v>GRAN VIALE</v>
          </cell>
          <cell r="I682">
            <v>2020</v>
          </cell>
          <cell r="J682" t="str">
            <v>C</v>
          </cell>
          <cell r="K682" t="str">
            <v>Recoleta</v>
          </cell>
          <cell r="N682" t="str">
            <v>C</v>
          </cell>
        </row>
        <row r="683">
          <cell r="B683" t="str">
            <v/>
          </cell>
          <cell r="C683" t="str">
            <v>YV3T7U524LA200969</v>
          </cell>
          <cell r="D683">
            <v>506311</v>
          </cell>
          <cell r="E683" t="str">
            <v>VOLVO</v>
          </cell>
          <cell r="F683" t="str">
            <v>B8RLEA</v>
          </cell>
          <cell r="G683" t="str">
            <v>MARCOPOLO</v>
          </cell>
          <cell r="H683" t="str">
            <v>GRAN VIALE</v>
          </cell>
          <cell r="I683">
            <v>2020</v>
          </cell>
          <cell r="J683" t="str">
            <v>C</v>
          </cell>
          <cell r="K683" t="str">
            <v>Recoleta</v>
          </cell>
          <cell r="N683" t="str">
            <v>C</v>
          </cell>
        </row>
        <row r="684">
          <cell r="B684" t="str">
            <v/>
          </cell>
          <cell r="C684" t="str">
            <v>YV3T7U524LA200924</v>
          </cell>
          <cell r="D684">
            <v>506179</v>
          </cell>
          <cell r="E684" t="str">
            <v>VOLVO</v>
          </cell>
          <cell r="F684" t="str">
            <v>B8RLEA</v>
          </cell>
          <cell r="G684" t="str">
            <v>MARCOPOLO</v>
          </cell>
          <cell r="H684" t="str">
            <v>GRAN VIALE</v>
          </cell>
          <cell r="I684">
            <v>2020</v>
          </cell>
          <cell r="J684" t="str">
            <v>C</v>
          </cell>
          <cell r="K684" t="str">
            <v>Recoleta</v>
          </cell>
          <cell r="N684" t="str">
            <v>C</v>
          </cell>
        </row>
        <row r="685">
          <cell r="B685" t="str">
            <v/>
          </cell>
          <cell r="C685" t="str">
            <v>YV3T7U522LA200873</v>
          </cell>
          <cell r="D685">
            <v>505882</v>
          </cell>
          <cell r="E685" t="str">
            <v>VOLVO</v>
          </cell>
          <cell r="F685" t="str">
            <v>B8RLEA</v>
          </cell>
          <cell r="G685" t="str">
            <v>MARCOPOLO</v>
          </cell>
          <cell r="H685" t="str">
            <v>GRAN VIALE</v>
          </cell>
          <cell r="I685">
            <v>2020</v>
          </cell>
          <cell r="J685" t="str">
            <v>C</v>
          </cell>
          <cell r="K685" t="str">
            <v>Recoleta</v>
          </cell>
          <cell r="N685" t="str">
            <v>C</v>
          </cell>
        </row>
        <row r="686">
          <cell r="B686" t="str">
            <v/>
          </cell>
          <cell r="C686" t="str">
            <v>YV3T7U520LA198721</v>
          </cell>
          <cell r="D686">
            <v>500916</v>
          </cell>
          <cell r="E686" t="str">
            <v>VOLVO</v>
          </cell>
          <cell r="F686" t="str">
            <v>B8RLEA</v>
          </cell>
          <cell r="G686" t="str">
            <v>MARCOPOLO</v>
          </cell>
          <cell r="H686" t="str">
            <v>GRAN VIALE</v>
          </cell>
          <cell r="I686">
            <v>2020</v>
          </cell>
          <cell r="J686" t="str">
            <v>C</v>
          </cell>
          <cell r="K686" t="str">
            <v>Lo Blanco</v>
          </cell>
          <cell r="N686" t="str">
            <v>C</v>
          </cell>
        </row>
        <row r="687">
          <cell r="B687" t="str">
            <v/>
          </cell>
          <cell r="C687" t="str">
            <v>YV3T7U52XLA200832</v>
          </cell>
          <cell r="D687">
            <v>505962</v>
          </cell>
          <cell r="E687" t="str">
            <v>VOLVO</v>
          </cell>
          <cell r="F687" t="str">
            <v>B8RLEA</v>
          </cell>
          <cell r="G687" t="str">
            <v>MARCOPOLO</v>
          </cell>
          <cell r="H687" t="str">
            <v>GRAN VIALE</v>
          </cell>
          <cell r="I687">
            <v>2020</v>
          </cell>
          <cell r="J687" t="str">
            <v>C</v>
          </cell>
          <cell r="K687" t="str">
            <v>Recoleta</v>
          </cell>
          <cell r="N687" t="str">
            <v>C</v>
          </cell>
        </row>
        <row r="688">
          <cell r="B688" t="str">
            <v/>
          </cell>
          <cell r="C688" t="str">
            <v>YV3T7U52XLA200863</v>
          </cell>
          <cell r="D688">
            <v>505947</v>
          </cell>
          <cell r="E688" t="str">
            <v>VOLVO</v>
          </cell>
          <cell r="F688" t="str">
            <v>B8RLEA</v>
          </cell>
          <cell r="G688" t="str">
            <v>MARCOPOLO</v>
          </cell>
          <cell r="H688" t="str">
            <v>GRAN VIALE</v>
          </cell>
          <cell r="I688">
            <v>2020</v>
          </cell>
          <cell r="J688" t="str">
            <v>C</v>
          </cell>
          <cell r="K688" t="str">
            <v>Recoleta</v>
          </cell>
          <cell r="N688" t="str">
            <v>C</v>
          </cell>
        </row>
        <row r="689">
          <cell r="B689" t="str">
            <v/>
          </cell>
          <cell r="C689" t="str">
            <v>YV3T7U528LA200831</v>
          </cell>
          <cell r="D689">
            <v>505956</v>
          </cell>
          <cell r="E689" t="str">
            <v>VOLVO</v>
          </cell>
          <cell r="F689" t="str">
            <v>B8RLEA</v>
          </cell>
          <cell r="G689" t="str">
            <v>MARCOPOLO</v>
          </cell>
          <cell r="H689" t="str">
            <v>GRAN VIALE</v>
          </cell>
          <cell r="I689">
            <v>2020</v>
          </cell>
          <cell r="J689" t="str">
            <v>C</v>
          </cell>
          <cell r="K689" t="str">
            <v>Recoleta</v>
          </cell>
          <cell r="N689" t="str">
            <v>C</v>
          </cell>
        </row>
        <row r="690">
          <cell r="B690" t="str">
            <v/>
          </cell>
          <cell r="C690" t="str">
            <v>YV3T7U528LA200862</v>
          </cell>
          <cell r="D690">
            <v>505976</v>
          </cell>
          <cell r="E690" t="str">
            <v>VOLVO</v>
          </cell>
          <cell r="F690" t="str">
            <v>B8RLEA</v>
          </cell>
          <cell r="G690" t="str">
            <v>MARCOPOLO</v>
          </cell>
          <cell r="H690" t="str">
            <v>GRAN VIALE</v>
          </cell>
          <cell r="I690">
            <v>2020</v>
          </cell>
          <cell r="J690" t="str">
            <v>C</v>
          </cell>
          <cell r="K690" t="str">
            <v>Recoleta</v>
          </cell>
          <cell r="N690" t="str">
            <v>C</v>
          </cell>
        </row>
        <row r="691">
          <cell r="B691" t="str">
            <v/>
          </cell>
          <cell r="C691" t="str">
            <v>YV3T7U521LA201271</v>
          </cell>
          <cell r="D691">
            <v>507683</v>
          </cell>
          <cell r="E691" t="str">
            <v>VOLVO</v>
          </cell>
          <cell r="F691" t="str">
            <v>B8RLEA</v>
          </cell>
          <cell r="G691" t="str">
            <v>MARCOPOLO</v>
          </cell>
          <cell r="H691" t="str">
            <v>GRAN VIALE</v>
          </cell>
          <cell r="I691">
            <v>2020</v>
          </cell>
          <cell r="J691" t="str">
            <v>C</v>
          </cell>
          <cell r="K691" t="str">
            <v>Lo Blanco</v>
          </cell>
          <cell r="N691" t="str">
            <v>C</v>
          </cell>
        </row>
        <row r="692">
          <cell r="B692" t="str">
            <v/>
          </cell>
          <cell r="C692" t="str">
            <v>YV3T7U525LA201208</v>
          </cell>
          <cell r="D692">
            <v>507344</v>
          </cell>
          <cell r="E692" t="str">
            <v>VOLVO</v>
          </cell>
          <cell r="F692" t="str">
            <v>B8RLEA</v>
          </cell>
          <cell r="G692" t="str">
            <v>MARCOPOLO</v>
          </cell>
          <cell r="H692" t="str">
            <v>GRAN VIALE</v>
          </cell>
          <cell r="I692">
            <v>2020</v>
          </cell>
          <cell r="J692" t="str">
            <v>C</v>
          </cell>
          <cell r="K692" t="str">
            <v>Lo Blanco</v>
          </cell>
          <cell r="N692" t="str">
            <v>C</v>
          </cell>
        </row>
        <row r="693">
          <cell r="B693" t="str">
            <v/>
          </cell>
          <cell r="C693" t="str">
            <v>YV3T7U524LA200888</v>
          </cell>
          <cell r="D693">
            <v>506177</v>
          </cell>
          <cell r="E693" t="str">
            <v>VOLVO</v>
          </cell>
          <cell r="F693" t="str">
            <v>B8RLEA</v>
          </cell>
          <cell r="G693" t="str">
            <v>MARCOPOLO</v>
          </cell>
          <cell r="H693" t="str">
            <v>GRAN VIALE</v>
          </cell>
          <cell r="I693">
            <v>2020</v>
          </cell>
          <cell r="J693" t="str">
            <v>C</v>
          </cell>
          <cell r="K693" t="str">
            <v>Recoleta</v>
          </cell>
          <cell r="N693" t="str">
            <v>C</v>
          </cell>
        </row>
        <row r="694">
          <cell r="B694" t="str">
            <v/>
          </cell>
          <cell r="C694" t="str">
            <v>YV3T7U522LA200923</v>
          </cell>
          <cell r="D694">
            <v>506195</v>
          </cell>
          <cell r="E694" t="str">
            <v>VOLVO</v>
          </cell>
          <cell r="F694" t="str">
            <v>B8RLEA</v>
          </cell>
          <cell r="G694" t="str">
            <v>MARCOPOLO</v>
          </cell>
          <cell r="H694" t="str">
            <v>GRAN VIALE</v>
          </cell>
          <cell r="I694">
            <v>2020</v>
          </cell>
          <cell r="J694" t="str">
            <v>C</v>
          </cell>
          <cell r="K694" t="str">
            <v>Lo Blanco</v>
          </cell>
          <cell r="N694" t="str">
            <v>C</v>
          </cell>
        </row>
        <row r="695">
          <cell r="B695" t="str">
            <v/>
          </cell>
          <cell r="C695" t="str">
            <v>YV3T7U525LA201211</v>
          </cell>
          <cell r="D695">
            <v>507350</v>
          </cell>
          <cell r="E695" t="str">
            <v>VOLVO</v>
          </cell>
          <cell r="F695" t="str">
            <v>B8RLEA</v>
          </cell>
          <cell r="G695" t="str">
            <v>MARCOPOLO</v>
          </cell>
          <cell r="H695" t="str">
            <v>GRAN VIALE</v>
          </cell>
          <cell r="I695">
            <v>2020</v>
          </cell>
          <cell r="J695" t="str">
            <v>C</v>
          </cell>
          <cell r="K695" t="str">
            <v>Lo Blanco</v>
          </cell>
          <cell r="N695" t="str">
            <v>C</v>
          </cell>
        </row>
        <row r="696">
          <cell r="B696" t="str">
            <v/>
          </cell>
          <cell r="C696" t="str">
            <v>YV3T7U52XLA201317</v>
          </cell>
          <cell r="D696">
            <v>507672</v>
          </cell>
          <cell r="E696" t="str">
            <v>VOLVO</v>
          </cell>
          <cell r="F696" t="str">
            <v>B8RLEA</v>
          </cell>
          <cell r="G696" t="str">
            <v>MARCOPOLO</v>
          </cell>
          <cell r="H696" t="str">
            <v>GRAN VIALE</v>
          </cell>
          <cell r="I696">
            <v>2020</v>
          </cell>
          <cell r="J696" t="str">
            <v>C</v>
          </cell>
          <cell r="K696" t="str">
            <v>Lo Blanco</v>
          </cell>
          <cell r="N696" t="str">
            <v>C</v>
          </cell>
        </row>
        <row r="697">
          <cell r="B697" t="str">
            <v/>
          </cell>
          <cell r="C697" t="str">
            <v>YV3T7U523LA201269</v>
          </cell>
          <cell r="D697">
            <v>507437</v>
          </cell>
          <cell r="E697" t="str">
            <v>VOLVO</v>
          </cell>
          <cell r="F697" t="str">
            <v>B8RLEA</v>
          </cell>
          <cell r="G697" t="str">
            <v>MARCOPOLO</v>
          </cell>
          <cell r="H697" t="str">
            <v>GRAN VIALE</v>
          </cell>
          <cell r="I697">
            <v>2020</v>
          </cell>
          <cell r="J697" t="str">
            <v>C</v>
          </cell>
          <cell r="K697" t="str">
            <v>Lo Blanco</v>
          </cell>
          <cell r="N697" t="str">
            <v>C</v>
          </cell>
        </row>
        <row r="698">
          <cell r="B698" t="str">
            <v/>
          </cell>
          <cell r="C698" t="str">
            <v>YV3T7U528LA201252</v>
          </cell>
          <cell r="D698">
            <v>506904</v>
          </cell>
          <cell r="E698" t="str">
            <v>VOLVO</v>
          </cell>
          <cell r="F698" t="str">
            <v>B8RLEA</v>
          </cell>
          <cell r="G698" t="str">
            <v>MARCOPOLO</v>
          </cell>
          <cell r="H698" t="str">
            <v>GRAN VIALE</v>
          </cell>
          <cell r="I698">
            <v>2020</v>
          </cell>
          <cell r="J698" t="str">
            <v>C</v>
          </cell>
          <cell r="K698" t="str">
            <v>Lo Blanco</v>
          </cell>
          <cell r="N698" t="str">
            <v>C</v>
          </cell>
        </row>
        <row r="699">
          <cell r="B699" t="str">
            <v/>
          </cell>
          <cell r="C699" t="str">
            <v>YV3T7U523LA201210</v>
          </cell>
          <cell r="D699">
            <v>507372</v>
          </cell>
          <cell r="E699" t="str">
            <v>VOLVO</v>
          </cell>
          <cell r="F699" t="str">
            <v>B8RLEA</v>
          </cell>
          <cell r="G699" t="str">
            <v>MARCOPOLO</v>
          </cell>
          <cell r="H699" t="str">
            <v>GRAN VIALE</v>
          </cell>
          <cell r="I699">
            <v>2020</v>
          </cell>
          <cell r="J699" t="str">
            <v>C</v>
          </cell>
          <cell r="K699" t="str">
            <v>Lo Blanco</v>
          </cell>
          <cell r="N699" t="str">
            <v>C</v>
          </cell>
        </row>
        <row r="700">
          <cell r="B700" t="str">
            <v/>
          </cell>
          <cell r="C700" t="str">
            <v>YV3T7U522LA201182</v>
          </cell>
          <cell r="D700">
            <v>506843</v>
          </cell>
          <cell r="E700" t="str">
            <v>VOLVO</v>
          </cell>
          <cell r="F700" t="str">
            <v>B8RLEA</v>
          </cell>
          <cell r="G700" t="str">
            <v>MARCOPOLO</v>
          </cell>
          <cell r="H700" t="str">
            <v>GRAN VIALE</v>
          </cell>
          <cell r="I700">
            <v>2020</v>
          </cell>
          <cell r="J700" t="str">
            <v>C</v>
          </cell>
          <cell r="K700" t="str">
            <v>Lo Blanco</v>
          </cell>
          <cell r="N700" t="str">
            <v>C</v>
          </cell>
        </row>
        <row r="701">
          <cell r="B701" t="str">
            <v/>
          </cell>
          <cell r="C701" t="str">
            <v>YV3T7U527LA201212</v>
          </cell>
          <cell r="D701">
            <v>507397</v>
          </cell>
          <cell r="E701" t="str">
            <v>VOLVO</v>
          </cell>
          <cell r="F701" t="str">
            <v>B8RLEA</v>
          </cell>
          <cell r="G701" t="str">
            <v>MARCOPOLO</v>
          </cell>
          <cell r="H701" t="str">
            <v>GRAN VIALE</v>
          </cell>
          <cell r="I701">
            <v>2020</v>
          </cell>
          <cell r="J701" t="str">
            <v>C</v>
          </cell>
          <cell r="K701" t="str">
            <v>Lo Blanco</v>
          </cell>
          <cell r="N701" t="str">
            <v>C</v>
          </cell>
        </row>
        <row r="702">
          <cell r="B702" t="str">
            <v/>
          </cell>
          <cell r="C702" t="str">
            <v>YV3T7U521LA201254</v>
          </cell>
          <cell r="D702">
            <v>507451</v>
          </cell>
          <cell r="E702" t="str">
            <v>VOLVO</v>
          </cell>
          <cell r="F702" t="str">
            <v>B8RLEA</v>
          </cell>
          <cell r="G702" t="str">
            <v>MARCOPOLO</v>
          </cell>
          <cell r="H702" t="str">
            <v>GRAN VIALE</v>
          </cell>
          <cell r="I702">
            <v>2020</v>
          </cell>
          <cell r="J702" t="str">
            <v>C</v>
          </cell>
          <cell r="K702" t="str">
            <v>Lo Blanco</v>
          </cell>
          <cell r="N702" t="str">
            <v>C</v>
          </cell>
        </row>
        <row r="703">
          <cell r="B703" t="str">
            <v/>
          </cell>
          <cell r="C703" t="str">
            <v>YV3T7U523LA201255</v>
          </cell>
          <cell r="D703">
            <v>507423</v>
          </cell>
          <cell r="E703" t="str">
            <v>VOLVO</v>
          </cell>
          <cell r="F703" t="str">
            <v>B8RLEA</v>
          </cell>
          <cell r="G703" t="str">
            <v>MARCOPOLO</v>
          </cell>
          <cell r="H703" t="str">
            <v>GRAN VIALE</v>
          </cell>
          <cell r="I703">
            <v>2020</v>
          </cell>
          <cell r="J703" t="str">
            <v>C</v>
          </cell>
          <cell r="K703" t="str">
            <v>Lo Blanco</v>
          </cell>
          <cell r="N703" t="str">
            <v>C</v>
          </cell>
        </row>
        <row r="704">
          <cell r="B704" t="str">
            <v/>
          </cell>
          <cell r="C704" t="str">
            <v>YV3T7U527LA201257</v>
          </cell>
          <cell r="D704">
            <v>507427</v>
          </cell>
          <cell r="E704" t="str">
            <v>VOLVO</v>
          </cell>
          <cell r="F704" t="str">
            <v>B8RLEA</v>
          </cell>
          <cell r="G704" t="str">
            <v>MARCOPOLO</v>
          </cell>
          <cell r="H704" t="str">
            <v>GRAN VIALE</v>
          </cell>
          <cell r="I704">
            <v>2020</v>
          </cell>
          <cell r="J704" t="str">
            <v>C</v>
          </cell>
          <cell r="K704" t="str">
            <v>Lo Blanco</v>
          </cell>
          <cell r="N704" t="str">
            <v>C</v>
          </cell>
        </row>
        <row r="705">
          <cell r="B705" t="str">
            <v/>
          </cell>
          <cell r="C705" t="str">
            <v>YV3T7U520LA198718</v>
          </cell>
          <cell r="D705">
            <v>499868</v>
          </cell>
          <cell r="E705" t="str">
            <v>VOLVO</v>
          </cell>
          <cell r="F705" t="str">
            <v>B8RLEA</v>
          </cell>
          <cell r="G705" t="str">
            <v>MARCOPOLO</v>
          </cell>
          <cell r="H705" t="str">
            <v>GRAN VIALE</v>
          </cell>
          <cell r="I705">
            <v>2020</v>
          </cell>
          <cell r="J705" t="str">
            <v>C</v>
          </cell>
          <cell r="K705" t="str">
            <v>Lo Blanco</v>
          </cell>
          <cell r="N705" t="str">
            <v>C</v>
          </cell>
        </row>
        <row r="706">
          <cell r="B706" t="str">
            <v/>
          </cell>
          <cell r="C706" t="str">
            <v>YV3T7U522LA198719</v>
          </cell>
          <cell r="D706">
            <v>499801</v>
          </cell>
          <cell r="E706" t="str">
            <v>VOLVO</v>
          </cell>
          <cell r="F706" t="str">
            <v>B8RLEA</v>
          </cell>
          <cell r="G706" t="str">
            <v>MARCOPOLO</v>
          </cell>
          <cell r="H706" t="str">
            <v>GRAN VIALE</v>
          </cell>
          <cell r="I706">
            <v>2020</v>
          </cell>
          <cell r="J706" t="str">
            <v>C</v>
          </cell>
          <cell r="K706" t="str">
            <v>Lo Blanco</v>
          </cell>
          <cell r="N706" t="str">
            <v>C</v>
          </cell>
        </row>
        <row r="707">
          <cell r="B707" t="str">
            <v/>
          </cell>
          <cell r="C707" t="str">
            <v>YV3T7U52XLA200989</v>
          </cell>
          <cell r="D707">
            <v>506525</v>
          </cell>
          <cell r="E707" t="str">
            <v>VOLVO</v>
          </cell>
          <cell r="F707" t="str">
            <v>B8RLEA</v>
          </cell>
          <cell r="G707" t="str">
            <v>MARCOPOLO</v>
          </cell>
          <cell r="H707" t="str">
            <v>GRAN VIALE</v>
          </cell>
          <cell r="I707">
            <v>2020</v>
          </cell>
          <cell r="J707" t="str">
            <v>C</v>
          </cell>
          <cell r="K707" t="str">
            <v>Recoleta</v>
          </cell>
          <cell r="N707" t="str">
            <v>C</v>
          </cell>
        </row>
        <row r="708">
          <cell r="B708" t="str">
            <v/>
          </cell>
          <cell r="C708" t="str">
            <v>YV3T7U529LA198717</v>
          </cell>
          <cell r="D708">
            <v>501057</v>
          </cell>
          <cell r="E708" t="str">
            <v>VOLVO</v>
          </cell>
          <cell r="F708" t="str">
            <v>B8RLEA</v>
          </cell>
          <cell r="G708" t="str">
            <v>MARCOPOLO</v>
          </cell>
          <cell r="H708" t="str">
            <v>GRAN VIALE</v>
          </cell>
          <cell r="I708">
            <v>2020</v>
          </cell>
          <cell r="J708" t="str">
            <v>C</v>
          </cell>
          <cell r="K708" t="str">
            <v>Recoleta</v>
          </cell>
          <cell r="N708" t="str">
            <v>C</v>
          </cell>
        </row>
        <row r="709">
          <cell r="B709" t="str">
            <v/>
          </cell>
          <cell r="C709" t="str">
            <v>YV3T7U529LA198720</v>
          </cell>
          <cell r="D709">
            <v>500912</v>
          </cell>
          <cell r="E709" t="str">
            <v>VOLVO</v>
          </cell>
          <cell r="F709" t="str">
            <v>B8RLEA</v>
          </cell>
          <cell r="G709" t="str">
            <v>MARCOPOLO</v>
          </cell>
          <cell r="H709" t="str">
            <v>GRAN VIALE</v>
          </cell>
          <cell r="I709">
            <v>2020</v>
          </cell>
          <cell r="J709" t="str">
            <v>C</v>
          </cell>
          <cell r="K709" t="str">
            <v>Lo Blanco</v>
          </cell>
          <cell r="N709" t="str">
            <v>C</v>
          </cell>
        </row>
        <row r="710">
          <cell r="B710" t="str">
            <v/>
          </cell>
          <cell r="C710" t="str">
            <v>YV3T7U525LA201256</v>
          </cell>
          <cell r="D710">
            <v>507442</v>
          </cell>
          <cell r="E710" t="str">
            <v>VOLVO</v>
          </cell>
          <cell r="F710" t="str">
            <v>B8RLEA</v>
          </cell>
          <cell r="G710" t="str">
            <v>MARCOPOLO</v>
          </cell>
          <cell r="H710" t="str">
            <v>GRAN VIALE</v>
          </cell>
          <cell r="I710">
            <v>2020</v>
          </cell>
          <cell r="J710" t="str">
            <v>C</v>
          </cell>
          <cell r="K710" t="str">
            <v>Lo Blanco</v>
          </cell>
          <cell r="N710" t="str">
            <v>C</v>
          </cell>
        </row>
        <row r="711">
          <cell r="B711" t="str">
            <v/>
          </cell>
          <cell r="C711" t="str">
            <v>YV3T7U528LA200988</v>
          </cell>
          <cell r="D711">
            <v>506479</v>
          </cell>
          <cell r="E711" t="str">
            <v>VOLVO</v>
          </cell>
          <cell r="F711" t="str">
            <v>B8RLEA</v>
          </cell>
          <cell r="G711" t="str">
            <v>MARCOPOLO</v>
          </cell>
          <cell r="H711" t="str">
            <v>GRAN VIALE</v>
          </cell>
          <cell r="I711">
            <v>2020</v>
          </cell>
          <cell r="J711" t="str">
            <v>C</v>
          </cell>
          <cell r="K711" t="str">
            <v>Lo Blanco</v>
          </cell>
          <cell r="N711" t="str">
            <v>C</v>
          </cell>
        </row>
        <row r="712">
          <cell r="B712" t="str">
            <v/>
          </cell>
          <cell r="C712" t="str">
            <v>YV3T7U525LA201032</v>
          </cell>
          <cell r="D712">
            <v>506651</v>
          </cell>
          <cell r="E712" t="str">
            <v>VOLVO</v>
          </cell>
          <cell r="F712" t="str">
            <v>B8RLEA</v>
          </cell>
          <cell r="G712" t="str">
            <v>MARCOPOLO</v>
          </cell>
          <cell r="H712" t="str">
            <v>GRAN VIALE</v>
          </cell>
          <cell r="I712">
            <v>2020</v>
          </cell>
          <cell r="J712" t="str">
            <v>C</v>
          </cell>
          <cell r="K712" t="str">
            <v>Lo Blanco</v>
          </cell>
          <cell r="N712" t="str">
            <v>C</v>
          </cell>
        </row>
        <row r="713">
          <cell r="B713" t="str">
            <v/>
          </cell>
          <cell r="C713" t="str">
            <v>YV3T7U528LA201266</v>
          </cell>
          <cell r="D713">
            <v>507458</v>
          </cell>
          <cell r="E713" t="str">
            <v>VOLVO</v>
          </cell>
          <cell r="F713" t="str">
            <v>B8RLEA</v>
          </cell>
          <cell r="G713" t="str">
            <v>MARCOPOLO</v>
          </cell>
          <cell r="H713" t="str">
            <v>GRAN VIALE</v>
          </cell>
          <cell r="I713">
            <v>2020</v>
          </cell>
          <cell r="J713" t="str">
            <v>C</v>
          </cell>
          <cell r="K713" t="str">
            <v>Lo Blanco</v>
          </cell>
          <cell r="N713" t="str">
            <v>C</v>
          </cell>
        </row>
        <row r="714">
          <cell r="B714" t="str">
            <v/>
          </cell>
          <cell r="C714" t="str">
            <v>YV3T7U523LA201272</v>
          </cell>
          <cell r="D714">
            <v>507661</v>
          </cell>
          <cell r="E714" t="str">
            <v>VOLVO</v>
          </cell>
          <cell r="F714" t="str">
            <v>B8RLEA</v>
          </cell>
          <cell r="G714" t="str">
            <v>MARCOPOLO</v>
          </cell>
          <cell r="H714" t="str">
            <v>GRAN VIALE</v>
          </cell>
          <cell r="I714">
            <v>2020</v>
          </cell>
          <cell r="J714" t="str">
            <v>C</v>
          </cell>
          <cell r="K714" t="str">
            <v>Lo Blanco</v>
          </cell>
          <cell r="N714" t="str">
            <v>C</v>
          </cell>
        </row>
        <row r="715">
          <cell r="B715" t="str">
            <v/>
          </cell>
          <cell r="C715" t="str">
            <v>YV3T7U526LA200990</v>
          </cell>
          <cell r="D715">
            <v>506530</v>
          </cell>
          <cell r="E715" t="str">
            <v>VOLVO</v>
          </cell>
          <cell r="F715" t="str">
            <v>B8RLEA</v>
          </cell>
          <cell r="G715" t="str">
            <v>MARCOPOLO</v>
          </cell>
          <cell r="H715" t="str">
            <v>GRAN VIALE</v>
          </cell>
          <cell r="I715">
            <v>2020</v>
          </cell>
          <cell r="J715" t="str">
            <v>C</v>
          </cell>
          <cell r="K715" t="str">
            <v>Recoleta</v>
          </cell>
          <cell r="N715" t="str">
            <v>C</v>
          </cell>
        </row>
        <row r="716">
          <cell r="B716" t="str">
            <v/>
          </cell>
          <cell r="C716" t="str">
            <v>YV3T7U528LA200991</v>
          </cell>
          <cell r="D716">
            <v>506543</v>
          </cell>
          <cell r="E716" t="str">
            <v>VOLVO</v>
          </cell>
          <cell r="F716" t="str">
            <v>B8RLEA</v>
          </cell>
          <cell r="G716" t="str">
            <v>MARCOPOLO</v>
          </cell>
          <cell r="H716" t="str">
            <v>GRAN VIALE</v>
          </cell>
          <cell r="I716">
            <v>2020</v>
          </cell>
          <cell r="J716" t="str">
            <v>C</v>
          </cell>
          <cell r="K716" t="str">
            <v>Lo Blanco</v>
          </cell>
          <cell r="N716" t="str">
            <v>C</v>
          </cell>
        </row>
        <row r="717">
          <cell r="B717" t="str">
            <v/>
          </cell>
          <cell r="C717" t="str">
            <v>YV3T7U52XLA201267</v>
          </cell>
          <cell r="D717">
            <v>507419</v>
          </cell>
          <cell r="E717" t="str">
            <v>VOLVO</v>
          </cell>
          <cell r="F717" t="str">
            <v>B8RLEA</v>
          </cell>
          <cell r="G717" t="str">
            <v>MARCOPOLO</v>
          </cell>
          <cell r="H717" t="str">
            <v>GRAN VIALE</v>
          </cell>
          <cell r="I717">
            <v>2020</v>
          </cell>
          <cell r="J717" t="str">
            <v>C</v>
          </cell>
          <cell r="K717" t="str">
            <v>Lo Blanco</v>
          </cell>
          <cell r="N717" t="str">
            <v>C</v>
          </cell>
        </row>
        <row r="718">
          <cell r="B718" t="str">
            <v/>
          </cell>
          <cell r="C718" t="str">
            <v>YV3T7U521LA201268</v>
          </cell>
          <cell r="D718">
            <v>507446</v>
          </cell>
          <cell r="E718" t="str">
            <v>VOLVO</v>
          </cell>
          <cell r="F718" t="str">
            <v>B8RLEA</v>
          </cell>
          <cell r="G718" t="str">
            <v>MARCOPOLO</v>
          </cell>
          <cell r="H718" t="str">
            <v>GRAN VIALE</v>
          </cell>
          <cell r="I718">
            <v>2020</v>
          </cell>
          <cell r="J718" t="str">
            <v>C</v>
          </cell>
          <cell r="K718" t="str">
            <v>Lo Blanco</v>
          </cell>
          <cell r="N718" t="str">
            <v>C</v>
          </cell>
        </row>
        <row r="719">
          <cell r="B719" t="str">
            <v/>
          </cell>
          <cell r="C719" t="str">
            <v>YV3T7U520LA200922</v>
          </cell>
          <cell r="D719">
            <v>506223</v>
          </cell>
          <cell r="E719" t="str">
            <v>VOLVO</v>
          </cell>
          <cell r="F719" t="str">
            <v>B8RLEA</v>
          </cell>
          <cell r="G719" t="str">
            <v>MARCOPOLO</v>
          </cell>
          <cell r="H719" t="str">
            <v>GRAN VIALE</v>
          </cell>
          <cell r="I719">
            <v>2020</v>
          </cell>
          <cell r="J719" t="str">
            <v>C</v>
          </cell>
          <cell r="K719" t="str">
            <v>Lo Blanco</v>
          </cell>
          <cell r="N719" t="str">
            <v>C</v>
          </cell>
        </row>
        <row r="720">
          <cell r="B720" t="str">
            <v/>
          </cell>
          <cell r="C720" t="str">
            <v>YV3T7U52XLA201253</v>
          </cell>
          <cell r="D720">
            <v>507455</v>
          </cell>
          <cell r="E720" t="str">
            <v>VOLVO</v>
          </cell>
          <cell r="F720" t="str">
            <v>B8RLEA</v>
          </cell>
          <cell r="G720" t="str">
            <v>MARCOPOLO</v>
          </cell>
          <cell r="H720" t="str">
            <v>GRAN VIALE</v>
          </cell>
          <cell r="I720">
            <v>2020</v>
          </cell>
          <cell r="J720" t="str">
            <v>C</v>
          </cell>
          <cell r="K720" t="str">
            <v>Recoleta</v>
          </cell>
          <cell r="N720" t="str">
            <v>C</v>
          </cell>
        </row>
        <row r="721">
          <cell r="B721" t="str">
            <v/>
          </cell>
          <cell r="C721" t="str">
            <v>YV3T7U521LA201044</v>
          </cell>
          <cell r="D721">
            <v>506662</v>
          </cell>
          <cell r="E721" t="str">
            <v>VOLVO</v>
          </cell>
          <cell r="F721" t="str">
            <v>B8RLEA</v>
          </cell>
          <cell r="G721" t="str">
            <v>MARCOPOLO</v>
          </cell>
          <cell r="H721" t="str">
            <v>GRAN VIALE</v>
          </cell>
          <cell r="I721">
            <v>2020</v>
          </cell>
          <cell r="J721" t="str">
            <v>C</v>
          </cell>
          <cell r="K721" t="str">
            <v>Recoleta</v>
          </cell>
          <cell r="N721" t="str">
            <v>C</v>
          </cell>
        </row>
        <row r="722">
          <cell r="B722" t="str">
            <v/>
          </cell>
          <cell r="C722" t="str">
            <v>YV3T7U528LA201171</v>
          </cell>
          <cell r="D722">
            <v>507173</v>
          </cell>
          <cell r="E722" t="str">
            <v>VOLVO</v>
          </cell>
          <cell r="F722" t="str">
            <v>B8RLEA</v>
          </cell>
          <cell r="G722" t="str">
            <v>MARCOPOLO</v>
          </cell>
          <cell r="H722" t="str">
            <v>GRAN VIALE</v>
          </cell>
          <cell r="I722">
            <v>2020</v>
          </cell>
          <cell r="J722" t="str">
            <v>C</v>
          </cell>
          <cell r="K722" t="str">
            <v>Recoleta</v>
          </cell>
          <cell r="N722" t="str">
            <v>C</v>
          </cell>
        </row>
        <row r="723">
          <cell r="B723" t="str">
            <v/>
          </cell>
          <cell r="C723" t="str">
            <v>YV3T7U526LA201167</v>
          </cell>
          <cell r="D723">
            <v>507153</v>
          </cell>
          <cell r="E723" t="str">
            <v>VOLVO</v>
          </cell>
          <cell r="F723" t="str">
            <v>B8RLEA</v>
          </cell>
          <cell r="G723" t="str">
            <v>MARCOPOLO</v>
          </cell>
          <cell r="H723" t="str">
            <v>GRAN VIALE</v>
          </cell>
          <cell r="I723">
            <v>2020</v>
          </cell>
          <cell r="J723" t="str">
            <v>C</v>
          </cell>
          <cell r="K723" t="str">
            <v>Recoleta</v>
          </cell>
          <cell r="N723" t="str">
            <v>C</v>
          </cell>
        </row>
        <row r="724">
          <cell r="B724" t="str">
            <v/>
          </cell>
          <cell r="C724" t="str">
            <v>YV3T7U528LA201168</v>
          </cell>
          <cell r="D724">
            <v>507167</v>
          </cell>
          <cell r="E724" t="str">
            <v>VOLVO</v>
          </cell>
          <cell r="F724" t="str">
            <v>B8RLEA</v>
          </cell>
          <cell r="G724" t="str">
            <v>MARCOPOLO</v>
          </cell>
          <cell r="H724" t="str">
            <v>GRAN VIALE</v>
          </cell>
          <cell r="I724">
            <v>2020</v>
          </cell>
          <cell r="J724" t="str">
            <v>C</v>
          </cell>
          <cell r="K724" t="str">
            <v>Recoleta</v>
          </cell>
          <cell r="N724" t="str">
            <v>C</v>
          </cell>
        </row>
        <row r="725">
          <cell r="B725" t="str">
            <v/>
          </cell>
          <cell r="C725" t="str">
            <v>YV3T7U525LA201144</v>
          </cell>
          <cell r="D725">
            <v>507082</v>
          </cell>
          <cell r="E725" t="str">
            <v>VOLVO</v>
          </cell>
          <cell r="F725" t="str">
            <v>B8RLEA</v>
          </cell>
          <cell r="G725" t="str">
            <v>MARCOPOLO</v>
          </cell>
          <cell r="H725" t="str">
            <v>GRAN VIALE</v>
          </cell>
          <cell r="I725">
            <v>2020</v>
          </cell>
          <cell r="J725" t="str">
            <v>C</v>
          </cell>
          <cell r="K725" t="str">
            <v>Recoleta</v>
          </cell>
          <cell r="N725" t="str">
            <v>C</v>
          </cell>
        </row>
        <row r="726">
          <cell r="B726" t="str">
            <v/>
          </cell>
          <cell r="C726" t="str">
            <v>YV3T7U520LA201035</v>
          </cell>
          <cell r="D726">
            <v>506645</v>
          </cell>
          <cell r="E726" t="str">
            <v>VOLVO</v>
          </cell>
          <cell r="F726" t="str">
            <v>B8RLEA</v>
          </cell>
          <cell r="G726" t="str">
            <v>MARCOPOLO</v>
          </cell>
          <cell r="H726" t="str">
            <v>GRAN VIALE</v>
          </cell>
          <cell r="I726">
            <v>2020</v>
          </cell>
          <cell r="J726" t="str">
            <v>C</v>
          </cell>
          <cell r="K726" t="str">
            <v>Recoleta</v>
          </cell>
          <cell r="N726" t="str">
            <v>C</v>
          </cell>
        </row>
        <row r="727">
          <cell r="B727" t="str">
            <v/>
          </cell>
          <cell r="C727" t="str">
            <v>YV3T7U527LA201209</v>
          </cell>
          <cell r="D727">
            <v>507402</v>
          </cell>
          <cell r="E727" t="str">
            <v>VOLVO</v>
          </cell>
          <cell r="F727" t="str">
            <v>B8RLEA</v>
          </cell>
          <cell r="G727" t="str">
            <v>MARCOPOLO</v>
          </cell>
          <cell r="H727" t="str">
            <v>GRAN VIALE</v>
          </cell>
          <cell r="I727">
            <v>2020</v>
          </cell>
          <cell r="J727" t="str">
            <v>C</v>
          </cell>
          <cell r="K727" t="str">
            <v>Recoleta</v>
          </cell>
          <cell r="N727" t="str">
            <v>C</v>
          </cell>
        </row>
        <row r="728">
          <cell r="B728" t="str">
            <v/>
          </cell>
          <cell r="C728" t="str">
            <v>YV3T7U52XLA201186</v>
          </cell>
          <cell r="D728">
            <v>507277</v>
          </cell>
          <cell r="E728" t="str">
            <v>VOLVO</v>
          </cell>
          <cell r="F728" t="str">
            <v>B8RLEA</v>
          </cell>
          <cell r="G728" t="str">
            <v>MARCOPOLO</v>
          </cell>
          <cell r="H728" t="str">
            <v>GRAN VIALE</v>
          </cell>
          <cell r="I728">
            <v>2020</v>
          </cell>
          <cell r="J728" t="str">
            <v>C</v>
          </cell>
          <cell r="K728" t="str">
            <v>Recoleta</v>
          </cell>
          <cell r="N728" t="str">
            <v>C</v>
          </cell>
        </row>
        <row r="729">
          <cell r="B729" t="str">
            <v/>
          </cell>
          <cell r="C729" t="str">
            <v>YV3T7U528LA201185</v>
          </cell>
          <cell r="D729">
            <v>506865</v>
          </cell>
          <cell r="E729" t="str">
            <v>VOLVO</v>
          </cell>
          <cell r="F729" t="str">
            <v>B8RLEA</v>
          </cell>
          <cell r="G729" t="str">
            <v>MARCOPOLO</v>
          </cell>
          <cell r="H729" t="str">
            <v>GRAN VIALE</v>
          </cell>
          <cell r="I729">
            <v>2020</v>
          </cell>
          <cell r="J729" t="str">
            <v>C</v>
          </cell>
          <cell r="K729" t="str">
            <v>Recoleta</v>
          </cell>
          <cell r="N729" t="str">
            <v>C</v>
          </cell>
        </row>
        <row r="730">
          <cell r="B730" t="str">
            <v/>
          </cell>
          <cell r="C730" t="str">
            <v>YV3T7U523LA201059</v>
          </cell>
          <cell r="D730">
            <v>506732</v>
          </cell>
          <cell r="E730" t="str">
            <v>VOLVO</v>
          </cell>
          <cell r="F730" t="str">
            <v>B8RLEA</v>
          </cell>
          <cell r="G730" t="str">
            <v>MARCOPOLO</v>
          </cell>
          <cell r="H730" t="str">
            <v>GRAN VIALE</v>
          </cell>
          <cell r="I730">
            <v>2020</v>
          </cell>
          <cell r="J730" t="str">
            <v>C</v>
          </cell>
          <cell r="K730" t="str">
            <v>Recoleta</v>
          </cell>
          <cell r="N730" t="str">
            <v>C</v>
          </cell>
        </row>
        <row r="731">
          <cell r="B731" t="str">
            <v/>
          </cell>
          <cell r="C731" t="str">
            <v>YV3T7U527LA201033</v>
          </cell>
          <cell r="D731">
            <v>506661</v>
          </cell>
          <cell r="E731" t="str">
            <v>VOLVO</v>
          </cell>
          <cell r="F731" t="str">
            <v>B8RLEA</v>
          </cell>
          <cell r="G731" t="str">
            <v>MARCOPOLO</v>
          </cell>
          <cell r="H731" t="str">
            <v>GRAN VIALE</v>
          </cell>
          <cell r="I731">
            <v>2020</v>
          </cell>
          <cell r="J731" t="str">
            <v>C</v>
          </cell>
          <cell r="K731" t="str">
            <v>Recoleta</v>
          </cell>
          <cell r="N731" t="str">
            <v>C</v>
          </cell>
        </row>
        <row r="732">
          <cell r="B732" t="str">
            <v/>
          </cell>
          <cell r="C732" t="str">
            <v>YV3T7U52XLA200992</v>
          </cell>
          <cell r="D732">
            <v>506598</v>
          </cell>
          <cell r="E732" t="str">
            <v>VOLVO</v>
          </cell>
          <cell r="F732" t="str">
            <v>B8RLEA</v>
          </cell>
          <cell r="G732" t="str">
            <v>MARCOPOLO</v>
          </cell>
          <cell r="H732" t="str">
            <v>GRAN VIALE</v>
          </cell>
          <cell r="I732">
            <v>2020</v>
          </cell>
          <cell r="J732" t="str">
            <v>C</v>
          </cell>
          <cell r="K732" t="str">
            <v>Recoleta</v>
          </cell>
          <cell r="N732" t="str">
            <v>C</v>
          </cell>
        </row>
        <row r="733">
          <cell r="B733" t="str">
            <v/>
          </cell>
          <cell r="C733" t="str">
            <v>YV3T7U522LA200971</v>
          </cell>
          <cell r="D733">
            <v>506305</v>
          </cell>
          <cell r="E733" t="str">
            <v>VOLVO</v>
          </cell>
          <cell r="F733" t="str">
            <v>B8RLEA</v>
          </cell>
          <cell r="G733" t="str">
            <v>MARCOPOLO</v>
          </cell>
          <cell r="H733" t="str">
            <v>GRAN VIALE</v>
          </cell>
          <cell r="I733">
            <v>2020</v>
          </cell>
          <cell r="J733" t="str">
            <v>C</v>
          </cell>
          <cell r="K733" t="str">
            <v>Recoleta</v>
          </cell>
          <cell r="N733" t="str">
            <v>C</v>
          </cell>
        </row>
        <row r="734">
          <cell r="B734" t="str">
            <v/>
          </cell>
          <cell r="C734" t="str">
            <v>YV3T7U525LA201046</v>
          </cell>
          <cell r="D734">
            <v>506647</v>
          </cell>
          <cell r="E734" t="str">
            <v>VOLVO</v>
          </cell>
          <cell r="F734" t="str">
            <v>B8RLEA</v>
          </cell>
          <cell r="G734" t="str">
            <v>MARCOPOLO</v>
          </cell>
          <cell r="H734" t="str">
            <v>GRAN VIALE</v>
          </cell>
          <cell r="I734">
            <v>2020</v>
          </cell>
          <cell r="J734" t="str">
            <v>C</v>
          </cell>
          <cell r="K734" t="str">
            <v>Recoleta</v>
          </cell>
          <cell r="N734" t="str">
            <v>C</v>
          </cell>
        </row>
        <row r="735">
          <cell r="B735" t="str">
            <v/>
          </cell>
          <cell r="C735" t="str">
            <v>YV3T7U521LA201156</v>
          </cell>
          <cell r="D735">
            <v>507078</v>
          </cell>
          <cell r="E735" t="str">
            <v>VOLVO</v>
          </cell>
          <cell r="F735" t="str">
            <v>B8RLEA</v>
          </cell>
          <cell r="G735" t="str">
            <v>MARCOPOLO</v>
          </cell>
          <cell r="H735" t="str">
            <v>GRAN VIALE</v>
          </cell>
          <cell r="I735">
            <v>2020</v>
          </cell>
          <cell r="J735" t="str">
            <v>C</v>
          </cell>
          <cell r="K735" t="str">
            <v>Recoleta</v>
          </cell>
          <cell r="N735" t="str">
            <v>C</v>
          </cell>
        </row>
        <row r="736">
          <cell r="B736" t="str">
            <v/>
          </cell>
          <cell r="C736" t="str">
            <v>YV3T7U521LA201058</v>
          </cell>
          <cell r="D736">
            <v>506749</v>
          </cell>
          <cell r="E736" t="str">
            <v>VOLVO</v>
          </cell>
          <cell r="F736" t="str">
            <v>B8RLEA</v>
          </cell>
          <cell r="G736" t="str">
            <v>MARCOPOLO</v>
          </cell>
          <cell r="H736" t="str">
            <v>GRAN VIALE</v>
          </cell>
          <cell r="I736">
            <v>2020</v>
          </cell>
          <cell r="J736" t="str">
            <v>C</v>
          </cell>
          <cell r="K736" t="str">
            <v>Recoleta</v>
          </cell>
          <cell r="N736" t="str">
            <v>C</v>
          </cell>
        </row>
        <row r="737">
          <cell r="B737" t="str">
            <v/>
          </cell>
          <cell r="C737" t="str">
            <v>YV3T7U528LA201073</v>
          </cell>
          <cell r="D737">
            <v>507040</v>
          </cell>
          <cell r="E737" t="str">
            <v>VOLVO</v>
          </cell>
          <cell r="F737" t="str">
            <v>B8RLEA</v>
          </cell>
          <cell r="G737" t="str">
            <v>MARCOPOLO</v>
          </cell>
          <cell r="H737" t="str">
            <v>GRAN VIALE</v>
          </cell>
          <cell r="I737">
            <v>2020</v>
          </cell>
          <cell r="J737" t="str">
            <v>C</v>
          </cell>
          <cell r="K737" t="str">
            <v>Recoleta</v>
          </cell>
          <cell r="N737" t="str">
            <v>C</v>
          </cell>
        </row>
        <row r="738">
          <cell r="B738" t="str">
            <v/>
          </cell>
          <cell r="C738" t="str">
            <v>YV3T7U524LA201071</v>
          </cell>
          <cell r="D738">
            <v>506999</v>
          </cell>
          <cell r="E738" t="str">
            <v>VOLVO</v>
          </cell>
          <cell r="F738" t="str">
            <v>B8RLEA</v>
          </cell>
          <cell r="G738" t="str">
            <v>MARCOPOLO</v>
          </cell>
          <cell r="H738" t="str">
            <v>GRAN VIALE</v>
          </cell>
          <cell r="I738">
            <v>2020</v>
          </cell>
          <cell r="J738" t="str">
            <v>C</v>
          </cell>
          <cell r="K738" t="str">
            <v>Recoleta</v>
          </cell>
          <cell r="N738" t="str">
            <v>C</v>
          </cell>
        </row>
        <row r="739">
          <cell r="B739" t="str">
            <v/>
          </cell>
          <cell r="C739" t="str">
            <v>YV3T7U529LA201048</v>
          </cell>
          <cell r="D739">
            <v>506686</v>
          </cell>
          <cell r="E739" t="str">
            <v>VOLVO</v>
          </cell>
          <cell r="F739" t="str">
            <v>B8RLEA</v>
          </cell>
          <cell r="G739" t="str">
            <v>MARCOPOLO</v>
          </cell>
          <cell r="H739" t="str">
            <v>GRAN VIALE</v>
          </cell>
          <cell r="I739">
            <v>2020</v>
          </cell>
          <cell r="J739" t="str">
            <v>C</v>
          </cell>
          <cell r="K739" t="str">
            <v>Recoleta</v>
          </cell>
          <cell r="N739" t="str">
            <v>C</v>
          </cell>
        </row>
        <row r="740">
          <cell r="B740" t="str">
            <v/>
          </cell>
          <cell r="C740" t="str">
            <v>YV3T7U52XLA201155</v>
          </cell>
          <cell r="D740">
            <v>507117</v>
          </cell>
          <cell r="E740" t="str">
            <v>VOLVO</v>
          </cell>
          <cell r="F740" t="str">
            <v>B8RLEA</v>
          </cell>
          <cell r="G740" t="str">
            <v>MARCOPOLO</v>
          </cell>
          <cell r="H740" t="str">
            <v>GRAN VIALE</v>
          </cell>
          <cell r="I740">
            <v>2020</v>
          </cell>
          <cell r="J740" t="str">
            <v>C</v>
          </cell>
          <cell r="K740" t="str">
            <v>Recoleta</v>
          </cell>
          <cell r="N740" t="str">
            <v>C</v>
          </cell>
        </row>
        <row r="741">
          <cell r="B741" t="str">
            <v/>
          </cell>
          <cell r="C741" t="str">
            <v>YV3T7U527LA201100</v>
          </cell>
          <cell r="D741">
            <v>507055</v>
          </cell>
          <cell r="E741" t="str">
            <v>VOLVO</v>
          </cell>
          <cell r="F741" t="str">
            <v>B8RLEA</v>
          </cell>
          <cell r="G741" t="str">
            <v>MARCOPOLO</v>
          </cell>
          <cell r="H741" t="str">
            <v>GRAN VIALE</v>
          </cell>
          <cell r="I741">
            <v>2020</v>
          </cell>
          <cell r="J741" t="str">
            <v>C</v>
          </cell>
          <cell r="K741" t="str">
            <v>Recoleta</v>
          </cell>
          <cell r="N741" t="str">
            <v>C</v>
          </cell>
        </row>
        <row r="742">
          <cell r="B742" t="str">
            <v/>
          </cell>
          <cell r="C742" t="str">
            <v>YV3T7U521LA201142</v>
          </cell>
          <cell r="D742">
            <v>507102</v>
          </cell>
          <cell r="E742" t="str">
            <v>VOLVO</v>
          </cell>
          <cell r="F742" t="str">
            <v>B8RLEA</v>
          </cell>
          <cell r="G742" t="str">
            <v>MARCOPOLO</v>
          </cell>
          <cell r="H742" t="str">
            <v>GRAN VIALE</v>
          </cell>
          <cell r="I742">
            <v>2020</v>
          </cell>
          <cell r="J742" t="str">
            <v>C</v>
          </cell>
          <cell r="K742" t="str">
            <v>Recoleta</v>
          </cell>
          <cell r="N742" t="str">
            <v>C</v>
          </cell>
        </row>
        <row r="743">
          <cell r="B743" t="str">
            <v/>
          </cell>
          <cell r="C743" t="str">
            <v>YV3T7U52XLA201141</v>
          </cell>
          <cell r="D743">
            <v>507075</v>
          </cell>
          <cell r="E743" t="str">
            <v>VOLVO</v>
          </cell>
          <cell r="F743" t="str">
            <v>B8RLEA</v>
          </cell>
          <cell r="G743" t="str">
            <v>MARCOPOLO</v>
          </cell>
          <cell r="H743" t="str">
            <v>GRAN VIALE</v>
          </cell>
          <cell r="I743">
            <v>2020</v>
          </cell>
          <cell r="J743" t="str">
            <v>C</v>
          </cell>
          <cell r="K743" t="str">
            <v>Recoleta</v>
          </cell>
          <cell r="N743" t="str">
            <v>C</v>
          </cell>
        </row>
        <row r="744">
          <cell r="B744" t="str">
            <v/>
          </cell>
          <cell r="C744" t="str">
            <v>YV3T7U526LA201153</v>
          </cell>
          <cell r="D744">
            <v>507106</v>
          </cell>
          <cell r="E744" t="str">
            <v>VOLVO</v>
          </cell>
          <cell r="F744" t="str">
            <v>B8RLEA</v>
          </cell>
          <cell r="G744" t="str">
            <v>MARCOPOLO</v>
          </cell>
          <cell r="H744" t="str">
            <v>GRAN VIALE</v>
          </cell>
          <cell r="I744">
            <v>2020</v>
          </cell>
          <cell r="J744" t="str">
            <v>C</v>
          </cell>
          <cell r="K744" t="str">
            <v>Recoleta</v>
          </cell>
          <cell r="N744" t="str">
            <v>C</v>
          </cell>
        </row>
        <row r="745">
          <cell r="B745" t="str">
            <v/>
          </cell>
          <cell r="C745" t="str">
            <v>YV3T7U529LA201034</v>
          </cell>
          <cell r="D745">
            <v>506644</v>
          </cell>
          <cell r="E745" t="str">
            <v>VOLVO</v>
          </cell>
          <cell r="F745" t="str">
            <v>B8RLEA</v>
          </cell>
          <cell r="G745" t="str">
            <v>MARCOPOLO</v>
          </cell>
          <cell r="H745" t="str">
            <v>GRAN VIALE</v>
          </cell>
          <cell r="I745">
            <v>2020</v>
          </cell>
          <cell r="J745" t="str">
            <v>C</v>
          </cell>
          <cell r="K745" t="str">
            <v>Recoleta</v>
          </cell>
          <cell r="N745" t="str">
            <v>C</v>
          </cell>
        </row>
        <row r="746">
          <cell r="B746" t="str">
            <v/>
          </cell>
          <cell r="C746" t="str">
            <v>YV3T7U523LA201045</v>
          </cell>
          <cell r="D746">
            <v>506671</v>
          </cell>
          <cell r="E746" t="str">
            <v>VOLVO</v>
          </cell>
          <cell r="F746" t="str">
            <v>B8RLEA</v>
          </cell>
          <cell r="G746" t="str">
            <v>MARCOPOLO</v>
          </cell>
          <cell r="H746" t="str">
            <v>GRAN VIALE</v>
          </cell>
          <cell r="I746">
            <v>2020</v>
          </cell>
          <cell r="J746" t="str">
            <v>C</v>
          </cell>
          <cell r="K746" t="str">
            <v>Recoleta</v>
          </cell>
          <cell r="N746" t="str">
            <v>C</v>
          </cell>
        </row>
        <row r="747">
          <cell r="B747" t="str">
            <v/>
          </cell>
          <cell r="C747" t="str">
            <v>YV3T7U52XLA201074</v>
          </cell>
          <cell r="D747">
            <v>507033</v>
          </cell>
          <cell r="E747" t="str">
            <v>VOLVO</v>
          </cell>
          <cell r="F747" t="str">
            <v>B8RLEA</v>
          </cell>
          <cell r="G747" t="str">
            <v>MARCOPOLO</v>
          </cell>
          <cell r="H747" t="str">
            <v>GRAN VIALE</v>
          </cell>
          <cell r="I747">
            <v>2020</v>
          </cell>
          <cell r="J747" t="str">
            <v>C</v>
          </cell>
          <cell r="K747" t="str">
            <v>Recoleta</v>
          </cell>
          <cell r="N747" t="str">
            <v>C</v>
          </cell>
        </row>
        <row r="748">
          <cell r="B748" t="str">
            <v/>
          </cell>
          <cell r="C748" t="str">
            <v>YV3T7U526LA201072</v>
          </cell>
          <cell r="D748">
            <v>506988</v>
          </cell>
          <cell r="E748" t="str">
            <v>VOLVO</v>
          </cell>
          <cell r="F748" t="str">
            <v>B8RLEA</v>
          </cell>
          <cell r="G748" t="str">
            <v>MARCOPOLO</v>
          </cell>
          <cell r="H748" t="str">
            <v>GRAN VIALE</v>
          </cell>
          <cell r="I748">
            <v>2020</v>
          </cell>
          <cell r="J748" t="str">
            <v>C</v>
          </cell>
          <cell r="K748" t="str">
            <v>Recoleta</v>
          </cell>
          <cell r="N748" t="str">
            <v>C</v>
          </cell>
        </row>
        <row r="749">
          <cell r="B749" t="str">
            <v/>
          </cell>
          <cell r="C749" t="str">
            <v>YV3T7U520LA201181</v>
          </cell>
          <cell r="D749">
            <v>506841</v>
          </cell>
          <cell r="E749" t="str">
            <v>VOLVO</v>
          </cell>
          <cell r="F749" t="str">
            <v>B8RLEA</v>
          </cell>
          <cell r="G749" t="str">
            <v>MARCOPOLO</v>
          </cell>
          <cell r="H749" t="str">
            <v>GRAN VIALE</v>
          </cell>
          <cell r="I749">
            <v>2020</v>
          </cell>
          <cell r="J749" t="str">
            <v>C</v>
          </cell>
          <cell r="K749" t="str">
            <v>Santa Rosa</v>
          </cell>
          <cell r="N749" t="str">
            <v>C</v>
          </cell>
        </row>
        <row r="750">
          <cell r="B750" t="str">
            <v/>
          </cell>
          <cell r="C750" t="str">
            <v>YV3T7U522LA201098</v>
          </cell>
          <cell r="D750">
            <v>507058</v>
          </cell>
          <cell r="E750" t="str">
            <v>VOLVO</v>
          </cell>
          <cell r="F750" t="str">
            <v>B8RLEA</v>
          </cell>
          <cell r="G750" t="str">
            <v>MARCOPOLO</v>
          </cell>
          <cell r="H750" t="str">
            <v>GRAN VIALE</v>
          </cell>
          <cell r="I750">
            <v>2020</v>
          </cell>
          <cell r="J750" t="str">
            <v>C</v>
          </cell>
          <cell r="K750" t="str">
            <v>Recoleta</v>
          </cell>
          <cell r="N750" t="str">
            <v>C</v>
          </cell>
        </row>
        <row r="751">
          <cell r="B751" t="str">
            <v/>
          </cell>
          <cell r="C751" t="str">
            <v>YV3T7U52XLA201060</v>
          </cell>
          <cell r="D751">
            <v>506731</v>
          </cell>
          <cell r="E751" t="str">
            <v>VOLVO</v>
          </cell>
          <cell r="F751" t="str">
            <v>B8RLEA</v>
          </cell>
          <cell r="G751" t="str">
            <v>MARCOPOLO</v>
          </cell>
          <cell r="H751" t="str">
            <v>GRAN VIALE</v>
          </cell>
          <cell r="I751">
            <v>2020</v>
          </cell>
          <cell r="J751" t="str">
            <v>C</v>
          </cell>
          <cell r="K751" t="str">
            <v>Santa Rosa</v>
          </cell>
          <cell r="N751" t="str">
            <v>C</v>
          </cell>
        </row>
        <row r="752">
          <cell r="B752" t="str">
            <v/>
          </cell>
          <cell r="C752" t="str">
            <v>YV3T7U523LA201143</v>
          </cell>
          <cell r="D752">
            <v>507121</v>
          </cell>
          <cell r="E752" t="str">
            <v>VOLVO</v>
          </cell>
          <cell r="F752" t="str">
            <v>B8RLEA</v>
          </cell>
          <cell r="G752" t="str">
            <v>MARCOPOLO</v>
          </cell>
          <cell r="H752" t="str">
            <v>GRAN VIALE</v>
          </cell>
          <cell r="I752">
            <v>2020</v>
          </cell>
          <cell r="J752" t="str">
            <v>C</v>
          </cell>
          <cell r="K752" t="str">
            <v>Recoleta</v>
          </cell>
          <cell r="N752" t="str">
            <v>C</v>
          </cell>
        </row>
        <row r="753">
          <cell r="B753" t="str">
            <v/>
          </cell>
          <cell r="C753" t="str">
            <v>YV3T7U52XLA201169</v>
          </cell>
          <cell r="D753">
            <v>507144</v>
          </cell>
          <cell r="E753" t="str">
            <v>VOLVO</v>
          </cell>
          <cell r="F753" t="str">
            <v>B8RLEA</v>
          </cell>
          <cell r="G753" t="str">
            <v>MARCOPOLO</v>
          </cell>
          <cell r="H753" t="str">
            <v>GRAN VIALE</v>
          </cell>
          <cell r="I753">
            <v>2020</v>
          </cell>
          <cell r="J753" t="str">
            <v>C</v>
          </cell>
          <cell r="K753" t="str">
            <v>Santa Rosa</v>
          </cell>
          <cell r="N753" t="str">
            <v>C</v>
          </cell>
        </row>
        <row r="754">
          <cell r="B754" t="str">
            <v/>
          </cell>
          <cell r="C754" t="str">
            <v>YV3T7U524LA201099</v>
          </cell>
          <cell r="D754">
            <v>507047</v>
          </cell>
          <cell r="E754" t="str">
            <v>VOLVO</v>
          </cell>
          <cell r="F754" t="str">
            <v>B8RLEA</v>
          </cell>
          <cell r="G754" t="str">
            <v>MARCOPOLO</v>
          </cell>
          <cell r="H754" t="str">
            <v>GRAN VIALE</v>
          </cell>
          <cell r="I754">
            <v>2020</v>
          </cell>
          <cell r="J754" t="str">
            <v>C</v>
          </cell>
          <cell r="K754" t="str">
            <v>Recoleta</v>
          </cell>
          <cell r="N754" t="str">
            <v>C</v>
          </cell>
        </row>
        <row r="755">
          <cell r="B755" t="str">
            <v/>
          </cell>
          <cell r="C755" t="str">
            <v>YV3T7U52XLA201270</v>
          </cell>
          <cell r="D755">
            <v>507680</v>
          </cell>
          <cell r="E755" t="str">
            <v>VOLVO</v>
          </cell>
          <cell r="F755" t="str">
            <v>B8RLEA</v>
          </cell>
          <cell r="G755" t="str">
            <v>MARCOPOLO</v>
          </cell>
          <cell r="H755" t="str">
            <v>GRAN VIALE</v>
          </cell>
          <cell r="I755">
            <v>2020</v>
          </cell>
          <cell r="J755" t="str">
            <v>C</v>
          </cell>
          <cell r="K755" t="str">
            <v>Santa Rosa</v>
          </cell>
          <cell r="N755" t="str">
            <v>C</v>
          </cell>
        </row>
        <row r="756">
          <cell r="B756" t="str">
            <v/>
          </cell>
          <cell r="C756" t="str">
            <v>YV3T7U521LA201061</v>
          </cell>
          <cell r="D756">
            <v>506696</v>
          </cell>
          <cell r="E756" t="str">
            <v>VOLVO</v>
          </cell>
          <cell r="F756" t="str">
            <v>B8RLEA</v>
          </cell>
          <cell r="G756" t="str">
            <v>MARCOPOLO</v>
          </cell>
          <cell r="H756" t="str">
            <v>GRAN VIALE</v>
          </cell>
          <cell r="I756">
            <v>2020</v>
          </cell>
          <cell r="J756" t="str">
            <v>C</v>
          </cell>
          <cell r="K756" t="str">
            <v>Recoleta</v>
          </cell>
          <cell r="N756" t="str">
            <v>C</v>
          </cell>
        </row>
        <row r="757">
          <cell r="B757" t="str">
            <v/>
          </cell>
          <cell r="C757" t="str">
            <v>YV3T7U526LA201184</v>
          </cell>
          <cell r="D757">
            <v>506823</v>
          </cell>
          <cell r="E757" t="str">
            <v>VOLVO</v>
          </cell>
          <cell r="F757" t="str">
            <v>B8RLEA</v>
          </cell>
          <cell r="G757" t="str">
            <v>MARCOPOLO</v>
          </cell>
          <cell r="H757" t="str">
            <v>GRAN VIALE</v>
          </cell>
          <cell r="I757">
            <v>2020</v>
          </cell>
          <cell r="J757" t="str">
            <v>C</v>
          </cell>
          <cell r="K757" t="str">
            <v>Santa Rosa</v>
          </cell>
          <cell r="N757" t="str">
            <v>C</v>
          </cell>
        </row>
        <row r="758">
          <cell r="B758" t="str">
            <v/>
          </cell>
          <cell r="C758" t="str">
            <v>YV3T7U524LA201183</v>
          </cell>
          <cell r="D758">
            <v>506866</v>
          </cell>
          <cell r="E758" t="str">
            <v>VOLVO</v>
          </cell>
          <cell r="F758" t="str">
            <v>B8RLEA</v>
          </cell>
          <cell r="G758" t="str">
            <v>MARCOPOLO</v>
          </cell>
          <cell r="H758" t="str">
            <v>GRAN VIALE</v>
          </cell>
          <cell r="I758">
            <v>2020</v>
          </cell>
          <cell r="J758" t="str">
            <v>C</v>
          </cell>
          <cell r="K758" t="str">
            <v>Santa Rosa</v>
          </cell>
          <cell r="N758" t="str">
            <v>C</v>
          </cell>
        </row>
        <row r="759">
          <cell r="B759" t="str">
            <v/>
          </cell>
          <cell r="C759" t="str">
            <v>YV3T7U523LA201157</v>
          </cell>
          <cell r="D759">
            <v>507134</v>
          </cell>
          <cell r="E759" t="str">
            <v>VOLVO</v>
          </cell>
          <cell r="F759" t="str">
            <v>B8RLEA</v>
          </cell>
          <cell r="G759" t="str">
            <v>MARCOPOLO</v>
          </cell>
          <cell r="H759" t="str">
            <v>GRAN VIALE</v>
          </cell>
          <cell r="I759">
            <v>2020</v>
          </cell>
          <cell r="J759" t="str">
            <v>C</v>
          </cell>
          <cell r="K759" t="str">
            <v>Santa Rosa</v>
          </cell>
          <cell r="N759" t="str">
            <v>C</v>
          </cell>
        </row>
        <row r="760">
          <cell r="B760" t="str">
            <v/>
          </cell>
          <cell r="C760" t="str">
            <v>YV3T7U526LA201170</v>
          </cell>
          <cell r="D760">
            <v>507160</v>
          </cell>
          <cell r="E760" t="str">
            <v>VOLVO</v>
          </cell>
          <cell r="F760" t="str">
            <v>B8RLEA</v>
          </cell>
          <cell r="G760" t="str">
            <v>MARCOPOLO</v>
          </cell>
          <cell r="H760" t="str">
            <v>GRAN VIALE</v>
          </cell>
          <cell r="I760">
            <v>2020</v>
          </cell>
          <cell r="J760" t="str">
            <v>C</v>
          </cell>
          <cell r="K760" t="str">
            <v>Santa Rosa</v>
          </cell>
          <cell r="N760" t="str">
            <v>C</v>
          </cell>
        </row>
        <row r="761">
          <cell r="B761" t="str">
            <v/>
          </cell>
          <cell r="C761" t="str">
            <v>YV3T7U528LA201140</v>
          </cell>
          <cell r="D761">
            <v>507108</v>
          </cell>
          <cell r="E761" t="str">
            <v>VOLVO</v>
          </cell>
          <cell r="F761" t="str">
            <v>B8RLEA</v>
          </cell>
          <cell r="G761" t="str">
            <v>MARCOPOLO</v>
          </cell>
          <cell r="H761" t="str">
            <v>GRAN VIALE</v>
          </cell>
          <cell r="I761">
            <v>2020</v>
          </cell>
          <cell r="J761" t="str">
            <v>C</v>
          </cell>
          <cell r="K761" t="str">
            <v>Santa Rosa</v>
          </cell>
          <cell r="N761" t="str">
            <v>C</v>
          </cell>
        </row>
        <row r="762">
          <cell r="B762" t="str">
            <v/>
          </cell>
          <cell r="C762" t="str">
            <v>YV3T7U521LA201075</v>
          </cell>
          <cell r="D762">
            <v>507057</v>
          </cell>
          <cell r="E762" t="str">
            <v>VOLVO</v>
          </cell>
          <cell r="F762" t="str">
            <v>B8RLEA</v>
          </cell>
          <cell r="G762" t="str">
            <v>MARCOPOLO</v>
          </cell>
          <cell r="H762" t="str">
            <v>GRAN VIALE</v>
          </cell>
          <cell r="I762">
            <v>2020</v>
          </cell>
          <cell r="J762" t="str">
            <v>C</v>
          </cell>
          <cell r="K762" t="str">
            <v>Recoleta</v>
          </cell>
          <cell r="N762" t="str">
            <v>C</v>
          </cell>
        </row>
        <row r="763">
          <cell r="B763" t="str">
            <v/>
          </cell>
          <cell r="C763" t="str">
            <v>YV3T7U529LA201101</v>
          </cell>
          <cell r="D763">
            <v>507062</v>
          </cell>
          <cell r="E763" t="str">
            <v>VOLVO</v>
          </cell>
          <cell r="F763" t="str">
            <v>B8RLEA</v>
          </cell>
          <cell r="G763" t="str">
            <v>MARCOPOLO</v>
          </cell>
          <cell r="H763" t="str">
            <v>GRAN VIALE</v>
          </cell>
          <cell r="I763">
            <v>2020</v>
          </cell>
          <cell r="J763" t="str">
            <v>C</v>
          </cell>
          <cell r="K763" t="str">
            <v>Recoleta</v>
          </cell>
          <cell r="N763" t="str">
            <v>C</v>
          </cell>
        </row>
        <row r="764">
          <cell r="B764" t="str">
            <v/>
          </cell>
          <cell r="C764" t="str">
            <v>YV3T7U526LA201850</v>
          </cell>
          <cell r="D764">
            <v>507971</v>
          </cell>
          <cell r="E764" t="str">
            <v>VOLVO</v>
          </cell>
          <cell r="F764" t="str">
            <v>B8RLEA</v>
          </cell>
          <cell r="G764" t="str">
            <v>MARCOPOLO</v>
          </cell>
          <cell r="H764" t="str">
            <v>GRAN VIALE</v>
          </cell>
          <cell r="I764">
            <v>2020</v>
          </cell>
          <cell r="J764" t="str">
            <v>C</v>
          </cell>
          <cell r="K764" t="str">
            <v>Santa Rosa</v>
          </cell>
          <cell r="N764" t="str">
            <v>C</v>
          </cell>
        </row>
        <row r="765">
          <cell r="B765" t="str">
            <v/>
          </cell>
          <cell r="C765" t="str">
            <v>YV3T7U527LA201713</v>
          </cell>
          <cell r="D765">
            <v>508481</v>
          </cell>
          <cell r="E765" t="str">
            <v>VOLVO</v>
          </cell>
          <cell r="F765" t="str">
            <v>B8RLEA</v>
          </cell>
          <cell r="G765" t="str">
            <v>MARCOPOLO</v>
          </cell>
          <cell r="H765" t="str">
            <v>GRAN VIALE</v>
          </cell>
          <cell r="I765">
            <v>2020</v>
          </cell>
          <cell r="J765" t="str">
            <v>C</v>
          </cell>
          <cell r="K765" t="str">
            <v>Recoleta</v>
          </cell>
          <cell r="N765" t="str">
            <v>C</v>
          </cell>
        </row>
        <row r="766">
          <cell r="B766" t="str">
            <v/>
          </cell>
          <cell r="C766" t="str">
            <v>YV3T7U524LA201801</v>
          </cell>
          <cell r="D766">
            <v>509156</v>
          </cell>
          <cell r="E766" t="str">
            <v>VOLVO</v>
          </cell>
          <cell r="F766" t="str">
            <v>B8RLEA</v>
          </cell>
          <cell r="G766" t="str">
            <v>MARCOPOLO</v>
          </cell>
          <cell r="H766" t="str">
            <v>GRAN VIALE</v>
          </cell>
          <cell r="I766">
            <v>2020</v>
          </cell>
          <cell r="J766" t="str">
            <v>C</v>
          </cell>
          <cell r="K766" t="str">
            <v>Recoleta</v>
          </cell>
          <cell r="N766" t="str">
            <v>C</v>
          </cell>
        </row>
        <row r="767">
          <cell r="B767" t="str">
            <v/>
          </cell>
          <cell r="C767" t="str">
            <v>YV3T7U529LA201812</v>
          </cell>
          <cell r="D767">
            <v>509224</v>
          </cell>
          <cell r="E767" t="str">
            <v>VOLVO</v>
          </cell>
          <cell r="F767" t="str">
            <v>B8RLEA</v>
          </cell>
          <cell r="G767" t="str">
            <v>MARCOPOLO</v>
          </cell>
          <cell r="H767" t="str">
            <v>GRAN VIALE</v>
          </cell>
          <cell r="I767">
            <v>2020</v>
          </cell>
          <cell r="J767" t="str">
            <v>C</v>
          </cell>
          <cell r="K767" t="str">
            <v>Recoleta</v>
          </cell>
          <cell r="N767" t="str">
            <v>C</v>
          </cell>
        </row>
        <row r="768">
          <cell r="B768" t="str">
            <v/>
          </cell>
          <cell r="C768" t="str">
            <v>YV3T7U520LA201813</v>
          </cell>
          <cell r="D768">
            <v>509231</v>
          </cell>
          <cell r="E768" t="str">
            <v>VOLVO</v>
          </cell>
          <cell r="F768" t="str">
            <v>B8RLEA</v>
          </cell>
          <cell r="G768" t="str">
            <v>MARCOPOLO</v>
          </cell>
          <cell r="H768" t="str">
            <v>GRAN VIALE</v>
          </cell>
          <cell r="I768">
            <v>2020</v>
          </cell>
          <cell r="J768" t="str">
            <v>C</v>
          </cell>
          <cell r="K768" t="str">
            <v>Santa Rosa</v>
          </cell>
          <cell r="N768" t="str">
            <v>C</v>
          </cell>
        </row>
        <row r="769">
          <cell r="B769" t="str">
            <v/>
          </cell>
          <cell r="C769" t="str">
            <v>YV3T7U522LA201814</v>
          </cell>
          <cell r="D769">
            <v>509235</v>
          </cell>
          <cell r="E769" t="str">
            <v>VOLVO</v>
          </cell>
          <cell r="F769" t="str">
            <v>B8RLEA</v>
          </cell>
          <cell r="G769" t="str">
            <v>MARCOPOLO</v>
          </cell>
          <cell r="H769" t="str">
            <v>GRAN VIALE</v>
          </cell>
          <cell r="I769">
            <v>2020</v>
          </cell>
          <cell r="J769" t="str">
            <v>C</v>
          </cell>
          <cell r="K769" t="str">
            <v>Recoleta</v>
          </cell>
          <cell r="N769" t="str">
            <v>C</v>
          </cell>
        </row>
        <row r="770">
          <cell r="B770" t="str">
            <v/>
          </cell>
          <cell r="C770" t="str">
            <v>YV3T7U52XLA201849</v>
          </cell>
          <cell r="D770">
            <v>507983</v>
          </cell>
          <cell r="E770" t="str">
            <v>VOLVO</v>
          </cell>
          <cell r="F770" t="str">
            <v>B8RLEA</v>
          </cell>
          <cell r="G770" t="str">
            <v>MARCOPOLO</v>
          </cell>
          <cell r="H770" t="str">
            <v>GRAN VIALE</v>
          </cell>
          <cell r="I770">
            <v>2020</v>
          </cell>
          <cell r="J770" t="str">
            <v>C</v>
          </cell>
          <cell r="K770" t="str">
            <v>Santa Rosa</v>
          </cell>
          <cell r="N770" t="str">
            <v>C</v>
          </cell>
        </row>
        <row r="771">
          <cell r="B771" t="str">
            <v/>
          </cell>
          <cell r="C771" t="str">
            <v>YV3T7U527LA201811</v>
          </cell>
          <cell r="D771">
            <v>509204</v>
          </cell>
          <cell r="E771" t="str">
            <v>VOLVO</v>
          </cell>
          <cell r="F771" t="str">
            <v>B8RLEA</v>
          </cell>
          <cell r="G771" t="str">
            <v>MARCOPOLO</v>
          </cell>
          <cell r="H771" t="str">
            <v>GRAN VIALE</v>
          </cell>
          <cell r="I771">
            <v>2020</v>
          </cell>
          <cell r="J771" t="str">
            <v>C</v>
          </cell>
          <cell r="K771" t="str">
            <v>Recoleta</v>
          </cell>
          <cell r="N771" t="str">
            <v>C</v>
          </cell>
        </row>
        <row r="772">
          <cell r="B772" t="str">
            <v/>
          </cell>
          <cell r="C772" t="str">
            <v>YV3T7U526LA201475</v>
          </cell>
          <cell r="D772">
            <v>507876</v>
          </cell>
          <cell r="E772" t="str">
            <v>VOLVO</v>
          </cell>
          <cell r="F772" t="str">
            <v>B8RLEA</v>
          </cell>
          <cell r="G772" t="str">
            <v>MARCOPOLO</v>
          </cell>
          <cell r="H772" t="str">
            <v>GRAN VIALE</v>
          </cell>
          <cell r="I772">
            <v>2020</v>
          </cell>
          <cell r="J772" t="str">
            <v>C</v>
          </cell>
          <cell r="K772" t="str">
            <v>Santa Rosa</v>
          </cell>
          <cell r="N772" t="str">
            <v>C</v>
          </cell>
        </row>
        <row r="773">
          <cell r="B773" t="str">
            <v/>
          </cell>
          <cell r="C773" t="str">
            <v>YV3T7U525LA201404</v>
          </cell>
          <cell r="D773">
            <v>507532</v>
          </cell>
          <cell r="E773" t="str">
            <v>VOLVO</v>
          </cell>
          <cell r="F773" t="str">
            <v>B8RLEA</v>
          </cell>
          <cell r="G773" t="str">
            <v>MARCOPOLO</v>
          </cell>
          <cell r="H773" t="str">
            <v>GRAN VIALE</v>
          </cell>
          <cell r="I773">
            <v>2020</v>
          </cell>
          <cell r="J773" t="str">
            <v>C</v>
          </cell>
          <cell r="K773" t="str">
            <v>Santa Rosa</v>
          </cell>
          <cell r="N773" t="str">
            <v>C</v>
          </cell>
        </row>
        <row r="774">
          <cell r="B774" t="str">
            <v/>
          </cell>
          <cell r="C774" t="str">
            <v>YV3T7U524LA201460</v>
          </cell>
          <cell r="D774">
            <v>508062</v>
          </cell>
          <cell r="E774" t="str">
            <v>VOLVO</v>
          </cell>
          <cell r="F774" t="str">
            <v>B8RLEA</v>
          </cell>
          <cell r="G774" t="str">
            <v>MARCOPOLO</v>
          </cell>
          <cell r="H774" t="str">
            <v>GRAN VIALE</v>
          </cell>
          <cell r="I774">
            <v>2020</v>
          </cell>
          <cell r="J774" t="str">
            <v>C</v>
          </cell>
          <cell r="K774" t="str">
            <v>Santa Rosa</v>
          </cell>
          <cell r="N774" t="str">
            <v>C</v>
          </cell>
        </row>
        <row r="775">
          <cell r="B775" t="str">
            <v/>
          </cell>
          <cell r="C775" t="str">
            <v>YV3T7U526LA201346</v>
          </cell>
          <cell r="D775">
            <v>507705</v>
          </cell>
          <cell r="E775" t="str">
            <v>VOLVO</v>
          </cell>
          <cell r="F775" t="str">
            <v>B8RLEA</v>
          </cell>
          <cell r="G775" t="str">
            <v>MARCOPOLO</v>
          </cell>
          <cell r="H775" t="str">
            <v>GRAN VIALE</v>
          </cell>
          <cell r="I775">
            <v>2020</v>
          </cell>
          <cell r="J775" t="str">
            <v>C</v>
          </cell>
          <cell r="K775" t="str">
            <v>Santa Rosa</v>
          </cell>
          <cell r="N775" t="str">
            <v>C</v>
          </cell>
        </row>
        <row r="776">
          <cell r="B776" t="str">
            <v/>
          </cell>
          <cell r="C776" t="str">
            <v>YV3T7U520LA201388</v>
          </cell>
          <cell r="D776">
            <v>507636</v>
          </cell>
          <cell r="E776" t="str">
            <v>VOLVO</v>
          </cell>
          <cell r="F776" t="str">
            <v>B8RLEA</v>
          </cell>
          <cell r="G776" t="str">
            <v>MARCOPOLO</v>
          </cell>
          <cell r="H776" t="str">
            <v>GRAN VIALE</v>
          </cell>
          <cell r="I776">
            <v>2020</v>
          </cell>
          <cell r="J776" t="str">
            <v>C</v>
          </cell>
          <cell r="K776" t="str">
            <v>Santa Rosa</v>
          </cell>
          <cell r="N776" t="str">
            <v>C</v>
          </cell>
        </row>
        <row r="777">
          <cell r="B777" t="str">
            <v/>
          </cell>
          <cell r="C777" t="str">
            <v>YV3T7U528LA201459</v>
          </cell>
          <cell r="D777">
            <v>508054</v>
          </cell>
          <cell r="E777" t="str">
            <v>VOLVO</v>
          </cell>
          <cell r="F777" t="str">
            <v>B8RLEA</v>
          </cell>
          <cell r="G777" t="str">
            <v>MARCOPOLO</v>
          </cell>
          <cell r="H777" t="str">
            <v>GRAN VIALE</v>
          </cell>
          <cell r="I777">
            <v>2020</v>
          </cell>
          <cell r="J777" t="str">
            <v>C</v>
          </cell>
          <cell r="K777" t="str">
            <v>Santa Rosa</v>
          </cell>
          <cell r="N777" t="str">
            <v>C</v>
          </cell>
        </row>
        <row r="778">
          <cell r="B778" t="str">
            <v/>
          </cell>
          <cell r="C778" t="str">
            <v>YV3T7U522LA201456</v>
          </cell>
          <cell r="D778">
            <v>508070</v>
          </cell>
          <cell r="E778" t="str">
            <v>VOLVO</v>
          </cell>
          <cell r="F778" t="str">
            <v>B8RLEA</v>
          </cell>
          <cell r="G778" t="str">
            <v>MARCOPOLO</v>
          </cell>
          <cell r="H778" t="str">
            <v>GRAN VIALE</v>
          </cell>
          <cell r="I778">
            <v>2020</v>
          </cell>
          <cell r="J778" t="str">
            <v>C</v>
          </cell>
          <cell r="K778" t="str">
            <v>Santa Rosa</v>
          </cell>
          <cell r="N778" t="str">
            <v>C</v>
          </cell>
        </row>
        <row r="779">
          <cell r="B779" t="str">
            <v/>
          </cell>
          <cell r="C779" t="str">
            <v>YV3T7U522LA201408</v>
          </cell>
          <cell r="D779">
            <v>507800</v>
          </cell>
          <cell r="E779" t="str">
            <v>VOLVO</v>
          </cell>
          <cell r="F779" t="str">
            <v>B8RLEA</v>
          </cell>
          <cell r="G779" t="str">
            <v>MARCOPOLO</v>
          </cell>
          <cell r="H779" t="str">
            <v>GRAN VIALE</v>
          </cell>
          <cell r="I779">
            <v>2020</v>
          </cell>
          <cell r="J779" t="str">
            <v>C</v>
          </cell>
          <cell r="K779" t="str">
            <v>Santa Rosa</v>
          </cell>
          <cell r="N779" t="str">
            <v>C</v>
          </cell>
        </row>
        <row r="780">
          <cell r="B780" t="str">
            <v/>
          </cell>
          <cell r="C780" t="str">
            <v>YV3T7U520LA201472</v>
          </cell>
          <cell r="D780">
            <v>508092</v>
          </cell>
          <cell r="E780" t="str">
            <v>VOLVO</v>
          </cell>
          <cell r="F780" t="str">
            <v>B8RLEA</v>
          </cell>
          <cell r="G780" t="str">
            <v>MARCOPOLO</v>
          </cell>
          <cell r="H780" t="str">
            <v>GRAN VIALE</v>
          </cell>
          <cell r="I780">
            <v>2020</v>
          </cell>
          <cell r="J780" t="str">
            <v>C</v>
          </cell>
          <cell r="K780" t="str">
            <v>Santa Rosa</v>
          </cell>
          <cell r="N780" t="str">
            <v>C</v>
          </cell>
        </row>
        <row r="781">
          <cell r="B781" t="str">
            <v/>
          </cell>
          <cell r="C781" t="str">
            <v>YV3T7U524LA201474</v>
          </cell>
          <cell r="D781">
            <v>507827</v>
          </cell>
          <cell r="E781" t="str">
            <v>VOLVO</v>
          </cell>
          <cell r="F781" t="str">
            <v>B8RLEA</v>
          </cell>
          <cell r="G781" t="str">
            <v>MARCOPOLO</v>
          </cell>
          <cell r="H781" t="str">
            <v>GRAN VIALE</v>
          </cell>
          <cell r="I781">
            <v>2020</v>
          </cell>
          <cell r="J781" t="str">
            <v>C</v>
          </cell>
          <cell r="K781" t="str">
            <v>Santa Rosa</v>
          </cell>
          <cell r="N781" t="str">
            <v>C</v>
          </cell>
        </row>
        <row r="782">
          <cell r="B782" t="str">
            <v/>
          </cell>
          <cell r="C782" t="str">
            <v>YV3T7U526LA201458</v>
          </cell>
          <cell r="D782">
            <v>508067</v>
          </cell>
          <cell r="E782" t="str">
            <v>VOLVO</v>
          </cell>
          <cell r="F782" t="str">
            <v>B8RLEA</v>
          </cell>
          <cell r="G782" t="str">
            <v>MARCOPOLO</v>
          </cell>
          <cell r="H782" t="str">
            <v>GRAN VIALE</v>
          </cell>
          <cell r="I782">
            <v>2020</v>
          </cell>
          <cell r="J782" t="str">
            <v>C</v>
          </cell>
          <cell r="K782" t="str">
            <v>Santa Rosa</v>
          </cell>
          <cell r="N782" t="str">
            <v>C</v>
          </cell>
        </row>
        <row r="783">
          <cell r="B783" t="str">
            <v/>
          </cell>
          <cell r="C783" t="str">
            <v>YV3T7U522LA201473</v>
          </cell>
          <cell r="D783">
            <v>507830</v>
          </cell>
          <cell r="E783" t="str">
            <v>VOLVO</v>
          </cell>
          <cell r="F783" t="str">
            <v>B8RLEA</v>
          </cell>
          <cell r="G783" t="str">
            <v>MARCOPOLO</v>
          </cell>
          <cell r="H783" t="str">
            <v>GRAN VIALE</v>
          </cell>
          <cell r="I783">
            <v>2020</v>
          </cell>
          <cell r="J783" t="str">
            <v>C</v>
          </cell>
          <cell r="K783" t="str">
            <v>Santa Rosa</v>
          </cell>
          <cell r="N783" t="str">
            <v>C</v>
          </cell>
        </row>
        <row r="784">
          <cell r="B784" t="str">
            <v/>
          </cell>
          <cell r="C784" t="str">
            <v>YV3T7U521LA201495</v>
          </cell>
          <cell r="D784">
            <v>507813</v>
          </cell>
          <cell r="E784" t="str">
            <v>VOLVO</v>
          </cell>
          <cell r="F784" t="str">
            <v>B8RLEA</v>
          </cell>
          <cell r="G784" t="str">
            <v>MARCOPOLO</v>
          </cell>
          <cell r="H784" t="str">
            <v>GRAN VIALE</v>
          </cell>
          <cell r="I784">
            <v>2020</v>
          </cell>
          <cell r="J784" t="str">
            <v>C</v>
          </cell>
          <cell r="K784" t="str">
            <v>Santa Rosa</v>
          </cell>
          <cell r="N784" t="str">
            <v>C</v>
          </cell>
        </row>
        <row r="785">
          <cell r="B785" t="str">
            <v/>
          </cell>
          <cell r="C785" t="str">
            <v>YV3T7U525LA201497</v>
          </cell>
          <cell r="D785">
            <v>507862</v>
          </cell>
          <cell r="E785" t="str">
            <v>VOLVO</v>
          </cell>
          <cell r="F785" t="str">
            <v>B8RLEA</v>
          </cell>
          <cell r="G785" t="str">
            <v>MARCOPOLO</v>
          </cell>
          <cell r="H785" t="str">
            <v>GRAN VIALE</v>
          </cell>
          <cell r="I785">
            <v>2020</v>
          </cell>
          <cell r="J785" t="str">
            <v>C</v>
          </cell>
          <cell r="K785" t="str">
            <v>Santa Rosa</v>
          </cell>
          <cell r="N785" t="str">
            <v>C</v>
          </cell>
        </row>
        <row r="786">
          <cell r="B786" t="str">
            <v/>
          </cell>
          <cell r="C786" t="str">
            <v>YV3T7U52XLA201320</v>
          </cell>
          <cell r="D786">
            <v>507688</v>
          </cell>
          <cell r="E786" t="str">
            <v>VOLVO</v>
          </cell>
          <cell r="F786" t="str">
            <v>B8RLEA</v>
          </cell>
          <cell r="G786" t="str">
            <v>MARCOPOLO</v>
          </cell>
          <cell r="H786" t="str">
            <v>GRAN VIALE</v>
          </cell>
          <cell r="I786">
            <v>2020</v>
          </cell>
          <cell r="J786" t="str">
            <v>C</v>
          </cell>
          <cell r="K786" t="str">
            <v>Santa Rosa</v>
          </cell>
          <cell r="N786" t="str">
            <v>C</v>
          </cell>
        </row>
        <row r="787">
          <cell r="B787" t="str">
            <v/>
          </cell>
          <cell r="C787" t="str">
            <v>YV3T7U521LA201402</v>
          </cell>
          <cell r="D787">
            <v>507514</v>
          </cell>
          <cell r="E787" t="str">
            <v>VOLVO</v>
          </cell>
          <cell r="F787" t="str">
            <v>B8RLEA</v>
          </cell>
          <cell r="G787" t="str">
            <v>MARCOPOLO</v>
          </cell>
          <cell r="H787" t="str">
            <v>GRAN VIALE</v>
          </cell>
          <cell r="I787">
            <v>2020</v>
          </cell>
          <cell r="J787" t="str">
            <v>C</v>
          </cell>
          <cell r="K787" t="str">
            <v>Santa Rosa</v>
          </cell>
          <cell r="N787" t="str">
            <v>C</v>
          </cell>
        </row>
        <row r="788">
          <cell r="B788" t="str">
            <v/>
          </cell>
          <cell r="C788" t="str">
            <v>YV3T7U526LA201461</v>
          </cell>
          <cell r="D788">
            <v>508059</v>
          </cell>
          <cell r="E788" t="str">
            <v>VOLVO</v>
          </cell>
          <cell r="F788" t="str">
            <v>B8RLEA</v>
          </cell>
          <cell r="G788" t="str">
            <v>MARCOPOLO</v>
          </cell>
          <cell r="H788" t="str">
            <v>GRAN VIALE</v>
          </cell>
          <cell r="I788">
            <v>2020</v>
          </cell>
          <cell r="J788" t="str">
            <v>C</v>
          </cell>
          <cell r="K788" t="str">
            <v>Santa Rosa</v>
          </cell>
          <cell r="N788" t="str">
            <v>C</v>
          </cell>
        </row>
        <row r="789">
          <cell r="B789" t="str">
            <v/>
          </cell>
          <cell r="C789" t="str">
            <v>YV3T7U522LA201392</v>
          </cell>
          <cell r="D789">
            <v>507493</v>
          </cell>
          <cell r="E789" t="str">
            <v>VOLVO</v>
          </cell>
          <cell r="F789" t="str">
            <v>B8RLEA</v>
          </cell>
          <cell r="G789" t="str">
            <v>MARCOPOLO</v>
          </cell>
          <cell r="H789" t="str">
            <v>GRAN VIALE</v>
          </cell>
          <cell r="I789">
            <v>2020</v>
          </cell>
          <cell r="J789" t="str">
            <v>C</v>
          </cell>
          <cell r="K789" t="str">
            <v>Santa Rosa</v>
          </cell>
          <cell r="N789" t="str">
            <v>C</v>
          </cell>
        </row>
        <row r="790">
          <cell r="B790" t="str">
            <v/>
          </cell>
          <cell r="C790" t="str">
            <v>YV3T7U524LA201457</v>
          </cell>
          <cell r="D790">
            <v>508050</v>
          </cell>
          <cell r="E790" t="str">
            <v>VOLVO</v>
          </cell>
          <cell r="F790" t="str">
            <v>B8RLEA</v>
          </cell>
          <cell r="G790" t="str">
            <v>MARCOPOLO</v>
          </cell>
          <cell r="H790" t="str">
            <v>GRAN VIALE</v>
          </cell>
          <cell r="I790">
            <v>2020</v>
          </cell>
          <cell r="J790" t="str">
            <v>C</v>
          </cell>
          <cell r="K790" t="str">
            <v>Santa Rosa</v>
          </cell>
          <cell r="N790" t="str">
            <v>C</v>
          </cell>
        </row>
        <row r="791">
          <cell r="B791" t="str">
            <v/>
          </cell>
          <cell r="C791" t="str">
            <v>YV3T7U522LA201389</v>
          </cell>
          <cell r="D791">
            <v>507531</v>
          </cell>
          <cell r="E791" t="str">
            <v>VOLVO</v>
          </cell>
          <cell r="F791" t="str">
            <v>B8RLEA</v>
          </cell>
          <cell r="G791" t="str">
            <v>MARCOPOLO</v>
          </cell>
          <cell r="H791" t="str">
            <v>GRAN VIALE</v>
          </cell>
          <cell r="I791">
            <v>2020</v>
          </cell>
          <cell r="J791" t="str">
            <v>C</v>
          </cell>
          <cell r="K791" t="str">
            <v>Santa Rosa</v>
          </cell>
          <cell r="N791" t="str">
            <v>C</v>
          </cell>
        </row>
        <row r="792">
          <cell r="B792" t="str">
            <v/>
          </cell>
          <cell r="C792" t="str">
            <v>YV3T7U524LA201345</v>
          </cell>
          <cell r="D792">
            <v>507748</v>
          </cell>
          <cell r="E792" t="str">
            <v>VOLVO</v>
          </cell>
          <cell r="F792" t="str">
            <v>B8RLEA</v>
          </cell>
          <cell r="G792" t="str">
            <v>MARCOPOLO</v>
          </cell>
          <cell r="H792" t="str">
            <v>GRAN VIALE</v>
          </cell>
          <cell r="I792">
            <v>2020</v>
          </cell>
          <cell r="J792" t="str">
            <v>C</v>
          </cell>
          <cell r="K792" t="str">
            <v>Santa Rosa</v>
          </cell>
          <cell r="N792" t="str">
            <v>C</v>
          </cell>
        </row>
        <row r="793">
          <cell r="B793" t="str">
            <v/>
          </cell>
          <cell r="C793" t="str">
            <v>YV3T7U529LA201471</v>
          </cell>
          <cell r="D793">
            <v>508084</v>
          </cell>
          <cell r="E793" t="str">
            <v>VOLVO</v>
          </cell>
          <cell r="F793" t="str">
            <v>B8RLEA</v>
          </cell>
          <cell r="G793" t="str">
            <v>MARCOPOLO</v>
          </cell>
          <cell r="H793" t="str">
            <v>GRAN VIALE</v>
          </cell>
          <cell r="I793">
            <v>2020</v>
          </cell>
          <cell r="J793" t="str">
            <v>C</v>
          </cell>
          <cell r="K793" t="str">
            <v>Santa Rosa</v>
          </cell>
          <cell r="N793" t="str">
            <v>C</v>
          </cell>
        </row>
        <row r="794">
          <cell r="B794" t="str">
            <v/>
          </cell>
          <cell r="C794" t="str">
            <v>YV3T7U529LA201406</v>
          </cell>
          <cell r="D794">
            <v>507795</v>
          </cell>
          <cell r="E794" t="str">
            <v>VOLVO</v>
          </cell>
          <cell r="F794" t="str">
            <v>B8RLEA</v>
          </cell>
          <cell r="G794" t="str">
            <v>MARCOPOLO</v>
          </cell>
          <cell r="H794" t="str">
            <v>GRAN VIALE</v>
          </cell>
          <cell r="I794">
            <v>2020</v>
          </cell>
          <cell r="J794" t="str">
            <v>C</v>
          </cell>
          <cell r="K794" t="str">
            <v>Santa Rosa</v>
          </cell>
          <cell r="N794" t="str">
            <v>C</v>
          </cell>
        </row>
        <row r="795">
          <cell r="B795" t="str">
            <v/>
          </cell>
          <cell r="C795" t="str">
            <v>YV3T7U524LA201393</v>
          </cell>
          <cell r="D795">
            <v>507522</v>
          </cell>
          <cell r="E795" t="str">
            <v>VOLVO</v>
          </cell>
          <cell r="F795" t="str">
            <v>B8RLEA</v>
          </cell>
          <cell r="G795" t="str">
            <v>MARCOPOLO</v>
          </cell>
          <cell r="H795" t="str">
            <v>GRAN VIALE</v>
          </cell>
          <cell r="I795">
            <v>2020</v>
          </cell>
          <cell r="J795" t="str">
            <v>C</v>
          </cell>
          <cell r="K795" t="str">
            <v>Santa Rosa</v>
          </cell>
          <cell r="N795" t="str">
            <v>C</v>
          </cell>
        </row>
        <row r="796">
          <cell r="B796" t="str">
            <v/>
          </cell>
          <cell r="C796" t="str">
            <v>YV3T7U527LA201047</v>
          </cell>
          <cell r="D796">
            <v>506628</v>
          </cell>
          <cell r="E796" t="str">
            <v>VOLVO</v>
          </cell>
          <cell r="F796" t="str">
            <v>B8RLEA</v>
          </cell>
          <cell r="G796" t="str">
            <v>MARCOPOLO</v>
          </cell>
          <cell r="H796" t="str">
            <v>GRAN VIALE</v>
          </cell>
          <cell r="I796">
            <v>2020</v>
          </cell>
          <cell r="J796" t="str">
            <v>C</v>
          </cell>
          <cell r="K796" t="str">
            <v>Recoleta</v>
          </cell>
          <cell r="N796" t="str">
            <v>C</v>
          </cell>
        </row>
        <row r="797">
          <cell r="B797" t="str">
            <v/>
          </cell>
          <cell r="C797" t="str">
            <v>YV3T7U528LA201347</v>
          </cell>
          <cell r="D797">
            <v>507710</v>
          </cell>
          <cell r="E797" t="str">
            <v>VOLVO</v>
          </cell>
          <cell r="F797" t="str">
            <v>B8RLEA</v>
          </cell>
          <cell r="G797" t="str">
            <v>MARCOPOLO</v>
          </cell>
          <cell r="H797" t="str">
            <v>GRAN VIALE</v>
          </cell>
          <cell r="I797">
            <v>2020</v>
          </cell>
          <cell r="J797" t="str">
            <v>C</v>
          </cell>
          <cell r="K797" t="str">
            <v>Santa Rosa</v>
          </cell>
          <cell r="N797" t="str">
            <v>C</v>
          </cell>
        </row>
        <row r="798">
          <cell r="B798" t="str">
            <v/>
          </cell>
          <cell r="C798" t="str">
            <v>YV3T7U529LA201390</v>
          </cell>
          <cell r="D798">
            <v>507489</v>
          </cell>
          <cell r="E798" t="str">
            <v>VOLVO</v>
          </cell>
          <cell r="F798" t="str">
            <v>B8RLEA</v>
          </cell>
          <cell r="G798" t="str">
            <v>MARCOPOLO</v>
          </cell>
          <cell r="H798" t="str">
            <v>GRAN VIALE</v>
          </cell>
          <cell r="I798">
            <v>2020</v>
          </cell>
          <cell r="J798" t="str">
            <v>C</v>
          </cell>
          <cell r="K798" t="str">
            <v>Santa Rosa</v>
          </cell>
          <cell r="N798" t="str">
            <v>C</v>
          </cell>
        </row>
        <row r="799">
          <cell r="B799" t="str">
            <v/>
          </cell>
          <cell r="C799" t="str">
            <v>YV3T7U520LA201407</v>
          </cell>
          <cell r="D799">
            <v>507762</v>
          </cell>
          <cell r="E799" t="str">
            <v>VOLVO</v>
          </cell>
          <cell r="F799" t="str">
            <v>B8RLEA</v>
          </cell>
          <cell r="G799" t="str">
            <v>MARCOPOLO</v>
          </cell>
          <cell r="H799" t="str">
            <v>GRAN VIALE</v>
          </cell>
          <cell r="I799">
            <v>2020</v>
          </cell>
          <cell r="J799" t="str">
            <v>C</v>
          </cell>
          <cell r="K799" t="str">
            <v>Santa Rosa</v>
          </cell>
          <cell r="N799" t="str">
            <v>C</v>
          </cell>
        </row>
        <row r="800">
          <cell r="B800" t="str">
            <v/>
          </cell>
          <cell r="C800" t="str">
            <v>YV3T7U523LA201496</v>
          </cell>
          <cell r="D800">
            <v>507817</v>
          </cell>
          <cell r="E800" t="str">
            <v>VOLVO</v>
          </cell>
          <cell r="F800" t="str">
            <v>B8RLEA</v>
          </cell>
          <cell r="G800" t="str">
            <v>MARCOPOLO</v>
          </cell>
          <cell r="H800" t="str">
            <v>GRAN VIALE</v>
          </cell>
          <cell r="I800">
            <v>2020</v>
          </cell>
          <cell r="J800" t="str">
            <v>C</v>
          </cell>
          <cell r="K800" t="str">
            <v>Santa Rosa</v>
          </cell>
          <cell r="N800" t="str">
            <v>C</v>
          </cell>
        </row>
        <row r="801">
          <cell r="B801" t="str">
            <v/>
          </cell>
          <cell r="C801" t="str">
            <v>YV3T7U526LA201816</v>
          </cell>
          <cell r="D801">
            <v>509236</v>
          </cell>
          <cell r="E801" t="str">
            <v>VOLVO</v>
          </cell>
          <cell r="F801" t="str">
            <v>B8RLEA</v>
          </cell>
          <cell r="G801" t="str">
            <v>MARCOPOLO</v>
          </cell>
          <cell r="H801" t="str">
            <v>GRAN VIALE</v>
          </cell>
          <cell r="I801">
            <v>2020</v>
          </cell>
          <cell r="J801" t="str">
            <v>C</v>
          </cell>
          <cell r="K801" t="str">
            <v>Santa Rosa</v>
          </cell>
          <cell r="N801" t="str">
            <v>C</v>
          </cell>
        </row>
        <row r="802">
          <cell r="B802" t="str">
            <v/>
          </cell>
          <cell r="C802" t="str">
            <v>YV3T7U528LA201154</v>
          </cell>
          <cell r="D802">
            <v>507070</v>
          </cell>
          <cell r="E802" t="str">
            <v>VOLVO</v>
          </cell>
          <cell r="F802" t="str">
            <v>B8RLEA</v>
          </cell>
          <cell r="G802" t="str">
            <v>MARCOPOLO</v>
          </cell>
          <cell r="H802" t="str">
            <v>GRAN VIALE</v>
          </cell>
          <cell r="I802">
            <v>2020</v>
          </cell>
          <cell r="J802" t="str">
            <v>C</v>
          </cell>
          <cell r="K802" t="str">
            <v>Recoleta</v>
          </cell>
          <cell r="N802" t="str">
            <v>C</v>
          </cell>
        </row>
        <row r="803">
          <cell r="B803" t="str">
            <v/>
          </cell>
          <cell r="C803" t="str">
            <v>YV3T7U521LA201318</v>
          </cell>
          <cell r="D803">
            <v>507658</v>
          </cell>
          <cell r="E803" t="str">
            <v>VOLVO</v>
          </cell>
          <cell r="F803" t="str">
            <v>B8RLEA</v>
          </cell>
          <cell r="G803" t="str">
            <v>MARCOPOLO</v>
          </cell>
          <cell r="H803" t="str">
            <v>GRAN VIALE</v>
          </cell>
          <cell r="I803">
            <v>2020</v>
          </cell>
          <cell r="J803" t="str">
            <v>C</v>
          </cell>
          <cell r="K803" t="str">
            <v>Santa Rosa</v>
          </cell>
          <cell r="N803" t="str">
            <v>C</v>
          </cell>
        </row>
        <row r="804">
          <cell r="B804" t="str">
            <v/>
          </cell>
          <cell r="C804" t="str">
            <v>YV3T7U523LA201319</v>
          </cell>
          <cell r="D804">
            <v>507679</v>
          </cell>
          <cell r="E804" t="str">
            <v>VOLVO</v>
          </cell>
          <cell r="F804" t="str">
            <v>B8RLEA</v>
          </cell>
          <cell r="G804" t="str">
            <v>MARCOPOLO</v>
          </cell>
          <cell r="H804" t="str">
            <v>GRAN VIALE</v>
          </cell>
          <cell r="I804">
            <v>2020</v>
          </cell>
          <cell r="J804" t="str">
            <v>C</v>
          </cell>
          <cell r="K804" t="str">
            <v>Santa Rosa</v>
          </cell>
          <cell r="N804" t="str">
            <v>C</v>
          </cell>
        </row>
        <row r="805">
          <cell r="B805" t="str">
            <v/>
          </cell>
          <cell r="C805" t="str">
            <v>YV3T7U521LA201321</v>
          </cell>
          <cell r="D805">
            <v>507655</v>
          </cell>
          <cell r="E805" t="str">
            <v>VOLVO</v>
          </cell>
          <cell r="F805" t="str">
            <v>B8RLEA</v>
          </cell>
          <cell r="G805" t="str">
            <v>MARCOPOLO</v>
          </cell>
          <cell r="H805" t="str">
            <v>GRAN VIALE</v>
          </cell>
          <cell r="I805">
            <v>2020</v>
          </cell>
          <cell r="J805" t="str">
            <v>C</v>
          </cell>
          <cell r="K805" t="str">
            <v>Santa Rosa</v>
          </cell>
          <cell r="N805" t="str">
            <v>C</v>
          </cell>
        </row>
        <row r="806">
          <cell r="B806" t="str">
            <v/>
          </cell>
          <cell r="C806" t="str">
            <v>YV3T7U52XLA201348</v>
          </cell>
          <cell r="D806">
            <v>507719</v>
          </cell>
          <cell r="E806" t="str">
            <v>VOLVO</v>
          </cell>
          <cell r="F806" t="str">
            <v>B8RLEA</v>
          </cell>
          <cell r="G806" t="str">
            <v>MARCOPOLO</v>
          </cell>
          <cell r="H806" t="str">
            <v>GRAN VIALE</v>
          </cell>
          <cell r="I806">
            <v>2020</v>
          </cell>
          <cell r="J806" t="str">
            <v>C</v>
          </cell>
          <cell r="K806" t="str">
            <v>Santa Rosa</v>
          </cell>
          <cell r="N806" t="str">
            <v>C</v>
          </cell>
        </row>
        <row r="807">
          <cell r="B807" t="str">
            <v/>
          </cell>
          <cell r="C807" t="str">
            <v>YV3T7U527LA201405</v>
          </cell>
          <cell r="D807">
            <v>507775</v>
          </cell>
          <cell r="E807" t="str">
            <v>VOLVO</v>
          </cell>
          <cell r="F807" t="str">
            <v>B8RLEA</v>
          </cell>
          <cell r="G807" t="str">
            <v>MARCOPOLO</v>
          </cell>
          <cell r="H807" t="str">
            <v>GRAN VIALE</v>
          </cell>
          <cell r="I807">
            <v>2020</v>
          </cell>
          <cell r="J807" t="str">
            <v>C</v>
          </cell>
          <cell r="K807" t="str">
            <v>Santa Rosa</v>
          </cell>
          <cell r="N807" t="str">
            <v>C</v>
          </cell>
        </row>
        <row r="808">
          <cell r="B808" t="str">
            <v/>
          </cell>
          <cell r="C808" t="str">
            <v>YV3T7U521LA198727</v>
          </cell>
          <cell r="D808">
            <v>508214</v>
          </cell>
          <cell r="E808" t="str">
            <v>VOLVO</v>
          </cell>
          <cell r="F808" t="str">
            <v>B8RLEA</v>
          </cell>
          <cell r="G808" t="str">
            <v>MARCOPOLO</v>
          </cell>
          <cell r="H808" t="str">
            <v>GRAN VIALE</v>
          </cell>
          <cell r="I808">
            <v>2020</v>
          </cell>
          <cell r="J808" t="str">
            <v>C</v>
          </cell>
          <cell r="K808" t="str">
            <v>Santa Rosa</v>
          </cell>
          <cell r="N808" t="str">
            <v>C</v>
          </cell>
        </row>
        <row r="809">
          <cell r="B809" t="str">
            <v/>
          </cell>
          <cell r="C809" t="str">
            <v>YV3T7U528LA201669</v>
          </cell>
          <cell r="D809">
            <v>508621</v>
          </cell>
          <cell r="E809" t="str">
            <v>VOLVO</v>
          </cell>
          <cell r="F809" t="str">
            <v>B8RLEA</v>
          </cell>
          <cell r="G809" t="str">
            <v>MARCOPOLO</v>
          </cell>
          <cell r="H809" t="str">
            <v>GRAN VIALE</v>
          </cell>
          <cell r="I809">
            <v>2020</v>
          </cell>
          <cell r="J809" t="str">
            <v>C</v>
          </cell>
          <cell r="K809" t="str">
            <v>Santa Rosa</v>
          </cell>
          <cell r="N809" t="str">
            <v>C</v>
          </cell>
        </row>
        <row r="810">
          <cell r="B810" t="str">
            <v/>
          </cell>
          <cell r="C810" t="str">
            <v>YV3T7U520LA201391</v>
          </cell>
          <cell r="D810">
            <v>507509</v>
          </cell>
          <cell r="E810" t="str">
            <v>VOLVO</v>
          </cell>
          <cell r="F810" t="str">
            <v>B8RLEA</v>
          </cell>
          <cell r="G810" t="str">
            <v>MARCOPOLO</v>
          </cell>
          <cell r="H810" t="str">
            <v>GRAN VIALE</v>
          </cell>
          <cell r="I810">
            <v>2020</v>
          </cell>
          <cell r="J810" t="str">
            <v>C</v>
          </cell>
          <cell r="K810" t="str">
            <v>Santa Rosa</v>
          </cell>
          <cell r="N810" t="str">
            <v>C</v>
          </cell>
        </row>
        <row r="811">
          <cell r="B811" t="str">
            <v/>
          </cell>
          <cell r="C811" t="str">
            <v>YV3T7U520LA201097</v>
          </cell>
          <cell r="D811">
            <v>507017</v>
          </cell>
          <cell r="E811" t="str">
            <v>VOLVO</v>
          </cell>
          <cell r="F811" t="str">
            <v>B8RLEA</v>
          </cell>
          <cell r="G811" t="str">
            <v>MARCOPOLO</v>
          </cell>
          <cell r="H811" t="str">
            <v>GRAN VIALE</v>
          </cell>
          <cell r="I811">
            <v>2020</v>
          </cell>
          <cell r="J811" t="str">
            <v>C</v>
          </cell>
          <cell r="K811" t="str">
            <v>Recoleta</v>
          </cell>
          <cell r="N811" t="str">
            <v>C</v>
          </cell>
        </row>
        <row r="812">
          <cell r="B812" t="str">
            <v/>
          </cell>
          <cell r="C812" t="str">
            <v>YV3T7U528LA201476</v>
          </cell>
          <cell r="D812">
            <v>507871</v>
          </cell>
          <cell r="E812" t="str">
            <v>VOLVO</v>
          </cell>
          <cell r="F812" t="str">
            <v>B8RLEA</v>
          </cell>
          <cell r="G812" t="str">
            <v>MARCOPOLO</v>
          </cell>
          <cell r="H812" t="str">
            <v>GRAN VIALE</v>
          </cell>
          <cell r="I812">
            <v>2020</v>
          </cell>
          <cell r="J812" t="str">
            <v>C</v>
          </cell>
          <cell r="K812" t="str">
            <v>Santa Rosa</v>
          </cell>
          <cell r="N812" t="str">
            <v>C</v>
          </cell>
        </row>
        <row r="813">
          <cell r="B813" t="str">
            <v/>
          </cell>
          <cell r="C813" t="str">
            <v>YV3T7U524LA201815</v>
          </cell>
          <cell r="D813">
            <v>509217</v>
          </cell>
          <cell r="E813" t="str">
            <v>VOLVO</v>
          </cell>
          <cell r="F813" t="str">
            <v>B8RLEA</v>
          </cell>
          <cell r="G813" t="str">
            <v>MARCOPOLO</v>
          </cell>
          <cell r="H813" t="str">
            <v>GRAN VIALE</v>
          </cell>
          <cell r="I813">
            <v>2020</v>
          </cell>
          <cell r="J813" t="str">
            <v>C</v>
          </cell>
          <cell r="K813" t="str">
            <v>Santa Rosa</v>
          </cell>
          <cell r="N813" t="str">
            <v>C</v>
          </cell>
        </row>
        <row r="814">
          <cell r="B814" t="str">
            <v/>
          </cell>
          <cell r="C814" t="str">
            <v>YV3T7U522LA201666</v>
          </cell>
          <cell r="D814">
            <v>508593</v>
          </cell>
          <cell r="E814" t="str">
            <v>VOLVO</v>
          </cell>
          <cell r="F814" t="str">
            <v>B8RLEA</v>
          </cell>
          <cell r="G814" t="str">
            <v>MARCOPOLO</v>
          </cell>
          <cell r="H814" t="str">
            <v>GRAN VIALE</v>
          </cell>
          <cell r="I814">
            <v>2020</v>
          </cell>
          <cell r="J814" t="str">
            <v>C</v>
          </cell>
          <cell r="K814" t="str">
            <v>Santa Rosa</v>
          </cell>
          <cell r="N814" t="str">
            <v>C</v>
          </cell>
        </row>
        <row r="815">
          <cell r="B815" t="str">
            <v/>
          </cell>
          <cell r="C815" t="str">
            <v>YV3T7U529LA201924</v>
          </cell>
          <cell r="D815">
            <v>509325</v>
          </cell>
          <cell r="E815" t="str">
            <v>VOLVO</v>
          </cell>
          <cell r="F815" t="str">
            <v>B8RLEA</v>
          </cell>
          <cell r="G815" t="str">
            <v>MARCOPOLO</v>
          </cell>
          <cell r="H815" t="str">
            <v>GRAN VIALE</v>
          </cell>
          <cell r="I815">
            <v>2020</v>
          </cell>
          <cell r="J815" t="str">
            <v>C</v>
          </cell>
          <cell r="K815" t="str">
            <v>Santa Rosa</v>
          </cell>
          <cell r="N815" t="str">
            <v>C</v>
          </cell>
        </row>
        <row r="816">
          <cell r="B816" t="str">
            <v/>
          </cell>
          <cell r="C816" t="str">
            <v>YV3T7U521LA201903</v>
          </cell>
          <cell r="D816">
            <v>509608</v>
          </cell>
          <cell r="E816" t="str">
            <v>VOLVO</v>
          </cell>
          <cell r="F816" t="str">
            <v>B8RLEA</v>
          </cell>
          <cell r="G816" t="str">
            <v>MARCOPOLO</v>
          </cell>
          <cell r="H816" t="str">
            <v>GRAN VIALE</v>
          </cell>
          <cell r="I816">
            <v>2020</v>
          </cell>
          <cell r="J816" t="str">
            <v>C</v>
          </cell>
          <cell r="K816" t="str">
            <v>Santa Rosa</v>
          </cell>
          <cell r="N816" t="str">
            <v>C</v>
          </cell>
        </row>
        <row r="817">
          <cell r="B817" t="str">
            <v/>
          </cell>
          <cell r="C817" t="str">
            <v>YV3T7U523LA201921</v>
          </cell>
          <cell r="D817">
            <v>509543</v>
          </cell>
          <cell r="E817" t="str">
            <v>VOLVO</v>
          </cell>
          <cell r="F817" t="str">
            <v>B8RLEA</v>
          </cell>
          <cell r="G817" t="str">
            <v>MARCOPOLO</v>
          </cell>
          <cell r="H817" t="str">
            <v>GRAN VIALE</v>
          </cell>
          <cell r="I817">
            <v>2020</v>
          </cell>
          <cell r="J817" t="str">
            <v>C</v>
          </cell>
          <cell r="K817" t="str">
            <v>Santa Rosa</v>
          </cell>
          <cell r="N817" t="str">
            <v>C</v>
          </cell>
        </row>
        <row r="818">
          <cell r="B818" t="str">
            <v/>
          </cell>
          <cell r="C818" t="str">
            <v>LVCB4L4DXMM003870</v>
          </cell>
          <cell r="D818" t="str">
            <v>M221100546</v>
          </cell>
          <cell r="E818" t="str">
            <v>FOTON</v>
          </cell>
          <cell r="F818" t="str">
            <v>EBUS U12 SC</v>
          </cell>
          <cell r="G818" t="str">
            <v>FOTON</v>
          </cell>
          <cell r="H818" t="str">
            <v>EBUS U12 SC</v>
          </cell>
          <cell r="I818">
            <v>2022</v>
          </cell>
          <cell r="J818" t="str">
            <v>B</v>
          </cell>
          <cell r="K818" t="str">
            <v>Ducaud</v>
          </cell>
          <cell r="N818" t="str">
            <v>B</v>
          </cell>
        </row>
        <row r="819">
          <cell r="B819" t="str">
            <v/>
          </cell>
          <cell r="C819" t="str">
            <v>LVCB4L4D5MM003646</v>
          </cell>
          <cell r="D819" t="str">
            <v>M221100541</v>
          </cell>
          <cell r="E819" t="str">
            <v>FOTON</v>
          </cell>
          <cell r="F819" t="str">
            <v>EBUS U12 SC</v>
          </cell>
          <cell r="G819" t="str">
            <v>FOTON</v>
          </cell>
          <cell r="H819" t="str">
            <v>EBUS U12 SC</v>
          </cell>
          <cell r="I819">
            <v>2022</v>
          </cell>
          <cell r="J819" t="str">
            <v>B</v>
          </cell>
          <cell r="K819" t="str">
            <v>Ducaud</v>
          </cell>
          <cell r="N819" t="str">
            <v>B</v>
          </cell>
        </row>
        <row r="820">
          <cell r="B820" t="str">
            <v/>
          </cell>
          <cell r="C820" t="str">
            <v>LVCB4L4D3MM003872</v>
          </cell>
          <cell r="D820" t="str">
            <v>M221100304</v>
          </cell>
          <cell r="E820" t="str">
            <v>FOTON</v>
          </cell>
          <cell r="F820" t="str">
            <v>EBUS U12 SC</v>
          </cell>
          <cell r="G820" t="str">
            <v>FOTON</v>
          </cell>
          <cell r="H820" t="str">
            <v>EBUS U12 SC</v>
          </cell>
          <cell r="I820">
            <v>2022</v>
          </cell>
          <cell r="J820" t="str">
            <v>B</v>
          </cell>
          <cell r="K820" t="str">
            <v>Santa Rosa</v>
          </cell>
          <cell r="N820" t="str">
            <v>B</v>
          </cell>
        </row>
        <row r="821">
          <cell r="B821" t="str">
            <v/>
          </cell>
          <cell r="C821" t="str">
            <v>LVCB4L4D9MM003875</v>
          </cell>
          <cell r="D821" t="str">
            <v>M221100438</v>
          </cell>
          <cell r="E821" t="str">
            <v>FOTON</v>
          </cell>
          <cell r="F821" t="str">
            <v>EBUS U12 SC</v>
          </cell>
          <cell r="G821" t="str">
            <v>FOTON</v>
          </cell>
          <cell r="H821" t="str">
            <v>EBUS U12 SC</v>
          </cell>
          <cell r="I821">
            <v>2022</v>
          </cell>
          <cell r="J821" t="str">
            <v>B</v>
          </cell>
          <cell r="K821" t="str">
            <v>Santa Rosa</v>
          </cell>
          <cell r="N821" t="str">
            <v>B</v>
          </cell>
        </row>
        <row r="822">
          <cell r="B822" t="str">
            <v/>
          </cell>
          <cell r="C822" t="str">
            <v>LVCB4L4D0MM003876</v>
          </cell>
          <cell r="D822" t="str">
            <v>M221100544</v>
          </cell>
          <cell r="E822" t="str">
            <v>FOTON</v>
          </cell>
          <cell r="F822" t="str">
            <v>EBUS U12 SC</v>
          </cell>
          <cell r="G822" t="str">
            <v>FOTON</v>
          </cell>
          <cell r="H822" t="str">
            <v>EBUS U12 SC</v>
          </cell>
          <cell r="I822">
            <v>2022</v>
          </cell>
          <cell r="J822" t="str">
            <v>B</v>
          </cell>
          <cell r="K822" t="str">
            <v>Santa Rosa</v>
          </cell>
          <cell r="N822" t="str">
            <v>B</v>
          </cell>
        </row>
        <row r="823">
          <cell r="B823" t="str">
            <v/>
          </cell>
          <cell r="C823" t="str">
            <v>LVCB4L4D2MM003877</v>
          </cell>
          <cell r="D823" t="str">
            <v>M221100558</v>
          </cell>
          <cell r="E823" t="str">
            <v>FOTON</v>
          </cell>
          <cell r="F823" t="str">
            <v>EBUS U12 SC</v>
          </cell>
          <cell r="G823" t="str">
            <v>FOTON</v>
          </cell>
          <cell r="H823" t="str">
            <v>EBUS U12 SC</v>
          </cell>
          <cell r="I823">
            <v>2022</v>
          </cell>
          <cell r="J823" t="str">
            <v>B</v>
          </cell>
          <cell r="K823" t="str">
            <v>Santa Rosa</v>
          </cell>
          <cell r="N823" t="str">
            <v>B</v>
          </cell>
        </row>
        <row r="824">
          <cell r="B824" t="str">
            <v/>
          </cell>
          <cell r="C824" t="str">
            <v>LVCB4L4D6MM003879</v>
          </cell>
          <cell r="D824" t="str">
            <v>M221110022</v>
          </cell>
          <cell r="E824" t="str">
            <v>FOTON</v>
          </cell>
          <cell r="F824" t="str">
            <v>EBUS U12 SC</v>
          </cell>
          <cell r="G824" t="str">
            <v>FOTON</v>
          </cell>
          <cell r="H824" t="str">
            <v>EBUS U12 SC</v>
          </cell>
          <cell r="I824">
            <v>2022</v>
          </cell>
          <cell r="J824" t="str">
            <v>B</v>
          </cell>
          <cell r="K824" t="str">
            <v>Lo Blanco</v>
          </cell>
          <cell r="N824" t="str">
            <v>B</v>
          </cell>
        </row>
        <row r="825">
          <cell r="B825" t="str">
            <v/>
          </cell>
          <cell r="C825" t="str">
            <v>LVCB4L4D2MM003880</v>
          </cell>
          <cell r="D825" t="str">
            <v>M221100408</v>
          </cell>
          <cell r="E825" t="str">
            <v>FOTON</v>
          </cell>
          <cell r="F825" t="str">
            <v>EBUS U12 SC</v>
          </cell>
          <cell r="G825" t="str">
            <v>FOTON</v>
          </cell>
          <cell r="H825" t="str">
            <v>EBUS U12 SC</v>
          </cell>
          <cell r="I825">
            <v>2022</v>
          </cell>
          <cell r="J825" t="str">
            <v>B</v>
          </cell>
          <cell r="K825" t="str">
            <v>Santa Rosa</v>
          </cell>
          <cell r="N825" t="str">
            <v>B</v>
          </cell>
        </row>
        <row r="826">
          <cell r="B826" t="str">
            <v/>
          </cell>
          <cell r="C826" t="str">
            <v>LVCB4L4D4MM003881</v>
          </cell>
          <cell r="D826" t="str">
            <v>M221110108</v>
          </cell>
          <cell r="E826" t="str">
            <v>FOTON</v>
          </cell>
          <cell r="F826" t="str">
            <v>EBUS U12 SC</v>
          </cell>
          <cell r="G826" t="str">
            <v>FOTON</v>
          </cell>
          <cell r="H826" t="str">
            <v>EBUS U12 SC</v>
          </cell>
          <cell r="I826">
            <v>2022</v>
          </cell>
          <cell r="J826" t="str">
            <v>B</v>
          </cell>
          <cell r="K826" t="str">
            <v>Santa Rosa</v>
          </cell>
          <cell r="N826" t="str">
            <v>B</v>
          </cell>
        </row>
        <row r="827">
          <cell r="B827" t="str">
            <v/>
          </cell>
          <cell r="C827" t="str">
            <v>LVCB4L4D6MM003882</v>
          </cell>
          <cell r="D827" t="str">
            <v>M221100437</v>
          </cell>
          <cell r="E827" t="str">
            <v>FOTON</v>
          </cell>
          <cell r="F827" t="str">
            <v>EBUS U12 SC</v>
          </cell>
          <cell r="G827" t="str">
            <v>FOTON</v>
          </cell>
          <cell r="H827" t="str">
            <v>EBUS U12 SC</v>
          </cell>
          <cell r="I827">
            <v>2022</v>
          </cell>
          <cell r="J827" t="str">
            <v>B</v>
          </cell>
          <cell r="K827" t="str">
            <v>Santa Rosa</v>
          </cell>
          <cell r="N827" t="str">
            <v>B</v>
          </cell>
        </row>
        <row r="828">
          <cell r="B828" t="str">
            <v/>
          </cell>
          <cell r="C828" t="str">
            <v>LVCB4L4D8MM003883</v>
          </cell>
          <cell r="D828" t="str">
            <v>M221100477</v>
          </cell>
          <cell r="E828" t="str">
            <v>FOTON</v>
          </cell>
          <cell r="F828" t="str">
            <v>EBUS U12 SC</v>
          </cell>
          <cell r="G828" t="str">
            <v>FOTON</v>
          </cell>
          <cell r="H828" t="str">
            <v>EBUS U12 SC</v>
          </cell>
          <cell r="I828">
            <v>2022</v>
          </cell>
          <cell r="J828" t="str">
            <v>B</v>
          </cell>
          <cell r="K828" t="str">
            <v>Santa Rosa</v>
          </cell>
          <cell r="N828" t="str">
            <v>B</v>
          </cell>
        </row>
        <row r="829">
          <cell r="B829" t="str">
            <v/>
          </cell>
          <cell r="C829" t="str">
            <v>LVCB4L4D1MM003885</v>
          </cell>
          <cell r="D829" t="str">
            <v>M221100475</v>
          </cell>
          <cell r="E829" t="str">
            <v>FOTON</v>
          </cell>
          <cell r="F829" t="str">
            <v>EBUS U12 SC</v>
          </cell>
          <cell r="G829" t="str">
            <v>FOTON</v>
          </cell>
          <cell r="H829" t="str">
            <v>EBUS U12 SC</v>
          </cell>
          <cell r="I829">
            <v>2022</v>
          </cell>
          <cell r="J829" t="str">
            <v>B</v>
          </cell>
          <cell r="K829" t="str">
            <v>Santa Rosa</v>
          </cell>
          <cell r="N829" t="str">
            <v>B</v>
          </cell>
        </row>
        <row r="830">
          <cell r="B830" t="str">
            <v/>
          </cell>
          <cell r="C830" t="str">
            <v>LVCB4L4D3MM003886</v>
          </cell>
          <cell r="D830" t="str">
            <v>M221100543</v>
          </cell>
          <cell r="E830" t="str">
            <v>FOTON</v>
          </cell>
          <cell r="F830" t="str">
            <v>EBUS U12 SC</v>
          </cell>
          <cell r="G830" t="str">
            <v>FOTON</v>
          </cell>
          <cell r="H830" t="str">
            <v>EBUS U12 SC</v>
          </cell>
          <cell r="I830">
            <v>2022</v>
          </cell>
          <cell r="J830" t="str">
            <v>B</v>
          </cell>
          <cell r="K830" t="str">
            <v>Santa Rosa</v>
          </cell>
          <cell r="N830" t="str">
            <v>B</v>
          </cell>
        </row>
        <row r="831">
          <cell r="B831" t="str">
            <v/>
          </cell>
          <cell r="C831" t="str">
            <v>LVCB4L4D5MM003887</v>
          </cell>
          <cell r="D831" t="str">
            <v>M221110021</v>
          </cell>
          <cell r="E831" t="str">
            <v>FOTON</v>
          </cell>
          <cell r="F831" t="str">
            <v>EBUS U12 SC</v>
          </cell>
          <cell r="G831" t="str">
            <v>FOTON</v>
          </cell>
          <cell r="H831" t="str">
            <v>EBUS U12 SC</v>
          </cell>
          <cell r="I831">
            <v>2022</v>
          </cell>
          <cell r="J831" t="str">
            <v>B</v>
          </cell>
          <cell r="K831" t="str">
            <v>Santa Rosa</v>
          </cell>
          <cell r="N831" t="str">
            <v>B</v>
          </cell>
        </row>
        <row r="832">
          <cell r="B832" t="str">
            <v/>
          </cell>
          <cell r="C832" t="str">
            <v>LVCB4L4D7MM003888</v>
          </cell>
          <cell r="D832" t="str">
            <v>M221100297</v>
          </cell>
          <cell r="E832" t="str">
            <v>FOTON</v>
          </cell>
          <cell r="F832" t="str">
            <v>EBUS U12 SC</v>
          </cell>
          <cell r="G832" t="str">
            <v>FOTON</v>
          </cell>
          <cell r="H832" t="str">
            <v>EBUS U12 SC</v>
          </cell>
          <cell r="I832">
            <v>2022</v>
          </cell>
          <cell r="J832" t="str">
            <v>B</v>
          </cell>
          <cell r="K832" t="str">
            <v>Lo Blanco</v>
          </cell>
          <cell r="N832" t="str">
            <v>B</v>
          </cell>
        </row>
        <row r="833">
          <cell r="B833" t="str">
            <v/>
          </cell>
          <cell r="C833" t="str">
            <v>LVCB4L4D9MM003889</v>
          </cell>
          <cell r="D833" t="str">
            <v>M221100396</v>
          </cell>
          <cell r="E833" t="str">
            <v>FOTON</v>
          </cell>
          <cell r="F833" t="str">
            <v>EBUS U12 SC</v>
          </cell>
          <cell r="G833" t="str">
            <v>FOTON</v>
          </cell>
          <cell r="H833" t="str">
            <v>EBUS U12 SC</v>
          </cell>
          <cell r="I833">
            <v>2022</v>
          </cell>
          <cell r="J833" t="str">
            <v>B</v>
          </cell>
          <cell r="K833" t="str">
            <v>Recoleta</v>
          </cell>
          <cell r="N833" t="str">
            <v>B</v>
          </cell>
        </row>
        <row r="834">
          <cell r="B834" t="str">
            <v/>
          </cell>
          <cell r="C834" t="str">
            <v>LVCB4L4D5MM003890</v>
          </cell>
          <cell r="D834" t="str">
            <v>M221100305</v>
          </cell>
          <cell r="E834" t="str">
            <v>FOTON</v>
          </cell>
          <cell r="F834" t="str">
            <v>EBUS U12 SC</v>
          </cell>
          <cell r="G834" t="str">
            <v>FOTON</v>
          </cell>
          <cell r="H834" t="str">
            <v>EBUS U12 SC</v>
          </cell>
          <cell r="I834">
            <v>2022</v>
          </cell>
          <cell r="J834" t="str">
            <v>B</v>
          </cell>
          <cell r="K834" t="str">
            <v>Santa Rosa</v>
          </cell>
          <cell r="N834" t="str">
            <v>B</v>
          </cell>
        </row>
        <row r="835">
          <cell r="B835" t="str">
            <v/>
          </cell>
          <cell r="C835" t="str">
            <v>LVCB4L4D9MM003892</v>
          </cell>
          <cell r="D835" t="str">
            <v>M221110101</v>
          </cell>
          <cell r="E835" t="str">
            <v>FOTON</v>
          </cell>
          <cell r="F835" t="str">
            <v>EBUS U12 SC</v>
          </cell>
          <cell r="G835" t="str">
            <v>FOTON</v>
          </cell>
          <cell r="H835" t="str">
            <v>EBUS U12 SC</v>
          </cell>
          <cell r="I835">
            <v>2022</v>
          </cell>
          <cell r="J835" t="str">
            <v>B</v>
          </cell>
          <cell r="K835" t="str">
            <v>Recoleta</v>
          </cell>
          <cell r="N835" t="str">
            <v>B</v>
          </cell>
        </row>
        <row r="836">
          <cell r="B836" t="str">
            <v/>
          </cell>
          <cell r="C836" t="str">
            <v>LVCB4L4D0MM003893</v>
          </cell>
          <cell r="D836" t="str">
            <v>M221100547</v>
          </cell>
          <cell r="E836" t="str">
            <v>FOTON</v>
          </cell>
          <cell r="F836" t="str">
            <v>EBUS U12 SC</v>
          </cell>
          <cell r="G836" t="str">
            <v>FOTON</v>
          </cell>
          <cell r="H836" t="str">
            <v>EBUS U12 SC</v>
          </cell>
          <cell r="I836">
            <v>2022</v>
          </cell>
          <cell r="J836" t="str">
            <v>B</v>
          </cell>
          <cell r="K836" t="str">
            <v>Santa Rosa</v>
          </cell>
          <cell r="N836" t="str">
            <v>B</v>
          </cell>
        </row>
        <row r="837">
          <cell r="B837" t="str">
            <v/>
          </cell>
          <cell r="C837" t="str">
            <v>LVCB4L4D4MM003895</v>
          </cell>
          <cell r="D837" t="str">
            <v>M221100515</v>
          </cell>
          <cell r="E837" t="str">
            <v>FOTON</v>
          </cell>
          <cell r="F837" t="str">
            <v>EBUS U12 SC</v>
          </cell>
          <cell r="G837" t="str">
            <v>FOTON</v>
          </cell>
          <cell r="H837" t="str">
            <v>EBUS U12 SC</v>
          </cell>
          <cell r="I837">
            <v>2022</v>
          </cell>
          <cell r="J837" t="str">
            <v>B</v>
          </cell>
          <cell r="K837" t="str">
            <v>Recoleta</v>
          </cell>
          <cell r="N837" t="str">
            <v>B</v>
          </cell>
        </row>
        <row r="838">
          <cell r="B838" t="str">
            <v/>
          </cell>
          <cell r="C838" t="str">
            <v>LVCB4L4DXMM003898</v>
          </cell>
          <cell r="D838" t="str">
            <v>M221110024</v>
          </cell>
          <cell r="E838" t="str">
            <v>FOTON</v>
          </cell>
          <cell r="F838" t="str">
            <v>EBUS U12 SC</v>
          </cell>
          <cell r="G838" t="str">
            <v>FOTON</v>
          </cell>
          <cell r="H838" t="str">
            <v>EBUS U12 SC</v>
          </cell>
          <cell r="I838">
            <v>2022</v>
          </cell>
          <cell r="J838" t="str">
            <v>B</v>
          </cell>
          <cell r="K838" t="str">
            <v>Santa Rosa</v>
          </cell>
          <cell r="N838" t="str">
            <v>B</v>
          </cell>
        </row>
        <row r="839">
          <cell r="B839" t="str">
            <v/>
          </cell>
          <cell r="C839" t="str">
            <v>LVCB4L4D1MM003899</v>
          </cell>
          <cell r="D839" t="str">
            <v>M221100443</v>
          </cell>
          <cell r="E839" t="str">
            <v>FOTON</v>
          </cell>
          <cell r="F839" t="str">
            <v>EBUS U12 SC</v>
          </cell>
          <cell r="G839" t="str">
            <v>FOTON</v>
          </cell>
          <cell r="H839" t="str">
            <v>EBUS U12 SC</v>
          </cell>
          <cell r="I839">
            <v>2022</v>
          </cell>
          <cell r="J839" t="str">
            <v>B</v>
          </cell>
          <cell r="K839" t="str">
            <v>Santa Rosa</v>
          </cell>
          <cell r="N839" t="str">
            <v>B</v>
          </cell>
        </row>
        <row r="840">
          <cell r="B840" t="str">
            <v/>
          </cell>
          <cell r="C840" t="str">
            <v>LVCB4L4D8MM003902</v>
          </cell>
          <cell r="D840" t="str">
            <v>M221100309</v>
          </cell>
          <cell r="E840" t="str">
            <v>FOTON</v>
          </cell>
          <cell r="F840" t="str">
            <v>EBUS U12 SC</v>
          </cell>
          <cell r="G840" t="str">
            <v>FOTON</v>
          </cell>
          <cell r="H840" t="str">
            <v>EBUS U12 SC</v>
          </cell>
          <cell r="I840">
            <v>2022</v>
          </cell>
          <cell r="J840" t="str">
            <v>B</v>
          </cell>
          <cell r="K840" t="str">
            <v>Santa Rosa</v>
          </cell>
          <cell r="N840" t="str">
            <v>B</v>
          </cell>
        </row>
        <row r="841">
          <cell r="B841" t="str">
            <v/>
          </cell>
          <cell r="C841" t="str">
            <v>LVCB4L4DXMM003903</v>
          </cell>
          <cell r="D841" t="str">
            <v>M221110578</v>
          </cell>
          <cell r="E841" t="str">
            <v>FOTON</v>
          </cell>
          <cell r="F841" t="str">
            <v>EBUS U12 SC</v>
          </cell>
          <cell r="G841" t="str">
            <v>FOTON</v>
          </cell>
          <cell r="H841" t="str">
            <v>EBUS U12 SC</v>
          </cell>
          <cell r="I841">
            <v>2022</v>
          </cell>
          <cell r="J841" t="str">
            <v>B</v>
          </cell>
          <cell r="K841" t="str">
            <v>Santa Rosa</v>
          </cell>
          <cell r="N841" t="str">
            <v>B</v>
          </cell>
        </row>
        <row r="842">
          <cell r="B842" t="str">
            <v/>
          </cell>
          <cell r="C842" t="str">
            <v>LVCB4L4D3MM003905</v>
          </cell>
          <cell r="D842" t="str">
            <v>M221100400</v>
          </cell>
          <cell r="E842" t="str">
            <v>FOTON</v>
          </cell>
          <cell r="F842" t="str">
            <v>EBUS U12 SC</v>
          </cell>
          <cell r="G842" t="str">
            <v>FOTON</v>
          </cell>
          <cell r="H842" t="str">
            <v>EBUS U12 SC</v>
          </cell>
          <cell r="I842">
            <v>2022</v>
          </cell>
          <cell r="J842" t="str">
            <v>B</v>
          </cell>
          <cell r="K842" t="str">
            <v>Recoleta</v>
          </cell>
          <cell r="N842" t="str">
            <v>B</v>
          </cell>
        </row>
        <row r="843">
          <cell r="B843" t="str">
            <v/>
          </cell>
          <cell r="C843" t="str">
            <v>LVCB4L4D5MM003906</v>
          </cell>
          <cell r="D843" t="str">
            <v>M221100516</v>
          </cell>
          <cell r="E843" t="str">
            <v>FOTON</v>
          </cell>
          <cell r="F843" t="str">
            <v>EBUS U12 SC</v>
          </cell>
          <cell r="G843" t="str">
            <v>FOTON</v>
          </cell>
          <cell r="H843" t="str">
            <v>EBUS U12 SC</v>
          </cell>
          <cell r="I843">
            <v>2022</v>
          </cell>
          <cell r="J843" t="str">
            <v>B</v>
          </cell>
          <cell r="K843" t="str">
            <v>Santa Rosa</v>
          </cell>
          <cell r="N843" t="str">
            <v>B</v>
          </cell>
        </row>
        <row r="844">
          <cell r="B844" t="str">
            <v/>
          </cell>
          <cell r="C844" t="str">
            <v>LVCB4L4D7MM003907</v>
          </cell>
          <cell r="D844" t="str">
            <v>M221100306</v>
          </cell>
          <cell r="E844" t="str">
            <v>FOTON</v>
          </cell>
          <cell r="F844" t="str">
            <v>EBUS U12 SC</v>
          </cell>
          <cell r="G844" t="str">
            <v>FOTON</v>
          </cell>
          <cell r="H844" t="str">
            <v>EBUS U12 SC</v>
          </cell>
          <cell r="I844">
            <v>2022</v>
          </cell>
          <cell r="J844" t="str">
            <v>B</v>
          </cell>
          <cell r="K844" t="str">
            <v>Recoleta</v>
          </cell>
          <cell r="N844" t="str">
            <v>B</v>
          </cell>
        </row>
        <row r="845">
          <cell r="B845" t="str">
            <v/>
          </cell>
          <cell r="C845" t="str">
            <v>LVCB4L4D0MM003909</v>
          </cell>
          <cell r="D845" t="str">
            <v>M221110025</v>
          </cell>
          <cell r="E845" t="str">
            <v>FOTON</v>
          </cell>
          <cell r="F845" t="str">
            <v>EBUS U12 SC</v>
          </cell>
          <cell r="G845" t="str">
            <v>FOTON</v>
          </cell>
          <cell r="H845" t="str">
            <v>EBUS U12 SC</v>
          </cell>
          <cell r="I845">
            <v>2022</v>
          </cell>
          <cell r="J845" t="str">
            <v>B</v>
          </cell>
          <cell r="K845" t="str">
            <v>Santa Rosa</v>
          </cell>
          <cell r="N845" t="str">
            <v>B</v>
          </cell>
        </row>
        <row r="846">
          <cell r="B846" t="str">
            <v/>
          </cell>
          <cell r="C846" t="str">
            <v>LVCB4L4D9MM003911</v>
          </cell>
          <cell r="D846" t="str">
            <v>M221100549</v>
          </cell>
          <cell r="E846" t="str">
            <v>FOTON</v>
          </cell>
          <cell r="F846" t="str">
            <v>EBUS U12 SC</v>
          </cell>
          <cell r="G846" t="str">
            <v>FOTON</v>
          </cell>
          <cell r="H846" t="str">
            <v>EBUS U12 SC</v>
          </cell>
          <cell r="I846">
            <v>2022</v>
          </cell>
          <cell r="J846" t="str">
            <v>B</v>
          </cell>
          <cell r="K846" t="str">
            <v>Santa Rosa</v>
          </cell>
          <cell r="N846" t="str">
            <v>B</v>
          </cell>
        </row>
        <row r="847">
          <cell r="B847" t="str">
            <v/>
          </cell>
          <cell r="C847" t="str">
            <v>LVCB4L4D3MM003631</v>
          </cell>
          <cell r="D847" t="str">
            <v>M221100523</v>
          </cell>
          <cell r="E847" t="str">
            <v>FOTON</v>
          </cell>
          <cell r="F847" t="str">
            <v>EBUS U12 SC</v>
          </cell>
          <cell r="G847" t="str">
            <v>FOTON</v>
          </cell>
          <cell r="H847" t="str">
            <v>EBUS U12 SC</v>
          </cell>
          <cell r="I847">
            <v>2022</v>
          </cell>
          <cell r="J847" t="str">
            <v>B</v>
          </cell>
          <cell r="K847" t="str">
            <v>Santa Rosa</v>
          </cell>
          <cell r="N847" t="str">
            <v>B</v>
          </cell>
        </row>
        <row r="848">
          <cell r="B848" t="str">
            <v/>
          </cell>
          <cell r="C848" t="str">
            <v>LVCB4L4D8MM003916</v>
          </cell>
          <cell r="D848" t="str">
            <v>M221100441</v>
          </cell>
          <cell r="E848" t="str">
            <v>FOTON</v>
          </cell>
          <cell r="F848" t="str">
            <v>EBUS U12 SC</v>
          </cell>
          <cell r="G848" t="str">
            <v>FOTON</v>
          </cell>
          <cell r="H848" t="str">
            <v>EBUS U12 SC</v>
          </cell>
          <cell r="I848">
            <v>2022</v>
          </cell>
          <cell r="J848" t="str">
            <v>B</v>
          </cell>
          <cell r="K848" t="str">
            <v>Santa Rosa</v>
          </cell>
          <cell r="N848" t="str">
            <v>B</v>
          </cell>
        </row>
        <row r="849">
          <cell r="B849" t="str">
            <v/>
          </cell>
          <cell r="C849" t="str">
            <v>LVCB4L4D3MM003919</v>
          </cell>
          <cell r="D849" t="str">
            <v>M221110656</v>
          </cell>
          <cell r="E849" t="str">
            <v>FOTON</v>
          </cell>
          <cell r="F849" t="str">
            <v>EBUS U12 SC</v>
          </cell>
          <cell r="G849" t="str">
            <v>FOTON</v>
          </cell>
          <cell r="H849" t="str">
            <v>EBUS U12 SC</v>
          </cell>
          <cell r="I849">
            <v>2022</v>
          </cell>
          <cell r="J849" t="str">
            <v>B</v>
          </cell>
          <cell r="K849" t="str">
            <v>Recoleta</v>
          </cell>
          <cell r="N849" t="str">
            <v>B</v>
          </cell>
        </row>
        <row r="850">
          <cell r="B850" t="str">
            <v/>
          </cell>
          <cell r="C850" t="str">
            <v>LVCB4L4D1MM003921</v>
          </cell>
          <cell r="D850" t="str">
            <v>M221100522</v>
          </cell>
          <cell r="E850" t="str">
            <v>FOTON</v>
          </cell>
          <cell r="F850" t="str">
            <v>EBUS U12 SC</v>
          </cell>
          <cell r="G850" t="str">
            <v>FOTON</v>
          </cell>
          <cell r="H850" t="str">
            <v>EBUS U12 SC</v>
          </cell>
          <cell r="I850">
            <v>2022</v>
          </cell>
          <cell r="J850" t="str">
            <v>B</v>
          </cell>
          <cell r="K850" t="str">
            <v>Santa Rosa</v>
          </cell>
          <cell r="N850" t="str">
            <v>B</v>
          </cell>
        </row>
        <row r="851">
          <cell r="B851" t="str">
            <v/>
          </cell>
          <cell r="C851" t="str">
            <v>LVCB4L4D3MM003922</v>
          </cell>
          <cell r="D851" t="str">
            <v>M221100487</v>
          </cell>
          <cell r="E851" t="str">
            <v>FOTON</v>
          </cell>
          <cell r="F851" t="str">
            <v>EBUS U12 SC</v>
          </cell>
          <cell r="G851" t="str">
            <v>FOTON</v>
          </cell>
          <cell r="H851" t="str">
            <v>EBUS U12 SC</v>
          </cell>
          <cell r="I851">
            <v>2022</v>
          </cell>
          <cell r="J851" t="str">
            <v>B</v>
          </cell>
          <cell r="K851" t="str">
            <v>Recoleta</v>
          </cell>
          <cell r="N851" t="str">
            <v>B</v>
          </cell>
        </row>
        <row r="852">
          <cell r="B852" t="str">
            <v/>
          </cell>
          <cell r="C852" t="str">
            <v>LVCB4L4D2MM003927</v>
          </cell>
          <cell r="D852" t="str">
            <v>M221100560</v>
          </cell>
          <cell r="E852" t="str">
            <v>FOTON</v>
          </cell>
          <cell r="F852" t="str">
            <v>EBUS U12 SC</v>
          </cell>
          <cell r="G852" t="str">
            <v>FOTON</v>
          </cell>
          <cell r="H852" t="str">
            <v>EBUS U12 SC</v>
          </cell>
          <cell r="I852">
            <v>2022</v>
          </cell>
          <cell r="J852" t="str">
            <v>B</v>
          </cell>
          <cell r="K852" t="str">
            <v>Santa Rosa</v>
          </cell>
          <cell r="N852" t="str">
            <v>B</v>
          </cell>
        </row>
        <row r="853">
          <cell r="B853" t="str">
            <v/>
          </cell>
          <cell r="C853" t="str">
            <v>LVCB4L4D4MM003928</v>
          </cell>
          <cell r="D853" t="str">
            <v>M221110528</v>
          </cell>
          <cell r="E853" t="str">
            <v>FOTON</v>
          </cell>
          <cell r="F853" t="str">
            <v>EBUS U12 SC</v>
          </cell>
          <cell r="G853" t="str">
            <v>FOTON</v>
          </cell>
          <cell r="H853" t="str">
            <v>EBUS U12 SC</v>
          </cell>
          <cell r="I853">
            <v>2022</v>
          </cell>
          <cell r="J853" t="str">
            <v>B</v>
          </cell>
          <cell r="K853" t="str">
            <v>Santa Rosa</v>
          </cell>
          <cell r="N853" t="str">
            <v>B</v>
          </cell>
        </row>
        <row r="854">
          <cell r="B854" t="str">
            <v/>
          </cell>
          <cell r="C854" t="str">
            <v>LVCB4L4D6MM003929</v>
          </cell>
          <cell r="D854" t="str">
            <v>M221100439</v>
          </cell>
          <cell r="E854" t="str">
            <v>FOTON</v>
          </cell>
          <cell r="F854" t="str">
            <v>EBUS U12 SC</v>
          </cell>
          <cell r="G854" t="str">
            <v>FOTON</v>
          </cell>
          <cell r="H854" t="str">
            <v>EBUS U12 SC</v>
          </cell>
          <cell r="I854">
            <v>2022</v>
          </cell>
          <cell r="J854" t="str">
            <v>B</v>
          </cell>
          <cell r="K854" t="str">
            <v>Recoleta</v>
          </cell>
          <cell r="N854" t="str">
            <v>B</v>
          </cell>
        </row>
        <row r="855">
          <cell r="B855" t="str">
            <v/>
          </cell>
          <cell r="C855" t="str">
            <v>LVCB4L4D2MM003930</v>
          </cell>
          <cell r="D855" t="str">
            <v>M221100374</v>
          </cell>
          <cell r="E855" t="str">
            <v>FOTON</v>
          </cell>
          <cell r="F855" t="str">
            <v>EBUS U12 SC</v>
          </cell>
          <cell r="G855" t="str">
            <v>FOTON</v>
          </cell>
          <cell r="H855" t="str">
            <v>EBUS U12 SC</v>
          </cell>
          <cell r="I855">
            <v>2022</v>
          </cell>
          <cell r="J855" t="str">
            <v>B</v>
          </cell>
          <cell r="K855" t="str">
            <v>Santa Rosa</v>
          </cell>
          <cell r="N855" t="str">
            <v>B</v>
          </cell>
        </row>
        <row r="856">
          <cell r="B856" t="str">
            <v/>
          </cell>
          <cell r="C856" t="str">
            <v>LVCB4L4D4MM003931</v>
          </cell>
          <cell r="D856" t="str">
            <v>M221100407</v>
          </cell>
          <cell r="E856" t="str">
            <v>FOTON</v>
          </cell>
          <cell r="F856" t="str">
            <v>EBUS U12 SC</v>
          </cell>
          <cell r="G856" t="str">
            <v>FOTON</v>
          </cell>
          <cell r="H856" t="str">
            <v>EBUS U12 SC</v>
          </cell>
          <cell r="I856">
            <v>2022</v>
          </cell>
          <cell r="J856" t="str">
            <v>B</v>
          </cell>
          <cell r="K856" t="str">
            <v>Santa Rosa</v>
          </cell>
          <cell r="N856" t="str">
            <v>B</v>
          </cell>
        </row>
        <row r="857">
          <cell r="B857" t="str">
            <v/>
          </cell>
          <cell r="C857" t="str">
            <v>LVCB4L4D8MM003933</v>
          </cell>
          <cell r="D857" t="str">
            <v>M221110652</v>
          </cell>
          <cell r="E857" t="str">
            <v>FOTON</v>
          </cell>
          <cell r="F857" t="str">
            <v>EBUS U12 SC</v>
          </cell>
          <cell r="G857" t="str">
            <v>FOTON</v>
          </cell>
          <cell r="H857" t="str">
            <v>EBUS U12 SC</v>
          </cell>
          <cell r="I857">
            <v>2022</v>
          </cell>
          <cell r="J857" t="str">
            <v>B</v>
          </cell>
          <cell r="K857" t="str">
            <v>Santa Rosa</v>
          </cell>
          <cell r="N857" t="str">
            <v>B</v>
          </cell>
        </row>
        <row r="858">
          <cell r="B858" t="str">
            <v/>
          </cell>
          <cell r="C858" t="str">
            <v>LVCB4L4D3MM003936</v>
          </cell>
          <cell r="D858" t="str">
            <v>M221110487</v>
          </cell>
          <cell r="E858" t="str">
            <v>FOTON</v>
          </cell>
          <cell r="F858" t="str">
            <v>EBUS U12 SC</v>
          </cell>
          <cell r="G858" t="str">
            <v>FOTON</v>
          </cell>
          <cell r="H858" t="str">
            <v>EBUS U12 SC</v>
          </cell>
          <cell r="I858">
            <v>2022</v>
          </cell>
          <cell r="J858" t="str">
            <v>B</v>
          </cell>
          <cell r="K858" t="str">
            <v>Santa Rosa</v>
          </cell>
          <cell r="N858" t="str">
            <v>B</v>
          </cell>
        </row>
        <row r="859">
          <cell r="B859" t="str">
            <v/>
          </cell>
          <cell r="C859" t="str">
            <v>LVCB4L4D5MM003937</v>
          </cell>
          <cell r="D859" t="str">
            <v>M221120003</v>
          </cell>
          <cell r="E859" t="str">
            <v>FOTON</v>
          </cell>
          <cell r="F859" t="str">
            <v>EBUS U12 SC</v>
          </cell>
          <cell r="G859" t="str">
            <v>FOTON</v>
          </cell>
          <cell r="H859" t="str">
            <v>EBUS U12 SC</v>
          </cell>
          <cell r="I859">
            <v>2022</v>
          </cell>
          <cell r="J859" t="str">
            <v>B</v>
          </cell>
          <cell r="K859" t="str">
            <v>Santa Rosa</v>
          </cell>
          <cell r="N859" t="str">
            <v>B</v>
          </cell>
        </row>
        <row r="860">
          <cell r="B860" t="str">
            <v/>
          </cell>
          <cell r="C860" t="str">
            <v>LVCB4L4D7MM003938</v>
          </cell>
          <cell r="D860" t="str">
            <v>M221100406</v>
          </cell>
          <cell r="E860" t="str">
            <v>FOTON</v>
          </cell>
          <cell r="F860" t="str">
            <v>EBUS U12 SC</v>
          </cell>
          <cell r="G860" t="str">
            <v>FOTON</v>
          </cell>
          <cell r="H860" t="str">
            <v>EBUS U12 SC</v>
          </cell>
          <cell r="I860">
            <v>2022</v>
          </cell>
          <cell r="J860" t="str">
            <v>B</v>
          </cell>
          <cell r="K860" t="str">
            <v>Santa Rosa</v>
          </cell>
          <cell r="N860" t="str">
            <v>B</v>
          </cell>
        </row>
        <row r="861">
          <cell r="B861" t="str">
            <v/>
          </cell>
          <cell r="C861" t="str">
            <v>LVCB4L4D9MM003939</v>
          </cell>
          <cell r="D861" t="str">
            <v>M221100435</v>
          </cell>
          <cell r="E861" t="str">
            <v>FOTON</v>
          </cell>
          <cell r="F861" t="str">
            <v>EBUS U12 SC</v>
          </cell>
          <cell r="G861" t="str">
            <v>FOTON</v>
          </cell>
          <cell r="H861" t="str">
            <v>EBUS U12 SC</v>
          </cell>
          <cell r="I861">
            <v>2022</v>
          </cell>
          <cell r="J861" t="str">
            <v>B</v>
          </cell>
          <cell r="K861" t="str">
            <v>Recoleta</v>
          </cell>
          <cell r="N861" t="str">
            <v>B</v>
          </cell>
        </row>
        <row r="862">
          <cell r="B862" t="str">
            <v/>
          </cell>
          <cell r="C862" t="str">
            <v>LVCB4L4D5MM003940</v>
          </cell>
          <cell r="D862" t="str">
            <v>M221100409</v>
          </cell>
          <cell r="E862" t="str">
            <v>FOTON</v>
          </cell>
          <cell r="F862" t="str">
            <v>EBUS U12 SC</v>
          </cell>
          <cell r="G862" t="str">
            <v>FOTON</v>
          </cell>
          <cell r="H862" t="str">
            <v>EBUS U12 SC</v>
          </cell>
          <cell r="I862">
            <v>2022</v>
          </cell>
          <cell r="J862" t="str">
            <v>B</v>
          </cell>
          <cell r="K862" t="str">
            <v>Santa Rosa</v>
          </cell>
          <cell r="N862" t="str">
            <v>B</v>
          </cell>
        </row>
        <row r="863">
          <cell r="B863" t="str">
            <v/>
          </cell>
          <cell r="C863" t="str">
            <v>LVCB4L4D7MM003941</v>
          </cell>
          <cell r="D863" t="str">
            <v>M221110529</v>
          </cell>
          <cell r="E863" t="str">
            <v>FOTON</v>
          </cell>
          <cell r="F863" t="str">
            <v>EBUS U12 SC</v>
          </cell>
          <cell r="G863" t="str">
            <v>FOTON</v>
          </cell>
          <cell r="H863" t="str">
            <v>EBUS U12 SC</v>
          </cell>
          <cell r="I863">
            <v>2022</v>
          </cell>
          <cell r="J863" t="str">
            <v>B</v>
          </cell>
          <cell r="K863" t="str">
            <v>Santa Rosa</v>
          </cell>
          <cell r="N863" t="str">
            <v>B</v>
          </cell>
        </row>
        <row r="864">
          <cell r="B864" t="str">
            <v/>
          </cell>
          <cell r="C864" t="str">
            <v>LVCB4L4D0MM003943</v>
          </cell>
          <cell r="D864" t="str">
            <v>M221100548</v>
          </cell>
          <cell r="E864" t="str">
            <v>FOTON</v>
          </cell>
          <cell r="F864" t="str">
            <v>EBUS U12 SC</v>
          </cell>
          <cell r="G864" t="str">
            <v>FOTON</v>
          </cell>
          <cell r="H864" t="str">
            <v>EBUS U12 SC</v>
          </cell>
          <cell r="I864">
            <v>2022</v>
          </cell>
          <cell r="J864" t="str">
            <v>B</v>
          </cell>
          <cell r="K864" t="str">
            <v>Recoleta</v>
          </cell>
          <cell r="N864" t="str">
            <v>B</v>
          </cell>
        </row>
        <row r="865">
          <cell r="B865" t="str">
            <v/>
          </cell>
          <cell r="C865" t="str">
            <v>LVCB4L4D8MM003947</v>
          </cell>
          <cell r="D865" t="str">
            <v>M221110648</v>
          </cell>
          <cell r="E865" t="str">
            <v>FOTON</v>
          </cell>
          <cell r="F865" t="str">
            <v>EBUS U12 SC</v>
          </cell>
          <cell r="G865" t="str">
            <v>FOTON</v>
          </cell>
          <cell r="H865" t="str">
            <v>EBUS U12 SC</v>
          </cell>
          <cell r="I865">
            <v>2022</v>
          </cell>
          <cell r="J865" t="str">
            <v>B</v>
          </cell>
          <cell r="K865" t="str">
            <v>Santa Rosa</v>
          </cell>
          <cell r="N865" t="str">
            <v>B</v>
          </cell>
        </row>
        <row r="866">
          <cell r="B866" t="str">
            <v/>
          </cell>
          <cell r="C866" t="str">
            <v>LVCB4L4D8MM003950</v>
          </cell>
          <cell r="D866" t="str">
            <v>M221100399</v>
          </cell>
          <cell r="E866" t="str">
            <v>FOTON</v>
          </cell>
          <cell r="F866" t="str">
            <v>EBUS U12 SC</v>
          </cell>
          <cell r="G866" t="str">
            <v>FOTON</v>
          </cell>
          <cell r="H866" t="str">
            <v>EBUS U12 SC</v>
          </cell>
          <cell r="I866">
            <v>2022</v>
          </cell>
          <cell r="J866" t="str">
            <v>B</v>
          </cell>
          <cell r="K866" t="str">
            <v>Santa Rosa</v>
          </cell>
          <cell r="N866" t="str">
            <v>B</v>
          </cell>
        </row>
        <row r="867">
          <cell r="B867" t="str">
            <v/>
          </cell>
          <cell r="C867" t="str">
            <v>LVCB4L4DXMM003951</v>
          </cell>
          <cell r="D867" t="str">
            <v>M221110650</v>
          </cell>
          <cell r="E867" t="str">
            <v>FOTON</v>
          </cell>
          <cell r="F867" t="str">
            <v>EBUS U12 SC</v>
          </cell>
          <cell r="G867" t="str">
            <v>FOTON</v>
          </cell>
          <cell r="H867" t="str">
            <v>EBUS U12 SC</v>
          </cell>
          <cell r="I867">
            <v>2022</v>
          </cell>
          <cell r="J867" t="str">
            <v>B</v>
          </cell>
          <cell r="K867" t="str">
            <v>Santa Rosa</v>
          </cell>
          <cell r="N867" t="str">
            <v>B</v>
          </cell>
        </row>
        <row r="868">
          <cell r="B868" t="str">
            <v/>
          </cell>
          <cell r="C868" t="str">
            <v>LVCB4L4D1MM003952</v>
          </cell>
          <cell r="D868" t="str">
            <v>M221100302</v>
          </cell>
          <cell r="E868" t="str">
            <v>FOTON</v>
          </cell>
          <cell r="F868" t="str">
            <v>EBUS U12 SC</v>
          </cell>
          <cell r="G868" t="str">
            <v>FOTON</v>
          </cell>
          <cell r="H868" t="str">
            <v>EBUS U12 SC</v>
          </cell>
          <cell r="I868">
            <v>2022</v>
          </cell>
          <cell r="J868" t="str">
            <v>B</v>
          </cell>
          <cell r="K868" t="str">
            <v>Santa Rosa</v>
          </cell>
          <cell r="N868" t="str">
            <v>B</v>
          </cell>
        </row>
        <row r="869">
          <cell r="B869" t="str">
            <v/>
          </cell>
          <cell r="C869" t="str">
            <v>LVCB4L4D3MM003953</v>
          </cell>
          <cell r="D869" t="str">
            <v>M221100373</v>
          </cell>
          <cell r="E869" t="str">
            <v>FOTON</v>
          </cell>
          <cell r="F869" t="str">
            <v>EBUS U12 SC</v>
          </cell>
          <cell r="G869" t="str">
            <v>FOTON</v>
          </cell>
          <cell r="H869" t="str">
            <v>EBUS U12 SC</v>
          </cell>
          <cell r="I869">
            <v>2022</v>
          </cell>
          <cell r="J869" t="str">
            <v>B</v>
          </cell>
          <cell r="K869" t="str">
            <v>Santa Rosa</v>
          </cell>
          <cell r="N869" t="str">
            <v>B</v>
          </cell>
        </row>
        <row r="870">
          <cell r="B870" t="str">
            <v/>
          </cell>
          <cell r="C870" t="str">
            <v>LVCB4L4D7MM003955</v>
          </cell>
          <cell r="D870" t="str">
            <v>M221100404</v>
          </cell>
          <cell r="E870" t="str">
            <v>FOTON</v>
          </cell>
          <cell r="F870" t="str">
            <v>EBUS U12 SC</v>
          </cell>
          <cell r="G870" t="str">
            <v>FOTON</v>
          </cell>
          <cell r="H870" t="str">
            <v>EBUS U12 SC</v>
          </cell>
          <cell r="I870">
            <v>2022</v>
          </cell>
          <cell r="J870" t="str">
            <v>B</v>
          </cell>
          <cell r="K870" t="str">
            <v>Santa Rosa</v>
          </cell>
          <cell r="N870" t="str">
            <v>B</v>
          </cell>
        </row>
        <row r="871">
          <cell r="B871" t="str">
            <v/>
          </cell>
          <cell r="C871" t="str">
            <v>LVCB4L4D2MM003958</v>
          </cell>
          <cell r="D871" t="str">
            <v>M221100512</v>
          </cell>
          <cell r="E871" t="str">
            <v>FOTON</v>
          </cell>
          <cell r="F871" t="str">
            <v>EBUS U12 SC</v>
          </cell>
          <cell r="G871" t="str">
            <v>FOTON</v>
          </cell>
          <cell r="H871" t="str">
            <v>EBUS U12 SC</v>
          </cell>
          <cell r="I871">
            <v>2022</v>
          </cell>
          <cell r="J871" t="str">
            <v>B</v>
          </cell>
          <cell r="K871" t="str">
            <v>Santa Rosa</v>
          </cell>
          <cell r="N871" t="str">
            <v>B</v>
          </cell>
        </row>
        <row r="872">
          <cell r="B872" t="str">
            <v/>
          </cell>
          <cell r="C872" t="str">
            <v>LVCB4L4D0MM003960</v>
          </cell>
          <cell r="D872" t="str">
            <v>M221110581</v>
          </cell>
          <cell r="E872" t="str">
            <v>FOTON</v>
          </cell>
          <cell r="F872" t="str">
            <v>EBUS U12 SC</v>
          </cell>
          <cell r="G872" t="str">
            <v>FOTON</v>
          </cell>
          <cell r="H872" t="str">
            <v>EBUS U12 SC</v>
          </cell>
          <cell r="I872">
            <v>2022</v>
          </cell>
          <cell r="J872" t="str">
            <v>B</v>
          </cell>
          <cell r="K872" t="str">
            <v>Recoleta</v>
          </cell>
          <cell r="N872" t="str">
            <v>B</v>
          </cell>
        </row>
        <row r="873">
          <cell r="B873" t="str">
            <v/>
          </cell>
          <cell r="C873" t="str">
            <v>LVCB4L4D2MM003961</v>
          </cell>
          <cell r="D873" t="str">
            <v>M221100478</v>
          </cell>
          <cell r="E873" t="str">
            <v>FOTON</v>
          </cell>
          <cell r="F873" t="str">
            <v>EBUS U12 SC</v>
          </cell>
          <cell r="G873" t="str">
            <v>FOTON</v>
          </cell>
          <cell r="H873" t="str">
            <v>EBUS U12 SC</v>
          </cell>
          <cell r="I873">
            <v>2022</v>
          </cell>
          <cell r="J873" t="str">
            <v>B</v>
          </cell>
          <cell r="K873" t="str">
            <v>Recoleta</v>
          </cell>
          <cell r="N873" t="str">
            <v>B</v>
          </cell>
        </row>
        <row r="874">
          <cell r="B874" t="str">
            <v/>
          </cell>
          <cell r="C874" t="str">
            <v>LVCB4L4D4MM003962</v>
          </cell>
          <cell r="D874" t="str">
            <v>M221100440</v>
          </cell>
          <cell r="E874" t="str">
            <v>FOTON</v>
          </cell>
          <cell r="F874" t="str">
            <v>EBUS U12 SC</v>
          </cell>
          <cell r="G874" t="str">
            <v>FOTON</v>
          </cell>
          <cell r="H874" t="str">
            <v>EBUS U12 SC</v>
          </cell>
          <cell r="I874">
            <v>2022</v>
          </cell>
          <cell r="J874" t="str">
            <v>B</v>
          </cell>
          <cell r="K874" t="str">
            <v>Santa Rosa</v>
          </cell>
          <cell r="N874" t="str">
            <v>B</v>
          </cell>
        </row>
        <row r="875">
          <cell r="B875" t="str">
            <v/>
          </cell>
          <cell r="C875" t="str">
            <v>LVCB4L4D3MM003967</v>
          </cell>
          <cell r="D875" t="str">
            <v>M221110579</v>
          </cell>
          <cell r="E875" t="str">
            <v>FOTON</v>
          </cell>
          <cell r="F875" t="str">
            <v>EBUS U12 SC</v>
          </cell>
          <cell r="G875" t="str">
            <v>FOTON</v>
          </cell>
          <cell r="H875" t="str">
            <v>EBUS U12 SC</v>
          </cell>
          <cell r="I875">
            <v>2022</v>
          </cell>
          <cell r="J875" t="str">
            <v>B</v>
          </cell>
          <cell r="K875" t="str">
            <v>Santa Rosa</v>
          </cell>
          <cell r="N875" t="str">
            <v>B</v>
          </cell>
        </row>
        <row r="876">
          <cell r="B876" t="str">
            <v/>
          </cell>
          <cell r="C876" t="str">
            <v>LVCB4L4D5MM003968</v>
          </cell>
          <cell r="D876" t="str">
            <v>M221110110</v>
          </cell>
          <cell r="E876" t="str">
            <v>FOTON</v>
          </cell>
          <cell r="F876" t="str">
            <v>EBUS U12 SC</v>
          </cell>
          <cell r="G876" t="str">
            <v>FOTON</v>
          </cell>
          <cell r="H876" t="str">
            <v>EBUS U12 SC</v>
          </cell>
          <cell r="I876">
            <v>2022</v>
          </cell>
          <cell r="J876" t="str">
            <v>B</v>
          </cell>
          <cell r="K876" t="str">
            <v>Santa Rosa</v>
          </cell>
          <cell r="N876" t="str">
            <v>B</v>
          </cell>
        </row>
        <row r="877">
          <cell r="B877" t="str">
            <v/>
          </cell>
          <cell r="C877" t="str">
            <v>LVCB4L4D7MM003969</v>
          </cell>
          <cell r="D877" t="str">
            <v>M221100513</v>
          </cell>
          <cell r="E877" t="str">
            <v>FOTON</v>
          </cell>
          <cell r="F877" t="str">
            <v>EBUS U12 SC</v>
          </cell>
          <cell r="G877" t="str">
            <v>FOTON</v>
          </cell>
          <cell r="H877" t="str">
            <v>EBUS U12 SC</v>
          </cell>
          <cell r="I877">
            <v>2022</v>
          </cell>
          <cell r="J877" t="str">
            <v>B</v>
          </cell>
          <cell r="K877" t="str">
            <v>Santa Rosa</v>
          </cell>
          <cell r="N877" t="str">
            <v>B</v>
          </cell>
        </row>
        <row r="878">
          <cell r="B878" t="str">
            <v/>
          </cell>
          <cell r="C878" t="str">
            <v>LVCB4L4D3MM003970</v>
          </cell>
          <cell r="D878" t="str">
            <v>M221110654</v>
          </cell>
          <cell r="E878" t="str">
            <v>FOTON</v>
          </cell>
          <cell r="F878" t="str">
            <v>EBUS U12 SC</v>
          </cell>
          <cell r="G878" t="str">
            <v>FOTON</v>
          </cell>
          <cell r="H878" t="str">
            <v>EBUS U12 SC</v>
          </cell>
          <cell r="I878">
            <v>2022</v>
          </cell>
          <cell r="J878" t="str">
            <v>B</v>
          </cell>
          <cell r="K878" t="str">
            <v>Santa Rosa</v>
          </cell>
          <cell r="N878" t="str">
            <v>B</v>
          </cell>
        </row>
        <row r="879">
          <cell r="B879" t="str">
            <v/>
          </cell>
          <cell r="C879" t="str">
            <v>LVCB4L4D5MM003971</v>
          </cell>
          <cell r="D879" t="str">
            <v>M221100476</v>
          </cell>
          <cell r="E879" t="str">
            <v>FOTON</v>
          </cell>
          <cell r="F879" t="str">
            <v>EBUS U12 SC</v>
          </cell>
          <cell r="G879" t="str">
            <v>FOTON</v>
          </cell>
          <cell r="H879" t="str">
            <v>EBUS U12 SC</v>
          </cell>
          <cell r="I879">
            <v>2022</v>
          </cell>
          <cell r="J879" t="str">
            <v>B</v>
          </cell>
          <cell r="K879" t="str">
            <v>Santa Rosa</v>
          </cell>
          <cell r="N879" t="str">
            <v>B</v>
          </cell>
        </row>
        <row r="880">
          <cell r="B880" t="str">
            <v/>
          </cell>
          <cell r="C880" t="str">
            <v>LVCB4L4D9MM003973</v>
          </cell>
          <cell r="D880" t="str">
            <v>M221100410</v>
          </cell>
          <cell r="E880" t="str">
            <v>FOTON</v>
          </cell>
          <cell r="F880" t="str">
            <v>EBUS U12 SC</v>
          </cell>
          <cell r="G880" t="str">
            <v>FOTON</v>
          </cell>
          <cell r="H880" t="str">
            <v>EBUS U12 SC</v>
          </cell>
          <cell r="I880">
            <v>2022</v>
          </cell>
          <cell r="J880" t="str">
            <v>B</v>
          </cell>
          <cell r="K880" t="str">
            <v>Recoleta</v>
          </cell>
          <cell r="N880" t="str">
            <v>B</v>
          </cell>
        </row>
        <row r="881">
          <cell r="B881" t="str">
            <v/>
          </cell>
          <cell r="C881" t="str">
            <v>LVCB4L4D4MM003976</v>
          </cell>
          <cell r="D881" t="str">
            <v>M221120001</v>
          </cell>
          <cell r="E881" t="str">
            <v>FOTON</v>
          </cell>
          <cell r="F881" t="str">
            <v>EBUS U12 SC</v>
          </cell>
          <cell r="G881" t="str">
            <v>FOTON</v>
          </cell>
          <cell r="H881" t="str">
            <v>EBUS U12 SC</v>
          </cell>
          <cell r="I881">
            <v>2022</v>
          </cell>
          <cell r="J881" t="str">
            <v>B</v>
          </cell>
          <cell r="K881" t="str">
            <v>Recoleta</v>
          </cell>
          <cell r="N881" t="str">
            <v>B</v>
          </cell>
        </row>
        <row r="882">
          <cell r="B882" t="str">
            <v/>
          </cell>
          <cell r="C882" t="str">
            <v>LVCB4L4D6MM003977</v>
          </cell>
          <cell r="D882" t="str">
            <v>M221110536</v>
          </cell>
          <cell r="E882" t="str">
            <v>FOTON</v>
          </cell>
          <cell r="F882" t="str">
            <v>EBUS U12 SC</v>
          </cell>
          <cell r="G882" t="str">
            <v>FOTON</v>
          </cell>
          <cell r="H882" t="str">
            <v>EBUS U12 SC</v>
          </cell>
          <cell r="I882">
            <v>2022</v>
          </cell>
          <cell r="J882" t="str">
            <v>B</v>
          </cell>
          <cell r="K882" t="str">
            <v>Recoleta</v>
          </cell>
          <cell r="N882" t="str">
            <v>B</v>
          </cell>
        </row>
        <row r="883">
          <cell r="B883" t="str">
            <v/>
          </cell>
          <cell r="C883" t="str">
            <v>LVCB4L4DXMM003979</v>
          </cell>
          <cell r="D883" t="str">
            <v>M221110535</v>
          </cell>
          <cell r="E883" t="str">
            <v>FOTON</v>
          </cell>
          <cell r="F883" t="str">
            <v>EBUS U12 SC</v>
          </cell>
          <cell r="G883" t="str">
            <v>FOTON</v>
          </cell>
          <cell r="H883" t="str">
            <v>EBUS U12 SC</v>
          </cell>
          <cell r="I883">
            <v>2022</v>
          </cell>
          <cell r="J883" t="str">
            <v>B</v>
          </cell>
          <cell r="K883" t="str">
            <v>Santa Rosa</v>
          </cell>
          <cell r="N883" t="str">
            <v>B</v>
          </cell>
        </row>
        <row r="884">
          <cell r="B884" t="str">
            <v/>
          </cell>
          <cell r="C884" t="str">
            <v>LVCB4L4D8MM003981</v>
          </cell>
          <cell r="D884" t="str">
            <v>M221100514</v>
          </cell>
          <cell r="E884" t="str">
            <v>FOTON</v>
          </cell>
          <cell r="F884" t="str">
            <v>EBUS U12 SC</v>
          </cell>
          <cell r="G884" t="str">
            <v>FOTON</v>
          </cell>
          <cell r="H884" t="str">
            <v>EBUS U12 SC</v>
          </cell>
          <cell r="I884">
            <v>2022</v>
          </cell>
          <cell r="J884" t="str">
            <v>B</v>
          </cell>
          <cell r="K884" t="str">
            <v>Recoleta</v>
          </cell>
          <cell r="N884" t="str">
            <v>B</v>
          </cell>
        </row>
        <row r="885">
          <cell r="B885" t="str">
            <v/>
          </cell>
          <cell r="C885" t="str">
            <v>LVCB4L4DXMM003982</v>
          </cell>
          <cell r="D885" t="str">
            <v>M221110115</v>
          </cell>
          <cell r="E885" t="str">
            <v>FOTON</v>
          </cell>
          <cell r="F885" t="str">
            <v>EBUS U12 SC</v>
          </cell>
          <cell r="G885" t="str">
            <v>FOTON</v>
          </cell>
          <cell r="H885" t="str">
            <v>EBUS U12 SC</v>
          </cell>
          <cell r="I885">
            <v>2022</v>
          </cell>
          <cell r="J885" t="str">
            <v>B</v>
          </cell>
          <cell r="K885" t="str">
            <v>Santa Rosa</v>
          </cell>
          <cell r="N885" t="str">
            <v>B</v>
          </cell>
        </row>
        <row r="886">
          <cell r="B886" t="str">
            <v/>
          </cell>
          <cell r="C886" t="str">
            <v>LVCB4L4D5MM003985</v>
          </cell>
          <cell r="D886" t="str">
            <v>M221100525</v>
          </cell>
          <cell r="E886" t="str">
            <v>FOTON</v>
          </cell>
          <cell r="F886" t="str">
            <v>EBUS U12 SC</v>
          </cell>
          <cell r="G886" t="str">
            <v>FOTON</v>
          </cell>
          <cell r="H886" t="str">
            <v>EBUS U12 SC</v>
          </cell>
          <cell r="I886">
            <v>2022</v>
          </cell>
          <cell r="J886" t="str">
            <v>B</v>
          </cell>
          <cell r="K886" t="str">
            <v>Santa Rosa</v>
          </cell>
          <cell r="N886" t="str">
            <v>B</v>
          </cell>
        </row>
        <row r="887">
          <cell r="B887" t="str">
            <v/>
          </cell>
          <cell r="C887" t="str">
            <v>LVCB4L4D8NM002640</v>
          </cell>
          <cell r="D887" t="str">
            <v>M221100490</v>
          </cell>
          <cell r="E887" t="str">
            <v>FOTON</v>
          </cell>
          <cell r="F887" t="str">
            <v>EBUS U12 SC</v>
          </cell>
          <cell r="G887" t="str">
            <v>FOTON</v>
          </cell>
          <cell r="H887" t="str">
            <v>EBUS U12 SC</v>
          </cell>
          <cell r="I887">
            <v>2022</v>
          </cell>
          <cell r="J887" t="str">
            <v>B</v>
          </cell>
          <cell r="K887" t="str">
            <v>Recoleta</v>
          </cell>
          <cell r="N887" t="str">
            <v>B</v>
          </cell>
        </row>
        <row r="888">
          <cell r="B888" t="str">
            <v/>
          </cell>
          <cell r="C888" t="str">
            <v>LVCB4L4D7MM003986</v>
          </cell>
          <cell r="D888" t="str">
            <v>M221120002</v>
          </cell>
          <cell r="E888" t="str">
            <v>FOTON</v>
          </cell>
          <cell r="F888" t="str">
            <v>EBUS U12 SC</v>
          </cell>
          <cell r="G888" t="str">
            <v>FOTON</v>
          </cell>
          <cell r="H888" t="str">
            <v>EBUS U12 SC</v>
          </cell>
          <cell r="I888">
            <v>2022</v>
          </cell>
          <cell r="J888" t="str">
            <v>B</v>
          </cell>
          <cell r="K888" t="str">
            <v>Santa Rosa</v>
          </cell>
          <cell r="N888" t="str">
            <v>B</v>
          </cell>
        </row>
        <row r="889">
          <cell r="B889" t="str">
            <v/>
          </cell>
          <cell r="C889" t="str">
            <v>LVCB4L4D9MM003987</v>
          </cell>
          <cell r="D889" t="str">
            <v>M221110655</v>
          </cell>
          <cell r="E889" t="str">
            <v>FOTON</v>
          </cell>
          <cell r="F889" t="str">
            <v>EBUS U12 SC</v>
          </cell>
          <cell r="G889" t="str">
            <v>FOTON</v>
          </cell>
          <cell r="H889" t="str">
            <v>EBUS U12 SC</v>
          </cell>
          <cell r="I889">
            <v>2022</v>
          </cell>
          <cell r="J889" t="str">
            <v>B</v>
          </cell>
          <cell r="K889" t="str">
            <v>Recoleta</v>
          </cell>
          <cell r="N889" t="str">
            <v>B</v>
          </cell>
        </row>
        <row r="890">
          <cell r="B890" t="str">
            <v/>
          </cell>
          <cell r="C890" t="str">
            <v>LVCB4L4D7NM002631</v>
          </cell>
          <cell r="D890" t="str">
            <v>M221110657</v>
          </cell>
          <cell r="E890" t="str">
            <v>FOTON</v>
          </cell>
          <cell r="F890" t="str">
            <v>EBUS U12 SC</v>
          </cell>
          <cell r="G890" t="str">
            <v>FOTON</v>
          </cell>
          <cell r="H890" t="str">
            <v>EBUS U12 SC</v>
          </cell>
          <cell r="I890">
            <v>2022</v>
          </cell>
          <cell r="J890" t="str">
            <v>B</v>
          </cell>
          <cell r="K890" t="str">
            <v>Santa Rosa</v>
          </cell>
          <cell r="N890" t="str">
            <v>B</v>
          </cell>
        </row>
        <row r="891">
          <cell r="B891" t="str">
            <v/>
          </cell>
          <cell r="C891" t="str">
            <v>LVCB4L4D9NM002632</v>
          </cell>
          <cell r="D891" t="str">
            <v>M221100550</v>
          </cell>
          <cell r="E891" t="str">
            <v>FOTON</v>
          </cell>
          <cell r="F891" t="str">
            <v>EBUS U12 SC</v>
          </cell>
          <cell r="G891" t="str">
            <v>FOTON</v>
          </cell>
          <cell r="H891" t="str">
            <v>EBUS U12 SC</v>
          </cell>
          <cell r="I891">
            <v>2022</v>
          </cell>
          <cell r="J891" t="str">
            <v>B</v>
          </cell>
          <cell r="K891" t="str">
            <v>Recoleta</v>
          </cell>
          <cell r="N891" t="str">
            <v>B</v>
          </cell>
        </row>
        <row r="892">
          <cell r="B892" t="str">
            <v/>
          </cell>
          <cell r="C892" t="str">
            <v>LVCB4L4D0NM002633</v>
          </cell>
          <cell r="D892" t="str">
            <v>M221110538</v>
          </cell>
          <cell r="E892" t="str">
            <v>FOTON</v>
          </cell>
          <cell r="F892" t="str">
            <v>EBUS U12 SC</v>
          </cell>
          <cell r="G892" t="str">
            <v>FOTON</v>
          </cell>
          <cell r="H892" t="str">
            <v>EBUS U12 SC</v>
          </cell>
          <cell r="I892">
            <v>2022</v>
          </cell>
          <cell r="J892" t="str">
            <v>B</v>
          </cell>
          <cell r="K892" t="str">
            <v>Santa Rosa</v>
          </cell>
          <cell r="N892" t="str">
            <v>B</v>
          </cell>
        </row>
        <row r="893">
          <cell r="B893" t="str">
            <v/>
          </cell>
          <cell r="C893" t="str">
            <v>LVCB4L4D4NM002635</v>
          </cell>
          <cell r="D893" t="str">
            <v>M221110653</v>
          </cell>
          <cell r="E893" t="str">
            <v>FOTON</v>
          </cell>
          <cell r="F893" t="str">
            <v>EBUS U12 SC</v>
          </cell>
          <cell r="G893" t="str">
            <v>FOTON</v>
          </cell>
          <cell r="H893" t="str">
            <v>EBUS U12 SC</v>
          </cell>
          <cell r="I893">
            <v>2022</v>
          </cell>
          <cell r="J893" t="str">
            <v>B</v>
          </cell>
          <cell r="K893" t="str">
            <v>Recoleta</v>
          </cell>
          <cell r="N893" t="str">
            <v>B</v>
          </cell>
        </row>
        <row r="894">
          <cell r="B894" t="str">
            <v/>
          </cell>
          <cell r="C894" t="str">
            <v>LVCB4L4D6NM002636</v>
          </cell>
          <cell r="D894" t="str">
            <v>M221110109</v>
          </cell>
          <cell r="E894" t="str">
            <v>FOTON</v>
          </cell>
          <cell r="F894" t="str">
            <v>EBUS U12 SC</v>
          </cell>
          <cell r="G894" t="str">
            <v>FOTON</v>
          </cell>
          <cell r="H894" t="str">
            <v>EBUS U12 SC</v>
          </cell>
          <cell r="I894">
            <v>2022</v>
          </cell>
          <cell r="J894" t="str">
            <v>B</v>
          </cell>
          <cell r="K894" t="str">
            <v>Recoleta</v>
          </cell>
          <cell r="N894" t="str">
            <v>B</v>
          </cell>
        </row>
        <row r="895">
          <cell r="B895" t="str">
            <v/>
          </cell>
          <cell r="C895" t="str">
            <v>LVCB4L4D8NM002637</v>
          </cell>
          <cell r="D895" t="str">
            <v>M221100545</v>
          </cell>
          <cell r="E895" t="str">
            <v>FOTON</v>
          </cell>
          <cell r="F895" t="str">
            <v>EBUS U12 SC</v>
          </cell>
          <cell r="G895" t="str">
            <v>FOTON</v>
          </cell>
          <cell r="H895" t="str">
            <v>EBUS U12 SC</v>
          </cell>
          <cell r="I895">
            <v>2022</v>
          </cell>
          <cell r="J895" t="str">
            <v>B</v>
          </cell>
          <cell r="K895" t="str">
            <v>Recoleta</v>
          </cell>
          <cell r="N895" t="str">
            <v>B</v>
          </cell>
        </row>
        <row r="896">
          <cell r="B896" t="str">
            <v/>
          </cell>
          <cell r="C896" t="str">
            <v>LVCB4L4DXNM002638</v>
          </cell>
          <cell r="D896" t="str">
            <v>M221110095</v>
          </cell>
          <cell r="E896" t="str">
            <v>FOTON</v>
          </cell>
          <cell r="F896" t="str">
            <v>EBUS U12 SC</v>
          </cell>
          <cell r="G896" t="str">
            <v>FOTON</v>
          </cell>
          <cell r="H896" t="str">
            <v>EBUS U12 SC</v>
          </cell>
          <cell r="I896">
            <v>2022</v>
          </cell>
          <cell r="J896" t="str">
            <v>B</v>
          </cell>
          <cell r="K896" t="str">
            <v>Recoleta</v>
          </cell>
          <cell r="N896" t="str">
            <v>B</v>
          </cell>
        </row>
        <row r="897">
          <cell r="B897" t="str">
            <v/>
          </cell>
          <cell r="C897" t="str">
            <v>LVCB4L4D1NM002639</v>
          </cell>
          <cell r="D897" t="str">
            <v>M221110580</v>
          </cell>
          <cell r="E897" t="str">
            <v>FOTON</v>
          </cell>
          <cell r="F897" t="str">
            <v>EBUS U12 SC</v>
          </cell>
          <cell r="G897" t="str">
            <v>FOTON</v>
          </cell>
          <cell r="H897" t="str">
            <v>EBUS U12 SC</v>
          </cell>
          <cell r="I897">
            <v>2022</v>
          </cell>
          <cell r="J897" t="str">
            <v>B</v>
          </cell>
          <cell r="K897" t="str">
            <v>Recoleta</v>
          </cell>
          <cell r="N897" t="str">
            <v>B</v>
          </cell>
        </row>
        <row r="898">
          <cell r="B898" t="str">
            <v/>
          </cell>
          <cell r="C898" t="str">
            <v>LVCB4L4DXNM002641</v>
          </cell>
          <cell r="D898" t="str">
            <v>M221100298</v>
          </cell>
          <cell r="E898" t="str">
            <v>FOTON</v>
          </cell>
          <cell r="F898" t="str">
            <v>EBUS U12 SC</v>
          </cell>
          <cell r="G898" t="str">
            <v>FOTON</v>
          </cell>
          <cell r="H898" t="str">
            <v>EBUS U12 SC</v>
          </cell>
          <cell r="I898">
            <v>2022</v>
          </cell>
          <cell r="J898" t="str">
            <v>B</v>
          </cell>
          <cell r="K898" t="str">
            <v>Recoleta</v>
          </cell>
          <cell r="N898" t="str">
            <v>B</v>
          </cell>
        </row>
        <row r="899">
          <cell r="B899" t="str">
            <v/>
          </cell>
          <cell r="C899" t="str">
            <v>LVCB4L4D1NM002642</v>
          </cell>
          <cell r="D899" t="str">
            <v>M221100436</v>
          </cell>
          <cell r="E899" t="str">
            <v>FOTON</v>
          </cell>
          <cell r="F899" t="str">
            <v>EBUS U12 SC</v>
          </cell>
          <cell r="G899" t="str">
            <v>FOTON</v>
          </cell>
          <cell r="H899" t="str">
            <v>EBUS U12 SC</v>
          </cell>
          <cell r="I899">
            <v>2022</v>
          </cell>
          <cell r="J899" t="str">
            <v>B</v>
          </cell>
          <cell r="K899" t="str">
            <v>Recoleta</v>
          </cell>
          <cell r="N899" t="str">
            <v>B</v>
          </cell>
        </row>
        <row r="900">
          <cell r="B900" t="str">
            <v/>
          </cell>
          <cell r="C900" t="str">
            <v>LVCB4L4D3NM002643</v>
          </cell>
          <cell r="D900" t="str">
            <v>M221100488</v>
          </cell>
          <cell r="E900" t="str">
            <v>FOTON</v>
          </cell>
          <cell r="F900" t="str">
            <v>EBUS U12 SC</v>
          </cell>
          <cell r="G900" t="str">
            <v>FOTON</v>
          </cell>
          <cell r="H900" t="str">
            <v>EBUS U12 SC</v>
          </cell>
          <cell r="I900">
            <v>2022</v>
          </cell>
          <cell r="J900" t="str">
            <v>B</v>
          </cell>
          <cell r="K900" t="str">
            <v>Recoleta</v>
          </cell>
          <cell r="N900" t="str">
            <v>B</v>
          </cell>
        </row>
        <row r="901">
          <cell r="B901" t="str">
            <v/>
          </cell>
          <cell r="C901" t="str">
            <v>LVCB4L4D7NM002645</v>
          </cell>
          <cell r="D901" t="str">
            <v>M221100401</v>
          </cell>
          <cell r="E901" t="str">
            <v>FOTON</v>
          </cell>
          <cell r="F901" t="str">
            <v>EBUS U12 SC</v>
          </cell>
          <cell r="G901" t="str">
            <v>FOTON</v>
          </cell>
          <cell r="H901" t="str">
            <v>EBUS U12 SC</v>
          </cell>
          <cell r="I901">
            <v>2022</v>
          </cell>
          <cell r="J901" t="str">
            <v>B</v>
          </cell>
          <cell r="K901" t="str">
            <v>Santa Rosa</v>
          </cell>
          <cell r="N901" t="str">
            <v>B</v>
          </cell>
        </row>
        <row r="902">
          <cell r="B902" t="str">
            <v/>
          </cell>
          <cell r="C902" t="str">
            <v>LVCB4L4D9NM002646</v>
          </cell>
          <cell r="D902" t="str">
            <v>M221110103</v>
          </cell>
          <cell r="E902" t="str">
            <v>FOTON</v>
          </cell>
          <cell r="F902" t="str">
            <v>EBUS U12 SC</v>
          </cell>
          <cell r="G902" t="str">
            <v>FOTON</v>
          </cell>
          <cell r="H902" t="str">
            <v>EBUS U12 SC</v>
          </cell>
          <cell r="I902">
            <v>2022</v>
          </cell>
          <cell r="J902" t="str">
            <v>B</v>
          </cell>
          <cell r="K902" t="str">
            <v>Recoleta</v>
          </cell>
          <cell r="N902" t="str">
            <v>B</v>
          </cell>
        </row>
        <row r="903">
          <cell r="B903" t="str">
            <v/>
          </cell>
          <cell r="C903" t="str">
            <v>LVCB4L4D0NM002647</v>
          </cell>
          <cell r="D903" t="str">
            <v>M221100524</v>
          </cell>
          <cell r="E903" t="str">
            <v>FOTON</v>
          </cell>
          <cell r="F903" t="str">
            <v>EBUS U12 SC</v>
          </cell>
          <cell r="G903" t="str">
            <v>FOTON</v>
          </cell>
          <cell r="H903" t="str">
            <v>EBUS U12 SC</v>
          </cell>
          <cell r="I903">
            <v>2022</v>
          </cell>
          <cell r="J903" t="str">
            <v>B</v>
          </cell>
          <cell r="K903" t="str">
            <v>Recoleta</v>
          </cell>
          <cell r="N903" t="str">
            <v>B</v>
          </cell>
        </row>
        <row r="904">
          <cell r="B904" t="str">
            <v/>
          </cell>
          <cell r="C904" t="str">
            <v>LVCB4L4D2NM002648</v>
          </cell>
          <cell r="D904" t="str">
            <v>M221100442</v>
          </cell>
          <cell r="E904" t="str">
            <v>FOTON</v>
          </cell>
          <cell r="F904" t="str">
            <v>EBUS U12 SC</v>
          </cell>
          <cell r="G904" t="str">
            <v>FOTON</v>
          </cell>
          <cell r="H904" t="str">
            <v>EBUS U12 SC</v>
          </cell>
          <cell r="I904">
            <v>2022</v>
          </cell>
          <cell r="J904" t="str">
            <v>B</v>
          </cell>
          <cell r="K904" t="str">
            <v>Recoleta</v>
          </cell>
          <cell r="N904" t="str">
            <v>B</v>
          </cell>
        </row>
        <row r="905">
          <cell r="B905" t="str">
            <v/>
          </cell>
          <cell r="C905" t="str">
            <v>LVCB4L4D4NM002649</v>
          </cell>
          <cell r="D905" t="str">
            <v>M221100412</v>
          </cell>
          <cell r="E905" t="str">
            <v>FOTON</v>
          </cell>
          <cell r="F905" t="str">
            <v>EBUS U12 SC</v>
          </cell>
          <cell r="G905" t="str">
            <v>FOTON</v>
          </cell>
          <cell r="H905" t="str">
            <v>EBUS U12 SC</v>
          </cell>
          <cell r="I905">
            <v>2022</v>
          </cell>
          <cell r="J905" t="str">
            <v>B</v>
          </cell>
          <cell r="K905" t="str">
            <v>Santa Rosa</v>
          </cell>
          <cell r="N905" t="str">
            <v>B</v>
          </cell>
        </row>
        <row r="906">
          <cell r="B906" t="str">
            <v/>
          </cell>
          <cell r="C906" t="str">
            <v>LVCB4L4D0NM002650</v>
          </cell>
          <cell r="D906" t="str">
            <v>M221110537</v>
          </cell>
          <cell r="E906" t="str">
            <v>FOTON</v>
          </cell>
          <cell r="F906" t="str">
            <v>EBUS U12 SC</v>
          </cell>
          <cell r="G906" t="str">
            <v>FOTON</v>
          </cell>
          <cell r="H906" t="str">
            <v>EBUS U12 SC</v>
          </cell>
          <cell r="I906">
            <v>2022</v>
          </cell>
          <cell r="J906" t="str">
            <v>B</v>
          </cell>
          <cell r="K906" t="str">
            <v>Recoleta</v>
          </cell>
          <cell r="N906" t="str">
            <v>B</v>
          </cell>
        </row>
        <row r="907">
          <cell r="B907" t="str">
            <v/>
          </cell>
          <cell r="C907" t="str">
            <v>LVCB4L4D2NM002651</v>
          </cell>
          <cell r="D907" t="str">
            <v>M221100486</v>
          </cell>
          <cell r="E907" t="str">
            <v>FOTON</v>
          </cell>
          <cell r="F907" t="str">
            <v>EBUS U12 SC</v>
          </cell>
          <cell r="G907" t="str">
            <v>FOTON</v>
          </cell>
          <cell r="H907" t="str">
            <v>EBUS U12 SC</v>
          </cell>
          <cell r="I907">
            <v>2022</v>
          </cell>
          <cell r="J907" t="str">
            <v>B</v>
          </cell>
          <cell r="K907" t="str">
            <v>Recoleta</v>
          </cell>
          <cell r="N907" t="str">
            <v>B</v>
          </cell>
        </row>
        <row r="908">
          <cell r="B908" t="str">
            <v/>
          </cell>
          <cell r="C908" t="str">
            <v>LVCB4L4D4NM002652</v>
          </cell>
          <cell r="D908" t="str">
            <v>M221110530</v>
          </cell>
          <cell r="E908" t="str">
            <v>FOTON</v>
          </cell>
          <cell r="F908" t="str">
            <v>EBUS U12 SC</v>
          </cell>
          <cell r="G908" t="str">
            <v>FOTON</v>
          </cell>
          <cell r="H908" t="str">
            <v>EBUS U12 SC</v>
          </cell>
          <cell r="I908">
            <v>2022</v>
          </cell>
          <cell r="J908" t="str">
            <v>B</v>
          </cell>
          <cell r="K908" t="str">
            <v>Recoleta</v>
          </cell>
          <cell r="N908" t="str">
            <v>B</v>
          </cell>
        </row>
        <row r="909">
          <cell r="B909" t="str">
            <v/>
          </cell>
          <cell r="C909" t="str">
            <v>LVCB4L4D6NM002653</v>
          </cell>
          <cell r="D909" t="str">
            <v>M221100474</v>
          </cell>
          <cell r="E909" t="str">
            <v>FOTON</v>
          </cell>
          <cell r="F909" t="str">
            <v>EBUS U12 SC</v>
          </cell>
          <cell r="G909" t="str">
            <v>FOTON</v>
          </cell>
          <cell r="H909" t="str">
            <v>EBUS U12 SC</v>
          </cell>
          <cell r="I909">
            <v>2022</v>
          </cell>
          <cell r="J909" t="str">
            <v>B</v>
          </cell>
          <cell r="K909" t="str">
            <v>Santa Rosa</v>
          </cell>
          <cell r="N909" t="str">
            <v>B</v>
          </cell>
        </row>
        <row r="910">
          <cell r="B910" t="str">
            <v/>
          </cell>
          <cell r="C910" t="str">
            <v>LVCB4L4DXNM002655</v>
          </cell>
          <cell r="D910" t="str">
            <v>M221100411</v>
          </cell>
          <cell r="E910" t="str">
            <v>FOTON</v>
          </cell>
          <cell r="F910" t="str">
            <v>EBUS U12 SC</v>
          </cell>
          <cell r="G910" t="str">
            <v>FOTON</v>
          </cell>
          <cell r="H910" t="str">
            <v>EBUS U12 SC</v>
          </cell>
          <cell r="I910">
            <v>2022</v>
          </cell>
          <cell r="J910" t="str">
            <v>B</v>
          </cell>
          <cell r="K910" t="str">
            <v>Santa Rosa</v>
          </cell>
          <cell r="N910" t="str">
            <v>B</v>
          </cell>
        </row>
        <row r="911">
          <cell r="B911" t="str">
            <v/>
          </cell>
          <cell r="C911" t="str">
            <v>LVCB4L4D1NM002656</v>
          </cell>
          <cell r="D911" t="str">
            <v>M221100301</v>
          </cell>
          <cell r="E911" t="str">
            <v>FOTON</v>
          </cell>
          <cell r="F911" t="str">
            <v>EBUS U12 SC</v>
          </cell>
          <cell r="G911" t="str">
            <v>FOTON</v>
          </cell>
          <cell r="H911" t="str">
            <v>EBUS U12 SC</v>
          </cell>
          <cell r="I911">
            <v>2022</v>
          </cell>
          <cell r="J911" t="str">
            <v>B</v>
          </cell>
          <cell r="K911" t="str">
            <v>Recoleta</v>
          </cell>
          <cell r="N911" t="str">
            <v>B</v>
          </cell>
        </row>
        <row r="912">
          <cell r="B912" t="str">
            <v/>
          </cell>
          <cell r="C912" t="str">
            <v>LVCB4L4D3NM002657</v>
          </cell>
          <cell r="D912" t="str">
            <v>M221110532</v>
          </cell>
          <cell r="E912" t="str">
            <v>FOTON</v>
          </cell>
          <cell r="F912" t="str">
            <v>EBUS U12 SC</v>
          </cell>
          <cell r="G912" t="str">
            <v>FOTON</v>
          </cell>
          <cell r="H912" t="str">
            <v>EBUS U12 SC</v>
          </cell>
          <cell r="I912">
            <v>2022</v>
          </cell>
          <cell r="J912" t="str">
            <v>B</v>
          </cell>
          <cell r="K912" t="str">
            <v>Santa Rosa</v>
          </cell>
          <cell r="N912" t="str">
            <v>B</v>
          </cell>
        </row>
        <row r="913">
          <cell r="B913" t="str">
            <v/>
          </cell>
          <cell r="C913" t="str">
            <v>LVCB4L4D5NM002658</v>
          </cell>
          <cell r="D913" t="str">
            <v>M221100527</v>
          </cell>
          <cell r="E913" t="str">
            <v>FOTON</v>
          </cell>
          <cell r="F913" t="str">
            <v>EBUS U12 SC</v>
          </cell>
          <cell r="G913" t="str">
            <v>FOTON</v>
          </cell>
          <cell r="H913" t="str">
            <v>EBUS U12 SC</v>
          </cell>
          <cell r="I913">
            <v>2022</v>
          </cell>
          <cell r="J913" t="str">
            <v>B</v>
          </cell>
          <cell r="K913" t="str">
            <v>Recoleta</v>
          </cell>
          <cell r="N913" t="str">
            <v>B</v>
          </cell>
        </row>
        <row r="914">
          <cell r="B914" t="str">
            <v/>
          </cell>
          <cell r="C914" t="str">
            <v>LVCB4L4D7NM002659</v>
          </cell>
          <cell r="D914" t="str">
            <v>M221100403</v>
          </cell>
          <cell r="E914" t="str">
            <v>FOTON</v>
          </cell>
          <cell r="F914" t="str">
            <v>EBUS U12 SC</v>
          </cell>
          <cell r="G914" t="str">
            <v>FOTON</v>
          </cell>
          <cell r="H914" t="str">
            <v>EBUS U12 SC</v>
          </cell>
          <cell r="I914">
            <v>2022</v>
          </cell>
          <cell r="J914" t="str">
            <v>B</v>
          </cell>
          <cell r="K914" t="str">
            <v>Santa Rosa</v>
          </cell>
          <cell r="N914" t="str">
            <v>B</v>
          </cell>
        </row>
        <row r="915">
          <cell r="B915" t="str">
            <v/>
          </cell>
          <cell r="C915" t="str">
            <v>LVCB4L4D3NM002660</v>
          </cell>
          <cell r="D915" t="str">
            <v>M221100542</v>
          </cell>
          <cell r="E915" t="str">
            <v>FOTON</v>
          </cell>
          <cell r="F915" t="str">
            <v>EBUS U12 SC</v>
          </cell>
          <cell r="G915" t="str">
            <v>FOTON</v>
          </cell>
          <cell r="H915" t="str">
            <v>EBUS U12 SC</v>
          </cell>
          <cell r="I915">
            <v>2022</v>
          </cell>
          <cell r="J915" t="str">
            <v>B</v>
          </cell>
          <cell r="K915" t="str">
            <v>Santa Rosa</v>
          </cell>
          <cell r="N915" t="str">
            <v>B</v>
          </cell>
        </row>
        <row r="916">
          <cell r="B916" t="str">
            <v/>
          </cell>
          <cell r="C916" t="str">
            <v>LVCB4L4D5NM002661</v>
          </cell>
          <cell r="D916" t="str">
            <v>M221110527</v>
          </cell>
          <cell r="E916" t="str">
            <v>FOTON</v>
          </cell>
          <cell r="F916" t="str">
            <v>EBUS U12 SC</v>
          </cell>
          <cell r="G916" t="str">
            <v>FOTON</v>
          </cell>
          <cell r="H916" t="str">
            <v>EBUS U12 SC</v>
          </cell>
          <cell r="I916">
            <v>2022</v>
          </cell>
          <cell r="J916" t="str">
            <v>B</v>
          </cell>
          <cell r="K916" t="str">
            <v>Santa Rosa</v>
          </cell>
          <cell r="N916" t="str">
            <v>B</v>
          </cell>
        </row>
        <row r="917">
          <cell r="B917" t="str">
            <v/>
          </cell>
          <cell r="C917" t="str">
            <v>LVCB4L4D7NM002662</v>
          </cell>
          <cell r="D917" t="str">
            <v>M221100402</v>
          </cell>
          <cell r="E917" t="str">
            <v>FOTON</v>
          </cell>
          <cell r="F917" t="str">
            <v>EBUS U12 SC</v>
          </cell>
          <cell r="G917" t="str">
            <v>FOTON</v>
          </cell>
          <cell r="H917" t="str">
            <v>EBUS U12 SC</v>
          </cell>
          <cell r="I917">
            <v>2022</v>
          </cell>
          <cell r="J917" t="str">
            <v>B</v>
          </cell>
          <cell r="K917" t="str">
            <v>Santa Rosa</v>
          </cell>
          <cell r="N917" t="str">
            <v>B</v>
          </cell>
        </row>
        <row r="918">
          <cell r="B918" t="str">
            <v/>
          </cell>
          <cell r="C918" t="str">
            <v>LVCB4L4D9NM002663</v>
          </cell>
          <cell r="D918" t="str">
            <v>M221110019</v>
          </cell>
          <cell r="E918" t="str">
            <v>FOTON</v>
          </cell>
          <cell r="F918" t="str">
            <v>EBUS U12 SC</v>
          </cell>
          <cell r="G918" t="str">
            <v>FOTON</v>
          </cell>
          <cell r="H918" t="str">
            <v>EBUS U12 SC</v>
          </cell>
          <cell r="I918">
            <v>2022</v>
          </cell>
          <cell r="J918" t="str">
            <v>B</v>
          </cell>
          <cell r="K918" t="str">
            <v>Santa Rosa</v>
          </cell>
          <cell r="N918" t="str">
            <v>B</v>
          </cell>
        </row>
        <row r="919">
          <cell r="B919" t="str">
            <v/>
          </cell>
          <cell r="C919" t="str">
            <v>LVCB4L4D2NM002665</v>
          </cell>
          <cell r="D919" t="str">
            <v>M221100489</v>
          </cell>
          <cell r="E919" t="str">
            <v>FOTON</v>
          </cell>
          <cell r="F919" t="str">
            <v>EBUS U12 SC</v>
          </cell>
          <cell r="G919" t="str">
            <v>FOTON</v>
          </cell>
          <cell r="H919" t="str">
            <v>EBUS U12 SC</v>
          </cell>
          <cell r="I919">
            <v>2022</v>
          </cell>
          <cell r="J919" t="str">
            <v>B</v>
          </cell>
          <cell r="K919" t="str">
            <v>Recoleta</v>
          </cell>
          <cell r="N919" t="str">
            <v>B</v>
          </cell>
        </row>
        <row r="920">
          <cell r="B920" t="str">
            <v/>
          </cell>
          <cell r="C920" t="str">
            <v>LVCB4L4D4NM002666</v>
          </cell>
          <cell r="D920" t="str">
            <v>M221110651</v>
          </cell>
          <cell r="E920" t="str">
            <v>FOTON</v>
          </cell>
          <cell r="F920" t="str">
            <v>EBUS U12 SC</v>
          </cell>
          <cell r="G920" t="str">
            <v>FOTON</v>
          </cell>
          <cell r="H920" t="str">
            <v>EBUS U12 SC</v>
          </cell>
          <cell r="I920">
            <v>2022</v>
          </cell>
          <cell r="J920" t="str">
            <v>B</v>
          </cell>
          <cell r="K920" t="str">
            <v>Recoleta</v>
          </cell>
          <cell r="N920" t="str">
            <v>B</v>
          </cell>
        </row>
        <row r="921">
          <cell r="B921" t="str">
            <v/>
          </cell>
          <cell r="C921" t="str">
            <v>LVCB4L4D6NM002667</v>
          </cell>
          <cell r="D921" t="str">
            <v>M221100405</v>
          </cell>
          <cell r="E921" t="str">
            <v>FOTON</v>
          </cell>
          <cell r="F921" t="str">
            <v>EBUS U12 SC</v>
          </cell>
          <cell r="G921" t="str">
            <v>FOTON</v>
          </cell>
          <cell r="H921" t="str">
            <v>EBUS U12 SC</v>
          </cell>
          <cell r="I921">
            <v>2022</v>
          </cell>
          <cell r="J921" t="str">
            <v>B</v>
          </cell>
          <cell r="K921" t="str">
            <v>Recoleta</v>
          </cell>
          <cell r="N921" t="str">
            <v>B</v>
          </cell>
        </row>
        <row r="922">
          <cell r="B922" t="str">
            <v/>
          </cell>
          <cell r="C922" t="str">
            <v>LVCB4L4D8NM002668</v>
          </cell>
          <cell r="D922" t="str">
            <v>M221100526</v>
          </cell>
          <cell r="E922" t="str">
            <v>FOTON</v>
          </cell>
          <cell r="F922" t="str">
            <v>EBUS U12 SC</v>
          </cell>
          <cell r="G922" t="str">
            <v>FOTON</v>
          </cell>
          <cell r="H922" t="str">
            <v>EBUS U12 SC</v>
          </cell>
          <cell r="I922">
            <v>2022</v>
          </cell>
          <cell r="J922" t="str">
            <v>B</v>
          </cell>
          <cell r="K922" t="str">
            <v>Recoleta</v>
          </cell>
          <cell r="N922" t="str">
            <v>B</v>
          </cell>
        </row>
        <row r="923">
          <cell r="B923" t="str">
            <v/>
          </cell>
          <cell r="C923" t="str">
            <v>LVCB4L4DXNM002669</v>
          </cell>
          <cell r="D923" t="str">
            <v>M221110534</v>
          </cell>
          <cell r="E923" t="str">
            <v>FOTON</v>
          </cell>
          <cell r="F923" t="str">
            <v>EBUS U12 SC</v>
          </cell>
          <cell r="G923" t="str">
            <v>FOTON</v>
          </cell>
          <cell r="H923" t="str">
            <v>EBUS U12 SC</v>
          </cell>
          <cell r="I923">
            <v>2022</v>
          </cell>
          <cell r="J923" t="str">
            <v>B</v>
          </cell>
          <cell r="K923" t="str">
            <v>Santa Rosa</v>
          </cell>
          <cell r="N923" t="str">
            <v>B</v>
          </cell>
        </row>
        <row r="924">
          <cell r="B924" t="str">
            <v/>
          </cell>
          <cell r="C924" t="str">
            <v>YV3T7U520RA212108</v>
          </cell>
          <cell r="D924">
            <v>593521</v>
          </cell>
          <cell r="E924" t="str">
            <v>VOLVO</v>
          </cell>
          <cell r="F924" t="str">
            <v>B8RLEA</v>
          </cell>
          <cell r="G924" t="str">
            <v>MARCOPOLO</v>
          </cell>
          <cell r="H924" t="str">
            <v>GRAN VIALE</v>
          </cell>
          <cell r="I924">
            <v>2023</v>
          </cell>
          <cell r="J924" t="str">
            <v>C</v>
          </cell>
          <cell r="K924" t="str">
            <v>Santa Rosa</v>
          </cell>
          <cell r="N924" t="str">
            <v>C</v>
          </cell>
        </row>
        <row r="925">
          <cell r="B925" t="str">
            <v/>
          </cell>
          <cell r="C925" t="str">
            <v>YV3T7U522RA212112</v>
          </cell>
          <cell r="D925">
            <v>593751</v>
          </cell>
          <cell r="E925" t="str">
            <v>VOLVO</v>
          </cell>
          <cell r="F925" t="str">
            <v>B8RLEA</v>
          </cell>
          <cell r="G925" t="str">
            <v>MARCOPOLO</v>
          </cell>
          <cell r="H925" t="str">
            <v>GRAN VIALE</v>
          </cell>
          <cell r="I925">
            <v>2023</v>
          </cell>
          <cell r="J925" t="str">
            <v>C</v>
          </cell>
          <cell r="K925" t="str">
            <v>Santa Rosa</v>
          </cell>
          <cell r="N925" t="str">
            <v>C</v>
          </cell>
        </row>
        <row r="926">
          <cell r="B926" t="str">
            <v/>
          </cell>
          <cell r="C926" t="str">
            <v>YV3T7U525RA212217</v>
          </cell>
          <cell r="D926">
            <v>595002</v>
          </cell>
          <cell r="E926" t="str">
            <v>VOLVO</v>
          </cell>
          <cell r="F926" t="str">
            <v>B8RLEA</v>
          </cell>
          <cell r="G926" t="str">
            <v>MARCOPOLO</v>
          </cell>
          <cell r="H926" t="str">
            <v>GRAN VIALE</v>
          </cell>
          <cell r="I926">
            <v>2023</v>
          </cell>
          <cell r="J926" t="str">
            <v>C</v>
          </cell>
          <cell r="K926" t="str">
            <v>Santa Rosa</v>
          </cell>
          <cell r="N926" t="str">
            <v>C</v>
          </cell>
        </row>
        <row r="927">
          <cell r="B927" t="str">
            <v/>
          </cell>
          <cell r="C927" t="str">
            <v>YV3T7U523RA212314</v>
          </cell>
          <cell r="D927">
            <v>598537</v>
          </cell>
          <cell r="E927" t="str">
            <v>VOLVO</v>
          </cell>
          <cell r="F927" t="str">
            <v>B8RLEA</v>
          </cell>
          <cell r="G927" t="str">
            <v>MARCOPOLO</v>
          </cell>
          <cell r="H927" t="str">
            <v>GRAN VIALE</v>
          </cell>
          <cell r="I927">
            <v>2023</v>
          </cell>
          <cell r="J927" t="str">
            <v>C</v>
          </cell>
          <cell r="K927" t="str">
            <v>Santa Rosa</v>
          </cell>
          <cell r="N927" t="str">
            <v>C</v>
          </cell>
        </row>
        <row r="928">
          <cell r="B928" t="str">
            <v/>
          </cell>
          <cell r="C928" t="str">
            <v>LDYECS315S0045859</v>
          </cell>
          <cell r="D928" t="str">
            <v>MDN35025030200</v>
          </cell>
          <cell r="E928" t="str">
            <v>Zhong Thong</v>
          </cell>
          <cell r="F928" t="str">
            <v>Lck6122evg</v>
          </cell>
          <cell r="G928" t="str">
            <v>Zhong Thong</v>
          </cell>
          <cell r="H928" t="str">
            <v>Lck6122evg</v>
          </cell>
          <cell r="I928">
            <v>2026</v>
          </cell>
          <cell r="J928" t="str">
            <v>B</v>
          </cell>
          <cell r="K928" t="str">
            <v>Las Acacias</v>
          </cell>
          <cell r="N928" t="str">
            <v>B</v>
          </cell>
        </row>
        <row r="929">
          <cell r="B929" t="str">
            <v/>
          </cell>
          <cell r="C929" t="str">
            <v>LDYECS313S0045858</v>
          </cell>
          <cell r="D929" t="str">
            <v>MDN35025030201</v>
          </cell>
          <cell r="E929" t="str">
            <v>Zhong Thong</v>
          </cell>
          <cell r="F929" t="str">
            <v>Lck6122evg</v>
          </cell>
          <cell r="G929" t="str">
            <v>Zhong Thong</v>
          </cell>
          <cell r="H929" t="str">
            <v>Lck6122evg</v>
          </cell>
          <cell r="I929">
            <v>2026</v>
          </cell>
          <cell r="J929" t="str">
            <v>B</v>
          </cell>
          <cell r="K929" t="str">
            <v>Las Acacias</v>
          </cell>
          <cell r="N929" t="str">
            <v>B</v>
          </cell>
        </row>
        <row r="930">
          <cell r="B930" t="str">
            <v/>
          </cell>
          <cell r="C930" t="str">
            <v>LDYECS313S0045777</v>
          </cell>
          <cell r="D930" t="str">
            <v>MDN35025030141</v>
          </cell>
          <cell r="E930" t="str">
            <v>Zhong Thong</v>
          </cell>
          <cell r="F930" t="str">
            <v>Lck6122evg</v>
          </cell>
          <cell r="G930" t="str">
            <v>Zhong Thong</v>
          </cell>
          <cell r="H930" t="str">
            <v>Lck6122evg</v>
          </cell>
          <cell r="I930">
            <v>2026</v>
          </cell>
          <cell r="J930" t="str">
            <v>B</v>
          </cell>
          <cell r="K930" t="str">
            <v>Las Acacias</v>
          </cell>
          <cell r="N930" t="str">
            <v>B</v>
          </cell>
        </row>
        <row r="931">
          <cell r="B931" t="str">
            <v/>
          </cell>
          <cell r="C931" t="str">
            <v>LDYECS314S0045772</v>
          </cell>
          <cell r="D931" t="str">
            <v>MDN35025030143</v>
          </cell>
          <cell r="E931" t="str">
            <v>Zhong Thong</v>
          </cell>
          <cell r="F931" t="str">
            <v>Lck6122evg</v>
          </cell>
          <cell r="G931" t="str">
            <v>Zhong Thong</v>
          </cell>
          <cell r="H931" t="str">
            <v>Lck6122evg</v>
          </cell>
          <cell r="I931">
            <v>2026</v>
          </cell>
          <cell r="J931" t="str">
            <v>B</v>
          </cell>
          <cell r="K931" t="str">
            <v>Las Acacias</v>
          </cell>
          <cell r="N931" t="str">
            <v>B</v>
          </cell>
        </row>
        <row r="932">
          <cell r="B932" t="str">
            <v/>
          </cell>
          <cell r="C932" t="str">
            <v>LDYECS318S0045869</v>
          </cell>
          <cell r="D932" t="str">
            <v>MDN35025030203</v>
          </cell>
          <cell r="E932" t="str">
            <v>Zhong Thong</v>
          </cell>
          <cell r="F932" t="str">
            <v>Lck6122evg</v>
          </cell>
          <cell r="G932" t="str">
            <v>Zhong Thong</v>
          </cell>
          <cell r="H932" t="str">
            <v>Lck6122evg</v>
          </cell>
          <cell r="I932">
            <v>2026</v>
          </cell>
          <cell r="J932" t="str">
            <v>B</v>
          </cell>
          <cell r="K932" t="str">
            <v>Las Acacias</v>
          </cell>
          <cell r="N932" t="str">
            <v>B</v>
          </cell>
        </row>
        <row r="933">
          <cell r="B933" t="str">
            <v/>
          </cell>
          <cell r="C933" t="str">
            <v>LDYECS311S0045860</v>
          </cell>
          <cell r="D933" t="str">
            <v>MDN35025030275</v>
          </cell>
          <cell r="E933" t="str">
            <v>Zhong Thong</v>
          </cell>
          <cell r="F933" t="str">
            <v>Lck6122evg</v>
          </cell>
          <cell r="G933" t="str">
            <v>Zhong Thong</v>
          </cell>
          <cell r="H933" t="str">
            <v>Lck6122evg</v>
          </cell>
          <cell r="I933">
            <v>2026</v>
          </cell>
          <cell r="J933" t="str">
            <v>B</v>
          </cell>
          <cell r="K933" t="str">
            <v>Las Acacias</v>
          </cell>
          <cell r="N933" t="str">
            <v>B</v>
          </cell>
        </row>
        <row r="934">
          <cell r="B934" t="str">
            <v/>
          </cell>
          <cell r="C934" t="str">
            <v>LDYECS316S0045868</v>
          </cell>
          <cell r="D934" t="str">
            <v>MDN35025030262</v>
          </cell>
          <cell r="E934" t="str">
            <v>Zhong Thong</v>
          </cell>
          <cell r="F934" t="str">
            <v>Lck6122evg</v>
          </cell>
          <cell r="G934" t="str">
            <v>Zhong Thong</v>
          </cell>
          <cell r="H934" t="str">
            <v>Lck6122evg</v>
          </cell>
          <cell r="I934">
            <v>2026</v>
          </cell>
          <cell r="J934" t="str">
            <v>B</v>
          </cell>
          <cell r="K934" t="str">
            <v>Las Acacias</v>
          </cell>
          <cell r="N934" t="str">
            <v>B</v>
          </cell>
        </row>
        <row r="935">
          <cell r="B935" t="str">
            <v/>
          </cell>
          <cell r="C935" t="str">
            <v>LDYECS312S0045785</v>
          </cell>
          <cell r="D935" t="str">
            <v>MDN35025030159</v>
          </cell>
          <cell r="E935" t="str">
            <v>Zhong Thong</v>
          </cell>
          <cell r="F935" t="str">
            <v>Lck6122evg</v>
          </cell>
          <cell r="G935" t="str">
            <v>Zhong Thong</v>
          </cell>
          <cell r="H935" t="str">
            <v>Lck6122evg</v>
          </cell>
          <cell r="I935">
            <v>2026</v>
          </cell>
          <cell r="J935" t="str">
            <v>B</v>
          </cell>
          <cell r="K935" t="str">
            <v>Las Acacias</v>
          </cell>
          <cell r="N935" t="str">
            <v>B</v>
          </cell>
        </row>
        <row r="936">
          <cell r="B936" t="str">
            <v/>
          </cell>
          <cell r="C936" t="str">
            <v>LDYECS31XS0045873</v>
          </cell>
          <cell r="D936" t="str">
            <v>MDN35025030290</v>
          </cell>
          <cell r="E936" t="str">
            <v>Zhong Thong</v>
          </cell>
          <cell r="F936" t="str">
            <v>Lck6122evg</v>
          </cell>
          <cell r="G936" t="str">
            <v>Zhong Thong</v>
          </cell>
          <cell r="H936" t="str">
            <v>Lck6122evg</v>
          </cell>
          <cell r="I936">
            <v>2026</v>
          </cell>
          <cell r="J936" t="str">
            <v>B</v>
          </cell>
          <cell r="K936" t="str">
            <v>Las Acacias</v>
          </cell>
          <cell r="N936" t="str">
            <v>B</v>
          </cell>
        </row>
        <row r="937">
          <cell r="B937" t="str">
            <v/>
          </cell>
          <cell r="C937" t="str">
            <v>LDYECS319S0045783</v>
          </cell>
          <cell r="D937" t="str">
            <v>MDN35025030314</v>
          </cell>
          <cell r="E937" t="str">
            <v>Zhong Thong</v>
          </cell>
          <cell r="F937" t="str">
            <v>Lck6122evg</v>
          </cell>
          <cell r="G937" t="str">
            <v>Zhong Thong</v>
          </cell>
          <cell r="H937" t="str">
            <v>Lck6122evg</v>
          </cell>
          <cell r="I937">
            <v>2026</v>
          </cell>
          <cell r="J937" t="str">
            <v>B</v>
          </cell>
          <cell r="K937" t="str">
            <v>Las Acacias</v>
          </cell>
          <cell r="N937" t="str">
            <v>B</v>
          </cell>
        </row>
        <row r="938">
          <cell r="B938" t="str">
            <v/>
          </cell>
          <cell r="C938" t="str">
            <v>LDYECS315S0045778</v>
          </cell>
          <cell r="D938" t="str">
            <v>MDN35025030280</v>
          </cell>
          <cell r="E938" t="str">
            <v>Zhong Thong</v>
          </cell>
          <cell r="F938" t="str">
            <v>Lck6122evg</v>
          </cell>
          <cell r="G938" t="str">
            <v>Zhong Thong</v>
          </cell>
          <cell r="H938" t="str">
            <v>Lck6122evg</v>
          </cell>
          <cell r="I938">
            <v>2026</v>
          </cell>
          <cell r="J938" t="str">
            <v>B</v>
          </cell>
          <cell r="K938" t="str">
            <v>Las Acacias</v>
          </cell>
          <cell r="N938" t="str">
            <v>B</v>
          </cell>
        </row>
        <row r="939">
          <cell r="B939" t="str">
            <v/>
          </cell>
          <cell r="C939" t="str">
            <v>LDYECS316S0045787</v>
          </cell>
          <cell r="D939" t="str">
            <v>MDN35025030176</v>
          </cell>
          <cell r="E939" t="str">
            <v>Zhong Thong</v>
          </cell>
          <cell r="F939" t="str">
            <v>Lck6122evg</v>
          </cell>
          <cell r="G939" t="str">
            <v>Zhong Thong</v>
          </cell>
          <cell r="H939" t="str">
            <v>Lck6122evg</v>
          </cell>
          <cell r="I939">
            <v>2026</v>
          </cell>
          <cell r="J939" t="str">
            <v>B</v>
          </cell>
          <cell r="K939" t="str">
            <v>Las Acacias</v>
          </cell>
          <cell r="N939" t="str">
            <v>B</v>
          </cell>
        </row>
        <row r="940">
          <cell r="B940" t="str">
            <v/>
          </cell>
          <cell r="C940" t="str">
            <v>LDYECS313S0045780</v>
          </cell>
          <cell r="D940" t="str">
            <v>MDN35025030190</v>
          </cell>
          <cell r="E940" t="str">
            <v>Zhong Thong</v>
          </cell>
          <cell r="F940" t="str">
            <v>Lck6122evg</v>
          </cell>
          <cell r="G940" t="str">
            <v>Zhong Thong</v>
          </cell>
          <cell r="H940" t="str">
            <v>Lck6122evg</v>
          </cell>
          <cell r="I940">
            <v>2026</v>
          </cell>
          <cell r="J940" t="str">
            <v>B</v>
          </cell>
          <cell r="K940" t="str">
            <v>Las Acacias</v>
          </cell>
          <cell r="N940" t="str">
            <v>B</v>
          </cell>
        </row>
        <row r="941">
          <cell r="B941" t="str">
            <v/>
          </cell>
          <cell r="C941" t="str">
            <v>LDYECS311S0045776</v>
          </cell>
          <cell r="D941" t="str">
            <v>MDN35025030167</v>
          </cell>
          <cell r="E941" t="str">
            <v>Zhong Thong</v>
          </cell>
          <cell r="F941" t="str">
            <v>Lck6122evg</v>
          </cell>
          <cell r="G941" t="str">
            <v>Zhong Thong</v>
          </cell>
          <cell r="H941" t="str">
            <v>Lck6122evg</v>
          </cell>
          <cell r="I941">
            <v>2026</v>
          </cell>
          <cell r="J941" t="str">
            <v>B</v>
          </cell>
          <cell r="K941" t="str">
            <v>Las Acacias</v>
          </cell>
          <cell r="N941" t="str">
            <v>B</v>
          </cell>
        </row>
        <row r="942">
          <cell r="B942" t="str">
            <v/>
          </cell>
          <cell r="C942" t="str">
            <v>LDYECS317S0045782</v>
          </cell>
          <cell r="D942" t="str">
            <v>MDN35025030212</v>
          </cell>
          <cell r="E942" t="str">
            <v>Zhong Thong</v>
          </cell>
          <cell r="F942" t="str">
            <v>Lck6122evg</v>
          </cell>
          <cell r="G942" t="str">
            <v>Zhong Thong</v>
          </cell>
          <cell r="H942" t="str">
            <v>Lck6122evg</v>
          </cell>
          <cell r="I942">
            <v>2026</v>
          </cell>
          <cell r="J942" t="str">
            <v>B</v>
          </cell>
          <cell r="K942" t="str">
            <v>Las Acacias</v>
          </cell>
          <cell r="N942" t="str">
            <v>B</v>
          </cell>
        </row>
        <row r="943">
          <cell r="B943" t="str">
            <v/>
          </cell>
          <cell r="C943" t="str">
            <v>LDYECS316S0045885</v>
          </cell>
          <cell r="D943" t="str">
            <v>MDN35025030187</v>
          </cell>
          <cell r="E943" t="str">
            <v>Zhong Thong</v>
          </cell>
          <cell r="F943" t="str">
            <v>Lck6122evg</v>
          </cell>
          <cell r="G943" t="str">
            <v>Zhong Thong</v>
          </cell>
          <cell r="H943" t="str">
            <v>Lck6122evg</v>
          </cell>
          <cell r="I943">
            <v>2026</v>
          </cell>
          <cell r="J943" t="str">
            <v>B</v>
          </cell>
          <cell r="K943" t="str">
            <v>Las Acacias</v>
          </cell>
          <cell r="N943" t="str">
            <v>B</v>
          </cell>
        </row>
        <row r="944">
          <cell r="B944" t="str">
            <v/>
          </cell>
          <cell r="C944" t="str">
            <v>LDYECS311S0045745</v>
          </cell>
          <cell r="D944" t="str">
            <v>MDN35025030007</v>
          </cell>
          <cell r="E944" t="str">
            <v>Zhong Thong</v>
          </cell>
          <cell r="F944" t="str">
            <v>Lck6122evg</v>
          </cell>
          <cell r="G944" t="str">
            <v>Zhong Thong</v>
          </cell>
          <cell r="H944" t="str">
            <v>Lck6122evg</v>
          </cell>
          <cell r="I944">
            <v>2026</v>
          </cell>
          <cell r="J944" t="str">
            <v>B</v>
          </cell>
          <cell r="K944" t="str">
            <v>Las Acacias</v>
          </cell>
          <cell r="N944" t="str">
            <v>B</v>
          </cell>
        </row>
        <row r="945">
          <cell r="B945" t="str">
            <v/>
          </cell>
          <cell r="C945" t="str">
            <v>LDYECS31XS0045789</v>
          </cell>
          <cell r="D945" t="str">
            <v>MDN35025030164</v>
          </cell>
          <cell r="E945" t="str">
            <v>Zhong Thong</v>
          </cell>
          <cell r="F945" t="str">
            <v>Lck6122evg</v>
          </cell>
          <cell r="G945" t="str">
            <v>Zhong Thong</v>
          </cell>
          <cell r="H945" t="str">
            <v>Lck6122evg</v>
          </cell>
          <cell r="I945">
            <v>2026</v>
          </cell>
          <cell r="J945" t="str">
            <v>B</v>
          </cell>
          <cell r="K945" t="str">
            <v>Las Acacias</v>
          </cell>
          <cell r="N945" t="str">
            <v>B</v>
          </cell>
        </row>
        <row r="946">
          <cell r="B946" t="str">
            <v/>
          </cell>
          <cell r="C946" t="str">
            <v>LDYECS311S0045888</v>
          </cell>
          <cell r="D946" t="str">
            <v>MDN35025010010</v>
          </cell>
          <cell r="E946" t="str">
            <v>Zhong Thong</v>
          </cell>
          <cell r="F946" t="str">
            <v>Lck6122evg</v>
          </cell>
          <cell r="G946" t="str">
            <v>Zhong Thong</v>
          </cell>
          <cell r="H946" t="str">
            <v>Lck6122evg</v>
          </cell>
          <cell r="I946">
            <v>2026</v>
          </cell>
          <cell r="J946" t="str">
            <v>B</v>
          </cell>
          <cell r="K946" t="str">
            <v>Las Acacias</v>
          </cell>
          <cell r="N946" t="str">
            <v>B</v>
          </cell>
        </row>
        <row r="947">
          <cell r="B947" t="str">
            <v/>
          </cell>
          <cell r="C947" t="str">
            <v>LDYECS312S0045883</v>
          </cell>
          <cell r="D947" t="str">
            <v>MDN35025010007</v>
          </cell>
          <cell r="E947" t="str">
            <v>Zhong Thong</v>
          </cell>
          <cell r="F947" t="str">
            <v>Lck6122evg</v>
          </cell>
          <cell r="G947" t="str">
            <v>Zhong Thong</v>
          </cell>
          <cell r="H947" t="str">
            <v>Lck6122evg</v>
          </cell>
          <cell r="I947">
            <v>2026</v>
          </cell>
          <cell r="J947" t="str">
            <v>B</v>
          </cell>
          <cell r="K947" t="str">
            <v>Las Acacias</v>
          </cell>
          <cell r="N947" t="str">
            <v>B</v>
          </cell>
        </row>
        <row r="948">
          <cell r="B948" t="str">
            <v/>
          </cell>
          <cell r="C948" t="str">
            <v>LDYECS315S0045876</v>
          </cell>
          <cell r="D948" t="str">
            <v>MDN35025030057</v>
          </cell>
          <cell r="E948" t="str">
            <v>Zhong Thong</v>
          </cell>
          <cell r="F948" t="str">
            <v>Lck6122evg</v>
          </cell>
          <cell r="G948" t="str">
            <v>Zhong Thong</v>
          </cell>
          <cell r="H948" t="str">
            <v>Lck6122evg</v>
          </cell>
          <cell r="I948">
            <v>2026</v>
          </cell>
          <cell r="J948" t="str">
            <v>B</v>
          </cell>
          <cell r="K948" t="str">
            <v>Las Acacias</v>
          </cell>
          <cell r="N948" t="str">
            <v>B</v>
          </cell>
        </row>
        <row r="949">
          <cell r="B949" t="str">
            <v/>
          </cell>
          <cell r="C949" t="str">
            <v>LDYECS319S0045881</v>
          </cell>
          <cell r="D949" t="str">
            <v>MDN35025030161</v>
          </cell>
          <cell r="E949" t="str">
            <v>Zhong Thong</v>
          </cell>
          <cell r="F949" t="str">
            <v>Lck6122evg</v>
          </cell>
          <cell r="G949" t="str">
            <v>Zhong Thong</v>
          </cell>
          <cell r="H949" t="str">
            <v>Lck6122evg</v>
          </cell>
          <cell r="I949">
            <v>2026</v>
          </cell>
          <cell r="J949" t="str">
            <v>B</v>
          </cell>
          <cell r="K949" t="str">
            <v>Las Acacias</v>
          </cell>
          <cell r="N949" t="str">
            <v>B</v>
          </cell>
        </row>
        <row r="950">
          <cell r="B950" t="str">
            <v/>
          </cell>
          <cell r="C950" t="str">
            <v>LDYECS318S0045788</v>
          </cell>
          <cell r="D950" t="str">
            <v>MDN35025030139</v>
          </cell>
          <cell r="E950" t="str">
            <v>Zhong Thong</v>
          </cell>
          <cell r="F950" t="str">
            <v>Lck6122evg</v>
          </cell>
          <cell r="G950" t="str">
            <v>Zhong Thong</v>
          </cell>
          <cell r="H950" t="str">
            <v>Lck6122evg</v>
          </cell>
          <cell r="I950">
            <v>2026</v>
          </cell>
          <cell r="J950" t="str">
            <v>B</v>
          </cell>
          <cell r="K950" t="str">
            <v>Las Acacias</v>
          </cell>
          <cell r="N950" t="str">
            <v>B</v>
          </cell>
        </row>
        <row r="951">
          <cell r="B951" t="str">
            <v/>
          </cell>
          <cell r="C951" t="str">
            <v>LDYECS317S0045877</v>
          </cell>
          <cell r="D951" t="str">
            <v>MDN35025030162</v>
          </cell>
          <cell r="E951" t="str">
            <v>Zhong Thong</v>
          </cell>
          <cell r="F951" t="str">
            <v>Lck6122evg</v>
          </cell>
          <cell r="G951" t="str">
            <v>Zhong Thong</v>
          </cell>
          <cell r="H951" t="str">
            <v>Lck6122evg</v>
          </cell>
          <cell r="I951">
            <v>2026</v>
          </cell>
          <cell r="J951" t="str">
            <v>B</v>
          </cell>
          <cell r="K951" t="str">
            <v>Las Acacias</v>
          </cell>
          <cell r="N951" t="str">
            <v>B</v>
          </cell>
        </row>
        <row r="952">
          <cell r="B952" t="str">
            <v/>
          </cell>
          <cell r="C952" t="str">
            <v>LDYECS313S0045875</v>
          </cell>
          <cell r="D952" t="str">
            <v>MDN35025030129</v>
          </cell>
          <cell r="E952" t="str">
            <v>Zhong Thong</v>
          </cell>
          <cell r="F952" t="str">
            <v>Lck6122evg</v>
          </cell>
          <cell r="G952" t="str">
            <v>Zhong Thong</v>
          </cell>
          <cell r="H952" t="str">
            <v>Lck6122evg</v>
          </cell>
          <cell r="I952">
            <v>2026</v>
          </cell>
          <cell r="J952" t="str">
            <v>B</v>
          </cell>
          <cell r="K952" t="str">
            <v>Las Acacias</v>
          </cell>
          <cell r="N952" t="str">
            <v>B</v>
          </cell>
        </row>
        <row r="953">
          <cell r="B953" t="str">
            <v/>
          </cell>
          <cell r="C953" t="str">
            <v>LDYECS314S0045884</v>
          </cell>
          <cell r="D953" t="str">
            <v>MDN35025030150</v>
          </cell>
          <cell r="E953" t="str">
            <v>Zhong Thong</v>
          </cell>
          <cell r="F953" t="str">
            <v>Lck6122evg</v>
          </cell>
          <cell r="G953" t="str">
            <v>Zhong Thong</v>
          </cell>
          <cell r="H953" t="str">
            <v>Lck6122evg</v>
          </cell>
          <cell r="I953">
            <v>2026</v>
          </cell>
          <cell r="J953" t="str">
            <v>B</v>
          </cell>
          <cell r="K953" t="str">
            <v>Las Acacias</v>
          </cell>
          <cell r="N953" t="str">
            <v>B</v>
          </cell>
        </row>
        <row r="954">
          <cell r="B954" t="str">
            <v/>
          </cell>
          <cell r="C954" t="str">
            <v>LDYECS310S0045879</v>
          </cell>
          <cell r="D954" t="str">
            <v>MDN35025030061</v>
          </cell>
          <cell r="E954" t="str">
            <v>Zhong Thong</v>
          </cell>
          <cell r="F954" t="str">
            <v>Lck6122evg</v>
          </cell>
          <cell r="G954" t="str">
            <v>Zhong Thong</v>
          </cell>
          <cell r="H954" t="str">
            <v>Lck6122evg</v>
          </cell>
          <cell r="I954">
            <v>2026</v>
          </cell>
          <cell r="J954" t="str">
            <v>B</v>
          </cell>
          <cell r="K954" t="str">
            <v>Las Acacias</v>
          </cell>
          <cell r="N954" t="str">
            <v>B</v>
          </cell>
        </row>
        <row r="955">
          <cell r="B955" t="str">
            <v/>
          </cell>
          <cell r="C955" t="str">
            <v>LDYECS317S0045880</v>
          </cell>
          <cell r="D955" t="str">
            <v>MDN35025030304</v>
          </cell>
          <cell r="E955" t="str">
            <v>Zhong Thong</v>
          </cell>
          <cell r="F955" t="str">
            <v>Lck6122evg</v>
          </cell>
          <cell r="G955" t="str">
            <v>Zhong Thong</v>
          </cell>
          <cell r="H955" t="str">
            <v>Lck6122evg</v>
          </cell>
          <cell r="I955">
            <v>2026</v>
          </cell>
          <cell r="J955" t="str">
            <v>B</v>
          </cell>
          <cell r="K955" t="str">
            <v>Las Acacias</v>
          </cell>
          <cell r="N955" t="str">
            <v>B</v>
          </cell>
        </row>
        <row r="956">
          <cell r="B956" t="str">
            <v/>
          </cell>
          <cell r="C956" t="str">
            <v>LDYECS319S0045878</v>
          </cell>
          <cell r="D956" t="str">
            <v>MDN35025030083</v>
          </cell>
          <cell r="E956" t="str">
            <v>Zhong Thong</v>
          </cell>
          <cell r="F956" t="str">
            <v>Lck6122evg</v>
          </cell>
          <cell r="G956" t="str">
            <v>Zhong Thong</v>
          </cell>
          <cell r="H956" t="str">
            <v>Lck6122evg</v>
          </cell>
          <cell r="I956">
            <v>2026</v>
          </cell>
          <cell r="J956" t="str">
            <v>B</v>
          </cell>
          <cell r="K956" t="str">
            <v>Las Acacias</v>
          </cell>
          <cell r="N956" t="str">
            <v>B</v>
          </cell>
        </row>
        <row r="957">
          <cell r="B957" t="str">
            <v/>
          </cell>
          <cell r="C957" t="str">
            <v>LDYECS310S0045882</v>
          </cell>
          <cell r="D957" t="str">
            <v>MDN35025030289</v>
          </cell>
          <cell r="E957" t="str">
            <v>Zhong Thong</v>
          </cell>
          <cell r="F957" t="str">
            <v>Lck6122evg</v>
          </cell>
          <cell r="G957" t="str">
            <v>Zhong Thong</v>
          </cell>
          <cell r="H957" t="str">
            <v>Lck6122evg</v>
          </cell>
          <cell r="I957">
            <v>2026</v>
          </cell>
          <cell r="J957" t="str">
            <v>B</v>
          </cell>
          <cell r="K957" t="str">
            <v>Las Acacias</v>
          </cell>
          <cell r="N957" t="str">
            <v>B</v>
          </cell>
        </row>
        <row r="958">
          <cell r="B958" t="str">
            <v/>
          </cell>
          <cell r="C958" t="str">
            <v>LDYECS316S0045899</v>
          </cell>
          <cell r="D958" t="str">
            <v>MDN35025030166</v>
          </cell>
          <cell r="E958" t="str">
            <v>Zhong Thong</v>
          </cell>
          <cell r="F958" t="str">
            <v>Lck6122evg</v>
          </cell>
          <cell r="G958" t="str">
            <v>Zhong Thong</v>
          </cell>
          <cell r="H958" t="str">
            <v>Lck6122evg</v>
          </cell>
          <cell r="I958">
            <v>2026</v>
          </cell>
          <cell r="J958" t="str">
            <v>B</v>
          </cell>
          <cell r="K958" t="str">
            <v>Las Acacias</v>
          </cell>
          <cell r="N958" t="str">
            <v>B</v>
          </cell>
        </row>
        <row r="959">
          <cell r="B959" t="str">
            <v/>
          </cell>
          <cell r="C959" t="str">
            <v>LDYECS311S0045891</v>
          </cell>
          <cell r="D959" t="str">
            <v>MDN35025030095</v>
          </cell>
          <cell r="E959" t="str">
            <v>Zhong Thong</v>
          </cell>
          <cell r="F959" t="str">
            <v>Lck6122evg</v>
          </cell>
          <cell r="G959" t="str">
            <v>Zhong Thong</v>
          </cell>
          <cell r="H959" t="str">
            <v>Lck6122evg</v>
          </cell>
          <cell r="I959">
            <v>2026</v>
          </cell>
          <cell r="J959" t="str">
            <v>B</v>
          </cell>
          <cell r="K959" t="str">
            <v>Las Acacias</v>
          </cell>
          <cell r="N959" t="str">
            <v>B</v>
          </cell>
        </row>
        <row r="960">
          <cell r="B960" t="str">
            <v/>
          </cell>
          <cell r="C960" t="str">
            <v>LDYECS312S0045897</v>
          </cell>
          <cell r="D960" t="str">
            <v>MDN35025030274</v>
          </cell>
          <cell r="E960" t="str">
            <v>Zhong Thong</v>
          </cell>
          <cell r="F960" t="str">
            <v>Lck6122evg</v>
          </cell>
          <cell r="G960" t="str">
            <v>Zhong Thong</v>
          </cell>
          <cell r="H960" t="str">
            <v>Lck6122evg</v>
          </cell>
          <cell r="I960">
            <v>2026</v>
          </cell>
          <cell r="J960" t="str">
            <v>B</v>
          </cell>
          <cell r="K960" t="str">
            <v>Las Acacias</v>
          </cell>
          <cell r="N960" t="str">
            <v>B</v>
          </cell>
        </row>
        <row r="961">
          <cell r="B961" t="str">
            <v/>
          </cell>
          <cell r="C961" t="str">
            <v>LDYECS313S0045892</v>
          </cell>
          <cell r="D961" t="str">
            <v>MDN35025010003</v>
          </cell>
          <cell r="E961" t="str">
            <v>Zhong Thong</v>
          </cell>
          <cell r="F961" t="str">
            <v>Lck6122evg</v>
          </cell>
          <cell r="G961" t="str">
            <v>Zhong Thong</v>
          </cell>
          <cell r="H961" t="str">
            <v>Lck6122evg</v>
          </cell>
          <cell r="I961">
            <v>2026</v>
          </cell>
          <cell r="J961" t="str">
            <v>B</v>
          </cell>
          <cell r="K961" t="str">
            <v>Las Acacias</v>
          </cell>
          <cell r="N961" t="str">
            <v>B</v>
          </cell>
        </row>
        <row r="962">
          <cell r="B962" t="str">
            <v/>
          </cell>
          <cell r="C962" t="str">
            <v>LDYECS319S0045900</v>
          </cell>
          <cell r="D962" t="str">
            <v>MDN35025030309</v>
          </cell>
          <cell r="E962" t="str">
            <v>Zhong Thong</v>
          </cell>
          <cell r="F962" t="str">
            <v>Lck6122evg</v>
          </cell>
          <cell r="G962" t="str">
            <v>Zhong Thong</v>
          </cell>
          <cell r="H962" t="str">
            <v>Lck6122evg</v>
          </cell>
          <cell r="I962">
            <v>2026</v>
          </cell>
          <cell r="J962" t="str">
            <v>B</v>
          </cell>
          <cell r="K962" t="str">
            <v>Las Acacias</v>
          </cell>
          <cell r="N962" t="str">
            <v>B</v>
          </cell>
        </row>
        <row r="963">
          <cell r="B963" t="str">
            <v/>
          </cell>
          <cell r="C963" t="str">
            <v>LDYECS310S0045901</v>
          </cell>
          <cell r="D963" t="str">
            <v>MDN35025030140</v>
          </cell>
          <cell r="E963" t="str">
            <v>Zhong Thong</v>
          </cell>
          <cell r="F963" t="str">
            <v>Lck6122evg</v>
          </cell>
          <cell r="G963" t="str">
            <v>Zhong Thong</v>
          </cell>
          <cell r="H963" t="str">
            <v>Lck6122evg</v>
          </cell>
          <cell r="I963">
            <v>2026</v>
          </cell>
          <cell r="J963" t="str">
            <v>B</v>
          </cell>
          <cell r="K963" t="str">
            <v>Las Acacias</v>
          </cell>
          <cell r="N963" t="str">
            <v>B</v>
          </cell>
        </row>
        <row r="964">
          <cell r="B964" t="str">
            <v/>
          </cell>
          <cell r="C964" t="str">
            <v>LDYECS317S0045894</v>
          </cell>
          <cell r="D964" t="str">
            <v>MDN35025010015</v>
          </cell>
          <cell r="E964" t="str">
            <v>Zhong Thong</v>
          </cell>
          <cell r="F964" t="str">
            <v>Lck6122evg</v>
          </cell>
          <cell r="G964" t="str">
            <v>Zhong Thong</v>
          </cell>
          <cell r="H964" t="str">
            <v>Lck6122evg</v>
          </cell>
          <cell r="I964">
            <v>2026</v>
          </cell>
          <cell r="J964" t="str">
            <v>B</v>
          </cell>
          <cell r="K964" t="str">
            <v>Las Acacias</v>
          </cell>
          <cell r="N964" t="str">
            <v>B</v>
          </cell>
        </row>
        <row r="965">
          <cell r="B965" t="str">
            <v/>
          </cell>
          <cell r="C965" t="str">
            <v>LDYECS310S0045896</v>
          </cell>
          <cell r="D965" t="str">
            <v>MDN35025030169</v>
          </cell>
          <cell r="E965" t="str">
            <v>Zhong Thong</v>
          </cell>
          <cell r="F965" t="str">
            <v>Lck6122evg</v>
          </cell>
          <cell r="G965" t="str">
            <v>Zhong Thong</v>
          </cell>
          <cell r="H965" t="str">
            <v>Lck6122evg</v>
          </cell>
          <cell r="I965">
            <v>2026</v>
          </cell>
          <cell r="J965" t="str">
            <v>B</v>
          </cell>
          <cell r="K965" t="str">
            <v>Las Acacias</v>
          </cell>
          <cell r="N965" t="str">
            <v>B</v>
          </cell>
        </row>
        <row r="966">
          <cell r="B966" t="str">
            <v/>
          </cell>
          <cell r="C966" t="str">
            <v>LDYECS319S0045895</v>
          </cell>
          <cell r="D966" t="str">
            <v>MDN35025030282</v>
          </cell>
          <cell r="E966" t="str">
            <v>Zhong Thong</v>
          </cell>
          <cell r="F966" t="str">
            <v>Lck6122evg</v>
          </cell>
          <cell r="G966" t="str">
            <v>Zhong Thong</v>
          </cell>
          <cell r="H966" t="str">
            <v>Lck6122evg</v>
          </cell>
          <cell r="I966">
            <v>2026</v>
          </cell>
          <cell r="J966" t="str">
            <v>B</v>
          </cell>
          <cell r="K966" t="str">
            <v>Las Acacias</v>
          </cell>
          <cell r="N966" t="str">
            <v>B</v>
          </cell>
        </row>
        <row r="967">
          <cell r="B967" t="str">
            <v/>
          </cell>
          <cell r="C967" t="str">
            <v>LDYECS313S0045889</v>
          </cell>
          <cell r="D967" t="str">
            <v>MDN35025010009</v>
          </cell>
          <cell r="E967" t="str">
            <v>Zhong Thong</v>
          </cell>
          <cell r="F967" t="str">
            <v>Lck6122evg</v>
          </cell>
          <cell r="G967" t="str">
            <v>Zhong Thong</v>
          </cell>
          <cell r="H967" t="str">
            <v>Lck6122evg</v>
          </cell>
          <cell r="I967">
            <v>2026</v>
          </cell>
          <cell r="J967" t="str">
            <v>B</v>
          </cell>
          <cell r="K967" t="str">
            <v>Las Acacias</v>
          </cell>
          <cell r="N967" t="str">
            <v>B</v>
          </cell>
        </row>
        <row r="968">
          <cell r="B968" t="str">
            <v/>
          </cell>
          <cell r="C968" t="str">
            <v>LDYECS314S0045898</v>
          </cell>
          <cell r="D968" t="str">
            <v>MDN35025030165</v>
          </cell>
          <cell r="E968" t="str">
            <v>Zhong Thong</v>
          </cell>
          <cell r="F968" t="str">
            <v>Lck6122evg</v>
          </cell>
          <cell r="G968" t="str">
            <v>Zhong Thong</v>
          </cell>
          <cell r="H968" t="str">
            <v>Lck6122evg</v>
          </cell>
          <cell r="I968">
            <v>2026</v>
          </cell>
          <cell r="J968" t="str">
            <v>B</v>
          </cell>
          <cell r="K968" t="str">
            <v>Las Acacias</v>
          </cell>
          <cell r="N968" t="str">
            <v>B</v>
          </cell>
        </row>
        <row r="969">
          <cell r="B969" t="str">
            <v/>
          </cell>
          <cell r="C969" t="str">
            <v>LDYECS318S0045886</v>
          </cell>
          <cell r="D969" t="str">
            <v>MDN35025010011</v>
          </cell>
          <cell r="E969" t="str">
            <v>Zhong Thong</v>
          </cell>
          <cell r="F969" t="str">
            <v>Lck6122evg</v>
          </cell>
          <cell r="G969" t="str">
            <v>Zhong Thong</v>
          </cell>
          <cell r="H969" t="str">
            <v>Lck6122evg</v>
          </cell>
          <cell r="I969">
            <v>2026</v>
          </cell>
          <cell r="J969" t="str">
            <v>B</v>
          </cell>
          <cell r="K969" t="str">
            <v>Las Acacias</v>
          </cell>
          <cell r="N969" t="str">
            <v>B</v>
          </cell>
        </row>
        <row r="970">
          <cell r="B970" t="str">
            <v/>
          </cell>
          <cell r="C970" t="str">
            <v>LDYECS310S0040231</v>
          </cell>
          <cell r="D970" t="str">
            <v>MDN35024090002</v>
          </cell>
          <cell r="E970" t="str">
            <v>Zhong Thong</v>
          </cell>
          <cell r="F970" t="str">
            <v>Lck6122evg</v>
          </cell>
          <cell r="G970" t="str">
            <v>Zhong Thong</v>
          </cell>
          <cell r="H970" t="str">
            <v>Lck6122evg</v>
          </cell>
          <cell r="I970">
            <v>2026</v>
          </cell>
          <cell r="J970" t="str">
            <v>B</v>
          </cell>
          <cell r="K970" t="str">
            <v>Las Acacias</v>
          </cell>
          <cell r="N970" t="str">
            <v>B</v>
          </cell>
        </row>
        <row r="971">
          <cell r="B971" t="str">
            <v/>
          </cell>
          <cell r="C971" t="str">
            <v>LDYECS315S0045893</v>
          </cell>
          <cell r="D971" t="str">
            <v>MDN35025010002</v>
          </cell>
          <cell r="E971" t="str">
            <v>Zhong Thong</v>
          </cell>
          <cell r="F971" t="str">
            <v>Lck6122evg</v>
          </cell>
          <cell r="G971" t="str">
            <v>Zhong Thong</v>
          </cell>
          <cell r="H971" t="str">
            <v>Lck6122evg</v>
          </cell>
          <cell r="I971">
            <v>2026</v>
          </cell>
          <cell r="J971" t="str">
            <v>B</v>
          </cell>
          <cell r="K971" t="str">
            <v>Las Acacias</v>
          </cell>
          <cell r="N971" t="str">
            <v>B</v>
          </cell>
        </row>
        <row r="972">
          <cell r="B972" t="str">
            <v/>
          </cell>
          <cell r="C972" t="str">
            <v>LDYECS31XS0045890</v>
          </cell>
          <cell r="D972" t="str">
            <v>MDN35025030147</v>
          </cell>
          <cell r="E972" t="str">
            <v>Zhong Thong</v>
          </cell>
          <cell r="F972" t="str">
            <v>Lck6122evg</v>
          </cell>
          <cell r="G972" t="str">
            <v>Zhong Thong</v>
          </cell>
          <cell r="H972" t="str">
            <v>Lck6122evg</v>
          </cell>
          <cell r="I972">
            <v>2026</v>
          </cell>
          <cell r="J972" t="str">
            <v>B</v>
          </cell>
          <cell r="K972" t="str">
            <v>Las Acacias</v>
          </cell>
          <cell r="N972" t="str">
            <v>B</v>
          </cell>
        </row>
        <row r="973">
          <cell r="B973" t="str">
            <v>ppuguion</v>
          </cell>
          <cell r="C973" t="str">
            <v>N° Chasis</v>
          </cell>
          <cell r="D973" t="str">
            <v>N Motor</v>
          </cell>
          <cell r="E973" t="str">
            <v>Marca chasis</v>
          </cell>
          <cell r="F973" t="str">
            <v>Modelo Chasis</v>
          </cell>
          <cell r="G973" t="str">
            <v>Marca Carrocería</v>
          </cell>
          <cell r="H973" t="str">
            <v>Modelo Carrocería</v>
          </cell>
          <cell r="I973" t="str">
            <v>Año</v>
          </cell>
          <cell r="J973" t="str">
            <v>Tipo de Bus</v>
          </cell>
          <cell r="K973" t="str">
            <v>Nombre Terminal Asignado</v>
          </cell>
          <cell r="L973" t="str">
            <v xml:space="preserve">Dirección Terminal </v>
          </cell>
          <cell r="M973" t="str">
            <v xml:space="preserve">Comuna </v>
          </cell>
        </row>
        <row r="974">
          <cell r="B974" t="str">
            <v>GCBB-15</v>
          </cell>
          <cell r="C974" t="str">
            <v>De Baja</v>
          </cell>
          <cell r="D974" t="str">
            <v>De Baja</v>
          </cell>
          <cell r="E974" t="str">
            <v>De Baja</v>
          </cell>
          <cell r="F974" t="str">
            <v>De Baja</v>
          </cell>
          <cell r="G974" t="str">
            <v>De Baja</v>
          </cell>
          <cell r="H974" t="str">
            <v>De Baja</v>
          </cell>
          <cell r="I974" t="str">
            <v>De Baja</v>
          </cell>
          <cell r="J974" t="str">
            <v>De Baja</v>
          </cell>
          <cell r="K974" t="str">
            <v>De Baja</v>
          </cell>
          <cell r="L974" t="str">
            <v>De Baja</v>
          </cell>
          <cell r="M974" t="str">
            <v>De Baja</v>
          </cell>
        </row>
        <row r="975">
          <cell r="B975" t="str">
            <v>FLXZ-94</v>
          </cell>
          <cell r="C975" t="str">
            <v>D8478292K2PL</v>
          </cell>
          <cell r="D975" t="str">
            <v>YV3T7U524KA195142</v>
          </cell>
          <cell r="E975" t="str">
            <v>Volvo</v>
          </cell>
          <cell r="F975" t="str">
            <v>B8R</v>
          </cell>
          <cell r="G975" t="str">
            <v>MARCOPOLO</v>
          </cell>
          <cell r="H975" t="str">
            <v>TORINO</v>
          </cell>
          <cell r="I975">
            <v>2019</v>
          </cell>
          <cell r="J975" t="str">
            <v>B2PAL</v>
          </cell>
          <cell r="K975" t="str">
            <v>LOS LIBERTADORES</v>
          </cell>
          <cell r="L975" t="str">
            <v>Los Liberadores 6450, Lote 4A</v>
          </cell>
          <cell r="M975" t="str">
            <v>Huechuraba</v>
          </cell>
          <cell r="N975" t="str">
            <v>B</v>
          </cell>
        </row>
        <row r="976">
          <cell r="B976" t="str">
            <v>GCBB-13</v>
          </cell>
          <cell r="C976" t="str">
            <v>D8482685K2PL</v>
          </cell>
          <cell r="D976" t="str">
            <v>YV3T7U521KA195230</v>
          </cell>
          <cell r="E976" t="str">
            <v>Volvo</v>
          </cell>
          <cell r="F976" t="str">
            <v>B8R</v>
          </cell>
          <cell r="G976" t="str">
            <v>MARCOPOLO</v>
          </cell>
          <cell r="H976" t="str">
            <v>TORINO</v>
          </cell>
          <cell r="I976">
            <v>2019</v>
          </cell>
          <cell r="J976" t="str">
            <v>B2PAL</v>
          </cell>
          <cell r="K976" t="str">
            <v>LOS LIBERTADORES</v>
          </cell>
          <cell r="L976" t="str">
            <v>Los Liberadores 6450, Lote 4A</v>
          </cell>
          <cell r="M976" t="str">
            <v>Huechuraba</v>
          </cell>
          <cell r="N976" t="str">
            <v>B</v>
          </cell>
        </row>
        <row r="977">
          <cell r="B977" t="str">
            <v>GCBC-16</v>
          </cell>
          <cell r="C977" t="str">
            <v>D8483833K2PL</v>
          </cell>
          <cell r="D977" t="str">
            <v>YV3T7U520KA195641</v>
          </cell>
          <cell r="E977" t="str">
            <v>Volvo</v>
          </cell>
          <cell r="F977" t="str">
            <v>B8R</v>
          </cell>
          <cell r="G977" t="str">
            <v>MARCOPOLO</v>
          </cell>
          <cell r="H977" t="str">
            <v>TORINO</v>
          </cell>
          <cell r="I977">
            <v>2019</v>
          </cell>
          <cell r="J977" t="str">
            <v>B2PAL</v>
          </cell>
          <cell r="K977" t="str">
            <v>LOS LIBERTADORES</v>
          </cell>
          <cell r="L977" t="str">
            <v>Los Liberadores 6450, Lote 4A</v>
          </cell>
          <cell r="M977" t="str">
            <v>Huechuraba</v>
          </cell>
          <cell r="N977" t="str">
            <v>B</v>
          </cell>
        </row>
        <row r="978">
          <cell r="B978" t="str">
            <v>GCBC-17</v>
          </cell>
          <cell r="C978" t="str">
            <v>D8483530K2PL</v>
          </cell>
          <cell r="D978" t="str">
            <v>YV3T7U522KA195642</v>
          </cell>
          <cell r="E978" t="str">
            <v>Volvo</v>
          </cell>
          <cell r="F978" t="str">
            <v>B8R</v>
          </cell>
          <cell r="G978" t="str">
            <v>MARCOPOLO</v>
          </cell>
          <cell r="H978" t="str">
            <v>TORINO</v>
          </cell>
          <cell r="I978">
            <v>2019</v>
          </cell>
          <cell r="J978" t="str">
            <v>B2PAL</v>
          </cell>
          <cell r="K978" t="str">
            <v>LOS LIBERTADORES</v>
          </cell>
          <cell r="L978" t="str">
            <v>Los Liberadores 6450, Lote 4A</v>
          </cell>
          <cell r="M978" t="str">
            <v>Huechuraba</v>
          </cell>
          <cell r="N978" t="str">
            <v>B</v>
          </cell>
        </row>
        <row r="979">
          <cell r="B979" t="str">
            <v>GCBC-18</v>
          </cell>
          <cell r="C979" t="str">
            <v>D8483789K2PL</v>
          </cell>
          <cell r="D979" t="str">
            <v>YV3T7U524KA195643</v>
          </cell>
          <cell r="E979" t="str">
            <v>Volvo</v>
          </cell>
          <cell r="F979" t="str">
            <v>B8R</v>
          </cell>
          <cell r="G979" t="str">
            <v>MARCOPOLO</v>
          </cell>
          <cell r="H979" t="str">
            <v>TORINO</v>
          </cell>
          <cell r="I979">
            <v>2019</v>
          </cell>
          <cell r="J979" t="str">
            <v>B2PAL</v>
          </cell>
          <cell r="K979" t="str">
            <v>SAN JOSE</v>
          </cell>
          <cell r="L979" t="str">
            <v>San José 030 (José Besa 669)</v>
          </cell>
          <cell r="M979" t="str">
            <v>San Bernardo</v>
          </cell>
          <cell r="N979" t="str">
            <v>B</v>
          </cell>
        </row>
        <row r="980">
          <cell r="B980" t="str">
            <v>GCBC-19</v>
          </cell>
          <cell r="C980" t="str">
            <v>D8484480K2PL</v>
          </cell>
          <cell r="D980" t="str">
            <v>YV3T7U524KA195688</v>
          </cell>
          <cell r="E980" t="str">
            <v>Volvo</v>
          </cell>
          <cell r="F980" t="str">
            <v>B8R</v>
          </cell>
          <cell r="G980" t="str">
            <v>MARCOPOLO</v>
          </cell>
          <cell r="H980" t="str">
            <v>TORINO</v>
          </cell>
          <cell r="I980">
            <v>2019</v>
          </cell>
          <cell r="J980" t="str">
            <v>B2PAL</v>
          </cell>
          <cell r="K980" t="str">
            <v>SAN JOSE</v>
          </cell>
          <cell r="L980" t="str">
            <v>San José 030 (José Besa 669)</v>
          </cell>
          <cell r="M980" t="str">
            <v>San Bernardo</v>
          </cell>
          <cell r="N980" t="str">
            <v>B</v>
          </cell>
        </row>
        <row r="981">
          <cell r="B981" t="str">
            <v>GCBC-20</v>
          </cell>
          <cell r="C981" t="str">
            <v>D8484637K2PL</v>
          </cell>
          <cell r="D981" t="str">
            <v>YV3T7U528KA195712</v>
          </cell>
          <cell r="E981" t="str">
            <v>Volvo</v>
          </cell>
          <cell r="F981" t="str">
            <v>B8R</v>
          </cell>
          <cell r="G981" t="str">
            <v>MARCOPOLO</v>
          </cell>
          <cell r="H981" t="str">
            <v>TORINO</v>
          </cell>
          <cell r="I981">
            <v>2019</v>
          </cell>
          <cell r="J981" t="str">
            <v>B2PAL</v>
          </cell>
          <cell r="K981" t="str">
            <v>SAN JOSE</v>
          </cell>
          <cell r="L981" t="str">
            <v>San José 030 (José Besa 669)</v>
          </cell>
          <cell r="M981" t="str">
            <v>San Bernardo</v>
          </cell>
          <cell r="N981" t="str">
            <v>B</v>
          </cell>
        </row>
        <row r="982">
          <cell r="B982" t="str">
            <v>GCBC-21</v>
          </cell>
          <cell r="C982" t="str">
            <v>D8484676K2PL</v>
          </cell>
          <cell r="D982" t="str">
            <v>YV3T7U52XKA195713</v>
          </cell>
          <cell r="E982" t="str">
            <v>Volvo</v>
          </cell>
          <cell r="F982" t="str">
            <v>B8R</v>
          </cell>
          <cell r="G982" t="str">
            <v>MARCOPOLO</v>
          </cell>
          <cell r="H982" t="str">
            <v>TORINO</v>
          </cell>
          <cell r="I982">
            <v>2019</v>
          </cell>
          <cell r="J982" t="str">
            <v>B2PAL</v>
          </cell>
          <cell r="K982" t="str">
            <v>LOS LIBERTADORES</v>
          </cell>
          <cell r="L982" t="str">
            <v>Los Liberadores 6450, Lote 4A</v>
          </cell>
          <cell r="M982" t="str">
            <v>Huechuraba</v>
          </cell>
          <cell r="N982" t="str">
            <v>B</v>
          </cell>
        </row>
        <row r="983">
          <cell r="B983" t="str">
            <v>GCBC-22</v>
          </cell>
          <cell r="C983" t="str">
            <v>D8484733K2PL</v>
          </cell>
          <cell r="D983" t="str">
            <v>YV3T7U526KA195742</v>
          </cell>
          <cell r="E983" t="str">
            <v>Volvo</v>
          </cell>
          <cell r="F983" t="str">
            <v>B8R</v>
          </cell>
          <cell r="G983" t="str">
            <v>MARCOPOLO</v>
          </cell>
          <cell r="H983" t="str">
            <v>TORINO</v>
          </cell>
          <cell r="I983">
            <v>2019</v>
          </cell>
          <cell r="J983" t="str">
            <v>B2PAL</v>
          </cell>
          <cell r="K983" t="str">
            <v>LOS LIBERTADORES</v>
          </cell>
          <cell r="L983" t="str">
            <v>Los Liberadores 6450, Lote 4A</v>
          </cell>
          <cell r="M983" t="str">
            <v>Huechuraba</v>
          </cell>
          <cell r="N983" t="str">
            <v>B</v>
          </cell>
        </row>
        <row r="984">
          <cell r="B984" t="str">
            <v>GCBC-23</v>
          </cell>
          <cell r="C984" t="str">
            <v>D8481621K2PL</v>
          </cell>
          <cell r="D984" t="str">
            <v>YV3T7U528KA195175</v>
          </cell>
          <cell r="E984" t="str">
            <v>Volvo</v>
          </cell>
          <cell r="F984" t="str">
            <v>B8R</v>
          </cell>
          <cell r="G984" t="str">
            <v>MARCOPOLO</v>
          </cell>
          <cell r="H984" t="str">
            <v>TORINO</v>
          </cell>
          <cell r="I984">
            <v>2019</v>
          </cell>
          <cell r="J984" t="str">
            <v>B2PAL</v>
          </cell>
          <cell r="K984" t="str">
            <v>LOS LIBERTADORES</v>
          </cell>
          <cell r="L984" t="str">
            <v>Los Liberadores 6450, Lote 4A</v>
          </cell>
          <cell r="M984" t="str">
            <v>Huechuraba</v>
          </cell>
          <cell r="N984" t="str">
            <v>B</v>
          </cell>
        </row>
        <row r="985">
          <cell r="B985" t="str">
            <v>GCBB-16</v>
          </cell>
          <cell r="C985" t="str">
            <v>D8482769K2PL</v>
          </cell>
          <cell r="D985" t="str">
            <v>YV3T7U522KA195303</v>
          </cell>
          <cell r="E985" t="str">
            <v>Volvo</v>
          </cell>
          <cell r="F985" t="str">
            <v>B8R</v>
          </cell>
          <cell r="G985" t="str">
            <v>MARCOPOLO</v>
          </cell>
          <cell r="H985" t="str">
            <v>TORINO</v>
          </cell>
          <cell r="I985">
            <v>2019</v>
          </cell>
          <cell r="J985" t="str">
            <v>B2PAL</v>
          </cell>
          <cell r="K985" t="str">
            <v>LOS LIBERTADORES</v>
          </cell>
          <cell r="L985" t="str">
            <v>Los Liberadores 6450, Lote 4A</v>
          </cell>
          <cell r="M985" t="str">
            <v>Huechuraba</v>
          </cell>
          <cell r="N985" t="str">
            <v>B</v>
          </cell>
        </row>
        <row r="986">
          <cell r="B986" t="str">
            <v>GCBB-17</v>
          </cell>
          <cell r="C986" t="str">
            <v>D8478205K2PL</v>
          </cell>
          <cell r="D986" t="str">
            <v>YV3T7U520KA195140</v>
          </cell>
          <cell r="E986" t="str">
            <v>Volvo</v>
          </cell>
          <cell r="F986" t="str">
            <v>B8R</v>
          </cell>
          <cell r="G986" t="str">
            <v>MARCOPOLO</v>
          </cell>
          <cell r="H986" t="str">
            <v>TORINO</v>
          </cell>
          <cell r="I986">
            <v>2019</v>
          </cell>
          <cell r="J986" t="str">
            <v>B2PAL</v>
          </cell>
          <cell r="K986" t="str">
            <v>LOS LIBERTADORES</v>
          </cell>
          <cell r="L986" t="str">
            <v>Los Liberadores 6450, Lote 4A</v>
          </cell>
          <cell r="M986" t="str">
            <v>Huechuraba</v>
          </cell>
          <cell r="N986" t="str">
            <v>B</v>
          </cell>
        </row>
        <row r="987">
          <cell r="B987" t="str">
            <v>GCBB-18</v>
          </cell>
          <cell r="C987" t="str">
            <v>D8481556K2PL</v>
          </cell>
          <cell r="D987" t="str">
            <v>YV3T7U521KA195177</v>
          </cell>
          <cell r="E987" t="str">
            <v>Volvo</v>
          </cell>
          <cell r="F987" t="str">
            <v>B8R</v>
          </cell>
          <cell r="G987" t="str">
            <v>MARCOPOLO</v>
          </cell>
          <cell r="H987" t="str">
            <v>TORINO</v>
          </cell>
          <cell r="I987">
            <v>2019</v>
          </cell>
          <cell r="J987" t="str">
            <v>B2PAL</v>
          </cell>
          <cell r="K987" t="str">
            <v>SAN JOSE</v>
          </cell>
          <cell r="L987" t="str">
            <v>San José 030 (José Besa 669)</v>
          </cell>
          <cell r="M987" t="str">
            <v>San Bernardo</v>
          </cell>
          <cell r="N987" t="str">
            <v>B</v>
          </cell>
        </row>
        <row r="988">
          <cell r="B988" t="str">
            <v>GCBB-19</v>
          </cell>
          <cell r="C988" t="str">
            <v>D8482482K2PL</v>
          </cell>
          <cell r="D988" t="str">
            <v>YV3T7U523KA195326</v>
          </cell>
          <cell r="E988" t="str">
            <v>Volvo</v>
          </cell>
          <cell r="F988" t="str">
            <v>B8R</v>
          </cell>
          <cell r="G988" t="str">
            <v>MARCOPOLO</v>
          </cell>
          <cell r="H988" t="str">
            <v>TORINO</v>
          </cell>
          <cell r="I988">
            <v>2019</v>
          </cell>
          <cell r="J988" t="str">
            <v>B2PAL</v>
          </cell>
          <cell r="K988" t="str">
            <v>LOS LIBERTADORES</v>
          </cell>
          <cell r="L988" t="str">
            <v>Los Liberadores 6450, Lote 4A</v>
          </cell>
          <cell r="M988" t="str">
            <v>Huechuraba</v>
          </cell>
          <cell r="N988" t="str">
            <v>B</v>
          </cell>
        </row>
        <row r="989">
          <cell r="B989" t="str">
            <v>GCBB-20</v>
          </cell>
          <cell r="C989" t="str">
            <v>D8482478K2PL</v>
          </cell>
          <cell r="D989" t="str">
            <v>YV3T7U525KA195327</v>
          </cell>
          <cell r="E989" t="str">
            <v>Volvo</v>
          </cell>
          <cell r="F989" t="str">
            <v>B8R</v>
          </cell>
          <cell r="G989" t="str">
            <v>MARCOPOLO</v>
          </cell>
          <cell r="H989" t="str">
            <v>TORINO</v>
          </cell>
          <cell r="I989">
            <v>2019</v>
          </cell>
          <cell r="J989" t="str">
            <v>B2PAL</v>
          </cell>
          <cell r="K989" t="str">
            <v>LOS LIBERTADORES</v>
          </cell>
          <cell r="L989" t="str">
            <v>Los Liberadores 6450, Lote 4A</v>
          </cell>
          <cell r="M989" t="str">
            <v>Huechuraba</v>
          </cell>
          <cell r="N989" t="str">
            <v>B</v>
          </cell>
        </row>
        <row r="990">
          <cell r="B990" t="str">
            <v>GCBB-21</v>
          </cell>
          <cell r="C990" t="str">
            <v>D8482400K2PL</v>
          </cell>
          <cell r="D990" t="str">
            <v>YV3T7U527KA195328</v>
          </cell>
          <cell r="E990" t="str">
            <v>Volvo</v>
          </cell>
          <cell r="F990" t="str">
            <v>B8R</v>
          </cell>
          <cell r="G990" t="str">
            <v>MARCOPOLO</v>
          </cell>
          <cell r="H990" t="str">
            <v>TORINO</v>
          </cell>
          <cell r="I990">
            <v>2019</v>
          </cell>
          <cell r="J990" t="str">
            <v>B2PAL</v>
          </cell>
          <cell r="K990" t="str">
            <v>LOS LIBERTADORES</v>
          </cell>
          <cell r="L990" t="str">
            <v>Los Liberadores 6450, Lote 4A</v>
          </cell>
          <cell r="M990" t="str">
            <v>Huechuraba</v>
          </cell>
          <cell r="N990" t="str">
            <v>B</v>
          </cell>
        </row>
        <row r="991">
          <cell r="B991" t="str">
            <v>GCBB-22</v>
          </cell>
          <cell r="C991" t="str">
            <v>D8482554K2PL</v>
          </cell>
          <cell r="D991" t="str">
            <v>YV3T7U520KA195350</v>
          </cell>
          <cell r="E991" t="str">
            <v>Volvo</v>
          </cell>
          <cell r="F991" t="str">
            <v>B8R</v>
          </cell>
          <cell r="G991" t="str">
            <v>MARCOPOLO</v>
          </cell>
          <cell r="H991" t="str">
            <v>TORINO</v>
          </cell>
          <cell r="I991">
            <v>2019</v>
          </cell>
          <cell r="J991" t="str">
            <v>B2PAL</v>
          </cell>
          <cell r="K991" t="str">
            <v>LOS LIBERTADORES</v>
          </cell>
          <cell r="L991" t="str">
            <v>Los Liberadores 6450, Lote 4A</v>
          </cell>
          <cell r="M991" t="str">
            <v>Huechuraba</v>
          </cell>
          <cell r="N991" t="str">
            <v>B</v>
          </cell>
        </row>
        <row r="992">
          <cell r="B992" t="str">
            <v>GCBB-23</v>
          </cell>
          <cell r="C992" t="str">
            <v>D8482519K2PL</v>
          </cell>
          <cell r="D992" t="str">
            <v>YV3T7U522KA195351</v>
          </cell>
          <cell r="E992" t="str">
            <v>Volvo</v>
          </cell>
          <cell r="F992" t="str">
            <v>B8R</v>
          </cell>
          <cell r="G992" t="str">
            <v>MARCOPOLO</v>
          </cell>
          <cell r="H992" t="str">
            <v>TORINO</v>
          </cell>
          <cell r="I992">
            <v>2019</v>
          </cell>
          <cell r="J992" t="str">
            <v>B2PAL</v>
          </cell>
          <cell r="K992" t="str">
            <v>LOS LIBERTADORES</v>
          </cell>
          <cell r="L992" t="str">
            <v>Los Liberadores 6450, Lote 4A</v>
          </cell>
          <cell r="M992" t="str">
            <v>Huechuraba</v>
          </cell>
          <cell r="N992" t="str">
            <v>B</v>
          </cell>
        </row>
        <row r="993">
          <cell r="B993" t="str">
            <v>GCBB-24</v>
          </cell>
          <cell r="C993" t="str">
            <v>D8482509K2PL</v>
          </cell>
          <cell r="D993" t="str">
            <v>YV3T7U524KA195352</v>
          </cell>
          <cell r="E993" t="str">
            <v>Volvo</v>
          </cell>
          <cell r="F993" t="str">
            <v>B8R</v>
          </cell>
          <cell r="G993" t="str">
            <v>MARCOPOLO</v>
          </cell>
          <cell r="H993" t="str">
            <v>TORINO</v>
          </cell>
          <cell r="I993">
            <v>2019</v>
          </cell>
          <cell r="J993" t="str">
            <v>B2PAL</v>
          </cell>
          <cell r="K993" t="str">
            <v>LOS LIBERTADORES</v>
          </cell>
          <cell r="L993" t="str">
            <v>Los Liberadores 6450, Lote 4A</v>
          </cell>
          <cell r="M993" t="str">
            <v>Huechuraba</v>
          </cell>
          <cell r="N993" t="str">
            <v>B</v>
          </cell>
        </row>
        <row r="994">
          <cell r="B994" t="str">
            <v>FLXZ-96</v>
          </cell>
          <cell r="C994" t="str">
            <v>D8478282K2PL</v>
          </cell>
          <cell r="D994" t="str">
            <v>YV3T7U526KA195143</v>
          </cell>
          <cell r="E994" t="str">
            <v>Volvo</v>
          </cell>
          <cell r="F994" t="str">
            <v>B8R</v>
          </cell>
          <cell r="G994" t="str">
            <v>MARCOPOLO</v>
          </cell>
          <cell r="H994" t="str">
            <v>TORINO</v>
          </cell>
          <cell r="I994">
            <v>2019</v>
          </cell>
          <cell r="J994" t="str">
            <v>B2PAL</v>
          </cell>
          <cell r="K994" t="str">
            <v>LOS LIBERTADORES</v>
          </cell>
          <cell r="L994" t="str">
            <v>Los Liberadores 6450, Lote 4A</v>
          </cell>
          <cell r="M994" t="str">
            <v>Huechuraba</v>
          </cell>
          <cell r="N994" t="str">
            <v>B</v>
          </cell>
        </row>
        <row r="995">
          <cell r="B995" t="str">
            <v>GCBB-25</v>
          </cell>
          <cell r="C995" t="str">
            <v>D8482576K2PL</v>
          </cell>
          <cell r="D995" t="str">
            <v>YV3T7U523KA195357</v>
          </cell>
          <cell r="E995" t="str">
            <v>Volvo</v>
          </cell>
          <cell r="F995" t="str">
            <v>B8R</v>
          </cell>
          <cell r="G995" t="str">
            <v>MARCOPOLO</v>
          </cell>
          <cell r="H995" t="str">
            <v>TORINO</v>
          </cell>
          <cell r="I995">
            <v>2019</v>
          </cell>
          <cell r="J995" t="str">
            <v>B2PAL</v>
          </cell>
          <cell r="K995" t="str">
            <v>LOS LIBERTADORES</v>
          </cell>
          <cell r="L995" t="str">
            <v>Los Liberadores 6450, Lote 4A</v>
          </cell>
          <cell r="M995" t="str">
            <v>Huechuraba</v>
          </cell>
          <cell r="N995" t="str">
            <v>B</v>
          </cell>
        </row>
        <row r="996">
          <cell r="B996" t="str">
            <v>GCBB-26</v>
          </cell>
          <cell r="C996" t="str">
            <v>D8482502K2PL</v>
          </cell>
          <cell r="D996" t="str">
            <v>YV3T7U523KA195360</v>
          </cell>
          <cell r="E996" t="str">
            <v>Volvo</v>
          </cell>
          <cell r="F996" t="str">
            <v>B8R</v>
          </cell>
          <cell r="G996" t="str">
            <v>MARCOPOLO</v>
          </cell>
          <cell r="H996" t="str">
            <v>TORINO</v>
          </cell>
          <cell r="I996">
            <v>2019</v>
          </cell>
          <cell r="J996" t="str">
            <v>B2PAL</v>
          </cell>
          <cell r="K996" t="str">
            <v>LOS LIBERTADORES</v>
          </cell>
          <cell r="L996" t="str">
            <v>Los Liberadores 6450, Lote 4A</v>
          </cell>
          <cell r="M996" t="str">
            <v>Huechuraba</v>
          </cell>
          <cell r="N996" t="str">
            <v>B</v>
          </cell>
        </row>
        <row r="997">
          <cell r="B997" t="str">
            <v>GCBB-27</v>
          </cell>
          <cell r="C997" t="str">
            <v>D8482597K2PL</v>
          </cell>
          <cell r="D997" t="str">
            <v>YV3T7U525KA195361</v>
          </cell>
          <cell r="E997" t="str">
            <v>Volvo</v>
          </cell>
          <cell r="F997" t="str">
            <v>B8R</v>
          </cell>
          <cell r="G997" t="str">
            <v>MARCOPOLO</v>
          </cell>
          <cell r="H997" t="str">
            <v>TORINO</v>
          </cell>
          <cell r="I997">
            <v>2019</v>
          </cell>
          <cell r="J997" t="str">
            <v>B2PAL</v>
          </cell>
          <cell r="K997" t="str">
            <v>LOS LIBERTADORES</v>
          </cell>
          <cell r="L997" t="str">
            <v>Los Liberadores 6450, Lote 4A</v>
          </cell>
          <cell r="M997" t="str">
            <v>Huechuraba</v>
          </cell>
          <cell r="N997" t="str">
            <v>B</v>
          </cell>
        </row>
        <row r="998">
          <cell r="B998" t="str">
            <v>GCBB-28</v>
          </cell>
          <cell r="C998" t="str">
            <v>D8481798K2PL</v>
          </cell>
          <cell r="D998" t="str">
            <v>YV3T7U527KA195460</v>
          </cell>
          <cell r="E998" t="str">
            <v>Volvo</v>
          </cell>
          <cell r="F998" t="str">
            <v>B8R</v>
          </cell>
          <cell r="G998" t="str">
            <v>MARCOPOLO</v>
          </cell>
          <cell r="H998" t="str">
            <v>TORINO</v>
          </cell>
          <cell r="I998">
            <v>2019</v>
          </cell>
          <cell r="J998" t="str">
            <v>B2PAL</v>
          </cell>
          <cell r="K998" t="str">
            <v>LOS LIBERTADORES</v>
          </cell>
          <cell r="L998" t="str">
            <v>Los Liberadores 6450, Lote 4A</v>
          </cell>
          <cell r="M998" t="str">
            <v>Huechuraba</v>
          </cell>
          <cell r="N998" t="str">
            <v>B</v>
          </cell>
        </row>
        <row r="999">
          <cell r="B999" t="str">
            <v>GCBB-29</v>
          </cell>
          <cell r="C999" t="str">
            <v>D8481794K2PL</v>
          </cell>
          <cell r="D999" t="str">
            <v>YV3T7U529KA195461</v>
          </cell>
          <cell r="E999" t="str">
            <v>Volvo</v>
          </cell>
          <cell r="F999" t="str">
            <v>B8R</v>
          </cell>
          <cell r="G999" t="str">
            <v>MARCOPOLO</v>
          </cell>
          <cell r="H999" t="str">
            <v>TORINO</v>
          </cell>
          <cell r="I999">
            <v>2019</v>
          </cell>
          <cell r="J999" t="str">
            <v>B2PAL</v>
          </cell>
          <cell r="K999" t="str">
            <v>LOS LIBERTADORES</v>
          </cell>
          <cell r="L999" t="str">
            <v>Los Liberadores 6450, Lote 4A</v>
          </cell>
          <cell r="M999" t="str">
            <v>Huechuraba</v>
          </cell>
          <cell r="N999" t="str">
            <v>B</v>
          </cell>
        </row>
        <row r="1000">
          <cell r="B1000" t="str">
            <v>GCBB-30</v>
          </cell>
          <cell r="C1000" t="str">
            <v>D8483045K2PL</v>
          </cell>
          <cell r="D1000" t="str">
            <v>YV3T7U520KA195462</v>
          </cell>
          <cell r="E1000" t="str">
            <v>Volvo</v>
          </cell>
          <cell r="F1000" t="str">
            <v>B8R</v>
          </cell>
          <cell r="G1000" t="str">
            <v>MARCOPOLO</v>
          </cell>
          <cell r="H1000" t="str">
            <v>TORINO</v>
          </cell>
          <cell r="I1000">
            <v>2019</v>
          </cell>
          <cell r="J1000" t="str">
            <v>B2PAL</v>
          </cell>
          <cell r="K1000" t="str">
            <v>LOS LIBERTADORES</v>
          </cell>
          <cell r="L1000" t="str">
            <v>Los Liberadores 6450, Lote 4A</v>
          </cell>
          <cell r="M1000" t="str">
            <v>Huechuraba</v>
          </cell>
          <cell r="N1000" t="str">
            <v>B</v>
          </cell>
        </row>
        <row r="1001">
          <cell r="B1001" t="str">
            <v>GCBB-31</v>
          </cell>
          <cell r="C1001" t="str">
            <v>D8483063K2PL</v>
          </cell>
          <cell r="D1001" t="str">
            <v>YV3T7U522KA195463</v>
          </cell>
          <cell r="E1001" t="str">
            <v>Volvo</v>
          </cell>
          <cell r="F1001" t="str">
            <v>B8R</v>
          </cell>
          <cell r="G1001" t="str">
            <v>MARCOPOLO</v>
          </cell>
          <cell r="H1001" t="str">
            <v>TORINO</v>
          </cell>
          <cell r="I1001">
            <v>2019</v>
          </cell>
          <cell r="J1001" t="str">
            <v>B2PAL</v>
          </cell>
          <cell r="K1001" t="str">
            <v>LOS LIBERTADORES</v>
          </cell>
          <cell r="L1001" t="str">
            <v>Los Liberadores 6450, Lote 4A</v>
          </cell>
          <cell r="M1001" t="str">
            <v>Huechuraba</v>
          </cell>
          <cell r="N1001" t="str">
            <v>B</v>
          </cell>
        </row>
        <row r="1002">
          <cell r="B1002" t="str">
            <v>GCBB-32</v>
          </cell>
          <cell r="C1002" t="str">
            <v>D8483109K2PL</v>
          </cell>
          <cell r="D1002" t="str">
            <v>YV3T7U523KA195486</v>
          </cell>
          <cell r="E1002" t="str">
            <v>Volvo</v>
          </cell>
          <cell r="F1002" t="str">
            <v>B8R</v>
          </cell>
          <cell r="G1002" t="str">
            <v>MARCOPOLO</v>
          </cell>
          <cell r="H1002" t="str">
            <v>TORINO</v>
          </cell>
          <cell r="I1002">
            <v>2019</v>
          </cell>
          <cell r="J1002" t="str">
            <v>B2PAL</v>
          </cell>
          <cell r="K1002" t="str">
            <v>LOS LIBERTADORES</v>
          </cell>
          <cell r="L1002" t="str">
            <v>Los Liberadores 6450, Lote 4A</v>
          </cell>
          <cell r="M1002" t="str">
            <v>Huechuraba</v>
          </cell>
          <cell r="N1002" t="str">
            <v>B</v>
          </cell>
        </row>
        <row r="1003">
          <cell r="B1003" t="str">
            <v>GCBC-33</v>
          </cell>
          <cell r="C1003" t="str">
            <v>D8483197K2PL</v>
          </cell>
          <cell r="D1003" t="str">
            <v>YV3T7U526KA195532</v>
          </cell>
          <cell r="E1003" t="str">
            <v>Volvo</v>
          </cell>
          <cell r="F1003" t="str">
            <v>B8R</v>
          </cell>
          <cell r="G1003" t="str">
            <v>MARCOPOLO</v>
          </cell>
          <cell r="H1003" t="str">
            <v>TORINO</v>
          </cell>
          <cell r="I1003">
            <v>2019</v>
          </cell>
          <cell r="J1003" t="str">
            <v>B2PAL</v>
          </cell>
          <cell r="K1003" t="str">
            <v>LOS LIBERTADORES</v>
          </cell>
          <cell r="L1003" t="str">
            <v>Los Liberadores 6450, Lote 4A</v>
          </cell>
          <cell r="M1003" t="str">
            <v>Huechuraba</v>
          </cell>
          <cell r="N1003" t="str">
            <v>B</v>
          </cell>
        </row>
        <row r="1004">
          <cell r="B1004" t="str">
            <v>GCBB-34</v>
          </cell>
          <cell r="C1004" t="str">
            <v>D8483194K2PL</v>
          </cell>
          <cell r="D1004" t="str">
            <v>YV3T7U528KA195533</v>
          </cell>
          <cell r="E1004" t="str">
            <v>Volvo</v>
          </cell>
          <cell r="F1004" t="str">
            <v>B8R</v>
          </cell>
          <cell r="G1004" t="str">
            <v>MARCOPOLO</v>
          </cell>
          <cell r="H1004" t="str">
            <v>TORINO</v>
          </cell>
          <cell r="I1004">
            <v>2019</v>
          </cell>
          <cell r="J1004" t="str">
            <v>B2PAL</v>
          </cell>
          <cell r="K1004" t="str">
            <v>LOS LIBERTADORES</v>
          </cell>
          <cell r="L1004" t="str">
            <v>Los Liberadores 6450, Lote 4A</v>
          </cell>
          <cell r="M1004" t="str">
            <v>Huechuraba</v>
          </cell>
          <cell r="N1004" t="str">
            <v>B</v>
          </cell>
        </row>
        <row r="1005">
          <cell r="B1005" t="str">
            <v>FLXZ-97</v>
          </cell>
          <cell r="C1005" t="str">
            <v>D8478297K2PL</v>
          </cell>
          <cell r="D1005" t="str">
            <v>YV3T7U528KA195144</v>
          </cell>
          <cell r="E1005" t="str">
            <v>Volvo</v>
          </cell>
          <cell r="F1005" t="str">
            <v>B8R</v>
          </cell>
          <cell r="G1005" t="str">
            <v>MARCOPOLO</v>
          </cell>
          <cell r="H1005" t="str">
            <v>TORINO</v>
          </cell>
          <cell r="I1005">
            <v>2019</v>
          </cell>
          <cell r="J1005" t="str">
            <v>B2PAL</v>
          </cell>
          <cell r="K1005" t="str">
            <v>LOS LIBERTADORES</v>
          </cell>
          <cell r="L1005" t="str">
            <v>Los Liberadores 6450, Lote 4A</v>
          </cell>
          <cell r="M1005" t="str">
            <v>Huechuraba</v>
          </cell>
          <cell r="N1005" t="str">
            <v>B</v>
          </cell>
        </row>
        <row r="1006">
          <cell r="B1006" t="str">
            <v>GCBB-35</v>
          </cell>
          <cell r="C1006" t="str">
            <v>D8483221K2PL</v>
          </cell>
          <cell r="D1006" t="str">
            <v>YV3T7U521KA195535</v>
          </cell>
          <cell r="E1006" t="str">
            <v>Volvo</v>
          </cell>
          <cell r="F1006" t="str">
            <v>B8R</v>
          </cell>
          <cell r="G1006" t="str">
            <v>MARCOPOLO</v>
          </cell>
          <cell r="H1006" t="str">
            <v>TORINO</v>
          </cell>
          <cell r="I1006">
            <v>2019</v>
          </cell>
          <cell r="J1006" t="str">
            <v>B2PAL</v>
          </cell>
          <cell r="K1006" t="str">
            <v>LOS LIBERTADORES</v>
          </cell>
          <cell r="L1006" t="str">
            <v>Los Liberadores 6450, Lote 4A</v>
          </cell>
          <cell r="M1006" t="str">
            <v>Huechuraba</v>
          </cell>
          <cell r="N1006" t="str">
            <v>B</v>
          </cell>
        </row>
        <row r="1007">
          <cell r="B1007" t="str">
            <v>GCBB-36</v>
          </cell>
          <cell r="C1007" t="str">
            <v>D89303077</v>
          </cell>
          <cell r="D1007" t="str">
            <v>YV3T7U523KA195553</v>
          </cell>
          <cell r="E1007" t="str">
            <v>Volvo</v>
          </cell>
          <cell r="F1007" t="str">
            <v>B8R</v>
          </cell>
          <cell r="G1007" t="str">
            <v>MARCOPOLO</v>
          </cell>
          <cell r="H1007" t="str">
            <v>TORINO</v>
          </cell>
          <cell r="I1007">
            <v>2019</v>
          </cell>
          <cell r="J1007" t="str">
            <v>B2PAL</v>
          </cell>
          <cell r="K1007" t="str">
            <v>LOS LIBERTADORES</v>
          </cell>
          <cell r="L1007" t="str">
            <v>Los Liberadores 6450, Lote 4A</v>
          </cell>
          <cell r="M1007" t="str">
            <v>Huechuraba</v>
          </cell>
          <cell r="N1007" t="str">
            <v>B</v>
          </cell>
        </row>
        <row r="1008">
          <cell r="B1008" t="str">
            <v>GCBB-37</v>
          </cell>
          <cell r="C1008" t="str">
            <v>D8483453K2PL</v>
          </cell>
          <cell r="D1008" t="str">
            <v>YV3T7U527KA195572</v>
          </cell>
          <cell r="E1008" t="str">
            <v>Volvo</v>
          </cell>
          <cell r="F1008" t="str">
            <v>B8R</v>
          </cell>
          <cell r="G1008" t="str">
            <v>MARCOPOLO</v>
          </cell>
          <cell r="H1008" t="str">
            <v>TORINO</v>
          </cell>
          <cell r="I1008">
            <v>2019</v>
          </cell>
          <cell r="J1008" t="str">
            <v>B2PAL</v>
          </cell>
          <cell r="K1008" t="str">
            <v>LOS LIBERTADORES</v>
          </cell>
          <cell r="L1008" t="str">
            <v>Los Liberadores 6450, Lote 4A</v>
          </cell>
          <cell r="M1008" t="str">
            <v>Huechuraba</v>
          </cell>
          <cell r="N1008" t="str">
            <v>B</v>
          </cell>
        </row>
        <row r="1009">
          <cell r="B1009" t="str">
            <v>GCBB-38</v>
          </cell>
          <cell r="C1009" t="str">
            <v>D8483890K2PL</v>
          </cell>
          <cell r="D1009" t="str">
            <v>YV3T7U520KA195574</v>
          </cell>
          <cell r="E1009" t="str">
            <v>Volvo</v>
          </cell>
          <cell r="F1009" t="str">
            <v>B8R</v>
          </cell>
          <cell r="G1009" t="str">
            <v>MARCOPOLO</v>
          </cell>
          <cell r="H1009" t="str">
            <v>TORINO</v>
          </cell>
          <cell r="I1009">
            <v>2019</v>
          </cell>
          <cell r="J1009" t="str">
            <v>B2PAL</v>
          </cell>
          <cell r="K1009" t="str">
            <v>LOS LIBERTADORES</v>
          </cell>
          <cell r="L1009" t="str">
            <v>Los Liberadores 6450, Lote 4A</v>
          </cell>
          <cell r="M1009" t="str">
            <v>Huechuraba</v>
          </cell>
          <cell r="N1009" t="str">
            <v>B</v>
          </cell>
        </row>
        <row r="1010">
          <cell r="B1010" t="str">
            <v>GCBB-39</v>
          </cell>
          <cell r="C1010" t="str">
            <v>D8478276K2PL</v>
          </cell>
          <cell r="D1010" t="str">
            <v>YV3T7U522KA195141</v>
          </cell>
          <cell r="E1010" t="str">
            <v>Volvo</v>
          </cell>
          <cell r="F1010" t="str">
            <v>B8R</v>
          </cell>
          <cell r="G1010" t="str">
            <v>MARCOPOLO</v>
          </cell>
          <cell r="H1010" t="str">
            <v>TORINO</v>
          </cell>
          <cell r="I1010">
            <v>2019</v>
          </cell>
          <cell r="J1010" t="str">
            <v>B2PAL</v>
          </cell>
          <cell r="K1010" t="str">
            <v>LOS LIBERTADORES</v>
          </cell>
          <cell r="L1010" t="str">
            <v>Los Liberadores 6450, Lote 4A</v>
          </cell>
          <cell r="M1010" t="str">
            <v>Huechuraba</v>
          </cell>
          <cell r="N1010" t="str">
            <v>B</v>
          </cell>
        </row>
        <row r="1011">
          <cell r="B1011" t="str">
            <v>GCBB-40</v>
          </cell>
          <cell r="C1011" t="str">
            <v>D8481604K2PL</v>
          </cell>
          <cell r="D1011" t="str">
            <v>YV3T7U52XKA195145</v>
          </cell>
          <cell r="E1011" t="str">
            <v>Volvo</v>
          </cell>
          <cell r="F1011" t="str">
            <v>B8R</v>
          </cell>
          <cell r="G1011" t="str">
            <v>MARCOPOLO</v>
          </cell>
          <cell r="H1011" t="str">
            <v>TORINO</v>
          </cell>
          <cell r="I1011">
            <v>2019</v>
          </cell>
          <cell r="J1011" t="str">
            <v>B2PAL</v>
          </cell>
          <cell r="K1011" t="str">
            <v>LOS LIBERTADORES</v>
          </cell>
          <cell r="L1011" t="str">
            <v>Los Liberadores 6450, Lote 4A</v>
          </cell>
          <cell r="M1011" t="str">
            <v>Huechuraba</v>
          </cell>
          <cell r="N1011" t="str">
            <v>B</v>
          </cell>
        </row>
        <row r="1012">
          <cell r="B1012" t="str">
            <v>GCBB-41</v>
          </cell>
          <cell r="C1012" t="str">
            <v>D8481609K2PL</v>
          </cell>
          <cell r="D1012" t="str">
            <v>YV3T7U521KA195146</v>
          </cell>
          <cell r="E1012" t="str">
            <v>Volvo</v>
          </cell>
          <cell r="F1012" t="str">
            <v>B8R</v>
          </cell>
          <cell r="G1012" t="str">
            <v>MARCOPOLO</v>
          </cell>
          <cell r="H1012" t="str">
            <v>TORINO</v>
          </cell>
          <cell r="I1012">
            <v>2019</v>
          </cell>
          <cell r="J1012" t="str">
            <v>B2PAL</v>
          </cell>
          <cell r="K1012" t="str">
            <v>LOS LIBERTADORES</v>
          </cell>
          <cell r="L1012" t="str">
            <v>Los Liberadores 6450, Lote 4A</v>
          </cell>
          <cell r="M1012" t="str">
            <v>Huechuraba</v>
          </cell>
          <cell r="N1012" t="str">
            <v>B</v>
          </cell>
        </row>
        <row r="1013">
          <cell r="B1013" t="str">
            <v>GCBB-42</v>
          </cell>
          <cell r="C1013" t="str">
            <v>D8478221K2PL</v>
          </cell>
          <cell r="D1013" t="str">
            <v>YV3T7U523KA195147</v>
          </cell>
          <cell r="E1013" t="str">
            <v>Volvo</v>
          </cell>
          <cell r="F1013" t="str">
            <v>B8R</v>
          </cell>
          <cell r="G1013" t="str">
            <v>MARCOPOLO</v>
          </cell>
          <cell r="H1013" t="str">
            <v>TORINO</v>
          </cell>
          <cell r="I1013">
            <v>2019</v>
          </cell>
          <cell r="J1013" t="str">
            <v>B2PAL</v>
          </cell>
          <cell r="K1013" t="str">
            <v>LOS LIBERTADORES</v>
          </cell>
          <cell r="L1013" t="str">
            <v>Los Liberadores 6450, Lote 4A</v>
          </cell>
          <cell r="M1013" t="str">
            <v>Huechuraba</v>
          </cell>
          <cell r="N1013" t="str">
            <v>B</v>
          </cell>
        </row>
        <row r="1014">
          <cell r="B1014" t="str">
            <v>GCBB-43</v>
          </cell>
          <cell r="C1014" t="str">
            <v>D8478290K2PL</v>
          </cell>
          <cell r="D1014" t="str">
            <v>YV3T7U525KA195148</v>
          </cell>
          <cell r="E1014" t="str">
            <v>Volvo</v>
          </cell>
          <cell r="F1014" t="str">
            <v>B8R</v>
          </cell>
          <cell r="G1014" t="str">
            <v>MARCOPOLO</v>
          </cell>
          <cell r="H1014" t="str">
            <v>TORINO</v>
          </cell>
          <cell r="I1014">
            <v>2019</v>
          </cell>
          <cell r="J1014" t="str">
            <v>B2PAL</v>
          </cell>
          <cell r="K1014" t="str">
            <v>LOS LIBERTADORES</v>
          </cell>
          <cell r="L1014" t="str">
            <v>Los Liberadores 6450, Lote 4A</v>
          </cell>
          <cell r="M1014" t="str">
            <v>Huechuraba</v>
          </cell>
          <cell r="N1014" t="str">
            <v>B</v>
          </cell>
        </row>
        <row r="1015">
          <cell r="B1015" t="str">
            <v>GCBB-44</v>
          </cell>
          <cell r="C1015" t="str">
            <v>D8481517K2PL</v>
          </cell>
          <cell r="D1015" t="str">
            <v>YV3T7U520KA195171</v>
          </cell>
          <cell r="E1015" t="str">
            <v>Volvo</v>
          </cell>
          <cell r="F1015" t="str">
            <v>B8R</v>
          </cell>
          <cell r="G1015" t="str">
            <v>MARCOPOLO</v>
          </cell>
          <cell r="H1015" t="str">
            <v>TORINO</v>
          </cell>
          <cell r="I1015">
            <v>2019</v>
          </cell>
          <cell r="J1015" t="str">
            <v>B2PAL</v>
          </cell>
          <cell r="K1015" t="str">
            <v>LOS LIBERTADORES</v>
          </cell>
          <cell r="L1015" t="str">
            <v>Los Liberadores 6450, Lote 4A</v>
          </cell>
          <cell r="M1015" t="str">
            <v>Huechuraba</v>
          </cell>
          <cell r="N1015" t="str">
            <v>B</v>
          </cell>
        </row>
        <row r="1016">
          <cell r="B1016" t="str">
            <v>FLXZ-98</v>
          </cell>
          <cell r="C1016" t="str">
            <v>D8481625K2PL</v>
          </cell>
          <cell r="D1016" t="str">
            <v>YV3T7U526KA195174</v>
          </cell>
          <cell r="E1016" t="str">
            <v>Volvo</v>
          </cell>
          <cell r="F1016" t="str">
            <v>B8R</v>
          </cell>
          <cell r="G1016" t="str">
            <v>MARCOPOLO</v>
          </cell>
          <cell r="H1016" t="str">
            <v>TORINO</v>
          </cell>
          <cell r="I1016">
            <v>2019</v>
          </cell>
          <cell r="J1016" t="str">
            <v>B2PAL</v>
          </cell>
          <cell r="K1016" t="str">
            <v>LOS LIBERTADORES</v>
          </cell>
          <cell r="L1016" t="str">
            <v>Los Liberadores 6450, Lote 4A</v>
          </cell>
          <cell r="M1016" t="str">
            <v>Huechuraba</v>
          </cell>
          <cell r="N1016" t="str">
            <v>B</v>
          </cell>
        </row>
        <row r="1017">
          <cell r="B1017" t="str">
            <v>GCBB-45</v>
          </cell>
          <cell r="C1017" t="str">
            <v>D8481615K2PL</v>
          </cell>
          <cell r="D1017" t="str">
            <v>YV3T7U524KA195173</v>
          </cell>
          <cell r="E1017" t="str">
            <v>Volvo</v>
          </cell>
          <cell r="F1017" t="str">
            <v>B8R</v>
          </cell>
          <cell r="G1017" t="str">
            <v>MARCOPOLO</v>
          </cell>
          <cell r="H1017" t="str">
            <v>TORINO</v>
          </cell>
          <cell r="I1017">
            <v>2019</v>
          </cell>
          <cell r="J1017" t="str">
            <v>B2PAL</v>
          </cell>
          <cell r="K1017" t="str">
            <v>LOS LIBERTADORES</v>
          </cell>
          <cell r="L1017" t="str">
            <v>Los Liberadores 6450, Lote 4A</v>
          </cell>
          <cell r="M1017" t="str">
            <v>Huechuraba</v>
          </cell>
          <cell r="N1017" t="str">
            <v>B</v>
          </cell>
        </row>
        <row r="1018">
          <cell r="B1018" t="str">
            <v>GCBB-46</v>
          </cell>
          <cell r="C1018" t="str">
            <v>D8481618K2PL</v>
          </cell>
          <cell r="D1018" t="str">
            <v>YV3T7U52XKA195176</v>
          </cell>
          <cell r="E1018" t="str">
            <v>Volvo</v>
          </cell>
          <cell r="F1018" t="str">
            <v>B8R</v>
          </cell>
          <cell r="G1018" t="str">
            <v>MARCOPOLO</v>
          </cell>
          <cell r="H1018" t="str">
            <v>TORINO</v>
          </cell>
          <cell r="I1018">
            <v>2019</v>
          </cell>
          <cell r="J1018" t="str">
            <v>B2PAL</v>
          </cell>
          <cell r="K1018" t="str">
            <v>LOS LIBERTADORES</v>
          </cell>
          <cell r="L1018" t="str">
            <v>Los Liberadores 6450, Lote 4A</v>
          </cell>
          <cell r="M1018" t="str">
            <v>Huechuraba</v>
          </cell>
          <cell r="N1018" t="str">
            <v>B</v>
          </cell>
        </row>
        <row r="1019">
          <cell r="B1019" t="str">
            <v>GCBB-47</v>
          </cell>
          <cell r="C1019" t="str">
            <v>D8481639K2PL</v>
          </cell>
          <cell r="D1019" t="str">
            <v>YV3T7U523KA195178</v>
          </cell>
          <cell r="E1019" t="str">
            <v>Volvo</v>
          </cell>
          <cell r="F1019" t="str">
            <v>B8R</v>
          </cell>
          <cell r="G1019" t="str">
            <v>MARCOPOLO</v>
          </cell>
          <cell r="H1019" t="str">
            <v>TORINO</v>
          </cell>
          <cell r="I1019">
            <v>2019</v>
          </cell>
          <cell r="J1019" t="str">
            <v>B2PAL</v>
          </cell>
          <cell r="K1019" t="str">
            <v>LOS LIBERTADORES</v>
          </cell>
          <cell r="L1019" t="str">
            <v>Los Liberadores 6450, Lote 4A</v>
          </cell>
          <cell r="M1019" t="str">
            <v>Huechuraba</v>
          </cell>
          <cell r="N1019" t="str">
            <v>B</v>
          </cell>
        </row>
        <row r="1020">
          <cell r="B1020" t="str">
            <v>GCBB-48</v>
          </cell>
          <cell r="C1020" t="str">
            <v>D8481597K2PL</v>
          </cell>
          <cell r="D1020" t="str">
            <v>YV3T7U523KA195181</v>
          </cell>
          <cell r="E1020" t="str">
            <v>Volvo</v>
          </cell>
          <cell r="F1020" t="str">
            <v>B8R</v>
          </cell>
          <cell r="G1020" t="str">
            <v>MARCOPOLO</v>
          </cell>
          <cell r="H1020" t="str">
            <v>TORINO</v>
          </cell>
          <cell r="I1020">
            <v>2019</v>
          </cell>
          <cell r="J1020" t="str">
            <v>B2PAL</v>
          </cell>
          <cell r="K1020" t="str">
            <v>LOS LIBERTADORES</v>
          </cell>
          <cell r="L1020" t="str">
            <v>Los Liberadores 6450, Lote 4A</v>
          </cell>
          <cell r="M1020" t="str">
            <v>Huechuraba</v>
          </cell>
          <cell r="N1020" t="str">
            <v>B</v>
          </cell>
        </row>
        <row r="1021">
          <cell r="B1021" t="str">
            <v>GCBB-49</v>
          </cell>
          <cell r="C1021" t="str">
            <v>D8481673K2PL</v>
          </cell>
          <cell r="D1021" t="str">
            <v>YV3T7U524KA195190</v>
          </cell>
          <cell r="E1021" t="str">
            <v>Volvo</v>
          </cell>
          <cell r="F1021" t="str">
            <v>B8R</v>
          </cell>
          <cell r="G1021" t="str">
            <v>MARCOPOLO</v>
          </cell>
          <cell r="H1021" t="str">
            <v>TORINO</v>
          </cell>
          <cell r="I1021">
            <v>2019</v>
          </cell>
          <cell r="J1021" t="str">
            <v>B2PAL</v>
          </cell>
          <cell r="K1021" t="str">
            <v>LOS LIBERTADORES</v>
          </cell>
          <cell r="L1021" t="str">
            <v>Los Liberadores 6450, Lote 4A</v>
          </cell>
          <cell r="M1021" t="str">
            <v>Huechuraba</v>
          </cell>
          <cell r="N1021" t="str">
            <v>B</v>
          </cell>
        </row>
        <row r="1022">
          <cell r="B1022" t="str">
            <v>GCBB-50</v>
          </cell>
          <cell r="C1022" t="str">
            <v>D8481885K2PL</v>
          </cell>
          <cell r="D1022" t="str">
            <v>YV3T7U526KA195191</v>
          </cell>
          <cell r="E1022" t="str">
            <v>Volvo</v>
          </cell>
          <cell r="F1022" t="str">
            <v>B8R</v>
          </cell>
          <cell r="G1022" t="str">
            <v>MARCOPOLO</v>
          </cell>
          <cell r="H1022" t="str">
            <v>TORINO</v>
          </cell>
          <cell r="I1022">
            <v>2019</v>
          </cell>
          <cell r="J1022" t="str">
            <v>B2PAL</v>
          </cell>
          <cell r="K1022" t="str">
            <v>LOS LIBERTADORES</v>
          </cell>
          <cell r="L1022" t="str">
            <v>Los Liberadores 6450, Lote 4A</v>
          </cell>
          <cell r="M1022" t="str">
            <v>Huechuraba</v>
          </cell>
          <cell r="N1022" t="str">
            <v>B</v>
          </cell>
        </row>
        <row r="1023">
          <cell r="B1023" t="str">
            <v>GCBB-51</v>
          </cell>
          <cell r="C1023" t="str">
            <v>D8481866K2PL</v>
          </cell>
          <cell r="D1023" t="str">
            <v>YV3T7U528KA195192</v>
          </cell>
          <cell r="E1023" t="str">
            <v>Volvo</v>
          </cell>
          <cell r="F1023" t="str">
            <v>B8R</v>
          </cell>
          <cell r="G1023" t="str">
            <v>MARCOPOLO</v>
          </cell>
          <cell r="H1023" t="str">
            <v>TORINO</v>
          </cell>
          <cell r="I1023">
            <v>2019</v>
          </cell>
          <cell r="J1023" t="str">
            <v>B2PAL</v>
          </cell>
          <cell r="K1023" t="str">
            <v>LOS LIBERTADORES</v>
          </cell>
          <cell r="L1023" t="str">
            <v>Los Liberadores 6450, Lote 4A</v>
          </cell>
          <cell r="M1023" t="str">
            <v>Huechuraba</v>
          </cell>
          <cell r="N1023" t="str">
            <v>B</v>
          </cell>
        </row>
        <row r="1024">
          <cell r="B1024" t="str">
            <v>GCBB-52</v>
          </cell>
          <cell r="C1024" t="str">
            <v>D8481887K2PL</v>
          </cell>
          <cell r="D1024" t="str">
            <v>YV3T7U52XKA195193</v>
          </cell>
          <cell r="E1024" t="str">
            <v>Volvo</v>
          </cell>
          <cell r="F1024" t="str">
            <v>B8R</v>
          </cell>
          <cell r="G1024" t="str">
            <v>MARCOPOLO</v>
          </cell>
          <cell r="H1024" t="str">
            <v>TORINO</v>
          </cell>
          <cell r="I1024">
            <v>2019</v>
          </cell>
          <cell r="J1024" t="str">
            <v>B2PAL</v>
          </cell>
          <cell r="K1024" t="str">
            <v>LOS LIBERTADORES</v>
          </cell>
          <cell r="L1024" t="str">
            <v>Los Liberadores 6450, Lote 4A</v>
          </cell>
          <cell r="M1024" t="str">
            <v>Huechuraba</v>
          </cell>
          <cell r="N1024" t="str">
            <v>B</v>
          </cell>
        </row>
        <row r="1025">
          <cell r="B1025" t="str">
            <v>GCBB-53</v>
          </cell>
          <cell r="C1025" t="str">
            <v>D8481478K2PL</v>
          </cell>
          <cell r="D1025" t="str">
            <v>YV3T7U527KA195197</v>
          </cell>
          <cell r="E1025" t="str">
            <v>Volvo</v>
          </cell>
          <cell r="F1025" t="str">
            <v>B8R</v>
          </cell>
          <cell r="G1025" t="str">
            <v>MARCOPOLO</v>
          </cell>
          <cell r="H1025" t="str">
            <v>TORINO</v>
          </cell>
          <cell r="I1025">
            <v>2019</v>
          </cell>
          <cell r="J1025" t="str">
            <v>B2PAL</v>
          </cell>
          <cell r="K1025" t="str">
            <v>LOS LIBERTADORES</v>
          </cell>
          <cell r="L1025" t="str">
            <v>Los Liberadores 6450, Lote 4A</v>
          </cell>
          <cell r="M1025" t="str">
            <v>Huechuraba</v>
          </cell>
          <cell r="N1025" t="str">
            <v>B</v>
          </cell>
        </row>
        <row r="1026">
          <cell r="B1026" t="str">
            <v>GCBB-54</v>
          </cell>
          <cell r="C1026" t="str">
            <v>D8481635K2PL</v>
          </cell>
          <cell r="D1026" t="str">
            <v>YV3T7U529KA195198</v>
          </cell>
          <cell r="E1026" t="str">
            <v>Volvo</v>
          </cell>
          <cell r="F1026" t="str">
            <v>B8R</v>
          </cell>
          <cell r="G1026" t="str">
            <v>MARCOPOLO</v>
          </cell>
          <cell r="H1026" t="str">
            <v>TORINO</v>
          </cell>
          <cell r="I1026">
            <v>2019</v>
          </cell>
          <cell r="J1026" t="str">
            <v>B2PAL</v>
          </cell>
          <cell r="K1026" t="str">
            <v>LOS LIBERTADORES</v>
          </cell>
          <cell r="L1026" t="str">
            <v>Los Liberadores 6450, Lote 4A</v>
          </cell>
          <cell r="M1026" t="str">
            <v>Huechuraba</v>
          </cell>
          <cell r="N1026" t="str">
            <v>B</v>
          </cell>
        </row>
        <row r="1027">
          <cell r="B1027" t="str">
            <v>FLXZ-99</v>
          </cell>
          <cell r="C1027" t="str">
            <v>D8481607K2PL</v>
          </cell>
          <cell r="D1027" t="str">
            <v>YV3T7U521KA195180</v>
          </cell>
          <cell r="E1027" t="str">
            <v>Volvo</v>
          </cell>
          <cell r="F1027" t="str">
            <v>B8R</v>
          </cell>
          <cell r="G1027" t="str">
            <v>MARCOPOLO</v>
          </cell>
          <cell r="H1027" t="str">
            <v>TORINO</v>
          </cell>
          <cell r="I1027">
            <v>2019</v>
          </cell>
          <cell r="J1027" t="str">
            <v>B2PAL</v>
          </cell>
          <cell r="K1027" t="str">
            <v>LOS LIBERTADORES</v>
          </cell>
          <cell r="L1027" t="str">
            <v>Los Liberadores 6450, Lote 4A</v>
          </cell>
          <cell r="M1027" t="str">
            <v>Huechuraba</v>
          </cell>
          <cell r="N1027" t="str">
            <v>B</v>
          </cell>
        </row>
        <row r="1028">
          <cell r="B1028" t="str">
            <v>GCBB-55</v>
          </cell>
          <cell r="C1028" t="str">
            <v>D8481488K2PL</v>
          </cell>
          <cell r="D1028" t="str">
            <v>YV3T7U525KA195229</v>
          </cell>
          <cell r="E1028" t="str">
            <v>Volvo</v>
          </cell>
          <cell r="F1028" t="str">
            <v>B8R</v>
          </cell>
          <cell r="G1028" t="str">
            <v>MARCOPOLO</v>
          </cell>
          <cell r="H1028" t="str">
            <v>TORINO</v>
          </cell>
          <cell r="I1028">
            <v>2019</v>
          </cell>
          <cell r="J1028" t="str">
            <v>B2PAL</v>
          </cell>
          <cell r="K1028" t="str">
            <v>LOS LIBERTADORES</v>
          </cell>
          <cell r="L1028" t="str">
            <v>Los Liberadores 6450, Lote 4A</v>
          </cell>
          <cell r="M1028" t="str">
            <v>Huechuraba</v>
          </cell>
          <cell r="N1028" t="str">
            <v>B</v>
          </cell>
        </row>
        <row r="1029">
          <cell r="B1029" t="str">
            <v>GCBB-56</v>
          </cell>
          <cell r="C1029" t="str">
            <v>D8482670K2PL</v>
          </cell>
          <cell r="D1029" t="str">
            <v>YV3T7U523KA195231</v>
          </cell>
          <cell r="E1029" t="str">
            <v>Volvo</v>
          </cell>
          <cell r="F1029" t="str">
            <v>B8R</v>
          </cell>
          <cell r="G1029" t="str">
            <v>MARCOPOLO</v>
          </cell>
          <cell r="H1029" t="str">
            <v>TORINO</v>
          </cell>
          <cell r="I1029">
            <v>2019</v>
          </cell>
          <cell r="J1029" t="str">
            <v>B2PAL</v>
          </cell>
          <cell r="K1029" t="str">
            <v>LOS LIBERTADORES</v>
          </cell>
          <cell r="L1029" t="str">
            <v>Los Liberadores 6450, Lote 4A</v>
          </cell>
          <cell r="M1029" t="str">
            <v>Huechuraba</v>
          </cell>
          <cell r="N1029" t="str">
            <v>B</v>
          </cell>
        </row>
        <row r="1030">
          <cell r="B1030" t="str">
            <v>GCBB-57</v>
          </cell>
          <cell r="C1030" t="str">
            <v>D8481984K2PL</v>
          </cell>
          <cell r="D1030" t="str">
            <v>YV3T7U524KA195268</v>
          </cell>
          <cell r="E1030" t="str">
            <v>Volvo</v>
          </cell>
          <cell r="F1030" t="str">
            <v>B8R</v>
          </cell>
          <cell r="G1030" t="str">
            <v>MARCOPOLO</v>
          </cell>
          <cell r="H1030" t="str">
            <v>TORINO</v>
          </cell>
          <cell r="I1030">
            <v>2019</v>
          </cell>
          <cell r="J1030" t="str">
            <v>B2PAL</v>
          </cell>
          <cell r="K1030" t="str">
            <v>LOS LIBERTADORES</v>
          </cell>
          <cell r="L1030" t="str">
            <v>Los Liberadores 6450, Lote 4A</v>
          </cell>
          <cell r="M1030" t="str">
            <v>Huechuraba</v>
          </cell>
          <cell r="N1030" t="str">
            <v>B</v>
          </cell>
        </row>
        <row r="1031">
          <cell r="B1031" t="str">
            <v>GCBB-58</v>
          </cell>
          <cell r="C1031" t="str">
            <v>D8481907K2PL</v>
          </cell>
          <cell r="D1031" t="str">
            <v>YV3T7U526KA195269</v>
          </cell>
          <cell r="E1031" t="str">
            <v>Volvo</v>
          </cell>
          <cell r="F1031" t="str">
            <v>B8R</v>
          </cell>
          <cell r="G1031" t="str">
            <v>MARCOPOLO</v>
          </cell>
          <cell r="H1031" t="str">
            <v>TORINO</v>
          </cell>
          <cell r="I1031">
            <v>2019</v>
          </cell>
          <cell r="J1031" t="str">
            <v>B2PAL</v>
          </cell>
          <cell r="K1031" t="str">
            <v>LOS LIBERTADORES</v>
          </cell>
          <cell r="L1031" t="str">
            <v>Los Liberadores 6450, Lote 4A</v>
          </cell>
          <cell r="M1031" t="str">
            <v>Huechuraba</v>
          </cell>
          <cell r="N1031" t="str">
            <v>B</v>
          </cell>
        </row>
        <row r="1032">
          <cell r="B1032" t="str">
            <v>GCBB-59</v>
          </cell>
          <cell r="C1032" t="str">
            <v>D8481955K2PL</v>
          </cell>
          <cell r="D1032" t="str">
            <v>YV3T7U522KA195270</v>
          </cell>
          <cell r="E1032" t="str">
            <v>Volvo</v>
          </cell>
          <cell r="F1032" t="str">
            <v>B8R</v>
          </cell>
          <cell r="G1032" t="str">
            <v>MARCOPOLO</v>
          </cell>
          <cell r="H1032" t="str">
            <v>TORINO</v>
          </cell>
          <cell r="I1032">
            <v>2019</v>
          </cell>
          <cell r="J1032" t="str">
            <v>B2PAL</v>
          </cell>
          <cell r="K1032" t="str">
            <v>LOS LIBERTADORES</v>
          </cell>
          <cell r="L1032" t="str">
            <v>Los Liberadores 6450, Lote 4A</v>
          </cell>
          <cell r="M1032" t="str">
            <v>Huechuraba</v>
          </cell>
          <cell r="N1032" t="str">
            <v>B</v>
          </cell>
        </row>
        <row r="1033">
          <cell r="B1033" t="str">
            <v>GCBB-60</v>
          </cell>
          <cell r="C1033" t="str">
            <v>D8482733K2PL</v>
          </cell>
          <cell r="D1033" t="str">
            <v>YV3T7U524KA195299</v>
          </cell>
          <cell r="E1033" t="str">
            <v>Volvo</v>
          </cell>
          <cell r="F1033" t="str">
            <v>B8R</v>
          </cell>
          <cell r="G1033" t="str">
            <v>MARCOPOLO</v>
          </cell>
          <cell r="H1033" t="str">
            <v>TORINO</v>
          </cell>
          <cell r="I1033">
            <v>2019</v>
          </cell>
          <cell r="J1033" t="str">
            <v>B2PAL</v>
          </cell>
          <cell r="K1033" t="str">
            <v>LOS LIBERTADORES</v>
          </cell>
          <cell r="L1033" t="str">
            <v>Los Liberadores 6450, Lote 4A</v>
          </cell>
          <cell r="M1033" t="str">
            <v>Huechuraba</v>
          </cell>
          <cell r="N1033" t="str">
            <v>B</v>
          </cell>
        </row>
        <row r="1034">
          <cell r="B1034" t="str">
            <v>GCBB-61</v>
          </cell>
          <cell r="C1034" t="str">
            <v>D8482727K2PL</v>
          </cell>
          <cell r="D1034" t="str">
            <v>YV3T7U527KA195300</v>
          </cell>
          <cell r="E1034" t="str">
            <v>Volvo</v>
          </cell>
          <cell r="F1034" t="str">
            <v>B8R</v>
          </cell>
          <cell r="G1034" t="str">
            <v>MARCOPOLO</v>
          </cell>
          <cell r="H1034" t="str">
            <v>TORINO</v>
          </cell>
          <cell r="I1034">
            <v>2019</v>
          </cell>
          <cell r="J1034" t="str">
            <v>B2PAL</v>
          </cell>
          <cell r="K1034" t="str">
            <v>LOS LIBERTADORES</v>
          </cell>
          <cell r="L1034" t="str">
            <v>Los Liberadores 6450, Lote 4A</v>
          </cell>
          <cell r="M1034" t="str">
            <v>Huechuraba</v>
          </cell>
          <cell r="N1034" t="str">
            <v>B</v>
          </cell>
        </row>
        <row r="1035">
          <cell r="B1035" t="str">
            <v>GCBB-62</v>
          </cell>
          <cell r="C1035" t="str">
            <v>D8482362K2PL</v>
          </cell>
          <cell r="D1035" t="str">
            <v>YV3T7U526KA195286</v>
          </cell>
          <cell r="E1035" t="str">
            <v>Volvo</v>
          </cell>
          <cell r="F1035" t="str">
            <v>B8R</v>
          </cell>
          <cell r="G1035" t="str">
            <v>MARCOPOLO</v>
          </cell>
          <cell r="H1035" t="str">
            <v>TORINO</v>
          </cell>
          <cell r="I1035">
            <v>2019</v>
          </cell>
          <cell r="J1035" t="str">
            <v>B2PAL</v>
          </cell>
          <cell r="K1035" t="str">
            <v>LOS LIBERTADORES</v>
          </cell>
          <cell r="L1035" t="str">
            <v>Los Liberadores 6450, Lote 4A</v>
          </cell>
          <cell r="M1035" t="str">
            <v>Huechuraba</v>
          </cell>
          <cell r="N1035" t="str">
            <v>B</v>
          </cell>
        </row>
        <row r="1036">
          <cell r="B1036" t="str">
            <v>GCBB-63</v>
          </cell>
          <cell r="C1036" t="str">
            <v>D8482765K2PL</v>
          </cell>
          <cell r="D1036" t="str">
            <v>YV3T7U520KA195302</v>
          </cell>
          <cell r="E1036" t="str">
            <v>Volvo</v>
          </cell>
          <cell r="F1036" t="str">
            <v>B8R</v>
          </cell>
          <cell r="G1036" t="str">
            <v>MARCOPOLO</v>
          </cell>
          <cell r="H1036" t="str">
            <v>TORINO</v>
          </cell>
          <cell r="I1036">
            <v>2019</v>
          </cell>
          <cell r="J1036" t="str">
            <v>B2PAL</v>
          </cell>
          <cell r="K1036" t="str">
            <v>LOS LIBERTADORES</v>
          </cell>
          <cell r="L1036" t="str">
            <v>Los Liberadores 6450, Lote 4A</v>
          </cell>
          <cell r="M1036" t="str">
            <v>Huechuraba</v>
          </cell>
          <cell r="N1036" t="str">
            <v>B</v>
          </cell>
        </row>
        <row r="1037">
          <cell r="B1037" t="str">
            <v>GCBB-64</v>
          </cell>
          <cell r="C1037" t="str">
            <v>D8482772K2PL</v>
          </cell>
          <cell r="D1037" t="str">
            <v>YV3T7U526KA195305</v>
          </cell>
          <cell r="E1037" t="str">
            <v>Volvo</v>
          </cell>
          <cell r="F1037" t="str">
            <v>B8R</v>
          </cell>
          <cell r="G1037" t="str">
            <v>MARCOPOLO</v>
          </cell>
          <cell r="H1037" t="str">
            <v>TORINO</v>
          </cell>
          <cell r="I1037">
            <v>2019</v>
          </cell>
          <cell r="J1037" t="str">
            <v>B2PAL</v>
          </cell>
          <cell r="K1037" t="str">
            <v>LOS LIBERTADORES</v>
          </cell>
          <cell r="L1037" t="str">
            <v>Los Liberadores 6450, Lote 4A</v>
          </cell>
          <cell r="M1037" t="str">
            <v>Huechuraba</v>
          </cell>
          <cell r="N1037" t="str">
            <v>B</v>
          </cell>
        </row>
        <row r="1038">
          <cell r="B1038" t="str">
            <v>GCBB-10</v>
          </cell>
          <cell r="C1038" t="str">
            <v>D8481853K2PL</v>
          </cell>
          <cell r="D1038" t="str">
            <v>YV3T7U523KA195195</v>
          </cell>
          <cell r="E1038" t="str">
            <v>Volvo</v>
          </cell>
          <cell r="F1038" t="str">
            <v>B8R</v>
          </cell>
          <cell r="G1038" t="str">
            <v>MARCOPOLO</v>
          </cell>
          <cell r="H1038" t="str">
            <v>TORINO</v>
          </cell>
          <cell r="I1038">
            <v>2019</v>
          </cell>
          <cell r="J1038" t="str">
            <v>B2PAL</v>
          </cell>
          <cell r="K1038" t="str">
            <v>LOS LIBERTADORES</v>
          </cell>
          <cell r="L1038" t="str">
            <v>Los Liberadores 6450, Lote 4A</v>
          </cell>
          <cell r="M1038" t="str">
            <v>Huechuraba</v>
          </cell>
          <cell r="N1038" t="str">
            <v>B</v>
          </cell>
        </row>
        <row r="1039">
          <cell r="B1039" t="str">
            <v>GCBB-65</v>
          </cell>
          <cell r="C1039" t="str">
            <v>D8482473K2PL</v>
          </cell>
          <cell r="D1039" t="str">
            <v>YV3T7U520KA195316</v>
          </cell>
          <cell r="E1039" t="str">
            <v>Volvo</v>
          </cell>
          <cell r="F1039" t="str">
            <v>B8R</v>
          </cell>
          <cell r="G1039" t="str">
            <v>MARCOPOLO</v>
          </cell>
          <cell r="H1039" t="str">
            <v>TORINO</v>
          </cell>
          <cell r="I1039">
            <v>2019</v>
          </cell>
          <cell r="J1039" t="str">
            <v>B2PAL</v>
          </cell>
          <cell r="K1039" t="str">
            <v>LOS LIBERTADORES</v>
          </cell>
          <cell r="L1039" t="str">
            <v>Los Liberadores 6450, Lote 4A</v>
          </cell>
          <cell r="M1039" t="str">
            <v>Huechuraba</v>
          </cell>
          <cell r="N1039" t="str">
            <v>B</v>
          </cell>
        </row>
        <row r="1040">
          <cell r="B1040" t="str">
            <v>GCBB-66</v>
          </cell>
          <cell r="C1040" t="str">
            <v>D8484011K2PL</v>
          </cell>
          <cell r="D1040" t="str">
            <v>YV3T7U522KA195592</v>
          </cell>
          <cell r="E1040" t="str">
            <v>Volvo</v>
          </cell>
          <cell r="F1040" t="str">
            <v>B8R</v>
          </cell>
          <cell r="G1040" t="str">
            <v>MARCOPOLO</v>
          </cell>
          <cell r="H1040" t="str">
            <v>TORINO</v>
          </cell>
          <cell r="I1040">
            <v>2019</v>
          </cell>
          <cell r="J1040" t="str">
            <v>B2PAL</v>
          </cell>
          <cell r="K1040" t="str">
            <v>LOS LIBERTADORES</v>
          </cell>
          <cell r="L1040" t="str">
            <v>Los Liberadores 6450, Lote 4A</v>
          </cell>
          <cell r="M1040" t="str">
            <v>Huechuraba</v>
          </cell>
          <cell r="N1040" t="str">
            <v>B</v>
          </cell>
        </row>
        <row r="1041">
          <cell r="B1041" t="str">
            <v>GCBB-67</v>
          </cell>
          <cell r="C1041" t="str">
            <v>D8483863K2PL</v>
          </cell>
          <cell r="D1041" t="str">
            <v>YV3T7U526KA195594</v>
          </cell>
          <cell r="E1041" t="str">
            <v>Volvo</v>
          </cell>
          <cell r="F1041" t="str">
            <v>B8R</v>
          </cell>
          <cell r="G1041" t="str">
            <v>MARCOPOLO</v>
          </cell>
          <cell r="H1041" t="str">
            <v>TORINO</v>
          </cell>
          <cell r="I1041">
            <v>2019</v>
          </cell>
          <cell r="J1041" t="str">
            <v>B2PAL</v>
          </cell>
          <cell r="K1041" t="str">
            <v>LOS LIBERTADORES</v>
          </cell>
          <cell r="L1041" t="str">
            <v>Los Liberadores 6450, Lote 4A</v>
          </cell>
          <cell r="M1041" t="str">
            <v>Huechuraba</v>
          </cell>
          <cell r="N1041" t="str">
            <v>B</v>
          </cell>
        </row>
        <row r="1042">
          <cell r="B1042" t="str">
            <v>GCBB-68</v>
          </cell>
          <cell r="C1042" t="str">
            <v>D8452415K2PL</v>
          </cell>
          <cell r="D1042" t="str">
            <v>YV3T7U529JA189190</v>
          </cell>
          <cell r="E1042" t="str">
            <v>Volvo</v>
          </cell>
          <cell r="F1042" t="str">
            <v>B8R</v>
          </cell>
          <cell r="G1042" t="str">
            <v>MARCOPOLO</v>
          </cell>
          <cell r="H1042" t="str">
            <v>TORINO</v>
          </cell>
          <cell r="I1042">
            <v>2019</v>
          </cell>
          <cell r="J1042" t="str">
            <v>B2PAL</v>
          </cell>
          <cell r="K1042" t="str">
            <v>SAN JOSE</v>
          </cell>
          <cell r="L1042" t="str">
            <v>San José 030 (José Besa 669)</v>
          </cell>
          <cell r="M1042" t="str">
            <v>San Bernardo</v>
          </cell>
          <cell r="N1042" t="str">
            <v>B</v>
          </cell>
        </row>
        <row r="1043">
          <cell r="B1043" t="str">
            <v>GCBB-69</v>
          </cell>
          <cell r="C1043" t="str">
            <v>D8481542K2PL</v>
          </cell>
          <cell r="D1043" t="str">
            <v>YV3T7U522KA195172</v>
          </cell>
          <cell r="E1043" t="str">
            <v>Volvo</v>
          </cell>
          <cell r="F1043" t="str">
            <v>B8R</v>
          </cell>
          <cell r="G1043" t="str">
            <v>MARCOPOLO</v>
          </cell>
          <cell r="H1043" t="str">
            <v>TORINO</v>
          </cell>
          <cell r="I1043">
            <v>2019</v>
          </cell>
          <cell r="J1043" t="str">
            <v>B2PAL</v>
          </cell>
          <cell r="K1043" t="str">
            <v>LOS LIBERTADORES</v>
          </cell>
          <cell r="L1043" t="str">
            <v>Los Liberadores 6450, Lote 4A</v>
          </cell>
          <cell r="M1043" t="str">
            <v>Huechuraba</v>
          </cell>
          <cell r="N1043" t="str">
            <v>B</v>
          </cell>
        </row>
        <row r="1044">
          <cell r="B1044" t="str">
            <v>GCBB-70</v>
          </cell>
          <cell r="C1044" t="str">
            <v>D8482361K2PL</v>
          </cell>
          <cell r="D1044" t="str">
            <v>YV3T7U528KA195287</v>
          </cell>
          <cell r="E1044" t="str">
            <v>Volvo</v>
          </cell>
          <cell r="F1044" t="str">
            <v>B8R</v>
          </cell>
          <cell r="G1044" t="str">
            <v>MARCOPOLO</v>
          </cell>
          <cell r="H1044" t="str">
            <v>TORINO</v>
          </cell>
          <cell r="I1044">
            <v>2019</v>
          </cell>
          <cell r="J1044" t="str">
            <v>B2PAL</v>
          </cell>
          <cell r="K1044" t="str">
            <v>LOS LIBERTADORES</v>
          </cell>
          <cell r="L1044" t="str">
            <v>Los Liberadores 6450, Lote 4A</v>
          </cell>
          <cell r="M1044" t="str">
            <v>Huechuraba</v>
          </cell>
          <cell r="N1044" t="str">
            <v>B</v>
          </cell>
        </row>
        <row r="1045">
          <cell r="B1045" t="str">
            <v>GCBB-71</v>
          </cell>
          <cell r="C1045" t="str">
            <v>D8482775K2PL</v>
          </cell>
          <cell r="D1045" t="str">
            <v>YV3T7U528KA195306</v>
          </cell>
          <cell r="E1045" t="str">
            <v>Volvo</v>
          </cell>
          <cell r="F1045" t="str">
            <v>B8R</v>
          </cell>
          <cell r="G1045" t="str">
            <v>MARCOPOLO</v>
          </cell>
          <cell r="H1045" t="str">
            <v>TORINO</v>
          </cell>
          <cell r="I1045">
            <v>2019</v>
          </cell>
          <cell r="J1045" t="str">
            <v>B2PAL</v>
          </cell>
          <cell r="K1045" t="str">
            <v>LOS LIBERTADORES</v>
          </cell>
          <cell r="L1045" t="str">
            <v>Los Liberadores 6450, Lote 4A</v>
          </cell>
          <cell r="M1045" t="str">
            <v>Huechuraba</v>
          </cell>
          <cell r="N1045" t="str">
            <v>B</v>
          </cell>
        </row>
        <row r="1046">
          <cell r="B1046" t="str">
            <v>GCBB-72</v>
          </cell>
          <cell r="C1046" t="str">
            <v>D8482721K2PL</v>
          </cell>
          <cell r="D1046" t="str">
            <v>YV3T7U52XKA195307</v>
          </cell>
          <cell r="E1046" t="str">
            <v>Volvo</v>
          </cell>
          <cell r="F1046" t="str">
            <v>B8R</v>
          </cell>
          <cell r="G1046" t="str">
            <v>MARCOPOLO</v>
          </cell>
          <cell r="H1046" t="str">
            <v>TORINO</v>
          </cell>
          <cell r="I1046">
            <v>2019</v>
          </cell>
          <cell r="J1046" t="str">
            <v>B2PAL</v>
          </cell>
          <cell r="K1046" t="str">
            <v>LOS LIBERTADORES</v>
          </cell>
          <cell r="L1046" t="str">
            <v>Los Liberadores 6450, Lote 4A</v>
          </cell>
          <cell r="M1046" t="str">
            <v>Huechuraba</v>
          </cell>
          <cell r="N1046" t="str">
            <v>B</v>
          </cell>
        </row>
        <row r="1047">
          <cell r="B1047" t="str">
            <v>GCBB-73</v>
          </cell>
          <cell r="C1047" t="str">
            <v>D8482748K2PL</v>
          </cell>
          <cell r="D1047" t="str">
            <v>YV3T7U521KA195308</v>
          </cell>
          <cell r="E1047" t="str">
            <v>Volvo</v>
          </cell>
          <cell r="F1047" t="str">
            <v>B8R</v>
          </cell>
          <cell r="G1047" t="str">
            <v>MARCOPOLO</v>
          </cell>
          <cell r="H1047" t="str">
            <v>TORINO</v>
          </cell>
          <cell r="I1047">
            <v>2019</v>
          </cell>
          <cell r="J1047" t="str">
            <v>B2PAL</v>
          </cell>
          <cell r="K1047" t="str">
            <v>SAN JOSE</v>
          </cell>
          <cell r="L1047" t="str">
            <v>San José 030 (José Besa 669)</v>
          </cell>
          <cell r="M1047" t="str">
            <v>San Bernardo</v>
          </cell>
          <cell r="N1047" t="str">
            <v>B</v>
          </cell>
        </row>
        <row r="1048">
          <cell r="B1048" t="str">
            <v>GCBB-74</v>
          </cell>
          <cell r="C1048" t="str">
            <v>D8482485K2PL</v>
          </cell>
          <cell r="D1048" t="str">
            <v>YV3T7U522KA195317</v>
          </cell>
          <cell r="E1048" t="str">
            <v>Volvo</v>
          </cell>
          <cell r="F1048" t="str">
            <v>B8R</v>
          </cell>
          <cell r="G1048" t="str">
            <v>MARCOPOLO</v>
          </cell>
          <cell r="H1048" t="str">
            <v>TORINO</v>
          </cell>
          <cell r="I1048">
            <v>2019</v>
          </cell>
          <cell r="J1048" t="str">
            <v>B2PAL</v>
          </cell>
          <cell r="K1048" t="str">
            <v>LOS LIBERTADORES</v>
          </cell>
          <cell r="L1048" t="str">
            <v>Los Liberadores 6450, Lote 4A</v>
          </cell>
          <cell r="M1048" t="str">
            <v>Huechuraba</v>
          </cell>
          <cell r="N1048" t="str">
            <v>B</v>
          </cell>
        </row>
        <row r="1049">
          <cell r="B1049" t="str">
            <v>GCBB-11</v>
          </cell>
          <cell r="C1049" t="str">
            <v>D8481452K2PL</v>
          </cell>
          <cell r="D1049" t="str">
            <v>YV3T7U525KA195196</v>
          </cell>
          <cell r="E1049" t="str">
            <v>Volvo</v>
          </cell>
          <cell r="F1049" t="str">
            <v>B8R</v>
          </cell>
          <cell r="G1049" t="str">
            <v>MARCOPOLO</v>
          </cell>
          <cell r="H1049" t="str">
            <v>TORINO</v>
          </cell>
          <cell r="I1049">
            <v>2019</v>
          </cell>
          <cell r="J1049" t="str">
            <v>B2PAL</v>
          </cell>
          <cell r="K1049" t="str">
            <v>LOS LIBERTADORES</v>
          </cell>
          <cell r="L1049" t="str">
            <v>Los Liberadores 6450, Lote 4A</v>
          </cell>
          <cell r="M1049" t="str">
            <v>Huechuraba</v>
          </cell>
          <cell r="N1049" t="str">
            <v>B</v>
          </cell>
        </row>
        <row r="1050">
          <cell r="B1050" t="str">
            <v>GCBB-75</v>
          </cell>
          <cell r="C1050" t="str">
            <v>D8482455K2PL</v>
          </cell>
          <cell r="D1050" t="str">
            <v>YV3T7U524KA195318</v>
          </cell>
          <cell r="E1050" t="str">
            <v>Volvo</v>
          </cell>
          <cell r="F1050" t="str">
            <v>B8R</v>
          </cell>
          <cell r="G1050" t="str">
            <v>MARCOPOLO</v>
          </cell>
          <cell r="H1050" t="str">
            <v>TORINO</v>
          </cell>
          <cell r="I1050">
            <v>2019</v>
          </cell>
          <cell r="J1050" t="str">
            <v>B2PAL</v>
          </cell>
          <cell r="K1050" t="str">
            <v>LOS LIBERTADORES</v>
          </cell>
          <cell r="L1050" t="str">
            <v>Los Liberadores 6450, Lote 4A</v>
          </cell>
          <cell r="M1050" t="str">
            <v>Huechuraba</v>
          </cell>
          <cell r="N1050" t="str">
            <v>B</v>
          </cell>
        </row>
        <row r="1051">
          <cell r="B1051" t="str">
            <v>GCBB-76</v>
          </cell>
          <cell r="C1051" t="str">
            <v>D8482471K2PL</v>
          </cell>
          <cell r="D1051" t="str">
            <v>YV3T7U526KA195319</v>
          </cell>
          <cell r="E1051" t="str">
            <v>Volvo</v>
          </cell>
          <cell r="F1051" t="str">
            <v>B8R</v>
          </cell>
          <cell r="G1051" t="str">
            <v>MARCOPOLO</v>
          </cell>
          <cell r="H1051" t="str">
            <v>TORINO</v>
          </cell>
          <cell r="I1051">
            <v>2019</v>
          </cell>
          <cell r="J1051" t="str">
            <v>B2PAL</v>
          </cell>
          <cell r="K1051" t="str">
            <v>SAN JOSE</v>
          </cell>
          <cell r="L1051" t="str">
            <v>San José 030 (José Besa 669)</v>
          </cell>
          <cell r="M1051" t="str">
            <v>San Bernardo</v>
          </cell>
          <cell r="N1051" t="str">
            <v>B</v>
          </cell>
        </row>
        <row r="1052">
          <cell r="B1052" t="str">
            <v>GCBB-77</v>
          </cell>
          <cell r="C1052" t="str">
            <v>D8482458K2PL</v>
          </cell>
          <cell r="D1052" t="str">
            <v>YV3T7U522KA195320</v>
          </cell>
          <cell r="E1052" t="str">
            <v>Volvo</v>
          </cell>
          <cell r="F1052" t="str">
            <v>B8R</v>
          </cell>
          <cell r="G1052" t="str">
            <v>MARCOPOLO</v>
          </cell>
          <cell r="H1052" t="str">
            <v>TORINO</v>
          </cell>
          <cell r="I1052">
            <v>2019</v>
          </cell>
          <cell r="J1052" t="str">
            <v>B2PAL</v>
          </cell>
          <cell r="K1052" t="str">
            <v>LOS LIBERTADORES</v>
          </cell>
          <cell r="L1052" t="str">
            <v>Los Liberadores 6450, Lote 4A</v>
          </cell>
          <cell r="M1052" t="str">
            <v>Huechuraba</v>
          </cell>
          <cell r="N1052" t="str">
            <v>B</v>
          </cell>
        </row>
        <row r="1053">
          <cell r="B1053" t="str">
            <v>GCBB-78</v>
          </cell>
          <cell r="C1053" t="str">
            <v>D8482397K2PL</v>
          </cell>
          <cell r="D1053" t="str">
            <v>YV3T7U524KA195321</v>
          </cell>
          <cell r="E1053" t="str">
            <v>Volvo</v>
          </cell>
          <cell r="F1053" t="str">
            <v>B8R</v>
          </cell>
          <cell r="G1053" t="str">
            <v>MARCOPOLO</v>
          </cell>
          <cell r="H1053" t="str">
            <v>TORINO</v>
          </cell>
          <cell r="I1053">
            <v>2019</v>
          </cell>
          <cell r="J1053" t="str">
            <v>B2PAL</v>
          </cell>
          <cell r="K1053" t="str">
            <v>LOS LIBERTADORES</v>
          </cell>
          <cell r="L1053" t="str">
            <v>Los Liberadores 6450, Lote 4A</v>
          </cell>
          <cell r="M1053" t="str">
            <v>Huechuraba</v>
          </cell>
          <cell r="N1053" t="str">
            <v>B</v>
          </cell>
        </row>
        <row r="1054">
          <cell r="B1054" t="str">
            <v>GCBB-79</v>
          </cell>
          <cell r="C1054" t="str">
            <v>D8482405K2PL</v>
          </cell>
          <cell r="D1054" t="str">
            <v>YV3T7U526KA195322</v>
          </cell>
          <cell r="E1054" t="str">
            <v>Volvo</v>
          </cell>
          <cell r="F1054" t="str">
            <v>B8R</v>
          </cell>
          <cell r="G1054" t="str">
            <v>MARCOPOLO</v>
          </cell>
          <cell r="H1054" t="str">
            <v>TORINO</v>
          </cell>
          <cell r="I1054">
            <v>2019</v>
          </cell>
          <cell r="J1054" t="str">
            <v>B2PAL</v>
          </cell>
          <cell r="K1054" t="str">
            <v>SAN JOSE</v>
          </cell>
          <cell r="L1054" t="str">
            <v>San José 030 (José Besa 669)</v>
          </cell>
          <cell r="M1054" t="str">
            <v>San Bernardo</v>
          </cell>
          <cell r="N1054" t="str">
            <v>B</v>
          </cell>
        </row>
        <row r="1055">
          <cell r="B1055" t="str">
            <v>GCBB-80</v>
          </cell>
          <cell r="C1055" t="str">
            <v>D8482402K2PL</v>
          </cell>
          <cell r="D1055" t="str">
            <v>YV3T7U528KA195323</v>
          </cell>
          <cell r="E1055" t="str">
            <v>Volvo</v>
          </cell>
          <cell r="F1055" t="str">
            <v>B8R</v>
          </cell>
          <cell r="G1055" t="str">
            <v>MARCOPOLO</v>
          </cell>
          <cell r="H1055" t="str">
            <v>TORINO</v>
          </cell>
          <cell r="I1055">
            <v>2019</v>
          </cell>
          <cell r="J1055" t="str">
            <v>B2PAL</v>
          </cell>
          <cell r="K1055" t="str">
            <v>SAN JOSE</v>
          </cell>
          <cell r="L1055" t="str">
            <v>San José 030 (José Besa 669)</v>
          </cell>
          <cell r="M1055" t="str">
            <v>San Bernardo</v>
          </cell>
          <cell r="N1055" t="str">
            <v>B</v>
          </cell>
        </row>
        <row r="1056">
          <cell r="B1056" t="str">
            <v>GCBB-81</v>
          </cell>
          <cell r="C1056" t="str">
            <v>D8482422K2PL</v>
          </cell>
          <cell r="D1056" t="str">
            <v>YV3T7U521KA195325</v>
          </cell>
          <cell r="E1056" t="str">
            <v>Volvo</v>
          </cell>
          <cell r="F1056" t="str">
            <v>B8R</v>
          </cell>
          <cell r="G1056" t="str">
            <v>MARCOPOLO</v>
          </cell>
          <cell r="H1056" t="str">
            <v>TORINO</v>
          </cell>
          <cell r="I1056">
            <v>2019</v>
          </cell>
          <cell r="J1056" t="str">
            <v>B2PAL</v>
          </cell>
          <cell r="K1056" t="str">
            <v>SAN JOSE</v>
          </cell>
          <cell r="L1056" t="str">
            <v>San José 030 (José Besa 669)</v>
          </cell>
          <cell r="M1056" t="str">
            <v>San Bernardo</v>
          </cell>
          <cell r="N1056" t="str">
            <v>B</v>
          </cell>
        </row>
        <row r="1057">
          <cell r="B1057" t="str">
            <v>GCBB-82</v>
          </cell>
          <cell r="C1057" t="str">
            <v>D8482534K2PL</v>
          </cell>
          <cell r="D1057" t="str">
            <v>YV3T7U527KA195359</v>
          </cell>
          <cell r="E1057" t="str">
            <v>Volvo</v>
          </cell>
          <cell r="F1057" t="str">
            <v>B8R</v>
          </cell>
          <cell r="G1057" t="str">
            <v>MARCOPOLO</v>
          </cell>
          <cell r="H1057" t="str">
            <v>TORINO</v>
          </cell>
          <cell r="I1057">
            <v>2019</v>
          </cell>
          <cell r="J1057" t="str">
            <v>B2PAL</v>
          </cell>
          <cell r="K1057" t="str">
            <v>SAN JOSE</v>
          </cell>
          <cell r="L1057" t="str">
            <v>San José 030 (José Besa 669)</v>
          </cell>
          <cell r="M1057" t="str">
            <v>San Bernardo</v>
          </cell>
          <cell r="N1057" t="str">
            <v>B</v>
          </cell>
        </row>
        <row r="1058">
          <cell r="B1058" t="str">
            <v>GCBB-83</v>
          </cell>
          <cell r="C1058" t="str">
            <v>D8482872K2PL</v>
          </cell>
          <cell r="D1058" t="str">
            <v>YV3T7U52XKA195405</v>
          </cell>
          <cell r="E1058" t="str">
            <v>Volvo</v>
          </cell>
          <cell r="F1058" t="str">
            <v>B8R</v>
          </cell>
          <cell r="G1058" t="str">
            <v>MARCOPOLO</v>
          </cell>
          <cell r="H1058" t="str">
            <v>TORINO</v>
          </cell>
          <cell r="I1058">
            <v>2019</v>
          </cell>
          <cell r="J1058" t="str">
            <v>B2PAL</v>
          </cell>
          <cell r="K1058" t="str">
            <v>LOS LIBERTADORES</v>
          </cell>
          <cell r="L1058" t="str">
            <v>Los Liberadores 6450, Lote 4A</v>
          </cell>
          <cell r="M1058" t="str">
            <v>Huechuraba</v>
          </cell>
          <cell r="N1058" t="str">
            <v>B</v>
          </cell>
        </row>
        <row r="1059">
          <cell r="B1059" t="str">
            <v>GCBB-84</v>
          </cell>
          <cell r="C1059" t="str">
            <v>D8482892K2PL</v>
          </cell>
          <cell r="D1059" t="str">
            <v>YV3T7U521KA195406</v>
          </cell>
          <cell r="E1059" t="str">
            <v>Volvo</v>
          </cell>
          <cell r="F1059" t="str">
            <v>B8R</v>
          </cell>
          <cell r="G1059" t="str">
            <v>MARCOPOLO</v>
          </cell>
          <cell r="H1059" t="str">
            <v>TORINO</v>
          </cell>
          <cell r="I1059">
            <v>2019</v>
          </cell>
          <cell r="J1059" t="str">
            <v>B2PAL</v>
          </cell>
          <cell r="K1059" t="str">
            <v>SAN JOSE</v>
          </cell>
          <cell r="L1059" t="str">
            <v>San José 030 (José Besa 669)</v>
          </cell>
          <cell r="M1059" t="str">
            <v>San Bernardo</v>
          </cell>
          <cell r="N1059" t="str">
            <v>B</v>
          </cell>
        </row>
        <row r="1060">
          <cell r="B1060" t="str">
            <v>GCBB-12</v>
          </cell>
          <cell r="C1060" t="str">
            <v>D8481676K2PL</v>
          </cell>
          <cell r="D1060" t="str">
            <v>YV3T7U520KA195199</v>
          </cell>
          <cell r="E1060" t="str">
            <v>Volvo</v>
          </cell>
          <cell r="F1060" t="str">
            <v>B8R</v>
          </cell>
          <cell r="G1060" t="str">
            <v>MARCOPOLO</v>
          </cell>
          <cell r="H1060" t="str">
            <v>TORINO</v>
          </cell>
          <cell r="I1060">
            <v>2019</v>
          </cell>
          <cell r="J1060" t="str">
            <v>B2PAL</v>
          </cell>
          <cell r="K1060" t="str">
            <v>LOS LIBERTADORES</v>
          </cell>
          <cell r="L1060" t="str">
            <v>Los Liberadores 6450, Lote 4A</v>
          </cell>
          <cell r="M1060" t="str">
            <v>Huechuraba</v>
          </cell>
          <cell r="N1060" t="str">
            <v>B</v>
          </cell>
        </row>
        <row r="1061">
          <cell r="B1061" t="str">
            <v>GCBB-85</v>
          </cell>
          <cell r="C1061" t="str">
            <v>D8481773K2PL</v>
          </cell>
          <cell r="D1061" t="str">
            <v>YV3T7U522KA195429</v>
          </cell>
          <cell r="E1061" t="str">
            <v>Volvo</v>
          </cell>
          <cell r="F1061" t="str">
            <v>B8R</v>
          </cell>
          <cell r="G1061" t="str">
            <v>MARCOPOLO</v>
          </cell>
          <cell r="H1061" t="str">
            <v>TORINO</v>
          </cell>
          <cell r="I1061">
            <v>2019</v>
          </cell>
          <cell r="J1061" t="str">
            <v>B2PAL</v>
          </cell>
          <cell r="K1061" t="str">
            <v>LOS LIBERTADORES</v>
          </cell>
          <cell r="L1061" t="str">
            <v>Los Liberadores 6450, Lote 4A</v>
          </cell>
          <cell r="M1061" t="str">
            <v>Huechuraba</v>
          </cell>
          <cell r="N1061" t="str">
            <v>B</v>
          </cell>
        </row>
        <row r="1062">
          <cell r="B1062" t="str">
            <v>GCBB-86</v>
          </cell>
          <cell r="C1062" t="str">
            <v>D8483496K2PL</v>
          </cell>
          <cell r="D1062" t="str">
            <v>YV3T7U52XKA195551</v>
          </cell>
          <cell r="E1062" t="str">
            <v>Volvo</v>
          </cell>
          <cell r="F1062" t="str">
            <v>B8R</v>
          </cell>
          <cell r="G1062" t="str">
            <v>MARCOPOLO</v>
          </cell>
          <cell r="H1062" t="str">
            <v>TORINO</v>
          </cell>
          <cell r="I1062">
            <v>2019</v>
          </cell>
          <cell r="J1062" t="str">
            <v>B2PAL</v>
          </cell>
          <cell r="K1062" t="str">
            <v>SAN JOSE</v>
          </cell>
          <cell r="L1062" t="str">
            <v>San José 030 (José Besa 669)</v>
          </cell>
          <cell r="M1062" t="str">
            <v>San Bernardo</v>
          </cell>
          <cell r="N1062" t="str">
            <v>B</v>
          </cell>
        </row>
        <row r="1063">
          <cell r="B1063" t="str">
            <v>GCBB-87</v>
          </cell>
          <cell r="C1063" t="str">
            <v>D8483527K2PL</v>
          </cell>
          <cell r="D1063" t="str">
            <v>YV3T7U521KA195552</v>
          </cell>
          <cell r="E1063" t="str">
            <v>Volvo</v>
          </cell>
          <cell r="F1063" t="str">
            <v>B8R</v>
          </cell>
          <cell r="G1063" t="str">
            <v>MARCOPOLO</v>
          </cell>
          <cell r="H1063" t="str">
            <v>TORINO</v>
          </cell>
          <cell r="I1063">
            <v>2019</v>
          </cell>
          <cell r="J1063" t="str">
            <v>B2PAL</v>
          </cell>
          <cell r="K1063" t="str">
            <v>SAN JOSE</v>
          </cell>
          <cell r="L1063" t="str">
            <v>San José 030 (José Besa 669)</v>
          </cell>
          <cell r="M1063" t="str">
            <v>San Bernardo</v>
          </cell>
          <cell r="N1063" t="str">
            <v>B</v>
          </cell>
        </row>
        <row r="1064">
          <cell r="B1064" t="str">
            <v>GCBB-88</v>
          </cell>
          <cell r="C1064" t="str">
            <v>D8483438K2PL</v>
          </cell>
          <cell r="D1064" t="str">
            <v>YV3T7U525KA195554</v>
          </cell>
          <cell r="E1064" t="str">
            <v>Volvo</v>
          </cell>
          <cell r="F1064" t="str">
            <v>B8R</v>
          </cell>
          <cell r="G1064" t="str">
            <v>MARCOPOLO</v>
          </cell>
          <cell r="H1064" t="str">
            <v>TORINO</v>
          </cell>
          <cell r="I1064">
            <v>2019</v>
          </cell>
          <cell r="J1064" t="str">
            <v>B2PAL</v>
          </cell>
          <cell r="K1064" t="str">
            <v>SAN JOSE</v>
          </cell>
          <cell r="L1064" t="str">
            <v>San José 030 (José Besa 669)</v>
          </cell>
          <cell r="M1064" t="str">
            <v>San Bernardo</v>
          </cell>
          <cell r="N1064" t="str">
            <v>B</v>
          </cell>
        </row>
        <row r="1065">
          <cell r="B1065" t="str">
            <v>GCBB-89</v>
          </cell>
          <cell r="C1065" t="str">
            <v>D8484688K2PL</v>
          </cell>
          <cell r="D1065" t="str">
            <v>YV3T7U521KA195714</v>
          </cell>
          <cell r="E1065" t="str">
            <v>Volvo</v>
          </cell>
          <cell r="F1065" t="str">
            <v>B8R</v>
          </cell>
          <cell r="G1065" t="str">
            <v>MARCOPOLO</v>
          </cell>
          <cell r="H1065" t="str">
            <v>TORINO</v>
          </cell>
          <cell r="I1065">
            <v>2019</v>
          </cell>
          <cell r="J1065" t="str">
            <v>B2PAL</v>
          </cell>
          <cell r="K1065" t="str">
            <v>SAN JOSE</v>
          </cell>
          <cell r="L1065" t="str">
            <v>San José 030 (José Besa 669)</v>
          </cell>
          <cell r="M1065" t="str">
            <v>San Bernardo</v>
          </cell>
          <cell r="N1065" t="str">
            <v>B</v>
          </cell>
        </row>
        <row r="1066">
          <cell r="B1066" t="str">
            <v>GCBB-91</v>
          </cell>
          <cell r="C1066" t="str">
            <v>D8482515K2PL</v>
          </cell>
          <cell r="D1066" t="str">
            <v>YV3T7U524KA195349</v>
          </cell>
          <cell r="E1066" t="str">
            <v>Volvo</v>
          </cell>
          <cell r="F1066" t="str">
            <v>B8R</v>
          </cell>
          <cell r="G1066" t="str">
            <v>MARCOPOLO</v>
          </cell>
          <cell r="H1066" t="str">
            <v>TORINO</v>
          </cell>
          <cell r="I1066">
            <v>2019</v>
          </cell>
          <cell r="J1066" t="str">
            <v>B2PAL</v>
          </cell>
          <cell r="K1066" t="str">
            <v>LOS LIBERTADORES</v>
          </cell>
          <cell r="L1066" t="str">
            <v>Los Liberadores 6450, Lote 4A</v>
          </cell>
          <cell r="M1066" t="str">
            <v>Huechuraba</v>
          </cell>
          <cell r="N1066" t="str">
            <v>B</v>
          </cell>
        </row>
        <row r="1067">
          <cell r="B1067" t="str">
            <v>GCBB-92</v>
          </cell>
          <cell r="C1067" t="str">
            <v>D8482526K2PL</v>
          </cell>
          <cell r="D1067" t="str">
            <v>YV3T7U526KA195353</v>
          </cell>
          <cell r="E1067" t="str">
            <v>Volvo</v>
          </cell>
          <cell r="F1067" t="str">
            <v>B8R</v>
          </cell>
          <cell r="G1067" t="str">
            <v>MARCOPOLO</v>
          </cell>
          <cell r="H1067" t="str">
            <v>TORINO</v>
          </cell>
          <cell r="I1067">
            <v>2019</v>
          </cell>
          <cell r="J1067" t="str">
            <v>B2PAL</v>
          </cell>
          <cell r="K1067" t="str">
            <v>SAN JOSE</v>
          </cell>
          <cell r="L1067" t="str">
            <v>San José 030 (José Besa 669)</v>
          </cell>
          <cell r="M1067" t="str">
            <v>San Bernardo</v>
          </cell>
          <cell r="N1067" t="str">
            <v>B</v>
          </cell>
        </row>
        <row r="1068">
          <cell r="B1068" t="str">
            <v>GCBB-93</v>
          </cell>
          <cell r="C1068" t="str">
            <v>D8482598K2PL</v>
          </cell>
          <cell r="D1068" t="str">
            <v>YV3T7U52XKA195355</v>
          </cell>
          <cell r="E1068" t="str">
            <v>Volvo</v>
          </cell>
          <cell r="F1068" t="str">
            <v>B8R</v>
          </cell>
          <cell r="G1068" t="str">
            <v>MARCOPOLO</v>
          </cell>
          <cell r="H1068" t="str">
            <v>TORINO</v>
          </cell>
          <cell r="I1068">
            <v>2019</v>
          </cell>
          <cell r="J1068" t="str">
            <v>B2PAL</v>
          </cell>
          <cell r="K1068" t="str">
            <v>SAN JOSE</v>
          </cell>
          <cell r="L1068" t="str">
            <v>San José 030 (José Besa 669)</v>
          </cell>
          <cell r="M1068" t="str">
            <v>San Bernardo</v>
          </cell>
          <cell r="N1068" t="str">
            <v>B</v>
          </cell>
        </row>
        <row r="1069">
          <cell r="B1069" t="str">
            <v>GCBB-94</v>
          </cell>
          <cell r="C1069" t="str">
            <v>D8483001K2PL</v>
          </cell>
          <cell r="D1069" t="str">
            <v>YV3T7U526KA195403</v>
          </cell>
          <cell r="E1069" t="str">
            <v>Volvo</v>
          </cell>
          <cell r="F1069" t="str">
            <v>B8R</v>
          </cell>
          <cell r="G1069" t="str">
            <v>MARCOPOLO</v>
          </cell>
          <cell r="H1069" t="str">
            <v>TORINO</v>
          </cell>
          <cell r="I1069">
            <v>2019</v>
          </cell>
          <cell r="J1069" t="str">
            <v>B2PAL</v>
          </cell>
          <cell r="K1069" t="str">
            <v>LOS LIBERTADORES</v>
          </cell>
          <cell r="L1069" t="str">
            <v>Los Liberadores 6450, Lote 4A</v>
          </cell>
          <cell r="M1069" t="str">
            <v>Huechuraba</v>
          </cell>
          <cell r="N1069" t="str">
            <v>B</v>
          </cell>
        </row>
        <row r="1070">
          <cell r="B1070" t="str">
            <v>GCBB-95</v>
          </cell>
          <cell r="C1070" t="str">
            <v>D8483444K2PL</v>
          </cell>
          <cell r="D1070" t="str">
            <v>YV3T7U528KA195404</v>
          </cell>
          <cell r="E1070" t="str">
            <v>Volvo</v>
          </cell>
          <cell r="F1070" t="str">
            <v>B8R</v>
          </cell>
          <cell r="G1070" t="str">
            <v>MARCOPOLO</v>
          </cell>
          <cell r="H1070" t="str">
            <v>TORINO</v>
          </cell>
          <cell r="I1070">
            <v>2019</v>
          </cell>
          <cell r="J1070" t="str">
            <v>B2PAL</v>
          </cell>
          <cell r="K1070" t="str">
            <v>SAN JOSE</v>
          </cell>
          <cell r="L1070" t="str">
            <v>San José 030 (José Besa 669)</v>
          </cell>
          <cell r="M1070" t="str">
            <v>San Bernardo</v>
          </cell>
          <cell r="N1070" t="str">
            <v>B</v>
          </cell>
        </row>
        <row r="1071">
          <cell r="B1071" t="str">
            <v>GCBB-13</v>
          </cell>
          <cell r="C1071" t="str">
            <v>D8481462K2PL</v>
          </cell>
          <cell r="D1071" t="str">
            <v>YV3T7U523KA195200</v>
          </cell>
          <cell r="E1071" t="str">
            <v>Volvo</v>
          </cell>
          <cell r="F1071" t="str">
            <v>B8R</v>
          </cell>
          <cell r="G1071" t="str">
            <v>MARCOPOLO</v>
          </cell>
          <cell r="H1071" t="str">
            <v>TORINO</v>
          </cell>
          <cell r="I1071">
            <v>2019</v>
          </cell>
          <cell r="J1071" t="str">
            <v>B2PAL</v>
          </cell>
          <cell r="K1071" t="str">
            <v>LOS LIBERTADORES</v>
          </cell>
          <cell r="L1071" t="str">
            <v>Los Liberadores 6450, Lote 4A</v>
          </cell>
          <cell r="M1071" t="str">
            <v>Huechuraba</v>
          </cell>
          <cell r="N1071" t="str">
            <v>B</v>
          </cell>
        </row>
        <row r="1072">
          <cell r="B1072" t="str">
            <v>GCBB-96</v>
          </cell>
          <cell r="C1072" t="str">
            <v>D8481807K2PL</v>
          </cell>
          <cell r="D1072" t="str">
            <v>YV3T7U520KA195428</v>
          </cell>
          <cell r="E1072" t="str">
            <v>Volvo</v>
          </cell>
          <cell r="F1072" t="str">
            <v>B8R</v>
          </cell>
          <cell r="G1072" t="str">
            <v>MARCOPOLO</v>
          </cell>
          <cell r="H1072" t="str">
            <v>TORINO</v>
          </cell>
          <cell r="I1072">
            <v>2019</v>
          </cell>
          <cell r="J1072" t="str">
            <v>B2PAL</v>
          </cell>
          <cell r="K1072" t="str">
            <v>SAN JOSE</v>
          </cell>
          <cell r="L1072" t="str">
            <v>San José 030 (José Besa 669)</v>
          </cell>
          <cell r="M1072" t="str">
            <v>San Bernardo</v>
          </cell>
          <cell r="N1072" t="str">
            <v>B</v>
          </cell>
        </row>
        <row r="1073">
          <cell r="B1073" t="str">
            <v>GCBB-97</v>
          </cell>
          <cell r="C1073" t="str">
            <v>D8481802K2PL</v>
          </cell>
          <cell r="D1073" t="str">
            <v>YV3T7U529KA195430</v>
          </cell>
          <cell r="E1073" t="str">
            <v>Volvo</v>
          </cell>
          <cell r="F1073" t="str">
            <v>B8R</v>
          </cell>
          <cell r="G1073" t="str">
            <v>MARCOPOLO</v>
          </cell>
          <cell r="H1073" t="str">
            <v>TORINO</v>
          </cell>
          <cell r="I1073">
            <v>2019</v>
          </cell>
          <cell r="J1073" t="str">
            <v>B2PAL</v>
          </cell>
          <cell r="K1073" t="str">
            <v>SAN JOSE</v>
          </cell>
          <cell r="L1073" t="str">
            <v>San José 030 (José Besa 669)</v>
          </cell>
          <cell r="M1073" t="str">
            <v>San Bernardo</v>
          </cell>
          <cell r="N1073" t="str">
            <v>B</v>
          </cell>
        </row>
        <row r="1074">
          <cell r="B1074" t="str">
            <v>GCBB-98</v>
          </cell>
          <cell r="C1074" t="str">
            <v>D8481788K2PL</v>
          </cell>
          <cell r="D1074" t="str">
            <v>YV3T7U520KA195431</v>
          </cell>
          <cell r="E1074" t="str">
            <v>Volvo</v>
          </cell>
          <cell r="F1074" t="str">
            <v>B8R</v>
          </cell>
          <cell r="G1074" t="str">
            <v>MARCOPOLO</v>
          </cell>
          <cell r="H1074" t="str">
            <v>TORINO</v>
          </cell>
          <cell r="I1074">
            <v>2019</v>
          </cell>
          <cell r="J1074" t="str">
            <v>B2PAL</v>
          </cell>
          <cell r="K1074" t="str">
            <v>SAN JOSE</v>
          </cell>
          <cell r="L1074" t="str">
            <v>San José 030 (José Besa 669)</v>
          </cell>
          <cell r="M1074" t="str">
            <v>San Bernardo</v>
          </cell>
          <cell r="N1074" t="str">
            <v>B</v>
          </cell>
        </row>
        <row r="1075">
          <cell r="B1075" t="str">
            <v>GCBB-33</v>
          </cell>
          <cell r="C1075" t="str">
            <v>D8483123K2PL</v>
          </cell>
          <cell r="D1075" t="str">
            <v>YV3T7U525KA195487</v>
          </cell>
          <cell r="E1075" t="str">
            <v>Volvo</v>
          </cell>
          <cell r="F1075" t="str">
            <v>B8R</v>
          </cell>
          <cell r="G1075" t="str">
            <v>MARCOPOLO</v>
          </cell>
          <cell r="H1075" t="str">
            <v>TORINO</v>
          </cell>
          <cell r="I1075">
            <v>2019</v>
          </cell>
          <cell r="J1075" t="str">
            <v>B2PAL</v>
          </cell>
          <cell r="K1075" t="str">
            <v>SAN JOSE</v>
          </cell>
          <cell r="L1075" t="str">
            <v>San José 030 (José Besa 669)</v>
          </cell>
          <cell r="M1075" t="str">
            <v>San Bernardo</v>
          </cell>
          <cell r="N1075" t="str">
            <v>B</v>
          </cell>
        </row>
        <row r="1076">
          <cell r="B1076" t="str">
            <v>GCBC-10</v>
          </cell>
          <cell r="C1076" t="str">
            <v>D8483090K2PL</v>
          </cell>
          <cell r="D1076" t="str">
            <v>YV3T7U527KA195488</v>
          </cell>
          <cell r="E1076" t="str">
            <v>Volvo</v>
          </cell>
          <cell r="F1076" t="str">
            <v>B8R</v>
          </cell>
          <cell r="G1076" t="str">
            <v>MARCOPOLO</v>
          </cell>
          <cell r="H1076" t="str">
            <v>TORINO</v>
          </cell>
          <cell r="I1076">
            <v>2019</v>
          </cell>
          <cell r="J1076" t="str">
            <v>B2PAL</v>
          </cell>
          <cell r="K1076" t="str">
            <v>SAN JOSE</v>
          </cell>
          <cell r="L1076" t="str">
            <v>San José 030 (José Besa 669)</v>
          </cell>
          <cell r="M1076" t="str">
            <v>San Bernardo</v>
          </cell>
          <cell r="N1076" t="str">
            <v>B</v>
          </cell>
        </row>
        <row r="1077">
          <cell r="B1077" t="str">
            <v>GCBC-11</v>
          </cell>
          <cell r="C1077" t="str">
            <v>D8483468K2PL</v>
          </cell>
          <cell r="D1077" t="str">
            <v>YV3T7U525KA195571</v>
          </cell>
          <cell r="E1077" t="str">
            <v>Volvo</v>
          </cell>
          <cell r="F1077" t="str">
            <v>B8R</v>
          </cell>
          <cell r="G1077" t="str">
            <v>MARCOPOLO</v>
          </cell>
          <cell r="H1077" t="str">
            <v>TORINO</v>
          </cell>
          <cell r="I1077">
            <v>2019</v>
          </cell>
          <cell r="J1077" t="str">
            <v>B2PAL</v>
          </cell>
          <cell r="K1077" t="str">
            <v>SAN JOSE</v>
          </cell>
          <cell r="L1077" t="str">
            <v>San José 030 (José Besa 669)</v>
          </cell>
          <cell r="M1077" t="str">
            <v>San Bernardo</v>
          </cell>
          <cell r="N1077" t="str">
            <v>B</v>
          </cell>
        </row>
        <row r="1078">
          <cell r="B1078" t="str">
            <v>GCBC-12</v>
          </cell>
          <cell r="C1078" t="str">
            <v>D8483819K2PL</v>
          </cell>
          <cell r="D1078" t="str">
            <v>YV3T7U520KA195686</v>
          </cell>
          <cell r="E1078" t="str">
            <v>Volvo</v>
          </cell>
          <cell r="F1078" t="str">
            <v>B8R</v>
          </cell>
          <cell r="G1078" t="str">
            <v>MARCOPOLO</v>
          </cell>
          <cell r="H1078" t="str">
            <v>TORINO</v>
          </cell>
          <cell r="I1078">
            <v>2019</v>
          </cell>
          <cell r="J1078" t="str">
            <v>B2PAL</v>
          </cell>
          <cell r="K1078" t="str">
            <v>SAN JOSE</v>
          </cell>
          <cell r="L1078" t="str">
            <v>San José 030 (José Besa 669)</v>
          </cell>
          <cell r="M1078" t="str">
            <v>San Bernardo</v>
          </cell>
          <cell r="N1078" t="str">
            <v>B</v>
          </cell>
        </row>
        <row r="1079">
          <cell r="B1079" t="str">
            <v>GCBC-13</v>
          </cell>
          <cell r="C1079" t="str">
            <v>D8481869K2PL</v>
          </cell>
          <cell r="D1079" t="str">
            <v>YV3T7U521KA195194</v>
          </cell>
          <cell r="E1079" t="str">
            <v>Volvo</v>
          </cell>
          <cell r="F1079" t="str">
            <v>B8R</v>
          </cell>
          <cell r="G1079" t="str">
            <v>MARCOPOLO</v>
          </cell>
          <cell r="H1079" t="str">
            <v>TORINO</v>
          </cell>
          <cell r="I1079">
            <v>2019</v>
          </cell>
          <cell r="J1079" t="str">
            <v>B2PAL</v>
          </cell>
          <cell r="K1079" t="str">
            <v>SAN JOSE</v>
          </cell>
          <cell r="L1079" t="str">
            <v>San José 030 (José Besa 669)</v>
          </cell>
          <cell r="M1079" t="str">
            <v>San Bernardo</v>
          </cell>
          <cell r="N1079" t="str">
            <v>B</v>
          </cell>
        </row>
        <row r="1080">
          <cell r="B1080" t="str">
            <v>GCBC-14</v>
          </cell>
          <cell r="C1080" t="str">
            <v>D8483079K2PL</v>
          </cell>
          <cell r="D1080" t="str">
            <v>YV3T7U529KA195489</v>
          </cell>
          <cell r="E1080" t="str">
            <v>Volvo</v>
          </cell>
          <cell r="F1080" t="str">
            <v>B8R</v>
          </cell>
          <cell r="G1080" t="str">
            <v>MARCOPOLO</v>
          </cell>
          <cell r="H1080" t="str">
            <v>TORINO</v>
          </cell>
          <cell r="I1080">
            <v>2019</v>
          </cell>
          <cell r="J1080" t="str">
            <v>B2PAL</v>
          </cell>
          <cell r="K1080" t="str">
            <v>SAN JOSE</v>
          </cell>
          <cell r="L1080" t="str">
            <v>San José 030 (José Besa 669)</v>
          </cell>
          <cell r="M1080" t="str">
            <v>San Bernardo</v>
          </cell>
          <cell r="N1080" t="str">
            <v>B</v>
          </cell>
        </row>
        <row r="1081">
          <cell r="B1081" t="str">
            <v>GCBC-15</v>
          </cell>
          <cell r="C1081" t="str">
            <v>D8483914K2PL</v>
          </cell>
          <cell r="D1081" t="str">
            <v>YV3T7U524KA195593</v>
          </cell>
          <cell r="E1081" t="str">
            <v>Volvo</v>
          </cell>
          <cell r="F1081" t="str">
            <v>B8R</v>
          </cell>
          <cell r="G1081" t="str">
            <v>MARCOPOLO</v>
          </cell>
          <cell r="H1081" t="str">
            <v>TORINO</v>
          </cell>
          <cell r="I1081">
            <v>2019</v>
          </cell>
          <cell r="J1081" t="str">
            <v>B2PAL</v>
          </cell>
          <cell r="K1081" t="str">
            <v>SAN JOSE</v>
          </cell>
          <cell r="L1081" t="str">
            <v>San José 030 (José Besa 669)</v>
          </cell>
          <cell r="M1081" t="str">
            <v>San Bernardo</v>
          </cell>
          <cell r="N1081" t="str">
            <v>B</v>
          </cell>
        </row>
        <row r="1082">
          <cell r="B1082" t="str">
            <v>VFHJ-88</v>
          </cell>
          <cell r="C1082" t="str">
            <v>LDYECS31XS0043931</v>
          </cell>
          <cell r="D1082" t="str">
            <v>MDN35025010058</v>
          </cell>
          <cell r="E1082" t="str">
            <v>Zhong Tong</v>
          </cell>
          <cell r="F1082" t="str">
            <v>Lck6122evg</v>
          </cell>
          <cell r="G1082" t="str">
            <v>ZHONGTONG</v>
          </cell>
          <cell r="H1082" t="str">
            <v>LCK6122EVG</v>
          </cell>
          <cell r="I1082">
            <v>2025</v>
          </cell>
          <cell r="J1082" t="str">
            <v>B</v>
          </cell>
          <cell r="K1082" t="str">
            <v>SAN JOSE</v>
          </cell>
          <cell r="L1082" t="str">
            <v>San José 030 (José Besa 669)</v>
          </cell>
          <cell r="M1082" t="str">
            <v>San Bernardo</v>
          </cell>
          <cell r="N1082" t="str">
            <v>B</v>
          </cell>
        </row>
        <row r="1083">
          <cell r="B1083" t="str">
            <v>VFHL-33</v>
          </cell>
          <cell r="C1083" t="str">
            <v>LDYECS315S0043917</v>
          </cell>
          <cell r="D1083" t="str">
            <v>MDN35025010105</v>
          </cell>
          <cell r="E1083" t="str">
            <v>Zhong Tong</v>
          </cell>
          <cell r="F1083" t="str">
            <v>Lck6122evg</v>
          </cell>
          <cell r="G1083" t="str">
            <v>ZHONGTONG</v>
          </cell>
          <cell r="H1083" t="str">
            <v>LCK6122EVG</v>
          </cell>
          <cell r="I1083">
            <v>2025</v>
          </cell>
          <cell r="J1083" t="str">
            <v>B</v>
          </cell>
          <cell r="K1083" t="str">
            <v>SAN JOSE</v>
          </cell>
          <cell r="L1083" t="str">
            <v>San José 030 (José Besa 669)</v>
          </cell>
          <cell r="M1083" t="str">
            <v>San Bernardo</v>
          </cell>
          <cell r="N1083" t="str">
            <v>B</v>
          </cell>
        </row>
        <row r="1084">
          <cell r="B1084" t="str">
            <v>VFHL-39</v>
          </cell>
          <cell r="C1084" t="str">
            <v>LDYECS319S0043970</v>
          </cell>
          <cell r="D1084" t="str">
            <v>MDN35025010061</v>
          </cell>
          <cell r="E1084" t="str">
            <v>Zhong Tong</v>
          </cell>
          <cell r="F1084" t="str">
            <v>Lck6122evg</v>
          </cell>
          <cell r="G1084" t="str">
            <v>ZHONGTONG</v>
          </cell>
          <cell r="H1084" t="str">
            <v>LCK6122EVG</v>
          </cell>
          <cell r="I1084">
            <v>2025</v>
          </cell>
          <cell r="J1084" t="str">
            <v>B</v>
          </cell>
          <cell r="K1084" t="str">
            <v>SAN JOSE</v>
          </cell>
          <cell r="L1084" t="str">
            <v>San José 030 (José Besa 669)</v>
          </cell>
          <cell r="M1084" t="str">
            <v>San Bernardo</v>
          </cell>
          <cell r="N1084" t="str">
            <v>B</v>
          </cell>
        </row>
        <row r="1085">
          <cell r="B1085" t="str">
            <v>VFHL-46</v>
          </cell>
          <cell r="C1085" t="str">
            <v>LDYECS318S0043930</v>
          </cell>
          <cell r="D1085" t="str">
            <v>MDN35025010059</v>
          </cell>
          <cell r="E1085" t="str">
            <v>Zhong Tong</v>
          </cell>
          <cell r="F1085" t="str">
            <v>Lck6122evg</v>
          </cell>
          <cell r="G1085" t="str">
            <v>ZHONGTONG</v>
          </cell>
          <cell r="H1085" t="str">
            <v>LCK6122EVG</v>
          </cell>
          <cell r="I1085">
            <v>2025</v>
          </cell>
          <cell r="J1085" t="str">
            <v>B</v>
          </cell>
          <cell r="K1085" t="str">
            <v>SAN JOSE</v>
          </cell>
          <cell r="L1085" t="str">
            <v>San José 030 (José Besa 669)</v>
          </cell>
          <cell r="M1085" t="str">
            <v>San Bernardo</v>
          </cell>
          <cell r="N1085" t="str">
            <v>B</v>
          </cell>
        </row>
        <row r="1086">
          <cell r="B1086" t="str">
            <v>VFHL-56</v>
          </cell>
          <cell r="C1086" t="str">
            <v>LDYECS319S0043919</v>
          </cell>
          <cell r="D1086" t="str">
            <v>MDN35025010112</v>
          </cell>
          <cell r="E1086" t="str">
            <v>Zhong Tong</v>
          </cell>
          <cell r="F1086" t="str">
            <v>Lck6122evg</v>
          </cell>
          <cell r="G1086" t="str">
            <v>ZHONGTONG</v>
          </cell>
          <cell r="H1086" t="str">
            <v>LCK6122EVG</v>
          </cell>
          <cell r="I1086">
            <v>2025</v>
          </cell>
          <cell r="J1086" t="str">
            <v>B</v>
          </cell>
          <cell r="K1086" t="str">
            <v>SAN JOSE</v>
          </cell>
          <cell r="L1086" t="str">
            <v>San José 030 (José Besa 669)</v>
          </cell>
          <cell r="M1086" t="str">
            <v>San Bernardo</v>
          </cell>
          <cell r="N1086" t="str">
            <v>B</v>
          </cell>
        </row>
        <row r="1087">
          <cell r="B1087" t="str">
            <v>VFHG-99</v>
          </cell>
          <cell r="C1087" t="str">
            <v>LDYECS314S0043908</v>
          </cell>
          <cell r="D1087" t="str">
            <v>MDN35025010130</v>
          </cell>
          <cell r="E1087" t="str">
            <v>Zhong Tong</v>
          </cell>
          <cell r="F1087" t="str">
            <v>Lck6122evg</v>
          </cell>
          <cell r="G1087" t="str">
            <v>ZHONGTONG</v>
          </cell>
          <cell r="H1087" t="str">
            <v>LCK6122EVG</v>
          </cell>
          <cell r="I1087">
            <v>2025</v>
          </cell>
          <cell r="J1087" t="str">
            <v>B</v>
          </cell>
          <cell r="K1087" t="str">
            <v>SAN JOSE</v>
          </cell>
          <cell r="L1087" t="str">
            <v>San José 030 (José Besa 669)</v>
          </cell>
          <cell r="M1087" t="str">
            <v>San Bernardo</v>
          </cell>
          <cell r="N1087" t="str">
            <v>B</v>
          </cell>
        </row>
        <row r="1088">
          <cell r="B1088" t="str">
            <v>VFHH-49</v>
          </cell>
          <cell r="C1088" t="str">
            <v>LDYECS312S0043924</v>
          </cell>
          <cell r="D1088" t="str">
            <v>MDN35025010050</v>
          </cell>
          <cell r="E1088" t="str">
            <v>Zhong Tong</v>
          </cell>
          <cell r="F1088" t="str">
            <v>Lck6122evg</v>
          </cell>
          <cell r="G1088" t="str">
            <v>ZHONGTONG</v>
          </cell>
          <cell r="H1088" t="str">
            <v>LCK6122EVG</v>
          </cell>
          <cell r="I1088">
            <v>2025</v>
          </cell>
          <cell r="J1088" t="str">
            <v>B</v>
          </cell>
          <cell r="K1088" t="str">
            <v>SAN JOSE</v>
          </cell>
          <cell r="L1088" t="str">
            <v>San José 030 (José Besa 669)</v>
          </cell>
          <cell r="M1088" t="str">
            <v>San Bernardo</v>
          </cell>
          <cell r="N1088" t="str">
            <v>B</v>
          </cell>
        </row>
        <row r="1089">
          <cell r="B1089" t="str">
            <v>VFHH-65</v>
          </cell>
          <cell r="C1089" t="str">
            <v>LDYECS311S0043946</v>
          </cell>
          <cell r="D1089" t="str">
            <v>MDN35025010056</v>
          </cell>
          <cell r="E1089" t="str">
            <v>Zhong Tong</v>
          </cell>
          <cell r="F1089" t="str">
            <v>Lck6122evg</v>
          </cell>
          <cell r="G1089" t="str">
            <v>ZHONGTONG</v>
          </cell>
          <cell r="H1089" t="str">
            <v>LCK6122EVG</v>
          </cell>
          <cell r="I1089">
            <v>2025</v>
          </cell>
          <cell r="J1089" t="str">
            <v>B</v>
          </cell>
          <cell r="K1089" t="str">
            <v>SAN JOSE</v>
          </cell>
          <cell r="L1089" t="str">
            <v>San José 030 (José Besa 669)</v>
          </cell>
          <cell r="M1089" t="str">
            <v>San Bernardo</v>
          </cell>
          <cell r="N1089" t="str">
            <v>B</v>
          </cell>
        </row>
        <row r="1090">
          <cell r="B1090" t="str">
            <v>VFHJ-21</v>
          </cell>
          <cell r="C1090" t="str">
            <v>LDYECS318S0043913</v>
          </cell>
          <cell r="D1090" t="str">
            <v>MDN35025010045</v>
          </cell>
          <cell r="E1090" t="str">
            <v>Zhong Tong</v>
          </cell>
          <cell r="F1090" t="str">
            <v>Lck6122evg</v>
          </cell>
          <cell r="G1090" t="str">
            <v>ZHONGTONG</v>
          </cell>
          <cell r="H1090" t="str">
            <v>LCK6122EVG</v>
          </cell>
          <cell r="I1090">
            <v>2025</v>
          </cell>
          <cell r="J1090" t="str">
            <v>B</v>
          </cell>
          <cell r="K1090" t="str">
            <v>SAN JOSE</v>
          </cell>
          <cell r="L1090" t="str">
            <v>San José 030 (José Besa 669)</v>
          </cell>
          <cell r="M1090" t="str">
            <v>San Bernardo</v>
          </cell>
          <cell r="N1090" t="str">
            <v>B</v>
          </cell>
        </row>
        <row r="1091">
          <cell r="B1091" t="str">
            <v>VFHJ-43</v>
          </cell>
          <cell r="C1091" t="str">
            <v>LDYECS31XS0043895</v>
          </cell>
          <cell r="D1091" t="str">
            <v>MDN35025010235</v>
          </cell>
          <cell r="E1091" t="str">
            <v>Zhong Tong</v>
          </cell>
          <cell r="F1091" t="str">
            <v>Lck6122evg</v>
          </cell>
          <cell r="G1091" t="str">
            <v>ZHONGTONG</v>
          </cell>
          <cell r="H1091" t="str">
            <v>LCK6122EVG</v>
          </cell>
          <cell r="I1091">
            <v>2025</v>
          </cell>
          <cell r="J1091" t="str">
            <v>B</v>
          </cell>
          <cell r="K1091" t="str">
            <v>SAN JOSE</v>
          </cell>
          <cell r="L1091" t="str">
            <v>San José 030 (José Besa 669)</v>
          </cell>
          <cell r="M1091" t="str">
            <v>San Bernardo</v>
          </cell>
          <cell r="N1091" t="str">
            <v>B</v>
          </cell>
        </row>
        <row r="1092">
          <cell r="B1092" t="str">
            <v>VFHJ-59</v>
          </cell>
          <cell r="C1092" t="str">
            <v>LDYECS317S0043935</v>
          </cell>
          <cell r="D1092" t="str">
            <v>MDN35025010210</v>
          </cell>
          <cell r="E1092" t="str">
            <v>Zhong Tong</v>
          </cell>
          <cell r="F1092" t="str">
            <v>Lck6122evg</v>
          </cell>
          <cell r="G1092" t="str">
            <v>ZHONGTONG</v>
          </cell>
          <cell r="H1092" t="str">
            <v>LCK6122EVG</v>
          </cell>
          <cell r="I1092">
            <v>2025</v>
          </cell>
          <cell r="J1092" t="str">
            <v>B</v>
          </cell>
          <cell r="K1092" t="str">
            <v>SAN JOSE</v>
          </cell>
          <cell r="L1092" t="str">
            <v>San José 030 (José Besa 669)</v>
          </cell>
          <cell r="M1092" t="str">
            <v>San Bernardo</v>
          </cell>
          <cell r="N1092" t="str">
            <v>B</v>
          </cell>
        </row>
        <row r="1093">
          <cell r="B1093" t="str">
            <v>VFHJ-92</v>
          </cell>
          <cell r="C1093" t="str">
            <v>LDYECS316S0043926</v>
          </cell>
          <cell r="D1093" t="str">
            <v>MDN35025010044</v>
          </cell>
          <cell r="E1093" t="str">
            <v>Zhong Tong</v>
          </cell>
          <cell r="F1093" t="str">
            <v>Lck6122evg</v>
          </cell>
          <cell r="G1093" t="str">
            <v>ZHONGTONG</v>
          </cell>
          <cell r="H1093" t="str">
            <v>LCK6122EVG</v>
          </cell>
          <cell r="I1093">
            <v>2025</v>
          </cell>
          <cell r="J1093" t="str">
            <v>B</v>
          </cell>
          <cell r="K1093" t="str">
            <v>SAN JOSE</v>
          </cell>
          <cell r="L1093" t="str">
            <v>San José 030 (José Besa 669)</v>
          </cell>
          <cell r="M1093" t="str">
            <v>San Bernardo</v>
          </cell>
          <cell r="N1093" t="str">
            <v>B</v>
          </cell>
        </row>
        <row r="1094">
          <cell r="B1094" t="str">
            <v>VFHJ-69</v>
          </cell>
          <cell r="C1094" t="str">
            <v>LDYECS31XS0043914</v>
          </cell>
          <cell r="D1094" t="str">
            <v>MDN35025010074</v>
          </cell>
          <cell r="E1094" t="str">
            <v>Zhong Tong</v>
          </cell>
          <cell r="F1094" t="str">
            <v>Lck6122evg</v>
          </cell>
          <cell r="G1094" t="str">
            <v>ZHONGTONG</v>
          </cell>
          <cell r="H1094" t="str">
            <v>LCK6122EVG</v>
          </cell>
          <cell r="I1094">
            <v>2025</v>
          </cell>
          <cell r="J1094" t="str">
            <v>B</v>
          </cell>
          <cell r="K1094" t="str">
            <v>SAN JOSE</v>
          </cell>
          <cell r="L1094" t="str">
            <v>San José 030 (José Besa 669)</v>
          </cell>
          <cell r="M1094" t="str">
            <v>San Bernardo</v>
          </cell>
          <cell r="N1094" t="str">
            <v>B</v>
          </cell>
        </row>
        <row r="1095">
          <cell r="B1095" t="str">
            <v>VFHJ-77</v>
          </cell>
          <cell r="C1095" t="str">
            <v>LDYECS310S0043906</v>
          </cell>
          <cell r="D1095" t="str">
            <v>MDN35025010080</v>
          </cell>
          <cell r="E1095" t="str">
            <v>Zhong Tong</v>
          </cell>
          <cell r="F1095" t="str">
            <v>Lck6122evg</v>
          </cell>
          <cell r="G1095" t="str">
            <v>ZHONGTONG</v>
          </cell>
          <cell r="H1095" t="str">
            <v>LCK6122EVG</v>
          </cell>
          <cell r="I1095">
            <v>2025</v>
          </cell>
          <cell r="J1095" t="str">
            <v>B</v>
          </cell>
          <cell r="K1095" t="str">
            <v>SAN JOSE</v>
          </cell>
          <cell r="L1095" t="str">
            <v>San José 030 (José Besa 669)</v>
          </cell>
          <cell r="M1095" t="str">
            <v>San Bernardo</v>
          </cell>
          <cell r="N1095" t="str">
            <v>B</v>
          </cell>
        </row>
        <row r="1096">
          <cell r="B1096" t="str">
            <v>VFHL-62</v>
          </cell>
          <cell r="C1096" t="str">
            <v>LDYECS31XS0043928</v>
          </cell>
          <cell r="D1096" t="str">
            <v>MDN35025010051</v>
          </cell>
          <cell r="E1096" t="str">
            <v>Zhong Tong</v>
          </cell>
          <cell r="F1096" t="str">
            <v>Lck6122evg</v>
          </cell>
          <cell r="G1096" t="str">
            <v>ZHONGTONG</v>
          </cell>
          <cell r="H1096" t="str">
            <v>LCK6122EVG</v>
          </cell>
          <cell r="I1096">
            <v>2025</v>
          </cell>
          <cell r="J1096" t="str">
            <v>B</v>
          </cell>
          <cell r="K1096" t="str">
            <v>SAN JOSE</v>
          </cell>
          <cell r="L1096" t="str">
            <v>San José 030 (José Besa 669)</v>
          </cell>
          <cell r="M1096" t="str">
            <v>San Bernardo</v>
          </cell>
          <cell r="N1096" t="str">
            <v>B</v>
          </cell>
        </row>
        <row r="1097">
          <cell r="B1097" t="str">
            <v>VFHL-66</v>
          </cell>
          <cell r="C1097" t="str">
            <v>LDYECS315S0043934</v>
          </cell>
          <cell r="D1097" t="str">
            <v>MDN35025010214</v>
          </cell>
          <cell r="E1097" t="str">
            <v>Zhong Tong</v>
          </cell>
          <cell r="F1097" t="str">
            <v>Lck6122evg</v>
          </cell>
          <cell r="G1097" t="str">
            <v>ZHONGTONG</v>
          </cell>
          <cell r="H1097" t="str">
            <v>LCK6122EVG</v>
          </cell>
          <cell r="I1097">
            <v>2025</v>
          </cell>
          <cell r="J1097" t="str">
            <v>B</v>
          </cell>
          <cell r="K1097" t="str">
            <v>CERRILLOS</v>
          </cell>
          <cell r="L1097" t="str">
            <v>Calle Uno 7371</v>
          </cell>
          <cell r="M1097" t="str">
            <v>Huechuraba</v>
          </cell>
          <cell r="N1097" t="str">
            <v>B</v>
          </cell>
        </row>
        <row r="1098">
          <cell r="B1098" t="str">
            <v>VFHL-81</v>
          </cell>
          <cell r="C1098" t="str">
            <v>LDYECS317S0043983</v>
          </cell>
          <cell r="D1098" t="str">
            <v>MDN35025020100</v>
          </cell>
          <cell r="E1098" t="str">
            <v>Zhong Tong</v>
          </cell>
          <cell r="F1098" t="str">
            <v>Lck6122evg</v>
          </cell>
          <cell r="G1098" t="str">
            <v>ZHONGTONG</v>
          </cell>
          <cell r="H1098" t="str">
            <v>LCK6122EVG</v>
          </cell>
          <cell r="I1098">
            <v>2025</v>
          </cell>
          <cell r="J1098" t="str">
            <v>B</v>
          </cell>
          <cell r="K1098" t="str">
            <v>LOS LIBERTADORES</v>
          </cell>
          <cell r="L1098" t="str">
            <v>Los Liberadores 6450, Lote 4A</v>
          </cell>
          <cell r="M1098" t="str">
            <v>Huechuraba</v>
          </cell>
          <cell r="N1098" t="str">
            <v>B</v>
          </cell>
        </row>
        <row r="1099">
          <cell r="B1099" t="str">
            <v>VFHS-85</v>
          </cell>
          <cell r="C1099" t="str">
            <v>LDYECS315S0043979</v>
          </cell>
          <cell r="D1099" t="str">
            <v>MDN35025020094</v>
          </cell>
          <cell r="E1099" t="str">
            <v>Zhong Tong</v>
          </cell>
          <cell r="F1099" t="str">
            <v>Lck6122evg</v>
          </cell>
          <cell r="G1099" t="str">
            <v>ZHONGTONG</v>
          </cell>
          <cell r="H1099" t="str">
            <v>LCK6122EVG</v>
          </cell>
          <cell r="I1099">
            <v>2025</v>
          </cell>
          <cell r="J1099" t="str">
            <v>B</v>
          </cell>
          <cell r="K1099" t="str">
            <v>LOS LIBERTADORES</v>
          </cell>
          <cell r="L1099" t="str">
            <v>Los Liberadores 6450, Lote 4A</v>
          </cell>
          <cell r="M1099" t="str">
            <v>Huechuraba</v>
          </cell>
          <cell r="N1099" t="str">
            <v>B</v>
          </cell>
        </row>
        <row r="1100">
          <cell r="B1100" t="str">
            <v>VFHS-95</v>
          </cell>
          <cell r="C1100" t="str">
            <v>LDYECS314S0043956</v>
          </cell>
          <cell r="D1100" t="str">
            <v>MDN35025020090</v>
          </cell>
          <cell r="E1100" t="str">
            <v>Zhong Tong</v>
          </cell>
          <cell r="F1100" t="str">
            <v>Lck6122evg</v>
          </cell>
          <cell r="G1100" t="str">
            <v>ZHONGTONG</v>
          </cell>
          <cell r="H1100" t="str">
            <v>LCK6122EVG</v>
          </cell>
          <cell r="I1100">
            <v>2025</v>
          </cell>
          <cell r="J1100" t="str">
            <v>B</v>
          </cell>
          <cell r="K1100" t="str">
            <v>LOS LIBERTADORES</v>
          </cell>
          <cell r="L1100" t="str">
            <v>Los Liberadores 6450, Lote 4A</v>
          </cell>
          <cell r="M1100" t="str">
            <v>Huechuraba</v>
          </cell>
          <cell r="N1100" t="str">
            <v>B</v>
          </cell>
        </row>
        <row r="1101">
          <cell r="B1101" t="str">
            <v>VFHS-98</v>
          </cell>
          <cell r="C1101" t="str">
            <v>LDYECS316S0043957</v>
          </cell>
          <cell r="D1101" t="str">
            <v>MDN35025020069</v>
          </cell>
          <cell r="E1101" t="str">
            <v>Zhong Tong</v>
          </cell>
          <cell r="F1101" t="str">
            <v>Lck6122evg</v>
          </cell>
          <cell r="G1101" t="str">
            <v>ZHONGTONG</v>
          </cell>
          <cell r="H1101" t="str">
            <v>LCK6122EVG</v>
          </cell>
          <cell r="I1101">
            <v>2025</v>
          </cell>
          <cell r="J1101" t="str">
            <v>B</v>
          </cell>
          <cell r="K1101" t="str">
            <v>SAN JOSE</v>
          </cell>
          <cell r="L1101" t="str">
            <v>San José 030 (José Besa 669)</v>
          </cell>
          <cell r="M1101" t="str">
            <v>San Bernardo</v>
          </cell>
          <cell r="N1101" t="str">
            <v>B</v>
          </cell>
        </row>
        <row r="1102">
          <cell r="B1102" t="str">
            <v>VFHT-45</v>
          </cell>
          <cell r="C1102" t="str">
            <v>LDYECS319S0043953</v>
          </cell>
          <cell r="D1102" t="str">
            <v>MDN35025020052</v>
          </cell>
          <cell r="E1102" t="str">
            <v>Zhong Tong</v>
          </cell>
          <cell r="F1102" t="str">
            <v>Lck6122evg</v>
          </cell>
          <cell r="G1102" t="str">
            <v>ZHONGTONG</v>
          </cell>
          <cell r="H1102" t="str">
            <v>LCK6122EVG</v>
          </cell>
          <cell r="I1102">
            <v>2025</v>
          </cell>
          <cell r="J1102" t="str">
            <v>B</v>
          </cell>
          <cell r="K1102" t="str">
            <v>SAN JOSE</v>
          </cell>
          <cell r="L1102" t="str">
            <v>San José 030 (José Besa 669)</v>
          </cell>
          <cell r="M1102" t="str">
            <v>San Bernardo</v>
          </cell>
          <cell r="N1102" t="str">
            <v>B</v>
          </cell>
        </row>
        <row r="1103">
          <cell r="B1103" t="str">
            <v>VFHT-55</v>
          </cell>
          <cell r="C1103" t="str">
            <v>LDYECS310S0043954</v>
          </cell>
          <cell r="D1103" t="str">
            <v>MDN35025020088</v>
          </cell>
          <cell r="E1103" t="str">
            <v>Zhong Tong</v>
          </cell>
          <cell r="F1103" t="str">
            <v>Lck6122evg</v>
          </cell>
          <cell r="G1103" t="str">
            <v>ZHONGTONG</v>
          </cell>
          <cell r="H1103" t="str">
            <v>LCK6122EVG</v>
          </cell>
          <cell r="I1103">
            <v>2025</v>
          </cell>
          <cell r="J1103" t="str">
            <v>B</v>
          </cell>
          <cell r="K1103" t="str">
            <v>SAN JOSE</v>
          </cell>
          <cell r="L1103" t="str">
            <v>San José 030 (José Besa 669)</v>
          </cell>
          <cell r="M1103" t="str">
            <v>San Bernardo</v>
          </cell>
          <cell r="N1103" t="str">
            <v>B</v>
          </cell>
        </row>
        <row r="1104">
          <cell r="B1104" t="str">
            <v>VFHK-16</v>
          </cell>
          <cell r="C1104" t="str">
            <v>LDYECS311S0043915</v>
          </cell>
          <cell r="D1104" t="str">
            <v>MDN35025010066</v>
          </cell>
          <cell r="E1104" t="str">
            <v>Zhong Tong</v>
          </cell>
          <cell r="F1104" t="str">
            <v>Lck6122evg</v>
          </cell>
          <cell r="G1104" t="str">
            <v>ZHONGTONG</v>
          </cell>
          <cell r="H1104" t="str">
            <v>LCK6122EVG</v>
          </cell>
          <cell r="I1104">
            <v>2025</v>
          </cell>
          <cell r="J1104" t="str">
            <v>B</v>
          </cell>
          <cell r="K1104" t="str">
            <v>SAN JOSE</v>
          </cell>
          <cell r="L1104" t="str">
            <v>San José 030 (José Besa 669)</v>
          </cell>
          <cell r="M1104" t="str">
            <v>San Bernardo</v>
          </cell>
          <cell r="N1104" t="str">
            <v>B</v>
          </cell>
        </row>
        <row r="1105">
          <cell r="B1105" t="str">
            <v>VFHT-73</v>
          </cell>
          <cell r="C1105" t="str">
            <v>LDYECS319S0043984</v>
          </cell>
          <cell r="D1105" t="str">
            <v>MDN35025020097</v>
          </cell>
          <cell r="E1105" t="str">
            <v>Zhong Tong</v>
          </cell>
          <cell r="F1105" t="str">
            <v>Lck6122evg</v>
          </cell>
          <cell r="G1105" t="str">
            <v>ZHONGTONG</v>
          </cell>
          <cell r="H1105" t="str">
            <v>LCK6122EVG</v>
          </cell>
          <cell r="I1105">
            <v>2025</v>
          </cell>
          <cell r="J1105" t="str">
            <v>B</v>
          </cell>
          <cell r="K1105" t="str">
            <v>CERRILLOS</v>
          </cell>
          <cell r="L1105" t="str">
            <v>Calle Uno 7371</v>
          </cell>
          <cell r="M1105" t="str">
            <v>Cerrillos</v>
          </cell>
          <cell r="N1105" t="str">
            <v>B</v>
          </cell>
        </row>
        <row r="1106">
          <cell r="B1106" t="str">
            <v>VFHT-80</v>
          </cell>
          <cell r="C1106" t="str">
            <v>LDYECS314S0043987</v>
          </cell>
          <cell r="D1106" t="str">
            <v>MDN35025020056</v>
          </cell>
          <cell r="E1106" t="str">
            <v>Zhong Tong</v>
          </cell>
          <cell r="F1106" t="str">
            <v>Lck6122evg</v>
          </cell>
          <cell r="G1106" t="str">
            <v>ZHONGTONG</v>
          </cell>
          <cell r="H1106" t="str">
            <v>LCK6122EVG</v>
          </cell>
          <cell r="I1106">
            <v>2025</v>
          </cell>
          <cell r="J1106" t="str">
            <v>B</v>
          </cell>
          <cell r="K1106" t="str">
            <v>LOS LIBERTADORES</v>
          </cell>
          <cell r="L1106" t="str">
            <v>Los Liberadores 6450, Lote 4A</v>
          </cell>
          <cell r="M1106" t="str">
            <v>Huechuraba</v>
          </cell>
          <cell r="N1106" t="str">
            <v>B</v>
          </cell>
        </row>
        <row r="1107">
          <cell r="B1107" t="str">
            <v>VFHT-81</v>
          </cell>
          <cell r="C1107" t="str">
            <v>LDYECS314S0043973</v>
          </cell>
          <cell r="D1107" t="str">
            <v>MDN35025020087</v>
          </cell>
          <cell r="E1107" t="str">
            <v>Zhong Tong</v>
          </cell>
          <cell r="F1107" t="str">
            <v>Lck6122evg</v>
          </cell>
          <cell r="G1107" t="str">
            <v>ZHONGTONG</v>
          </cell>
          <cell r="H1107" t="str">
            <v>LCK6122EVG</v>
          </cell>
          <cell r="I1107">
            <v>2025</v>
          </cell>
          <cell r="J1107" t="str">
            <v>B</v>
          </cell>
          <cell r="K1107" t="str">
            <v>LOS LIBERTADORES</v>
          </cell>
          <cell r="L1107" t="str">
            <v>Los Liberadores 6450, Lote 4A</v>
          </cell>
          <cell r="M1107" t="str">
            <v>Huechuraba</v>
          </cell>
          <cell r="N1107" t="str">
            <v>B</v>
          </cell>
        </row>
        <row r="1108">
          <cell r="B1108" t="str">
            <v>VFHV-57</v>
          </cell>
          <cell r="C1108" t="str">
            <v>LDYECS316S0043974</v>
          </cell>
          <cell r="D1108" t="str">
            <v>MDN35025020079</v>
          </cell>
          <cell r="E1108" t="str">
            <v>Zhong Tong</v>
          </cell>
          <cell r="F1108" t="str">
            <v>Lck6122evg</v>
          </cell>
          <cell r="G1108" t="str">
            <v>ZHONGTONG</v>
          </cell>
          <cell r="H1108" t="str">
            <v>LCK6122EVG</v>
          </cell>
          <cell r="I1108">
            <v>2025</v>
          </cell>
          <cell r="J1108" t="str">
            <v>B</v>
          </cell>
          <cell r="K1108" t="str">
            <v>LOS LIBERTADORES</v>
          </cell>
          <cell r="L1108" t="str">
            <v>Los Liberadores 6450, Lote 4A</v>
          </cell>
          <cell r="M1108" t="str">
            <v>Huechuraba</v>
          </cell>
          <cell r="N1108" t="str">
            <v>B</v>
          </cell>
        </row>
        <row r="1109">
          <cell r="B1109" t="str">
            <v>VFHV-67</v>
          </cell>
          <cell r="C1109" t="str">
            <v>LDYECS311S0043980</v>
          </cell>
          <cell r="D1109" t="str">
            <v>MDN35025020095</v>
          </cell>
          <cell r="E1109" t="str">
            <v>Zhong Tong</v>
          </cell>
          <cell r="F1109" t="str">
            <v>Lck6122evg</v>
          </cell>
          <cell r="G1109" t="str">
            <v>ZHONGTONG</v>
          </cell>
          <cell r="H1109" t="str">
            <v>LCK6122EVG</v>
          </cell>
          <cell r="I1109">
            <v>2025</v>
          </cell>
          <cell r="J1109" t="str">
            <v>B</v>
          </cell>
          <cell r="K1109" t="str">
            <v>LOS LIBERTADORES</v>
          </cell>
          <cell r="L1109" t="str">
            <v>Los Liberadores 6450, Lote 4A</v>
          </cell>
          <cell r="M1109" t="str">
            <v>Huechuraba</v>
          </cell>
          <cell r="N1109" t="str">
            <v>B</v>
          </cell>
        </row>
        <row r="1110">
          <cell r="B1110" t="str">
            <v>VFHV-82</v>
          </cell>
          <cell r="C1110" t="str">
            <v>LDYECS319S0044004</v>
          </cell>
          <cell r="D1110" t="str">
            <v>MDN35025020057</v>
          </cell>
          <cell r="E1110" t="str">
            <v>Zhong Tong</v>
          </cell>
          <cell r="F1110" t="str">
            <v>Lck6122evg</v>
          </cell>
          <cell r="G1110" t="str">
            <v>ZHONGTONG</v>
          </cell>
          <cell r="H1110" t="str">
            <v>LCK6122EVG</v>
          </cell>
          <cell r="I1110">
            <v>2025</v>
          </cell>
          <cell r="J1110" t="str">
            <v>B</v>
          </cell>
          <cell r="K1110" t="str">
            <v>LOS LIBERTADORES</v>
          </cell>
          <cell r="L1110" t="str">
            <v>Los Liberadores 6450, Lote 4A</v>
          </cell>
          <cell r="M1110" t="str">
            <v>Huechuraba</v>
          </cell>
          <cell r="N1110" t="str">
            <v>B</v>
          </cell>
        </row>
        <row r="1111">
          <cell r="B1111" t="str">
            <v>VFHV-87</v>
          </cell>
          <cell r="C1111" t="str">
            <v>LDYECS312S0043955</v>
          </cell>
          <cell r="D1111" t="str">
            <v>MDN35025020084</v>
          </cell>
          <cell r="E1111" t="str">
            <v>Zhong Tong</v>
          </cell>
          <cell r="F1111" t="str">
            <v>Lck6122evg</v>
          </cell>
          <cell r="G1111" t="str">
            <v>ZHONGTONG</v>
          </cell>
          <cell r="H1111" t="str">
            <v>LCK6122EVG</v>
          </cell>
          <cell r="I1111">
            <v>2025</v>
          </cell>
          <cell r="J1111" t="str">
            <v>B</v>
          </cell>
          <cell r="K1111" t="str">
            <v>LOS LIBERTADORES</v>
          </cell>
          <cell r="L1111" t="str">
            <v>Los Liberadores 6450, Lote 4A</v>
          </cell>
          <cell r="M1111" t="str">
            <v>Huechuraba</v>
          </cell>
          <cell r="N1111" t="str">
            <v>B</v>
          </cell>
        </row>
        <row r="1112">
          <cell r="B1112" t="str">
            <v>VFHW-46</v>
          </cell>
          <cell r="C1112" t="str">
            <v>LDYECS318S0043989</v>
          </cell>
          <cell r="D1112" t="str">
            <v>MDN35025020060</v>
          </cell>
          <cell r="E1112" t="str">
            <v>Zhong Tong</v>
          </cell>
          <cell r="F1112" t="str">
            <v>Lck6122evg</v>
          </cell>
          <cell r="G1112" t="str">
            <v>ZHONGTONG</v>
          </cell>
          <cell r="H1112" t="str">
            <v>LCK6122EVG</v>
          </cell>
          <cell r="I1112">
            <v>2025</v>
          </cell>
          <cell r="J1112" t="str">
            <v>B</v>
          </cell>
          <cell r="K1112" t="str">
            <v>LOS LIBERTADORES</v>
          </cell>
          <cell r="L1112" t="str">
            <v>Los Liberadores 6450, Lote 4A</v>
          </cell>
          <cell r="M1112" t="str">
            <v>Huechuraba</v>
          </cell>
          <cell r="N1112" t="str">
            <v>B</v>
          </cell>
        </row>
        <row r="1113">
          <cell r="B1113" t="str">
            <v>VFHW-51</v>
          </cell>
          <cell r="C1113" t="str">
            <v>LDYECS311S0043977</v>
          </cell>
          <cell r="D1113" t="str">
            <v>MDN35025020058</v>
          </cell>
          <cell r="E1113" t="str">
            <v>Zhong Tong</v>
          </cell>
          <cell r="F1113" t="str">
            <v>Lck6122evg</v>
          </cell>
          <cell r="G1113" t="str">
            <v>ZHONGTONG</v>
          </cell>
          <cell r="H1113" t="str">
            <v>LCK6122EVG</v>
          </cell>
          <cell r="I1113">
            <v>2025</v>
          </cell>
          <cell r="J1113" t="str">
            <v>B</v>
          </cell>
          <cell r="K1113" t="str">
            <v>LOS LIBERTADORES</v>
          </cell>
          <cell r="L1113" t="str">
            <v>Los Liberadores 6450, Lote 4A</v>
          </cell>
          <cell r="M1113" t="str">
            <v>Huechuraba</v>
          </cell>
          <cell r="N1113" t="str">
            <v>B</v>
          </cell>
        </row>
        <row r="1114">
          <cell r="B1114" t="str">
            <v>VFHW-63</v>
          </cell>
          <cell r="C1114" t="str">
            <v>LDYECS318S0043975</v>
          </cell>
          <cell r="D1114" t="str">
            <v>MDN35025020063</v>
          </cell>
          <cell r="E1114" t="str">
            <v>Zhong Tong</v>
          </cell>
          <cell r="F1114" t="str">
            <v>Lck6122evg</v>
          </cell>
          <cell r="G1114" t="str">
            <v>ZHONGTONG</v>
          </cell>
          <cell r="H1114" t="str">
            <v>LCK6122EVG</v>
          </cell>
          <cell r="I1114">
            <v>2025</v>
          </cell>
          <cell r="J1114" t="str">
            <v>B</v>
          </cell>
          <cell r="K1114" t="str">
            <v>LOS LIBERTADORES</v>
          </cell>
          <cell r="L1114" t="str">
            <v>Los Liberadores 6450, Lote 4A</v>
          </cell>
          <cell r="M1114" t="str">
            <v>Huechuraba</v>
          </cell>
          <cell r="N1114" t="str">
            <v>B</v>
          </cell>
        </row>
        <row r="1115">
          <cell r="B1115" t="str">
            <v>VFHK-27</v>
          </cell>
          <cell r="C1115" t="str">
            <v>LDYECS312S0043910</v>
          </cell>
          <cell r="D1115" t="str">
            <v>MDN35025010079</v>
          </cell>
          <cell r="E1115" t="str">
            <v>Zhong Tong</v>
          </cell>
          <cell r="F1115" t="str">
            <v>Lck6122evg</v>
          </cell>
          <cell r="G1115" t="str">
            <v>ZHONGTONG</v>
          </cell>
          <cell r="H1115" t="str">
            <v>LCK6122EVG</v>
          </cell>
          <cell r="I1115">
            <v>2025</v>
          </cell>
          <cell r="J1115" t="str">
            <v>B</v>
          </cell>
          <cell r="K1115" t="str">
            <v>SAN JOSE</v>
          </cell>
          <cell r="L1115" t="str">
            <v>San José 030 (José Besa 669)</v>
          </cell>
          <cell r="M1115" t="str">
            <v>San Bernardo</v>
          </cell>
          <cell r="N1115" t="str">
            <v>B</v>
          </cell>
        </row>
        <row r="1116">
          <cell r="B1116" t="str">
            <v>VFPB-70</v>
          </cell>
          <cell r="C1116" t="str">
            <v>LDYECS316S0043991</v>
          </cell>
          <cell r="D1116" t="str">
            <v>MDN35025020122</v>
          </cell>
          <cell r="E1116" t="str">
            <v>Zhong Tong</v>
          </cell>
          <cell r="F1116" t="str">
            <v>Lck6122evg</v>
          </cell>
          <cell r="G1116" t="str">
            <v>ZHONGTONG</v>
          </cell>
          <cell r="H1116" t="str">
            <v>LCK6122EVG</v>
          </cell>
          <cell r="I1116">
            <v>2025</v>
          </cell>
          <cell r="J1116" t="str">
            <v>B</v>
          </cell>
          <cell r="K1116" t="str">
            <v>LOS LIBERTADORES</v>
          </cell>
          <cell r="L1116" t="str">
            <v>Los Liberadores 6450, Lote 4A</v>
          </cell>
          <cell r="M1116" t="str">
            <v>Huechuraba</v>
          </cell>
          <cell r="N1116" t="str">
            <v>B</v>
          </cell>
        </row>
        <row r="1117">
          <cell r="B1117" t="str">
            <v>VFPC-10</v>
          </cell>
          <cell r="C1117" t="str">
            <v>LDYECS317S0044115</v>
          </cell>
          <cell r="D1117" t="str">
            <v>MDN35025010018</v>
          </cell>
          <cell r="E1117" t="str">
            <v>Zhong Tong</v>
          </cell>
          <cell r="F1117" t="str">
            <v>Lck6122evg</v>
          </cell>
          <cell r="G1117" t="str">
            <v>ZHONGTONG</v>
          </cell>
          <cell r="H1117" t="str">
            <v>LCK6122EVG</v>
          </cell>
          <cell r="I1117">
            <v>2025</v>
          </cell>
          <cell r="J1117" t="str">
            <v>B</v>
          </cell>
          <cell r="K1117" t="str">
            <v>LOS LIBERTADORES</v>
          </cell>
          <cell r="L1117" t="str">
            <v>Los Liberadores 6450, Lote 4A</v>
          </cell>
          <cell r="M1117" t="str">
            <v>Huechuraba</v>
          </cell>
          <cell r="N1117" t="str">
            <v>B</v>
          </cell>
        </row>
        <row r="1118">
          <cell r="B1118" t="str">
            <v>VFPC-31</v>
          </cell>
          <cell r="C1118" t="str">
            <v>LDYECS315S0043996</v>
          </cell>
          <cell r="D1118" t="str">
            <v>MDN35025020055</v>
          </cell>
          <cell r="E1118" t="str">
            <v>Zhong Tong</v>
          </cell>
          <cell r="F1118" t="str">
            <v>Lck6122evg</v>
          </cell>
          <cell r="G1118" t="str">
            <v>ZHONGTONG</v>
          </cell>
          <cell r="H1118" t="str">
            <v>LCK6122EVG</v>
          </cell>
          <cell r="I1118">
            <v>2025</v>
          </cell>
          <cell r="J1118" t="str">
            <v>B</v>
          </cell>
          <cell r="K1118" t="str">
            <v>LOS LIBERTADORES</v>
          </cell>
          <cell r="L1118" t="str">
            <v>Los Liberadores 6450, Lote 4A</v>
          </cell>
          <cell r="M1118" t="str">
            <v>Huechuraba</v>
          </cell>
          <cell r="N1118" t="str">
            <v>B</v>
          </cell>
        </row>
        <row r="1119">
          <cell r="B1119" t="str">
            <v>VFPC-80</v>
          </cell>
          <cell r="C1119" t="str">
            <v>LDYECS313S0043978</v>
          </cell>
          <cell r="D1119" t="str">
            <v>MDN35025020093</v>
          </cell>
          <cell r="E1119" t="str">
            <v>Zhong Tong</v>
          </cell>
          <cell r="F1119" t="str">
            <v>Lck6122evg</v>
          </cell>
          <cell r="G1119" t="str">
            <v>ZHONGTONG</v>
          </cell>
          <cell r="H1119" t="str">
            <v>LCK6122EVG</v>
          </cell>
          <cell r="I1119">
            <v>2025</v>
          </cell>
          <cell r="J1119" t="str">
            <v>B</v>
          </cell>
          <cell r="K1119" t="str">
            <v>LOS LIBERTADORES</v>
          </cell>
          <cell r="L1119" t="str">
            <v>Los Liberadores 6450, Lote 4A</v>
          </cell>
          <cell r="M1119" t="str">
            <v>Huechuraba</v>
          </cell>
          <cell r="N1119" t="str">
            <v>B</v>
          </cell>
        </row>
        <row r="1120">
          <cell r="B1120" t="str">
            <v>VFPC-51</v>
          </cell>
          <cell r="C1120" t="str">
            <v>LDYECS31XS0044027</v>
          </cell>
          <cell r="D1120" t="str">
            <v>MDN35025020112</v>
          </cell>
          <cell r="E1120" t="str">
            <v>Zhong Tong</v>
          </cell>
          <cell r="F1120" t="str">
            <v>Lck6122evg</v>
          </cell>
          <cell r="G1120" t="str">
            <v>ZHONGTONG</v>
          </cell>
          <cell r="H1120" t="str">
            <v>LCK6122EVG</v>
          </cell>
          <cell r="I1120">
            <v>2025</v>
          </cell>
          <cell r="J1120" t="str">
            <v>B</v>
          </cell>
          <cell r="K1120" t="str">
            <v>LOS LIBERTADORES</v>
          </cell>
          <cell r="L1120" t="str">
            <v>Los Liberadores 6450, Lote 4A</v>
          </cell>
          <cell r="M1120" t="str">
            <v>Huechuraba</v>
          </cell>
          <cell r="N1120" t="str">
            <v>B</v>
          </cell>
        </row>
        <row r="1121">
          <cell r="B1121" t="str">
            <v>VFPD-84</v>
          </cell>
          <cell r="C1121" t="str">
            <v>LDYECS315S0043982</v>
          </cell>
          <cell r="D1121" t="str">
            <v>MDN35025020067</v>
          </cell>
          <cell r="E1121" t="str">
            <v>Zhong Tong</v>
          </cell>
          <cell r="F1121" t="str">
            <v>Lck6122evg</v>
          </cell>
          <cell r="G1121" t="str">
            <v>ZHONGTONG</v>
          </cell>
          <cell r="H1121" t="str">
            <v>LCK6122EVG</v>
          </cell>
          <cell r="I1121">
            <v>2025</v>
          </cell>
          <cell r="J1121" t="str">
            <v>B</v>
          </cell>
          <cell r="K1121" t="str">
            <v>LOS LIBERTADORES</v>
          </cell>
          <cell r="L1121" t="str">
            <v>Los Liberadores 6450, Lote 4A</v>
          </cell>
          <cell r="M1121" t="str">
            <v>Huechuraba</v>
          </cell>
          <cell r="N1121" t="str">
            <v>B</v>
          </cell>
        </row>
        <row r="1122">
          <cell r="B1122" t="str">
            <v>VFPD-94</v>
          </cell>
          <cell r="C1122" t="str">
            <v>LDYECS317S0043997</v>
          </cell>
          <cell r="D1122" t="str">
            <v>MDN35025020022</v>
          </cell>
          <cell r="E1122" t="str">
            <v>Zhong Tong</v>
          </cell>
          <cell r="F1122" t="str">
            <v>Lck6122evg</v>
          </cell>
          <cell r="G1122" t="str">
            <v>ZHONGTONG</v>
          </cell>
          <cell r="H1122" t="str">
            <v>LCK6122EVG</v>
          </cell>
          <cell r="I1122">
            <v>2025</v>
          </cell>
          <cell r="J1122" t="str">
            <v>B</v>
          </cell>
          <cell r="K1122" t="str">
            <v>LOS LIBERTADORES</v>
          </cell>
          <cell r="L1122" t="str">
            <v>Los Liberadores 6450, Lote 4A</v>
          </cell>
          <cell r="M1122" t="str">
            <v>Huechuraba</v>
          </cell>
          <cell r="N1122" t="str">
            <v>B</v>
          </cell>
        </row>
        <row r="1123">
          <cell r="B1123" t="str">
            <v>VFHL-60</v>
          </cell>
          <cell r="C1123" t="str">
            <v>LDYECS314S0043911</v>
          </cell>
          <cell r="D1123" t="str">
            <v>MDN35025010115</v>
          </cell>
          <cell r="E1123" t="str">
            <v>Zhong Tong</v>
          </cell>
          <cell r="F1123" t="str">
            <v>Lck6122evg</v>
          </cell>
          <cell r="G1123" t="str">
            <v>ZHONGTONG</v>
          </cell>
          <cell r="H1123" t="str">
            <v>LCK6122EVG</v>
          </cell>
          <cell r="I1123">
            <v>2025</v>
          </cell>
          <cell r="J1123" t="str">
            <v>B</v>
          </cell>
          <cell r="K1123" t="str">
            <v>LOS LIBERTADORES</v>
          </cell>
          <cell r="L1123" t="str">
            <v>Los Liberadores 6450, Lote 4A</v>
          </cell>
          <cell r="M1123" t="str">
            <v>Huechuraba</v>
          </cell>
          <cell r="N1123" t="str">
            <v>B</v>
          </cell>
        </row>
        <row r="1124">
          <cell r="B1124" t="str">
            <v>VFHK-31</v>
          </cell>
          <cell r="C1124" t="str">
            <v>LDYECS314S0043925</v>
          </cell>
          <cell r="D1124" t="str">
            <v>MDN35025010120</v>
          </cell>
          <cell r="E1124" t="str">
            <v>Zhong Tong</v>
          </cell>
          <cell r="F1124" t="str">
            <v>Lck6122evg</v>
          </cell>
          <cell r="G1124" t="str">
            <v>ZHONGTONG</v>
          </cell>
          <cell r="H1124" t="str">
            <v>LCK6122EVG</v>
          </cell>
          <cell r="I1124">
            <v>2025</v>
          </cell>
          <cell r="J1124" t="str">
            <v>B</v>
          </cell>
          <cell r="K1124" t="str">
            <v>SAN JOSE</v>
          </cell>
          <cell r="L1124" t="str">
            <v>San José 030 (José Besa 669)</v>
          </cell>
          <cell r="M1124" t="str">
            <v>San Bernardo</v>
          </cell>
          <cell r="N1124" t="str">
            <v>B</v>
          </cell>
        </row>
        <row r="1125">
          <cell r="B1125" t="str">
            <v>VFHK-58</v>
          </cell>
          <cell r="C1125" t="str">
            <v>LDYECS315S0043898</v>
          </cell>
          <cell r="D1125" t="str">
            <v>MDN35025010184</v>
          </cell>
          <cell r="E1125" t="str">
            <v>Zhong Tong</v>
          </cell>
          <cell r="F1125" t="str">
            <v>Lck6122evg</v>
          </cell>
          <cell r="G1125" t="str">
            <v>ZHONGTONG</v>
          </cell>
          <cell r="H1125" t="str">
            <v>LCK6122EVG</v>
          </cell>
          <cell r="I1125">
            <v>2025</v>
          </cell>
          <cell r="J1125" t="str">
            <v>B</v>
          </cell>
          <cell r="K1125" t="str">
            <v>SAN JOSE</v>
          </cell>
          <cell r="L1125" t="str">
            <v>San José 030 (José Besa 669)</v>
          </cell>
          <cell r="M1125" t="str">
            <v>San Bernardo</v>
          </cell>
          <cell r="N1125" t="str">
            <v>B</v>
          </cell>
        </row>
        <row r="1126">
          <cell r="B1126" t="str">
            <v>VFHK-69</v>
          </cell>
          <cell r="C1126" t="str">
            <v>LDYECS316S0043909</v>
          </cell>
          <cell r="D1126" t="str">
            <v>MDN35025010068</v>
          </cell>
          <cell r="E1126" t="str">
            <v>Zhong Tong</v>
          </cell>
          <cell r="F1126" t="str">
            <v>Lck6122evg</v>
          </cell>
          <cell r="G1126" t="str">
            <v>ZHONGTONG</v>
          </cell>
          <cell r="H1126" t="str">
            <v>LCK6122EVG</v>
          </cell>
          <cell r="I1126">
            <v>2025</v>
          </cell>
          <cell r="J1126" t="str">
            <v>B</v>
          </cell>
          <cell r="K1126" t="str">
            <v>SAN JOSE</v>
          </cell>
          <cell r="L1126" t="str">
            <v>San José 030 (José Besa 669)</v>
          </cell>
          <cell r="M1126" t="str">
            <v>San Bernardo</v>
          </cell>
          <cell r="N1126" t="str">
            <v>B</v>
          </cell>
        </row>
        <row r="1127">
          <cell r="B1127" t="str">
            <v>VFHK-89</v>
          </cell>
          <cell r="C1127" t="str">
            <v>LDYECS316S0043943</v>
          </cell>
          <cell r="D1127" t="str">
            <v>MDN35025010049</v>
          </cell>
          <cell r="E1127" t="str">
            <v>Zhong Tong</v>
          </cell>
          <cell r="F1127" t="str">
            <v>Lck6122evg</v>
          </cell>
          <cell r="G1127" t="str">
            <v>ZHONGTONG</v>
          </cell>
          <cell r="H1127" t="str">
            <v>LCK6122EVG</v>
          </cell>
          <cell r="I1127">
            <v>2025</v>
          </cell>
          <cell r="J1127" t="str">
            <v>B</v>
          </cell>
          <cell r="K1127" t="str">
            <v>CERRILLOS</v>
          </cell>
          <cell r="L1127" t="str">
            <v>Calle Uno 7371</v>
          </cell>
          <cell r="M1127" t="str">
            <v>Estacion Central</v>
          </cell>
          <cell r="N1127" t="str">
            <v>B</v>
          </cell>
        </row>
        <row r="1128">
          <cell r="B1128" t="str">
            <v>VFHK-96</v>
          </cell>
          <cell r="C1128" t="str">
            <v>LDYECS319S0043905</v>
          </cell>
          <cell r="D1128" t="str">
            <v>MDN35025010108</v>
          </cell>
          <cell r="E1128" t="str">
            <v>Zhong Tong</v>
          </cell>
          <cell r="F1128" t="str">
            <v>Lck6122evg</v>
          </cell>
          <cell r="G1128" t="str">
            <v>ZHONGTONG</v>
          </cell>
          <cell r="H1128" t="str">
            <v>LCK6122EVG</v>
          </cell>
          <cell r="I1128">
            <v>2025</v>
          </cell>
          <cell r="J1128" t="str">
            <v>B</v>
          </cell>
          <cell r="K1128" t="str">
            <v>SAN ALFONSO</v>
          </cell>
          <cell r="L1128" t="str">
            <v>San Alfonso 2141 (Ramón Subercaseaux 3060)</v>
          </cell>
          <cell r="M1128" t="str">
            <v>Estacion Central</v>
          </cell>
          <cell r="N1128" t="str">
            <v>B</v>
          </cell>
        </row>
        <row r="1129">
          <cell r="B1129" t="str">
            <v>GCBF-42</v>
          </cell>
          <cell r="C1129" t="str">
            <v>YV3T7U520JA189191</v>
          </cell>
          <cell r="D1129">
            <v>451887</v>
          </cell>
          <cell r="E1129" t="str">
            <v>Volvo</v>
          </cell>
          <cell r="F1129" t="str">
            <v>B8RLEA</v>
          </cell>
          <cell r="G1129" t="str">
            <v>MARCOPOLO</v>
          </cell>
          <cell r="H1129" t="str">
            <v>TORINO</v>
          </cell>
          <cell r="I1129">
            <v>2020</v>
          </cell>
          <cell r="J1129" t="str">
            <v>C</v>
          </cell>
          <cell r="K1129" t="str">
            <v>SAN ALFONSO</v>
          </cell>
          <cell r="L1129" t="str">
            <v>San Alfonso 2141 (Ramón Subercaseaux 3060)</v>
          </cell>
          <cell r="M1129" t="str">
            <v>Estacion Central</v>
          </cell>
          <cell r="N1129" t="str">
            <v>C</v>
          </cell>
        </row>
        <row r="1130">
          <cell r="B1130" t="str">
            <v>LZRB-89</v>
          </cell>
          <cell r="C1130" t="str">
            <v>YV3T7U523LA201711</v>
          </cell>
          <cell r="D1130">
            <v>508408</v>
          </cell>
          <cell r="E1130" t="str">
            <v>Volvo</v>
          </cell>
          <cell r="F1130" t="str">
            <v>B8RLEA</v>
          </cell>
          <cell r="G1130" t="str">
            <v>MARCOPOLO</v>
          </cell>
          <cell r="H1130" t="str">
            <v>GRAN VIALE</v>
          </cell>
          <cell r="I1130">
            <v>2020</v>
          </cell>
          <cell r="J1130" t="str">
            <v>C</v>
          </cell>
          <cell r="K1130" t="str">
            <v>PIE ANDINO</v>
          </cell>
          <cell r="L1130" t="str">
            <v>Pie Andino 31 (Pie Andino 383)</v>
          </cell>
          <cell r="M1130" t="str">
            <v>Puente Alto</v>
          </cell>
          <cell r="N1130" t="str">
            <v>C</v>
          </cell>
        </row>
        <row r="1131">
          <cell r="B1131" t="str">
            <v>LZRB-90</v>
          </cell>
          <cell r="C1131" t="str">
            <v>YV3T7U527LA201923</v>
          </cell>
          <cell r="D1131">
            <v>509327</v>
          </cell>
          <cell r="E1131" t="str">
            <v>Volvo</v>
          </cell>
          <cell r="F1131" t="str">
            <v>B8RLEA</v>
          </cell>
          <cell r="G1131" t="str">
            <v>MARCOPOLO</v>
          </cell>
          <cell r="H1131" t="str">
            <v>GRAN VIALE</v>
          </cell>
          <cell r="I1131">
            <v>2020</v>
          </cell>
          <cell r="J1131" t="str">
            <v>C</v>
          </cell>
          <cell r="K1131" t="str">
            <v>PIE ANDINO</v>
          </cell>
          <cell r="L1131" t="str">
            <v>Pie Andino 31 (Pie Andino 383)</v>
          </cell>
          <cell r="M1131" t="str">
            <v>Puente Alto</v>
          </cell>
          <cell r="N1131" t="str">
            <v>C</v>
          </cell>
        </row>
        <row r="1132">
          <cell r="B1132" t="str">
            <v>LZRB-91</v>
          </cell>
          <cell r="C1132" t="str">
            <v>YV3T7U525LA201709</v>
          </cell>
          <cell r="D1132">
            <v>508437</v>
          </cell>
          <cell r="E1132" t="str">
            <v>Volvo</v>
          </cell>
          <cell r="F1132" t="str">
            <v>B8RLEA</v>
          </cell>
          <cell r="G1132" t="str">
            <v>MARCOPOLO</v>
          </cell>
          <cell r="H1132" t="str">
            <v>GRAN VIALE</v>
          </cell>
          <cell r="I1132">
            <v>2020</v>
          </cell>
          <cell r="J1132" t="str">
            <v>C</v>
          </cell>
          <cell r="K1132" t="str">
            <v>PIE ANDINO</v>
          </cell>
          <cell r="L1132" t="str">
            <v>Pie Andino 31 (Pie Andino 383)</v>
          </cell>
          <cell r="M1132" t="str">
            <v>Puente Alto</v>
          </cell>
          <cell r="N1132" t="str">
            <v>C</v>
          </cell>
        </row>
        <row r="1133">
          <cell r="B1133" t="str">
            <v>LZRB-92</v>
          </cell>
          <cell r="C1133" t="str">
            <v>YV3T7U520LA201665</v>
          </cell>
          <cell r="D1133">
            <v>508572</v>
          </cell>
          <cell r="E1133" t="str">
            <v>Volvo</v>
          </cell>
          <cell r="F1133" t="str">
            <v>B8RLEA</v>
          </cell>
          <cell r="G1133" t="str">
            <v>MARCOPOLO</v>
          </cell>
          <cell r="H1133" t="str">
            <v>GRAN VIALE</v>
          </cell>
          <cell r="I1133">
            <v>2020</v>
          </cell>
          <cell r="J1133" t="str">
            <v>C</v>
          </cell>
          <cell r="K1133" t="str">
            <v>PIE ANDINO</v>
          </cell>
          <cell r="L1133" t="str">
            <v>Pie Andino 31 (Pie Andino 383)</v>
          </cell>
          <cell r="M1133" t="str">
            <v>Puente Alto</v>
          </cell>
          <cell r="N1133" t="str">
            <v>C</v>
          </cell>
        </row>
        <row r="1134">
          <cell r="B1134" t="str">
            <v>LZRB-93</v>
          </cell>
          <cell r="C1134" t="str">
            <v>YV3T7U521LA201710</v>
          </cell>
          <cell r="D1134">
            <v>508361</v>
          </cell>
          <cell r="E1134" t="str">
            <v>Volvo</v>
          </cell>
          <cell r="F1134" t="str">
            <v>B8RLEA</v>
          </cell>
          <cell r="G1134" t="str">
            <v>MARCOPOLO</v>
          </cell>
          <cell r="H1134" t="str">
            <v>GRAN VIALE</v>
          </cell>
          <cell r="I1134">
            <v>2020</v>
          </cell>
          <cell r="J1134" t="str">
            <v>C</v>
          </cell>
          <cell r="K1134" t="str">
            <v>PIE ANDINO</v>
          </cell>
          <cell r="L1134" t="str">
            <v>Pie Andino 31 (Pie Andino 383)</v>
          </cell>
          <cell r="M1134" t="str">
            <v>Puente Alto</v>
          </cell>
          <cell r="N1134" t="str">
            <v>C</v>
          </cell>
        </row>
        <row r="1135">
          <cell r="B1135" t="str">
            <v>LZRB-94</v>
          </cell>
          <cell r="C1135" t="str">
            <v>YV3T7U526LA201699</v>
          </cell>
          <cell r="D1135">
            <v>508380</v>
          </cell>
          <cell r="E1135" t="str">
            <v>Volvo</v>
          </cell>
          <cell r="F1135" t="str">
            <v>B8RLEA</v>
          </cell>
          <cell r="G1135" t="str">
            <v>MARCOPOLO</v>
          </cell>
          <cell r="H1135" t="str">
            <v>GRAN VIALE</v>
          </cell>
          <cell r="I1135">
            <v>2020</v>
          </cell>
          <cell r="J1135" t="str">
            <v>C</v>
          </cell>
          <cell r="K1135" t="str">
            <v>PIE ANDINO</v>
          </cell>
          <cell r="L1135" t="str">
            <v>Pie Andino 31 (Pie Andino 383)</v>
          </cell>
          <cell r="M1135" t="str">
            <v>Puente Alto</v>
          </cell>
          <cell r="N1135" t="str">
            <v>C</v>
          </cell>
        </row>
        <row r="1136">
          <cell r="B1136" t="str">
            <v>LZRB-95</v>
          </cell>
          <cell r="C1136" t="str">
            <v>YV3T7U522LA201697</v>
          </cell>
          <cell r="D1136">
            <v>508444</v>
          </cell>
          <cell r="E1136" t="str">
            <v>Volvo</v>
          </cell>
          <cell r="F1136" t="str">
            <v>B8RLEA</v>
          </cell>
          <cell r="G1136" t="str">
            <v>MARCOPOLO</v>
          </cell>
          <cell r="H1136" t="str">
            <v>GRAN VIALE</v>
          </cell>
          <cell r="I1136">
            <v>2020</v>
          </cell>
          <cell r="J1136" t="str">
            <v>C</v>
          </cell>
          <cell r="K1136" t="str">
            <v>PIE ANDINO</v>
          </cell>
          <cell r="L1136" t="str">
            <v>Pie Andino 31 (Pie Andino 383)</v>
          </cell>
          <cell r="M1136" t="str">
            <v>Puente Alto</v>
          </cell>
          <cell r="N1136" t="str">
            <v>C</v>
          </cell>
        </row>
        <row r="1137">
          <cell r="B1137" t="str">
            <v>LZRB-96</v>
          </cell>
          <cell r="C1137" t="str">
            <v>YV3T7U524LA201698</v>
          </cell>
          <cell r="D1137">
            <v>508467</v>
          </cell>
          <cell r="E1137" t="str">
            <v>Volvo</v>
          </cell>
          <cell r="F1137" t="str">
            <v>B8RLEA</v>
          </cell>
          <cell r="G1137" t="str">
            <v>MARCOPOLO</v>
          </cell>
          <cell r="H1137" t="str">
            <v>GRAN VIALE</v>
          </cell>
          <cell r="I1137">
            <v>2020</v>
          </cell>
          <cell r="J1137" t="str">
            <v>C</v>
          </cell>
          <cell r="K1137" t="str">
            <v>PIE ANDINO</v>
          </cell>
          <cell r="L1137" t="str">
            <v>Pie Andino 31 (Pie Andino 383)</v>
          </cell>
          <cell r="M1137" t="str">
            <v>Puente Alto</v>
          </cell>
          <cell r="N1137" t="str">
            <v>C</v>
          </cell>
        </row>
        <row r="1138">
          <cell r="B1138" t="str">
            <v>LZRD-61</v>
          </cell>
          <cell r="C1138" t="str">
            <v>YV3T7U523LA198728</v>
          </cell>
          <cell r="D1138">
            <v>508196</v>
          </cell>
          <cell r="E1138" t="str">
            <v>Volvo</v>
          </cell>
          <cell r="F1138" t="str">
            <v>B8RLEA</v>
          </cell>
          <cell r="G1138" t="str">
            <v>MARCOPOLO</v>
          </cell>
          <cell r="H1138" t="str">
            <v>GRAN VIALE</v>
          </cell>
          <cell r="I1138">
            <v>2020</v>
          </cell>
          <cell r="J1138" t="str">
            <v>C</v>
          </cell>
          <cell r="K1138" t="str">
            <v>PIE ANDINO</v>
          </cell>
          <cell r="L1138" t="str">
            <v>Pie Andino 31 (Pie Andino 383)</v>
          </cell>
          <cell r="M1138" t="str">
            <v>Puente Alto</v>
          </cell>
          <cell r="N1138" t="str">
            <v>C</v>
          </cell>
        </row>
        <row r="1139">
          <cell r="B1139" t="str">
            <v>LZRD-62</v>
          </cell>
          <cell r="C1139" t="str">
            <v>YV3T7U526LA201623</v>
          </cell>
          <cell r="D1139">
            <v>508277</v>
          </cell>
          <cell r="E1139" t="str">
            <v>Volvo</v>
          </cell>
          <cell r="F1139" t="str">
            <v>B8RLEA</v>
          </cell>
          <cell r="G1139" t="str">
            <v>MARCOPOLO</v>
          </cell>
          <cell r="H1139" t="str">
            <v>GRAN VIALE</v>
          </cell>
          <cell r="I1139">
            <v>2020</v>
          </cell>
          <cell r="J1139" t="str">
            <v>C</v>
          </cell>
          <cell r="K1139" t="str">
            <v>PIE ANDINO</v>
          </cell>
          <cell r="L1139" t="str">
            <v>Pie Andino 31 (Pie Andino 383)</v>
          </cell>
          <cell r="M1139" t="str">
            <v>Puente Alto</v>
          </cell>
          <cell r="N1139" t="str">
            <v>C</v>
          </cell>
        </row>
        <row r="1140">
          <cell r="B1140" t="str">
            <v>LZRD-63</v>
          </cell>
          <cell r="C1140" t="str">
            <v>YV3T7U52XLA198726</v>
          </cell>
          <cell r="D1140">
            <v>508208</v>
          </cell>
          <cell r="E1140" t="str">
            <v>Volvo</v>
          </cell>
          <cell r="F1140" t="str">
            <v>B8RLEA</v>
          </cell>
          <cell r="G1140" t="str">
            <v>MARCOPOLO</v>
          </cell>
          <cell r="H1140" t="str">
            <v>GRAN VIALE</v>
          </cell>
          <cell r="I1140">
            <v>2020</v>
          </cell>
          <cell r="J1140" t="str">
            <v>C</v>
          </cell>
          <cell r="K1140" t="str">
            <v>PIE ANDINO</v>
          </cell>
          <cell r="L1140" t="str">
            <v>Pie Andino 31 (Pie Andino 383)</v>
          </cell>
          <cell r="M1140" t="str">
            <v>Puente Alto</v>
          </cell>
          <cell r="N1140" t="str">
            <v>C</v>
          </cell>
        </row>
        <row r="1141">
          <cell r="B1141" t="str">
            <v>LZRD-64</v>
          </cell>
          <cell r="C1141" t="str">
            <v>YV3T7U526LA198724</v>
          </cell>
          <cell r="D1141">
            <v>508167</v>
          </cell>
          <cell r="E1141" t="str">
            <v>Volvo</v>
          </cell>
          <cell r="F1141" t="str">
            <v>B8RLEA</v>
          </cell>
          <cell r="G1141" t="str">
            <v>MARCOPOLO</v>
          </cell>
          <cell r="H1141" t="str">
            <v>GRAN VIALE</v>
          </cell>
          <cell r="I1141">
            <v>2020</v>
          </cell>
          <cell r="J1141" t="str">
            <v>C</v>
          </cell>
          <cell r="K1141" t="str">
            <v>PIE ANDINO</v>
          </cell>
          <cell r="L1141" t="str">
            <v>Pie Andino 31 (Pie Andino 383)</v>
          </cell>
          <cell r="M1141" t="str">
            <v>Puente Alto</v>
          </cell>
          <cell r="N1141" t="str">
            <v>C</v>
          </cell>
        </row>
        <row r="1142">
          <cell r="B1142" t="str">
            <v>LZRD-65</v>
          </cell>
          <cell r="C1142" t="str">
            <v>YV3T7U521LA201500</v>
          </cell>
          <cell r="D1142">
            <v>507859</v>
          </cell>
          <cell r="E1142" t="str">
            <v>Volvo</v>
          </cell>
          <cell r="F1142" t="str">
            <v>B8RLEA</v>
          </cell>
          <cell r="G1142" t="str">
            <v>MARCOPOLO</v>
          </cell>
          <cell r="H1142" t="str">
            <v>GRAN VIALE</v>
          </cell>
          <cell r="I1142">
            <v>2020</v>
          </cell>
          <cell r="J1142" t="str">
            <v>C</v>
          </cell>
          <cell r="K1142" t="str">
            <v>PIE ANDINO</v>
          </cell>
          <cell r="L1142" t="str">
            <v>Pie Andino 31 (Pie Andino 383)</v>
          </cell>
          <cell r="M1142" t="str">
            <v>Puente Alto</v>
          </cell>
          <cell r="N1142" t="str">
            <v>C</v>
          </cell>
        </row>
        <row r="1143">
          <cell r="B1143" t="str">
            <v>LZRD-66</v>
          </cell>
          <cell r="C1143" t="str">
            <v>YV3T7U522LA198722</v>
          </cell>
          <cell r="D1143">
            <v>508172</v>
          </cell>
          <cell r="E1143" t="str">
            <v>Volvo</v>
          </cell>
          <cell r="F1143" t="str">
            <v>B8RLEA</v>
          </cell>
          <cell r="G1143" t="str">
            <v>MARCOPOLO</v>
          </cell>
          <cell r="H1143" t="str">
            <v>GRAN VIALE</v>
          </cell>
          <cell r="I1143">
            <v>2020</v>
          </cell>
          <cell r="J1143" t="str">
            <v>C</v>
          </cell>
          <cell r="K1143" t="str">
            <v>PIE ANDINO</v>
          </cell>
          <cell r="L1143" t="str">
            <v>Pie Andino 31 (Pie Andino 383)</v>
          </cell>
          <cell r="M1143" t="str">
            <v>Puente Alto</v>
          </cell>
          <cell r="N1143" t="str">
            <v>C</v>
          </cell>
        </row>
        <row r="1144">
          <cell r="B1144" t="str">
            <v>LZRD-67</v>
          </cell>
          <cell r="C1144" t="str">
            <v>YV3T7U520LA201696</v>
          </cell>
          <cell r="D1144">
            <v>508690</v>
          </cell>
          <cell r="E1144" t="str">
            <v>Volvo</v>
          </cell>
          <cell r="F1144" t="str">
            <v>B8RLEA</v>
          </cell>
          <cell r="G1144" t="str">
            <v>MARCOPOLO</v>
          </cell>
          <cell r="H1144" t="str">
            <v>GRAN VIALE</v>
          </cell>
          <cell r="I1144">
            <v>2020</v>
          </cell>
          <cell r="J1144" t="str">
            <v>C</v>
          </cell>
          <cell r="K1144" t="str">
            <v>SAN ALFONSO</v>
          </cell>
          <cell r="L1144" t="str">
            <v>San Alfonso 2141 (Ramón Subercaseaux 3060)</v>
          </cell>
          <cell r="M1144" t="str">
            <v>Estacion Central</v>
          </cell>
          <cell r="N1144" t="str">
            <v>C</v>
          </cell>
        </row>
        <row r="1145">
          <cell r="B1145" t="str">
            <v>LZRD-68</v>
          </cell>
          <cell r="C1145" t="str">
            <v>YV3T7U52XLA201608</v>
          </cell>
          <cell r="D1145">
            <v>508223</v>
          </cell>
          <cell r="E1145" t="str">
            <v>Volvo</v>
          </cell>
          <cell r="F1145" t="str">
            <v>B8RLEA</v>
          </cell>
          <cell r="G1145" t="str">
            <v>MARCOPOLO</v>
          </cell>
          <cell r="H1145" t="str">
            <v>GRAN VIALE</v>
          </cell>
          <cell r="I1145">
            <v>2020</v>
          </cell>
          <cell r="J1145" t="str">
            <v>C</v>
          </cell>
          <cell r="K1145" t="str">
            <v>PIE ANDINO</v>
          </cell>
          <cell r="L1145" t="str">
            <v>Pie Andino 31 (Pie Andino 383)</v>
          </cell>
          <cell r="M1145" t="str">
            <v>Puente Alto</v>
          </cell>
          <cell r="N1145" t="str">
            <v>C</v>
          </cell>
        </row>
        <row r="1146">
          <cell r="B1146" t="str">
            <v>LZRD-69</v>
          </cell>
          <cell r="C1146" t="str">
            <v>YV3T7U521LA201545</v>
          </cell>
          <cell r="D1146">
            <v>508144</v>
          </cell>
          <cell r="E1146" t="str">
            <v>Volvo</v>
          </cell>
          <cell r="F1146" t="str">
            <v>B8RLEA</v>
          </cell>
          <cell r="G1146" t="str">
            <v>MARCOPOLO</v>
          </cell>
          <cell r="H1146" t="str">
            <v>GRAN VIALE</v>
          </cell>
          <cell r="I1146">
            <v>2020</v>
          </cell>
          <cell r="J1146" t="str">
            <v>C</v>
          </cell>
          <cell r="K1146" t="str">
            <v>PIE ANDINO</v>
          </cell>
          <cell r="L1146" t="str">
            <v>Pie Andino 31 (Pie Andino 383)</v>
          </cell>
          <cell r="M1146" t="str">
            <v>Puente Alto</v>
          </cell>
          <cell r="N1146" t="str">
            <v>C</v>
          </cell>
        </row>
        <row r="1147">
          <cell r="B1147" t="str">
            <v>LZRD-70</v>
          </cell>
          <cell r="C1147" t="str">
            <v>YV3T7U528LA201543</v>
          </cell>
          <cell r="D1147">
            <v>508132</v>
          </cell>
          <cell r="E1147" t="str">
            <v>Volvo</v>
          </cell>
          <cell r="F1147" t="str">
            <v>B8RLEA</v>
          </cell>
          <cell r="G1147" t="str">
            <v>MARCOPOLO</v>
          </cell>
          <cell r="H1147" t="str">
            <v>GRAN VIALE</v>
          </cell>
          <cell r="I1147">
            <v>2020</v>
          </cell>
          <cell r="J1147" t="str">
            <v>C</v>
          </cell>
          <cell r="K1147" t="str">
            <v>PIE ANDINO</v>
          </cell>
          <cell r="L1147" t="str">
            <v>Pie Andino 31 (Pie Andino 383)</v>
          </cell>
          <cell r="M1147" t="str">
            <v>Puente Alto</v>
          </cell>
          <cell r="N1147" t="str">
            <v>C</v>
          </cell>
        </row>
        <row r="1148">
          <cell r="B1148" t="str">
            <v>LZRD-71</v>
          </cell>
          <cell r="C1148" t="str">
            <v>YV3T7U528LA201624</v>
          </cell>
          <cell r="D1148">
            <v>508345</v>
          </cell>
          <cell r="E1148" t="str">
            <v>Volvo</v>
          </cell>
          <cell r="F1148" t="str">
            <v>B8RLEA</v>
          </cell>
          <cell r="G1148" t="str">
            <v>MARCOPOLO</v>
          </cell>
          <cell r="H1148" t="str">
            <v>GRAN VIALE</v>
          </cell>
          <cell r="I1148">
            <v>2020</v>
          </cell>
          <cell r="J1148" t="str">
            <v>C</v>
          </cell>
          <cell r="K1148" t="str">
            <v>PIE ANDINO</v>
          </cell>
          <cell r="L1148" t="str">
            <v>Pie Andino 31 (Pie Andino 383)</v>
          </cell>
          <cell r="M1148" t="str">
            <v>Puente Alto</v>
          </cell>
          <cell r="N1148" t="str">
            <v>C</v>
          </cell>
        </row>
        <row r="1149">
          <cell r="B1149" t="str">
            <v>LZRD-72</v>
          </cell>
          <cell r="C1149" t="str">
            <v>YV3T7U525LA198729</v>
          </cell>
          <cell r="D1149">
            <v>508201</v>
          </cell>
          <cell r="E1149" t="str">
            <v>Volvo</v>
          </cell>
          <cell r="F1149" t="str">
            <v>B8RLEA</v>
          </cell>
          <cell r="G1149" t="str">
            <v>MARCOPOLO</v>
          </cell>
          <cell r="H1149" t="str">
            <v>GRAN VIALE</v>
          </cell>
          <cell r="I1149">
            <v>2020</v>
          </cell>
          <cell r="J1149" t="str">
            <v>C</v>
          </cell>
          <cell r="K1149" t="str">
            <v>PIE ANDINO</v>
          </cell>
          <cell r="L1149" t="str">
            <v>Pie Andino 31 (Pie Andino 383)</v>
          </cell>
          <cell r="M1149" t="str">
            <v>Puente Alto</v>
          </cell>
          <cell r="N1149" t="str">
            <v>C</v>
          </cell>
        </row>
        <row r="1150">
          <cell r="B1150" t="str">
            <v>LZRD-73</v>
          </cell>
          <cell r="C1150" t="str">
            <v>YV3T7U526LA201542</v>
          </cell>
          <cell r="D1150">
            <v>508119</v>
          </cell>
          <cell r="E1150" t="str">
            <v>Volvo</v>
          </cell>
          <cell r="F1150" t="str">
            <v>B8RLEA</v>
          </cell>
          <cell r="G1150" t="str">
            <v>MARCOPOLO</v>
          </cell>
          <cell r="H1150" t="str">
            <v>GRAN VIALE</v>
          </cell>
          <cell r="I1150">
            <v>2020</v>
          </cell>
          <cell r="J1150" t="str">
            <v>C</v>
          </cell>
          <cell r="K1150" t="str">
            <v>PIE ANDINO</v>
          </cell>
          <cell r="L1150" t="str">
            <v>Pie Andino 31 (Pie Andino 383)</v>
          </cell>
          <cell r="M1150" t="str">
            <v>Puente Alto</v>
          </cell>
          <cell r="N1150" t="str">
            <v>C</v>
          </cell>
        </row>
        <row r="1151">
          <cell r="B1151" t="str">
            <v>LZRD-74</v>
          </cell>
          <cell r="C1151" t="str">
            <v>YV3T7U524LA201622</v>
          </cell>
          <cell r="D1151">
            <v>508282</v>
          </cell>
          <cell r="E1151" t="str">
            <v>Volvo</v>
          </cell>
          <cell r="F1151" t="str">
            <v>B8RLEA</v>
          </cell>
          <cell r="G1151" t="str">
            <v>MARCOPOLO</v>
          </cell>
          <cell r="H1151" t="str">
            <v>GRAN VIALE</v>
          </cell>
          <cell r="I1151">
            <v>2020</v>
          </cell>
          <cell r="J1151" t="str">
            <v>C</v>
          </cell>
          <cell r="K1151" t="str">
            <v>PIE ANDINO</v>
          </cell>
          <cell r="L1151" t="str">
            <v>Pie Andino 31 (Pie Andino 383)</v>
          </cell>
          <cell r="M1151" t="str">
            <v>Puente Alto</v>
          </cell>
          <cell r="N1151" t="str">
            <v>C</v>
          </cell>
        </row>
        <row r="1152">
          <cell r="B1152" t="str">
            <v>LZRD-75</v>
          </cell>
          <cell r="C1152" t="str">
            <v>YV3T7U52XLA201544</v>
          </cell>
          <cell r="D1152">
            <v>508121</v>
          </cell>
          <cell r="E1152" t="str">
            <v>Volvo</v>
          </cell>
          <cell r="F1152" t="str">
            <v>B8RLEA</v>
          </cell>
          <cell r="G1152" t="str">
            <v>MARCOPOLO</v>
          </cell>
          <cell r="H1152" t="str">
            <v>GRAN VIALE</v>
          </cell>
          <cell r="I1152">
            <v>2020</v>
          </cell>
          <cell r="J1152" t="str">
            <v>C</v>
          </cell>
          <cell r="K1152" t="str">
            <v>SAN ALFONSO</v>
          </cell>
          <cell r="L1152" t="str">
            <v>San Alfonso 2141 (Ramón Subercaseaux 3060)</v>
          </cell>
          <cell r="M1152" t="str">
            <v>Estacion Central</v>
          </cell>
          <cell r="N1152" t="str">
            <v>C</v>
          </cell>
        </row>
        <row r="1153">
          <cell r="B1153" t="str">
            <v>LZRD-76</v>
          </cell>
          <cell r="C1153" t="str">
            <v>YV3T7U528LA198725</v>
          </cell>
          <cell r="D1153">
            <v>508224</v>
          </cell>
          <cell r="E1153" t="str">
            <v>Volvo</v>
          </cell>
          <cell r="F1153" t="str">
            <v>B8RLEA</v>
          </cell>
          <cell r="G1153" t="str">
            <v>MARCOPOLO</v>
          </cell>
          <cell r="H1153" t="str">
            <v>GRAN VIALE</v>
          </cell>
          <cell r="I1153">
            <v>2020</v>
          </cell>
          <cell r="J1153" t="str">
            <v>C</v>
          </cell>
          <cell r="K1153" t="str">
            <v>SAN ALFONSO</v>
          </cell>
          <cell r="L1153" t="str">
            <v>San Alfonso 2141 (Ramón Subercaseaux 3060)</v>
          </cell>
          <cell r="M1153" t="str">
            <v>Estacion Central</v>
          </cell>
          <cell r="N1153" t="str">
            <v>C</v>
          </cell>
        </row>
        <row r="1154">
          <cell r="B1154" t="str">
            <v>LZRD-77</v>
          </cell>
          <cell r="C1154" t="str">
            <v>YV3T7U524LA201667</v>
          </cell>
          <cell r="D1154">
            <v>508615</v>
          </cell>
          <cell r="E1154" t="str">
            <v>Volvo</v>
          </cell>
          <cell r="F1154" t="str">
            <v>B8RLEA</v>
          </cell>
          <cell r="G1154" t="str">
            <v>MARCOPOLO</v>
          </cell>
          <cell r="H1154" t="str">
            <v>GRAN VIALE</v>
          </cell>
          <cell r="I1154">
            <v>2020</v>
          </cell>
          <cell r="J1154" t="str">
            <v>C</v>
          </cell>
          <cell r="K1154" t="str">
            <v>PIE ANDINO</v>
          </cell>
          <cell r="L1154" t="str">
            <v>Pie Andino 31 (Pie Andino 383)</v>
          </cell>
          <cell r="M1154" t="str">
            <v>Puente Alto</v>
          </cell>
          <cell r="N1154" t="str">
            <v>C</v>
          </cell>
        </row>
        <row r="1155">
          <cell r="B1155" t="str">
            <v>LZRD-78</v>
          </cell>
          <cell r="C1155" t="str">
            <v>YV3T7U524LA201670</v>
          </cell>
          <cell r="D1155">
            <v>508569</v>
          </cell>
          <cell r="E1155" t="str">
            <v>Volvo</v>
          </cell>
          <cell r="F1155" t="str">
            <v>B8RLEA</v>
          </cell>
          <cell r="G1155" t="str">
            <v>MARCOPOLO</v>
          </cell>
          <cell r="H1155" t="str">
            <v>GRAN VIALE</v>
          </cell>
          <cell r="I1155">
            <v>2020</v>
          </cell>
          <cell r="J1155" t="str">
            <v>C</v>
          </cell>
          <cell r="K1155" t="str">
            <v>SAN ALFONSO</v>
          </cell>
          <cell r="L1155" t="str">
            <v>San Alfonso 2141 (Ramón Subercaseaux 3060)</v>
          </cell>
          <cell r="M1155" t="str">
            <v>Estacion Central</v>
          </cell>
          <cell r="N1155" t="str">
            <v>C</v>
          </cell>
        </row>
        <row r="1156">
          <cell r="B1156" t="str">
            <v>LZRD-79</v>
          </cell>
          <cell r="C1156" t="str">
            <v>YV3T7U52XLA201625</v>
          </cell>
          <cell r="D1156">
            <v>508297</v>
          </cell>
          <cell r="E1156" t="str">
            <v>Volvo</v>
          </cell>
          <cell r="F1156" t="str">
            <v>B8RLEA</v>
          </cell>
          <cell r="G1156" t="str">
            <v>MARCOPOLO</v>
          </cell>
          <cell r="H1156" t="str">
            <v>GRAN VIALE</v>
          </cell>
          <cell r="I1156">
            <v>2020</v>
          </cell>
          <cell r="J1156" t="str">
            <v>C</v>
          </cell>
          <cell r="K1156" t="str">
            <v>PIE ANDINO</v>
          </cell>
          <cell r="L1156" t="str">
            <v>Pie Andino 31 (Pie Andino 383)</v>
          </cell>
          <cell r="M1156" t="str">
            <v>Puente Alto</v>
          </cell>
          <cell r="N1156" t="str">
            <v>C</v>
          </cell>
        </row>
        <row r="1157">
          <cell r="B1157" t="str">
            <v>LZRD-80</v>
          </cell>
          <cell r="C1157" t="str">
            <v>YV3T7U520LA201620</v>
          </cell>
          <cell r="D1157">
            <v>508303</v>
          </cell>
          <cell r="E1157" t="str">
            <v>Volvo</v>
          </cell>
          <cell r="F1157" t="str">
            <v>B8RLEA</v>
          </cell>
          <cell r="G1157" t="str">
            <v>MARCOPOLO</v>
          </cell>
          <cell r="H1157" t="str">
            <v>GRAN VIALE</v>
          </cell>
          <cell r="I1157">
            <v>2020</v>
          </cell>
          <cell r="J1157" t="str">
            <v>C</v>
          </cell>
          <cell r="K1157" t="str">
            <v>PIE ANDINO</v>
          </cell>
          <cell r="L1157" t="str">
            <v>Pie Andino 31 (Pie Andino 383)</v>
          </cell>
          <cell r="M1157" t="str">
            <v>Puente Alto</v>
          </cell>
          <cell r="N1157" t="str">
            <v>C</v>
          </cell>
        </row>
        <row r="1158">
          <cell r="B1158" t="str">
            <v>LZRD-81</v>
          </cell>
          <cell r="C1158" t="str">
            <v>YV3T7U526LA201606</v>
          </cell>
          <cell r="D1158">
            <v>508235</v>
          </cell>
          <cell r="E1158" t="str">
            <v>Volvo</v>
          </cell>
          <cell r="F1158" t="str">
            <v>B8RLEA</v>
          </cell>
          <cell r="G1158" t="str">
            <v>MARCOPOLO</v>
          </cell>
          <cell r="H1158" t="str">
            <v>GRAN VIALE</v>
          </cell>
          <cell r="I1158">
            <v>2020</v>
          </cell>
          <cell r="J1158" t="str">
            <v>C</v>
          </cell>
          <cell r="K1158" t="str">
            <v>PIE ANDINO</v>
          </cell>
          <cell r="L1158" t="str">
            <v>Pie Andino 31 (Pie Andino 383)</v>
          </cell>
          <cell r="M1158" t="str">
            <v>Puente Alto</v>
          </cell>
          <cell r="N1158" t="str">
            <v>C</v>
          </cell>
        </row>
        <row r="1159">
          <cell r="B1159" t="str">
            <v>LZRD-82</v>
          </cell>
          <cell r="C1159" t="str">
            <v>YV3T7U527LA201498</v>
          </cell>
          <cell r="D1159">
            <v>507854</v>
          </cell>
          <cell r="E1159" t="str">
            <v>Volvo</v>
          </cell>
          <cell r="F1159" t="str">
            <v>B8RLEA</v>
          </cell>
          <cell r="G1159" t="str">
            <v>MARCOPOLO</v>
          </cell>
          <cell r="H1159" t="str">
            <v>GRAN VIALE</v>
          </cell>
          <cell r="I1159">
            <v>2020</v>
          </cell>
          <cell r="J1159" t="str">
            <v>C</v>
          </cell>
          <cell r="K1159" t="str">
            <v>PIE ANDINO</v>
          </cell>
          <cell r="L1159" t="str">
            <v>Pie Andino 31 (Pie Andino 383)</v>
          </cell>
          <cell r="M1159" t="str">
            <v>Puente Alto</v>
          </cell>
          <cell r="N1159" t="str">
            <v>C</v>
          </cell>
        </row>
        <row r="1160">
          <cell r="B1160" t="str">
            <v>LZRD-83</v>
          </cell>
          <cell r="C1160" t="str">
            <v>YV3T7U522LA201540</v>
          </cell>
          <cell r="D1160">
            <v>507955</v>
          </cell>
          <cell r="E1160" t="str">
            <v>Volvo</v>
          </cell>
          <cell r="F1160" t="str">
            <v>B8RLEA</v>
          </cell>
          <cell r="G1160" t="str">
            <v>MARCOPOLO</v>
          </cell>
          <cell r="H1160" t="str">
            <v>GRAN VIALE</v>
          </cell>
          <cell r="I1160">
            <v>2020</v>
          </cell>
          <cell r="J1160" t="str">
            <v>C</v>
          </cell>
          <cell r="K1160" t="str">
            <v>SAN ALFONSO</v>
          </cell>
          <cell r="L1160" t="str">
            <v>San Alfonso 2141 (Ramón Subercaseaux 3060)</v>
          </cell>
          <cell r="M1160" t="str">
            <v>Estacion Central</v>
          </cell>
          <cell r="N1160" t="str">
            <v>C</v>
          </cell>
        </row>
        <row r="1161">
          <cell r="B1161" t="str">
            <v>LZRD-84</v>
          </cell>
          <cell r="C1161" t="str">
            <v>YV3T7U526LA201668</v>
          </cell>
          <cell r="D1161">
            <v>508633</v>
          </cell>
          <cell r="E1161" t="str">
            <v>Volvo</v>
          </cell>
          <cell r="F1161" t="str">
            <v>B8RLEA</v>
          </cell>
          <cell r="G1161" t="str">
            <v>MARCOPOLO</v>
          </cell>
          <cell r="H1161" t="str">
            <v>GRAN VIALE</v>
          </cell>
          <cell r="I1161">
            <v>2020</v>
          </cell>
          <cell r="J1161" t="str">
            <v>C</v>
          </cell>
          <cell r="K1161" t="str">
            <v>PIE ANDINO</v>
          </cell>
          <cell r="L1161" t="str">
            <v>Pie Andino 31 (Pie Andino 383)</v>
          </cell>
          <cell r="M1161" t="str">
            <v>Puente Alto</v>
          </cell>
          <cell r="N1161" t="str">
            <v>C</v>
          </cell>
        </row>
        <row r="1162">
          <cell r="B1162" t="str">
            <v>LZRD-85</v>
          </cell>
          <cell r="C1162" t="str">
            <v>YV3T7U529LA201695</v>
          </cell>
          <cell r="D1162">
            <v>508651</v>
          </cell>
          <cell r="E1162" t="str">
            <v>Volvo</v>
          </cell>
          <cell r="F1162" t="str">
            <v>B8RLEA</v>
          </cell>
          <cell r="G1162" t="str">
            <v>MARCOPOLO</v>
          </cell>
          <cell r="H1162" t="str">
            <v>GRAN VIALE</v>
          </cell>
          <cell r="I1162">
            <v>2020</v>
          </cell>
          <cell r="J1162" t="str">
            <v>C</v>
          </cell>
          <cell r="K1162" t="str">
            <v>PIE ANDINO</v>
          </cell>
          <cell r="L1162" t="str">
            <v>Pie Andino 31 (Pie Andino 383)</v>
          </cell>
          <cell r="M1162" t="str">
            <v>Puente Alto</v>
          </cell>
          <cell r="N1162" t="str">
            <v>C</v>
          </cell>
        </row>
        <row r="1163">
          <cell r="B1163" t="str">
            <v>LZRD-86</v>
          </cell>
          <cell r="C1163" t="str">
            <v>YV3T7U521LA201609</v>
          </cell>
          <cell r="D1163">
            <v>508236</v>
          </cell>
          <cell r="E1163" t="str">
            <v>Volvo</v>
          </cell>
          <cell r="F1163" t="str">
            <v>B8RLEA</v>
          </cell>
          <cell r="G1163" t="str">
            <v>MARCOPOLO</v>
          </cell>
          <cell r="H1163" t="str">
            <v>GRAN VIALE</v>
          </cell>
          <cell r="I1163">
            <v>2020</v>
          </cell>
          <cell r="J1163" t="str">
            <v>C</v>
          </cell>
          <cell r="K1163" t="str">
            <v>PIE ANDINO</v>
          </cell>
          <cell r="L1163" t="str">
            <v>Pie Andino 31 (Pie Andino 383)</v>
          </cell>
          <cell r="M1163" t="str">
            <v>Puente Alto</v>
          </cell>
          <cell r="N1163" t="str">
            <v>C</v>
          </cell>
        </row>
        <row r="1164">
          <cell r="B1164" t="str">
            <v>LZRD-87</v>
          </cell>
          <cell r="C1164" t="str">
            <v>YV3T7U522LA201621</v>
          </cell>
          <cell r="D1164">
            <v>508307</v>
          </cell>
          <cell r="E1164" t="str">
            <v>Volvo</v>
          </cell>
          <cell r="F1164" t="str">
            <v>B8RLEA</v>
          </cell>
          <cell r="G1164" t="str">
            <v>MARCOPOLO</v>
          </cell>
          <cell r="H1164" t="str">
            <v>GRAN VIALE</v>
          </cell>
          <cell r="I1164">
            <v>2020</v>
          </cell>
          <cell r="J1164" t="str">
            <v>C</v>
          </cell>
          <cell r="K1164" t="str">
            <v>PIE ANDINO</v>
          </cell>
          <cell r="L1164" t="str">
            <v>Pie Andino 31 (Pie Andino 383)</v>
          </cell>
          <cell r="M1164" t="str">
            <v>Puente Alto</v>
          </cell>
          <cell r="N1164" t="str">
            <v>C</v>
          </cell>
        </row>
        <row r="1165">
          <cell r="B1165" t="str">
            <v>LZRD-88</v>
          </cell>
          <cell r="C1165" t="str">
            <v>YV3T7U528LA201607</v>
          </cell>
          <cell r="D1165">
            <v>508215</v>
          </cell>
          <cell r="E1165" t="str">
            <v>Volvo</v>
          </cell>
          <cell r="F1165" t="str">
            <v>B8RLEA</v>
          </cell>
          <cell r="G1165" t="str">
            <v>MARCOPOLO</v>
          </cell>
          <cell r="H1165" t="str">
            <v>GRAN VIALE</v>
          </cell>
          <cell r="I1165">
            <v>2020</v>
          </cell>
          <cell r="J1165" t="str">
            <v>C</v>
          </cell>
          <cell r="K1165" t="str">
            <v>SAN ALFONSO</v>
          </cell>
          <cell r="L1165" t="str">
            <v>San Alfonso 2141 (Ramón Subercaseaux 3060)</v>
          </cell>
          <cell r="M1165" t="str">
            <v>Estacion Central</v>
          </cell>
          <cell r="N1165" t="str">
            <v>C</v>
          </cell>
        </row>
        <row r="1166">
          <cell r="B1166" t="str">
            <v>LZRD-89</v>
          </cell>
          <cell r="C1166" t="str">
            <v>YV3T7U527LA201694</v>
          </cell>
          <cell r="D1166">
            <v>508655</v>
          </cell>
          <cell r="E1166" t="str">
            <v>Volvo</v>
          </cell>
          <cell r="F1166" t="str">
            <v>B8RLEA</v>
          </cell>
          <cell r="G1166" t="str">
            <v>MARCOPOLO</v>
          </cell>
          <cell r="H1166" t="str">
            <v>GRAN VIALE</v>
          </cell>
          <cell r="I1166">
            <v>2020</v>
          </cell>
          <cell r="J1166" t="str">
            <v>C</v>
          </cell>
          <cell r="K1166" t="str">
            <v>PIE ANDINO</v>
          </cell>
          <cell r="L1166" t="str">
            <v>Pie Andino 31 (Pie Andino 383)</v>
          </cell>
          <cell r="M1166" t="str">
            <v>Puente Alto</v>
          </cell>
          <cell r="N1166" t="str">
            <v>C</v>
          </cell>
        </row>
        <row r="1167">
          <cell r="B1167" t="str">
            <v>LZRD-90</v>
          </cell>
          <cell r="C1167" t="str">
            <v>YV3T7U528LA201610</v>
          </cell>
          <cell r="D1167">
            <v>508198</v>
          </cell>
          <cell r="E1167" t="str">
            <v>Volvo</v>
          </cell>
          <cell r="F1167" t="str">
            <v>B8RLEA</v>
          </cell>
          <cell r="G1167" t="str">
            <v>MARCOPOLO</v>
          </cell>
          <cell r="H1167" t="str">
            <v>GRAN VIALE</v>
          </cell>
          <cell r="I1167">
            <v>2020</v>
          </cell>
          <cell r="J1167" t="str">
            <v>C</v>
          </cell>
          <cell r="K1167" t="str">
            <v>PIE ANDINO</v>
          </cell>
          <cell r="L1167" t="str">
            <v>Pie Andino 31 (Pie Andino 383)</v>
          </cell>
          <cell r="M1167" t="str">
            <v>Puente Alto</v>
          </cell>
          <cell r="N1167" t="str">
            <v>C</v>
          </cell>
        </row>
        <row r="1168">
          <cell r="B1168" t="str">
            <v>LZRD-91</v>
          </cell>
          <cell r="C1168" t="str">
            <v>YV3T7U525LA201922</v>
          </cell>
          <cell r="D1168">
            <v>509348</v>
          </cell>
          <cell r="E1168" t="str">
            <v>Volvo</v>
          </cell>
          <cell r="F1168" t="str">
            <v>B8RLEA</v>
          </cell>
          <cell r="G1168" t="str">
            <v>MARCOPOLO</v>
          </cell>
          <cell r="H1168" t="str">
            <v>GRAN VIALE</v>
          </cell>
          <cell r="I1168">
            <v>2020</v>
          </cell>
          <cell r="J1168" t="str">
            <v>C</v>
          </cell>
          <cell r="K1168" t="str">
            <v>SAN ALFONSO</v>
          </cell>
          <cell r="L1168" t="str">
            <v>San Alfonso 2141 (Ramón Subercaseaux 3060)</v>
          </cell>
          <cell r="M1168" t="str">
            <v>Estacion Central</v>
          </cell>
          <cell r="N1168" t="str">
            <v>C</v>
          </cell>
        </row>
        <row r="1169">
          <cell r="B1169" t="str">
            <v>LZRD-92</v>
          </cell>
          <cell r="C1169" t="str">
            <v>YV3T7U527LA201906</v>
          </cell>
          <cell r="D1169">
            <v>509467</v>
          </cell>
          <cell r="E1169" t="str">
            <v>Volvo</v>
          </cell>
          <cell r="F1169" t="str">
            <v>B8RLEA</v>
          </cell>
          <cell r="G1169" t="str">
            <v>MARCOPOLO</v>
          </cell>
          <cell r="H1169" t="str">
            <v>GRAN VIALE</v>
          </cell>
          <cell r="I1169">
            <v>2020</v>
          </cell>
          <cell r="J1169" t="str">
            <v>C</v>
          </cell>
          <cell r="K1169" t="str">
            <v>SAN ALFONSO</v>
          </cell>
          <cell r="L1169" t="str">
            <v>San Alfonso 2141 (Ramón Subercaseaux 3060)</v>
          </cell>
          <cell r="M1169" t="str">
            <v>Estacion Central</v>
          </cell>
          <cell r="N1169" t="str">
            <v>C</v>
          </cell>
        </row>
        <row r="1170">
          <cell r="B1170" t="str">
            <v>LZRD-61</v>
          </cell>
          <cell r="C1170" t="str">
            <v>YV3T7U528LA201848</v>
          </cell>
          <cell r="D1170">
            <v>507981</v>
          </cell>
          <cell r="E1170" t="str">
            <v>Volvo</v>
          </cell>
          <cell r="F1170" t="str">
            <v>B8RLEA</v>
          </cell>
          <cell r="G1170" t="str">
            <v>MARCOPOLO</v>
          </cell>
          <cell r="H1170" t="str">
            <v>GRAN VIALE</v>
          </cell>
          <cell r="I1170">
            <v>2020</v>
          </cell>
          <cell r="J1170" t="str">
            <v>C</v>
          </cell>
          <cell r="K1170" t="str">
            <v>PIE ANDINO</v>
          </cell>
          <cell r="L1170" t="str">
            <v>Pie Andino 31 (Pie Andino 383)</v>
          </cell>
          <cell r="M1170" t="str">
            <v>Puente Alto</v>
          </cell>
          <cell r="N1170" t="str">
            <v>C</v>
          </cell>
        </row>
        <row r="1171">
          <cell r="B1171" t="str">
            <v>LZRD-94</v>
          </cell>
          <cell r="C1171" t="str">
            <v>YV3T7U523LA201708</v>
          </cell>
          <cell r="D1171">
            <v>508404</v>
          </cell>
          <cell r="E1171" t="str">
            <v>Volvo</v>
          </cell>
          <cell r="F1171" t="str">
            <v>B8RLEA</v>
          </cell>
          <cell r="G1171" t="str">
            <v>MARCOPOLO</v>
          </cell>
          <cell r="H1171" t="str">
            <v>GRAN VIALE</v>
          </cell>
          <cell r="I1171">
            <v>2020</v>
          </cell>
          <cell r="J1171" t="str">
            <v>C</v>
          </cell>
          <cell r="K1171" t="str">
            <v>PIE ANDINO</v>
          </cell>
          <cell r="L1171" t="str">
            <v>Pie Andino 31 (Pie Andino 383)</v>
          </cell>
          <cell r="M1171" t="str">
            <v>Puente Alto</v>
          </cell>
          <cell r="N1171" t="str">
            <v>C</v>
          </cell>
        </row>
        <row r="1172">
          <cell r="B1172" t="str">
            <v>LZRD-95</v>
          </cell>
          <cell r="C1172" t="str">
            <v>YV3T7U525LA201905</v>
          </cell>
          <cell r="D1172">
            <v>509585</v>
          </cell>
          <cell r="E1172" t="str">
            <v>Volvo</v>
          </cell>
          <cell r="F1172" t="str">
            <v>B8RLEA</v>
          </cell>
          <cell r="G1172" t="str">
            <v>MARCOPOLO</v>
          </cell>
          <cell r="H1172" t="str">
            <v>GRAN VIALE</v>
          </cell>
          <cell r="I1172">
            <v>2020</v>
          </cell>
          <cell r="J1172" t="str">
            <v>C</v>
          </cell>
          <cell r="K1172" t="str">
            <v>PIE ANDINO</v>
          </cell>
          <cell r="L1172" t="str">
            <v>Pie Andino 31 (Pie Andino 383)</v>
          </cell>
          <cell r="M1172" t="str">
            <v>Puente Alto</v>
          </cell>
          <cell r="N1172" t="str">
            <v>C</v>
          </cell>
        </row>
        <row r="1173">
          <cell r="B1173" t="str">
            <v>LZRD-96</v>
          </cell>
          <cell r="C1173" t="str">
            <v>YV3T7U520LA201908</v>
          </cell>
          <cell r="D1173">
            <v>509583</v>
          </cell>
          <cell r="E1173" t="str">
            <v>Volvo</v>
          </cell>
          <cell r="F1173" t="str">
            <v>B8RLEA</v>
          </cell>
          <cell r="G1173" t="str">
            <v>MARCOPOLO</v>
          </cell>
          <cell r="H1173" t="str">
            <v>GRAN VIALE</v>
          </cell>
          <cell r="I1173">
            <v>2020</v>
          </cell>
          <cell r="J1173" t="str">
            <v>C</v>
          </cell>
          <cell r="K1173" t="str">
            <v>PIE ANDINO</v>
          </cell>
          <cell r="L1173" t="str">
            <v>Pie Andino 31 (Pie Andino 383)</v>
          </cell>
          <cell r="M1173" t="str">
            <v>Puente Alto</v>
          </cell>
          <cell r="N1173" t="str">
            <v>C</v>
          </cell>
        </row>
        <row r="1174">
          <cell r="B1174" t="str">
            <v>LZRD-97</v>
          </cell>
          <cell r="C1174" t="str">
            <v>YV3T7U529LA201907</v>
          </cell>
          <cell r="D1174">
            <v>509444</v>
          </cell>
          <cell r="E1174" t="str">
            <v>Volvo</v>
          </cell>
          <cell r="F1174" t="str">
            <v>B8RLEA</v>
          </cell>
          <cell r="G1174" t="str">
            <v>MARCOPOLO</v>
          </cell>
          <cell r="H1174" t="str">
            <v>GRAN VIALE</v>
          </cell>
          <cell r="I1174">
            <v>2020</v>
          </cell>
          <cell r="J1174" t="str">
            <v>C</v>
          </cell>
          <cell r="K1174" t="str">
            <v>PIE ANDINO</v>
          </cell>
          <cell r="L1174" t="str">
            <v>Pie Andino 31 (Pie Andino 383)</v>
          </cell>
          <cell r="M1174" t="str">
            <v>Puente Alto</v>
          </cell>
          <cell r="N1174" t="str">
            <v>C</v>
          </cell>
        </row>
        <row r="1175">
          <cell r="B1175" t="str">
            <v>LZRD-98</v>
          </cell>
          <cell r="C1175" t="str">
            <v>YV3T7U526LA201802</v>
          </cell>
          <cell r="D1175">
            <v>509171</v>
          </cell>
          <cell r="E1175" t="str">
            <v>Volvo</v>
          </cell>
          <cell r="F1175" t="str">
            <v>B8RLEA</v>
          </cell>
          <cell r="G1175" t="str">
            <v>MARCOPOLO</v>
          </cell>
          <cell r="H1175" t="str">
            <v>GRAN VIALE</v>
          </cell>
          <cell r="I1175">
            <v>2020</v>
          </cell>
          <cell r="J1175" t="str">
            <v>C</v>
          </cell>
          <cell r="K1175" t="str">
            <v>PIE ANDINO</v>
          </cell>
          <cell r="L1175" t="str">
            <v>Pie Andino 31 (Pie Andino 383)</v>
          </cell>
          <cell r="M1175" t="str">
            <v>Puente Alto</v>
          </cell>
          <cell r="N1175" t="str">
            <v>C</v>
          </cell>
        </row>
        <row r="1176">
          <cell r="B1176" t="str">
            <v>LZRD-99</v>
          </cell>
          <cell r="C1176" t="str">
            <v>YV3T7U523LA201904</v>
          </cell>
          <cell r="D1176">
            <v>509572</v>
          </cell>
          <cell r="E1176" t="str">
            <v>Volvo</v>
          </cell>
          <cell r="F1176" t="str">
            <v>B8RLEA</v>
          </cell>
          <cell r="G1176" t="str">
            <v>MARCOPOLO</v>
          </cell>
          <cell r="H1176" t="str">
            <v>GRAN VIALE</v>
          </cell>
          <cell r="I1176">
            <v>2020</v>
          </cell>
          <cell r="J1176" t="str">
            <v>C</v>
          </cell>
          <cell r="K1176" t="str">
            <v>PIE ANDINO</v>
          </cell>
          <cell r="L1176" t="str">
            <v>Pie Andino 31 (Pie Andino 383)</v>
          </cell>
          <cell r="M1176" t="str">
            <v>Puente Alto</v>
          </cell>
          <cell r="N1176" t="str">
            <v>C</v>
          </cell>
        </row>
        <row r="1177">
          <cell r="B1177" t="str">
            <v>LZRF-10</v>
          </cell>
          <cell r="C1177" t="str">
            <v>YV3T7U525LA201712</v>
          </cell>
          <cell r="D1177">
            <v>508475</v>
          </cell>
          <cell r="E1177" t="str">
            <v>Volvo</v>
          </cell>
          <cell r="F1177" t="str">
            <v>B8RLEA</v>
          </cell>
          <cell r="G1177" t="str">
            <v>MARCOPOLO</v>
          </cell>
          <cell r="H1177" t="str">
            <v>GRAN VIALE</v>
          </cell>
          <cell r="I1177">
            <v>2020</v>
          </cell>
          <cell r="J1177" t="str">
            <v>C</v>
          </cell>
          <cell r="K1177" t="str">
            <v>PIE ANDINO</v>
          </cell>
          <cell r="L1177" t="str">
            <v>Pie Andino 31 (Pie Andino 383)</v>
          </cell>
          <cell r="M1177" t="str">
            <v>Puente Alto</v>
          </cell>
          <cell r="N1177" t="str">
            <v>C</v>
          </cell>
        </row>
        <row r="1178">
          <cell r="B1178" t="str">
            <v>LZRF-11</v>
          </cell>
          <cell r="C1178" t="str">
            <v>YV3T7U526LA201847</v>
          </cell>
          <cell r="D1178">
            <v>507974</v>
          </cell>
          <cell r="E1178" t="str">
            <v>Volvo</v>
          </cell>
          <cell r="F1178" t="str">
            <v>B8RLEA</v>
          </cell>
          <cell r="G1178" t="str">
            <v>MARCOPOLO</v>
          </cell>
          <cell r="H1178" t="str">
            <v>GRAN VIALE</v>
          </cell>
          <cell r="I1178">
            <v>2020</v>
          </cell>
          <cell r="J1178" t="str">
            <v>C</v>
          </cell>
          <cell r="K1178" t="str">
            <v>PIE ANDINO</v>
          </cell>
          <cell r="L1178" t="str">
            <v>Pie Andino 31 (Pie Andino 383)</v>
          </cell>
          <cell r="M1178" t="str">
            <v>Puente Alto</v>
          </cell>
          <cell r="N1178" t="str">
            <v>C</v>
          </cell>
        </row>
        <row r="1179">
          <cell r="B1179" t="str">
            <v>LZRF-12</v>
          </cell>
          <cell r="C1179" t="str">
            <v>YV3T7U528LA201851</v>
          </cell>
          <cell r="D1179">
            <v>508008</v>
          </cell>
          <cell r="E1179" t="str">
            <v>Volvo</v>
          </cell>
          <cell r="F1179" t="str">
            <v>B8RLEA</v>
          </cell>
          <cell r="G1179" t="str">
            <v>MARCOPOLO</v>
          </cell>
          <cell r="H1179" t="str">
            <v>GRAN VIALE</v>
          </cell>
          <cell r="I1179">
            <v>2020</v>
          </cell>
          <cell r="J1179" t="str">
            <v>C</v>
          </cell>
          <cell r="K1179" t="str">
            <v>PIE ANDINO</v>
          </cell>
          <cell r="L1179" t="str">
            <v>Pie Andino 31 (Pie Andino 383)</v>
          </cell>
          <cell r="M1179" t="str">
            <v>Puente Alto</v>
          </cell>
          <cell r="N1179" t="str">
            <v>C</v>
          </cell>
        </row>
        <row r="1180">
          <cell r="B1180" t="str">
            <v>LZRF-13</v>
          </cell>
          <cell r="C1180" t="str">
            <v>YV3T7U529LA201499</v>
          </cell>
          <cell r="D1180">
            <v>507878</v>
          </cell>
          <cell r="E1180" t="str">
            <v>Volvo</v>
          </cell>
          <cell r="F1180" t="str">
            <v>B8RLEA</v>
          </cell>
          <cell r="G1180" t="str">
            <v>MARCOPOLO</v>
          </cell>
          <cell r="H1180" t="str">
            <v>GRAN VIALE</v>
          </cell>
          <cell r="I1180">
            <v>2020</v>
          </cell>
          <cell r="J1180" t="str">
            <v>C</v>
          </cell>
          <cell r="K1180" t="str">
            <v>PIE ANDINO</v>
          </cell>
          <cell r="L1180" t="str">
            <v>Pie Andino 31 (Pie Andino 383)</v>
          </cell>
          <cell r="M1180" t="str">
            <v>Puente Alto</v>
          </cell>
          <cell r="N1180" t="str">
            <v>C</v>
          </cell>
        </row>
        <row r="1181">
          <cell r="B1181" t="str">
            <v>LZRF-14</v>
          </cell>
          <cell r="C1181" t="str">
            <v>YV3T7U524LA201541</v>
          </cell>
          <cell r="D1181">
            <v>507933</v>
          </cell>
          <cell r="E1181" t="str">
            <v>Volvo</v>
          </cell>
          <cell r="F1181" t="str">
            <v>B8RLEA</v>
          </cell>
          <cell r="G1181" t="str">
            <v>MARCOPOLO</v>
          </cell>
          <cell r="H1181" t="str">
            <v>GRAN VIALE</v>
          </cell>
          <cell r="I1181">
            <v>2020</v>
          </cell>
          <cell r="J1181" t="str">
            <v>C</v>
          </cell>
          <cell r="K1181" t="str">
            <v>PIE ANDINO</v>
          </cell>
          <cell r="L1181" t="str">
            <v>Pie Andino 31 (Pie Andino 383)</v>
          </cell>
          <cell r="M1181" t="str">
            <v>Puente Alto</v>
          </cell>
          <cell r="N1181" t="str">
            <v>C</v>
          </cell>
        </row>
        <row r="1182">
          <cell r="B1182" t="str">
            <v>LZRF-15</v>
          </cell>
          <cell r="C1182" t="str">
            <v>YV3T7U524LA198723</v>
          </cell>
          <cell r="D1182">
            <v>508173</v>
          </cell>
          <cell r="E1182" t="str">
            <v>Volvo</v>
          </cell>
          <cell r="F1182" t="str">
            <v>B8RLEA</v>
          </cell>
          <cell r="G1182" t="str">
            <v>MARCOPOLO</v>
          </cell>
          <cell r="H1182" t="str">
            <v>GRAN VIALE</v>
          </cell>
          <cell r="I1182">
            <v>2020</v>
          </cell>
          <cell r="J1182" t="str">
            <v>C</v>
          </cell>
          <cell r="K1182" t="str">
            <v>PIE ANDINO</v>
          </cell>
          <cell r="L1182" t="str">
            <v>Pie Andino 31 (Pie Andino 383)</v>
          </cell>
          <cell r="M1182" t="str">
            <v>Puente Alto</v>
          </cell>
          <cell r="N1182" t="str">
            <v>C</v>
          </cell>
        </row>
        <row r="1183">
          <cell r="B1183" t="str">
            <v>RJXT-26</v>
          </cell>
          <cell r="C1183" t="str">
            <v>YV3T7U528KA194902</v>
          </cell>
          <cell r="D1183">
            <v>480074</v>
          </cell>
          <cell r="E1183" t="str">
            <v>Volvo</v>
          </cell>
          <cell r="F1183" t="str">
            <v>B8RLEA</v>
          </cell>
          <cell r="G1183" t="str">
            <v>MARCOPOLO</v>
          </cell>
          <cell r="H1183" t="str">
            <v>MONDEGO II</v>
          </cell>
          <cell r="I1183">
            <v>2021</v>
          </cell>
          <cell r="J1183" t="str">
            <v>C</v>
          </cell>
          <cell r="K1183" t="str">
            <v>PIE ANDINO</v>
          </cell>
          <cell r="L1183" t="str">
            <v>Pie Andino 31 (Pie Andino 383)</v>
          </cell>
          <cell r="M1183" t="str">
            <v>Puente Alto</v>
          </cell>
          <cell r="N1183" t="str">
            <v>C</v>
          </cell>
        </row>
        <row r="1184">
          <cell r="B1184" t="str">
            <v>RWTP-78</v>
          </cell>
          <cell r="C1184" t="str">
            <v>YV3T7U52XNA207976</v>
          </cell>
          <cell r="D1184">
            <v>552632</v>
          </cell>
          <cell r="E1184" t="str">
            <v>Volvo</v>
          </cell>
          <cell r="F1184" t="str">
            <v>B8RLEA</v>
          </cell>
          <cell r="G1184" t="str">
            <v>MARCOPOLO</v>
          </cell>
          <cell r="H1184" t="str">
            <v>GRAN VIALE</v>
          </cell>
          <cell r="I1184">
            <v>2022</v>
          </cell>
          <cell r="J1184" t="str">
            <v>C</v>
          </cell>
          <cell r="K1184" t="str">
            <v>PIE ANDINO</v>
          </cell>
          <cell r="L1184" t="str">
            <v>Pie Andino 31 (Pie Andino 383)</v>
          </cell>
          <cell r="M1184" t="str">
            <v>Puente Alto</v>
          </cell>
          <cell r="N1184" t="str">
            <v>C</v>
          </cell>
        </row>
        <row r="1185">
          <cell r="B1185" t="str">
            <v>RWTP-79</v>
          </cell>
          <cell r="C1185" t="str">
            <v>YV3T7U52XNA207895</v>
          </cell>
          <cell r="D1185">
            <v>552649</v>
          </cell>
          <cell r="E1185" t="str">
            <v>Volvo</v>
          </cell>
          <cell r="F1185" t="str">
            <v>B8RLEA</v>
          </cell>
          <cell r="G1185" t="str">
            <v>MARCOPOLO</v>
          </cell>
          <cell r="H1185" t="str">
            <v>GRAN VIALE</v>
          </cell>
          <cell r="I1185">
            <v>2022</v>
          </cell>
          <cell r="J1185" t="str">
            <v>C</v>
          </cell>
          <cell r="K1185" t="str">
            <v>SAN ALFONSO</v>
          </cell>
          <cell r="L1185" t="str">
            <v>San Alfonso 2141 (Ramón Subercaseaux 3060)</v>
          </cell>
          <cell r="M1185" t="str">
            <v>Estacion Central</v>
          </cell>
          <cell r="N1185" t="str">
            <v>C</v>
          </cell>
        </row>
        <row r="1186">
          <cell r="B1186" t="str">
            <v>RWTP-80</v>
          </cell>
          <cell r="C1186" t="str">
            <v>YV3T7U528NA207894</v>
          </cell>
          <cell r="D1186">
            <v>552624</v>
          </cell>
          <cell r="E1186" t="str">
            <v>Volvo</v>
          </cell>
          <cell r="F1186" t="str">
            <v>B8RLEA</v>
          </cell>
          <cell r="G1186" t="str">
            <v>MARCOPOLO</v>
          </cell>
          <cell r="H1186" t="str">
            <v>GRAN VIALE</v>
          </cell>
          <cell r="I1186">
            <v>2022</v>
          </cell>
          <cell r="J1186" t="str">
            <v>C</v>
          </cell>
          <cell r="K1186" t="str">
            <v>SAN ALFONSO</v>
          </cell>
          <cell r="L1186" t="str">
            <v>San Alfonso 2141 (Ramón Subercaseaux 3060)</v>
          </cell>
          <cell r="M1186" t="str">
            <v>Estacion Central</v>
          </cell>
          <cell r="N1186" t="str">
            <v>C</v>
          </cell>
        </row>
        <row r="1187">
          <cell r="B1187" t="str">
            <v>RWTP-81</v>
          </cell>
          <cell r="C1187" t="str">
            <v>YV3T7U526NA207893</v>
          </cell>
          <cell r="D1187">
            <v>552338</v>
          </cell>
          <cell r="E1187" t="str">
            <v>Volvo</v>
          </cell>
          <cell r="F1187" t="str">
            <v>B8RLEA</v>
          </cell>
          <cell r="G1187" t="str">
            <v>MARCOPOLO</v>
          </cell>
          <cell r="H1187" t="str">
            <v>GRAN VIALE</v>
          </cell>
          <cell r="I1187">
            <v>2022</v>
          </cell>
          <cell r="J1187" t="str">
            <v>C</v>
          </cell>
          <cell r="K1187" t="str">
            <v>SAN ALFONSO</v>
          </cell>
          <cell r="L1187" t="str">
            <v>San Alfonso 2141 (Ramón Subercaseaux 3060)</v>
          </cell>
          <cell r="M1187" t="str">
            <v>Estacion Central</v>
          </cell>
          <cell r="N1187" t="str">
            <v>C</v>
          </cell>
        </row>
        <row r="1188">
          <cell r="B1188" t="str">
            <v>RWTP-82</v>
          </cell>
          <cell r="C1188" t="str">
            <v>YV3T7U525NA207884</v>
          </cell>
          <cell r="D1188">
            <v>552333</v>
          </cell>
          <cell r="E1188" t="str">
            <v>Volvo</v>
          </cell>
          <cell r="F1188" t="str">
            <v>B8RLEA</v>
          </cell>
          <cell r="G1188" t="str">
            <v>MARCOPOLO</v>
          </cell>
          <cell r="H1188" t="str">
            <v>GRAN VIALE</v>
          </cell>
          <cell r="I1188">
            <v>2022</v>
          </cell>
          <cell r="J1188" t="str">
            <v>C</v>
          </cell>
          <cell r="K1188" t="str">
            <v>SAN ALFONSO</v>
          </cell>
          <cell r="L1188" t="str">
            <v>San Alfonso 2141 (Ramón Subercaseaux 3060)</v>
          </cell>
          <cell r="M1188" t="str">
            <v>Estacion Central</v>
          </cell>
          <cell r="N1188" t="str">
            <v>C</v>
          </cell>
        </row>
        <row r="1189">
          <cell r="B1189" t="str">
            <v>RWTP-83</v>
          </cell>
          <cell r="C1189" t="str">
            <v>YV3T7U523NA207995</v>
          </cell>
          <cell r="D1189">
            <v>552881</v>
          </cell>
          <cell r="E1189" t="str">
            <v>Volvo</v>
          </cell>
          <cell r="F1189" t="str">
            <v>B8RLEA</v>
          </cell>
          <cell r="G1189" t="str">
            <v>MARCOPOLO</v>
          </cell>
          <cell r="H1189" t="str">
            <v>GRAN VIALE</v>
          </cell>
          <cell r="I1189">
            <v>2022</v>
          </cell>
          <cell r="J1189" t="str">
            <v>C</v>
          </cell>
          <cell r="K1189" t="str">
            <v>PIE ANDINO</v>
          </cell>
          <cell r="L1189" t="str">
            <v>Pie Andino 31 (Pie Andino 383)</v>
          </cell>
          <cell r="M1189" t="str">
            <v>Puente Alto</v>
          </cell>
          <cell r="N1189" t="str">
            <v>C</v>
          </cell>
        </row>
        <row r="1190">
          <cell r="B1190" t="str">
            <v>RWTP-84</v>
          </cell>
          <cell r="C1190" t="str">
            <v>YV3T7U521NA207834</v>
          </cell>
          <cell r="D1190">
            <v>550630</v>
          </cell>
          <cell r="E1190" t="str">
            <v>Volvo</v>
          </cell>
          <cell r="F1190" t="str">
            <v>B8RLEA</v>
          </cell>
          <cell r="G1190" t="str">
            <v>MARCOPOLO</v>
          </cell>
          <cell r="H1190" t="str">
            <v>GRAN VIALE</v>
          </cell>
          <cell r="I1190">
            <v>2022</v>
          </cell>
          <cell r="J1190" t="str">
            <v>C</v>
          </cell>
          <cell r="K1190" t="str">
            <v>SAN ALFONSO</v>
          </cell>
          <cell r="L1190" t="str">
            <v>San Alfonso 2141 (Ramón Subercaseaux 3060)</v>
          </cell>
          <cell r="M1190" t="str">
            <v>Estacion Central</v>
          </cell>
          <cell r="N1190" t="str">
            <v>C</v>
          </cell>
        </row>
        <row r="1191">
          <cell r="B1191" t="str">
            <v>RWTP-85</v>
          </cell>
          <cell r="C1191" t="str">
            <v>YV3T7U529NA207967</v>
          </cell>
          <cell r="D1191">
            <v>552303</v>
          </cell>
          <cell r="E1191" t="str">
            <v>Volvo</v>
          </cell>
          <cell r="F1191" t="str">
            <v>B8RLEA</v>
          </cell>
          <cell r="G1191" t="str">
            <v>MARCOPOLO</v>
          </cell>
          <cell r="H1191" t="str">
            <v>GRAN VIALE</v>
          </cell>
          <cell r="I1191">
            <v>2022</v>
          </cell>
          <cell r="J1191" t="str">
            <v>C</v>
          </cell>
          <cell r="K1191" t="str">
            <v>PIE ANDINO</v>
          </cell>
          <cell r="L1191" t="str">
            <v>Pie Andino 31 (Pie Andino 383)</v>
          </cell>
          <cell r="M1191" t="str">
            <v>Puente Alto</v>
          </cell>
          <cell r="N1191" t="str">
            <v>C</v>
          </cell>
        </row>
        <row r="1192">
          <cell r="B1192" t="str">
            <v>RWTP-86</v>
          </cell>
          <cell r="C1192" t="str">
            <v>YV3T7U528NA207930</v>
          </cell>
          <cell r="D1192">
            <v>551701</v>
          </cell>
          <cell r="E1192" t="str">
            <v>Volvo</v>
          </cell>
          <cell r="F1192" t="str">
            <v>B8RLEA</v>
          </cell>
          <cell r="G1192" t="str">
            <v>MARCOPOLO</v>
          </cell>
          <cell r="H1192" t="str">
            <v>GRAN VIALE</v>
          </cell>
          <cell r="I1192">
            <v>2022</v>
          </cell>
          <cell r="J1192" t="str">
            <v>C</v>
          </cell>
          <cell r="K1192" t="str">
            <v>PIE ANDINO</v>
          </cell>
          <cell r="L1192" t="str">
            <v>Pie Andino 31 (Pie Andino 383)</v>
          </cell>
          <cell r="M1192" t="str">
            <v>Puente Alto</v>
          </cell>
          <cell r="N1192" t="str">
            <v>C</v>
          </cell>
        </row>
        <row r="1193">
          <cell r="B1193" t="str">
            <v>RWTP-87</v>
          </cell>
          <cell r="C1193" t="str">
            <v>YV3T7U522NA207891</v>
          </cell>
          <cell r="D1193">
            <v>552373</v>
          </cell>
          <cell r="E1193" t="str">
            <v>Volvo</v>
          </cell>
          <cell r="F1193" t="str">
            <v>B8RLEA</v>
          </cell>
          <cell r="G1193" t="str">
            <v>MARCOPOLO</v>
          </cell>
          <cell r="H1193" t="str">
            <v>GRAN VIALE</v>
          </cell>
          <cell r="I1193">
            <v>2022</v>
          </cell>
          <cell r="J1193" t="str">
            <v>C</v>
          </cell>
          <cell r="K1193" t="str">
            <v>SAN ALFONSO</v>
          </cell>
          <cell r="L1193" t="str">
            <v>San Alfonso 2141 (Ramón Subercaseaux 3060)</v>
          </cell>
          <cell r="M1193" t="str">
            <v>Estacion Central</v>
          </cell>
          <cell r="N1193" t="str">
            <v>C</v>
          </cell>
        </row>
        <row r="1194">
          <cell r="B1194" t="str">
            <v>RWTP-88</v>
          </cell>
          <cell r="C1194" t="str">
            <v>YV3T7U52XNA207881</v>
          </cell>
          <cell r="D1194">
            <v>552573</v>
          </cell>
          <cell r="E1194" t="str">
            <v>Volvo</v>
          </cell>
          <cell r="F1194" t="str">
            <v>B8RLEA</v>
          </cell>
          <cell r="G1194" t="str">
            <v>MARCOPOLO</v>
          </cell>
          <cell r="H1194" t="str">
            <v>GRAN VIALE</v>
          </cell>
          <cell r="I1194">
            <v>2022</v>
          </cell>
          <cell r="J1194" t="str">
            <v>C</v>
          </cell>
          <cell r="K1194" t="str">
            <v>SAN ALFONSO</v>
          </cell>
          <cell r="L1194" t="str">
            <v>San Alfonso 2141 (Ramón Subercaseaux 3060)</v>
          </cell>
          <cell r="M1194" t="str">
            <v>Estacion Central</v>
          </cell>
          <cell r="N1194" t="str">
            <v>C</v>
          </cell>
        </row>
        <row r="1195">
          <cell r="B1195" t="str">
            <v>RWTP-89</v>
          </cell>
          <cell r="C1195" t="str">
            <v>YV3T7U527NA207837</v>
          </cell>
          <cell r="D1195">
            <v>550568</v>
          </cell>
          <cell r="E1195" t="str">
            <v>Volvo</v>
          </cell>
          <cell r="F1195" t="str">
            <v>B8RLEA</v>
          </cell>
          <cell r="G1195" t="str">
            <v>MARCOPOLO</v>
          </cell>
          <cell r="H1195" t="str">
            <v>GRAN VIALE</v>
          </cell>
          <cell r="I1195">
            <v>2022</v>
          </cell>
          <cell r="J1195" t="str">
            <v>C</v>
          </cell>
          <cell r="K1195" t="str">
            <v>SAN ALFONSO</v>
          </cell>
          <cell r="L1195" t="str">
            <v>San Alfonso 2141 (Ramón Subercaseaux 3060)</v>
          </cell>
          <cell r="M1195" t="str">
            <v>Estacion Central</v>
          </cell>
          <cell r="N1195" t="str">
            <v>C</v>
          </cell>
        </row>
        <row r="1196">
          <cell r="B1196" t="str">
            <v>RWTP-90</v>
          </cell>
          <cell r="C1196" t="str">
            <v>YV3T7U527NA207935</v>
          </cell>
          <cell r="D1196">
            <v>551734</v>
          </cell>
          <cell r="E1196" t="str">
            <v>Volvo</v>
          </cell>
          <cell r="F1196" t="str">
            <v>B8RLEA</v>
          </cell>
          <cell r="G1196" t="str">
            <v>MARCOPOLO</v>
          </cell>
          <cell r="H1196" t="str">
            <v>GRAN VIALE</v>
          </cell>
          <cell r="I1196">
            <v>2022</v>
          </cell>
          <cell r="J1196" t="str">
            <v>C</v>
          </cell>
          <cell r="K1196" t="str">
            <v>PIE ANDINO</v>
          </cell>
          <cell r="L1196" t="str">
            <v>Pie Andino 31 (Pie Andino 383)</v>
          </cell>
          <cell r="M1196" t="str">
            <v>Puente Alto</v>
          </cell>
          <cell r="N1196" t="str">
            <v>C</v>
          </cell>
        </row>
        <row r="1197">
          <cell r="B1197" t="str">
            <v>RWTP-91</v>
          </cell>
          <cell r="C1197" t="str">
            <v>YV3T7U524NA207892</v>
          </cell>
          <cell r="D1197">
            <v>552393</v>
          </cell>
          <cell r="E1197" t="str">
            <v>Volvo</v>
          </cell>
          <cell r="F1197" t="str">
            <v>B8RLEA</v>
          </cell>
          <cell r="G1197" t="str">
            <v>MARCOPOLO</v>
          </cell>
          <cell r="H1197" t="str">
            <v>GRAN VIALE</v>
          </cell>
          <cell r="I1197">
            <v>2022</v>
          </cell>
          <cell r="J1197" t="str">
            <v>C</v>
          </cell>
          <cell r="K1197" t="str">
            <v>SAN ALFONSO</v>
          </cell>
          <cell r="L1197" t="str">
            <v>San Alfonso 2141 (Ramón Subercaseaux 3060)</v>
          </cell>
          <cell r="M1197" t="str">
            <v>Estacion Central</v>
          </cell>
          <cell r="N1197" t="str">
            <v>C</v>
          </cell>
        </row>
        <row r="1198">
          <cell r="B1198" t="str">
            <v>RWTP-92</v>
          </cell>
          <cell r="C1198" t="str">
            <v>YV3T7U523NA207835</v>
          </cell>
          <cell r="D1198">
            <v>550593</v>
          </cell>
          <cell r="E1198" t="str">
            <v>Volvo</v>
          </cell>
          <cell r="F1198" t="str">
            <v>B8RLEA</v>
          </cell>
          <cell r="G1198" t="str">
            <v>MARCOPOLO</v>
          </cell>
          <cell r="H1198" t="str">
            <v>GRAN VIALE</v>
          </cell>
          <cell r="I1198">
            <v>2022</v>
          </cell>
          <cell r="J1198" t="str">
            <v>C</v>
          </cell>
          <cell r="K1198" t="str">
            <v>SAN ALFONSO</v>
          </cell>
          <cell r="L1198" t="str">
            <v>San Alfonso 2141 (Ramón Subercaseaux 3060)</v>
          </cell>
          <cell r="M1198" t="str">
            <v>Estacion Central</v>
          </cell>
          <cell r="N1198" t="str">
            <v>C</v>
          </cell>
        </row>
        <row r="1199">
          <cell r="B1199" t="str">
            <v>RWTP-93</v>
          </cell>
          <cell r="C1199" t="str">
            <v>YV3T7U52XNA207833</v>
          </cell>
          <cell r="D1199">
            <v>550451</v>
          </cell>
          <cell r="E1199" t="str">
            <v>Volvo</v>
          </cell>
          <cell r="F1199" t="str">
            <v>B8RLEA</v>
          </cell>
          <cell r="G1199" t="str">
            <v>MARCOPOLO</v>
          </cell>
          <cell r="H1199" t="str">
            <v>GRAN VIALE</v>
          </cell>
          <cell r="I1199">
            <v>2022</v>
          </cell>
          <cell r="J1199" t="str">
            <v>C</v>
          </cell>
          <cell r="K1199" t="str">
            <v>SAN ALFONSO</v>
          </cell>
          <cell r="L1199" t="str">
            <v>San Alfonso 2141 (Ramón Subercaseaux 3060)</v>
          </cell>
          <cell r="M1199" t="str">
            <v>Estacion Central</v>
          </cell>
          <cell r="N1199" t="str">
            <v>C</v>
          </cell>
        </row>
        <row r="1200">
          <cell r="B1200" t="str">
            <v>RWTP-94</v>
          </cell>
          <cell r="C1200" t="str">
            <v>YV3T7U520NA207937</v>
          </cell>
          <cell r="D1200">
            <v>551900</v>
          </cell>
          <cell r="E1200" t="str">
            <v>Volvo</v>
          </cell>
          <cell r="F1200" t="str">
            <v>B8RLEA</v>
          </cell>
          <cell r="G1200" t="str">
            <v>MARCOPOLO</v>
          </cell>
          <cell r="H1200" t="str">
            <v>GRAN VIALE</v>
          </cell>
          <cell r="I1200">
            <v>2022</v>
          </cell>
          <cell r="J1200" t="str">
            <v>C</v>
          </cell>
          <cell r="K1200" t="str">
            <v>PIE ANDINO</v>
          </cell>
          <cell r="L1200" t="str">
            <v>Pie Andino 31 (Pie Andino 383)</v>
          </cell>
          <cell r="M1200" t="str">
            <v>Puente Alto</v>
          </cell>
          <cell r="N1200" t="str">
            <v>C</v>
          </cell>
        </row>
        <row r="1201">
          <cell r="B1201" t="str">
            <v>RWTP-95</v>
          </cell>
          <cell r="C1201" t="str">
            <v>YV3T7U523NA207978</v>
          </cell>
          <cell r="D1201">
            <v>553953</v>
          </cell>
          <cell r="E1201" t="str">
            <v>Volvo</v>
          </cell>
          <cell r="F1201" t="str">
            <v>B8RLEA</v>
          </cell>
          <cell r="G1201" t="str">
            <v>MARCOPOLO</v>
          </cell>
          <cell r="H1201" t="str">
            <v>GRAN VIALE</v>
          </cell>
          <cell r="I1201">
            <v>2022</v>
          </cell>
          <cell r="J1201" t="str">
            <v>C</v>
          </cell>
          <cell r="K1201" t="str">
            <v>PIE ANDINO</v>
          </cell>
          <cell r="L1201" t="str">
            <v>Pie Andino 31 (Pie Andino 383)</v>
          </cell>
          <cell r="M1201" t="str">
            <v>Puente Alto</v>
          </cell>
          <cell r="N1201" t="str">
            <v>C</v>
          </cell>
        </row>
        <row r="1202">
          <cell r="B1202" t="str">
            <v>RWTP-96</v>
          </cell>
          <cell r="C1202" t="str">
            <v>YV3T7U525NA207934</v>
          </cell>
          <cell r="D1202">
            <v>551716</v>
          </cell>
          <cell r="E1202" t="str">
            <v>Volvo</v>
          </cell>
          <cell r="F1202" t="str">
            <v>B8RLEA</v>
          </cell>
          <cell r="G1202" t="str">
            <v>MARCOPOLO</v>
          </cell>
          <cell r="H1202" t="str">
            <v>GRAN VIALE</v>
          </cell>
          <cell r="I1202">
            <v>2022</v>
          </cell>
          <cell r="J1202" t="str">
            <v>C</v>
          </cell>
          <cell r="K1202" t="str">
            <v>PIE ANDINO</v>
          </cell>
          <cell r="L1202" t="str">
            <v>Pie Andino 31 (Pie Andino 383)</v>
          </cell>
          <cell r="M1202" t="str">
            <v>Puente Alto</v>
          </cell>
          <cell r="N1202" t="str">
            <v>C</v>
          </cell>
        </row>
        <row r="1203">
          <cell r="B1203" t="str">
            <v>RWTP-97</v>
          </cell>
          <cell r="C1203" t="str">
            <v>YV3T7U523NA207933</v>
          </cell>
          <cell r="D1203">
            <v>551695</v>
          </cell>
          <cell r="E1203" t="str">
            <v>Volvo</v>
          </cell>
          <cell r="F1203" t="str">
            <v>B8RLEA</v>
          </cell>
          <cell r="G1203" t="str">
            <v>MARCOPOLO</v>
          </cell>
          <cell r="H1203" t="str">
            <v>GRAN VIALE</v>
          </cell>
          <cell r="I1203">
            <v>2022</v>
          </cell>
          <cell r="J1203" t="str">
            <v>C</v>
          </cell>
          <cell r="K1203" t="str">
            <v>PIE ANDINO</v>
          </cell>
          <cell r="L1203" t="str">
            <v>Pie Andino 31 (Pie Andino 383)</v>
          </cell>
          <cell r="M1203" t="str">
            <v>Puente Alto</v>
          </cell>
          <cell r="N1203" t="str">
            <v>C</v>
          </cell>
        </row>
        <row r="1204">
          <cell r="B1204" t="str">
            <v>RWTP-98</v>
          </cell>
          <cell r="C1204" t="str">
            <v>YV3T7U521NA207932</v>
          </cell>
          <cell r="D1204">
            <v>551682</v>
          </cell>
          <cell r="E1204" t="str">
            <v>Volvo</v>
          </cell>
          <cell r="F1204" t="str">
            <v>B8RLEA</v>
          </cell>
          <cell r="G1204" t="str">
            <v>MARCOPOLO</v>
          </cell>
          <cell r="H1204" t="str">
            <v>GRAN VIALE</v>
          </cell>
          <cell r="I1204">
            <v>2022</v>
          </cell>
          <cell r="J1204" t="str">
            <v>C</v>
          </cell>
          <cell r="K1204" t="str">
            <v>PIE ANDINO</v>
          </cell>
          <cell r="L1204" t="str">
            <v>Pie Andino 31 (Pie Andino 383)</v>
          </cell>
          <cell r="M1204" t="str">
            <v>Puente Alto</v>
          </cell>
          <cell r="N1204" t="str">
            <v>C</v>
          </cell>
        </row>
        <row r="1205">
          <cell r="B1205" t="str">
            <v>RWTP-99</v>
          </cell>
          <cell r="C1205" t="str">
            <v>YV3T7U52XNA207931</v>
          </cell>
          <cell r="D1205">
            <v>551698</v>
          </cell>
          <cell r="E1205" t="str">
            <v>Volvo</v>
          </cell>
          <cell r="F1205" t="str">
            <v>B8RLEA</v>
          </cell>
          <cell r="G1205" t="str">
            <v>MARCOPOLO</v>
          </cell>
          <cell r="H1205" t="str">
            <v>GRAN VIALE</v>
          </cell>
          <cell r="I1205">
            <v>2022</v>
          </cell>
          <cell r="J1205" t="str">
            <v>C</v>
          </cell>
          <cell r="K1205" t="str">
            <v>PIE ANDINO</v>
          </cell>
          <cell r="L1205" t="str">
            <v>Pie Andino 31 (Pie Andino 383)</v>
          </cell>
          <cell r="M1205" t="str">
            <v>Puente Alto</v>
          </cell>
          <cell r="N1205" t="str">
            <v>C</v>
          </cell>
        </row>
        <row r="1206">
          <cell r="B1206" t="str">
            <v>RWTR-10</v>
          </cell>
          <cell r="C1206" t="str">
            <v>YV3T7U52XNA207928</v>
          </cell>
          <cell r="D1206">
            <v>551645</v>
          </cell>
          <cell r="E1206" t="str">
            <v>Volvo</v>
          </cell>
          <cell r="F1206" t="str">
            <v>B8RLEA</v>
          </cell>
          <cell r="G1206" t="str">
            <v>MARCOPOLO</v>
          </cell>
          <cell r="H1206" t="str">
            <v>GRAN VIALE</v>
          </cell>
          <cell r="I1206">
            <v>2022</v>
          </cell>
          <cell r="J1206" t="str">
            <v>C</v>
          </cell>
          <cell r="K1206" t="str">
            <v>SAN ALFONSO</v>
          </cell>
          <cell r="L1206" t="str">
            <v>San Alfonso 2141 (Ramón Subercaseaux 3060)</v>
          </cell>
          <cell r="M1206" t="str">
            <v>Estacion Central</v>
          </cell>
          <cell r="N1206" t="str">
            <v>C</v>
          </cell>
        </row>
        <row r="1207">
          <cell r="B1207" t="str">
            <v>RWTR-11</v>
          </cell>
          <cell r="C1207" t="str">
            <v>YV3T7U528NA207927</v>
          </cell>
          <cell r="D1207">
            <v>551661</v>
          </cell>
          <cell r="E1207" t="str">
            <v>Volvo</v>
          </cell>
          <cell r="F1207" t="str">
            <v>B8RLEA</v>
          </cell>
          <cell r="G1207" t="str">
            <v>MARCOPOLO</v>
          </cell>
          <cell r="H1207" t="str">
            <v>GRAN VIALE</v>
          </cell>
          <cell r="I1207">
            <v>2022</v>
          </cell>
          <cell r="J1207" t="str">
            <v>C</v>
          </cell>
          <cell r="K1207" t="str">
            <v>SAN ALFONSO</v>
          </cell>
          <cell r="L1207" t="str">
            <v>San Alfonso 2141 (Ramón Subercaseaux 3060)</v>
          </cell>
          <cell r="M1207" t="str">
            <v>Estacion Central</v>
          </cell>
          <cell r="N1207" t="str">
            <v>C</v>
          </cell>
        </row>
        <row r="1208">
          <cell r="B1208" t="str">
            <v>RYJG-90</v>
          </cell>
          <cell r="C1208" t="str">
            <v>YV3T7U521NA208143</v>
          </cell>
          <cell r="D1208">
            <v>554610</v>
          </cell>
          <cell r="E1208" t="str">
            <v>Volvo</v>
          </cell>
          <cell r="F1208" t="str">
            <v>B8RLEA</v>
          </cell>
          <cell r="G1208" t="str">
            <v>MARCOPOLO</v>
          </cell>
          <cell r="H1208" t="str">
            <v>GRAN VIALE</v>
          </cell>
          <cell r="I1208">
            <v>2022</v>
          </cell>
          <cell r="J1208" t="str">
            <v>C</v>
          </cell>
          <cell r="K1208" t="str">
            <v>PIE ANDINO</v>
          </cell>
          <cell r="L1208" t="str">
            <v>Pie Andino 31 (Pie Andino 383)</v>
          </cell>
          <cell r="M1208" t="str">
            <v>Puente Alto</v>
          </cell>
          <cell r="N1208" t="str">
            <v>C</v>
          </cell>
        </row>
        <row r="1209">
          <cell r="B1209" t="str">
            <v>RYJG-91</v>
          </cell>
          <cell r="C1209" t="str">
            <v>YV3T7U523NA208144</v>
          </cell>
          <cell r="D1209">
            <v>554682</v>
          </cell>
          <cell r="E1209" t="str">
            <v>Volvo</v>
          </cell>
          <cell r="F1209" t="str">
            <v>B8RLEA</v>
          </cell>
          <cell r="G1209" t="str">
            <v>MARCOPOLO</v>
          </cell>
          <cell r="H1209" t="str">
            <v>GRAN VIALE</v>
          </cell>
          <cell r="I1209">
            <v>2022</v>
          </cell>
          <cell r="J1209" t="str">
            <v>C</v>
          </cell>
          <cell r="K1209" t="str">
            <v>PIE ANDINO</v>
          </cell>
          <cell r="L1209" t="str">
            <v>Pie Andino 31 (Pie Andino 383)</v>
          </cell>
          <cell r="M1209" t="str">
            <v>Puente Alto</v>
          </cell>
          <cell r="N1209" t="str">
            <v>C</v>
          </cell>
        </row>
        <row r="1210">
          <cell r="B1210" t="str">
            <v>RYJG-92</v>
          </cell>
          <cell r="C1210" t="str">
            <v>YV3T7U522NA208152</v>
          </cell>
          <cell r="D1210">
            <v>554694</v>
          </cell>
          <cell r="E1210" t="str">
            <v>Volvo</v>
          </cell>
          <cell r="F1210" t="str">
            <v>B8RLEA</v>
          </cell>
          <cell r="G1210" t="str">
            <v>MARCOPOLO</v>
          </cell>
          <cell r="H1210" t="str">
            <v>GRAN VIALE</v>
          </cell>
          <cell r="I1210">
            <v>2022</v>
          </cell>
          <cell r="J1210" t="str">
            <v>C</v>
          </cell>
          <cell r="K1210" t="str">
            <v>SAN ALFONSO</v>
          </cell>
          <cell r="L1210" t="str">
            <v>San Alfonso 2141 (Ramón Subercaseaux 3060)</v>
          </cell>
          <cell r="M1210" t="str">
            <v>Estacion Central</v>
          </cell>
          <cell r="N1210" t="str">
            <v>C</v>
          </cell>
        </row>
        <row r="1211">
          <cell r="B1211" t="str">
            <v>RYJG-93</v>
          </cell>
          <cell r="C1211" t="str">
            <v>YV3T7U527NA208163</v>
          </cell>
          <cell r="D1211">
            <v>555374</v>
          </cell>
          <cell r="E1211" t="str">
            <v>Volvo</v>
          </cell>
          <cell r="F1211" t="str">
            <v>B8RLEA</v>
          </cell>
          <cell r="G1211" t="str">
            <v>MARCOPOLO</v>
          </cell>
          <cell r="H1211" t="str">
            <v>GRAN VIALE</v>
          </cell>
          <cell r="I1211">
            <v>2022</v>
          </cell>
          <cell r="J1211" t="str">
            <v>C</v>
          </cell>
          <cell r="K1211" t="str">
            <v>SAN ALFONSO</v>
          </cell>
          <cell r="L1211" t="str">
            <v>San Alfonso 2141 (Ramón Subercaseaux 3060)</v>
          </cell>
          <cell r="M1211" t="str">
            <v>Estacion Central</v>
          </cell>
          <cell r="N1211" t="str">
            <v>C</v>
          </cell>
        </row>
        <row r="1212">
          <cell r="B1212" t="str">
            <v>RYJG-94</v>
          </cell>
          <cell r="C1212" t="str">
            <v>YV3T7U528NA208169</v>
          </cell>
          <cell r="D1212">
            <v>555138</v>
          </cell>
          <cell r="E1212" t="str">
            <v>Volvo</v>
          </cell>
          <cell r="F1212" t="str">
            <v>B8RLEA</v>
          </cell>
          <cell r="G1212" t="str">
            <v>MARCOPOLO</v>
          </cell>
          <cell r="H1212" t="str">
            <v>GRAN VIALE</v>
          </cell>
          <cell r="I1212">
            <v>2022</v>
          </cell>
          <cell r="J1212" t="str">
            <v>C</v>
          </cell>
          <cell r="K1212" t="str">
            <v>SAN ALFONSO</v>
          </cell>
          <cell r="L1212" t="str">
            <v>San Alfonso 2141 (Ramón Subercaseaux 3060)</v>
          </cell>
          <cell r="M1212" t="str">
            <v>Estacion Central</v>
          </cell>
          <cell r="N1212" t="str">
            <v>C</v>
          </cell>
        </row>
        <row r="1213">
          <cell r="B1213" t="str">
            <v>RYJG-95</v>
          </cell>
          <cell r="C1213" t="str">
            <v>YV3T7U525NA208193</v>
          </cell>
          <cell r="D1213">
            <v>555050</v>
          </cell>
          <cell r="E1213" t="str">
            <v>Volvo</v>
          </cell>
          <cell r="F1213" t="str">
            <v>B8RLEA</v>
          </cell>
          <cell r="G1213" t="str">
            <v>MARCOPOLO</v>
          </cell>
          <cell r="H1213" t="str">
            <v>GRAN VIALE</v>
          </cell>
          <cell r="I1213">
            <v>2022</v>
          </cell>
          <cell r="J1213" t="str">
            <v>C</v>
          </cell>
          <cell r="K1213" t="str">
            <v>SAN ALFONSO</v>
          </cell>
          <cell r="L1213" t="str">
            <v>San Alfonso 2141 (Ramón Subercaseaux 3060)</v>
          </cell>
          <cell r="M1213" t="str">
            <v>Estacion Central</v>
          </cell>
          <cell r="N1213" t="str">
            <v>C</v>
          </cell>
        </row>
        <row r="1214">
          <cell r="B1214" t="str">
            <v>SXKV-87</v>
          </cell>
          <cell r="C1214" t="str">
            <v>YV3T7U529RA212110</v>
          </cell>
          <cell r="D1214">
            <v>593684</v>
          </cell>
          <cell r="E1214" t="str">
            <v>Volvo</v>
          </cell>
          <cell r="F1214" t="str">
            <v>B8RLEA</v>
          </cell>
          <cell r="G1214" t="str">
            <v>MARCOPOLO</v>
          </cell>
          <cell r="H1214" t="str">
            <v>GRAN VIALE</v>
          </cell>
          <cell r="I1214">
            <v>2023</v>
          </cell>
          <cell r="J1214" t="str">
            <v>C</v>
          </cell>
          <cell r="K1214" t="str">
            <v>SAN ALFONSO</v>
          </cell>
          <cell r="L1214" t="str">
            <v>San Alfonso 2141 (Ramón Subercaseaux 3060)</v>
          </cell>
          <cell r="M1214" t="str">
            <v>Estacion Central</v>
          </cell>
          <cell r="N1214" t="str">
            <v>C</v>
          </cell>
        </row>
        <row r="1215">
          <cell r="B1215" t="str">
            <v>SXKV-88</v>
          </cell>
          <cell r="C1215" t="str">
            <v>YV3T7U522RA212109</v>
          </cell>
          <cell r="D1215">
            <v>593717</v>
          </cell>
          <cell r="E1215" t="str">
            <v>Volvo</v>
          </cell>
          <cell r="F1215" t="str">
            <v>B8RLEA</v>
          </cell>
          <cell r="G1215" t="str">
            <v>MARCOPOLO</v>
          </cell>
          <cell r="H1215" t="str">
            <v>GRAN VIALE</v>
          </cell>
          <cell r="I1215">
            <v>2023</v>
          </cell>
          <cell r="J1215" t="str">
            <v>C</v>
          </cell>
          <cell r="K1215" t="str">
            <v>SAN ALFONSO</v>
          </cell>
          <cell r="L1215" t="str">
            <v>San Alfonso 2141 (Ramón Subercaseaux 3060)</v>
          </cell>
          <cell r="M1215" t="str">
            <v>Estacion Central</v>
          </cell>
          <cell r="N1215" t="str">
            <v>C</v>
          </cell>
        </row>
        <row r="1216">
          <cell r="B1216" t="str">
            <v>SXKV-89</v>
          </cell>
          <cell r="C1216" t="str">
            <v>YV3T7U521RA211954</v>
          </cell>
          <cell r="D1216">
            <v>592427</v>
          </cell>
          <cell r="E1216" t="str">
            <v>Volvo</v>
          </cell>
          <cell r="F1216" t="str">
            <v>B8RLEA</v>
          </cell>
          <cell r="G1216" t="str">
            <v>MARCOPOLO</v>
          </cell>
          <cell r="H1216" t="str">
            <v>GRAN VIALE</v>
          </cell>
          <cell r="I1216">
            <v>2023</v>
          </cell>
          <cell r="J1216" t="str">
            <v>C</v>
          </cell>
          <cell r="K1216" t="str">
            <v>SAN ALFONSO</v>
          </cell>
          <cell r="L1216" t="str">
            <v>San Alfonso 2141 (Ramón Subercaseaux 3060)</v>
          </cell>
          <cell r="M1216" t="str">
            <v>Estacion Central</v>
          </cell>
          <cell r="N1216" t="str">
            <v>C</v>
          </cell>
        </row>
        <row r="1217">
          <cell r="B1217" t="str">
            <v>SXKV-90</v>
          </cell>
          <cell r="C1217" t="str">
            <v>YV3T7U527RA211988</v>
          </cell>
          <cell r="D1217">
            <v>593907</v>
          </cell>
          <cell r="E1217" t="str">
            <v>Volvo</v>
          </cell>
          <cell r="F1217" t="str">
            <v>B8RLEA</v>
          </cell>
          <cell r="G1217" t="str">
            <v>MARCOPOLO</v>
          </cell>
          <cell r="H1217" t="str">
            <v>GRAN VIALE</v>
          </cell>
          <cell r="I1217">
            <v>2023</v>
          </cell>
          <cell r="J1217" t="str">
            <v>C</v>
          </cell>
          <cell r="K1217" t="str">
            <v>SAN ALFONSO</v>
          </cell>
          <cell r="L1217" t="str">
            <v>San Alfonso 2141 (Ramón Subercaseaux 3060)</v>
          </cell>
          <cell r="M1217" t="str">
            <v>Estacion Central</v>
          </cell>
          <cell r="N1217" t="str">
            <v>C</v>
          </cell>
        </row>
        <row r="1218">
          <cell r="B1218" t="str">
            <v>SXKV-91</v>
          </cell>
          <cell r="C1218" t="str">
            <v>YV3T7U529RA211989</v>
          </cell>
          <cell r="D1218">
            <v>593887</v>
          </cell>
          <cell r="E1218" t="str">
            <v>Volvo</v>
          </cell>
          <cell r="F1218" t="str">
            <v>B8RLEA</v>
          </cell>
          <cell r="G1218" t="str">
            <v>MARCOPOLO</v>
          </cell>
          <cell r="H1218" t="str">
            <v>GRAN VIALE</v>
          </cell>
          <cell r="I1218">
            <v>2023</v>
          </cell>
          <cell r="J1218" t="str">
            <v>C</v>
          </cell>
          <cell r="K1218" t="str">
            <v>SAN ALFONSO</v>
          </cell>
          <cell r="L1218" t="str">
            <v>San Alfonso 2141 (Ramón Subercaseaux 3060)</v>
          </cell>
          <cell r="M1218" t="str">
            <v>Estacion Central</v>
          </cell>
          <cell r="N1218" t="str">
            <v>C</v>
          </cell>
        </row>
        <row r="1219">
          <cell r="B1219" t="str">
            <v>SXKV-92</v>
          </cell>
          <cell r="C1219" t="str">
            <v>YV3T7U525RA211990</v>
          </cell>
          <cell r="D1219">
            <v>593899</v>
          </cell>
          <cell r="E1219" t="str">
            <v>Volvo</v>
          </cell>
          <cell r="F1219" t="str">
            <v>B8RLEA</v>
          </cell>
          <cell r="G1219" t="str">
            <v>MARCOPOLO</v>
          </cell>
          <cell r="H1219" t="str">
            <v>GRAN VIALE</v>
          </cell>
          <cell r="I1219">
            <v>2023</v>
          </cell>
          <cell r="J1219" t="str">
            <v>C</v>
          </cell>
          <cell r="K1219" t="str">
            <v>SAN ALFONSO</v>
          </cell>
          <cell r="L1219" t="str">
            <v>San Alfonso 2141 (Ramón Subercaseaux 3060)</v>
          </cell>
          <cell r="M1219" t="str">
            <v>Estacion Central</v>
          </cell>
          <cell r="N1219" t="str">
            <v>C</v>
          </cell>
        </row>
        <row r="1220">
          <cell r="B1220" t="str">
            <v>SXKV-93</v>
          </cell>
          <cell r="C1220" t="str">
            <v>YV3T7U527RA211991</v>
          </cell>
          <cell r="D1220">
            <v>593420</v>
          </cell>
          <cell r="E1220" t="str">
            <v>Volvo</v>
          </cell>
          <cell r="F1220" t="str">
            <v>B8RLEA</v>
          </cell>
          <cell r="G1220" t="str">
            <v>MARCOPOLO</v>
          </cell>
          <cell r="H1220" t="str">
            <v>GRAN VIALE</v>
          </cell>
          <cell r="I1220">
            <v>2023</v>
          </cell>
          <cell r="J1220" t="str">
            <v>C</v>
          </cell>
          <cell r="K1220" t="str">
            <v>SAN ALFONSO</v>
          </cell>
          <cell r="L1220" t="str">
            <v>San Alfonso 2141 (Ramón Subercaseaux 3060)</v>
          </cell>
          <cell r="M1220" t="str">
            <v>Estacion Central</v>
          </cell>
          <cell r="N1220" t="str">
            <v>C</v>
          </cell>
        </row>
        <row r="1221">
          <cell r="B1221" t="str">
            <v>SXKV-94</v>
          </cell>
          <cell r="C1221" t="str">
            <v>YV3T7U529RA211992</v>
          </cell>
          <cell r="D1221">
            <v>593506</v>
          </cell>
          <cell r="E1221" t="str">
            <v>Volvo</v>
          </cell>
          <cell r="F1221" t="str">
            <v>B8RLEA</v>
          </cell>
          <cell r="G1221" t="str">
            <v>MARCOPOLO</v>
          </cell>
          <cell r="H1221" t="str">
            <v>GRAN VIALE</v>
          </cell>
          <cell r="I1221">
            <v>2023</v>
          </cell>
          <cell r="J1221" t="str">
            <v>C</v>
          </cell>
          <cell r="K1221" t="str">
            <v>SAN ALFONSO</v>
          </cell>
          <cell r="L1221" t="str">
            <v>San Alfonso 2141 (Ramón Subercaseaux 3060)</v>
          </cell>
          <cell r="M1221" t="str">
            <v>Estacion Central</v>
          </cell>
          <cell r="N1221" t="str">
            <v>C</v>
          </cell>
        </row>
        <row r="1222">
          <cell r="B1222" t="str">
            <v>SXKV-95</v>
          </cell>
          <cell r="C1222" t="str">
            <v>YV3T7U520RA211993</v>
          </cell>
          <cell r="D1222">
            <v>593418</v>
          </cell>
          <cell r="E1222" t="str">
            <v>Volvo</v>
          </cell>
          <cell r="F1222" t="str">
            <v>B8RLEA</v>
          </cell>
          <cell r="G1222" t="str">
            <v>MARCOPOLO</v>
          </cell>
          <cell r="H1222" t="str">
            <v>GRAN VIALE</v>
          </cell>
          <cell r="I1222">
            <v>2023</v>
          </cell>
          <cell r="J1222" t="str">
            <v>C</v>
          </cell>
          <cell r="K1222" t="str">
            <v>SAN ALFONSO</v>
          </cell>
          <cell r="L1222" t="str">
            <v>San Alfonso 2141 (Ramón Subercaseaux 3060)</v>
          </cell>
          <cell r="M1222" t="str">
            <v>Estacion Central</v>
          </cell>
          <cell r="N1222" t="str">
            <v>C</v>
          </cell>
        </row>
        <row r="1223">
          <cell r="B1223" t="str">
            <v>SXKV-96</v>
          </cell>
          <cell r="C1223" t="str">
            <v>YV3T7U529RA212107</v>
          </cell>
          <cell r="D1223">
            <v>593145</v>
          </cell>
          <cell r="E1223" t="str">
            <v>Volvo</v>
          </cell>
          <cell r="F1223" t="str">
            <v>B8RLEA</v>
          </cell>
          <cell r="G1223" t="str">
            <v>MARCOPOLO</v>
          </cell>
          <cell r="H1223" t="str">
            <v>GRAN VIALE</v>
          </cell>
          <cell r="I1223">
            <v>2023</v>
          </cell>
          <cell r="J1223" t="str">
            <v>C</v>
          </cell>
          <cell r="K1223" t="str">
            <v>SAN ALFONSO</v>
          </cell>
          <cell r="L1223" t="str">
            <v>San Alfonso 2141 (Ramón Subercaseaux 3060)</v>
          </cell>
          <cell r="M1223" t="str">
            <v>Estacion Central</v>
          </cell>
          <cell r="N1223" t="str">
            <v>C</v>
          </cell>
        </row>
        <row r="1224">
          <cell r="B1224" t="str">
            <v>VFPB-75</v>
          </cell>
          <cell r="C1224" t="str">
            <v>MDN35025020059</v>
          </cell>
          <cell r="D1224" t="str">
            <v>LDYECS312S0043986</v>
          </cell>
          <cell r="E1224" t="str">
            <v>Zhong Tong</v>
          </cell>
          <cell r="F1224" t="str">
            <v>Lck6122evg</v>
          </cell>
          <cell r="G1224" t="str">
            <v>ZHONGTONG</v>
          </cell>
          <cell r="H1224" t="str">
            <v>LCK6122EVG</v>
          </cell>
          <cell r="I1224">
            <v>2025</v>
          </cell>
          <cell r="J1224" t="str">
            <v>B</v>
          </cell>
          <cell r="K1224" t="str">
            <v>CERRILLOS</v>
          </cell>
          <cell r="L1224" t="str">
            <v>Calle Uno 7371</v>
          </cell>
          <cell r="M1224" t="str">
            <v>Cerrillos</v>
          </cell>
          <cell r="N1224" t="str">
            <v>B</v>
          </cell>
        </row>
        <row r="1225">
          <cell r="B1225" t="str">
            <v>VFPB-85</v>
          </cell>
          <cell r="C1225" t="str">
            <v>MDN35025020068</v>
          </cell>
          <cell r="D1225" t="str">
            <v>LDYECS318S0044009</v>
          </cell>
          <cell r="E1225" t="str">
            <v>Zhong Tong</v>
          </cell>
          <cell r="F1225" t="str">
            <v>Lck6122evg</v>
          </cell>
          <cell r="G1225" t="str">
            <v>ZHONGTONG</v>
          </cell>
          <cell r="H1225" t="str">
            <v>LCK6122EVG</v>
          </cell>
          <cell r="I1225">
            <v>2025</v>
          </cell>
          <cell r="J1225" t="str">
            <v>B</v>
          </cell>
          <cell r="K1225" t="str">
            <v>PIE ANDINO</v>
          </cell>
          <cell r="L1225" t="str">
            <v>Pie Andino 31 (Pie Andino 383)</v>
          </cell>
          <cell r="M1225" t="str">
            <v>Puente Alto</v>
          </cell>
          <cell r="N1225" t="str">
            <v>B</v>
          </cell>
        </row>
        <row r="1226">
          <cell r="B1226" t="str">
            <v>VFPC-59</v>
          </cell>
          <cell r="C1226" t="str">
            <v>MDN35025020104</v>
          </cell>
          <cell r="D1226" t="str">
            <v>LDYECS315S0044016</v>
          </cell>
          <cell r="E1226" t="str">
            <v>Zhong Tong</v>
          </cell>
          <cell r="F1226" t="str">
            <v>Lck6122evg</v>
          </cell>
          <cell r="G1226" t="str">
            <v>ZHONGTONG</v>
          </cell>
          <cell r="H1226" t="str">
            <v>LCK6122EVG</v>
          </cell>
          <cell r="I1226">
            <v>2025</v>
          </cell>
          <cell r="J1226" t="str">
            <v>B</v>
          </cell>
          <cell r="K1226" t="str">
            <v>SAN ALFONSO</v>
          </cell>
          <cell r="L1226" t="str">
            <v>San Alfonso 2141 (Ramón Subercaseaux 3060)</v>
          </cell>
          <cell r="M1226" t="str">
            <v>Estacion Central</v>
          </cell>
          <cell r="N1226" t="str">
            <v>B</v>
          </cell>
        </row>
        <row r="1227">
          <cell r="B1227" t="str">
            <v>VFPC-66</v>
          </cell>
          <cell r="C1227" t="str">
            <v>MDN35025020124</v>
          </cell>
          <cell r="D1227" t="str">
            <v>LDYECS311S0044014</v>
          </cell>
          <cell r="E1227" t="str">
            <v>Zhong Tong</v>
          </cell>
          <cell r="F1227" t="str">
            <v>Lck6122evg</v>
          </cell>
          <cell r="G1227" t="str">
            <v>ZHONGTONG</v>
          </cell>
          <cell r="H1227" t="str">
            <v>LCK6122EVG</v>
          </cell>
          <cell r="I1227">
            <v>2025</v>
          </cell>
          <cell r="J1227" t="str">
            <v>B</v>
          </cell>
          <cell r="K1227" t="str">
            <v>SAN ALFONSO</v>
          </cell>
          <cell r="L1227" t="str">
            <v>San Alfonso 2141 (Ramón Subercaseaux 3060)</v>
          </cell>
          <cell r="M1227" t="str">
            <v>Estacion Central</v>
          </cell>
          <cell r="N1227" t="str">
            <v>B</v>
          </cell>
        </row>
        <row r="1228">
          <cell r="B1228" t="str">
            <v>VFPC-69</v>
          </cell>
          <cell r="C1228" t="str">
            <v>MDN35025020027</v>
          </cell>
          <cell r="D1228" t="str">
            <v>LDYECS317S0044003</v>
          </cell>
          <cell r="E1228" t="str">
            <v>Zhong Tong</v>
          </cell>
          <cell r="F1228" t="str">
            <v>Lck6122evg</v>
          </cell>
          <cell r="G1228" t="str">
            <v>ZHONGTONG</v>
          </cell>
          <cell r="H1228" t="str">
            <v>LCK6122EVG</v>
          </cell>
          <cell r="I1228">
            <v>2025</v>
          </cell>
          <cell r="J1228" t="str">
            <v>B</v>
          </cell>
          <cell r="K1228" t="str">
            <v>PIE ANDINO</v>
          </cell>
          <cell r="L1228" t="str">
            <v>Pie Andino 31 (Pie Andino 383)</v>
          </cell>
          <cell r="M1228" t="str">
            <v>Puente Alto</v>
          </cell>
          <cell r="N1228" t="str">
            <v>B</v>
          </cell>
        </row>
        <row r="1229">
          <cell r="B1229" t="str">
            <v>VFPD-10</v>
          </cell>
          <cell r="C1229" t="str">
            <v>MDN35025020086</v>
          </cell>
          <cell r="D1229" t="str">
            <v>LDYECS31XS0043976</v>
          </cell>
          <cell r="E1229" t="str">
            <v>Zhong Tong</v>
          </cell>
          <cell r="F1229" t="str">
            <v>Lck6122evg</v>
          </cell>
          <cell r="G1229" t="str">
            <v>ZHONGTONG</v>
          </cell>
          <cell r="H1229" t="str">
            <v>LCK6122EVG</v>
          </cell>
          <cell r="I1229">
            <v>2025</v>
          </cell>
          <cell r="J1229" t="str">
            <v>B</v>
          </cell>
          <cell r="K1229" t="str">
            <v>CERRILLOS</v>
          </cell>
          <cell r="L1229" t="str">
            <v>Calle Uno 7371</v>
          </cell>
          <cell r="M1229" t="str">
            <v>Cerrillos</v>
          </cell>
          <cell r="N1229" t="str">
            <v>B</v>
          </cell>
        </row>
        <row r="1230">
          <cell r="B1230" t="str">
            <v>VFPD-41</v>
          </cell>
          <cell r="C1230" t="str">
            <v>MDN35025020119</v>
          </cell>
          <cell r="D1230" t="str">
            <v>LDYECS313S0043981</v>
          </cell>
          <cell r="E1230" t="str">
            <v>Zhong Tong</v>
          </cell>
          <cell r="F1230" t="str">
            <v>Lck6122evg</v>
          </cell>
          <cell r="G1230" t="str">
            <v>ZHONGTONG</v>
          </cell>
          <cell r="H1230" t="str">
            <v>LCK6122EVG</v>
          </cell>
          <cell r="I1230">
            <v>2025</v>
          </cell>
          <cell r="J1230" t="str">
            <v>B</v>
          </cell>
          <cell r="K1230" t="str">
            <v>PIE ANDINO</v>
          </cell>
          <cell r="L1230" t="str">
            <v>Pie Andino 31 (Pie Andino 383)</v>
          </cell>
          <cell r="M1230" t="str">
            <v>Puente Alto</v>
          </cell>
          <cell r="N1230" t="str">
            <v>B</v>
          </cell>
        </row>
        <row r="1231">
          <cell r="B1231" t="str">
            <v>VFPD-51</v>
          </cell>
          <cell r="C1231" t="str">
            <v>MDN35025020092</v>
          </cell>
          <cell r="D1231" t="str">
            <v>LDYECS319S0043998</v>
          </cell>
          <cell r="E1231" t="str">
            <v>Zhong Tong</v>
          </cell>
          <cell r="F1231" t="str">
            <v>Lck6122evg</v>
          </cell>
          <cell r="G1231" t="str">
            <v>ZHONGTONG</v>
          </cell>
          <cell r="H1231" t="str">
            <v>LCK6122EVG</v>
          </cell>
          <cell r="I1231">
            <v>2025</v>
          </cell>
          <cell r="J1231" t="str">
            <v>B</v>
          </cell>
          <cell r="K1231" t="str">
            <v>CERRILLOS</v>
          </cell>
          <cell r="L1231" t="str">
            <v>Calle Uno 7371</v>
          </cell>
          <cell r="M1231" t="str">
            <v>Cerrillos</v>
          </cell>
          <cell r="N1231" t="str">
            <v>B</v>
          </cell>
        </row>
        <row r="1232">
          <cell r="B1232" t="str">
            <v>VFPD-61</v>
          </cell>
          <cell r="C1232" t="str">
            <v>MDN35025020153</v>
          </cell>
          <cell r="D1232" t="str">
            <v>LDYECS310S0043999</v>
          </cell>
          <cell r="E1232" t="str">
            <v>Zhong Tong</v>
          </cell>
          <cell r="F1232" t="str">
            <v>Lck6122evg</v>
          </cell>
          <cell r="G1232" t="str">
            <v>ZHONGTONG</v>
          </cell>
          <cell r="H1232" t="str">
            <v>LCK6122EVG</v>
          </cell>
          <cell r="I1232">
            <v>2025</v>
          </cell>
          <cell r="J1232" t="str">
            <v>B</v>
          </cell>
          <cell r="K1232" t="str">
            <v>CERRILLOS</v>
          </cell>
          <cell r="L1232" t="str">
            <v>Calle Uno 7371</v>
          </cell>
          <cell r="M1232" t="str">
            <v>Cerrillos</v>
          </cell>
          <cell r="N1232" t="str">
            <v>B</v>
          </cell>
        </row>
        <row r="1233">
          <cell r="B1233" t="str">
            <v>VFPD-71</v>
          </cell>
          <cell r="C1233" t="str">
            <v>MDN35025010097</v>
          </cell>
          <cell r="D1233" t="str">
            <v>LDYECS318S0044110</v>
          </cell>
          <cell r="E1233" t="str">
            <v>Zhong Tong</v>
          </cell>
          <cell r="F1233" t="str">
            <v>Lck6122evg</v>
          </cell>
          <cell r="G1233" t="str">
            <v>ZHONGTONG</v>
          </cell>
          <cell r="H1233" t="str">
            <v>LCK6122EVG</v>
          </cell>
          <cell r="I1233">
            <v>2025</v>
          </cell>
          <cell r="J1233" t="str">
            <v>B</v>
          </cell>
          <cell r="K1233" t="str">
            <v>CERRILLOS</v>
          </cell>
          <cell r="L1233" t="str">
            <v>Calle Uno 7371</v>
          </cell>
          <cell r="M1233" t="str">
            <v>Cerrillos</v>
          </cell>
          <cell r="N1233" t="str">
            <v>B</v>
          </cell>
        </row>
        <row r="1234">
          <cell r="B1234" t="str">
            <v>VFPD-81</v>
          </cell>
          <cell r="C1234" t="str">
            <v>MDN35025020026</v>
          </cell>
          <cell r="D1234" t="str">
            <v>LDYECS31XS0043993</v>
          </cell>
          <cell r="E1234" t="str">
            <v>Zhong Tong</v>
          </cell>
          <cell r="F1234" t="str">
            <v>Lck6122evg</v>
          </cell>
          <cell r="G1234" t="str">
            <v>ZHONGTONG</v>
          </cell>
          <cell r="H1234" t="str">
            <v>LCK6122EVG</v>
          </cell>
          <cell r="I1234">
            <v>2025</v>
          </cell>
          <cell r="J1234" t="str">
            <v>B</v>
          </cell>
          <cell r="K1234" t="str">
            <v>CERRILLOS</v>
          </cell>
          <cell r="L1234" t="str">
            <v>Calle Uno 7371</v>
          </cell>
          <cell r="M1234" t="str">
            <v>Cerrillos</v>
          </cell>
          <cell r="N1234" t="str">
            <v>B</v>
          </cell>
        </row>
        <row r="1235">
          <cell r="B1235" t="str">
            <v>VFPF-21</v>
          </cell>
          <cell r="C1235" t="str">
            <v>MDN35025020048</v>
          </cell>
          <cell r="D1235" t="str">
            <v>LDYECS316S0043988</v>
          </cell>
          <cell r="E1235" t="str">
            <v>Zhong Tong</v>
          </cell>
          <cell r="F1235" t="str">
            <v>Lck6122evg</v>
          </cell>
          <cell r="G1235" t="str">
            <v>ZHONGTONG</v>
          </cell>
          <cell r="H1235" t="str">
            <v>LCK6122EVG</v>
          </cell>
          <cell r="I1235">
            <v>2025</v>
          </cell>
          <cell r="J1235" t="str">
            <v>B</v>
          </cell>
          <cell r="K1235" t="str">
            <v>PIE ANDINO</v>
          </cell>
          <cell r="L1235" t="str">
            <v>Pie Andino 31 (Pie Andino 383)</v>
          </cell>
          <cell r="M1235" t="str">
            <v>Puente Alto</v>
          </cell>
          <cell r="N1235" t="str">
            <v>B</v>
          </cell>
        </row>
        <row r="1236">
          <cell r="B1236" t="str">
            <v>VFPF-31</v>
          </cell>
          <cell r="C1236" t="str">
            <v>MDN35025020053</v>
          </cell>
          <cell r="D1236" t="str">
            <v>LDYECS310S0043985</v>
          </cell>
          <cell r="E1236" t="str">
            <v>Zhong Tong</v>
          </cell>
          <cell r="F1236" t="str">
            <v>Lck6122evg</v>
          </cell>
          <cell r="G1236" t="str">
            <v>ZHONGTONG</v>
          </cell>
          <cell r="H1236" t="str">
            <v>LCK6122EVG</v>
          </cell>
          <cell r="I1236">
            <v>2025</v>
          </cell>
          <cell r="J1236" t="str">
            <v>B</v>
          </cell>
          <cell r="K1236" t="str">
            <v>CERRILLOS</v>
          </cell>
          <cell r="L1236" t="str">
            <v>Calle Uno 7371</v>
          </cell>
          <cell r="M1236" t="str">
            <v>Cerrillos</v>
          </cell>
          <cell r="N1236" t="str">
            <v>B</v>
          </cell>
        </row>
        <row r="1237">
          <cell r="B1237" t="str">
            <v>VFPF-51</v>
          </cell>
          <cell r="C1237" t="str">
            <v>MDN35025020080</v>
          </cell>
          <cell r="D1237" t="str">
            <v>LDYECS314S0043990</v>
          </cell>
          <cell r="E1237" t="str">
            <v>Zhong Tong</v>
          </cell>
          <cell r="F1237" t="str">
            <v>Lck6122evg</v>
          </cell>
          <cell r="G1237" t="str">
            <v>ZHONGTONG</v>
          </cell>
          <cell r="H1237" t="str">
            <v>LCK6122EVG</v>
          </cell>
          <cell r="I1237">
            <v>2025</v>
          </cell>
          <cell r="J1237" t="str">
            <v>B</v>
          </cell>
          <cell r="K1237" t="str">
            <v>CERRILLOS</v>
          </cell>
          <cell r="L1237" t="str">
            <v>Calle Uno 7371</v>
          </cell>
          <cell r="M1237" t="str">
            <v>Cerrillos</v>
          </cell>
          <cell r="N1237" t="str">
            <v>B</v>
          </cell>
        </row>
        <row r="1238">
          <cell r="B1238" t="str">
            <v>VFPF-54</v>
          </cell>
          <cell r="C1238" t="str">
            <v>MDN35025020046</v>
          </cell>
          <cell r="D1238" t="str">
            <v>LDYECS311S0043994</v>
          </cell>
          <cell r="E1238" t="str">
            <v>Zhong Tong</v>
          </cell>
          <cell r="F1238" t="str">
            <v>Lck6122evg</v>
          </cell>
          <cell r="G1238" t="str">
            <v>ZHONGTONG</v>
          </cell>
          <cell r="H1238" t="str">
            <v>LCK6122EVG</v>
          </cell>
          <cell r="I1238">
            <v>2025</v>
          </cell>
          <cell r="J1238" t="str">
            <v>B</v>
          </cell>
          <cell r="K1238" t="str">
            <v>PIE ANDINO</v>
          </cell>
          <cell r="L1238" t="str">
            <v>Pie Andino 31 (Pie Andino 383)</v>
          </cell>
          <cell r="M1238" t="str">
            <v>Puente Alto</v>
          </cell>
          <cell r="N1238" t="str">
            <v>B</v>
          </cell>
        </row>
        <row r="1239">
          <cell r="B1239" t="str">
            <v>VFPF-61</v>
          </cell>
          <cell r="C1239" t="str">
            <v>MDN35025020061</v>
          </cell>
          <cell r="D1239" t="str">
            <v>LDYECS318S0043992</v>
          </cell>
          <cell r="E1239" t="str">
            <v>Zhong Tong</v>
          </cell>
          <cell r="F1239" t="str">
            <v>Lck6122evg</v>
          </cell>
          <cell r="G1239" t="str">
            <v>ZHONGTONG</v>
          </cell>
          <cell r="H1239" t="str">
            <v>LCK6122EVG</v>
          </cell>
          <cell r="I1239">
            <v>2025</v>
          </cell>
          <cell r="J1239" t="str">
            <v>B</v>
          </cell>
          <cell r="K1239" t="str">
            <v>SAN ALFONSO</v>
          </cell>
          <cell r="L1239" t="str">
            <v>San Alfonso 2141 (Ramón Subercaseaux 3060)</v>
          </cell>
          <cell r="M1239" t="str">
            <v>Estacion Central</v>
          </cell>
          <cell r="N1239" t="str">
            <v>B</v>
          </cell>
        </row>
        <row r="1240">
          <cell r="B1240" t="str">
            <v>VFPG-48</v>
          </cell>
          <cell r="C1240" t="str">
            <v>MDN35025020044</v>
          </cell>
          <cell r="D1240" t="str">
            <v>LDYECS31XS0044058</v>
          </cell>
          <cell r="E1240" t="str">
            <v>Zhong Tong</v>
          </cell>
          <cell r="F1240" t="str">
            <v>Lck6122evg</v>
          </cell>
          <cell r="G1240" t="str">
            <v>ZHONGTONG</v>
          </cell>
          <cell r="H1240" t="str">
            <v>LCK6122EVG</v>
          </cell>
          <cell r="I1240">
            <v>2025</v>
          </cell>
          <cell r="J1240" t="str">
            <v>B</v>
          </cell>
          <cell r="K1240" t="str">
            <v>CERRILLOS</v>
          </cell>
          <cell r="L1240" t="str">
            <v>Calle Uno 7371</v>
          </cell>
          <cell r="M1240" t="str">
            <v>Cerrillos</v>
          </cell>
          <cell r="N1240" t="str">
            <v>B</v>
          </cell>
        </row>
        <row r="1241">
          <cell r="B1241" t="str">
            <v>VFPG-58</v>
          </cell>
          <cell r="C1241" t="str">
            <v>MDN35025020113</v>
          </cell>
          <cell r="D1241" t="str">
            <v>LDYECS318S0044012</v>
          </cell>
          <cell r="E1241" t="str">
            <v>Zhong Tong</v>
          </cell>
          <cell r="F1241" t="str">
            <v>Lck6122evg</v>
          </cell>
          <cell r="G1241" t="str">
            <v>ZHONGTONG</v>
          </cell>
          <cell r="H1241" t="str">
            <v>LCK6122EVG</v>
          </cell>
          <cell r="I1241">
            <v>2025</v>
          </cell>
          <cell r="J1241" t="str">
            <v>B</v>
          </cell>
          <cell r="K1241" t="str">
            <v>CERRILLOS</v>
          </cell>
          <cell r="L1241" t="str">
            <v>Calle Uno 7371</v>
          </cell>
          <cell r="M1241" t="str">
            <v>Cerrillos</v>
          </cell>
          <cell r="N1241" t="str">
            <v>B</v>
          </cell>
        </row>
        <row r="1242">
          <cell r="B1242" t="str">
            <v>VFPG-91</v>
          </cell>
          <cell r="C1242" t="str">
            <v>MDN35025020051</v>
          </cell>
          <cell r="D1242" t="str">
            <v>LDYECS310S0044019</v>
          </cell>
          <cell r="E1242" t="str">
            <v>Zhong Tong</v>
          </cell>
          <cell r="F1242" t="str">
            <v>Lck6122evg</v>
          </cell>
          <cell r="G1242" t="str">
            <v>ZHONGTONG</v>
          </cell>
          <cell r="H1242" t="str">
            <v>LCK6122EVG</v>
          </cell>
          <cell r="I1242">
            <v>2025</v>
          </cell>
          <cell r="J1242" t="str">
            <v>B</v>
          </cell>
          <cell r="K1242" t="str">
            <v>PIE ANDINO</v>
          </cell>
          <cell r="L1242" t="str">
            <v>Pie Andino 31 (Pie Andino 383)</v>
          </cell>
          <cell r="M1242" t="str">
            <v>Puente Alto</v>
          </cell>
          <cell r="N1242" t="str">
            <v>B</v>
          </cell>
        </row>
        <row r="1243">
          <cell r="B1243" t="str">
            <v>VFPH-21</v>
          </cell>
          <cell r="C1243" t="str">
            <v>MDN35025020130</v>
          </cell>
          <cell r="D1243" t="str">
            <v>LDYECS319S0044021</v>
          </cell>
          <cell r="E1243" t="str">
            <v>Zhong Tong</v>
          </cell>
          <cell r="F1243" t="str">
            <v>Lck6122evg</v>
          </cell>
          <cell r="G1243" t="str">
            <v>ZHONGTONG</v>
          </cell>
          <cell r="H1243" t="str">
            <v>LCK6122EVG</v>
          </cell>
          <cell r="I1243">
            <v>2025</v>
          </cell>
          <cell r="J1243" t="str">
            <v>B</v>
          </cell>
          <cell r="K1243" t="str">
            <v>PIE ANDINO</v>
          </cell>
          <cell r="L1243" t="str">
            <v>Pie Andino 31 (Pie Andino 383)</v>
          </cell>
          <cell r="M1243" t="str">
            <v>Puente Alto</v>
          </cell>
          <cell r="N1243" t="str">
            <v>B</v>
          </cell>
        </row>
        <row r="1244">
          <cell r="B1244" t="str">
            <v>VFPH-35</v>
          </cell>
          <cell r="C1244" t="str">
            <v>MDN35025020025</v>
          </cell>
          <cell r="D1244" t="str">
            <v>LDYECS313S0044001</v>
          </cell>
          <cell r="E1244" t="str">
            <v>Zhong Tong</v>
          </cell>
          <cell r="F1244" t="str">
            <v>Lck6122evg</v>
          </cell>
          <cell r="G1244" t="str">
            <v>ZHONGTONG</v>
          </cell>
          <cell r="H1244" t="str">
            <v>LCK6122EVG</v>
          </cell>
          <cell r="I1244">
            <v>2025</v>
          </cell>
          <cell r="J1244" t="str">
            <v>B</v>
          </cell>
          <cell r="K1244" t="str">
            <v>CERRILLOS</v>
          </cell>
          <cell r="L1244" t="str">
            <v>Calle Uno 7371</v>
          </cell>
          <cell r="M1244" t="str">
            <v>Cerrillos</v>
          </cell>
          <cell r="N1244" t="str">
            <v>B</v>
          </cell>
        </row>
        <row r="1245">
          <cell r="B1245" t="str">
            <v>VFPH-51</v>
          </cell>
          <cell r="C1245" t="str">
            <v>MDN35025020054</v>
          </cell>
          <cell r="D1245" t="str">
            <v>LDYECS311S0044000</v>
          </cell>
          <cell r="E1245" t="str">
            <v>Zhong Tong</v>
          </cell>
          <cell r="F1245" t="str">
            <v>Lck6122evg</v>
          </cell>
          <cell r="G1245" t="str">
            <v>ZHONGTONG</v>
          </cell>
          <cell r="H1245" t="str">
            <v>LCK6122EVG</v>
          </cell>
          <cell r="I1245">
            <v>2025</v>
          </cell>
          <cell r="J1245" t="str">
            <v>B</v>
          </cell>
          <cell r="K1245" t="str">
            <v>PIE ANDINO</v>
          </cell>
          <cell r="L1245" t="str">
            <v>Pie Andino 31 (Pie Andino 383)</v>
          </cell>
          <cell r="M1245" t="str">
            <v>Puente Alto</v>
          </cell>
          <cell r="N1245" t="str">
            <v>B</v>
          </cell>
        </row>
        <row r="1246">
          <cell r="B1246" t="str">
            <v>VFPH-66</v>
          </cell>
          <cell r="C1246" t="str">
            <v>MDN35025020154</v>
          </cell>
          <cell r="D1246" t="str">
            <v>LDYECS315S0044002</v>
          </cell>
          <cell r="E1246" t="str">
            <v>Zhong Tong</v>
          </cell>
          <cell r="F1246" t="str">
            <v>Lck6122evg</v>
          </cell>
          <cell r="G1246" t="str">
            <v>ZHONGTONG</v>
          </cell>
          <cell r="H1246" t="str">
            <v>LCK6122EVG</v>
          </cell>
          <cell r="I1246">
            <v>2025</v>
          </cell>
          <cell r="J1246" t="str">
            <v>B</v>
          </cell>
          <cell r="K1246" t="str">
            <v>CERRILLOS</v>
          </cell>
          <cell r="L1246" t="str">
            <v>Calle Uno 7371</v>
          </cell>
          <cell r="M1246" t="str">
            <v>Cerrillos</v>
          </cell>
          <cell r="N1246" t="str">
            <v>B</v>
          </cell>
        </row>
        <row r="1247">
          <cell r="B1247" t="str">
            <v>VFPH-79</v>
          </cell>
          <cell r="C1247" t="str">
            <v>MDN35025020121</v>
          </cell>
          <cell r="D1247" t="str">
            <v>LDYECS314S0044007</v>
          </cell>
          <cell r="E1247" t="str">
            <v>Zhong Tong</v>
          </cell>
          <cell r="F1247" t="str">
            <v>Lck6122evg</v>
          </cell>
          <cell r="G1247" t="str">
            <v>ZHONGTONG</v>
          </cell>
          <cell r="H1247" t="str">
            <v>LCK6122EVG</v>
          </cell>
          <cell r="I1247">
            <v>2025</v>
          </cell>
          <cell r="J1247" t="str">
            <v>B</v>
          </cell>
          <cell r="K1247" t="str">
            <v>PIE ANDINO</v>
          </cell>
          <cell r="L1247" t="str">
            <v>Pie Andino 31 (Pie Andino 383)</v>
          </cell>
          <cell r="M1247" t="str">
            <v>Puente Alto</v>
          </cell>
          <cell r="N1247" t="str">
            <v>B</v>
          </cell>
        </row>
        <row r="1248">
          <cell r="B1248" t="str">
            <v>VFPH-81</v>
          </cell>
          <cell r="C1248" t="str">
            <v>MDN35025020096</v>
          </cell>
          <cell r="D1248" t="str">
            <v>LDYECS318S0044060</v>
          </cell>
          <cell r="E1248" t="str">
            <v>Zhong Tong</v>
          </cell>
          <cell r="F1248" t="str">
            <v>Lck6122evg</v>
          </cell>
          <cell r="G1248" t="str">
            <v>ZHONGTONG</v>
          </cell>
          <cell r="H1248" t="str">
            <v>LCK6122EVG</v>
          </cell>
          <cell r="I1248">
            <v>2025</v>
          </cell>
          <cell r="J1248" t="str">
            <v>B</v>
          </cell>
          <cell r="K1248" t="str">
            <v>PIE ANDINO</v>
          </cell>
          <cell r="L1248" t="str">
            <v>Pie Andino 31 (Pie Andino 383)</v>
          </cell>
          <cell r="M1248" t="str">
            <v>Puente Alto</v>
          </cell>
          <cell r="N1248" t="str">
            <v>B</v>
          </cell>
        </row>
        <row r="1249">
          <cell r="B1249" t="str">
            <v>VFPH-91</v>
          </cell>
          <cell r="C1249" t="str">
            <v>MDN35025020045</v>
          </cell>
          <cell r="D1249" t="str">
            <v>LDYECS312S0044023</v>
          </cell>
          <cell r="E1249" t="str">
            <v>Zhong Tong</v>
          </cell>
          <cell r="F1249" t="str">
            <v>Lck6122evg</v>
          </cell>
          <cell r="G1249" t="str">
            <v>ZHONGTONG</v>
          </cell>
          <cell r="H1249" t="str">
            <v>LCK6122EVG</v>
          </cell>
          <cell r="I1249">
            <v>2025</v>
          </cell>
          <cell r="J1249" t="str">
            <v>B</v>
          </cell>
          <cell r="K1249" t="str">
            <v>PIE ANDINO</v>
          </cell>
          <cell r="L1249" t="str">
            <v>Pie Andino 31 (Pie Andino 383)</v>
          </cell>
          <cell r="M1249" t="str">
            <v>Puente Alto</v>
          </cell>
          <cell r="N1249" t="str">
            <v>B</v>
          </cell>
        </row>
        <row r="1250">
          <cell r="B1250" t="str">
            <v>VFPH-98</v>
          </cell>
          <cell r="C1250" t="str">
            <v>MDN35025020128</v>
          </cell>
          <cell r="D1250" t="str">
            <v>LDYECS31XS0044030</v>
          </cell>
          <cell r="E1250" t="str">
            <v>Zhong Tong</v>
          </cell>
          <cell r="F1250" t="str">
            <v>Lck6122evg</v>
          </cell>
          <cell r="G1250" t="str">
            <v>ZHONGTONG</v>
          </cell>
          <cell r="H1250" t="str">
            <v>LCK6122EVG</v>
          </cell>
          <cell r="I1250">
            <v>2025</v>
          </cell>
          <cell r="J1250" t="str">
            <v>B</v>
          </cell>
          <cell r="K1250" t="str">
            <v>SAN ALFONSO</v>
          </cell>
          <cell r="L1250" t="str">
            <v>San Alfonso 2141 (Ramón Subercaseaux 3060)</v>
          </cell>
          <cell r="M1250" t="str">
            <v>Estacion Central</v>
          </cell>
          <cell r="N1250" t="str">
            <v>B</v>
          </cell>
        </row>
        <row r="1251">
          <cell r="B1251" t="str">
            <v>VFPJ-11</v>
          </cell>
          <cell r="C1251" t="str">
            <v>MDN35025010019</v>
          </cell>
          <cell r="D1251" t="str">
            <v>LDYECS319S0044116</v>
          </cell>
          <cell r="E1251" t="str">
            <v>Zhong Tong</v>
          </cell>
          <cell r="F1251" t="str">
            <v>Lck6122evg</v>
          </cell>
          <cell r="G1251" t="str">
            <v>ZHONGTONG</v>
          </cell>
          <cell r="H1251" t="str">
            <v>LCK6122EVG</v>
          </cell>
          <cell r="I1251">
            <v>2025</v>
          </cell>
          <cell r="J1251" t="str">
            <v>B</v>
          </cell>
          <cell r="K1251" t="str">
            <v>CERRILLOS</v>
          </cell>
          <cell r="L1251" t="str">
            <v>Calle Uno 7371</v>
          </cell>
          <cell r="M1251" t="str">
            <v>Cerrillos</v>
          </cell>
          <cell r="N1251" t="str">
            <v>B</v>
          </cell>
        </row>
        <row r="1252">
          <cell r="B1252" t="str">
            <v>VFPJ-25</v>
          </cell>
          <cell r="C1252" t="str">
            <v>MDN35025020127</v>
          </cell>
          <cell r="D1252" t="str">
            <v>LDYECS313S0044029</v>
          </cell>
          <cell r="E1252" t="str">
            <v>Zhong Tong</v>
          </cell>
          <cell r="F1252" t="str">
            <v>Lck6122evg</v>
          </cell>
          <cell r="G1252" t="str">
            <v>ZHONGTONG</v>
          </cell>
          <cell r="H1252" t="str">
            <v>LCK6122EVG</v>
          </cell>
          <cell r="I1252">
            <v>2025</v>
          </cell>
          <cell r="J1252" t="str">
            <v>B</v>
          </cell>
          <cell r="K1252" t="str">
            <v>PIE ANDINO</v>
          </cell>
          <cell r="L1252" t="str">
            <v>Pie Andino 31 (Pie Andino 383)</v>
          </cell>
          <cell r="M1252" t="str">
            <v>Puente Alto</v>
          </cell>
          <cell r="N1252" t="str">
            <v>B</v>
          </cell>
        </row>
        <row r="1253">
          <cell r="B1253" t="str">
            <v>VFPJ-28</v>
          </cell>
          <cell r="C1253" t="str">
            <v>MDN35025020123</v>
          </cell>
          <cell r="D1253" t="str">
            <v>LDYECS314S0044010</v>
          </cell>
          <cell r="E1253" t="str">
            <v>Zhong Tong</v>
          </cell>
          <cell r="F1253" t="str">
            <v>Lck6122evg</v>
          </cell>
          <cell r="G1253" t="str">
            <v>ZHONGTONG</v>
          </cell>
          <cell r="H1253" t="str">
            <v>LCK6122EVG</v>
          </cell>
          <cell r="I1253">
            <v>2025</v>
          </cell>
          <cell r="J1253" t="str">
            <v>B</v>
          </cell>
          <cell r="K1253" t="str">
            <v>PIE ANDINO</v>
          </cell>
          <cell r="L1253" t="str">
            <v>Pie Andino 31 (Pie Andino 383)</v>
          </cell>
          <cell r="M1253" t="str">
            <v>Puente Alto</v>
          </cell>
          <cell r="N1253" t="str">
            <v>B</v>
          </cell>
        </row>
        <row r="1254">
          <cell r="B1254" t="str">
            <v>VFPJ-31</v>
          </cell>
          <cell r="C1254" t="str">
            <v>MDN35025020070</v>
          </cell>
          <cell r="D1254" t="str">
            <v>LDYECS313S0043995</v>
          </cell>
          <cell r="E1254" t="str">
            <v>Zhong Tong</v>
          </cell>
          <cell r="F1254" t="str">
            <v>Lck6122evg</v>
          </cell>
          <cell r="G1254" t="str">
            <v>ZHONGTONG</v>
          </cell>
          <cell r="H1254" t="str">
            <v>LCK6122EVG</v>
          </cell>
          <cell r="I1254">
            <v>2025</v>
          </cell>
          <cell r="J1254" t="str">
            <v>B</v>
          </cell>
          <cell r="K1254" t="str">
            <v>CERRILLOS</v>
          </cell>
          <cell r="L1254" t="str">
            <v>Calle Uno 7371</v>
          </cell>
          <cell r="M1254" t="str">
            <v>Cerrillos</v>
          </cell>
          <cell r="N1254" t="str">
            <v>B</v>
          </cell>
        </row>
        <row r="1255">
          <cell r="B1255" t="str">
            <v>VFPJ-51</v>
          </cell>
          <cell r="C1255" t="str">
            <v>MDN35025020109</v>
          </cell>
          <cell r="D1255" t="str">
            <v>LDYECS314S0044024</v>
          </cell>
          <cell r="E1255" t="str">
            <v>Zhong Tong</v>
          </cell>
          <cell r="F1255" t="str">
            <v>Lck6122evg</v>
          </cell>
          <cell r="G1255" t="str">
            <v>ZHONGTONG</v>
          </cell>
          <cell r="H1255" t="str">
            <v>LCK6122EVG</v>
          </cell>
          <cell r="I1255">
            <v>2025</v>
          </cell>
          <cell r="J1255" t="str">
            <v>B</v>
          </cell>
          <cell r="K1255" t="str">
            <v>PIE ANDINO</v>
          </cell>
          <cell r="L1255" t="str">
            <v>Pie Andino 31 (Pie Andino 383)</v>
          </cell>
          <cell r="M1255" t="str">
            <v>Puente Alto</v>
          </cell>
          <cell r="N1255" t="str">
            <v>B</v>
          </cell>
        </row>
        <row r="1256">
          <cell r="B1256" t="str">
            <v>VFPJ-53</v>
          </cell>
          <cell r="C1256" t="str">
            <v>MDN35025020024</v>
          </cell>
          <cell r="D1256" t="str">
            <v>LDYECS318S0044026</v>
          </cell>
          <cell r="E1256" t="str">
            <v>Zhong Tong</v>
          </cell>
          <cell r="F1256" t="str">
            <v>Lck6122evg</v>
          </cell>
          <cell r="G1256" t="str">
            <v>ZHONGTONG</v>
          </cell>
          <cell r="H1256" t="str">
            <v>LCK6122EVG</v>
          </cell>
          <cell r="I1256">
            <v>2025</v>
          </cell>
          <cell r="J1256" t="str">
            <v>B</v>
          </cell>
          <cell r="K1256" t="str">
            <v>CERRILLOS</v>
          </cell>
          <cell r="L1256" t="str">
            <v>Calle Uno 7371</v>
          </cell>
          <cell r="M1256" t="str">
            <v>Cerrillos</v>
          </cell>
          <cell r="N1256" t="str">
            <v>B</v>
          </cell>
        </row>
        <row r="1257">
          <cell r="B1257" t="str">
            <v>VFPJ-61</v>
          </cell>
          <cell r="C1257" t="str">
            <v>MDN35025020049</v>
          </cell>
          <cell r="D1257" t="str">
            <v>LDYECS310S0044005</v>
          </cell>
          <cell r="E1257" t="str">
            <v>Zhong Tong</v>
          </cell>
          <cell r="F1257" t="str">
            <v>Lck6122evg</v>
          </cell>
          <cell r="G1257" t="str">
            <v>ZHONGTONG</v>
          </cell>
          <cell r="H1257" t="str">
            <v>LCK6122EVG</v>
          </cell>
          <cell r="I1257">
            <v>2025</v>
          </cell>
          <cell r="J1257" t="str">
            <v>B</v>
          </cell>
          <cell r="K1257" t="str">
            <v>PIE ANDINO</v>
          </cell>
          <cell r="L1257" t="str">
            <v>Pie Andino 31 (Pie Andino 383)</v>
          </cell>
          <cell r="M1257" t="str">
            <v>Puente Alto</v>
          </cell>
          <cell r="N1257" t="str">
            <v>B</v>
          </cell>
        </row>
        <row r="1258">
          <cell r="B1258" t="str">
            <v>VFPJ-66</v>
          </cell>
          <cell r="C1258" t="str">
            <v>MDN35025020108</v>
          </cell>
          <cell r="D1258" t="str">
            <v>LDYECS31XS0044061</v>
          </cell>
          <cell r="E1258" t="str">
            <v>Zhong Tong</v>
          </cell>
          <cell r="F1258" t="str">
            <v>Lck6122evg</v>
          </cell>
          <cell r="G1258" t="str">
            <v>ZHONGTONG</v>
          </cell>
          <cell r="H1258" t="str">
            <v>LCK6122EVG</v>
          </cell>
          <cell r="I1258">
            <v>2025</v>
          </cell>
          <cell r="J1258" t="str">
            <v>B</v>
          </cell>
          <cell r="K1258" t="str">
            <v>CERRILLOS</v>
          </cell>
          <cell r="L1258" t="str">
            <v>Calle Uno 7371</v>
          </cell>
          <cell r="M1258" t="str">
            <v>Cerrillos</v>
          </cell>
          <cell r="N1258" t="str">
            <v>B</v>
          </cell>
        </row>
        <row r="1259">
          <cell r="B1259" t="str">
            <v>VFPJ-68</v>
          </cell>
          <cell r="C1259" t="str">
            <v>MDN35025020064</v>
          </cell>
          <cell r="D1259" t="str">
            <v>LDYECS316S0044008</v>
          </cell>
          <cell r="E1259" t="str">
            <v>Zhong Tong</v>
          </cell>
          <cell r="F1259" t="str">
            <v>Lck6122evg</v>
          </cell>
          <cell r="G1259" t="str">
            <v>ZHONGTONG</v>
          </cell>
          <cell r="H1259" t="str">
            <v>LCK6122EVG</v>
          </cell>
          <cell r="I1259">
            <v>2025</v>
          </cell>
          <cell r="J1259" t="str">
            <v>B</v>
          </cell>
          <cell r="K1259" t="str">
            <v>PIE ANDINO</v>
          </cell>
          <cell r="L1259" t="str">
            <v>Pie Andino 31 (Pie Andino 383)</v>
          </cell>
          <cell r="M1259" t="str">
            <v>Puente Alto</v>
          </cell>
          <cell r="N1259" t="str">
            <v>B</v>
          </cell>
        </row>
        <row r="1260">
          <cell r="B1260" t="str">
            <v>VFPJ-71</v>
          </cell>
          <cell r="C1260" t="str">
            <v>MDN35025020103</v>
          </cell>
          <cell r="D1260" t="str">
            <v>LDYECS313S0044015</v>
          </cell>
          <cell r="E1260" t="str">
            <v>Zhong Tong</v>
          </cell>
          <cell r="F1260" t="str">
            <v>Lck6122evg</v>
          </cell>
          <cell r="G1260" t="str">
            <v>ZHONGTONG</v>
          </cell>
          <cell r="H1260" t="str">
            <v>LCK6122EVG</v>
          </cell>
          <cell r="I1260">
            <v>2025</v>
          </cell>
          <cell r="J1260" t="str">
            <v>B</v>
          </cell>
          <cell r="K1260" t="str">
            <v>CERRILLOS</v>
          </cell>
          <cell r="L1260" t="str">
            <v>Calle Uno 7371</v>
          </cell>
          <cell r="M1260" t="str">
            <v>Cerrillos</v>
          </cell>
          <cell r="N1260" t="str">
            <v>B</v>
          </cell>
        </row>
        <row r="1261">
          <cell r="B1261" t="str">
            <v>VFPJ-77</v>
          </cell>
          <cell r="C1261" t="str">
            <v>MDN35025020131</v>
          </cell>
          <cell r="D1261" t="str">
            <v>LDYECS317S0044017</v>
          </cell>
          <cell r="E1261" t="str">
            <v>Zhong Tong</v>
          </cell>
          <cell r="F1261" t="str">
            <v>Lck6122evg</v>
          </cell>
          <cell r="G1261" t="str">
            <v>ZHONGTONG</v>
          </cell>
          <cell r="H1261" t="str">
            <v>LCK6122EVG</v>
          </cell>
          <cell r="I1261">
            <v>2025</v>
          </cell>
          <cell r="J1261" t="str">
            <v>B</v>
          </cell>
          <cell r="K1261" t="str">
            <v>PIE ANDINO</v>
          </cell>
          <cell r="L1261" t="str">
            <v>Pie Andino 31 (Pie Andino 383)</v>
          </cell>
          <cell r="M1261" t="str">
            <v>Puente Alto</v>
          </cell>
          <cell r="N1261" t="str">
            <v>B</v>
          </cell>
        </row>
        <row r="1262">
          <cell r="B1262" t="str">
            <v>VFPK-64</v>
          </cell>
          <cell r="C1262" t="str">
            <v>MDN35025020115</v>
          </cell>
          <cell r="D1262" t="str">
            <v>LDYECS319S0044018</v>
          </cell>
          <cell r="E1262" t="str">
            <v>Zhong Tong</v>
          </cell>
          <cell r="F1262" t="str">
            <v>Lck6122evg</v>
          </cell>
          <cell r="G1262" t="str">
            <v>ZHONGTONG</v>
          </cell>
          <cell r="H1262" t="str">
            <v>LCK6122EVG</v>
          </cell>
          <cell r="I1262">
            <v>2025</v>
          </cell>
          <cell r="J1262" t="str">
            <v>B</v>
          </cell>
          <cell r="K1262" t="str">
            <v>CERRILLOS</v>
          </cell>
          <cell r="L1262" t="str">
            <v>Calle Uno 7371</v>
          </cell>
          <cell r="M1262" t="str">
            <v>Cerrillos</v>
          </cell>
          <cell r="N1262" t="str">
            <v>B</v>
          </cell>
        </row>
        <row r="1263">
          <cell r="B1263" t="str">
            <v>VFPK-81</v>
          </cell>
          <cell r="C1263" t="str">
            <v>MDN35025020019</v>
          </cell>
          <cell r="D1263" t="str">
            <v>LDYECS313S0044094</v>
          </cell>
          <cell r="E1263" t="str">
            <v>Zhong Tong</v>
          </cell>
          <cell r="F1263" t="str">
            <v>Lck6122evg</v>
          </cell>
          <cell r="G1263" t="str">
            <v>ZHONGTONG</v>
          </cell>
          <cell r="H1263" t="str">
            <v>LCK6122EVG</v>
          </cell>
          <cell r="I1263">
            <v>2025</v>
          </cell>
          <cell r="J1263" t="str">
            <v>B</v>
          </cell>
          <cell r="K1263" t="str">
            <v>PIE ANDINO</v>
          </cell>
          <cell r="L1263" t="str">
            <v>Pie Andino 31 (Pie Andino 383)</v>
          </cell>
          <cell r="M1263" t="str">
            <v>Puente Alto</v>
          </cell>
          <cell r="N1263" t="str">
            <v>B</v>
          </cell>
        </row>
        <row r="1264">
          <cell r="B1264" t="str">
            <v>VFPK-91</v>
          </cell>
          <cell r="C1264" t="str">
            <v>MDN35025010038</v>
          </cell>
          <cell r="D1264" t="str">
            <v>LDYECS315S0044114</v>
          </cell>
          <cell r="E1264" t="str">
            <v>Zhong Tong</v>
          </cell>
          <cell r="F1264" t="str">
            <v>Lck6122evg</v>
          </cell>
          <cell r="G1264" t="str">
            <v>ZHONGTONG</v>
          </cell>
          <cell r="H1264" t="str">
            <v>LCK6122EVG</v>
          </cell>
          <cell r="I1264">
            <v>2025</v>
          </cell>
          <cell r="J1264" t="str">
            <v>B</v>
          </cell>
          <cell r="K1264" t="str">
            <v>PIE ANDINO</v>
          </cell>
          <cell r="L1264" t="str">
            <v>Pie Andino 31 (Pie Andino 383)</v>
          </cell>
          <cell r="M1264" t="str">
            <v>Puente Alto</v>
          </cell>
          <cell r="N1264" t="str">
            <v>B</v>
          </cell>
        </row>
        <row r="1265">
          <cell r="B1265" t="str">
            <v>VFPL-11</v>
          </cell>
          <cell r="C1265" t="str">
            <v>MDN35025020028</v>
          </cell>
          <cell r="D1265" t="str">
            <v>LDYECS314S0044041</v>
          </cell>
          <cell r="E1265" t="str">
            <v>Zhong Tong</v>
          </cell>
          <cell r="F1265" t="str">
            <v>Lck6122evg</v>
          </cell>
          <cell r="G1265" t="str">
            <v>ZHONGTONG</v>
          </cell>
          <cell r="H1265" t="str">
            <v>LCK6122EVG</v>
          </cell>
          <cell r="I1265">
            <v>2025</v>
          </cell>
          <cell r="J1265" t="str">
            <v>B</v>
          </cell>
          <cell r="K1265" t="str">
            <v>PIE ANDINO</v>
          </cell>
          <cell r="L1265" t="str">
            <v>Pie Andino 31 (Pie Andino 383)</v>
          </cell>
          <cell r="M1265" t="str">
            <v>Puente Alto</v>
          </cell>
          <cell r="N1265" t="str">
            <v>B</v>
          </cell>
        </row>
        <row r="1266">
          <cell r="B1266" t="str">
            <v>VFPL-15</v>
          </cell>
          <cell r="C1266" t="str">
            <v>MDN35025020111</v>
          </cell>
          <cell r="D1266" t="str">
            <v>LDYECS31XS0044013</v>
          </cell>
          <cell r="E1266" t="str">
            <v>Zhong Tong</v>
          </cell>
          <cell r="F1266" t="str">
            <v>Lck6122evg</v>
          </cell>
          <cell r="G1266" t="str">
            <v>ZHONGTONG</v>
          </cell>
          <cell r="H1266" t="str">
            <v>LCK6122EVG</v>
          </cell>
          <cell r="I1266">
            <v>2025</v>
          </cell>
          <cell r="J1266" t="str">
            <v>B</v>
          </cell>
          <cell r="K1266" t="str">
            <v>PIE ANDINO</v>
          </cell>
          <cell r="L1266" t="str">
            <v>Pie Andino 31 (Pie Andino 383)</v>
          </cell>
          <cell r="M1266" t="str">
            <v>Puente Alto</v>
          </cell>
          <cell r="N1266" t="str">
            <v>B</v>
          </cell>
        </row>
        <row r="1267">
          <cell r="B1267" t="str">
            <v>VFPL-21</v>
          </cell>
          <cell r="C1267" t="str">
            <v>MDN35025020125</v>
          </cell>
          <cell r="D1267" t="str">
            <v>LDYECS313S0044032</v>
          </cell>
          <cell r="E1267" t="str">
            <v>Zhong Tong</v>
          </cell>
          <cell r="F1267" t="str">
            <v>Lck6122evg</v>
          </cell>
          <cell r="G1267" t="str">
            <v>ZHONGTONG</v>
          </cell>
          <cell r="H1267" t="str">
            <v>LCK6122EVG</v>
          </cell>
          <cell r="I1267">
            <v>2025</v>
          </cell>
          <cell r="J1267" t="str">
            <v>B</v>
          </cell>
          <cell r="K1267" t="str">
            <v>PIE ANDINO</v>
          </cell>
          <cell r="L1267" t="str">
            <v>Pie Andino 31 (Pie Andino 383)</v>
          </cell>
          <cell r="M1267" t="str">
            <v>Puente Alto</v>
          </cell>
          <cell r="N1267" t="str">
            <v>B</v>
          </cell>
        </row>
        <row r="1268">
          <cell r="B1268" t="str">
            <v>VFPL-31</v>
          </cell>
          <cell r="C1268" t="str">
            <v>MDN35025020117</v>
          </cell>
          <cell r="D1268" t="str">
            <v>LDYECS310S0044022</v>
          </cell>
          <cell r="E1268" t="str">
            <v>Zhong Tong</v>
          </cell>
          <cell r="F1268" t="str">
            <v>Lck6122evg</v>
          </cell>
          <cell r="G1268" t="str">
            <v>ZHONGTONG</v>
          </cell>
          <cell r="H1268" t="str">
            <v>LCK6122EVG</v>
          </cell>
          <cell r="I1268">
            <v>2025</v>
          </cell>
          <cell r="J1268" t="str">
            <v>B</v>
          </cell>
          <cell r="K1268" t="str">
            <v>PIE ANDINO</v>
          </cell>
          <cell r="L1268" t="str">
            <v>Pie Andino 31 (Pie Andino 383)</v>
          </cell>
          <cell r="M1268" t="str">
            <v>Puente Alto</v>
          </cell>
          <cell r="N1268" t="str">
            <v>B</v>
          </cell>
        </row>
        <row r="1269">
          <cell r="B1269" t="str">
            <v>VFPL-35</v>
          </cell>
          <cell r="C1269" t="str">
            <v>MDN35025020006</v>
          </cell>
          <cell r="D1269" t="str">
            <v>LDYECS316S0044073</v>
          </cell>
          <cell r="E1269" t="str">
            <v>Zhong Tong</v>
          </cell>
          <cell r="F1269" t="str">
            <v>Lck6122evg</v>
          </cell>
          <cell r="G1269" t="str">
            <v>ZHONGTONG</v>
          </cell>
          <cell r="H1269" t="str">
            <v>LCK6122EVG</v>
          </cell>
          <cell r="I1269">
            <v>2025</v>
          </cell>
          <cell r="J1269" t="str">
            <v>B</v>
          </cell>
          <cell r="K1269" t="str">
            <v>PIE ANDINO</v>
          </cell>
          <cell r="L1269" t="str">
            <v>Pie Andino 31 (Pie Andino 383)</v>
          </cell>
          <cell r="M1269" t="str">
            <v>Puente Alto</v>
          </cell>
          <cell r="N1269" t="str">
            <v>B</v>
          </cell>
        </row>
        <row r="1270">
          <cell r="B1270" t="str">
            <v>VFPL-41</v>
          </cell>
          <cell r="C1270" t="str">
            <v>MDN35025020062</v>
          </cell>
          <cell r="D1270" t="str">
            <v>LDYECS312S0044006</v>
          </cell>
          <cell r="E1270" t="str">
            <v>Zhong Tong</v>
          </cell>
          <cell r="F1270" t="str">
            <v>Lck6122evg</v>
          </cell>
          <cell r="G1270" t="str">
            <v>ZHONGTONG</v>
          </cell>
          <cell r="H1270" t="str">
            <v>LCK6122EVG</v>
          </cell>
          <cell r="I1270">
            <v>2025</v>
          </cell>
          <cell r="J1270" t="str">
            <v>B</v>
          </cell>
          <cell r="K1270" t="str">
            <v>SAN ALFONSO</v>
          </cell>
          <cell r="L1270" t="str">
            <v>San Alfonso 2141 (Ramón Subercaseaux 3060)</v>
          </cell>
          <cell r="M1270" t="str">
            <v>Estacion Central</v>
          </cell>
          <cell r="N1270" t="str">
            <v>B</v>
          </cell>
        </row>
        <row r="1271">
          <cell r="B1271" t="str">
            <v>VFPL-46</v>
          </cell>
          <cell r="C1271" t="str">
            <v>MDN35025020116</v>
          </cell>
          <cell r="D1271" t="str">
            <v>LDYECS317S0044020</v>
          </cell>
          <cell r="E1271" t="str">
            <v>Zhong Tong</v>
          </cell>
          <cell r="F1271" t="str">
            <v>Lck6122evg</v>
          </cell>
          <cell r="G1271" t="str">
            <v>ZHONGTONG</v>
          </cell>
          <cell r="H1271" t="str">
            <v>LCK6122EVG</v>
          </cell>
          <cell r="I1271">
            <v>2025</v>
          </cell>
          <cell r="J1271" t="str">
            <v>B</v>
          </cell>
          <cell r="K1271" t="str">
            <v>SAN ALFONSO</v>
          </cell>
          <cell r="L1271" t="str">
            <v>San Alfonso 2141 (Ramón Subercaseaux 3060)</v>
          </cell>
          <cell r="M1271" t="str">
            <v>Estacion Central</v>
          </cell>
          <cell r="N1271" t="str">
            <v>B</v>
          </cell>
        </row>
        <row r="1272">
          <cell r="B1272" t="str">
            <v>VFPL-57</v>
          </cell>
          <cell r="C1272" t="str">
            <v>MDN35025020106</v>
          </cell>
          <cell r="D1272" t="str">
            <v>LDYECS316S0044025</v>
          </cell>
          <cell r="E1272" t="str">
            <v>Zhong Tong</v>
          </cell>
          <cell r="F1272" t="str">
            <v>Lck6122evg</v>
          </cell>
          <cell r="G1272" t="str">
            <v>ZHONGTONG</v>
          </cell>
          <cell r="H1272" t="str">
            <v>LCK6122EVG</v>
          </cell>
          <cell r="I1272">
            <v>2025</v>
          </cell>
          <cell r="J1272" t="str">
            <v>B</v>
          </cell>
          <cell r="K1272" t="str">
            <v>CERRILLOS</v>
          </cell>
          <cell r="L1272" t="str">
            <v>Calle Uno 7371</v>
          </cell>
          <cell r="M1272" t="str">
            <v>Cerrillos</v>
          </cell>
          <cell r="N1272" t="str">
            <v>B</v>
          </cell>
        </row>
        <row r="1273">
          <cell r="B1273" t="str">
            <v>VFPL-61</v>
          </cell>
          <cell r="C1273" t="str">
            <v>MDN35025020110</v>
          </cell>
          <cell r="D1273" t="str">
            <v>LDYECS317S0044034</v>
          </cell>
          <cell r="E1273" t="str">
            <v>Zhong Tong</v>
          </cell>
          <cell r="F1273" t="str">
            <v>Lck6122evg</v>
          </cell>
          <cell r="G1273" t="str">
            <v>ZHONGTONG</v>
          </cell>
          <cell r="H1273" t="str">
            <v>LCK6122EVG</v>
          </cell>
          <cell r="I1273">
            <v>2025</v>
          </cell>
          <cell r="J1273" t="str">
            <v>B</v>
          </cell>
          <cell r="K1273" t="str">
            <v>CERRILLOS</v>
          </cell>
          <cell r="L1273" t="str">
            <v>Calle Uno 7371</v>
          </cell>
          <cell r="M1273" t="str">
            <v>Cerrillos</v>
          </cell>
          <cell r="N1273" t="str">
            <v>B</v>
          </cell>
        </row>
        <row r="1274">
          <cell r="B1274" t="str">
            <v>VFPL-63</v>
          </cell>
          <cell r="C1274" t="str">
            <v>MDN35025020035</v>
          </cell>
          <cell r="D1274" t="str">
            <v>LDYECS319S0044052</v>
          </cell>
          <cell r="E1274" t="str">
            <v>Zhong Tong</v>
          </cell>
          <cell r="F1274" t="str">
            <v>Lck6122evg</v>
          </cell>
          <cell r="G1274" t="str">
            <v>ZHONGTONG</v>
          </cell>
          <cell r="H1274" t="str">
            <v>LCK6122EVG</v>
          </cell>
          <cell r="I1274">
            <v>2025</v>
          </cell>
          <cell r="J1274" t="str">
            <v>B</v>
          </cell>
          <cell r="K1274" t="str">
            <v>CERRILLOS</v>
          </cell>
          <cell r="L1274" t="str">
            <v>Calle Uno 7371</v>
          </cell>
          <cell r="M1274" t="str">
            <v>Cerrillos</v>
          </cell>
          <cell r="N1274" t="str">
            <v>B</v>
          </cell>
        </row>
        <row r="1275">
          <cell r="B1275" t="str">
            <v>VFPL-71</v>
          </cell>
          <cell r="C1275" t="str">
            <v>MDN35025020077</v>
          </cell>
          <cell r="D1275" t="str">
            <v>LDYECS312S0044037</v>
          </cell>
          <cell r="E1275" t="str">
            <v>Zhong Tong</v>
          </cell>
          <cell r="F1275" t="str">
            <v>Lck6122evg</v>
          </cell>
          <cell r="G1275" t="str">
            <v>ZHONGTONG</v>
          </cell>
          <cell r="H1275" t="str">
            <v>LCK6122EVG</v>
          </cell>
          <cell r="I1275">
            <v>2025</v>
          </cell>
          <cell r="J1275" t="str">
            <v>B</v>
          </cell>
          <cell r="K1275" t="str">
            <v>CERRILLOS</v>
          </cell>
          <cell r="L1275" t="str">
            <v>Calle Uno 7371</v>
          </cell>
          <cell r="M1275" t="str">
            <v>Cerrillos</v>
          </cell>
          <cell r="N1275" t="str">
            <v>B</v>
          </cell>
        </row>
        <row r="1276">
          <cell r="B1276" t="str">
            <v>VFPL-73</v>
          </cell>
          <cell r="C1276" t="str">
            <v>MDN35025020033</v>
          </cell>
          <cell r="D1276" t="str">
            <v>LDYECS318S0044088</v>
          </cell>
          <cell r="E1276" t="str">
            <v>Zhong Tong</v>
          </cell>
          <cell r="F1276" t="str">
            <v>Lck6122evg</v>
          </cell>
          <cell r="G1276" t="str">
            <v>ZHONGTONG</v>
          </cell>
          <cell r="H1276" t="str">
            <v>LCK6122EVG</v>
          </cell>
          <cell r="I1276">
            <v>2025</v>
          </cell>
          <cell r="J1276" t="str">
            <v>B</v>
          </cell>
          <cell r="K1276" t="str">
            <v>PIE ANDINO</v>
          </cell>
          <cell r="L1276" t="str">
            <v>Pie Andino 31 (Pie Andino 383)</v>
          </cell>
          <cell r="M1276" t="str">
            <v>Puente Alto</v>
          </cell>
          <cell r="N1276" t="str">
            <v>B</v>
          </cell>
        </row>
        <row r="1277">
          <cell r="B1277" t="str">
            <v>VFPL-74</v>
          </cell>
          <cell r="C1277" t="str">
            <v>MDN35025010021</v>
          </cell>
          <cell r="D1277" t="str">
            <v>LDYECS313S0044113</v>
          </cell>
          <cell r="E1277" t="str">
            <v>Zhong Tong</v>
          </cell>
          <cell r="F1277" t="str">
            <v>Lck6122evg</v>
          </cell>
          <cell r="G1277" t="str">
            <v>ZHONGTONG</v>
          </cell>
          <cell r="H1277" t="str">
            <v>LCK6122EVG</v>
          </cell>
          <cell r="I1277">
            <v>2025</v>
          </cell>
          <cell r="J1277" t="str">
            <v>B</v>
          </cell>
          <cell r="K1277" t="str">
            <v>CERRILLOS</v>
          </cell>
          <cell r="L1277" t="str">
            <v>Calle Uno 7371</v>
          </cell>
          <cell r="M1277" t="str">
            <v>Cerrillos</v>
          </cell>
          <cell r="N1277" t="str">
            <v>B</v>
          </cell>
        </row>
        <row r="1278">
          <cell r="B1278" t="str">
            <v>VFPL-81</v>
          </cell>
          <cell r="C1278" t="str">
            <v>MDN35025020120</v>
          </cell>
          <cell r="D1278" t="str">
            <v>LDYECS316S0044011</v>
          </cell>
          <cell r="E1278" t="str">
            <v>Zhong Tong</v>
          </cell>
          <cell r="F1278" t="str">
            <v>Lck6122evg</v>
          </cell>
          <cell r="G1278" t="str">
            <v>ZHONGTONG</v>
          </cell>
          <cell r="H1278" t="str">
            <v>LCK6122EVG</v>
          </cell>
          <cell r="I1278">
            <v>2025</v>
          </cell>
          <cell r="J1278" t="str">
            <v>B</v>
          </cell>
          <cell r="K1278" t="str">
            <v>CERRILLOS</v>
          </cell>
          <cell r="L1278" t="str">
            <v>Calle Uno 7371</v>
          </cell>
          <cell r="M1278" t="str">
            <v>Cerrillos</v>
          </cell>
          <cell r="N1278" t="str">
            <v>B</v>
          </cell>
        </row>
        <row r="1279">
          <cell r="B1279" t="str">
            <v>VFPL-87</v>
          </cell>
          <cell r="C1279" t="str">
            <v>MDN35025020101</v>
          </cell>
          <cell r="D1279" t="str">
            <v>LDYECS315S0044047</v>
          </cell>
          <cell r="E1279" t="str">
            <v>Zhong Tong</v>
          </cell>
          <cell r="F1279" t="str">
            <v>Lck6122evg</v>
          </cell>
          <cell r="G1279" t="str">
            <v>ZHONGTONG</v>
          </cell>
          <cell r="H1279" t="str">
            <v>LCK6122EVG</v>
          </cell>
          <cell r="I1279">
            <v>2025</v>
          </cell>
          <cell r="J1279" t="str">
            <v>B</v>
          </cell>
          <cell r="K1279" t="str">
            <v>CERRILLOS</v>
          </cell>
          <cell r="L1279" t="str">
            <v>Calle Uno 7371</v>
          </cell>
          <cell r="M1279" t="str">
            <v>Cerrillos</v>
          </cell>
          <cell r="N1279" t="str">
            <v>B</v>
          </cell>
        </row>
        <row r="1280">
          <cell r="B1280" t="str">
            <v>VFPL-88</v>
          </cell>
          <cell r="C1280" t="str">
            <v>MDN35025020071</v>
          </cell>
          <cell r="D1280" t="str">
            <v>LDYECS316S0044039</v>
          </cell>
          <cell r="E1280" t="str">
            <v>Zhong Tong</v>
          </cell>
          <cell r="F1280" t="str">
            <v>Lck6122evg</v>
          </cell>
          <cell r="G1280" t="str">
            <v>ZHONGTONG</v>
          </cell>
          <cell r="H1280" t="str">
            <v>LCK6122EVG</v>
          </cell>
          <cell r="I1280">
            <v>2025</v>
          </cell>
          <cell r="J1280" t="str">
            <v>B</v>
          </cell>
          <cell r="K1280" t="str">
            <v>PIE ANDINO</v>
          </cell>
          <cell r="L1280" t="str">
            <v>Pie Andino 31 (Pie Andino 383)</v>
          </cell>
          <cell r="M1280" t="str">
            <v>Puente Alto</v>
          </cell>
          <cell r="N1280" t="str">
            <v>B</v>
          </cell>
        </row>
        <row r="1281">
          <cell r="B1281" t="str">
            <v>VFPL-92</v>
          </cell>
          <cell r="C1281" t="str">
            <v>MDN35025010192</v>
          </cell>
          <cell r="D1281" t="str">
            <v>LDYECS312S0044054</v>
          </cell>
          <cell r="E1281" t="str">
            <v>Zhong Tong</v>
          </cell>
          <cell r="F1281" t="str">
            <v>Lck6122evg</v>
          </cell>
          <cell r="G1281" t="str">
            <v>ZHONGTONG</v>
          </cell>
          <cell r="H1281" t="str">
            <v>LCK6122EVG</v>
          </cell>
          <cell r="I1281">
            <v>2025</v>
          </cell>
          <cell r="J1281" t="str">
            <v>B</v>
          </cell>
          <cell r="K1281" t="str">
            <v>PIE ANDINO</v>
          </cell>
          <cell r="L1281" t="str">
            <v>Pie Andino 31 (Pie Andino 383)</v>
          </cell>
          <cell r="M1281" t="str">
            <v>Puente Alto</v>
          </cell>
          <cell r="N1281" t="str">
            <v>B</v>
          </cell>
        </row>
        <row r="1282">
          <cell r="B1282" t="str">
            <v>VFPP-11</v>
          </cell>
          <cell r="C1282" t="str">
            <v>MDN35025010191</v>
          </cell>
          <cell r="D1282" t="str">
            <v>LDYECS316S0044056</v>
          </cell>
          <cell r="E1282" t="str">
            <v>Zhong Tong</v>
          </cell>
          <cell r="F1282" t="str">
            <v>Lck6122evg</v>
          </cell>
          <cell r="G1282" t="str">
            <v>ZHONGTONG</v>
          </cell>
          <cell r="H1282" t="str">
            <v>LCK6122EVG</v>
          </cell>
          <cell r="I1282">
            <v>2025</v>
          </cell>
          <cell r="J1282" t="str">
            <v>B</v>
          </cell>
          <cell r="K1282" t="str">
            <v>PIE ANDINO</v>
          </cell>
          <cell r="L1282" t="str">
            <v>Pie Andino 31 (Pie Andino 383)</v>
          </cell>
          <cell r="M1282" t="str">
            <v>Puente Alto</v>
          </cell>
          <cell r="N1282" t="str">
            <v>B</v>
          </cell>
        </row>
        <row r="1283">
          <cell r="B1283" t="str">
            <v>VFPS-39</v>
          </cell>
          <cell r="C1283" t="str">
            <v>MDN35025010217</v>
          </cell>
          <cell r="D1283" t="str">
            <v>LDYECS319S0044083</v>
          </cell>
          <cell r="E1283" t="str">
            <v>Zhong Tong</v>
          </cell>
          <cell r="F1283" t="str">
            <v>Lck6122evg</v>
          </cell>
          <cell r="G1283" t="str">
            <v>ZHONGTONG</v>
          </cell>
          <cell r="H1283" t="str">
            <v>LCK6122EVG</v>
          </cell>
          <cell r="I1283">
            <v>2025</v>
          </cell>
          <cell r="J1283" t="str">
            <v>B</v>
          </cell>
          <cell r="K1283" t="str">
            <v>CERRILLOS</v>
          </cell>
          <cell r="L1283" t="str">
            <v>Calle Uno 7371</v>
          </cell>
          <cell r="M1283" t="str">
            <v>Cerrillos</v>
          </cell>
          <cell r="N1283" t="str">
            <v>B</v>
          </cell>
        </row>
        <row r="1284">
          <cell r="B1284" t="str">
            <v>VFPS-47</v>
          </cell>
          <cell r="C1284" t="str">
            <v>MDN35025020132</v>
          </cell>
          <cell r="D1284" t="str">
            <v>LDYECS318S0044057</v>
          </cell>
          <cell r="E1284" t="str">
            <v>Zhong Tong</v>
          </cell>
          <cell r="F1284" t="str">
            <v>Lck6122evg</v>
          </cell>
          <cell r="G1284" t="str">
            <v>ZHONGTONG</v>
          </cell>
          <cell r="H1284" t="str">
            <v>LCK6122EVG</v>
          </cell>
          <cell r="I1284">
            <v>2025</v>
          </cell>
          <cell r="J1284" t="str">
            <v>B</v>
          </cell>
          <cell r="K1284" t="str">
            <v>CERRILLOS</v>
          </cell>
          <cell r="L1284" t="str">
            <v>Calle Uno 7371</v>
          </cell>
          <cell r="M1284" t="str">
            <v>Cerrillos</v>
          </cell>
          <cell r="N1284" t="str">
            <v>B</v>
          </cell>
        </row>
        <row r="1285">
          <cell r="B1285" t="str">
            <v>VFPS-48</v>
          </cell>
          <cell r="C1285" t="str">
            <v>MDN35025020073</v>
          </cell>
          <cell r="D1285" t="str">
            <v>LDYECS315S0044050</v>
          </cell>
          <cell r="E1285" t="str">
            <v>Zhong Tong</v>
          </cell>
          <cell r="F1285" t="str">
            <v>Lck6122evg</v>
          </cell>
          <cell r="G1285" t="str">
            <v>ZHONGTONG</v>
          </cell>
          <cell r="H1285" t="str">
            <v>LCK6122EVG</v>
          </cell>
          <cell r="I1285">
            <v>2025</v>
          </cell>
          <cell r="J1285" t="str">
            <v>B</v>
          </cell>
          <cell r="K1285" t="str">
            <v>PIE ANDINO</v>
          </cell>
          <cell r="L1285" t="str">
            <v>Pie Andino 31 (Pie Andino 383)</v>
          </cell>
          <cell r="M1285" t="str">
            <v>Puente Alto</v>
          </cell>
          <cell r="N1285" t="str">
            <v>B</v>
          </cell>
        </row>
        <row r="1286">
          <cell r="B1286" t="str">
            <v>VFPS-56</v>
          </cell>
          <cell r="C1286" t="str">
            <v>MDN35025010190</v>
          </cell>
          <cell r="D1286" t="str">
            <v>LDYECS310S0044084</v>
          </cell>
          <cell r="E1286" t="str">
            <v>Zhong Tong</v>
          </cell>
          <cell r="F1286" t="str">
            <v>Lck6122evg</v>
          </cell>
          <cell r="G1286" t="str">
            <v>ZHONGTONG</v>
          </cell>
          <cell r="H1286" t="str">
            <v>LCK6122EVG</v>
          </cell>
          <cell r="I1286">
            <v>2025</v>
          </cell>
          <cell r="J1286" t="str">
            <v>B</v>
          </cell>
          <cell r="K1286" t="str">
            <v>PIE ANDINO</v>
          </cell>
          <cell r="L1286" t="str">
            <v>Pie Andino 31 (Pie Andino 383)</v>
          </cell>
          <cell r="M1286" t="str">
            <v>Puente Alto</v>
          </cell>
          <cell r="N1286" t="str">
            <v>B</v>
          </cell>
        </row>
        <row r="1287">
          <cell r="B1287" t="str">
            <v>VFPS-65</v>
          </cell>
          <cell r="C1287" t="str">
            <v>MDN35025020029</v>
          </cell>
          <cell r="D1287" t="str">
            <v>LDYECS311S0044045</v>
          </cell>
          <cell r="E1287" t="str">
            <v>Zhong Tong</v>
          </cell>
          <cell r="F1287" t="str">
            <v>Lck6122evg</v>
          </cell>
          <cell r="G1287" t="str">
            <v>ZHONGTONG</v>
          </cell>
          <cell r="H1287" t="str">
            <v>LCK6122EVG</v>
          </cell>
          <cell r="I1287">
            <v>2025</v>
          </cell>
          <cell r="J1287" t="str">
            <v>B</v>
          </cell>
          <cell r="K1287" t="str">
            <v>CERRILLOS</v>
          </cell>
          <cell r="L1287" t="str">
            <v>Calle Uno 7371</v>
          </cell>
          <cell r="M1287" t="str">
            <v>Cerrillos</v>
          </cell>
          <cell r="N1287" t="str">
            <v>B</v>
          </cell>
        </row>
        <row r="1288">
          <cell r="B1288" t="str">
            <v>VFPS-69</v>
          </cell>
          <cell r="C1288" t="str">
            <v>MDN35025010198</v>
          </cell>
          <cell r="D1288" t="str">
            <v>LDYECS314S0044038</v>
          </cell>
          <cell r="E1288" t="str">
            <v>Zhong Tong</v>
          </cell>
          <cell r="F1288" t="str">
            <v>Lck6122evg</v>
          </cell>
          <cell r="G1288" t="str">
            <v>ZHONGTONG</v>
          </cell>
          <cell r="H1288" t="str">
            <v>LCK6122EVG</v>
          </cell>
          <cell r="I1288">
            <v>2025</v>
          </cell>
          <cell r="J1288" t="str">
            <v>B</v>
          </cell>
          <cell r="K1288" t="str">
            <v>CERRILLOS</v>
          </cell>
          <cell r="L1288" t="str">
            <v>Calle Uno 7371</v>
          </cell>
          <cell r="M1288" t="str">
            <v>Cerrillos</v>
          </cell>
          <cell r="N1288" t="str">
            <v>B</v>
          </cell>
        </row>
        <row r="1289">
          <cell r="B1289" t="str">
            <v>VFPS-74</v>
          </cell>
          <cell r="C1289" t="str">
            <v>MDN35025020050</v>
          </cell>
          <cell r="D1289" t="str">
            <v>LDYECS311S0044028</v>
          </cell>
          <cell r="E1289" t="str">
            <v>Zhong Tong</v>
          </cell>
          <cell r="F1289" t="str">
            <v>Lck6122evg</v>
          </cell>
          <cell r="G1289" t="str">
            <v>ZHONGTONG</v>
          </cell>
          <cell r="H1289" t="str">
            <v>LCK6122EVG</v>
          </cell>
          <cell r="I1289">
            <v>2025</v>
          </cell>
          <cell r="J1289" t="str">
            <v>B</v>
          </cell>
          <cell r="K1289" t="str">
            <v>PIE ANDINO</v>
          </cell>
          <cell r="L1289" t="str">
            <v>Pie Andino 31 (Pie Andino 383)</v>
          </cell>
          <cell r="M1289" t="str">
            <v>Puente Alto</v>
          </cell>
          <cell r="N1289" t="str">
            <v>B</v>
          </cell>
        </row>
        <row r="1290">
          <cell r="B1290" t="str">
            <v>VFPS-78</v>
          </cell>
          <cell r="C1290" t="str">
            <v>MDN35025020099</v>
          </cell>
          <cell r="D1290" t="str">
            <v>LDYECS311S0044031</v>
          </cell>
          <cell r="E1290" t="str">
            <v>Zhong Tong</v>
          </cell>
          <cell r="F1290" t="str">
            <v>Lck6122evg</v>
          </cell>
          <cell r="G1290" t="str">
            <v>ZHONGTONG</v>
          </cell>
          <cell r="H1290" t="str">
            <v>LCK6122EVG</v>
          </cell>
          <cell r="I1290">
            <v>2025</v>
          </cell>
          <cell r="J1290" t="str">
            <v>B</v>
          </cell>
          <cell r="K1290" t="str">
            <v>PIE ANDINO</v>
          </cell>
          <cell r="L1290" t="str">
            <v>Pie Andino 31 (Pie Andino 383)</v>
          </cell>
          <cell r="M1290" t="str">
            <v>Puente Alto</v>
          </cell>
          <cell r="N1290" t="str">
            <v>B</v>
          </cell>
        </row>
        <row r="1291">
          <cell r="B1291" t="str">
            <v>VFPS-85</v>
          </cell>
          <cell r="C1291" t="str">
            <v>MDN35025010246</v>
          </cell>
          <cell r="D1291" t="str">
            <v>LDYECS314S0044055</v>
          </cell>
          <cell r="E1291" t="str">
            <v>Zhong Tong</v>
          </cell>
          <cell r="F1291" t="str">
            <v>Lck6122evg</v>
          </cell>
          <cell r="G1291" t="str">
            <v>ZHONGTONG</v>
          </cell>
          <cell r="H1291" t="str">
            <v>LCK6122EVG</v>
          </cell>
          <cell r="I1291">
            <v>2025</v>
          </cell>
          <cell r="J1291" t="str">
            <v>B</v>
          </cell>
          <cell r="K1291" t="str">
            <v>PIE ANDINO</v>
          </cell>
          <cell r="L1291" t="str">
            <v>Pie Andino 31 (Pie Andino 383)</v>
          </cell>
          <cell r="M1291" t="str">
            <v>Puente Alto</v>
          </cell>
          <cell r="N1291" t="str">
            <v>B</v>
          </cell>
        </row>
        <row r="1292">
          <cell r="B1292" t="str">
            <v>VFPS-86</v>
          </cell>
          <cell r="C1292" t="str">
            <v>MDN35025020047</v>
          </cell>
          <cell r="D1292" t="str">
            <v>LDYECS310S0044036</v>
          </cell>
          <cell r="E1292" t="str">
            <v>Zhong Tong</v>
          </cell>
          <cell r="F1292" t="str">
            <v>Lck6122evg</v>
          </cell>
          <cell r="G1292" t="str">
            <v>ZHONGTONG</v>
          </cell>
          <cell r="H1292" t="str">
            <v>LCK6122EVG</v>
          </cell>
          <cell r="I1292">
            <v>2025</v>
          </cell>
          <cell r="J1292" t="str">
            <v>B</v>
          </cell>
          <cell r="K1292" t="str">
            <v>PIE ANDINO</v>
          </cell>
          <cell r="L1292" t="str">
            <v>Pie Andino 31 (Pie Andino 383)</v>
          </cell>
          <cell r="M1292" t="str">
            <v>Puente Alto</v>
          </cell>
          <cell r="N1292" t="str">
            <v>B</v>
          </cell>
        </row>
        <row r="1293">
          <cell r="B1293" t="str">
            <v>VFPS-87</v>
          </cell>
          <cell r="C1293" t="str">
            <v>MDN35025020114</v>
          </cell>
          <cell r="D1293" t="str">
            <v>LDYECS315S0044033</v>
          </cell>
          <cell r="E1293" t="str">
            <v>Zhong Tong</v>
          </cell>
          <cell r="F1293" t="str">
            <v>Lck6122evg</v>
          </cell>
          <cell r="G1293" t="str">
            <v>ZHONGTONG</v>
          </cell>
          <cell r="H1293" t="str">
            <v>LCK6122EVG</v>
          </cell>
          <cell r="I1293">
            <v>2025</v>
          </cell>
          <cell r="J1293" t="str">
            <v>B</v>
          </cell>
          <cell r="K1293" t="str">
            <v>CERRILLOS</v>
          </cell>
          <cell r="L1293" t="str">
            <v>Calle Uno 7371</v>
          </cell>
          <cell r="M1293" t="str">
            <v>Cerrillos</v>
          </cell>
          <cell r="N1293" t="str">
            <v>B</v>
          </cell>
        </row>
        <row r="1294">
          <cell r="B1294" t="str">
            <v>VFPS-89</v>
          </cell>
          <cell r="C1294" t="str">
            <v>MDN35025020031</v>
          </cell>
          <cell r="D1294" t="str">
            <v>LDYECS319S0044049</v>
          </cell>
          <cell r="E1294" t="str">
            <v>Zhong Tong</v>
          </cell>
          <cell r="F1294" t="str">
            <v>Lck6122evg</v>
          </cell>
          <cell r="G1294" t="str">
            <v>ZHONGTONG</v>
          </cell>
          <cell r="H1294" t="str">
            <v>LCK6122EVG</v>
          </cell>
          <cell r="I1294">
            <v>2025</v>
          </cell>
          <cell r="J1294" t="str">
            <v>B</v>
          </cell>
          <cell r="K1294" t="str">
            <v>PIE ANDINO</v>
          </cell>
          <cell r="L1294" t="str">
            <v>Pie Andino 31 (Pie Andino 383)</v>
          </cell>
          <cell r="M1294" t="str">
            <v>Puente Alto</v>
          </cell>
          <cell r="N1294" t="str">
            <v>B</v>
          </cell>
        </row>
        <row r="1295">
          <cell r="B1295" t="str">
            <v>VFPS-94</v>
          </cell>
          <cell r="C1295" t="str">
            <v>MDN35025020072</v>
          </cell>
          <cell r="D1295" t="str">
            <v>LDYECS317S0044051</v>
          </cell>
          <cell r="E1295" t="str">
            <v>Zhong Tong</v>
          </cell>
          <cell r="F1295" t="str">
            <v>Lck6122evg</v>
          </cell>
          <cell r="G1295" t="str">
            <v>ZHONGTONG</v>
          </cell>
          <cell r="H1295" t="str">
            <v>LCK6122EVG</v>
          </cell>
          <cell r="I1295">
            <v>2025</v>
          </cell>
          <cell r="J1295" t="str">
            <v>B</v>
          </cell>
          <cell r="K1295" t="str">
            <v>PIE ANDINO</v>
          </cell>
          <cell r="L1295" t="str">
            <v>Pie Andino 31 (Pie Andino 383)</v>
          </cell>
          <cell r="M1295" t="str">
            <v>Puente Alto</v>
          </cell>
          <cell r="N1295" t="str">
            <v>B</v>
          </cell>
        </row>
        <row r="1296">
          <cell r="B1296" t="str">
            <v>VFPS-99</v>
          </cell>
          <cell r="C1296" t="str">
            <v>MDN35025020042</v>
          </cell>
          <cell r="D1296" t="str">
            <v>LDYECS315S0044078</v>
          </cell>
          <cell r="E1296" t="str">
            <v>Zhong Tong</v>
          </cell>
          <cell r="F1296" t="str">
            <v>Lck6122evg</v>
          </cell>
          <cell r="G1296" t="str">
            <v>ZHONGTONG</v>
          </cell>
          <cell r="H1296" t="str">
            <v>LCK6122EVG</v>
          </cell>
          <cell r="I1296">
            <v>2025</v>
          </cell>
          <cell r="J1296" t="str">
            <v>B</v>
          </cell>
          <cell r="K1296" t="str">
            <v>PIE ANDINO</v>
          </cell>
          <cell r="L1296" t="str">
            <v>Pie Andino 31 (Pie Andino 383)</v>
          </cell>
          <cell r="M1296" t="str">
            <v>Puente Alto</v>
          </cell>
          <cell r="N1296" t="str">
            <v>B</v>
          </cell>
        </row>
        <row r="1297">
          <cell r="B1297" t="str">
            <v>VFPT-23</v>
          </cell>
          <cell r="C1297" t="str">
            <v>MDN35025020105</v>
          </cell>
          <cell r="D1297" t="str">
            <v>LDYECS312S0044040</v>
          </cell>
          <cell r="E1297" t="str">
            <v>Zhong Tong</v>
          </cell>
          <cell r="F1297" t="str">
            <v>Lck6122evg</v>
          </cell>
          <cell r="G1297" t="str">
            <v>ZHONGTONG</v>
          </cell>
          <cell r="H1297" t="str">
            <v>LCK6122EVG</v>
          </cell>
          <cell r="I1297">
            <v>2025</v>
          </cell>
          <cell r="J1297" t="str">
            <v>B</v>
          </cell>
          <cell r="K1297" t="str">
            <v>SAN ALFONSO</v>
          </cell>
          <cell r="L1297" t="str">
            <v>San Alfonso 2141 (Ramón Subercaseaux 3060)</v>
          </cell>
          <cell r="M1297" t="str">
            <v>Estacion Central</v>
          </cell>
          <cell r="N1297" t="str">
            <v>B</v>
          </cell>
        </row>
        <row r="1298">
          <cell r="B1298" t="str">
            <v>VFPT-27</v>
          </cell>
          <cell r="C1298" t="str">
            <v>MDN35025020129</v>
          </cell>
          <cell r="D1298" t="str">
            <v>LDYECS319S0044035</v>
          </cell>
          <cell r="E1298" t="str">
            <v>Zhong Tong</v>
          </cell>
          <cell r="F1298" t="str">
            <v>Lck6122evg</v>
          </cell>
          <cell r="G1298" t="str">
            <v>ZHONGTONG</v>
          </cell>
          <cell r="H1298" t="str">
            <v>LCK6122EVG</v>
          </cell>
          <cell r="I1298">
            <v>2025</v>
          </cell>
          <cell r="J1298" t="str">
            <v>B</v>
          </cell>
          <cell r="K1298" t="str">
            <v>SAN ALFONSO</v>
          </cell>
          <cell r="L1298" t="str">
            <v>San Alfonso 2141 (Ramón Subercaseaux 3060)</v>
          </cell>
          <cell r="M1298" t="str">
            <v>Estacion Central</v>
          </cell>
          <cell r="N1298" t="str">
            <v>B</v>
          </cell>
        </row>
        <row r="1299">
          <cell r="B1299" t="str">
            <v>VFPT-47</v>
          </cell>
          <cell r="C1299" t="str">
            <v>MDN35025020107</v>
          </cell>
          <cell r="D1299" t="str">
            <v>LDYECS313S0044063</v>
          </cell>
          <cell r="E1299" t="str">
            <v>Zhong Tong</v>
          </cell>
          <cell r="F1299" t="str">
            <v>Lck6122evg</v>
          </cell>
          <cell r="G1299" t="str">
            <v>ZHONGTONG</v>
          </cell>
          <cell r="H1299" t="str">
            <v>LCK6122EVG</v>
          </cell>
          <cell r="I1299">
            <v>2025</v>
          </cell>
          <cell r="J1299" t="str">
            <v>B</v>
          </cell>
          <cell r="K1299" t="str">
            <v>PIE ANDINO</v>
          </cell>
          <cell r="L1299" t="str">
            <v>Pie Andino 31 (Pie Andino 383)</v>
          </cell>
          <cell r="M1299" t="str">
            <v>Puente Alto</v>
          </cell>
          <cell r="N1299" t="str">
            <v>B</v>
          </cell>
        </row>
        <row r="1300">
          <cell r="B1300" t="str">
            <v>VFPT-63</v>
          </cell>
          <cell r="C1300" t="str">
            <v>MDN35025010243</v>
          </cell>
          <cell r="D1300" t="str">
            <v>LDYECS310S0044053</v>
          </cell>
          <cell r="E1300" t="str">
            <v>Zhong Tong</v>
          </cell>
          <cell r="F1300" t="str">
            <v>Lck6122evg</v>
          </cell>
          <cell r="G1300" t="str">
            <v>ZHONGTONG</v>
          </cell>
          <cell r="H1300" t="str">
            <v>LCK6122EVG</v>
          </cell>
          <cell r="I1300">
            <v>2025</v>
          </cell>
          <cell r="J1300" t="str">
            <v>B</v>
          </cell>
          <cell r="K1300" t="str">
            <v>PIE ANDINO</v>
          </cell>
          <cell r="L1300" t="str">
            <v>Pie Andino 31 (Pie Andino 383)</v>
          </cell>
          <cell r="M1300" t="str">
            <v>Puente Alto</v>
          </cell>
          <cell r="N1300" t="str">
            <v>B</v>
          </cell>
        </row>
        <row r="1301">
          <cell r="B1301" t="str">
            <v>VFPT-64</v>
          </cell>
          <cell r="C1301" t="str">
            <v>MDN35025020034</v>
          </cell>
          <cell r="D1301" t="str">
            <v>LDYECS315S0044064</v>
          </cell>
          <cell r="E1301" t="str">
            <v>Zhong Tong</v>
          </cell>
          <cell r="F1301" t="str">
            <v>Lck6122evg</v>
          </cell>
          <cell r="G1301" t="str">
            <v>ZHONGTONG</v>
          </cell>
          <cell r="H1301" t="str">
            <v>LCK6122EVG</v>
          </cell>
          <cell r="I1301">
            <v>2025</v>
          </cell>
          <cell r="J1301" t="str">
            <v>B</v>
          </cell>
          <cell r="K1301" t="str">
            <v>PIE ANDINO</v>
          </cell>
          <cell r="L1301" t="str">
            <v>Pie Andino 31 (Pie Andino 383)</v>
          </cell>
          <cell r="M1301" t="str">
            <v>Puente Alto</v>
          </cell>
          <cell r="N1301" t="str">
            <v>B</v>
          </cell>
        </row>
        <row r="1302">
          <cell r="B1302" t="str">
            <v>VFPT-65</v>
          </cell>
          <cell r="C1302" t="str">
            <v>MDN35025010187</v>
          </cell>
          <cell r="D1302" t="str">
            <v>LDYECS318S0044043</v>
          </cell>
          <cell r="E1302" t="str">
            <v>Zhong Tong</v>
          </cell>
          <cell r="F1302" t="str">
            <v>Lck6122evg</v>
          </cell>
          <cell r="G1302" t="str">
            <v>ZHONGTONG</v>
          </cell>
          <cell r="H1302" t="str">
            <v>LCK6122EVG</v>
          </cell>
          <cell r="I1302">
            <v>2025</v>
          </cell>
          <cell r="J1302" t="str">
            <v>B</v>
          </cell>
          <cell r="K1302" t="str">
            <v>PIE ANDINO</v>
          </cell>
          <cell r="L1302" t="str">
            <v>Pie Andino 31 (Pie Andino 383)</v>
          </cell>
          <cell r="M1302" t="str">
            <v>Puente Alto</v>
          </cell>
          <cell r="N1302" t="str">
            <v>B</v>
          </cell>
        </row>
        <row r="1303">
          <cell r="B1303" t="str">
            <v>VFPV-53</v>
          </cell>
          <cell r="C1303" t="str">
            <v>MDN35025010199</v>
          </cell>
          <cell r="D1303" t="str">
            <v>LDYECS316S0044042</v>
          </cell>
          <cell r="E1303" t="str">
            <v>Zhong Tong</v>
          </cell>
          <cell r="F1303" t="str">
            <v>Lck6122evg</v>
          </cell>
          <cell r="G1303" t="str">
            <v>ZHONGTONG</v>
          </cell>
          <cell r="H1303" t="str">
            <v>LCK6122EVG</v>
          </cell>
          <cell r="I1303">
            <v>2025</v>
          </cell>
          <cell r="J1303" t="str">
            <v>B</v>
          </cell>
          <cell r="K1303" t="str">
            <v>PIE ANDINO</v>
          </cell>
          <cell r="L1303" t="str">
            <v>Pie Andino 31 (Pie Andino 383)</v>
          </cell>
          <cell r="M1303" t="str">
            <v>Puente Alto</v>
          </cell>
          <cell r="N1303" t="str">
            <v>B</v>
          </cell>
        </row>
        <row r="1304">
          <cell r="B1304" t="str">
            <v>VFPV-63</v>
          </cell>
          <cell r="C1304" t="str">
            <v>MDN35025020089</v>
          </cell>
          <cell r="D1304" t="str">
            <v>LDYECS317S0044048</v>
          </cell>
          <cell r="E1304" t="str">
            <v>Zhong Tong</v>
          </cell>
          <cell r="F1304" t="str">
            <v>Lck6122evg</v>
          </cell>
          <cell r="G1304" t="str">
            <v>ZHONGTONG</v>
          </cell>
          <cell r="H1304" t="str">
            <v>LCK6122EVG</v>
          </cell>
          <cell r="I1304">
            <v>2025</v>
          </cell>
          <cell r="J1304" t="str">
            <v>B</v>
          </cell>
          <cell r="K1304" t="str">
            <v>SAN ALFONSO</v>
          </cell>
          <cell r="L1304" t="str">
            <v>San Alfonso 2141 (Ramón Subercaseaux 3060)</v>
          </cell>
          <cell r="M1304" t="str">
            <v>Estacion Central</v>
          </cell>
          <cell r="N1304" t="str">
            <v>B</v>
          </cell>
        </row>
        <row r="1305">
          <cell r="B1305" t="str">
            <v>VFPV-73</v>
          </cell>
          <cell r="C1305" t="str">
            <v>MDN35025020078</v>
          </cell>
          <cell r="D1305" t="str">
            <v>LDYECS311S0044062</v>
          </cell>
          <cell r="E1305" t="str">
            <v>Zhong Tong</v>
          </cell>
          <cell r="F1305" t="str">
            <v>Lck6122evg</v>
          </cell>
          <cell r="G1305" t="str">
            <v>ZHONGTONG</v>
          </cell>
          <cell r="H1305" t="str">
            <v>LCK6122EVG</v>
          </cell>
          <cell r="I1305">
            <v>2025</v>
          </cell>
          <cell r="J1305" t="str">
            <v>B</v>
          </cell>
          <cell r="K1305" t="str">
            <v>SAN ALFONSO</v>
          </cell>
          <cell r="L1305" t="str">
            <v>San Alfonso 2141 (Ramón Subercaseaux 3060)</v>
          </cell>
          <cell r="M1305" t="str">
            <v>Estacion Central</v>
          </cell>
          <cell r="N1305" t="str">
            <v>B</v>
          </cell>
        </row>
        <row r="1306">
          <cell r="B1306" t="str">
            <v>VFPV-83</v>
          </cell>
          <cell r="C1306" t="str">
            <v>MDN35025020036</v>
          </cell>
          <cell r="D1306" t="str">
            <v>LDYECS319S0044066</v>
          </cell>
          <cell r="E1306" t="str">
            <v>Zhong Tong</v>
          </cell>
          <cell r="F1306" t="str">
            <v>Lck6122evg</v>
          </cell>
          <cell r="G1306" t="str">
            <v>ZHONGTONG</v>
          </cell>
          <cell r="H1306" t="str">
            <v>LCK6122EVG</v>
          </cell>
          <cell r="I1306">
            <v>2025</v>
          </cell>
          <cell r="J1306" t="str">
            <v>B</v>
          </cell>
          <cell r="K1306" t="str">
            <v>PIE ANDINO</v>
          </cell>
          <cell r="L1306" t="str">
            <v>Pie Andino 31 (Pie Andino 383)</v>
          </cell>
          <cell r="M1306" t="str">
            <v>Puente Alto</v>
          </cell>
          <cell r="N1306" t="str">
            <v>B</v>
          </cell>
        </row>
        <row r="1307">
          <cell r="B1307" t="str">
            <v>VFPV-93</v>
          </cell>
          <cell r="C1307" t="str">
            <v>MDN35025020126</v>
          </cell>
          <cell r="D1307" t="str">
            <v>LDYECS318S0044074</v>
          </cell>
          <cell r="E1307" t="str">
            <v>Zhong Tong</v>
          </cell>
          <cell r="F1307" t="str">
            <v>Lck6122evg</v>
          </cell>
          <cell r="G1307" t="str">
            <v>ZHONGTONG</v>
          </cell>
          <cell r="H1307" t="str">
            <v>LCK6122EVG</v>
          </cell>
          <cell r="I1307">
            <v>2025</v>
          </cell>
          <cell r="J1307" t="str">
            <v>B</v>
          </cell>
          <cell r="K1307" t="str">
            <v>PIE ANDINO</v>
          </cell>
          <cell r="L1307" t="str">
            <v>Pie Andino 31 (Pie Andino 383)</v>
          </cell>
          <cell r="M1307" t="str">
            <v>Puente Alto</v>
          </cell>
          <cell r="N1307" t="str">
            <v>B</v>
          </cell>
        </row>
        <row r="1308">
          <cell r="B1308" t="str">
            <v>VFPW-13</v>
          </cell>
          <cell r="C1308" t="str">
            <v>MDN35025010041</v>
          </cell>
          <cell r="D1308" t="str">
            <v>LDYECS315S0043819</v>
          </cell>
          <cell r="E1308" t="str">
            <v>Zhong Tong</v>
          </cell>
          <cell r="F1308" t="str">
            <v>Lck6122evg</v>
          </cell>
          <cell r="G1308" t="str">
            <v>ZHONGTONG</v>
          </cell>
          <cell r="H1308" t="str">
            <v>LCK6122EVG</v>
          </cell>
          <cell r="I1308">
            <v>2025</v>
          </cell>
          <cell r="J1308" t="str">
            <v>B</v>
          </cell>
          <cell r="K1308" t="str">
            <v>SAN ALFONSO</v>
          </cell>
          <cell r="L1308" t="str">
            <v>San Alfonso 2141 (Ramón Subercaseaux 3060)</v>
          </cell>
          <cell r="M1308" t="str">
            <v>Estacion Central</v>
          </cell>
          <cell r="N1308" t="str">
            <v>B</v>
          </cell>
        </row>
        <row r="1309">
          <cell r="B1309" t="str">
            <v>VFPW-23</v>
          </cell>
          <cell r="C1309" t="str">
            <v>MDN35025020021</v>
          </cell>
          <cell r="D1309" t="str">
            <v>LDYECS316S0044106</v>
          </cell>
          <cell r="E1309" t="str">
            <v>Zhong Tong</v>
          </cell>
          <cell r="F1309" t="str">
            <v>Lck6122evg</v>
          </cell>
          <cell r="G1309" t="str">
            <v>ZHONGTONG</v>
          </cell>
          <cell r="H1309" t="str">
            <v>LCK6122EVG</v>
          </cell>
          <cell r="I1309">
            <v>2025</v>
          </cell>
          <cell r="J1309" t="str">
            <v>B</v>
          </cell>
          <cell r="K1309" t="str">
            <v>SAN ALFONSO</v>
          </cell>
          <cell r="L1309" t="str">
            <v>San Alfonso 2141 (Ramón Subercaseaux 3060)</v>
          </cell>
          <cell r="M1309" t="str">
            <v>Estacion Central</v>
          </cell>
          <cell r="N1309" t="str">
            <v>B</v>
          </cell>
        </row>
        <row r="1310">
          <cell r="B1310" t="str">
            <v>VFPW-33</v>
          </cell>
          <cell r="C1310" t="str">
            <v>MDN35025020102</v>
          </cell>
          <cell r="D1310" t="str">
            <v>LDYECS31XS0044044</v>
          </cell>
          <cell r="E1310" t="str">
            <v>Zhong Tong</v>
          </cell>
          <cell r="F1310" t="str">
            <v>Lck6122evg</v>
          </cell>
          <cell r="G1310" t="str">
            <v>ZHONGTONG</v>
          </cell>
          <cell r="H1310" t="str">
            <v>LCK6122EVG</v>
          </cell>
          <cell r="I1310">
            <v>2025</v>
          </cell>
          <cell r="J1310" t="str">
            <v>B</v>
          </cell>
          <cell r="K1310" t="str">
            <v>SAN ALFONSO</v>
          </cell>
          <cell r="L1310" t="str">
            <v>San Alfonso 2141 (Ramón Subercaseaux 3060)</v>
          </cell>
          <cell r="M1310" t="str">
            <v>Estacion Central</v>
          </cell>
          <cell r="N1310" t="str">
            <v>B</v>
          </cell>
        </row>
        <row r="1311">
          <cell r="B1311" t="str">
            <v>VFPW-63</v>
          </cell>
          <cell r="C1311" t="str">
            <v>MDN35025020003</v>
          </cell>
          <cell r="D1311" t="str">
            <v>LDYECS314S0044069</v>
          </cell>
          <cell r="E1311" t="str">
            <v>Zhong Tong</v>
          </cell>
          <cell r="F1311" t="str">
            <v>Lck6122evg</v>
          </cell>
          <cell r="G1311" t="str">
            <v>ZHONGTONG</v>
          </cell>
          <cell r="H1311" t="str">
            <v>LCK6122EVG</v>
          </cell>
          <cell r="I1311">
            <v>2025</v>
          </cell>
          <cell r="J1311" t="str">
            <v>B</v>
          </cell>
          <cell r="K1311" t="str">
            <v>PIE ANDINO</v>
          </cell>
          <cell r="L1311" t="str">
            <v>Pie Andino 31 (Pie Andino 383)</v>
          </cell>
          <cell r="M1311" t="str">
            <v>Puente Alto</v>
          </cell>
          <cell r="N1311" t="str">
            <v>B</v>
          </cell>
        </row>
        <row r="1312">
          <cell r="B1312" t="str">
            <v>VFPW-73</v>
          </cell>
          <cell r="C1312" t="str">
            <v>MDN35025020091</v>
          </cell>
          <cell r="D1312" t="str">
            <v>LDYECS313S0044046</v>
          </cell>
          <cell r="E1312" t="str">
            <v>Zhong Tong</v>
          </cell>
          <cell r="F1312" t="str">
            <v>Lck6122evg</v>
          </cell>
          <cell r="G1312" t="str">
            <v>ZHONGTONG</v>
          </cell>
          <cell r="H1312" t="str">
            <v>LCK6122EVG</v>
          </cell>
          <cell r="I1312">
            <v>2025</v>
          </cell>
          <cell r="J1312" t="str">
            <v>B</v>
          </cell>
          <cell r="K1312" t="str">
            <v>SAN ALFONSO</v>
          </cell>
          <cell r="L1312" t="str">
            <v>San Alfonso 2141 (Ramón Subercaseaux 3060)</v>
          </cell>
          <cell r="M1312" t="str">
            <v>Estacion Central</v>
          </cell>
          <cell r="N1312" t="str">
            <v>B</v>
          </cell>
        </row>
        <row r="1313">
          <cell r="B1313" t="str">
            <v>VFPX-13</v>
          </cell>
          <cell r="C1313" t="str">
            <v>MDN35025020039</v>
          </cell>
          <cell r="D1313" t="str">
            <v>LDYECS312S0044071</v>
          </cell>
          <cell r="E1313" t="str">
            <v>Zhong Tong</v>
          </cell>
          <cell r="F1313" t="str">
            <v>Lck6122evg</v>
          </cell>
          <cell r="G1313" t="str">
            <v>ZHONGTONG</v>
          </cell>
          <cell r="H1313" t="str">
            <v>LCK6122EVG</v>
          </cell>
          <cell r="I1313">
            <v>2025</v>
          </cell>
          <cell r="J1313" t="str">
            <v>B</v>
          </cell>
          <cell r="K1313" t="str">
            <v>SAN ALFONSO</v>
          </cell>
          <cell r="L1313" t="str">
            <v>San Alfonso 2141 (Ramón Subercaseaux 3060)</v>
          </cell>
          <cell r="M1313" t="str">
            <v>Estacion Central</v>
          </cell>
          <cell r="N1313" t="str">
            <v>B</v>
          </cell>
        </row>
        <row r="1314">
          <cell r="B1314" t="str">
            <v>VFPX-33</v>
          </cell>
          <cell r="C1314" t="str">
            <v>MDN35025020085</v>
          </cell>
          <cell r="D1314" t="str">
            <v>LDYECS311S0044076</v>
          </cell>
          <cell r="E1314" t="str">
            <v>Zhong Tong</v>
          </cell>
          <cell r="F1314" t="str">
            <v>Lck6122evg</v>
          </cell>
          <cell r="G1314" t="str">
            <v>ZHONGTONG</v>
          </cell>
          <cell r="H1314" t="str">
            <v>LCK6122EVG</v>
          </cell>
          <cell r="I1314">
            <v>2025</v>
          </cell>
          <cell r="J1314" t="str">
            <v>B</v>
          </cell>
          <cell r="K1314" t="str">
            <v>SAN ALFONSO</v>
          </cell>
          <cell r="L1314" t="str">
            <v>San Alfonso 2141 (Ramón Subercaseaux 3060)</v>
          </cell>
          <cell r="M1314" t="str">
            <v>Estacion Central</v>
          </cell>
          <cell r="N1314" t="str">
            <v>B</v>
          </cell>
        </row>
        <row r="1315">
          <cell r="B1315" t="str">
            <v>VFPX-53</v>
          </cell>
          <cell r="C1315" t="str">
            <v>MDN35025010194</v>
          </cell>
          <cell r="D1315" t="str">
            <v>LDYECS311S0044059</v>
          </cell>
          <cell r="E1315" t="str">
            <v>Zhong Tong</v>
          </cell>
          <cell r="F1315" t="str">
            <v>Lck6122evg</v>
          </cell>
          <cell r="G1315" t="str">
            <v>ZHONGTONG</v>
          </cell>
          <cell r="H1315" t="str">
            <v>LCK6122EVG</v>
          </cell>
          <cell r="I1315">
            <v>2025</v>
          </cell>
          <cell r="J1315" t="str">
            <v>B</v>
          </cell>
          <cell r="K1315" t="str">
            <v>PIE ANDINO</v>
          </cell>
          <cell r="L1315" t="str">
            <v>Pie Andino 31 (Pie Andino 383)</v>
          </cell>
          <cell r="M1315" t="str">
            <v>Puente Alto</v>
          </cell>
          <cell r="N1315" t="str">
            <v>B</v>
          </cell>
        </row>
        <row r="1316">
          <cell r="B1316" t="str">
            <v>VFPX-63</v>
          </cell>
          <cell r="C1316" t="str">
            <v>MDN35025010098</v>
          </cell>
          <cell r="D1316" t="str">
            <v>LDYECS31XS0044111</v>
          </cell>
          <cell r="E1316" t="str">
            <v>Zhong Tong</v>
          </cell>
          <cell r="F1316" t="str">
            <v>Lck6122evg</v>
          </cell>
          <cell r="G1316" t="str">
            <v>ZHONGTONG</v>
          </cell>
          <cell r="H1316" t="str">
            <v>LCK6122EVG</v>
          </cell>
          <cell r="I1316">
            <v>2025</v>
          </cell>
          <cell r="J1316" t="str">
            <v>B</v>
          </cell>
          <cell r="K1316" t="str">
            <v>PIE ANDINO</v>
          </cell>
          <cell r="L1316" t="str">
            <v>Pie Andino 31 (Pie Andino 383)</v>
          </cell>
          <cell r="M1316" t="str">
            <v>Puente Alto</v>
          </cell>
          <cell r="N1316" t="str">
            <v>B</v>
          </cell>
        </row>
        <row r="1317">
          <cell r="B1317" t="str">
            <v>VFPX-83</v>
          </cell>
          <cell r="C1317" t="str">
            <v>MDN35025020037</v>
          </cell>
          <cell r="D1317" t="str">
            <v>LDYECS310S0044070</v>
          </cell>
          <cell r="E1317" t="str">
            <v>Zhong Tong</v>
          </cell>
          <cell r="F1317" t="str">
            <v>Lck6122evg</v>
          </cell>
          <cell r="G1317" t="str">
            <v>ZHONGTONG</v>
          </cell>
          <cell r="H1317" t="str">
            <v>LCK6122EVG</v>
          </cell>
          <cell r="I1317">
            <v>2025</v>
          </cell>
          <cell r="J1317" t="str">
            <v>B</v>
          </cell>
          <cell r="K1317" t="str">
            <v>PIE ANDINO</v>
          </cell>
          <cell r="L1317" t="str">
            <v>Pie Andino 31 (Pie Andino 383)</v>
          </cell>
          <cell r="M1317" t="str">
            <v>Puente Alto</v>
          </cell>
          <cell r="N1317" t="str">
            <v>B</v>
          </cell>
        </row>
        <row r="1318">
          <cell r="B1318" t="str">
            <v>VFPX-93</v>
          </cell>
          <cell r="C1318" t="str">
            <v>MDN35025020023</v>
          </cell>
          <cell r="D1318" t="str">
            <v>LDYECS310S0044067</v>
          </cell>
          <cell r="E1318" t="str">
            <v>Zhong Tong</v>
          </cell>
          <cell r="F1318" t="str">
            <v>Lck6122evg</v>
          </cell>
          <cell r="G1318" t="str">
            <v>ZHONGTONG</v>
          </cell>
          <cell r="H1318" t="str">
            <v>LCK6122EVG</v>
          </cell>
          <cell r="I1318">
            <v>2025</v>
          </cell>
          <cell r="J1318" t="str">
            <v>B</v>
          </cell>
          <cell r="K1318" t="str">
            <v>PIE ANDINO</v>
          </cell>
          <cell r="L1318" t="str">
            <v>Pie Andino 31 (Pie Andino 383)</v>
          </cell>
          <cell r="M1318" t="str">
            <v>Puente Alto</v>
          </cell>
          <cell r="N1318" t="str">
            <v>B</v>
          </cell>
        </row>
        <row r="1319">
          <cell r="B1319" t="str">
            <v>VFPY-13</v>
          </cell>
          <cell r="C1319" t="str">
            <v>MDN35025010218</v>
          </cell>
          <cell r="D1319" t="str">
            <v>LDYECS316S0044087</v>
          </cell>
          <cell r="E1319" t="str">
            <v>Zhong Tong</v>
          </cell>
          <cell r="F1319" t="str">
            <v>Lck6122evg</v>
          </cell>
          <cell r="G1319" t="str">
            <v>ZHONGTONG</v>
          </cell>
          <cell r="H1319" t="str">
            <v>LCK6122EVG</v>
          </cell>
          <cell r="I1319">
            <v>2025</v>
          </cell>
          <cell r="J1319" t="str">
            <v>B</v>
          </cell>
          <cell r="K1319" t="str">
            <v>SAN ALFONSO</v>
          </cell>
          <cell r="L1319" t="str">
            <v>San Alfonso 2141 (Ramón Subercaseaux 3060)</v>
          </cell>
          <cell r="M1319" t="str">
            <v>Estacion Central</v>
          </cell>
          <cell r="N1319" t="str">
            <v>B</v>
          </cell>
        </row>
        <row r="1320">
          <cell r="B1320" t="str">
            <v>VFPY-23</v>
          </cell>
          <cell r="C1320" t="str">
            <v>MDN35025020098</v>
          </cell>
          <cell r="D1320" t="str">
            <v>LDYECS315S0044095</v>
          </cell>
          <cell r="E1320" t="str">
            <v>Zhong Tong</v>
          </cell>
          <cell r="F1320" t="str">
            <v>Lck6122evg</v>
          </cell>
          <cell r="G1320" t="str">
            <v>ZHONGTONG</v>
          </cell>
          <cell r="H1320" t="str">
            <v>LCK6122EVG</v>
          </cell>
          <cell r="I1320">
            <v>2025</v>
          </cell>
          <cell r="J1320" t="str">
            <v>B</v>
          </cell>
          <cell r="K1320" t="str">
            <v>PIE ANDINO</v>
          </cell>
          <cell r="L1320" t="str">
            <v>Pie Andino 31 (Pie Andino 383)</v>
          </cell>
          <cell r="M1320" t="str">
            <v>Puente Alto</v>
          </cell>
          <cell r="N1320" t="str">
            <v>B</v>
          </cell>
        </row>
        <row r="1321">
          <cell r="B1321" t="str">
            <v>VFPY-33</v>
          </cell>
          <cell r="C1321" t="str">
            <v>MDN35025020038</v>
          </cell>
          <cell r="D1321" t="str">
            <v>LDYECS317S0044065</v>
          </cell>
          <cell r="E1321" t="str">
            <v>Zhong Tong</v>
          </cell>
          <cell r="F1321" t="str">
            <v>Lck6122evg</v>
          </cell>
          <cell r="G1321" t="str">
            <v>ZHONGTONG</v>
          </cell>
          <cell r="H1321" t="str">
            <v>LCK6122EVG</v>
          </cell>
          <cell r="I1321">
            <v>2025</v>
          </cell>
          <cell r="J1321" t="str">
            <v>B</v>
          </cell>
          <cell r="K1321" t="str">
            <v>PIE ANDINO</v>
          </cell>
          <cell r="L1321" t="str">
            <v>Pie Andino 31 (Pie Andino 383)</v>
          </cell>
          <cell r="M1321" t="str">
            <v>Puente Alto</v>
          </cell>
          <cell r="N1321" t="str">
            <v>B</v>
          </cell>
        </row>
        <row r="1322">
          <cell r="B1322" t="str">
            <v>VFPY-43</v>
          </cell>
          <cell r="C1322" t="str">
            <v>MDN35025010188</v>
          </cell>
          <cell r="D1322" t="str">
            <v>LDYECS314S0044072</v>
          </cell>
          <cell r="E1322" t="str">
            <v>Zhong Tong</v>
          </cell>
          <cell r="F1322" t="str">
            <v>Lck6122evg</v>
          </cell>
          <cell r="G1322" t="str">
            <v>ZHONGTONG</v>
          </cell>
          <cell r="H1322" t="str">
            <v>LCK6122EVG</v>
          </cell>
          <cell r="I1322">
            <v>2025</v>
          </cell>
          <cell r="J1322" t="str">
            <v>B</v>
          </cell>
          <cell r="K1322" t="str">
            <v>SAN ALFONSO</v>
          </cell>
          <cell r="L1322" t="str">
            <v>San Alfonso 2141 (Ramón Subercaseaux 3060)</v>
          </cell>
          <cell r="M1322" t="str">
            <v>Estacion Central</v>
          </cell>
          <cell r="N1322" t="str">
            <v>B</v>
          </cell>
        </row>
        <row r="1323">
          <cell r="B1323" t="str">
            <v>VFPZ-27</v>
          </cell>
          <cell r="C1323" t="str">
            <v>MDN35025010203</v>
          </cell>
          <cell r="D1323" t="str">
            <v>LDYECS311S0044109</v>
          </cell>
          <cell r="E1323" t="str">
            <v>Zhong Tong</v>
          </cell>
          <cell r="F1323" t="str">
            <v>Lck6122evg</v>
          </cell>
          <cell r="G1323" t="str">
            <v>ZHONGTONG</v>
          </cell>
          <cell r="H1323" t="str">
            <v>LCK6122EVG</v>
          </cell>
          <cell r="I1323">
            <v>2025</v>
          </cell>
          <cell r="J1323" t="str">
            <v>B</v>
          </cell>
          <cell r="K1323" t="str">
            <v>SAN ALFONSO</v>
          </cell>
          <cell r="L1323" t="str">
            <v>San Alfonso 2141 (Ramón Subercaseaux 3060)</v>
          </cell>
          <cell r="M1323" t="str">
            <v>Estacion Central</v>
          </cell>
          <cell r="N1323" t="str">
            <v>B</v>
          </cell>
        </row>
        <row r="1324">
          <cell r="B1324" t="str">
            <v>VFPZ-38</v>
          </cell>
          <cell r="C1324" t="str">
            <v>MDN35025010193</v>
          </cell>
          <cell r="D1324" t="str">
            <v>LDYECS312S0044068</v>
          </cell>
          <cell r="E1324" t="str">
            <v>Zhong Tong</v>
          </cell>
          <cell r="F1324" t="str">
            <v>Lck6122evg</v>
          </cell>
          <cell r="G1324" t="str">
            <v>ZHONGTONG</v>
          </cell>
          <cell r="H1324" t="str">
            <v>LCK6122EVG</v>
          </cell>
          <cell r="I1324">
            <v>2025</v>
          </cell>
          <cell r="J1324" t="str">
            <v>B</v>
          </cell>
          <cell r="K1324" t="str">
            <v>SAN ALFONSO</v>
          </cell>
          <cell r="L1324" t="str">
            <v>San Alfonso 2141 (Ramón Subercaseaux 3060)</v>
          </cell>
          <cell r="M1324" t="str">
            <v>Estacion Central</v>
          </cell>
          <cell r="N1324" t="str">
            <v>B</v>
          </cell>
        </row>
        <row r="1325">
          <cell r="B1325" t="str">
            <v>VFPZ-39</v>
          </cell>
          <cell r="C1325" t="str">
            <v>MDN35025020011</v>
          </cell>
          <cell r="D1325" t="str">
            <v>LDYECS316S0044090</v>
          </cell>
          <cell r="E1325" t="str">
            <v>Zhong Tong</v>
          </cell>
          <cell r="F1325" t="str">
            <v>Lck6122evg</v>
          </cell>
          <cell r="G1325" t="str">
            <v>ZHONGTONG</v>
          </cell>
          <cell r="H1325" t="str">
            <v>LCK6122EVG</v>
          </cell>
          <cell r="I1325">
            <v>2025</v>
          </cell>
          <cell r="J1325" t="str">
            <v>B</v>
          </cell>
          <cell r="K1325" t="str">
            <v>SAN ALFONSO</v>
          </cell>
          <cell r="L1325" t="str">
            <v>San Alfonso 2141 (Ramón Subercaseaux 3060)</v>
          </cell>
          <cell r="M1325" t="str">
            <v>Estacion Central</v>
          </cell>
          <cell r="N1325" t="str">
            <v>B</v>
          </cell>
        </row>
        <row r="1326">
          <cell r="B1326" t="str">
            <v>VFPZ-55</v>
          </cell>
          <cell r="C1326" t="str">
            <v>MDN35025010208</v>
          </cell>
          <cell r="D1326" t="str">
            <v>LDYECS317S0044082</v>
          </cell>
          <cell r="E1326" t="str">
            <v>Zhong Tong</v>
          </cell>
          <cell r="F1326" t="str">
            <v>Lck6122evg</v>
          </cell>
          <cell r="G1326" t="str">
            <v>ZHONGTONG</v>
          </cell>
          <cell r="H1326" t="str">
            <v>LCK6122EVG</v>
          </cell>
          <cell r="I1326">
            <v>2025</v>
          </cell>
          <cell r="J1326" t="str">
            <v>B</v>
          </cell>
          <cell r="K1326" t="str">
            <v>SAN ALFONSO</v>
          </cell>
          <cell r="L1326" t="str">
            <v>San Alfonso 2141 (Ramón Subercaseaux 3060)</v>
          </cell>
          <cell r="M1326" t="str">
            <v>Estacion Central</v>
          </cell>
          <cell r="N1326" t="str">
            <v>B</v>
          </cell>
        </row>
        <row r="1327">
          <cell r="B1327" t="str">
            <v>VFPZ-56</v>
          </cell>
          <cell r="C1327" t="str">
            <v>MDN35025020043</v>
          </cell>
          <cell r="D1327" t="str">
            <v>LDYECS31XS0044075</v>
          </cell>
          <cell r="E1327" t="str">
            <v>Zhong Tong</v>
          </cell>
          <cell r="F1327" t="str">
            <v>Lck6122evg</v>
          </cell>
          <cell r="G1327" t="str">
            <v>ZHONGTONG</v>
          </cell>
          <cell r="H1327" t="str">
            <v>LCK6122EVG</v>
          </cell>
          <cell r="I1327">
            <v>2025</v>
          </cell>
          <cell r="J1327" t="str">
            <v>B</v>
          </cell>
          <cell r="K1327" t="str">
            <v>PIE ANDINO</v>
          </cell>
          <cell r="L1327" t="str">
            <v>Pie Andino 31 (Pie Andino 383)</v>
          </cell>
          <cell r="M1327" t="str">
            <v>Puente Alto</v>
          </cell>
          <cell r="N1327" t="str">
            <v>B</v>
          </cell>
        </row>
        <row r="1328">
          <cell r="B1328" t="str">
            <v>VFPZ-74</v>
          </cell>
          <cell r="C1328" t="str">
            <v>MDN35025020017</v>
          </cell>
          <cell r="D1328" t="str">
            <v>LDYECS312S0044085</v>
          </cell>
          <cell r="E1328" t="str">
            <v>Zhong Tong</v>
          </cell>
          <cell r="F1328" t="str">
            <v>Lck6122evg</v>
          </cell>
          <cell r="G1328" t="str">
            <v>ZHONGTONG</v>
          </cell>
          <cell r="H1328" t="str">
            <v>LCK6122EVG</v>
          </cell>
          <cell r="I1328">
            <v>2025</v>
          </cell>
          <cell r="J1328" t="str">
            <v>B</v>
          </cell>
          <cell r="K1328" t="str">
            <v>PIE ANDINO</v>
          </cell>
          <cell r="L1328" t="str">
            <v>Pie Andino 31 (Pie Andino 383)</v>
          </cell>
          <cell r="M1328" t="str">
            <v>Puente Alto</v>
          </cell>
          <cell r="N1328" t="str">
            <v>B</v>
          </cell>
        </row>
        <row r="1329">
          <cell r="B1329" t="str">
            <v>VFPZ-78</v>
          </cell>
          <cell r="C1329" t="str">
            <v>MDN35025020001</v>
          </cell>
          <cell r="D1329" t="str">
            <v>LDYECS313S0044077</v>
          </cell>
          <cell r="E1329" t="str">
            <v>Zhong Tong</v>
          </cell>
          <cell r="F1329" t="str">
            <v>Lck6122evg</v>
          </cell>
          <cell r="G1329" t="str">
            <v>ZHONGTONG</v>
          </cell>
          <cell r="H1329" t="str">
            <v>LCK6122EVG</v>
          </cell>
          <cell r="I1329">
            <v>2025</v>
          </cell>
          <cell r="J1329" t="str">
            <v>B</v>
          </cell>
          <cell r="K1329" t="str">
            <v>PIE ANDINO</v>
          </cell>
          <cell r="L1329" t="str">
            <v>Pie Andino 31 (Pie Andino 383)</v>
          </cell>
          <cell r="M1329" t="str">
            <v>Puente Alto</v>
          </cell>
          <cell r="N1329" t="str">
            <v>B</v>
          </cell>
        </row>
        <row r="1330">
          <cell r="B1330" t="str">
            <v>VFPZ-88</v>
          </cell>
          <cell r="C1330" t="str">
            <v>MDN35025010028</v>
          </cell>
          <cell r="D1330" t="str">
            <v>LDYECS311S0044112</v>
          </cell>
          <cell r="E1330" t="str">
            <v>Zhong Tong</v>
          </cell>
          <cell r="F1330" t="str">
            <v>Lck6122evg</v>
          </cell>
          <cell r="G1330" t="str">
            <v>ZHONGTONG</v>
          </cell>
          <cell r="H1330" t="str">
            <v>LCK6122EVG</v>
          </cell>
          <cell r="I1330">
            <v>2025</v>
          </cell>
          <cell r="J1330" t="str">
            <v>B</v>
          </cell>
          <cell r="K1330" t="str">
            <v>SAN ALFONSO</v>
          </cell>
          <cell r="L1330" t="str">
            <v>San Alfonso 2141 (Ramón Subercaseaux 3060)</v>
          </cell>
          <cell r="M1330" t="str">
            <v>Estacion Central</v>
          </cell>
          <cell r="N1330" t="str">
            <v>B</v>
          </cell>
        </row>
        <row r="1331">
          <cell r="B1331" t="str">
            <v>VFPZ-89</v>
          </cell>
          <cell r="C1331" t="str">
            <v>MDN35025020032</v>
          </cell>
          <cell r="D1331" t="str">
            <v>LDYECS319S0044102</v>
          </cell>
          <cell r="E1331" t="str">
            <v>Zhong Tong</v>
          </cell>
          <cell r="F1331" t="str">
            <v>Lck6122evg</v>
          </cell>
          <cell r="G1331" t="str">
            <v>ZHONGTONG</v>
          </cell>
          <cell r="H1331" t="str">
            <v>LCK6122EVG</v>
          </cell>
          <cell r="I1331">
            <v>2025</v>
          </cell>
          <cell r="J1331" t="str">
            <v>B</v>
          </cell>
          <cell r="K1331" t="str">
            <v>SAN ALFONSO</v>
          </cell>
          <cell r="L1331" t="str">
            <v>San Alfonso 2141 (Ramón Subercaseaux 3060)</v>
          </cell>
          <cell r="M1331" t="str">
            <v>Estacion Central</v>
          </cell>
          <cell r="N1331" t="str">
            <v>B</v>
          </cell>
        </row>
        <row r="1332">
          <cell r="B1332" t="str">
            <v>VFPZ-92</v>
          </cell>
          <cell r="C1332" t="str">
            <v>MDN35025020030</v>
          </cell>
          <cell r="D1332" t="str">
            <v>LDYECS31XS0044089</v>
          </cell>
          <cell r="E1332" t="str">
            <v>Zhong Tong</v>
          </cell>
          <cell r="F1332" t="str">
            <v>Lck6122evg</v>
          </cell>
          <cell r="G1332" t="str">
            <v>ZHONGTONG</v>
          </cell>
          <cell r="H1332" t="str">
            <v>LCK6122EVG</v>
          </cell>
          <cell r="I1332">
            <v>2025</v>
          </cell>
          <cell r="J1332" t="str">
            <v>B</v>
          </cell>
          <cell r="K1332" t="str">
            <v>SAN ALFONSO</v>
          </cell>
          <cell r="L1332" t="str">
            <v>San Alfonso 2141 (Ramón Subercaseaux 3060)</v>
          </cell>
          <cell r="M1332" t="str">
            <v>Estacion Central</v>
          </cell>
          <cell r="N1332" t="str">
            <v>B</v>
          </cell>
        </row>
        <row r="1333">
          <cell r="B1333" t="str">
            <v>VFPZ-97</v>
          </cell>
          <cell r="C1333" t="str">
            <v>MDN35025010247</v>
          </cell>
          <cell r="D1333" t="str">
            <v>LDYECS312S0044104</v>
          </cell>
          <cell r="E1333" t="str">
            <v>Zhong Tong</v>
          </cell>
          <cell r="F1333" t="str">
            <v>Lck6122evg</v>
          </cell>
          <cell r="G1333" t="str">
            <v>ZHONGTONG</v>
          </cell>
          <cell r="H1333" t="str">
            <v>LCK6122EVG</v>
          </cell>
          <cell r="I1333">
            <v>2025</v>
          </cell>
          <cell r="J1333" t="str">
            <v>B</v>
          </cell>
          <cell r="K1333" t="str">
            <v>SAN ALFONSO</v>
          </cell>
          <cell r="L1333" t="str">
            <v>San Alfonso 2141 (Ramón Subercaseaux 3060)</v>
          </cell>
          <cell r="M1333" t="str">
            <v>Estacion Central</v>
          </cell>
          <cell r="N1333" t="str">
            <v>B</v>
          </cell>
        </row>
        <row r="1334">
          <cell r="B1334" t="str">
            <v>VFPZ-98</v>
          </cell>
          <cell r="C1334" t="str">
            <v>MDN35025010213</v>
          </cell>
          <cell r="D1334" t="str">
            <v>LDYECS315S0044081</v>
          </cell>
          <cell r="E1334" t="str">
            <v>Zhong Tong</v>
          </cell>
          <cell r="F1334" t="str">
            <v>Lck6122evg</v>
          </cell>
          <cell r="G1334" t="str">
            <v>ZHONGTONG</v>
          </cell>
          <cell r="H1334" t="str">
            <v>LCK6122EVG</v>
          </cell>
          <cell r="I1334">
            <v>2025</v>
          </cell>
          <cell r="J1334" t="str">
            <v>B</v>
          </cell>
          <cell r="K1334" t="str">
            <v>SAN ALFONSO</v>
          </cell>
          <cell r="L1334" t="str">
            <v>San Alfonso 2141 (Ramón Subercaseaux 3060)</v>
          </cell>
          <cell r="M1334" t="str">
            <v>Estacion Central</v>
          </cell>
          <cell r="N1334" t="str">
            <v>B</v>
          </cell>
        </row>
        <row r="1335">
          <cell r="B1335" t="str">
            <v>VFRB-13</v>
          </cell>
          <cell r="C1335" t="str">
            <v>MDN35025010226</v>
          </cell>
          <cell r="D1335" t="str">
            <v>LDYECS313S0044080</v>
          </cell>
          <cell r="E1335" t="str">
            <v>Zhong Tong</v>
          </cell>
          <cell r="F1335" t="str">
            <v>Lck6122evg</v>
          </cell>
          <cell r="G1335" t="str">
            <v>ZHONGTONG</v>
          </cell>
          <cell r="H1335" t="str">
            <v>LCK6122EVG</v>
          </cell>
          <cell r="I1335">
            <v>2025</v>
          </cell>
          <cell r="J1335" t="str">
            <v>B</v>
          </cell>
          <cell r="K1335" t="str">
            <v>PIE ANDINO</v>
          </cell>
          <cell r="L1335" t="str">
            <v>Pie Andino 31 (Pie Andino 383)</v>
          </cell>
          <cell r="M1335" t="str">
            <v>Puente Alto</v>
          </cell>
          <cell r="N1335" t="str">
            <v>B</v>
          </cell>
        </row>
        <row r="1336">
          <cell r="B1336" t="str">
            <v>VFRB-15</v>
          </cell>
          <cell r="C1336" t="str">
            <v>MDN35025010225</v>
          </cell>
          <cell r="D1336" t="str">
            <v>LDYECS317S0044079</v>
          </cell>
          <cell r="E1336" t="str">
            <v>Zhong Tong</v>
          </cell>
          <cell r="F1336" t="str">
            <v>Lck6122evg</v>
          </cell>
          <cell r="G1336" t="str">
            <v>ZHONGTONG</v>
          </cell>
          <cell r="H1336" t="str">
            <v>LCK6122EVG</v>
          </cell>
          <cell r="I1336">
            <v>2025</v>
          </cell>
          <cell r="J1336" t="str">
            <v>B</v>
          </cell>
          <cell r="K1336" t="str">
            <v>SAN ALFONSO</v>
          </cell>
          <cell r="L1336" t="str">
            <v>San Alfonso 2141 (Ramón Subercaseaux 3060)</v>
          </cell>
          <cell r="M1336" t="str">
            <v>Estacion Central</v>
          </cell>
          <cell r="N1336" t="str">
            <v>B</v>
          </cell>
        </row>
        <row r="1337">
          <cell r="B1337" t="str">
            <v>VFRB-54</v>
          </cell>
          <cell r="C1337" t="str">
            <v>MDN35025010204</v>
          </cell>
          <cell r="D1337" t="str">
            <v>LDYECS31XS0044108</v>
          </cell>
          <cell r="E1337" t="str">
            <v>Zhong Tong</v>
          </cell>
          <cell r="F1337" t="str">
            <v>Lck6122evg</v>
          </cell>
          <cell r="G1337" t="str">
            <v>ZHONGTONG</v>
          </cell>
          <cell r="H1337" t="str">
            <v>LCK6122EVG</v>
          </cell>
          <cell r="I1337">
            <v>2025</v>
          </cell>
          <cell r="J1337" t="str">
            <v>B</v>
          </cell>
          <cell r="K1337" t="str">
            <v>SAN ALFONSO</v>
          </cell>
          <cell r="L1337" t="str">
            <v>San Alfonso 2141 (Ramón Subercaseaux 3060)</v>
          </cell>
          <cell r="M1337" t="str">
            <v>Estacion Central</v>
          </cell>
          <cell r="N1337" t="str">
            <v>B</v>
          </cell>
        </row>
        <row r="1338">
          <cell r="B1338" t="str">
            <v>VFRB-56</v>
          </cell>
          <cell r="C1338" t="str">
            <v>MDN35025020040</v>
          </cell>
          <cell r="D1338" t="str">
            <v>LDYECS314S0044086</v>
          </cell>
          <cell r="E1338" t="str">
            <v>Zhong Tong</v>
          </cell>
          <cell r="F1338" t="str">
            <v>Lck6122evg</v>
          </cell>
          <cell r="G1338" t="str">
            <v>ZHONGTONG</v>
          </cell>
          <cell r="H1338" t="str">
            <v>LCK6122EVG</v>
          </cell>
          <cell r="I1338">
            <v>2025</v>
          </cell>
          <cell r="J1338" t="str">
            <v>B</v>
          </cell>
          <cell r="K1338" t="str">
            <v>PIE ANDINO</v>
          </cell>
          <cell r="L1338" t="str">
            <v>Pie Andino 31 (Pie Andino 383)</v>
          </cell>
          <cell r="M1338" t="str">
            <v>Puente Alto</v>
          </cell>
          <cell r="N1338" t="str">
            <v>B</v>
          </cell>
        </row>
        <row r="1339">
          <cell r="B1339" t="str">
            <v>VFRB-63</v>
          </cell>
          <cell r="C1339" t="str">
            <v>MDN35025020018</v>
          </cell>
          <cell r="D1339" t="str">
            <v>LDYECS315S0044100</v>
          </cell>
          <cell r="E1339" t="str">
            <v>Zhong Tong</v>
          </cell>
          <cell r="F1339" t="str">
            <v>Lck6122evg</v>
          </cell>
          <cell r="G1339" t="str">
            <v>ZHONGTONG</v>
          </cell>
          <cell r="H1339" t="str">
            <v>LCK6122EVG</v>
          </cell>
          <cell r="I1339">
            <v>2025</v>
          </cell>
          <cell r="J1339" t="str">
            <v>B</v>
          </cell>
          <cell r="K1339" t="str">
            <v>SAN ALFONSO</v>
          </cell>
          <cell r="L1339" t="str">
            <v>San Alfonso 2141 (Ramón Subercaseaux 3060)</v>
          </cell>
          <cell r="M1339" t="str">
            <v>Estacion Central</v>
          </cell>
          <cell r="N1339" t="str">
            <v>B</v>
          </cell>
        </row>
        <row r="1340">
          <cell r="B1340" t="str">
            <v>VFRB-67</v>
          </cell>
          <cell r="C1340" t="str">
            <v>MDN35025010216</v>
          </cell>
          <cell r="D1340" t="str">
            <v>LDYECS318S0044107</v>
          </cell>
          <cell r="E1340" t="str">
            <v>Zhong Tong</v>
          </cell>
          <cell r="F1340" t="str">
            <v>Lck6122evg</v>
          </cell>
          <cell r="G1340" t="str">
            <v>ZHONGTONG</v>
          </cell>
          <cell r="H1340" t="str">
            <v>LCK6122EVG</v>
          </cell>
          <cell r="I1340">
            <v>2025</v>
          </cell>
          <cell r="J1340" t="str">
            <v>B</v>
          </cell>
          <cell r="K1340" t="str">
            <v>SAN ALFONSO</v>
          </cell>
          <cell r="L1340" t="str">
            <v>San Alfonso 2141 (Ramón Subercaseaux 3060)</v>
          </cell>
          <cell r="M1340" t="str">
            <v>Estacion Central</v>
          </cell>
          <cell r="N1340" t="str">
            <v>B</v>
          </cell>
        </row>
        <row r="1341">
          <cell r="B1341" t="str">
            <v>VFRB-68</v>
          </cell>
          <cell r="C1341" t="str">
            <v>MDN35025010249</v>
          </cell>
          <cell r="D1341" t="str">
            <v>LDYECS31XS0044092</v>
          </cell>
          <cell r="E1341" t="str">
            <v>Zhong Tong</v>
          </cell>
          <cell r="F1341" t="str">
            <v>Lck6122evg</v>
          </cell>
          <cell r="G1341" t="str">
            <v>ZHONGTONG</v>
          </cell>
          <cell r="H1341" t="str">
            <v>LCK6122EVG</v>
          </cell>
          <cell r="I1341">
            <v>2025</v>
          </cell>
          <cell r="J1341" t="str">
            <v>B</v>
          </cell>
          <cell r="K1341" t="str">
            <v>PIE ANDINO</v>
          </cell>
          <cell r="L1341" t="str">
            <v>Pie Andino 31 (Pie Andino 383)</v>
          </cell>
          <cell r="M1341" t="str">
            <v>Puente Alto</v>
          </cell>
          <cell r="N1341" t="str">
            <v>B</v>
          </cell>
        </row>
        <row r="1342">
          <cell r="B1342" t="str">
            <v>VFRB-81</v>
          </cell>
          <cell r="C1342" t="str">
            <v>MDN35025020118</v>
          </cell>
          <cell r="D1342" t="str">
            <v>LDYECS317S0044096</v>
          </cell>
          <cell r="E1342" t="str">
            <v>Zhong Tong</v>
          </cell>
          <cell r="F1342" t="str">
            <v>Lck6122evg</v>
          </cell>
          <cell r="G1342" t="str">
            <v>ZHONGTONG</v>
          </cell>
          <cell r="H1342" t="str">
            <v>LCK6122EVG</v>
          </cell>
          <cell r="I1342">
            <v>2025</v>
          </cell>
          <cell r="J1342" t="str">
            <v>B</v>
          </cell>
          <cell r="K1342" t="str">
            <v>SAN ALFONSO</v>
          </cell>
          <cell r="L1342" t="str">
            <v>San Alfonso 2141 (Ramón Subercaseaux 3060)</v>
          </cell>
          <cell r="M1342" t="str">
            <v>Estacion Central</v>
          </cell>
          <cell r="N1342" t="str">
            <v>B</v>
          </cell>
        </row>
        <row r="1343">
          <cell r="B1343" t="str">
            <v>VFRC-75</v>
          </cell>
          <cell r="C1343" t="str">
            <v>MDN35025010242</v>
          </cell>
          <cell r="D1343" t="str">
            <v>LDYECS317S0044101</v>
          </cell>
          <cell r="E1343" t="str">
            <v>Zhong Tong</v>
          </cell>
          <cell r="F1343" t="str">
            <v>Lck6122evg</v>
          </cell>
          <cell r="G1343" t="str">
            <v>ZHONGTONG</v>
          </cell>
          <cell r="H1343" t="str">
            <v>LCK6122EVG</v>
          </cell>
          <cell r="I1343">
            <v>2025</v>
          </cell>
          <cell r="J1343" t="str">
            <v>B</v>
          </cell>
          <cell r="K1343" t="str">
            <v>SAN ALFONSO</v>
          </cell>
          <cell r="L1343" t="str">
            <v>San Alfonso 2141 (Ramón Subercaseaux 3060)</v>
          </cell>
          <cell r="M1343" t="str">
            <v>Estacion Central</v>
          </cell>
          <cell r="N1343" t="str">
            <v>B</v>
          </cell>
        </row>
        <row r="1344">
          <cell r="B1344" t="str">
            <v>VFRD-35</v>
          </cell>
          <cell r="C1344" t="str">
            <v>MDN35025020008</v>
          </cell>
          <cell r="D1344" t="str">
            <v>LDYECS310S0044103</v>
          </cell>
          <cell r="E1344" t="str">
            <v>Zhong Tong</v>
          </cell>
          <cell r="F1344" t="str">
            <v>Lck6122evg</v>
          </cell>
          <cell r="G1344" t="str">
            <v>ZHONGTONG</v>
          </cell>
          <cell r="H1344" t="str">
            <v>LCK6122EVG</v>
          </cell>
          <cell r="I1344">
            <v>2025</v>
          </cell>
          <cell r="J1344" t="str">
            <v>B</v>
          </cell>
          <cell r="K1344" t="str">
            <v>PIE ANDINO</v>
          </cell>
          <cell r="L1344" t="str">
            <v>Pie Andino 31 (Pie Andino 383)</v>
          </cell>
          <cell r="M1344" t="str">
            <v>Puente Alto</v>
          </cell>
          <cell r="N1344" t="str">
            <v>B</v>
          </cell>
        </row>
        <row r="1345">
          <cell r="B1345" t="str">
            <v>VFRD-45</v>
          </cell>
          <cell r="C1345" t="str">
            <v>MDN35025020020</v>
          </cell>
          <cell r="D1345" t="str">
            <v>LDYECS310S0044098</v>
          </cell>
          <cell r="E1345" t="str">
            <v>Zhong Tong</v>
          </cell>
          <cell r="F1345" t="str">
            <v>Lck6122evg</v>
          </cell>
          <cell r="G1345" t="str">
            <v>ZHONGTONG</v>
          </cell>
          <cell r="H1345" t="str">
            <v>LCK6122EVG</v>
          </cell>
          <cell r="I1345">
            <v>2025</v>
          </cell>
          <cell r="J1345" t="str">
            <v>B</v>
          </cell>
          <cell r="K1345" t="str">
            <v>SAN ALFONSO</v>
          </cell>
          <cell r="L1345" t="str">
            <v>San Alfonso 2141 (Ramón Subercaseaux 3060)</v>
          </cell>
          <cell r="M1345" t="str">
            <v>Estacion Central</v>
          </cell>
          <cell r="N1345" t="str">
            <v>B</v>
          </cell>
        </row>
        <row r="1346">
          <cell r="B1346" t="str">
            <v>VFRD-55</v>
          </cell>
          <cell r="C1346" t="str">
            <v>MDN35025010252</v>
          </cell>
          <cell r="D1346" t="str">
            <v>LDYECS311S0044093</v>
          </cell>
          <cell r="E1346" t="str">
            <v>Zhong Tong</v>
          </cell>
          <cell r="F1346" t="str">
            <v>Lck6122evg</v>
          </cell>
          <cell r="G1346" t="str">
            <v>ZHONGTONG</v>
          </cell>
          <cell r="H1346" t="str">
            <v>LCK6122EVG</v>
          </cell>
          <cell r="I1346">
            <v>2025</v>
          </cell>
          <cell r="J1346" t="str">
            <v>B</v>
          </cell>
          <cell r="K1346" t="str">
            <v>PIE ANDINO</v>
          </cell>
          <cell r="L1346" t="str">
            <v>Pie Andino 31 (Pie Andino 383)</v>
          </cell>
          <cell r="M1346" t="str">
            <v>Puente Alto</v>
          </cell>
          <cell r="N1346" t="str">
            <v>B</v>
          </cell>
        </row>
        <row r="1347">
          <cell r="B1347" t="str">
            <v>VFRD-65</v>
          </cell>
          <cell r="C1347" t="str">
            <v>MDN35025020014</v>
          </cell>
          <cell r="D1347" t="str">
            <v>LDYECS318S0044091</v>
          </cell>
          <cell r="E1347" t="str">
            <v>Zhong Tong</v>
          </cell>
          <cell r="F1347" t="str">
            <v>Lck6122evg</v>
          </cell>
          <cell r="G1347" t="str">
            <v>ZHONGTONG</v>
          </cell>
          <cell r="H1347" t="str">
            <v>LCK6122EVG</v>
          </cell>
          <cell r="I1347">
            <v>2025</v>
          </cell>
          <cell r="J1347" t="str">
            <v>B</v>
          </cell>
          <cell r="K1347" t="str">
            <v>PIE ANDINO</v>
          </cell>
          <cell r="L1347" t="str">
            <v>Pie Andino 31 (Pie Andino 383)</v>
          </cell>
          <cell r="M1347" t="str">
            <v>Puente Alto</v>
          </cell>
          <cell r="N1347" t="str">
            <v>B</v>
          </cell>
        </row>
        <row r="1348">
          <cell r="B1348" t="str">
            <v>VFRD-75</v>
          </cell>
          <cell r="C1348" t="str">
            <v>MDN35025020004</v>
          </cell>
          <cell r="D1348" t="str">
            <v>LDYECS314S0044105</v>
          </cell>
          <cell r="E1348" t="str">
            <v>Zhong Tong</v>
          </cell>
          <cell r="F1348" t="str">
            <v>Lck6122evg</v>
          </cell>
          <cell r="G1348" t="str">
            <v>ZHONGTONG</v>
          </cell>
          <cell r="H1348" t="str">
            <v>LCK6122EVG</v>
          </cell>
          <cell r="I1348">
            <v>2025</v>
          </cell>
          <cell r="J1348" t="str">
            <v>B</v>
          </cell>
          <cell r="K1348" t="str">
            <v>SAN ALFONSO</v>
          </cell>
          <cell r="L1348" t="str">
            <v>San Alfonso 2141 (Ramón Subercaseaux 3060)</v>
          </cell>
          <cell r="M1348" t="str">
            <v>Estacion Central</v>
          </cell>
          <cell r="N1348" t="str">
            <v>B</v>
          </cell>
        </row>
        <row r="1349">
          <cell r="B1349" t="str">
            <v>VFRD-85</v>
          </cell>
          <cell r="C1349" t="str">
            <v>MDN35025010245</v>
          </cell>
          <cell r="D1349" t="str">
            <v>LDYECS312S0044099</v>
          </cell>
          <cell r="E1349" t="str">
            <v>Zhong Tong</v>
          </cell>
          <cell r="F1349" t="str">
            <v>Lck6122evg</v>
          </cell>
          <cell r="G1349" t="str">
            <v>ZHONGTONG</v>
          </cell>
          <cell r="H1349" t="str">
            <v>LCK6122EVG</v>
          </cell>
          <cell r="I1349">
            <v>2025</v>
          </cell>
          <cell r="J1349" t="str">
            <v>B</v>
          </cell>
          <cell r="K1349" t="str">
            <v>PIE ANDINO</v>
          </cell>
          <cell r="L1349" t="str">
            <v>Pie Andino 31 (Pie Andino 383)</v>
          </cell>
          <cell r="M1349" t="str">
            <v>Puente Alto</v>
          </cell>
          <cell r="N1349" t="str">
            <v>B</v>
          </cell>
        </row>
        <row r="1350">
          <cell r="B1350" t="str">
            <v>VFRD-95</v>
          </cell>
          <cell r="C1350" t="str">
            <v>MDN35025010043</v>
          </cell>
          <cell r="D1350" t="str">
            <v>LDYECS316S0043831</v>
          </cell>
          <cell r="E1350" t="str">
            <v>Zhong Tong</v>
          </cell>
          <cell r="F1350" t="str">
            <v>Lck6122evg</v>
          </cell>
          <cell r="G1350" t="str">
            <v>ZHONGTONG</v>
          </cell>
          <cell r="H1350" t="str">
            <v>LCK6122EVG</v>
          </cell>
          <cell r="I1350">
            <v>2025</v>
          </cell>
          <cell r="J1350" t="str">
            <v>B</v>
          </cell>
          <cell r="K1350" t="str">
            <v>PIE ANDINO</v>
          </cell>
          <cell r="L1350" t="str">
            <v>Pie Andino 31 (Pie Andino 383)</v>
          </cell>
          <cell r="M1350" t="str">
            <v>Puente Alto</v>
          </cell>
          <cell r="N1350" t="str">
            <v>B</v>
          </cell>
        </row>
        <row r="1351">
          <cell r="B1351" t="str">
            <v>VFRF-15</v>
          </cell>
          <cell r="C1351" t="str">
            <v>MDN35025010020</v>
          </cell>
          <cell r="D1351" t="str">
            <v>LDYECS31XS0043833</v>
          </cell>
          <cell r="E1351" t="str">
            <v>Zhong Tong</v>
          </cell>
          <cell r="F1351" t="str">
            <v>Lck6122evg</v>
          </cell>
          <cell r="G1351" t="str">
            <v>ZHONGTONG</v>
          </cell>
          <cell r="H1351" t="str">
            <v>LCK6122EVG</v>
          </cell>
          <cell r="I1351">
            <v>2025</v>
          </cell>
          <cell r="J1351" t="str">
            <v>B</v>
          </cell>
          <cell r="K1351" t="str">
            <v>CERRILLOS</v>
          </cell>
          <cell r="L1351" t="str">
            <v>Calle Uno 7371</v>
          </cell>
          <cell r="M1351" t="str">
            <v>Cerrillos</v>
          </cell>
          <cell r="N1351" t="str">
            <v>B</v>
          </cell>
        </row>
        <row r="1352">
          <cell r="B1352" t="str">
            <v>VFRF-35</v>
          </cell>
          <cell r="C1352" t="str">
            <v>MDN35025010239</v>
          </cell>
          <cell r="D1352" t="str">
            <v>LDYECS311S0043834</v>
          </cell>
          <cell r="E1352" t="str">
            <v>Zhong Tong</v>
          </cell>
          <cell r="F1352" t="str">
            <v>Lck6122evg</v>
          </cell>
          <cell r="G1352" t="str">
            <v>ZHONGTONG</v>
          </cell>
          <cell r="H1352" t="str">
            <v>LCK6122EVG</v>
          </cell>
          <cell r="I1352">
            <v>2025</v>
          </cell>
          <cell r="J1352" t="str">
            <v>B</v>
          </cell>
          <cell r="K1352" t="str">
            <v>PIE ANDINO</v>
          </cell>
          <cell r="L1352" t="str">
            <v>Pie Andino 31 (Pie Andino 383)</v>
          </cell>
          <cell r="M1352" t="str">
            <v>Puente Alto</v>
          </cell>
          <cell r="N1352" t="str">
            <v>B</v>
          </cell>
        </row>
        <row r="1353">
          <cell r="B1353" t="str">
            <v>VFRF-55</v>
          </cell>
          <cell r="C1353" t="str">
            <v>MDN35025010027</v>
          </cell>
          <cell r="D1353" t="str">
            <v>LDYECS314S0043830</v>
          </cell>
          <cell r="E1353" t="str">
            <v>Zhong Tong</v>
          </cell>
          <cell r="F1353" t="str">
            <v>Lck6122evg</v>
          </cell>
          <cell r="G1353" t="str">
            <v>ZHONGTONG</v>
          </cell>
          <cell r="H1353" t="str">
            <v>LCK6122EVG</v>
          </cell>
          <cell r="I1353">
            <v>2025</v>
          </cell>
          <cell r="J1353" t="str">
            <v>B</v>
          </cell>
          <cell r="K1353" t="str">
            <v>CERRILLOS</v>
          </cell>
          <cell r="L1353" t="str">
            <v>Calle Uno 7371</v>
          </cell>
          <cell r="M1353" t="str">
            <v>Cerrillos</v>
          </cell>
          <cell r="N1353" t="str">
            <v>B</v>
          </cell>
        </row>
        <row r="1354">
          <cell r="B1354" t="str">
            <v>VFRF-65</v>
          </cell>
          <cell r="C1354" t="str">
            <v>MDN35025010024</v>
          </cell>
          <cell r="D1354" t="str">
            <v>LDYECS319S0043824</v>
          </cell>
          <cell r="E1354" t="str">
            <v>Zhong Tong</v>
          </cell>
          <cell r="F1354" t="str">
            <v>Lck6122evg</v>
          </cell>
          <cell r="G1354" t="str">
            <v>ZHONGTONG</v>
          </cell>
          <cell r="H1354" t="str">
            <v>LCK6122EVG</v>
          </cell>
          <cell r="I1354">
            <v>2025</v>
          </cell>
          <cell r="J1354" t="str">
            <v>B</v>
          </cell>
          <cell r="K1354" t="str">
            <v>PIE ANDINO</v>
          </cell>
          <cell r="L1354" t="str">
            <v>Pie Andino 31 (Pie Andino 383)</v>
          </cell>
          <cell r="M1354" t="str">
            <v>Puente Alto</v>
          </cell>
          <cell r="N1354" t="str">
            <v>B</v>
          </cell>
        </row>
        <row r="1355">
          <cell r="B1355" t="str">
            <v>VFRF-75</v>
          </cell>
          <cell r="C1355" t="str">
            <v>MDN35025010042</v>
          </cell>
          <cell r="D1355" t="str">
            <v>LDYECS317S0043823</v>
          </cell>
          <cell r="E1355" t="str">
            <v>Zhong Tong</v>
          </cell>
          <cell r="F1355" t="str">
            <v>Lck6122evg</v>
          </cell>
          <cell r="G1355" t="str">
            <v>ZHONGTONG</v>
          </cell>
          <cell r="H1355" t="str">
            <v>LCK6122EVG</v>
          </cell>
          <cell r="I1355">
            <v>2025</v>
          </cell>
          <cell r="J1355" t="str">
            <v>B</v>
          </cell>
          <cell r="K1355" t="str">
            <v>PIE ANDINO</v>
          </cell>
          <cell r="L1355" t="str">
            <v>Pie Andino 31 (Pie Andino 383)</v>
          </cell>
          <cell r="M1355" t="str">
            <v>Puente Alto</v>
          </cell>
          <cell r="N1355" t="str">
            <v>B</v>
          </cell>
        </row>
        <row r="1356">
          <cell r="B1356" t="str">
            <v>VFRF-85</v>
          </cell>
          <cell r="C1356" t="str">
            <v>MDN35025010034</v>
          </cell>
          <cell r="D1356" t="str">
            <v>LDYECS310S0043839</v>
          </cell>
          <cell r="E1356" t="str">
            <v>Zhong Tong</v>
          </cell>
          <cell r="F1356" t="str">
            <v>Lck6122evg</v>
          </cell>
          <cell r="G1356" t="str">
            <v>ZHONGTONG</v>
          </cell>
          <cell r="H1356" t="str">
            <v>LCK6122EVG</v>
          </cell>
          <cell r="I1356">
            <v>2025</v>
          </cell>
          <cell r="J1356" t="str">
            <v>B</v>
          </cell>
          <cell r="K1356" t="str">
            <v>PIE ANDINO</v>
          </cell>
          <cell r="L1356" t="str">
            <v>Pie Andino 31 (Pie Andino 383)</v>
          </cell>
          <cell r="M1356" t="str">
            <v>Puente Alto</v>
          </cell>
          <cell r="N1356" t="str">
            <v>B</v>
          </cell>
        </row>
        <row r="1357">
          <cell r="B1357" t="str">
            <v>VFRF-95</v>
          </cell>
          <cell r="C1357" t="str">
            <v>MDN35025020016</v>
          </cell>
          <cell r="D1357" t="str">
            <v>LDYECS311S0043820</v>
          </cell>
          <cell r="E1357" t="str">
            <v>Zhong Tong</v>
          </cell>
          <cell r="F1357" t="str">
            <v>Lck6122evg</v>
          </cell>
          <cell r="G1357" t="str">
            <v>ZHONGTONG</v>
          </cell>
          <cell r="H1357" t="str">
            <v>LCK6122EVG</v>
          </cell>
          <cell r="I1357">
            <v>2025</v>
          </cell>
          <cell r="J1357" t="str">
            <v>B</v>
          </cell>
          <cell r="K1357" t="str">
            <v>PIE ANDINO</v>
          </cell>
          <cell r="L1357" t="str">
            <v>Pie Andino 31 (Pie Andino 383)</v>
          </cell>
          <cell r="M1357" t="str">
            <v>Puente Alto</v>
          </cell>
          <cell r="N1357" t="str">
            <v>B</v>
          </cell>
        </row>
        <row r="1358">
          <cell r="B1358" t="str">
            <v>VFRG-15</v>
          </cell>
          <cell r="C1358" t="str">
            <v>MDN35025010090</v>
          </cell>
          <cell r="D1358" t="str">
            <v>LDYECS315S0043822</v>
          </cell>
          <cell r="E1358" t="str">
            <v>Zhong Tong</v>
          </cell>
          <cell r="F1358" t="str">
            <v>Lck6122evg</v>
          </cell>
          <cell r="G1358" t="str">
            <v>ZHONGTONG</v>
          </cell>
          <cell r="H1358" t="str">
            <v>LCK6122EVG</v>
          </cell>
          <cell r="I1358">
            <v>2025</v>
          </cell>
          <cell r="J1358" t="str">
            <v>B</v>
          </cell>
          <cell r="K1358" t="str">
            <v>CERRILLOS</v>
          </cell>
          <cell r="L1358" t="str">
            <v>Calle Uno 7371</v>
          </cell>
          <cell r="M1358" t="str">
            <v>Cerrillos</v>
          </cell>
          <cell r="N1358" t="str">
            <v>B</v>
          </cell>
        </row>
        <row r="1359">
          <cell r="B1359" t="str">
            <v>VFRG-25</v>
          </cell>
          <cell r="C1359" t="str">
            <v>MDN35025020041</v>
          </cell>
          <cell r="D1359" t="str">
            <v>LDYECS319S0044097</v>
          </cell>
          <cell r="E1359" t="str">
            <v>Zhong Tong</v>
          </cell>
          <cell r="F1359" t="str">
            <v>Lck6122evg</v>
          </cell>
          <cell r="G1359" t="str">
            <v>ZHONGTONG</v>
          </cell>
          <cell r="H1359" t="str">
            <v>LCK6122EVG</v>
          </cell>
          <cell r="I1359">
            <v>2025</v>
          </cell>
          <cell r="J1359" t="str">
            <v>B</v>
          </cell>
          <cell r="K1359" t="str">
            <v>PIE ANDINO</v>
          </cell>
          <cell r="L1359" t="str">
            <v>Pie Andino 31 (Pie Andino 383)</v>
          </cell>
          <cell r="M1359" t="str">
            <v>Puente Alto</v>
          </cell>
          <cell r="N1359" t="str">
            <v>B</v>
          </cell>
        </row>
        <row r="1360">
          <cell r="B1360" t="str">
            <v>VFRG-35</v>
          </cell>
          <cell r="C1360" t="str">
            <v>MDN35025010093</v>
          </cell>
          <cell r="D1360" t="str">
            <v>LDYECS318S0043846</v>
          </cell>
          <cell r="E1360" t="str">
            <v>Zhong Tong</v>
          </cell>
          <cell r="F1360" t="str">
            <v>Lck6122evg</v>
          </cell>
          <cell r="G1360" t="str">
            <v>ZHONGTONG</v>
          </cell>
          <cell r="H1360" t="str">
            <v>LCK6122EVG</v>
          </cell>
          <cell r="I1360">
            <v>2025</v>
          </cell>
          <cell r="J1360" t="str">
            <v>B</v>
          </cell>
          <cell r="K1360" t="str">
            <v>PIE ANDINO</v>
          </cell>
          <cell r="L1360" t="str">
            <v>Pie Andino 31 (Pie Andino 383)</v>
          </cell>
          <cell r="M1360" t="str">
            <v>Puente Alto</v>
          </cell>
          <cell r="N1360" t="str">
            <v>B</v>
          </cell>
        </row>
        <row r="1361">
          <cell r="B1361" t="str">
            <v>VFRG-45</v>
          </cell>
          <cell r="C1361" t="str">
            <v>MDN35025010087</v>
          </cell>
          <cell r="D1361" t="str">
            <v>LDYECS318S0043829</v>
          </cell>
          <cell r="E1361" t="str">
            <v>Zhong Tong</v>
          </cell>
          <cell r="F1361" t="str">
            <v>Lck6122evg</v>
          </cell>
          <cell r="G1361" t="str">
            <v>ZHONGTONG</v>
          </cell>
          <cell r="H1361" t="str">
            <v>LCK6122EVG</v>
          </cell>
          <cell r="I1361">
            <v>2025</v>
          </cell>
          <cell r="J1361" t="str">
            <v>B</v>
          </cell>
          <cell r="K1361" t="str">
            <v>PIE ANDINO</v>
          </cell>
          <cell r="L1361" t="str">
            <v>Pie Andino 31 (Pie Andino 383)</v>
          </cell>
          <cell r="M1361" t="str">
            <v>Puente Alto</v>
          </cell>
          <cell r="N1361" t="str">
            <v>B</v>
          </cell>
        </row>
        <row r="1362">
          <cell r="B1362" t="str">
            <v>VGBS-15</v>
          </cell>
          <cell r="C1362" t="str">
            <v>MDN35025010031</v>
          </cell>
          <cell r="D1362" t="str">
            <v>LDYECS318S0043832</v>
          </cell>
          <cell r="E1362" t="str">
            <v>Zhong Tong</v>
          </cell>
          <cell r="F1362" t="str">
            <v>Lck6122evg</v>
          </cell>
          <cell r="G1362" t="str">
            <v>ZHONGTONG</v>
          </cell>
          <cell r="H1362" t="str">
            <v>LCK6122EVG</v>
          </cell>
          <cell r="I1362">
            <v>2025</v>
          </cell>
          <cell r="J1362" t="str">
            <v>B</v>
          </cell>
          <cell r="K1362" t="str">
            <v>SAN ALFONSO</v>
          </cell>
          <cell r="L1362" t="str">
            <v>San Alfonso 2141 (Ramón Subercaseaux 3060)</v>
          </cell>
          <cell r="M1362" t="str">
            <v>Estacion Central</v>
          </cell>
          <cell r="N1362" t="str">
            <v>B</v>
          </cell>
        </row>
        <row r="1363">
          <cell r="B1363" t="str">
            <v>VGBV-29</v>
          </cell>
          <cell r="C1363" t="str">
            <v>MDN35025010251</v>
          </cell>
          <cell r="D1363" t="str">
            <v>LDYECS314S0043844</v>
          </cell>
          <cell r="E1363" t="str">
            <v>Zhong Tong</v>
          </cell>
          <cell r="F1363" t="str">
            <v>Lck6122evg</v>
          </cell>
          <cell r="G1363" t="str">
            <v>ZHONGTONG</v>
          </cell>
          <cell r="H1363" t="str">
            <v>LCK6122EVG</v>
          </cell>
          <cell r="I1363">
            <v>2025</v>
          </cell>
          <cell r="J1363" t="str">
            <v>B</v>
          </cell>
          <cell r="K1363" t="str">
            <v>SAN ALFONSO</v>
          </cell>
          <cell r="L1363" t="str">
            <v>San Alfonso 2141 (Ramón Subercaseaux 3060)</v>
          </cell>
          <cell r="M1363" t="str">
            <v>Estacion Central</v>
          </cell>
          <cell r="N1363" t="str">
            <v>B</v>
          </cell>
        </row>
        <row r="1364">
          <cell r="B1364" t="str">
            <v>VGBV-35</v>
          </cell>
          <cell r="C1364" t="str">
            <v>MDN35025010092</v>
          </cell>
          <cell r="D1364" t="str">
            <v>LDYECS316S0043828</v>
          </cell>
          <cell r="E1364" t="str">
            <v>Zhong Tong</v>
          </cell>
          <cell r="F1364" t="str">
            <v>Lck6122evg</v>
          </cell>
          <cell r="G1364" t="str">
            <v>ZHONGTONG</v>
          </cell>
          <cell r="H1364" t="str">
            <v>LCK6122EVG</v>
          </cell>
          <cell r="I1364">
            <v>2025</v>
          </cell>
          <cell r="J1364" t="str">
            <v>B</v>
          </cell>
          <cell r="K1364" t="str">
            <v>SAN ALFONSO</v>
          </cell>
          <cell r="L1364" t="str">
            <v>San Alfonso 2141 (Ramón Subercaseaux 3060)</v>
          </cell>
          <cell r="M1364" t="str">
            <v>Estacion Central</v>
          </cell>
          <cell r="N1364" t="str">
            <v>B</v>
          </cell>
        </row>
        <row r="1365">
          <cell r="B1365" t="str">
            <v>VGBV-36</v>
          </cell>
          <cell r="C1365" t="str">
            <v>MDN35025010241</v>
          </cell>
          <cell r="D1365" t="str">
            <v>LDYECS312S0043843</v>
          </cell>
          <cell r="E1365" t="str">
            <v>Zhong Tong</v>
          </cell>
          <cell r="F1365" t="str">
            <v>Lck6122evg</v>
          </cell>
          <cell r="G1365" t="str">
            <v>ZHONGTONG</v>
          </cell>
          <cell r="H1365" t="str">
            <v>LCK6122EVG</v>
          </cell>
          <cell r="I1365">
            <v>2025</v>
          </cell>
          <cell r="J1365" t="str">
            <v>B</v>
          </cell>
          <cell r="K1365" t="str">
            <v>PIE ANDINO</v>
          </cell>
          <cell r="L1365" t="str">
            <v>Pie Andino 31 (Pie Andino 383)</v>
          </cell>
          <cell r="M1365" t="str">
            <v>Puente Alto</v>
          </cell>
          <cell r="N1365" t="str">
            <v>B</v>
          </cell>
        </row>
        <row r="1366">
          <cell r="B1366" t="str">
            <v>VGBV-41</v>
          </cell>
          <cell r="C1366" t="str">
            <v>MDN35025010100</v>
          </cell>
          <cell r="D1366" t="str">
            <v>LDYECS319S0043841</v>
          </cell>
          <cell r="E1366" t="str">
            <v>Zhong Tong</v>
          </cell>
          <cell r="F1366" t="str">
            <v>Lck6122evg</v>
          </cell>
          <cell r="G1366" t="str">
            <v>ZHONGTONG</v>
          </cell>
          <cell r="H1366" t="str">
            <v>LCK6122EVG</v>
          </cell>
          <cell r="I1366">
            <v>2025</v>
          </cell>
          <cell r="J1366" t="str">
            <v>B</v>
          </cell>
          <cell r="K1366" t="str">
            <v>CERRILLOS</v>
          </cell>
          <cell r="L1366" t="str">
            <v>Calle Uno 7371</v>
          </cell>
          <cell r="M1366" t="str">
            <v>Cerrillos</v>
          </cell>
          <cell r="N1366" t="str">
            <v>B</v>
          </cell>
        </row>
        <row r="1367">
          <cell r="B1367" t="str">
            <v>VGBV-51</v>
          </cell>
          <cell r="C1367" t="str">
            <v>MDN35025010022</v>
          </cell>
          <cell r="D1367" t="str">
            <v>LDYECS312S0043826</v>
          </cell>
          <cell r="E1367" t="str">
            <v>Zhong Tong</v>
          </cell>
          <cell r="F1367" t="str">
            <v>Lck6122evg</v>
          </cell>
          <cell r="G1367" t="str">
            <v>ZHONGTONG</v>
          </cell>
          <cell r="H1367" t="str">
            <v>LCK6122EVG</v>
          </cell>
          <cell r="I1367">
            <v>2025</v>
          </cell>
          <cell r="J1367" t="str">
            <v>B</v>
          </cell>
          <cell r="K1367" t="str">
            <v>SAN ALFONSO</v>
          </cell>
          <cell r="L1367" t="str">
            <v>San Alfonso 2141 (Ramón Subercaseaux 3060)</v>
          </cell>
          <cell r="M1367" t="str">
            <v>Estacion Central</v>
          </cell>
          <cell r="N1367" t="str">
            <v>B</v>
          </cell>
        </row>
        <row r="1368">
          <cell r="B1368" t="str">
            <v>VGBV-55</v>
          </cell>
          <cell r="C1368" t="str">
            <v>MDN35025010032</v>
          </cell>
          <cell r="D1368" t="str">
            <v>LDYECS315S0043836</v>
          </cell>
          <cell r="E1368" t="str">
            <v>Zhong Tong</v>
          </cell>
          <cell r="F1368" t="str">
            <v>Lck6122evg</v>
          </cell>
          <cell r="G1368" t="str">
            <v>ZHONGTONG</v>
          </cell>
          <cell r="H1368" t="str">
            <v>LCK6122EVG</v>
          </cell>
          <cell r="I1368">
            <v>2025</v>
          </cell>
          <cell r="J1368" t="str">
            <v>B</v>
          </cell>
          <cell r="K1368" t="str">
            <v>PIE ANDINO</v>
          </cell>
          <cell r="L1368" t="str">
            <v>Pie Andino 31 (Pie Andino 383)</v>
          </cell>
          <cell r="M1368" t="str">
            <v>Puente Alto</v>
          </cell>
          <cell r="N1368" t="str">
            <v>B</v>
          </cell>
        </row>
        <row r="1369">
          <cell r="B1369" t="str">
            <v>VGBV-69</v>
          </cell>
          <cell r="C1369" t="str">
            <v>MDN35025010096</v>
          </cell>
          <cell r="D1369" t="str">
            <v>LDYECS310S0043825</v>
          </cell>
          <cell r="E1369" t="str">
            <v>Zhong Tong</v>
          </cell>
          <cell r="F1369" t="str">
            <v>Lck6122evg</v>
          </cell>
          <cell r="G1369" t="str">
            <v>ZHONGTONG</v>
          </cell>
          <cell r="H1369" t="str">
            <v>LCK6122EVG</v>
          </cell>
          <cell r="I1369">
            <v>2025</v>
          </cell>
          <cell r="J1369" t="str">
            <v>B</v>
          </cell>
          <cell r="K1369" t="str">
            <v>SAN ALFONSO</v>
          </cell>
          <cell r="L1369" t="str">
            <v>San Alfonso 2141 (Ramón Subercaseaux 3060)</v>
          </cell>
          <cell r="M1369" t="str">
            <v>Estacion Central</v>
          </cell>
          <cell r="N1369" t="str">
            <v>B</v>
          </cell>
        </row>
        <row r="1370">
          <cell r="B1370" t="str">
            <v>VGBV-79</v>
          </cell>
          <cell r="C1370" t="str">
            <v>MDN35025010133</v>
          </cell>
          <cell r="D1370" t="str">
            <v>LDYECS310S0043842</v>
          </cell>
          <cell r="E1370" t="str">
            <v>Zhong Tong</v>
          </cell>
          <cell r="F1370" t="str">
            <v>Lck6122evg</v>
          </cell>
          <cell r="G1370" t="str">
            <v>ZHONGTONG</v>
          </cell>
          <cell r="H1370" t="str">
            <v>LCK6122EVG</v>
          </cell>
          <cell r="I1370">
            <v>2025</v>
          </cell>
          <cell r="J1370" t="str">
            <v>B</v>
          </cell>
          <cell r="K1370" t="str">
            <v>SAN ALFONSO</v>
          </cell>
          <cell r="L1370" t="str">
            <v>San Alfonso 2141 (Ramón Subercaseaux 3060)</v>
          </cell>
          <cell r="M1370" t="str">
            <v>Estacion Central</v>
          </cell>
          <cell r="N1370" t="str">
            <v>B</v>
          </cell>
        </row>
        <row r="1371">
          <cell r="B1371" t="str">
            <v>VGBV-99</v>
          </cell>
          <cell r="C1371" t="str">
            <v>MDN35025020065</v>
          </cell>
          <cell r="D1371" t="str">
            <v>LDYECS317S0043854</v>
          </cell>
          <cell r="E1371" t="str">
            <v>Zhong Tong</v>
          </cell>
          <cell r="F1371" t="str">
            <v>Lck6122evg</v>
          </cell>
          <cell r="G1371" t="str">
            <v>ZHONGTONG</v>
          </cell>
          <cell r="H1371" t="str">
            <v>LCK6122EVG</v>
          </cell>
          <cell r="I1371">
            <v>2025</v>
          </cell>
          <cell r="J1371" t="str">
            <v>B</v>
          </cell>
          <cell r="K1371" t="str">
            <v>PIE ANDINO</v>
          </cell>
          <cell r="L1371" t="str">
            <v>Pie Andino 31 (Pie Andino 383)</v>
          </cell>
          <cell r="M1371" t="str">
            <v>Puente Alto</v>
          </cell>
          <cell r="N1371" t="str">
            <v>B</v>
          </cell>
        </row>
        <row r="1372">
          <cell r="B1372" t="str">
            <v>VGBW-19</v>
          </cell>
          <cell r="C1372" t="str">
            <v>MDN35025020066</v>
          </cell>
          <cell r="D1372" t="str">
            <v>LDYECS313S0043849</v>
          </cell>
          <cell r="E1372" t="str">
            <v>Zhong Tong</v>
          </cell>
          <cell r="F1372" t="str">
            <v>Lck6122evg</v>
          </cell>
          <cell r="G1372" t="str">
            <v>ZHONGTONG</v>
          </cell>
          <cell r="H1372" t="str">
            <v>LCK6122EVG</v>
          </cell>
          <cell r="I1372">
            <v>2025</v>
          </cell>
          <cell r="J1372" t="str">
            <v>B</v>
          </cell>
          <cell r="K1372" t="str">
            <v>PIE ANDINO</v>
          </cell>
          <cell r="L1372" t="str">
            <v>Pie Andino 31 (Pie Andino 383)</v>
          </cell>
          <cell r="M1372" t="str">
            <v>Puente Alto</v>
          </cell>
          <cell r="N1372" t="str">
            <v>B</v>
          </cell>
        </row>
        <row r="1373">
          <cell r="B1373" t="str">
            <v>VGBW-29</v>
          </cell>
          <cell r="C1373" t="str">
            <v>MDN35025010238</v>
          </cell>
          <cell r="D1373" t="str">
            <v>LDYECS311S0043848</v>
          </cell>
          <cell r="E1373" t="str">
            <v>Zhong Tong</v>
          </cell>
          <cell r="F1373" t="str">
            <v>Lck6122evg</v>
          </cell>
          <cell r="G1373" t="str">
            <v>ZHONGTONG</v>
          </cell>
          <cell r="H1373" t="str">
            <v>LCK6122EVG</v>
          </cell>
          <cell r="I1373">
            <v>2025</v>
          </cell>
          <cell r="J1373" t="str">
            <v>B</v>
          </cell>
          <cell r="K1373" t="str">
            <v>PIE ANDINO</v>
          </cell>
          <cell r="L1373" t="str">
            <v>Pie Andino 31 (Pie Andino 383)</v>
          </cell>
          <cell r="M1373" t="str">
            <v>Puente Alto</v>
          </cell>
          <cell r="N1373" t="str">
            <v>B</v>
          </cell>
        </row>
        <row r="1374">
          <cell r="B1374" t="str">
            <v>VGBW-39</v>
          </cell>
          <cell r="C1374" t="str">
            <v>MDN35025010109</v>
          </cell>
          <cell r="D1374" t="str">
            <v>LDYECS31XS0043847</v>
          </cell>
          <cell r="E1374" t="str">
            <v>Zhong Tong</v>
          </cell>
          <cell r="F1374" t="str">
            <v>Lck6122evg</v>
          </cell>
          <cell r="G1374" t="str">
            <v>ZHONGTONG</v>
          </cell>
          <cell r="H1374" t="str">
            <v>LCK6122EVG</v>
          </cell>
          <cell r="I1374">
            <v>2025</v>
          </cell>
          <cell r="J1374" t="str">
            <v>B</v>
          </cell>
          <cell r="K1374" t="str">
            <v>SAN ALFONSO</v>
          </cell>
          <cell r="L1374" t="str">
            <v>San Alfonso 2141 (Ramón Subercaseaux 3060)</v>
          </cell>
          <cell r="M1374" t="str">
            <v>Estacion Central</v>
          </cell>
          <cell r="N1374" t="str">
            <v>B</v>
          </cell>
        </row>
        <row r="1375">
          <cell r="B1375" t="str">
            <v>VGBW-48</v>
          </cell>
          <cell r="C1375" t="str">
            <v>MDN35025010035</v>
          </cell>
          <cell r="D1375" t="str">
            <v>LDYECS314S0043827</v>
          </cell>
          <cell r="E1375" t="str">
            <v>Zhong Tong</v>
          </cell>
          <cell r="F1375" t="str">
            <v>Lck6122evg</v>
          </cell>
          <cell r="G1375" t="str">
            <v>ZHONGTONG</v>
          </cell>
          <cell r="H1375" t="str">
            <v>LCK6122EVG</v>
          </cell>
          <cell r="I1375">
            <v>2025</v>
          </cell>
          <cell r="J1375" t="str">
            <v>B</v>
          </cell>
          <cell r="K1375" t="str">
            <v>PIE ANDINO</v>
          </cell>
          <cell r="L1375" t="str">
            <v>Pie Andino 31 (Pie Andino 383)</v>
          </cell>
          <cell r="M1375" t="str">
            <v>Puente Alto</v>
          </cell>
          <cell r="N1375" t="str">
            <v>B</v>
          </cell>
        </row>
        <row r="1376">
          <cell r="B1376" t="str">
            <v>VGBW-58</v>
          </cell>
          <cell r="C1376" t="str">
            <v>MDN35025010026</v>
          </cell>
          <cell r="D1376" t="str">
            <v>LDYECS313S0043835</v>
          </cell>
          <cell r="E1376" t="str">
            <v>Zhong Tong</v>
          </cell>
          <cell r="F1376" t="str">
            <v>Lck6122evg</v>
          </cell>
          <cell r="G1376" t="str">
            <v>ZHONGTONG</v>
          </cell>
          <cell r="H1376" t="str">
            <v>LCK6122EVG</v>
          </cell>
          <cell r="I1376">
            <v>2025</v>
          </cell>
          <cell r="J1376" t="str">
            <v>B</v>
          </cell>
          <cell r="K1376" t="str">
            <v>PIE ANDINO</v>
          </cell>
          <cell r="L1376" t="str">
            <v>Pie Andino 31 (Pie Andino 383)</v>
          </cell>
          <cell r="M1376" t="str">
            <v>Puente Alto</v>
          </cell>
          <cell r="N1376" t="str">
            <v>B</v>
          </cell>
        </row>
        <row r="1377">
          <cell r="B1377" t="str">
            <v>VGBW-68</v>
          </cell>
          <cell r="C1377" t="str">
            <v>MDN35025020082</v>
          </cell>
          <cell r="D1377" t="str">
            <v>LDYECS315S0043853</v>
          </cell>
          <cell r="E1377" t="str">
            <v>Zhong Tong</v>
          </cell>
          <cell r="F1377" t="str">
            <v>Lck6122evg</v>
          </cell>
          <cell r="G1377" t="str">
            <v>ZHONGTONG</v>
          </cell>
          <cell r="H1377" t="str">
            <v>LCK6122EVG</v>
          </cell>
          <cell r="I1377">
            <v>2025</v>
          </cell>
          <cell r="J1377" t="str">
            <v>B</v>
          </cell>
          <cell r="K1377" t="str">
            <v>CERRILLOS</v>
          </cell>
          <cell r="L1377" t="str">
            <v>Calle Uno 7371</v>
          </cell>
          <cell r="M1377" t="str">
            <v>Cerrillos</v>
          </cell>
          <cell r="N1377" t="str">
            <v>B</v>
          </cell>
        </row>
        <row r="1378">
          <cell r="B1378" t="str">
            <v>VGBW-98</v>
          </cell>
          <cell r="C1378" t="str">
            <v>MDN35025010099</v>
          </cell>
          <cell r="D1378" t="str">
            <v>LDYECS317S0043837</v>
          </cell>
          <cell r="E1378" t="str">
            <v>Zhong Tong</v>
          </cell>
          <cell r="F1378" t="str">
            <v>Lck6122evg</v>
          </cell>
          <cell r="G1378" t="str">
            <v>ZHONGTONG</v>
          </cell>
          <cell r="H1378" t="str">
            <v>LCK6122EVG</v>
          </cell>
          <cell r="I1378">
            <v>2025</v>
          </cell>
          <cell r="J1378" t="str">
            <v>B</v>
          </cell>
          <cell r="K1378" t="str">
            <v>SAN ALFONSO</v>
          </cell>
          <cell r="L1378" t="str">
            <v>San Alfonso 2141 (Ramón Subercaseaux 3060)</v>
          </cell>
          <cell r="M1378" t="str">
            <v>Estacion Central</v>
          </cell>
          <cell r="N1378" t="str">
            <v>B</v>
          </cell>
        </row>
        <row r="1379">
          <cell r="B1379" t="str">
            <v>VGBW-99</v>
          </cell>
          <cell r="C1379" t="str">
            <v>MDN35025020081</v>
          </cell>
          <cell r="D1379" t="str">
            <v>LDYECS313S0043852</v>
          </cell>
          <cell r="E1379" t="str">
            <v>Zhong Tong</v>
          </cell>
          <cell r="F1379" t="str">
            <v>Lck6122evg</v>
          </cell>
          <cell r="G1379" t="str">
            <v>ZHONGTONG</v>
          </cell>
          <cell r="H1379" t="str">
            <v>LCK6122EVG</v>
          </cell>
          <cell r="I1379">
            <v>2025</v>
          </cell>
          <cell r="J1379" t="str">
            <v>B</v>
          </cell>
          <cell r="K1379" t="str">
            <v>SAN ALFONSO</v>
          </cell>
          <cell r="L1379" t="str">
            <v>San Alfonso 2141 (Ramón Subercaseaux 3060)</v>
          </cell>
          <cell r="M1379" t="str">
            <v>Estacion Central</v>
          </cell>
          <cell r="N1379" t="str">
            <v>B</v>
          </cell>
        </row>
        <row r="1380">
          <cell r="B1380" t="str">
            <v>VGBX-29</v>
          </cell>
          <cell r="C1380" t="str">
            <v>MDN35025010250</v>
          </cell>
          <cell r="D1380" t="str">
            <v>LDYECS316S0043845</v>
          </cell>
          <cell r="E1380" t="str">
            <v>Zhong Tong</v>
          </cell>
          <cell r="F1380" t="str">
            <v>Lck6122evg</v>
          </cell>
          <cell r="G1380" t="str">
            <v>ZHONGTONG</v>
          </cell>
          <cell r="H1380" t="str">
            <v>LCK6122EVG</v>
          </cell>
          <cell r="I1380">
            <v>2025</v>
          </cell>
          <cell r="J1380" t="str">
            <v>B</v>
          </cell>
          <cell r="K1380" t="str">
            <v>PIE ANDINO</v>
          </cell>
          <cell r="L1380" t="str">
            <v>Pie Andino 31 (Pie Andino 383)</v>
          </cell>
          <cell r="M1380" t="str">
            <v>Puente Alto</v>
          </cell>
          <cell r="N1380" t="str">
            <v>B</v>
          </cell>
        </row>
        <row r="1381">
          <cell r="B1381" t="str">
            <v>VGBX-48</v>
          </cell>
          <cell r="C1381" t="str">
            <v>MDN35025010138</v>
          </cell>
          <cell r="D1381" t="str">
            <v>LDYECS31XS0043850</v>
          </cell>
          <cell r="E1381" t="str">
            <v>Zhong Tong</v>
          </cell>
          <cell r="F1381" t="str">
            <v>Lck6122evg</v>
          </cell>
          <cell r="G1381" t="str">
            <v>ZHONGTONG</v>
          </cell>
          <cell r="H1381" t="str">
            <v>LCK6122EVG</v>
          </cell>
          <cell r="I1381">
            <v>2025</v>
          </cell>
          <cell r="J1381" t="str">
            <v>B</v>
          </cell>
          <cell r="K1381" t="str">
            <v>PIE ANDINO</v>
          </cell>
          <cell r="L1381" t="str">
            <v>Pie Andino 31 (Pie Andino 383)</v>
          </cell>
          <cell r="M1381" t="str">
            <v>Puente Alto</v>
          </cell>
          <cell r="N1381" t="str">
            <v>B</v>
          </cell>
        </row>
        <row r="1382">
          <cell r="B1382" t="str">
            <v>VGBX-49</v>
          </cell>
          <cell r="C1382" t="str">
            <v>MDN35025020236</v>
          </cell>
          <cell r="D1382" t="str">
            <v>LDYECS310S0043856</v>
          </cell>
          <cell r="E1382" t="str">
            <v>Zhong Tong</v>
          </cell>
          <cell r="F1382" t="str">
            <v>Lck6122evg</v>
          </cell>
          <cell r="G1382" t="str">
            <v>ZHONGTONG</v>
          </cell>
          <cell r="H1382" t="str">
            <v>LCK6122EVG</v>
          </cell>
          <cell r="I1382">
            <v>2025</v>
          </cell>
          <cell r="J1382" t="str">
            <v>B</v>
          </cell>
          <cell r="K1382" t="str">
            <v>PIE ANDINO</v>
          </cell>
          <cell r="L1382" t="str">
            <v>Pie Andino 31 (Pie Andino 383)</v>
          </cell>
          <cell r="M1382" t="str">
            <v>Puente Alto</v>
          </cell>
          <cell r="N1382" t="str">
            <v>B</v>
          </cell>
        </row>
        <row r="1383">
          <cell r="B1383" t="str">
            <v>VGBX-58</v>
          </cell>
          <cell r="C1383" t="str">
            <v>MDN35025010240</v>
          </cell>
          <cell r="D1383" t="str">
            <v>LDYECS317S0043840</v>
          </cell>
          <cell r="E1383" t="str">
            <v>Zhong Tong</v>
          </cell>
          <cell r="F1383" t="str">
            <v>Lck6122evg</v>
          </cell>
          <cell r="G1383" t="str">
            <v>ZHONGTONG</v>
          </cell>
          <cell r="H1383" t="str">
            <v>LCK6122EVG</v>
          </cell>
          <cell r="I1383">
            <v>2025</v>
          </cell>
          <cell r="J1383" t="str">
            <v>B</v>
          </cell>
          <cell r="K1383" t="str">
            <v>PIE ANDINO</v>
          </cell>
          <cell r="L1383" t="str">
            <v>Pie Andino 31 (Pie Andino 383)</v>
          </cell>
          <cell r="M1383" t="str">
            <v>Puente Alto</v>
          </cell>
          <cell r="N1383" t="str">
            <v>B</v>
          </cell>
        </row>
        <row r="1384">
          <cell r="B1384" t="str">
            <v>VGBX-59</v>
          </cell>
          <cell r="C1384" t="str">
            <v>MDN35025010141</v>
          </cell>
          <cell r="D1384" t="str">
            <v>LDYECS319S0043855</v>
          </cell>
          <cell r="E1384" t="str">
            <v>Zhong Tong</v>
          </cell>
          <cell r="F1384" t="str">
            <v>Lck6122evg</v>
          </cell>
          <cell r="G1384" t="str">
            <v>ZHONGTONG</v>
          </cell>
          <cell r="H1384" t="str">
            <v>LCK6122EVG</v>
          </cell>
          <cell r="I1384">
            <v>2025</v>
          </cell>
          <cell r="J1384" t="str">
            <v>B</v>
          </cell>
          <cell r="K1384" t="str">
            <v>LOS LIBERTADORES</v>
          </cell>
          <cell r="L1384" t="str">
            <v>Los Liberadores 6450, Lote 4A</v>
          </cell>
          <cell r="M1384" t="str">
            <v>Huechuraba</v>
          </cell>
          <cell r="N1384" t="str">
            <v>B</v>
          </cell>
        </row>
        <row r="1385">
          <cell r="B1385" t="str">
            <v>VGBX-78</v>
          </cell>
          <cell r="C1385" t="str">
            <v>MDN35025010088</v>
          </cell>
          <cell r="D1385" t="str">
            <v>LDYECS319S0043838</v>
          </cell>
          <cell r="E1385" t="str">
            <v>Zhong Tong</v>
          </cell>
          <cell r="F1385" t="str">
            <v>Lck6122evg</v>
          </cell>
          <cell r="G1385" t="str">
            <v>ZHONGTONG</v>
          </cell>
          <cell r="H1385" t="str">
            <v>LCK6122EVG</v>
          </cell>
          <cell r="I1385">
            <v>2025</v>
          </cell>
          <cell r="J1385" t="str">
            <v>B</v>
          </cell>
          <cell r="K1385" t="str">
            <v>LOS LIBERTADORES</v>
          </cell>
          <cell r="L1385" t="str">
            <v>Los Liberadores 6450, Lote 4A</v>
          </cell>
          <cell r="M1385" t="str">
            <v>Huechuraba</v>
          </cell>
          <cell r="N1385" t="str">
            <v>B</v>
          </cell>
        </row>
        <row r="1386">
          <cell r="B1386" t="str">
            <v>VGCB-39</v>
          </cell>
          <cell r="C1386" t="str">
            <v>MDN35025010137</v>
          </cell>
          <cell r="D1386" t="str">
            <v>LDYECS311S0043851</v>
          </cell>
          <cell r="E1386" t="str">
            <v>Zhong Tong</v>
          </cell>
          <cell r="F1386" t="str">
            <v>Lck6122evg</v>
          </cell>
          <cell r="G1386" t="str">
            <v>ZHONGTONG</v>
          </cell>
          <cell r="H1386" t="str">
            <v>LCK6122EVG</v>
          </cell>
          <cell r="I1386">
            <v>2025</v>
          </cell>
          <cell r="J1386" t="str">
            <v>B</v>
          </cell>
          <cell r="K1386" t="str">
            <v>LOS LIBERTADORES</v>
          </cell>
          <cell r="L1386" t="str">
            <v>Los Liberadores 6450, Lote 4A</v>
          </cell>
          <cell r="M1386" t="str">
            <v>Huechuraba</v>
          </cell>
          <cell r="N1386" t="str">
            <v>B</v>
          </cell>
        </row>
        <row r="1387">
          <cell r="B1387" t="str">
            <v>VGCB-59</v>
          </cell>
          <cell r="C1387" t="str">
            <v>MDN35025010142</v>
          </cell>
          <cell r="D1387" t="str">
            <v>LDYECS312S0043857</v>
          </cell>
          <cell r="E1387" t="str">
            <v>Zhong Tong</v>
          </cell>
          <cell r="F1387" t="str">
            <v>Lck6122evg</v>
          </cell>
          <cell r="G1387" t="str">
            <v>ZHONGTONG</v>
          </cell>
          <cell r="H1387" t="str">
            <v>LCK6122EVG</v>
          </cell>
          <cell r="I1387">
            <v>2025</v>
          </cell>
          <cell r="J1387" t="str">
            <v>B</v>
          </cell>
          <cell r="K1387" t="str">
            <v>CERRILLOS</v>
          </cell>
          <cell r="L1387" t="str">
            <v>Calle Uno 7371</v>
          </cell>
          <cell r="M1387" t="str">
            <v>Cerrillos</v>
          </cell>
          <cell r="N1387" t="str">
            <v>B</v>
          </cell>
        </row>
        <row r="1388">
          <cell r="B1388" t="str">
            <v>VGKX-42</v>
          </cell>
          <cell r="C1388" t="str">
            <v>MDN35025030025</v>
          </cell>
          <cell r="D1388" t="str">
            <v>LDYECS317S0044373</v>
          </cell>
          <cell r="E1388" t="str">
            <v>Zhong Tong</v>
          </cell>
          <cell r="F1388" t="str">
            <v>Lck6122evg</v>
          </cell>
          <cell r="G1388" t="str">
            <v>ZHONGTONG</v>
          </cell>
          <cell r="H1388" t="str">
            <v>LCK6122EVG</v>
          </cell>
          <cell r="I1388">
            <v>2025</v>
          </cell>
          <cell r="J1388" t="str">
            <v>B</v>
          </cell>
          <cell r="K1388" t="str">
            <v>PIE ANDINO</v>
          </cell>
          <cell r="L1388" t="str">
            <v>Pie Andino 31 (Pie Andino 383)</v>
          </cell>
          <cell r="M1388" t="str">
            <v>Puente Alto</v>
          </cell>
          <cell r="N1388" t="str">
            <v>B</v>
          </cell>
        </row>
        <row r="1389">
          <cell r="B1389" t="str">
            <v>VGKX-52</v>
          </cell>
          <cell r="C1389" t="str">
            <v>MDN35025030153</v>
          </cell>
          <cell r="D1389" t="str">
            <v>LDYECS310S0044327</v>
          </cell>
          <cell r="E1389" t="str">
            <v>Zhong Tong</v>
          </cell>
          <cell r="F1389" t="str">
            <v>Lck6122evg</v>
          </cell>
          <cell r="G1389" t="str">
            <v>ZHONGTONG</v>
          </cell>
          <cell r="H1389" t="str">
            <v>LCK6122EVG</v>
          </cell>
          <cell r="I1389">
            <v>2025</v>
          </cell>
          <cell r="J1389" t="str">
            <v>B</v>
          </cell>
          <cell r="K1389" t="str">
            <v>SAN ALFONSO</v>
          </cell>
          <cell r="L1389" t="str">
            <v>San Alfonso 2141 (Ramón Subercaseaux 3060)</v>
          </cell>
          <cell r="M1389" t="str">
            <v>Estacion Central</v>
          </cell>
          <cell r="N1389" t="str">
            <v>B</v>
          </cell>
        </row>
        <row r="1390">
          <cell r="B1390" t="str">
            <v>VGKX-62</v>
          </cell>
          <cell r="C1390" t="str">
            <v>MDN35025030021</v>
          </cell>
          <cell r="D1390" t="str">
            <v>LDYECS31XS0044304</v>
          </cell>
          <cell r="E1390" t="str">
            <v>Zhong Tong</v>
          </cell>
          <cell r="F1390" t="str">
            <v>Lck6122evg</v>
          </cell>
          <cell r="G1390" t="str">
            <v>ZHONGTONG</v>
          </cell>
          <cell r="H1390" t="str">
            <v>LCK6122EVG</v>
          </cell>
          <cell r="I1390">
            <v>2025</v>
          </cell>
          <cell r="J1390" t="str">
            <v>B</v>
          </cell>
          <cell r="K1390" t="str">
            <v>CERRILLOS</v>
          </cell>
          <cell r="L1390" t="str">
            <v>Calle Uno 7371</v>
          </cell>
          <cell r="M1390" t="str">
            <v>Cerrillos</v>
          </cell>
          <cell r="N1390" t="str">
            <v>B</v>
          </cell>
        </row>
        <row r="1391">
          <cell r="B1391" t="str">
            <v>VGKX-82</v>
          </cell>
          <cell r="C1391" t="str">
            <v>MDN35025030136</v>
          </cell>
          <cell r="D1391" t="str">
            <v>LDYECS315S0044324</v>
          </cell>
          <cell r="E1391" t="str">
            <v>Zhong Tong</v>
          </cell>
          <cell r="F1391" t="str">
            <v>Lck6122evg</v>
          </cell>
          <cell r="G1391" t="str">
            <v>ZHONGTONG</v>
          </cell>
          <cell r="H1391" t="str">
            <v>LCK6122EVG</v>
          </cell>
          <cell r="I1391">
            <v>2025</v>
          </cell>
          <cell r="J1391" t="str">
            <v>B</v>
          </cell>
          <cell r="K1391" t="str">
            <v>PIE ANDINO</v>
          </cell>
          <cell r="L1391" t="str">
            <v>Pie Andino 31 (Pie Andino 383)</v>
          </cell>
          <cell r="M1391" t="str">
            <v>Puente Alto</v>
          </cell>
          <cell r="N1391" t="str">
            <v>B</v>
          </cell>
        </row>
        <row r="1392">
          <cell r="B1392" t="str">
            <v>VGKY-12</v>
          </cell>
          <cell r="C1392" t="str">
            <v>MDN35025030073</v>
          </cell>
          <cell r="D1392" t="str">
            <v>LDYECS311S0044305</v>
          </cell>
          <cell r="E1392" t="str">
            <v>Zhong Tong</v>
          </cell>
          <cell r="F1392" t="str">
            <v>Lck6122evg</v>
          </cell>
          <cell r="G1392" t="str">
            <v>ZHONGTONG</v>
          </cell>
          <cell r="H1392" t="str">
            <v>LCK6122EVG</v>
          </cell>
          <cell r="I1392">
            <v>2025</v>
          </cell>
          <cell r="J1392" t="str">
            <v>B</v>
          </cell>
          <cell r="K1392" t="str">
            <v>CERRILLOS</v>
          </cell>
          <cell r="L1392" t="str">
            <v>Calle Uno 7371</v>
          </cell>
          <cell r="M1392" t="str">
            <v>Cerrillos</v>
          </cell>
          <cell r="N1392" t="str">
            <v>B</v>
          </cell>
        </row>
        <row r="1393">
          <cell r="B1393" t="str">
            <v>VGKY-22</v>
          </cell>
          <cell r="C1393" t="str">
            <v>MDN35025030018</v>
          </cell>
          <cell r="D1393" t="str">
            <v>LDYECS31XS0044383</v>
          </cell>
          <cell r="E1393" t="str">
            <v>Zhong Tong</v>
          </cell>
          <cell r="F1393" t="str">
            <v>Lck6122evg</v>
          </cell>
          <cell r="G1393" t="str">
            <v>ZHONGTONG</v>
          </cell>
          <cell r="H1393" t="str">
            <v>LCK6122EVG</v>
          </cell>
          <cell r="I1393">
            <v>2025</v>
          </cell>
          <cell r="J1393" t="str">
            <v>B</v>
          </cell>
          <cell r="K1393" t="str">
            <v>PIE ANDINO</v>
          </cell>
          <cell r="L1393" t="str">
            <v>Pie Andino 31 (Pie Andino 383)</v>
          </cell>
          <cell r="M1393" t="str">
            <v>Puente Alto</v>
          </cell>
          <cell r="N1393" t="str">
            <v>B</v>
          </cell>
        </row>
        <row r="1394">
          <cell r="B1394" t="str">
            <v>VGKY-42</v>
          </cell>
          <cell r="C1394" t="str">
            <v>MDN35025010127</v>
          </cell>
          <cell r="D1394" t="str">
            <v>LDYECS319S0044388</v>
          </cell>
          <cell r="E1394" t="str">
            <v>Zhong Tong</v>
          </cell>
          <cell r="F1394" t="str">
            <v>Lck6122evg</v>
          </cell>
          <cell r="G1394" t="str">
            <v>ZHONGTONG</v>
          </cell>
          <cell r="H1394" t="str">
            <v>LCK6122EVG</v>
          </cell>
          <cell r="I1394">
            <v>2025</v>
          </cell>
          <cell r="J1394" t="str">
            <v>B</v>
          </cell>
          <cell r="K1394" t="str">
            <v>PIE ANDINO</v>
          </cell>
          <cell r="L1394" t="str">
            <v>Pie Andino 31 (Pie Andino 383)</v>
          </cell>
          <cell r="M1394" t="str">
            <v>Puente Alto</v>
          </cell>
          <cell r="N1394" t="str">
            <v>B</v>
          </cell>
        </row>
        <row r="1395">
          <cell r="B1395" t="str">
            <v>VGKY-72</v>
          </cell>
          <cell r="C1395" t="str">
            <v>MDN35025030199</v>
          </cell>
          <cell r="D1395" t="str">
            <v>LDYECS317S0044325</v>
          </cell>
          <cell r="E1395" t="str">
            <v>Zhong Tong</v>
          </cell>
          <cell r="F1395" t="str">
            <v>Lck6122evg</v>
          </cell>
          <cell r="G1395" t="str">
            <v>ZHONGTONG</v>
          </cell>
          <cell r="H1395" t="str">
            <v>LCK6122EVG</v>
          </cell>
          <cell r="I1395">
            <v>2025</v>
          </cell>
          <cell r="J1395" t="str">
            <v>B</v>
          </cell>
          <cell r="K1395" t="str">
            <v>PIE ANDINO</v>
          </cell>
          <cell r="L1395" t="str">
            <v>Pie Andino 31 (Pie Andino 383)</v>
          </cell>
          <cell r="M1395" t="str">
            <v>Puente Alto</v>
          </cell>
          <cell r="N1395" t="str">
            <v>B</v>
          </cell>
        </row>
        <row r="1396">
          <cell r="B1396" t="str">
            <v>VGKY-82</v>
          </cell>
          <cell r="C1396" t="str">
            <v>MDN35025030042</v>
          </cell>
          <cell r="D1396" t="str">
            <v>LDYECS318S0044379</v>
          </cell>
          <cell r="E1396" t="str">
            <v>Zhong Tong</v>
          </cell>
          <cell r="F1396" t="str">
            <v>Lck6122evg</v>
          </cell>
          <cell r="G1396" t="str">
            <v>ZHONGTONG</v>
          </cell>
          <cell r="H1396" t="str">
            <v>LCK6122EVG</v>
          </cell>
          <cell r="I1396">
            <v>2025</v>
          </cell>
          <cell r="J1396" t="str">
            <v>B</v>
          </cell>
          <cell r="K1396" t="str">
            <v>PIE ANDINO</v>
          </cell>
          <cell r="L1396" t="str">
            <v>Pie Andino 31 (Pie Andino 383)</v>
          </cell>
          <cell r="M1396" t="str">
            <v>Puente Alto</v>
          </cell>
          <cell r="N1396" t="str">
            <v>B</v>
          </cell>
        </row>
        <row r="1397">
          <cell r="B1397" t="str">
            <v>VGKZ-62</v>
          </cell>
          <cell r="C1397" t="str">
            <v>MDN35025030041</v>
          </cell>
          <cell r="D1397" t="str">
            <v>LDYECS313S0044385</v>
          </cell>
          <cell r="E1397" t="str">
            <v>Zhong Tong</v>
          </cell>
          <cell r="F1397" t="str">
            <v>Lck6122evg</v>
          </cell>
          <cell r="G1397" t="str">
            <v>ZHONGTONG</v>
          </cell>
          <cell r="H1397" t="str">
            <v>LCK6122EVG</v>
          </cell>
          <cell r="I1397">
            <v>2025</v>
          </cell>
          <cell r="J1397" t="str">
            <v>B</v>
          </cell>
          <cell r="K1397" t="str">
            <v>PIE ANDINO</v>
          </cell>
          <cell r="L1397" t="str">
            <v>Pie Andino 31 (Pie Andino 383)</v>
          </cell>
          <cell r="M1397" t="str">
            <v>Puente Alto</v>
          </cell>
          <cell r="N1397" t="str">
            <v>B</v>
          </cell>
        </row>
        <row r="1398">
          <cell r="B1398" t="str">
            <v>VGKZ-82</v>
          </cell>
          <cell r="C1398" t="str">
            <v>MDN35025030011</v>
          </cell>
          <cell r="D1398" t="str">
            <v>LDYECS311S0044384</v>
          </cell>
          <cell r="E1398" t="str">
            <v>Zhong Tong</v>
          </cell>
          <cell r="F1398" t="str">
            <v>Lck6122evg</v>
          </cell>
          <cell r="G1398" t="str">
            <v>ZHONGTONG</v>
          </cell>
          <cell r="H1398" t="str">
            <v>LCK6122EVG</v>
          </cell>
          <cell r="I1398">
            <v>2025</v>
          </cell>
          <cell r="J1398" t="str">
            <v>B</v>
          </cell>
          <cell r="K1398" t="str">
            <v>PIE ANDINO</v>
          </cell>
          <cell r="L1398" t="str">
            <v>Pie Andino 31 (Pie Andino 383)</v>
          </cell>
          <cell r="M1398" t="str">
            <v>Puente Alto</v>
          </cell>
          <cell r="N1398" t="str">
            <v>B</v>
          </cell>
        </row>
        <row r="1399">
          <cell r="B1399" t="str">
            <v>VGKZ-92</v>
          </cell>
          <cell r="C1399" t="str">
            <v>MDN35025030056</v>
          </cell>
          <cell r="D1399" t="str">
            <v>LDYECS313S0044371</v>
          </cell>
          <cell r="E1399" t="str">
            <v>Zhong Tong</v>
          </cell>
          <cell r="F1399" t="str">
            <v>Lck6122evg</v>
          </cell>
          <cell r="G1399" t="str">
            <v>ZHONGTONG</v>
          </cell>
          <cell r="H1399" t="str">
            <v>LCK6122EVG</v>
          </cell>
          <cell r="I1399">
            <v>2025</v>
          </cell>
          <cell r="J1399" t="str">
            <v>B</v>
          </cell>
          <cell r="K1399" t="str">
            <v>PIE ANDINO</v>
          </cell>
          <cell r="L1399" t="str">
            <v>Pie Andino 31 (Pie Andino 383)</v>
          </cell>
          <cell r="M1399" t="str">
            <v>Puente Alto</v>
          </cell>
          <cell r="N1399" t="str">
            <v>B</v>
          </cell>
        </row>
        <row r="1400">
          <cell r="B1400" t="str">
            <v>VGLZ-33</v>
          </cell>
          <cell r="C1400" t="str">
            <v>LDYECS834S0045636</v>
          </cell>
          <cell r="D1400" t="str">
            <v>MJJ20025010047</v>
          </cell>
          <cell r="E1400" t="str">
            <v>Zhong Tong</v>
          </cell>
          <cell r="F1400" t="str">
            <v>LCK6850evg</v>
          </cell>
          <cell r="G1400" t="str">
            <v>ZHONGTONG</v>
          </cell>
          <cell r="H1400" t="str">
            <v>LCK6850evg</v>
          </cell>
          <cell r="I1400">
            <v>2025</v>
          </cell>
          <cell r="J1400" t="str">
            <v>A</v>
          </cell>
          <cell r="K1400" t="str">
            <v>CERRILLOS</v>
          </cell>
          <cell r="L1400" t="str">
            <v>Calle Uno 7371</v>
          </cell>
          <cell r="M1400" t="str">
            <v>Cerrillos</v>
          </cell>
          <cell r="N1400" t="str">
            <v>A</v>
          </cell>
        </row>
        <row r="1401">
          <cell r="B1401" t="str">
            <v>VGLZ-43</v>
          </cell>
          <cell r="C1401" t="str">
            <v>LDYECS832S0045635</v>
          </cell>
          <cell r="D1401" t="str">
            <v>MJJ20025010001</v>
          </cell>
          <cell r="E1401" t="str">
            <v>Zhong Tong</v>
          </cell>
          <cell r="F1401" t="str">
            <v>LCK6850evg</v>
          </cell>
          <cell r="G1401" t="str">
            <v>ZHONGTONG</v>
          </cell>
          <cell r="H1401" t="str">
            <v>LCK6850evg</v>
          </cell>
          <cell r="I1401">
            <v>2025</v>
          </cell>
          <cell r="J1401" t="str">
            <v>A</v>
          </cell>
          <cell r="K1401" t="str">
            <v>CERRILLOS</v>
          </cell>
          <cell r="L1401" t="str">
            <v>Calle Uno 7371</v>
          </cell>
          <cell r="M1401" t="str">
            <v>Cerrillos</v>
          </cell>
          <cell r="N1401" t="str">
            <v>A</v>
          </cell>
        </row>
        <row r="1402">
          <cell r="B1402" t="str">
            <v>VGRB-23</v>
          </cell>
          <cell r="C1402" t="str">
            <v>LDYECS836S0045637</v>
          </cell>
          <cell r="D1402" t="str">
            <v>MJJ20025010040</v>
          </cell>
          <cell r="E1402" t="str">
            <v>Zhong Tong</v>
          </cell>
          <cell r="F1402" t="str">
            <v>LCK6850evg</v>
          </cell>
          <cell r="G1402" t="str">
            <v>ZHONGTONG</v>
          </cell>
          <cell r="H1402" t="str">
            <v>LCK6850evg</v>
          </cell>
          <cell r="I1402">
            <v>2025</v>
          </cell>
          <cell r="J1402" t="str">
            <v>A</v>
          </cell>
          <cell r="K1402" t="str">
            <v>CERRILLOS</v>
          </cell>
          <cell r="L1402" t="str">
            <v>Calle Uno 7371</v>
          </cell>
          <cell r="M1402" t="str">
            <v>Cerrillos</v>
          </cell>
          <cell r="N1402" t="str">
            <v>A</v>
          </cell>
        </row>
        <row r="1403">
          <cell r="B1403" t="str">
            <v>VGRB-24</v>
          </cell>
          <cell r="C1403" t="str">
            <v>LDYECS83XS0045611</v>
          </cell>
          <cell r="D1403" t="str">
            <v>MJJ20025010028</v>
          </cell>
          <cell r="E1403" t="str">
            <v>Zhong Tong</v>
          </cell>
          <cell r="F1403" t="str">
            <v>LCK6850evg</v>
          </cell>
          <cell r="G1403" t="str">
            <v>ZHONGTONG</v>
          </cell>
          <cell r="H1403" t="str">
            <v>LCK6850evg</v>
          </cell>
          <cell r="I1403">
            <v>2025</v>
          </cell>
          <cell r="J1403" t="str">
            <v>A</v>
          </cell>
          <cell r="K1403" t="str">
            <v>CERRILLOS</v>
          </cell>
          <cell r="L1403" t="str">
            <v>Calle Uno 7371</v>
          </cell>
          <cell r="M1403" t="str">
            <v>Cerrillos</v>
          </cell>
          <cell r="N1403" t="str">
            <v>A</v>
          </cell>
        </row>
        <row r="1404">
          <cell r="B1404" t="str">
            <v>VGRB-33</v>
          </cell>
          <cell r="C1404" t="str">
            <v>LDYECS833S0045630</v>
          </cell>
          <cell r="D1404" t="str">
            <v>MJJ20025010012</v>
          </cell>
          <cell r="E1404" t="str">
            <v>Zhong Tong</v>
          </cell>
          <cell r="F1404" t="str">
            <v>LCK6850evg</v>
          </cell>
          <cell r="G1404" t="str">
            <v>ZHONGTONG</v>
          </cell>
          <cell r="H1404" t="str">
            <v>LCK6850evg</v>
          </cell>
          <cell r="I1404">
            <v>2025</v>
          </cell>
          <cell r="J1404" t="str">
            <v>A</v>
          </cell>
          <cell r="K1404" t="str">
            <v>CERRILLOS</v>
          </cell>
          <cell r="L1404" t="str">
            <v>Calle Uno 7371</v>
          </cell>
          <cell r="M1404" t="str">
            <v>Cerrillos</v>
          </cell>
          <cell r="N1404" t="str">
            <v>A</v>
          </cell>
        </row>
        <row r="1405">
          <cell r="B1405" t="str">
            <v>VGRB-63</v>
          </cell>
          <cell r="C1405" t="str">
            <v>LDYECS837S0045632</v>
          </cell>
          <cell r="D1405" t="str">
            <v>MJJ20025010003</v>
          </cell>
          <cell r="E1405" t="str">
            <v>Zhong Tong</v>
          </cell>
          <cell r="F1405" t="str">
            <v>LCK6850evg</v>
          </cell>
          <cell r="G1405" t="str">
            <v>ZHONGTONG</v>
          </cell>
          <cell r="H1405" t="str">
            <v>LCK6850evg</v>
          </cell>
          <cell r="I1405">
            <v>2025</v>
          </cell>
          <cell r="J1405" t="str">
            <v>A</v>
          </cell>
          <cell r="K1405" t="str">
            <v>CERRILLOS</v>
          </cell>
          <cell r="L1405" t="str">
            <v>Calle Uno 7371</v>
          </cell>
          <cell r="M1405" t="str">
            <v>Cerrillos</v>
          </cell>
          <cell r="N1405" t="str">
            <v>A</v>
          </cell>
        </row>
        <row r="1406">
          <cell r="B1406" t="str">
            <v>VGRB-73</v>
          </cell>
          <cell r="C1406" t="str">
            <v>LDYECS833S0045627</v>
          </cell>
          <cell r="D1406" t="str">
            <v>MJJ20025010013</v>
          </cell>
          <cell r="E1406" t="str">
            <v>Zhong Tong</v>
          </cell>
          <cell r="F1406" t="str">
            <v>LCK6850evg</v>
          </cell>
          <cell r="G1406" t="str">
            <v>ZHONGTONG</v>
          </cell>
          <cell r="H1406" t="str">
            <v>LCK6850evg</v>
          </cell>
          <cell r="I1406">
            <v>2025</v>
          </cell>
          <cell r="J1406" t="str">
            <v>A</v>
          </cell>
          <cell r="K1406" t="str">
            <v>CERRILLOS</v>
          </cell>
          <cell r="L1406" t="str">
            <v>Calle Uno 7371</v>
          </cell>
          <cell r="M1406" t="str">
            <v>Cerrillos</v>
          </cell>
          <cell r="N1406" t="str">
            <v>A</v>
          </cell>
        </row>
        <row r="1407">
          <cell r="B1407" t="str">
            <v>VGRB-93</v>
          </cell>
          <cell r="C1407" t="str">
            <v>LDYECS839S0045633</v>
          </cell>
          <cell r="D1407" t="str">
            <v>MJJ20025010010</v>
          </cell>
          <cell r="E1407" t="str">
            <v>Zhong Tong</v>
          </cell>
          <cell r="F1407" t="str">
            <v>LCK6850evg</v>
          </cell>
          <cell r="G1407" t="str">
            <v>ZHONGTONG</v>
          </cell>
          <cell r="H1407" t="str">
            <v>LCK6850evg</v>
          </cell>
          <cell r="I1407">
            <v>2025</v>
          </cell>
          <cell r="J1407" t="str">
            <v>A</v>
          </cell>
          <cell r="K1407" t="str">
            <v>CERRILLOS</v>
          </cell>
          <cell r="L1407" t="str">
            <v>Calle Uno 7371</v>
          </cell>
          <cell r="M1407" t="str">
            <v>Cerrillos</v>
          </cell>
          <cell r="N1407" t="str">
            <v>A</v>
          </cell>
        </row>
        <row r="1408">
          <cell r="B1408" t="str">
            <v>VGRC-13</v>
          </cell>
          <cell r="C1408" t="str">
            <v>LDYECS830S0045648</v>
          </cell>
          <cell r="D1408" t="str">
            <v>MJJ20025010016</v>
          </cell>
          <cell r="E1408" t="str">
            <v>Zhong Tong</v>
          </cell>
          <cell r="F1408" t="str">
            <v>LCK6850evg</v>
          </cell>
          <cell r="G1408" t="str">
            <v>ZHONGTONG</v>
          </cell>
          <cell r="H1408" t="str">
            <v>LCK6850evg</v>
          </cell>
          <cell r="I1408">
            <v>2025</v>
          </cell>
          <cell r="J1408" t="str">
            <v>A</v>
          </cell>
          <cell r="K1408" t="str">
            <v>CERRILLOS</v>
          </cell>
          <cell r="L1408" t="str">
            <v>Calle Uno 7371</v>
          </cell>
          <cell r="M1408" t="str">
            <v>Cerrillos</v>
          </cell>
          <cell r="N1408" t="str">
            <v>A</v>
          </cell>
        </row>
        <row r="1409">
          <cell r="B1409" t="str">
            <v>VGRC-23</v>
          </cell>
          <cell r="C1409" t="str">
            <v>LDYECS838S0045624</v>
          </cell>
          <cell r="D1409" t="str">
            <v>MJJ20025010023</v>
          </cell>
          <cell r="E1409" t="str">
            <v>Zhong Tong</v>
          </cell>
          <cell r="F1409" t="str">
            <v>LCK6850evg</v>
          </cell>
          <cell r="G1409" t="str">
            <v>ZHONGTONG</v>
          </cell>
          <cell r="H1409" t="str">
            <v>LCK6850evg</v>
          </cell>
          <cell r="I1409">
            <v>2025</v>
          </cell>
          <cell r="J1409" t="str">
            <v>A</v>
          </cell>
          <cell r="K1409" t="str">
            <v>CERRILLOS</v>
          </cell>
          <cell r="L1409" t="str">
            <v>Calle Uno 7371</v>
          </cell>
          <cell r="M1409" t="str">
            <v>Cerrillos</v>
          </cell>
          <cell r="N1409" t="str">
            <v>A</v>
          </cell>
        </row>
        <row r="1410">
          <cell r="B1410" t="str">
            <v>VGRC-33</v>
          </cell>
          <cell r="C1410" t="str">
            <v>LDYECS835S0045631</v>
          </cell>
          <cell r="D1410" t="str">
            <v>MJJ20025010015</v>
          </cell>
          <cell r="E1410" t="str">
            <v>Zhong Tong</v>
          </cell>
          <cell r="F1410" t="str">
            <v>LCK6850evg</v>
          </cell>
          <cell r="G1410" t="str">
            <v>ZHONGTONG</v>
          </cell>
          <cell r="H1410" t="str">
            <v>LCK6850evg</v>
          </cell>
          <cell r="I1410">
            <v>2025</v>
          </cell>
          <cell r="J1410" t="str">
            <v>A</v>
          </cell>
          <cell r="K1410" t="str">
            <v>CERRILLOS</v>
          </cell>
          <cell r="L1410" t="str">
            <v>Calle Uno 7371</v>
          </cell>
          <cell r="M1410" t="str">
            <v>Cerrillos</v>
          </cell>
          <cell r="N1410" t="str">
            <v>A</v>
          </cell>
        </row>
        <row r="1411">
          <cell r="B1411" t="str">
            <v>VGRC-43</v>
          </cell>
          <cell r="C1411" t="str">
            <v>LDYECS83XS0045639</v>
          </cell>
          <cell r="D1411" t="str">
            <v>MJJ20025010020</v>
          </cell>
          <cell r="E1411" t="str">
            <v>Zhong Tong</v>
          </cell>
          <cell r="F1411" t="str">
            <v>LCK6850evg</v>
          </cell>
          <cell r="G1411" t="str">
            <v>ZHONGTONG</v>
          </cell>
          <cell r="H1411" t="str">
            <v>LCK6850evg</v>
          </cell>
          <cell r="I1411">
            <v>2025</v>
          </cell>
          <cell r="J1411" t="str">
            <v>A</v>
          </cell>
          <cell r="K1411" t="str">
            <v>CERRILLOS</v>
          </cell>
          <cell r="L1411" t="str">
            <v>Calle Uno 7371</v>
          </cell>
          <cell r="M1411" t="str">
            <v>Cerrillos</v>
          </cell>
          <cell r="N1411" t="str">
            <v>A</v>
          </cell>
        </row>
        <row r="1412">
          <cell r="B1412" t="str">
            <v>VGRC-53</v>
          </cell>
          <cell r="C1412" t="str">
            <v>LDYECS831S0045626</v>
          </cell>
          <cell r="D1412" t="str">
            <v>MJJ20025010058</v>
          </cell>
          <cell r="E1412" t="str">
            <v>Zhong Tong</v>
          </cell>
          <cell r="F1412" t="str">
            <v>LCK6850evg</v>
          </cell>
          <cell r="G1412" t="str">
            <v>ZHONGTONG</v>
          </cell>
          <cell r="H1412" t="str">
            <v>LCK6850evg</v>
          </cell>
          <cell r="I1412">
            <v>2025</v>
          </cell>
          <cell r="J1412" t="str">
            <v>A</v>
          </cell>
          <cell r="K1412" t="str">
            <v>CERRILLOS</v>
          </cell>
          <cell r="L1412" t="str">
            <v>Calle Uno 7371</v>
          </cell>
          <cell r="M1412" t="str">
            <v>Cerrillos</v>
          </cell>
          <cell r="N1412" t="str">
            <v>A</v>
          </cell>
        </row>
        <row r="1413">
          <cell r="B1413" t="str">
            <v>VGRC-73</v>
          </cell>
          <cell r="C1413" t="str">
            <v>LDYECS833S0045644</v>
          </cell>
          <cell r="D1413" t="str">
            <v>MJJ20025010033</v>
          </cell>
          <cell r="E1413" t="str">
            <v>Zhong Tong</v>
          </cell>
          <cell r="F1413" t="str">
            <v>LCK6850evg</v>
          </cell>
          <cell r="G1413" t="str">
            <v>ZHONGTONG</v>
          </cell>
          <cell r="H1413" t="str">
            <v>LCK6850evg</v>
          </cell>
          <cell r="I1413">
            <v>2025</v>
          </cell>
          <cell r="J1413" t="str">
            <v>A</v>
          </cell>
          <cell r="K1413" t="str">
            <v>CERRILLOS</v>
          </cell>
          <cell r="L1413" t="str">
            <v>Calle Uno 7371</v>
          </cell>
          <cell r="M1413" t="str">
            <v>Cerrillos</v>
          </cell>
          <cell r="N1413" t="str">
            <v>A</v>
          </cell>
        </row>
        <row r="1414">
          <cell r="B1414" t="str">
            <v>VGRC-83</v>
          </cell>
          <cell r="C1414" t="str">
            <v>LDYECS837S0045646</v>
          </cell>
          <cell r="D1414" t="str">
            <v>MJJ20025010007</v>
          </cell>
          <cell r="E1414" t="str">
            <v>Zhong Tong</v>
          </cell>
          <cell r="F1414" t="str">
            <v>LCK6850evg</v>
          </cell>
          <cell r="G1414" t="str">
            <v>ZHONGTONG</v>
          </cell>
          <cell r="H1414" t="str">
            <v>LCK6850evg</v>
          </cell>
          <cell r="I1414">
            <v>2025</v>
          </cell>
          <cell r="J1414" t="str">
            <v>A</v>
          </cell>
          <cell r="K1414" t="str">
            <v>CERRILLOS</v>
          </cell>
          <cell r="L1414" t="str">
            <v>Calle Uno 7371</v>
          </cell>
          <cell r="M1414" t="str">
            <v>Cerrillos</v>
          </cell>
          <cell r="N1414" t="str">
            <v>A</v>
          </cell>
        </row>
        <row r="1415">
          <cell r="B1415" t="str">
            <v>VGRC-93</v>
          </cell>
          <cell r="C1415" t="str">
            <v>LDYECS836S0045640</v>
          </cell>
          <cell r="D1415" t="str">
            <v>MJJ20025010019</v>
          </cell>
          <cell r="E1415" t="str">
            <v>Zhong Tong</v>
          </cell>
          <cell r="F1415" t="str">
            <v>LCK6850evg</v>
          </cell>
          <cell r="G1415" t="str">
            <v>ZHONGTONG</v>
          </cell>
          <cell r="H1415" t="str">
            <v>LCK6850evg</v>
          </cell>
          <cell r="I1415">
            <v>2025</v>
          </cell>
          <cell r="J1415" t="str">
            <v>A</v>
          </cell>
          <cell r="K1415" t="str">
            <v>CERRILLOS</v>
          </cell>
          <cell r="L1415" t="str">
            <v>Calle Uno 7371</v>
          </cell>
          <cell r="M1415" t="str">
            <v>Cerrillos</v>
          </cell>
          <cell r="N1415" t="str">
            <v>A</v>
          </cell>
        </row>
        <row r="1416">
          <cell r="B1416" t="str">
            <v>VGRD-25</v>
          </cell>
          <cell r="C1416" t="str">
            <v>LDYECS83XS0045625</v>
          </cell>
          <cell r="D1416" t="str">
            <v>MJJ20025010014</v>
          </cell>
          <cell r="E1416" t="str">
            <v>Zhong Tong</v>
          </cell>
          <cell r="F1416" t="str">
            <v>LCK6850evg</v>
          </cell>
          <cell r="G1416" t="str">
            <v>ZHONGTONG</v>
          </cell>
          <cell r="H1416" t="str">
            <v>LCK6850evg</v>
          </cell>
          <cell r="I1416">
            <v>2025</v>
          </cell>
          <cell r="J1416" t="str">
            <v>A</v>
          </cell>
          <cell r="K1416" t="str">
            <v>CERRILLOS</v>
          </cell>
          <cell r="L1416" t="str">
            <v>Calle Uno 7371</v>
          </cell>
          <cell r="M1416" t="str">
            <v>Cerrillos</v>
          </cell>
          <cell r="N1416" t="str">
            <v>A</v>
          </cell>
        </row>
        <row r="1417">
          <cell r="B1417" t="str">
            <v>VGRD-35</v>
          </cell>
          <cell r="C1417" t="str">
            <v>LDYECS832S0045599</v>
          </cell>
          <cell r="D1417" t="str">
            <v>MJJ20025010048</v>
          </cell>
          <cell r="E1417" t="str">
            <v>Zhong Tong</v>
          </cell>
          <cell r="F1417" t="str">
            <v>LCK6850evg</v>
          </cell>
          <cell r="G1417" t="str">
            <v>ZHONGTONG</v>
          </cell>
          <cell r="H1417" t="str">
            <v>LCK6850evg</v>
          </cell>
          <cell r="I1417">
            <v>2025</v>
          </cell>
          <cell r="J1417" t="str">
            <v>A</v>
          </cell>
          <cell r="K1417" t="str">
            <v>CERRILLOS</v>
          </cell>
          <cell r="L1417" t="str">
            <v>Calle Uno 7371</v>
          </cell>
          <cell r="M1417" t="str">
            <v>Cerrillos</v>
          </cell>
          <cell r="N1417" t="str">
            <v>A</v>
          </cell>
        </row>
        <row r="1418">
          <cell r="B1418" t="str">
            <v>VGRD-55</v>
          </cell>
          <cell r="C1418" t="str">
            <v>LDYECS836S0045602</v>
          </cell>
          <cell r="D1418" t="str">
            <v>MJJ20025010046</v>
          </cell>
          <cell r="E1418" t="str">
            <v>Zhong Tong</v>
          </cell>
          <cell r="F1418" t="str">
            <v>LCK6850evg</v>
          </cell>
          <cell r="G1418" t="str">
            <v>ZHONGTONG</v>
          </cell>
          <cell r="H1418" t="str">
            <v>LCK6850evg</v>
          </cell>
          <cell r="I1418">
            <v>2025</v>
          </cell>
          <cell r="J1418" t="str">
            <v>A</v>
          </cell>
          <cell r="K1418" t="str">
            <v>CERRILLOS</v>
          </cell>
          <cell r="L1418" t="str">
            <v>Calle Uno 7371</v>
          </cell>
          <cell r="M1418" t="str">
            <v>Cerrillos</v>
          </cell>
          <cell r="N1418" t="str">
            <v>A</v>
          </cell>
        </row>
        <row r="1419">
          <cell r="B1419" t="str">
            <v>VGRF-45</v>
          </cell>
          <cell r="C1419" t="str">
            <v>LDYECS837S0045629</v>
          </cell>
          <cell r="D1419" t="str">
            <v>MJJ20025010011</v>
          </cell>
          <cell r="E1419" t="str">
            <v>Zhong Tong</v>
          </cell>
          <cell r="F1419" t="str">
            <v>LCK6850evg</v>
          </cell>
          <cell r="G1419" t="str">
            <v>ZHONGTONG</v>
          </cell>
          <cell r="H1419" t="str">
            <v>LCK6850evg</v>
          </cell>
          <cell r="I1419">
            <v>2025</v>
          </cell>
          <cell r="J1419" t="str">
            <v>A</v>
          </cell>
          <cell r="K1419" t="str">
            <v>CERRILLOS</v>
          </cell>
          <cell r="L1419" t="str">
            <v>Calle Uno 7371</v>
          </cell>
          <cell r="M1419" t="str">
            <v>Cerrillos</v>
          </cell>
          <cell r="N1419" t="str">
            <v>A</v>
          </cell>
        </row>
        <row r="1420">
          <cell r="B1420" t="str">
            <v>VGRF-55</v>
          </cell>
          <cell r="C1420" t="str">
            <v>LDYECS839S0045616</v>
          </cell>
          <cell r="D1420" t="str">
            <v>MJJ20025010037</v>
          </cell>
          <cell r="E1420" t="str">
            <v>Zhong Tong</v>
          </cell>
          <cell r="F1420" t="str">
            <v>LCK6850evg</v>
          </cell>
          <cell r="G1420" t="str">
            <v>ZHONGTONG</v>
          </cell>
          <cell r="H1420" t="str">
            <v>LCK6850evg</v>
          </cell>
          <cell r="I1420">
            <v>2025</v>
          </cell>
          <cell r="J1420" t="str">
            <v>A</v>
          </cell>
          <cell r="K1420" t="str">
            <v>CERRILLOS</v>
          </cell>
          <cell r="L1420" t="str">
            <v>Calle Uno 7371</v>
          </cell>
          <cell r="M1420" t="str">
            <v>Cerrillos</v>
          </cell>
          <cell r="N1420" t="str">
            <v>A</v>
          </cell>
        </row>
        <row r="1421">
          <cell r="B1421" t="str">
            <v>VGRF-65</v>
          </cell>
          <cell r="C1421" t="str">
            <v>LDYECS838S0045610</v>
          </cell>
          <cell r="D1421" t="str">
            <v>MJJ20025030024</v>
          </cell>
          <cell r="E1421" t="str">
            <v>Zhong Tong</v>
          </cell>
          <cell r="F1421" t="str">
            <v>LCK6850evg</v>
          </cell>
          <cell r="G1421" t="str">
            <v>ZHONGTONG</v>
          </cell>
          <cell r="H1421" t="str">
            <v>LCK6850evg</v>
          </cell>
          <cell r="I1421">
            <v>2025</v>
          </cell>
          <cell r="J1421" t="str">
            <v>A</v>
          </cell>
          <cell r="K1421" t="str">
            <v>CERRILLOS</v>
          </cell>
          <cell r="L1421" t="str">
            <v>Calle Uno 7371</v>
          </cell>
          <cell r="M1421" t="str">
            <v>Cerrillos</v>
          </cell>
          <cell r="N1421" t="str">
            <v>A</v>
          </cell>
        </row>
        <row r="1422">
          <cell r="B1422" t="str">
            <v>VGRF-75</v>
          </cell>
          <cell r="C1422" t="str">
            <v>LDYECS830S0045620</v>
          </cell>
          <cell r="D1422" t="str">
            <v>MJJ20025010025</v>
          </cell>
          <cell r="E1422" t="str">
            <v>Zhong Tong</v>
          </cell>
          <cell r="F1422" t="str">
            <v>LCK6850evg</v>
          </cell>
          <cell r="G1422" t="str">
            <v>ZHONGTONG</v>
          </cell>
          <cell r="H1422" t="str">
            <v>LCK6850evg</v>
          </cell>
          <cell r="I1422">
            <v>2025</v>
          </cell>
          <cell r="J1422" t="str">
            <v>A</v>
          </cell>
          <cell r="K1422" t="str">
            <v>CERRILLOS</v>
          </cell>
          <cell r="L1422" t="str">
            <v>Calle Uno 7371</v>
          </cell>
          <cell r="M1422" t="str">
            <v>Cerrillos</v>
          </cell>
          <cell r="N1422" t="str">
            <v>A</v>
          </cell>
        </row>
        <row r="1423">
          <cell r="B1423" t="str">
            <v>VGRF-84</v>
          </cell>
          <cell r="C1423" t="str">
            <v>LDYECS832S0045618</v>
          </cell>
          <cell r="D1423" t="str">
            <v>MJJ20025010030</v>
          </cell>
          <cell r="E1423" t="str">
            <v>Zhong Tong</v>
          </cell>
          <cell r="F1423" t="str">
            <v>LCK6850evg</v>
          </cell>
          <cell r="G1423" t="str">
            <v>ZHONGTONG</v>
          </cell>
          <cell r="H1423" t="str">
            <v>LCK6850evg</v>
          </cell>
          <cell r="I1423">
            <v>2025</v>
          </cell>
          <cell r="J1423" t="str">
            <v>A</v>
          </cell>
          <cell r="K1423" t="str">
            <v>CERRILLOS</v>
          </cell>
          <cell r="L1423" t="str">
            <v>Calle Uno 7371</v>
          </cell>
          <cell r="M1423" t="str">
            <v>Cerrillos</v>
          </cell>
          <cell r="N1423" t="str">
            <v>A</v>
          </cell>
        </row>
        <row r="1424">
          <cell r="B1424" t="str">
            <v>VGRF-85</v>
          </cell>
          <cell r="C1424" t="str">
            <v>LDYECS831S0045609</v>
          </cell>
          <cell r="D1424" t="str">
            <v>MJJ20025010029</v>
          </cell>
          <cell r="E1424" t="str">
            <v>Zhong Tong</v>
          </cell>
          <cell r="F1424" t="str">
            <v>LCK6850evg</v>
          </cell>
          <cell r="G1424" t="str">
            <v>ZHONGTONG</v>
          </cell>
          <cell r="H1424" t="str">
            <v>LCK6850evg</v>
          </cell>
          <cell r="I1424">
            <v>2025</v>
          </cell>
          <cell r="J1424" t="str">
            <v>A</v>
          </cell>
          <cell r="K1424" t="str">
            <v>CERRILLOS</v>
          </cell>
          <cell r="L1424" t="str">
            <v>Calle Uno 7371</v>
          </cell>
          <cell r="M1424" t="str">
            <v>Cerrillos</v>
          </cell>
          <cell r="N1424" t="str">
            <v>A</v>
          </cell>
        </row>
        <row r="1425">
          <cell r="B1425" t="str">
            <v>VGRF-94</v>
          </cell>
          <cell r="C1425" t="str">
            <v>LDYECS830S0045634</v>
          </cell>
          <cell r="D1425" t="str">
            <v>MJJ20025010004</v>
          </cell>
          <cell r="E1425" t="str">
            <v>Zhong Tong</v>
          </cell>
          <cell r="F1425" t="str">
            <v>LCK6850evg</v>
          </cell>
          <cell r="G1425" t="str">
            <v>ZHONGTONG</v>
          </cell>
          <cell r="H1425" t="str">
            <v>LCK6850evg</v>
          </cell>
          <cell r="I1425">
            <v>2025</v>
          </cell>
          <cell r="J1425" t="str">
            <v>A</v>
          </cell>
          <cell r="K1425" t="str">
            <v>CERRILLOS</v>
          </cell>
          <cell r="L1425" t="str">
            <v>Calle Uno 7371</v>
          </cell>
          <cell r="M1425" t="str">
            <v>Cerrillos</v>
          </cell>
          <cell r="N1425" t="str">
            <v>A</v>
          </cell>
        </row>
        <row r="1426">
          <cell r="B1426" t="str">
            <v>VGRG-14</v>
          </cell>
          <cell r="C1426" t="str">
            <v>LDYECS834S0045622</v>
          </cell>
          <cell r="D1426" t="str">
            <v>MJJ20025030025</v>
          </cell>
          <cell r="E1426" t="str">
            <v>Zhong Tong</v>
          </cell>
          <cell r="F1426" t="str">
            <v>LCK6850evg</v>
          </cell>
          <cell r="G1426" t="str">
            <v>ZHONGTONG</v>
          </cell>
          <cell r="H1426" t="str">
            <v>LCK6850evg</v>
          </cell>
          <cell r="I1426">
            <v>2025</v>
          </cell>
          <cell r="J1426" t="str">
            <v>A</v>
          </cell>
          <cell r="K1426" t="str">
            <v>CERRILLOS</v>
          </cell>
          <cell r="L1426" t="str">
            <v>Calle Uno 7371</v>
          </cell>
          <cell r="M1426" t="str">
            <v>Cerrillos</v>
          </cell>
          <cell r="N1426" t="str">
            <v>A</v>
          </cell>
        </row>
        <row r="1427">
          <cell r="B1427" t="str">
            <v>VGRG-24</v>
          </cell>
          <cell r="C1427" t="str">
            <v>LDYECS831S0045612</v>
          </cell>
          <cell r="D1427" t="str">
            <v>MJJ20025010043</v>
          </cell>
          <cell r="E1427" t="str">
            <v>Zhong Tong</v>
          </cell>
          <cell r="F1427" t="str">
            <v>LCK6850evg</v>
          </cell>
          <cell r="G1427" t="str">
            <v>ZHONGTONG</v>
          </cell>
          <cell r="H1427" t="str">
            <v>LCK6850evg</v>
          </cell>
          <cell r="I1427">
            <v>2025</v>
          </cell>
          <cell r="J1427" t="str">
            <v>A</v>
          </cell>
          <cell r="K1427" t="str">
            <v>CERRILLOS</v>
          </cell>
          <cell r="L1427" t="str">
            <v>Calle Uno 7371</v>
          </cell>
          <cell r="M1427" t="str">
            <v>Cerrillos</v>
          </cell>
          <cell r="N1427" t="str">
            <v>A</v>
          </cell>
        </row>
        <row r="1428">
          <cell r="B1428" t="str">
            <v>VGRG-34</v>
          </cell>
          <cell r="C1428" t="str">
            <v>LDYECS834S0045619</v>
          </cell>
          <cell r="D1428" t="str">
            <v>MJJ2002503018</v>
          </cell>
          <cell r="E1428" t="str">
            <v>Zhong Tong</v>
          </cell>
          <cell r="F1428" t="str">
            <v>LCK6850evg</v>
          </cell>
          <cell r="G1428" t="str">
            <v>ZHONGTONG</v>
          </cell>
          <cell r="H1428" t="str">
            <v>LCK6850evg</v>
          </cell>
          <cell r="I1428">
            <v>2025</v>
          </cell>
          <cell r="J1428" t="str">
            <v>A</v>
          </cell>
          <cell r="K1428" t="str">
            <v>CERRILLOS</v>
          </cell>
          <cell r="L1428" t="str">
            <v>Calle Uno 7371</v>
          </cell>
          <cell r="M1428" t="str">
            <v>Cerrillos</v>
          </cell>
          <cell r="N1428" t="str">
            <v>A</v>
          </cell>
        </row>
        <row r="1429">
          <cell r="B1429" t="str">
            <v>VGRG-44</v>
          </cell>
          <cell r="C1429" t="str">
            <v>LDYECS83XS0045608</v>
          </cell>
          <cell r="D1429" t="str">
            <v>MJJ20025030023</v>
          </cell>
          <cell r="E1429" t="str">
            <v>Zhong Tong</v>
          </cell>
          <cell r="F1429" t="str">
            <v>LCK6850evg</v>
          </cell>
          <cell r="G1429" t="str">
            <v>ZHONGTONG</v>
          </cell>
          <cell r="H1429" t="str">
            <v>LCK6850evg</v>
          </cell>
          <cell r="I1429">
            <v>2025</v>
          </cell>
          <cell r="J1429" t="str">
            <v>A</v>
          </cell>
          <cell r="K1429" t="str">
            <v>CERRILLOS</v>
          </cell>
          <cell r="L1429" t="str">
            <v>Calle Uno 7371</v>
          </cell>
          <cell r="M1429" t="str">
            <v>Cerrillos</v>
          </cell>
          <cell r="N1429" t="str">
            <v>A</v>
          </cell>
        </row>
        <row r="1430">
          <cell r="B1430" t="str">
            <v>VGRG-45</v>
          </cell>
          <cell r="C1430" t="str">
            <v>LDYECS832S0045649</v>
          </cell>
          <cell r="D1430" t="str">
            <v>MJJ20025010008</v>
          </cell>
          <cell r="E1430" t="str">
            <v>Zhong Tong</v>
          </cell>
          <cell r="F1430" t="str">
            <v>LCK6850evg</v>
          </cell>
          <cell r="G1430" t="str">
            <v>ZHONGTONG</v>
          </cell>
          <cell r="H1430" t="str">
            <v>LCK6850evg</v>
          </cell>
          <cell r="I1430">
            <v>2025</v>
          </cell>
          <cell r="J1430" t="str">
            <v>A</v>
          </cell>
          <cell r="K1430" t="str">
            <v>CERRILLOS</v>
          </cell>
          <cell r="L1430" t="str">
            <v>Calle Uno 7371</v>
          </cell>
          <cell r="M1430" t="str">
            <v>Cerrillos</v>
          </cell>
          <cell r="N1430" t="str">
            <v>A</v>
          </cell>
        </row>
        <row r="1431">
          <cell r="B1431" t="str">
            <v>VGRG-54</v>
          </cell>
          <cell r="C1431" t="str">
            <v>LDYECS836S0045623</v>
          </cell>
          <cell r="D1431" t="str">
            <v>MJJ20025010021</v>
          </cell>
          <cell r="E1431" t="str">
            <v>Zhong Tong</v>
          </cell>
          <cell r="F1431" t="str">
            <v>LCK6850evg</v>
          </cell>
          <cell r="G1431" t="str">
            <v>ZHONGTONG</v>
          </cell>
          <cell r="H1431" t="str">
            <v>LCK6850evg</v>
          </cell>
          <cell r="I1431">
            <v>2025</v>
          </cell>
          <cell r="J1431" t="str">
            <v>A</v>
          </cell>
          <cell r="K1431" t="str">
            <v>CERRILLOS</v>
          </cell>
          <cell r="L1431" t="str">
            <v>Calle Uno 7371</v>
          </cell>
          <cell r="M1431" t="str">
            <v>Cerrillos</v>
          </cell>
          <cell r="N1431" t="str">
            <v>A</v>
          </cell>
        </row>
        <row r="1432">
          <cell r="B1432" t="str">
            <v>VJKD-70</v>
          </cell>
          <cell r="C1432" t="str">
            <v>LDYECS312S0044409</v>
          </cell>
          <cell r="D1432" t="str">
            <v>MDN35025030111</v>
          </cell>
          <cell r="E1432" t="str">
            <v>Zhong Thong</v>
          </cell>
          <cell r="F1432" t="str">
            <v>Lck6122evg</v>
          </cell>
          <cell r="G1432" t="str">
            <v>Zhong Thong</v>
          </cell>
          <cell r="H1432" t="str">
            <v>Lck6122evg</v>
          </cell>
          <cell r="I1432">
            <v>2026</v>
          </cell>
          <cell r="J1432" t="str">
            <v>B</v>
          </cell>
          <cell r="K1432" t="str">
            <v>Recoleta</v>
          </cell>
          <cell r="N1432" t="str">
            <v>B</v>
          </cell>
        </row>
        <row r="1433">
          <cell r="B1433" t="str">
            <v>VJKD-85</v>
          </cell>
          <cell r="C1433" t="str">
            <v>LDYECS313S0044323</v>
          </cell>
          <cell r="D1433" t="str">
            <v>MDN35025030135</v>
          </cell>
          <cell r="E1433" t="str">
            <v>Zhong Thong</v>
          </cell>
          <cell r="F1433" t="str">
            <v>Lck6122evg</v>
          </cell>
          <cell r="G1433" t="str">
            <v>Zhong Thong</v>
          </cell>
          <cell r="H1433" t="str">
            <v>Lck6122evg</v>
          </cell>
          <cell r="I1433">
            <v>2026</v>
          </cell>
          <cell r="J1433" t="str">
            <v>B</v>
          </cell>
          <cell r="K1433" t="str">
            <v>Recoleta</v>
          </cell>
          <cell r="N1433" t="str">
            <v>B</v>
          </cell>
        </row>
        <row r="1434">
          <cell r="B1434" t="str">
            <v>VJKD-94</v>
          </cell>
          <cell r="C1434" t="str">
            <v>LDYECS310S0044392</v>
          </cell>
          <cell r="D1434" t="str">
            <v>MDN35025030180</v>
          </cell>
          <cell r="E1434" t="str">
            <v>Zhong Thong</v>
          </cell>
          <cell r="F1434" t="str">
            <v>Lck6122evg</v>
          </cell>
          <cell r="G1434" t="str">
            <v>Zhong Thong</v>
          </cell>
          <cell r="H1434" t="str">
            <v>Lck6122evg</v>
          </cell>
          <cell r="I1434">
            <v>2026</v>
          </cell>
          <cell r="J1434" t="str">
            <v>B</v>
          </cell>
          <cell r="K1434" t="str">
            <v>Recoleta</v>
          </cell>
          <cell r="N1434" t="str">
            <v>B</v>
          </cell>
        </row>
        <row r="1435">
          <cell r="B1435" t="str">
            <v>VJKF-29</v>
          </cell>
          <cell r="C1435" t="str">
            <v>LDYECS311S0044398</v>
          </cell>
          <cell r="D1435" t="str">
            <v>MDN35025030205</v>
          </cell>
          <cell r="E1435" t="str">
            <v>Zhong Thong</v>
          </cell>
          <cell r="F1435" t="str">
            <v>Lck6122evg</v>
          </cell>
          <cell r="G1435" t="str">
            <v>Zhong Thong</v>
          </cell>
          <cell r="H1435" t="str">
            <v>Lck6122evg</v>
          </cell>
          <cell r="I1435">
            <v>2026</v>
          </cell>
          <cell r="J1435" t="str">
            <v>B</v>
          </cell>
          <cell r="K1435" t="str">
            <v>Recoleta</v>
          </cell>
          <cell r="N1435" t="str">
            <v>B</v>
          </cell>
        </row>
        <row r="1436">
          <cell r="B1436" t="str">
            <v>VJKF-44</v>
          </cell>
          <cell r="C1436" t="str">
            <v>LDYECS317S0044339</v>
          </cell>
          <cell r="D1436" t="str">
            <v>MDN35025030142</v>
          </cell>
          <cell r="E1436" t="str">
            <v>Zhong Thong</v>
          </cell>
          <cell r="F1436" t="str">
            <v>Lck6122evg</v>
          </cell>
          <cell r="G1436" t="str">
            <v>Zhong Thong</v>
          </cell>
          <cell r="H1436" t="str">
            <v>Lck6122evg</v>
          </cell>
          <cell r="I1436">
            <v>2026</v>
          </cell>
          <cell r="J1436" t="str">
            <v>B</v>
          </cell>
          <cell r="K1436" t="str">
            <v>Lo Blanco</v>
          </cell>
          <cell r="N1436" t="str">
            <v>B</v>
          </cell>
        </row>
        <row r="1437">
          <cell r="B1437" t="str">
            <v>VJKF-46</v>
          </cell>
          <cell r="C1437" t="str">
            <v>LDYECS312S0044331</v>
          </cell>
          <cell r="D1437" t="str">
            <v>MDN35025030246</v>
          </cell>
          <cell r="E1437" t="str">
            <v>Zhong Thong</v>
          </cell>
          <cell r="F1437" t="str">
            <v>Lck6122evg</v>
          </cell>
          <cell r="G1437" t="str">
            <v>Zhong Thong</v>
          </cell>
          <cell r="H1437" t="str">
            <v>Lck6122evg</v>
          </cell>
          <cell r="I1437">
            <v>2026</v>
          </cell>
          <cell r="J1437" t="str">
            <v>B</v>
          </cell>
          <cell r="K1437" t="str">
            <v>Recoleta</v>
          </cell>
          <cell r="N1437" t="str">
            <v>B</v>
          </cell>
        </row>
        <row r="1438">
          <cell r="B1438" t="str">
            <v>VJKF-55</v>
          </cell>
          <cell r="C1438" t="str">
            <v>LDYECS319S0044407</v>
          </cell>
          <cell r="D1438" t="str">
            <v>MDN35025030112</v>
          </cell>
          <cell r="E1438" t="str">
            <v>Zhong Thong</v>
          </cell>
          <cell r="F1438" t="str">
            <v>Lck6122evg</v>
          </cell>
          <cell r="G1438" t="str">
            <v>Zhong Thong</v>
          </cell>
          <cell r="H1438" t="str">
            <v>Lck6122evg</v>
          </cell>
          <cell r="I1438">
            <v>2026</v>
          </cell>
          <cell r="J1438" t="str">
            <v>B</v>
          </cell>
          <cell r="K1438" t="str">
            <v>Recoleta</v>
          </cell>
          <cell r="N1438" t="str">
            <v>B</v>
          </cell>
        </row>
        <row r="1439">
          <cell r="B1439" t="str">
            <v>VJKF-61</v>
          </cell>
          <cell r="C1439" t="str">
            <v>LDYECS313S0044340</v>
          </cell>
          <cell r="D1439" t="str">
            <v>MDN35025010149</v>
          </cell>
          <cell r="E1439" t="str">
            <v>Zhong Thong</v>
          </cell>
          <cell r="F1439" t="str">
            <v>Lck6122evg</v>
          </cell>
          <cell r="G1439" t="str">
            <v>Zhong Thong</v>
          </cell>
          <cell r="H1439" t="str">
            <v>Lck6122evg</v>
          </cell>
          <cell r="I1439">
            <v>2026</v>
          </cell>
          <cell r="J1439" t="str">
            <v>B</v>
          </cell>
          <cell r="K1439" t="str">
            <v>Recoleta</v>
          </cell>
          <cell r="N1439" t="str">
            <v>B</v>
          </cell>
        </row>
        <row r="1440">
          <cell r="B1440" t="str">
            <v>VJKF-66</v>
          </cell>
          <cell r="C1440" t="str">
            <v>LDYECS314S0044332</v>
          </cell>
          <cell r="D1440" t="str">
            <v>MDN35025030178</v>
          </cell>
          <cell r="E1440" t="str">
            <v>Zhong Thong</v>
          </cell>
          <cell r="F1440" t="str">
            <v>Lck6122evg</v>
          </cell>
          <cell r="G1440" t="str">
            <v>Zhong Thong</v>
          </cell>
          <cell r="H1440" t="str">
            <v>Lck6122evg</v>
          </cell>
          <cell r="I1440">
            <v>2026</v>
          </cell>
          <cell r="J1440" t="str">
            <v>B</v>
          </cell>
          <cell r="K1440" t="str">
            <v>Recoleta</v>
          </cell>
          <cell r="N1440" t="str">
            <v>B</v>
          </cell>
        </row>
        <row r="1441">
          <cell r="B1441" t="str">
            <v>VJKG-16</v>
          </cell>
          <cell r="C1441" t="str">
            <v>LDYECS313S0044399</v>
          </cell>
          <cell r="D1441" t="str">
            <v>MDN35025030198</v>
          </cell>
          <cell r="E1441" t="str">
            <v>Zhong Thong</v>
          </cell>
          <cell r="F1441" t="str">
            <v>Lck6122evg</v>
          </cell>
          <cell r="G1441" t="str">
            <v>Zhong Thong</v>
          </cell>
          <cell r="H1441" t="str">
            <v>Lck6122evg</v>
          </cell>
          <cell r="I1441">
            <v>2026</v>
          </cell>
          <cell r="J1441" t="str">
            <v>B</v>
          </cell>
          <cell r="K1441" t="str">
            <v>Recoleta</v>
          </cell>
          <cell r="N1441" t="str">
            <v>B</v>
          </cell>
        </row>
        <row r="1442">
          <cell r="B1442" t="str">
            <v>VJKG-25</v>
          </cell>
          <cell r="C1442" t="str">
            <v>LDYECS313S0044337</v>
          </cell>
          <cell r="D1442" t="str">
            <v>MDN350250138</v>
          </cell>
          <cell r="E1442" t="str">
            <v>Zhong Thong</v>
          </cell>
          <cell r="F1442" t="str">
            <v>Lck6122evg</v>
          </cell>
          <cell r="G1442" t="str">
            <v>Zhong Thong</v>
          </cell>
          <cell r="H1442" t="str">
            <v>Lck6122evg</v>
          </cell>
          <cell r="I1442">
            <v>2026</v>
          </cell>
          <cell r="J1442" t="str">
            <v>B</v>
          </cell>
          <cell r="K1442" t="str">
            <v>Recoleta</v>
          </cell>
          <cell r="N1442" t="str">
            <v>B</v>
          </cell>
        </row>
        <row r="1443">
          <cell r="B1443" t="str">
            <v>VJKG-36</v>
          </cell>
          <cell r="C1443" t="str">
            <v>LDYECS313S0044404</v>
          </cell>
          <cell r="D1443" t="str">
            <v>MDN35025030001</v>
          </cell>
          <cell r="E1443" t="str">
            <v>Zhong Thong</v>
          </cell>
          <cell r="F1443" t="str">
            <v>Lck6122evg</v>
          </cell>
          <cell r="G1443" t="str">
            <v>Zhong Thong</v>
          </cell>
          <cell r="H1443" t="str">
            <v>Lck6122evg</v>
          </cell>
          <cell r="I1443">
            <v>2026</v>
          </cell>
          <cell r="J1443" t="str">
            <v>B</v>
          </cell>
          <cell r="K1443" t="str">
            <v>Recoleta</v>
          </cell>
          <cell r="N1443" t="str">
            <v>B</v>
          </cell>
        </row>
        <row r="1444">
          <cell r="B1444" t="str">
            <v>VJKG-37</v>
          </cell>
          <cell r="C1444" t="str">
            <v>LDYECS310S0044408</v>
          </cell>
          <cell r="D1444" t="str">
            <v>MDN35025020174</v>
          </cell>
          <cell r="E1444" t="str">
            <v>Zhong Thong</v>
          </cell>
          <cell r="F1444" t="str">
            <v>Lck6122evg</v>
          </cell>
          <cell r="G1444" t="str">
            <v>Zhong Thong</v>
          </cell>
          <cell r="H1444" t="str">
            <v>Lck6122evg</v>
          </cell>
          <cell r="I1444">
            <v>2026</v>
          </cell>
          <cell r="J1444" t="str">
            <v>B</v>
          </cell>
          <cell r="K1444" t="str">
            <v>Ducaud</v>
          </cell>
          <cell r="N1444" t="str">
            <v>B</v>
          </cell>
        </row>
        <row r="1445">
          <cell r="B1445" t="str">
            <v>VJKG-66</v>
          </cell>
          <cell r="C1445" t="str">
            <v>LDYECS315S0044405</v>
          </cell>
          <cell r="D1445" t="str">
            <v>MDN35025020253</v>
          </cell>
          <cell r="E1445" t="str">
            <v>Zhong Thong</v>
          </cell>
          <cell r="F1445" t="str">
            <v>Lck6122evg</v>
          </cell>
          <cell r="G1445" t="str">
            <v>Zhong Thong</v>
          </cell>
          <cell r="H1445" t="str">
            <v>Lck6122evg</v>
          </cell>
          <cell r="I1445">
            <v>2026</v>
          </cell>
          <cell r="J1445" t="str">
            <v>B</v>
          </cell>
          <cell r="K1445" t="str">
            <v>Ducaud</v>
          </cell>
          <cell r="N1445" t="str">
            <v>B</v>
          </cell>
        </row>
        <row r="1446">
          <cell r="B1446" t="str">
            <v>VJKG-75</v>
          </cell>
          <cell r="C1446" t="str">
            <v>LDYECS316S0044414</v>
          </cell>
          <cell r="D1446" t="str">
            <v>MDN35025020075</v>
          </cell>
          <cell r="E1446" t="str">
            <v>Zhong Thong</v>
          </cell>
          <cell r="F1446" t="str">
            <v>Lck6122evg</v>
          </cell>
          <cell r="G1446" t="str">
            <v>Zhong Thong</v>
          </cell>
          <cell r="H1446" t="str">
            <v>Lck6122evg</v>
          </cell>
          <cell r="I1446">
            <v>2026</v>
          </cell>
          <cell r="J1446" t="str">
            <v>B</v>
          </cell>
          <cell r="K1446" t="str">
            <v>Ducaud</v>
          </cell>
          <cell r="N1446" t="str">
            <v>B</v>
          </cell>
        </row>
        <row r="1447">
          <cell r="B1447" t="str">
            <v>VJKG-85</v>
          </cell>
          <cell r="C1447" t="str">
            <v>LDYECS313S0044239</v>
          </cell>
          <cell r="D1447" t="str">
            <v>MDN35025020137</v>
          </cell>
          <cell r="E1447" t="str">
            <v>Zhong Thong</v>
          </cell>
          <cell r="F1447" t="str">
            <v>Lck6122evg</v>
          </cell>
          <cell r="G1447" t="str">
            <v>Zhong Thong</v>
          </cell>
          <cell r="H1447" t="str">
            <v>Lck6122evg</v>
          </cell>
          <cell r="I1447">
            <v>2026</v>
          </cell>
          <cell r="J1447" t="str">
            <v>B</v>
          </cell>
          <cell r="K1447" t="str">
            <v>Ducaud</v>
          </cell>
          <cell r="N1447" t="str">
            <v>B</v>
          </cell>
        </row>
        <row r="1448">
          <cell r="B1448" t="str">
            <v>VJKT-45</v>
          </cell>
          <cell r="C1448" t="str">
            <v>LDYECS316S0044381</v>
          </cell>
          <cell r="D1448" t="str">
            <v>MDN35025030006</v>
          </cell>
          <cell r="E1448" t="str">
            <v>Zhong Thong</v>
          </cell>
          <cell r="F1448" t="str">
            <v>Lck6122evg</v>
          </cell>
          <cell r="G1448" t="str">
            <v>Zhong Thong</v>
          </cell>
          <cell r="H1448" t="str">
            <v>Lck6122evg</v>
          </cell>
          <cell r="I1448">
            <v>2026</v>
          </cell>
          <cell r="J1448" t="str">
            <v>B</v>
          </cell>
          <cell r="K1448" t="str">
            <v>Ducaud</v>
          </cell>
          <cell r="N1448" t="str">
            <v>B</v>
          </cell>
        </row>
        <row r="1449">
          <cell r="B1449" t="str">
            <v>VJKT-55</v>
          </cell>
          <cell r="C1449" t="str">
            <v>LDYECS311S0044319</v>
          </cell>
          <cell r="D1449" t="str">
            <v>MDN35025010158</v>
          </cell>
          <cell r="E1449" t="str">
            <v>Zhong Thong</v>
          </cell>
          <cell r="F1449" t="str">
            <v>Lck6122evg</v>
          </cell>
          <cell r="G1449" t="str">
            <v>Zhong Thong</v>
          </cell>
          <cell r="H1449" t="str">
            <v>Lck6122evg</v>
          </cell>
          <cell r="I1449">
            <v>2026</v>
          </cell>
          <cell r="J1449" t="str">
            <v>B</v>
          </cell>
          <cell r="K1449" t="str">
            <v>Ducaud</v>
          </cell>
          <cell r="N1449" t="str">
            <v>B</v>
          </cell>
        </row>
        <row r="1450">
          <cell r="B1450" t="str">
            <v>VJKT-63</v>
          </cell>
          <cell r="C1450" t="str">
            <v>LDYECS318S0044334</v>
          </cell>
          <cell r="D1450" t="str">
            <v>MDN35025030245</v>
          </cell>
          <cell r="E1450" t="str">
            <v>Zhong Thong</v>
          </cell>
          <cell r="F1450" t="str">
            <v>Lck6122evg</v>
          </cell>
          <cell r="G1450" t="str">
            <v>Zhong Thong</v>
          </cell>
          <cell r="H1450" t="str">
            <v>Lck6122evg</v>
          </cell>
          <cell r="I1450">
            <v>2026</v>
          </cell>
          <cell r="J1450" t="str">
            <v>B</v>
          </cell>
          <cell r="K1450" t="str">
            <v>Ducaud</v>
          </cell>
          <cell r="N1450" t="str">
            <v>B</v>
          </cell>
        </row>
        <row r="1451">
          <cell r="B1451" t="str">
            <v>VJKT-83</v>
          </cell>
          <cell r="C1451" t="str">
            <v>LDYECS312S0044328</v>
          </cell>
          <cell r="D1451" t="str">
            <v>MDN35025030204</v>
          </cell>
          <cell r="E1451" t="str">
            <v>Zhong Thong</v>
          </cell>
          <cell r="F1451" t="str">
            <v>Lck6122evg</v>
          </cell>
          <cell r="G1451" t="str">
            <v>Zhong Thong</v>
          </cell>
          <cell r="H1451" t="str">
            <v>Lck6122evg</v>
          </cell>
          <cell r="I1451">
            <v>2026</v>
          </cell>
          <cell r="J1451" t="str">
            <v>B</v>
          </cell>
          <cell r="K1451" t="str">
            <v>Recoleta</v>
          </cell>
          <cell r="N1451" t="str">
            <v>B</v>
          </cell>
        </row>
        <row r="1452">
          <cell r="B1452" t="str">
            <v>VJKT-92</v>
          </cell>
          <cell r="C1452" t="str">
            <v>LDYECS310S0044389</v>
          </cell>
          <cell r="D1452" t="str">
            <v>MDN35025010119</v>
          </cell>
          <cell r="E1452" t="str">
            <v>Zhong Thong</v>
          </cell>
          <cell r="F1452" t="str">
            <v>Lck6122evg</v>
          </cell>
          <cell r="G1452" t="str">
            <v>Zhong Thong</v>
          </cell>
          <cell r="H1452" t="str">
            <v>Lck6122evg</v>
          </cell>
          <cell r="I1452">
            <v>2026</v>
          </cell>
          <cell r="J1452" t="str">
            <v>B</v>
          </cell>
          <cell r="K1452" t="str">
            <v>Lo Blanco</v>
          </cell>
          <cell r="N1452" t="str">
            <v>B</v>
          </cell>
        </row>
        <row r="1453">
          <cell r="B1453" t="str">
            <v>VJKV-14</v>
          </cell>
          <cell r="C1453" t="str">
            <v>LDYECS31XS0044321</v>
          </cell>
          <cell r="D1453" t="str">
            <v>MDN35025010152</v>
          </cell>
          <cell r="E1453" t="str">
            <v>Zhong Thong</v>
          </cell>
          <cell r="F1453" t="str">
            <v>Lck6122evg</v>
          </cell>
          <cell r="G1453" t="str">
            <v>Zhong Thong</v>
          </cell>
          <cell r="H1453" t="str">
            <v>Lck6122evg</v>
          </cell>
          <cell r="I1453">
            <v>2026</v>
          </cell>
          <cell r="J1453" t="str">
            <v>B</v>
          </cell>
          <cell r="K1453" t="str">
            <v>Lo Blanco</v>
          </cell>
          <cell r="N1453" t="str">
            <v>B</v>
          </cell>
        </row>
        <row r="1454">
          <cell r="B1454" t="str">
            <v>VJKV-58</v>
          </cell>
          <cell r="C1454" t="str">
            <v>LDYECS318S0044396</v>
          </cell>
          <cell r="D1454" t="str">
            <v>MDN35025010167</v>
          </cell>
          <cell r="E1454" t="str">
            <v>Zhong Thong</v>
          </cell>
          <cell r="F1454" t="str">
            <v>Lck6122evg</v>
          </cell>
          <cell r="G1454" t="str">
            <v>Zhong Thong</v>
          </cell>
          <cell r="H1454" t="str">
            <v>Lck6122evg</v>
          </cell>
          <cell r="I1454">
            <v>2026</v>
          </cell>
          <cell r="J1454" t="str">
            <v>B</v>
          </cell>
          <cell r="K1454" t="str">
            <v>Lo Blanco</v>
          </cell>
          <cell r="N1454" t="str">
            <v>B</v>
          </cell>
        </row>
        <row r="1455">
          <cell r="B1455" t="str">
            <v>VJKV-78</v>
          </cell>
          <cell r="C1455" t="str">
            <v>LDYECS315S0044341</v>
          </cell>
          <cell r="D1455" t="str">
            <v>MDN35025030185</v>
          </cell>
          <cell r="E1455" t="str">
            <v>Zhong Thong</v>
          </cell>
          <cell r="F1455" t="str">
            <v>Lck6122evg</v>
          </cell>
          <cell r="G1455" t="str">
            <v>Zhong Thong</v>
          </cell>
          <cell r="H1455" t="str">
            <v>Lck6122evg</v>
          </cell>
          <cell r="I1455">
            <v>2026</v>
          </cell>
          <cell r="J1455" t="str">
            <v>B</v>
          </cell>
          <cell r="K1455" t="str">
            <v>Lo Blanco</v>
          </cell>
          <cell r="N1455" t="str">
            <v>B</v>
          </cell>
        </row>
        <row r="1456">
          <cell r="B1456" t="str">
            <v>VJKV-88</v>
          </cell>
          <cell r="C1456" t="str">
            <v>LDYECS316S0044333</v>
          </cell>
          <cell r="D1456" t="str">
            <v>MDN35025030188</v>
          </cell>
          <cell r="E1456" t="str">
            <v>Zhong Thong</v>
          </cell>
          <cell r="F1456" t="str">
            <v>Lck6122evg</v>
          </cell>
          <cell r="G1456" t="str">
            <v>Zhong Thong</v>
          </cell>
          <cell r="H1456" t="str">
            <v>Lck6122evg</v>
          </cell>
          <cell r="I1456">
            <v>2026</v>
          </cell>
          <cell r="J1456" t="str">
            <v>B</v>
          </cell>
          <cell r="K1456" t="str">
            <v>Lo Blanco</v>
          </cell>
          <cell r="N1456" t="str">
            <v>B</v>
          </cell>
        </row>
        <row r="1457">
          <cell r="B1457" t="str">
            <v>VJKW-68</v>
          </cell>
          <cell r="C1457" t="str">
            <v>LDYECS311S0044417</v>
          </cell>
          <cell r="D1457" t="str">
            <v>MDN35025030119</v>
          </cell>
          <cell r="E1457" t="str">
            <v>Zhong Thong</v>
          </cell>
          <cell r="F1457" t="str">
            <v>Lck6122evg</v>
          </cell>
          <cell r="G1457" t="str">
            <v>Zhong Thong</v>
          </cell>
          <cell r="H1457" t="str">
            <v>Lck6122evg</v>
          </cell>
          <cell r="I1457">
            <v>2026</v>
          </cell>
          <cell r="J1457" t="str">
            <v>B</v>
          </cell>
          <cell r="K1457" t="str">
            <v>Lo Blanco</v>
          </cell>
          <cell r="N1457" t="str">
            <v>B</v>
          </cell>
        </row>
        <row r="1458">
          <cell r="B1458" t="str">
            <v>VJKX-18</v>
          </cell>
          <cell r="C1458" t="str">
            <v>LDYECS31XS0044416</v>
          </cell>
          <cell r="D1458" t="str">
            <v>MDN35025020083</v>
          </cell>
          <cell r="E1458" t="str">
            <v>Zhong Thong</v>
          </cell>
          <cell r="F1458" t="str">
            <v>Lck6122evg</v>
          </cell>
          <cell r="G1458" t="str">
            <v>Zhong Thong</v>
          </cell>
          <cell r="H1458" t="str">
            <v>Lck6122evg</v>
          </cell>
          <cell r="I1458">
            <v>2026</v>
          </cell>
          <cell r="J1458" t="str">
            <v>B</v>
          </cell>
          <cell r="K1458" t="str">
            <v>Lo Blanco</v>
          </cell>
          <cell r="N1458" t="str">
            <v>B</v>
          </cell>
        </row>
        <row r="1459">
          <cell r="B1459" t="str">
            <v>VJKX-38</v>
          </cell>
          <cell r="C1459" t="str">
            <v>LDYECS318S0044401</v>
          </cell>
          <cell r="D1459" t="str">
            <v>MDN35025030148</v>
          </cell>
          <cell r="E1459" t="str">
            <v>Zhong Thong</v>
          </cell>
          <cell r="F1459" t="str">
            <v>Lck6122evg</v>
          </cell>
          <cell r="G1459" t="str">
            <v>Zhong Thong</v>
          </cell>
          <cell r="H1459" t="str">
            <v>Lck6122evg</v>
          </cell>
          <cell r="I1459">
            <v>2026</v>
          </cell>
          <cell r="J1459" t="str">
            <v>B</v>
          </cell>
          <cell r="K1459" t="str">
            <v>Lo Blanco</v>
          </cell>
          <cell r="N1459" t="str">
            <v>B</v>
          </cell>
        </row>
        <row r="1460">
          <cell r="B1460" t="str">
            <v>VJKX-78</v>
          </cell>
          <cell r="C1460" t="str">
            <v>LDYECS31XS0044402</v>
          </cell>
          <cell r="D1460" t="str">
            <v>MDN35025030252</v>
          </cell>
          <cell r="E1460" t="str">
            <v>Zhong Thong</v>
          </cell>
          <cell r="F1460" t="str">
            <v>Lck6122evg</v>
          </cell>
          <cell r="G1460" t="str">
            <v>Zhong Thong</v>
          </cell>
          <cell r="H1460" t="str">
            <v>Lck6122evg</v>
          </cell>
          <cell r="I1460">
            <v>2026</v>
          </cell>
          <cell r="J1460" t="str">
            <v>B</v>
          </cell>
          <cell r="K1460" t="str">
            <v>Lo Blanco</v>
          </cell>
          <cell r="N1460" t="str">
            <v>B</v>
          </cell>
        </row>
        <row r="1461">
          <cell r="B1461" t="str">
            <v>VJKY-18</v>
          </cell>
          <cell r="C1461" t="str">
            <v>LDYECS318S0044415</v>
          </cell>
          <cell r="D1461" t="str">
            <v>MDN35025030034</v>
          </cell>
          <cell r="E1461" t="str">
            <v>Zhong Thong</v>
          </cell>
          <cell r="F1461" t="str">
            <v>Lck6122evg</v>
          </cell>
          <cell r="G1461" t="str">
            <v>Zhong Thong</v>
          </cell>
          <cell r="H1461" t="str">
            <v>Lck6122evg</v>
          </cell>
          <cell r="I1461">
            <v>2026</v>
          </cell>
          <cell r="J1461" t="str">
            <v>B</v>
          </cell>
          <cell r="K1461" t="str">
            <v>Lo Blanco</v>
          </cell>
          <cell r="N1461" t="str">
            <v>B</v>
          </cell>
        </row>
        <row r="1462">
          <cell r="B1462" t="str">
            <v>VJKY-58</v>
          </cell>
          <cell r="C1462" t="str">
            <v>LDYECS314S0044413</v>
          </cell>
          <cell r="D1462" t="str">
            <v>MDN35025030256</v>
          </cell>
          <cell r="E1462" t="str">
            <v>Zhong Thong</v>
          </cell>
          <cell r="F1462" t="str">
            <v>Lck6122evg</v>
          </cell>
          <cell r="G1462" t="str">
            <v>Zhong Thong</v>
          </cell>
          <cell r="H1462" t="str">
            <v>Lck6122evg</v>
          </cell>
          <cell r="I1462">
            <v>2026</v>
          </cell>
          <cell r="J1462" t="str">
            <v>B</v>
          </cell>
          <cell r="K1462" t="str">
            <v>Lo Blanco</v>
          </cell>
          <cell r="N1462" t="str">
            <v>B</v>
          </cell>
        </row>
        <row r="1463">
          <cell r="B1463" t="str">
            <v>VJKZ-38</v>
          </cell>
          <cell r="C1463" t="str">
            <v>LDYECS312S0044412</v>
          </cell>
          <cell r="D1463" t="str">
            <v>MDN35025020183</v>
          </cell>
          <cell r="E1463" t="str">
            <v>Zhong Thong</v>
          </cell>
          <cell r="F1463" t="str">
            <v>Lck6122evg</v>
          </cell>
          <cell r="G1463" t="str">
            <v>Zhong Thong</v>
          </cell>
          <cell r="H1463" t="str">
            <v>Lck6122evg</v>
          </cell>
          <cell r="I1463">
            <v>2026</v>
          </cell>
          <cell r="J1463" t="str">
            <v>B</v>
          </cell>
          <cell r="K1463" t="str">
            <v>Lo Blanco</v>
          </cell>
          <cell r="N1463" t="str">
            <v>B</v>
          </cell>
        </row>
        <row r="1464">
          <cell r="B1464" t="str">
            <v>VJKZ-78</v>
          </cell>
          <cell r="C1464" t="str">
            <v>LDYECS315S0044162</v>
          </cell>
          <cell r="D1464" t="str">
            <v>MDN35025020184</v>
          </cell>
          <cell r="E1464" t="str">
            <v>Zhong Thong</v>
          </cell>
          <cell r="F1464" t="str">
            <v>Lck6122evg</v>
          </cell>
          <cell r="G1464" t="str">
            <v>Zhong Thong</v>
          </cell>
          <cell r="H1464" t="str">
            <v>Lck6122evg</v>
          </cell>
          <cell r="I1464">
            <v>2026</v>
          </cell>
          <cell r="J1464" t="str">
            <v>B</v>
          </cell>
          <cell r="K1464" t="str">
            <v>Lo Blanco</v>
          </cell>
          <cell r="N1464" t="str">
            <v>B</v>
          </cell>
        </row>
        <row r="1465">
          <cell r="B1465" t="str">
            <v>VJLH-14</v>
          </cell>
          <cell r="C1465" t="str">
            <v>LDYECS311S0044174</v>
          </cell>
          <cell r="D1465" t="str">
            <v>MDN35025020232</v>
          </cell>
          <cell r="E1465" t="str">
            <v>Zhong Thong</v>
          </cell>
          <cell r="F1465" t="str">
            <v>Lck6122evg</v>
          </cell>
          <cell r="G1465" t="str">
            <v>Zhong Thong</v>
          </cell>
          <cell r="H1465" t="str">
            <v>Lck6122evg</v>
          </cell>
          <cell r="I1465">
            <v>2026</v>
          </cell>
          <cell r="J1465" t="str">
            <v>B</v>
          </cell>
          <cell r="K1465" t="str">
            <v>Ducaud</v>
          </cell>
          <cell r="N1465" t="str">
            <v>B</v>
          </cell>
        </row>
        <row r="1466">
          <cell r="B1466" t="str">
            <v>VJLH-24</v>
          </cell>
          <cell r="C1466" t="str">
            <v>LDYECS310S0044179</v>
          </cell>
          <cell r="D1466" t="str">
            <v>MDN35025020240</v>
          </cell>
          <cell r="E1466" t="str">
            <v>Zhong Thong</v>
          </cell>
          <cell r="F1466" t="str">
            <v>Lck6122evg</v>
          </cell>
          <cell r="G1466" t="str">
            <v>Zhong Thong</v>
          </cell>
          <cell r="H1466" t="str">
            <v>Lck6122evg</v>
          </cell>
          <cell r="I1466">
            <v>2026</v>
          </cell>
          <cell r="J1466" t="str">
            <v>B</v>
          </cell>
          <cell r="K1466" t="str">
            <v>Ducaud</v>
          </cell>
          <cell r="N1466" t="str">
            <v>B</v>
          </cell>
        </row>
        <row r="1467">
          <cell r="B1467" t="str">
            <v>VJLH-33</v>
          </cell>
          <cell r="C1467" t="str">
            <v>LDYECS316S0044171</v>
          </cell>
          <cell r="D1467" t="str">
            <v>MDN35025020235</v>
          </cell>
          <cell r="E1467" t="str">
            <v>Zhong Thong</v>
          </cell>
          <cell r="F1467" t="str">
            <v>Lck6122evg</v>
          </cell>
          <cell r="G1467" t="str">
            <v>Zhong Thong</v>
          </cell>
          <cell r="H1467" t="str">
            <v>Lck6122evg</v>
          </cell>
          <cell r="I1467">
            <v>2026</v>
          </cell>
          <cell r="J1467" t="str">
            <v>B</v>
          </cell>
          <cell r="K1467" t="str">
            <v>Ducaud</v>
          </cell>
          <cell r="N1467" t="str">
            <v>B</v>
          </cell>
        </row>
        <row r="1468">
          <cell r="B1468" t="str">
            <v>VJWZ-74</v>
          </cell>
          <cell r="C1468" t="str">
            <v>LDYECS315S0044226</v>
          </cell>
          <cell r="D1468" t="str">
            <v>MDN35025020140</v>
          </cell>
          <cell r="E1468" t="str">
            <v>Zhong Thong</v>
          </cell>
          <cell r="F1468" t="str">
            <v>Lck6122evg</v>
          </cell>
          <cell r="G1468" t="str">
            <v>Zhong Thong</v>
          </cell>
          <cell r="H1468" t="str">
            <v>Lck6122evg</v>
          </cell>
          <cell r="I1468">
            <v>2026</v>
          </cell>
          <cell r="J1468" t="str">
            <v>B</v>
          </cell>
          <cell r="K1468" t="str">
            <v>Lo Blanco</v>
          </cell>
          <cell r="N1468" t="str">
            <v>B</v>
          </cell>
        </row>
        <row r="1469">
          <cell r="B1469" t="str">
            <v>VJWZ-95</v>
          </cell>
          <cell r="C1469" t="str">
            <v>LDYECS311S0044241</v>
          </cell>
          <cell r="D1469" t="str">
            <v>MDN35025020192</v>
          </cell>
          <cell r="E1469" t="str">
            <v>Zhong Thong</v>
          </cell>
          <cell r="F1469" t="str">
            <v>Lck6122evg</v>
          </cell>
          <cell r="G1469" t="str">
            <v>Zhong Thong</v>
          </cell>
          <cell r="H1469" t="str">
            <v>Lck6122evg</v>
          </cell>
          <cell r="I1469">
            <v>2026</v>
          </cell>
          <cell r="J1469" t="str">
            <v>B</v>
          </cell>
          <cell r="K1469" t="str">
            <v>Lo Blanco</v>
          </cell>
          <cell r="N1469" t="str">
            <v>B</v>
          </cell>
        </row>
        <row r="1470">
          <cell r="B1470" t="str">
            <v>VJXB-27</v>
          </cell>
          <cell r="C1470" t="str">
            <v>LDYECS310S0044148</v>
          </cell>
          <cell r="D1470" t="str">
            <v>MDN35025030010</v>
          </cell>
          <cell r="E1470" t="str">
            <v>Zhong Thong</v>
          </cell>
          <cell r="F1470" t="str">
            <v>Lck6122evg</v>
          </cell>
          <cell r="G1470" t="str">
            <v>Zhong Thong</v>
          </cell>
          <cell r="H1470" t="str">
            <v>Lck6122evg</v>
          </cell>
          <cell r="I1470">
            <v>2026</v>
          </cell>
          <cell r="J1470" t="str">
            <v>B</v>
          </cell>
          <cell r="K1470" t="str">
            <v>Lo Blanco</v>
          </cell>
          <cell r="N1470" t="str">
            <v>B</v>
          </cell>
        </row>
        <row r="1471">
          <cell r="B1471" t="str">
            <v>VJXB-56</v>
          </cell>
          <cell r="C1471" t="str">
            <v>LDYECS315S0044159</v>
          </cell>
          <cell r="D1471" t="str">
            <v>MDN35025020161</v>
          </cell>
          <cell r="E1471" t="str">
            <v>Zhong Thong</v>
          </cell>
          <cell r="F1471" t="str">
            <v>Lck6122evg</v>
          </cell>
          <cell r="G1471" t="str">
            <v>Zhong Thong</v>
          </cell>
          <cell r="H1471" t="str">
            <v>Lck6122evg</v>
          </cell>
          <cell r="I1471">
            <v>2026</v>
          </cell>
          <cell r="J1471" t="str">
            <v>B</v>
          </cell>
          <cell r="K1471" t="str">
            <v>Lo Blanco</v>
          </cell>
          <cell r="N1471" t="str">
            <v>B</v>
          </cell>
        </row>
        <row r="1472">
          <cell r="B1472" t="str">
            <v>VJXB-87</v>
          </cell>
          <cell r="C1472" t="str">
            <v>LDYECS310S0044232</v>
          </cell>
          <cell r="D1472" t="str">
            <v>MDN35025030039</v>
          </cell>
          <cell r="E1472" t="str">
            <v>Zhong Thong</v>
          </cell>
          <cell r="F1472" t="str">
            <v>Lck6122evg</v>
          </cell>
          <cell r="G1472" t="str">
            <v>Zhong Thong</v>
          </cell>
          <cell r="H1472" t="str">
            <v>Lck6122evg</v>
          </cell>
          <cell r="I1472">
            <v>2026</v>
          </cell>
          <cell r="J1472" t="str">
            <v>B</v>
          </cell>
          <cell r="K1472" t="str">
            <v>Lo Blanco</v>
          </cell>
          <cell r="N1472" t="str">
            <v>B</v>
          </cell>
        </row>
        <row r="1473">
          <cell r="B1473" t="str">
            <v>VJXC-26</v>
          </cell>
          <cell r="C1473" t="str">
            <v>LDYECS311S0044157</v>
          </cell>
          <cell r="D1473" t="str">
            <v>MDN35025020182</v>
          </cell>
          <cell r="E1473" t="str">
            <v>Zhong Thong</v>
          </cell>
          <cell r="F1473" t="str">
            <v>Lck6122evg</v>
          </cell>
          <cell r="G1473" t="str">
            <v>Zhong Thong</v>
          </cell>
          <cell r="H1473" t="str">
            <v>Lck6122evg</v>
          </cell>
          <cell r="I1473">
            <v>2026</v>
          </cell>
          <cell r="J1473" t="str">
            <v>B</v>
          </cell>
          <cell r="K1473" t="str">
            <v>Lo Blanco</v>
          </cell>
          <cell r="N1473" t="str">
            <v>B</v>
          </cell>
        </row>
        <row r="1474">
          <cell r="B1474" t="str">
            <v>VJXC-42</v>
          </cell>
          <cell r="C1474" t="str">
            <v>LDYECS319S0044150</v>
          </cell>
          <cell r="D1474" t="str">
            <v>MDN35025030054</v>
          </cell>
          <cell r="E1474" t="str">
            <v>Zhong Thong</v>
          </cell>
          <cell r="F1474" t="str">
            <v>Lck6122evg</v>
          </cell>
          <cell r="G1474" t="str">
            <v>Zhong Thong</v>
          </cell>
          <cell r="H1474" t="str">
            <v>Lck6122evg</v>
          </cell>
          <cell r="I1474">
            <v>2026</v>
          </cell>
          <cell r="J1474" t="str">
            <v>B</v>
          </cell>
          <cell r="K1474" t="str">
            <v>Lo Blanco</v>
          </cell>
          <cell r="N1474" t="str">
            <v>B</v>
          </cell>
        </row>
        <row r="1475">
          <cell r="B1475" t="str">
            <v>VJXC-53</v>
          </cell>
          <cell r="C1475" t="str">
            <v>LDYECS319S0044164</v>
          </cell>
          <cell r="D1475" t="str">
            <v>MDN35025020178</v>
          </cell>
          <cell r="E1475" t="str">
            <v>Zhong Thong</v>
          </cell>
          <cell r="F1475" t="str">
            <v>Lck6122evg</v>
          </cell>
          <cell r="G1475" t="str">
            <v>Zhong Thong</v>
          </cell>
          <cell r="H1475" t="str">
            <v>Lck6122evg</v>
          </cell>
          <cell r="I1475">
            <v>2026</v>
          </cell>
          <cell r="J1475" t="str">
            <v>B</v>
          </cell>
          <cell r="K1475" t="str">
            <v>Lo Blanco</v>
          </cell>
          <cell r="N1475" t="str">
            <v>B</v>
          </cell>
        </row>
        <row r="1476">
          <cell r="B1476" t="str">
            <v>VJXC-75</v>
          </cell>
          <cell r="C1476" t="str">
            <v>LDTECS314S0044234</v>
          </cell>
          <cell r="D1476" t="str">
            <v>MDN35025020193</v>
          </cell>
          <cell r="E1476" t="str">
            <v>Zhong Thong</v>
          </cell>
          <cell r="F1476" t="str">
            <v>Lck6122evg</v>
          </cell>
          <cell r="G1476" t="str">
            <v>Zhong Thong</v>
          </cell>
          <cell r="H1476" t="str">
            <v>Lck6122evg</v>
          </cell>
          <cell r="I1476">
            <v>2026</v>
          </cell>
          <cell r="J1476" t="str">
            <v>B</v>
          </cell>
          <cell r="K1476" t="str">
            <v>Lo Blanco</v>
          </cell>
          <cell r="N1476" t="str">
            <v>B</v>
          </cell>
        </row>
        <row r="1477">
          <cell r="B1477" t="str">
            <v>VJXC-91</v>
          </cell>
          <cell r="C1477" t="str">
            <v>LDYECS31XS0044254</v>
          </cell>
          <cell r="D1477" t="str">
            <v>MDN35025020258</v>
          </cell>
          <cell r="E1477" t="str">
            <v>Zhong Thong</v>
          </cell>
          <cell r="F1477" t="str">
            <v>Lck6122evg</v>
          </cell>
          <cell r="G1477" t="str">
            <v>Zhong Thong</v>
          </cell>
          <cell r="H1477" t="str">
            <v>Lck6122evg</v>
          </cell>
          <cell r="I1477">
            <v>2026</v>
          </cell>
          <cell r="J1477" t="str">
            <v>B</v>
          </cell>
          <cell r="K1477" t="str">
            <v>Lo Blanco</v>
          </cell>
          <cell r="N1477" t="str">
            <v>B</v>
          </cell>
        </row>
        <row r="1478">
          <cell r="B1478" t="str">
            <v>VJXD-48</v>
          </cell>
          <cell r="C1478" t="str">
            <v>LDYECS313S0044256</v>
          </cell>
          <cell r="D1478" t="str">
            <v>MDN35025020180</v>
          </cell>
          <cell r="E1478" t="str">
            <v>Zhong Thong</v>
          </cell>
          <cell r="F1478" t="str">
            <v>Lck6122evg</v>
          </cell>
          <cell r="G1478" t="str">
            <v>Zhong Thong</v>
          </cell>
          <cell r="H1478" t="str">
            <v>Lck6122evg</v>
          </cell>
          <cell r="I1478">
            <v>2026</v>
          </cell>
          <cell r="J1478" t="str">
            <v>B</v>
          </cell>
          <cell r="K1478" t="str">
            <v>Ducaud</v>
          </cell>
          <cell r="N1478" t="str">
            <v>B</v>
          </cell>
        </row>
        <row r="1479">
          <cell r="B1479" t="str">
            <v>VJXD-86</v>
          </cell>
          <cell r="C1479" t="str">
            <v>LDYECS316S0044252</v>
          </cell>
          <cell r="D1479" t="str">
            <v>MDN35025020172</v>
          </cell>
          <cell r="E1479" t="str">
            <v>Zhong Thong</v>
          </cell>
          <cell r="F1479" t="str">
            <v>Lck6122evg</v>
          </cell>
          <cell r="G1479" t="str">
            <v>Zhong Thong</v>
          </cell>
          <cell r="H1479" t="str">
            <v>Lck6122evg</v>
          </cell>
          <cell r="I1479">
            <v>2026</v>
          </cell>
          <cell r="J1479" t="str">
            <v>B</v>
          </cell>
          <cell r="K1479" t="str">
            <v>Ducaud</v>
          </cell>
          <cell r="N1479" t="str">
            <v>B</v>
          </cell>
        </row>
        <row r="1480">
          <cell r="B1480" t="str">
            <v>VJXH-88</v>
          </cell>
          <cell r="C1480" t="str">
            <v>LDYECS318S0044253</v>
          </cell>
          <cell r="D1480" t="str">
            <v>MDN35025010248</v>
          </cell>
          <cell r="E1480" t="str">
            <v>Zhong Thong</v>
          </cell>
          <cell r="F1480" t="str">
            <v>Lck6122evg</v>
          </cell>
          <cell r="G1480" t="str">
            <v>Zhong Thong</v>
          </cell>
          <cell r="H1480" t="str">
            <v>Lck6122evg</v>
          </cell>
          <cell r="I1480">
            <v>2026</v>
          </cell>
          <cell r="J1480" t="str">
            <v>B</v>
          </cell>
          <cell r="K1480" t="str">
            <v>Ducaud</v>
          </cell>
          <cell r="N1480" t="str">
            <v>B</v>
          </cell>
        </row>
        <row r="1481">
          <cell r="B1481" t="str">
            <v>VJXJ-27</v>
          </cell>
          <cell r="C1481" t="str">
            <v>LDYECS318S0044186</v>
          </cell>
          <cell r="D1481" t="str">
            <v>MDN35025020159</v>
          </cell>
          <cell r="E1481" t="str">
            <v>Zhong Thong</v>
          </cell>
          <cell r="F1481" t="str">
            <v>Lck6122evg</v>
          </cell>
          <cell r="G1481" t="str">
            <v>Zhong Thong</v>
          </cell>
          <cell r="H1481" t="str">
            <v>Lck6122evg</v>
          </cell>
          <cell r="I1481">
            <v>2026</v>
          </cell>
          <cell r="J1481" t="str">
            <v>B</v>
          </cell>
          <cell r="K1481" t="str">
            <v>Ducaud</v>
          </cell>
          <cell r="N1481" t="str">
            <v>B</v>
          </cell>
        </row>
        <row r="1482">
          <cell r="B1482" t="str">
            <v>VJXJ-39</v>
          </cell>
          <cell r="C1482" t="str">
            <v>LDYECS310S0044196</v>
          </cell>
          <cell r="D1482" t="str">
            <v>MDN35025020243</v>
          </cell>
          <cell r="E1482" t="str">
            <v>Zhong Thong</v>
          </cell>
          <cell r="F1482" t="str">
            <v>Lck6122evg</v>
          </cell>
          <cell r="G1482" t="str">
            <v>Zhong Thong</v>
          </cell>
          <cell r="H1482" t="str">
            <v>Lck6122evg</v>
          </cell>
          <cell r="I1482">
            <v>2026</v>
          </cell>
          <cell r="J1482" t="str">
            <v>B</v>
          </cell>
          <cell r="K1482" t="str">
            <v>Ducaud</v>
          </cell>
          <cell r="N1482" t="str">
            <v>B</v>
          </cell>
        </row>
        <row r="1483">
          <cell r="B1483" t="str">
            <v>VJXJ-44</v>
          </cell>
          <cell r="C1483" t="str">
            <v>LDYECS317S0044308</v>
          </cell>
          <cell r="D1483" t="str">
            <v>MDN35025010207</v>
          </cell>
          <cell r="E1483" t="str">
            <v>Zhong Thong</v>
          </cell>
          <cell r="F1483" t="str">
            <v>Lck6122evg</v>
          </cell>
          <cell r="G1483" t="str">
            <v>Zhong Thong</v>
          </cell>
          <cell r="H1483" t="str">
            <v>Lck6122evg</v>
          </cell>
          <cell r="I1483">
            <v>2026</v>
          </cell>
          <cell r="J1483" t="str">
            <v>B</v>
          </cell>
          <cell r="K1483" t="str">
            <v>Ducaud</v>
          </cell>
          <cell r="N1483" t="str">
            <v>B</v>
          </cell>
        </row>
        <row r="1484">
          <cell r="B1484" t="str">
            <v>VJXJ-46</v>
          </cell>
          <cell r="C1484" t="str">
            <v>LDYECS31XS0044366</v>
          </cell>
          <cell r="D1484" t="str">
            <v>MDN35025010076</v>
          </cell>
          <cell r="E1484" t="str">
            <v>Zhong Thong</v>
          </cell>
          <cell r="F1484" t="str">
            <v>Lck6122evg</v>
          </cell>
          <cell r="G1484" t="str">
            <v>Zhong Thong</v>
          </cell>
          <cell r="H1484" t="str">
            <v>Lck6122evg</v>
          </cell>
          <cell r="I1484">
            <v>2026</v>
          </cell>
          <cell r="J1484" t="str">
            <v>B</v>
          </cell>
          <cell r="K1484" t="str">
            <v>Ducaud</v>
          </cell>
          <cell r="N1484" t="str">
            <v>B</v>
          </cell>
        </row>
        <row r="1485">
          <cell r="B1485" t="str">
            <v>VJXJ-94</v>
          </cell>
          <cell r="C1485" t="str">
            <v>LDYECS310S0044411</v>
          </cell>
          <cell r="D1485" t="str">
            <v>MDN35025010155</v>
          </cell>
          <cell r="E1485" t="str">
            <v>Zhong Thong</v>
          </cell>
          <cell r="F1485" t="str">
            <v>Lck6122evg</v>
          </cell>
          <cell r="G1485" t="str">
            <v>Zhong Thong</v>
          </cell>
          <cell r="H1485" t="str">
            <v>Lck6122evg</v>
          </cell>
          <cell r="I1485">
            <v>2026</v>
          </cell>
          <cell r="J1485" t="str">
            <v>B</v>
          </cell>
          <cell r="K1485" t="str">
            <v>Ducaud</v>
          </cell>
          <cell r="N1485" t="str">
            <v>B</v>
          </cell>
        </row>
        <row r="1486">
          <cell r="B1486" t="str">
            <v>VJXK-14</v>
          </cell>
          <cell r="C1486" t="str">
            <v>LDYECS318S0044382</v>
          </cell>
          <cell r="D1486" t="str">
            <v>MDN35025030032</v>
          </cell>
          <cell r="E1486" t="str">
            <v>Zhong Thong</v>
          </cell>
          <cell r="F1486" t="str">
            <v>Lck6122evg</v>
          </cell>
          <cell r="G1486" t="str">
            <v>Zhong Thong</v>
          </cell>
          <cell r="H1486" t="str">
            <v>Lck6122evg</v>
          </cell>
          <cell r="I1486">
            <v>2026</v>
          </cell>
          <cell r="J1486" t="str">
            <v>B</v>
          </cell>
          <cell r="K1486" t="str">
            <v>Ducaud</v>
          </cell>
          <cell r="N1486" t="str">
            <v>B</v>
          </cell>
        </row>
        <row r="1487">
          <cell r="B1487" t="str">
            <v>VJXK-15</v>
          </cell>
          <cell r="C1487" t="str">
            <v>LDYECS316S0044316</v>
          </cell>
          <cell r="D1487" t="str">
            <v>MDN35025030023</v>
          </cell>
          <cell r="E1487" t="str">
            <v>Zhong Thong</v>
          </cell>
          <cell r="F1487" t="str">
            <v>Lck6122evg</v>
          </cell>
          <cell r="G1487" t="str">
            <v>Zhong Thong</v>
          </cell>
          <cell r="H1487" t="str">
            <v>Lck6122evg</v>
          </cell>
          <cell r="I1487">
            <v>2026</v>
          </cell>
          <cell r="J1487" t="str">
            <v>B</v>
          </cell>
          <cell r="K1487" t="str">
            <v>Ducaud</v>
          </cell>
          <cell r="N1487" t="str">
            <v>B</v>
          </cell>
        </row>
        <row r="1488">
          <cell r="B1488" t="str">
            <v>VJYH-63</v>
          </cell>
          <cell r="C1488" t="str">
            <v>LDYECS316S0044168</v>
          </cell>
          <cell r="D1488" t="str">
            <v>MDN35025020215</v>
          </cell>
          <cell r="E1488" t="str">
            <v>Zhong Thong</v>
          </cell>
          <cell r="F1488" t="str">
            <v>Lck6122evg</v>
          </cell>
          <cell r="G1488" t="str">
            <v>Zhong Thong</v>
          </cell>
          <cell r="H1488" t="str">
            <v>Lck6122evg</v>
          </cell>
          <cell r="I1488">
            <v>2026</v>
          </cell>
          <cell r="J1488" t="str">
            <v>B</v>
          </cell>
          <cell r="K1488" t="str">
            <v>Lo Blanco</v>
          </cell>
          <cell r="N1488" t="str">
            <v>B</v>
          </cell>
        </row>
        <row r="1489">
          <cell r="B1489" t="str">
            <v>VJYJ-15</v>
          </cell>
          <cell r="C1489" t="str">
            <v>LDYECS311S0044160</v>
          </cell>
          <cell r="D1489" t="str">
            <v>MDN35025020177</v>
          </cell>
          <cell r="E1489" t="str">
            <v>Zhong Thong</v>
          </cell>
          <cell r="F1489" t="str">
            <v>Lck6122evg</v>
          </cell>
          <cell r="G1489" t="str">
            <v>Zhong Thong</v>
          </cell>
          <cell r="H1489" t="str">
            <v>Lck6122evg</v>
          </cell>
          <cell r="I1489">
            <v>2026</v>
          </cell>
          <cell r="J1489" t="str">
            <v>B</v>
          </cell>
          <cell r="K1489" t="str">
            <v>Lo Blanco</v>
          </cell>
          <cell r="N1489" t="str">
            <v>B</v>
          </cell>
        </row>
        <row r="1490">
          <cell r="B1490" t="str">
            <v>VJYJ-22</v>
          </cell>
          <cell r="C1490" t="str">
            <v>LDYECS310S0044277</v>
          </cell>
          <cell r="D1490" t="str">
            <v>MDN35025020175</v>
          </cell>
          <cell r="E1490" t="str">
            <v>Zhong Thong</v>
          </cell>
          <cell r="F1490" t="str">
            <v>Lck6122evg</v>
          </cell>
          <cell r="G1490" t="str">
            <v>Zhong Thong</v>
          </cell>
          <cell r="H1490" t="str">
            <v>Lck6122evg</v>
          </cell>
          <cell r="I1490">
            <v>2026</v>
          </cell>
          <cell r="J1490" t="str">
            <v>B</v>
          </cell>
          <cell r="K1490" t="str">
            <v>Ducaud</v>
          </cell>
          <cell r="N1490" t="str">
            <v>B</v>
          </cell>
        </row>
        <row r="1491">
          <cell r="B1491" t="str">
            <v>VJYJ-35</v>
          </cell>
          <cell r="C1491" t="str">
            <v>LDYECS312S0044166</v>
          </cell>
          <cell r="D1491" t="str">
            <v>MDN35025020222</v>
          </cell>
          <cell r="E1491" t="str">
            <v>Zhong Thong</v>
          </cell>
          <cell r="F1491" t="str">
            <v>Lck6122evg</v>
          </cell>
          <cell r="G1491" t="str">
            <v>Zhong Thong</v>
          </cell>
          <cell r="H1491" t="str">
            <v>Lck6122evg</v>
          </cell>
          <cell r="I1491">
            <v>2026</v>
          </cell>
          <cell r="J1491" t="str">
            <v>B</v>
          </cell>
          <cell r="K1491" t="str">
            <v>Lo Blanco</v>
          </cell>
          <cell r="N1491" t="str">
            <v>B</v>
          </cell>
        </row>
        <row r="1492">
          <cell r="B1492" t="str">
            <v>VJYJ-37</v>
          </cell>
          <cell r="C1492" t="str">
            <v>LDYECS314S0044217</v>
          </cell>
          <cell r="D1492" t="str">
            <v>MDN35025010179</v>
          </cell>
          <cell r="E1492" t="str">
            <v>Zhong Thong</v>
          </cell>
          <cell r="F1492" t="str">
            <v>Lck6122evg</v>
          </cell>
          <cell r="G1492" t="str">
            <v>Zhong Thong</v>
          </cell>
          <cell r="H1492" t="str">
            <v>Lck6122evg</v>
          </cell>
          <cell r="I1492">
            <v>2026</v>
          </cell>
          <cell r="J1492" t="str">
            <v>B</v>
          </cell>
          <cell r="K1492" t="str">
            <v>Ducaud</v>
          </cell>
          <cell r="N1492" t="str">
            <v>B</v>
          </cell>
        </row>
        <row r="1493">
          <cell r="B1493" t="str">
            <v>VJYJ-44</v>
          </cell>
          <cell r="C1493" t="str">
            <v>LDYECS313S0044273</v>
          </cell>
          <cell r="D1493" t="str">
            <v>MDN5025020155</v>
          </cell>
          <cell r="E1493" t="str">
            <v>Zhong Thong</v>
          </cell>
          <cell r="F1493" t="str">
            <v>Lck6122evg</v>
          </cell>
          <cell r="G1493" t="str">
            <v>Zhong Thong</v>
          </cell>
          <cell r="H1493" t="str">
            <v>Lck6122evg</v>
          </cell>
          <cell r="I1493">
            <v>2026</v>
          </cell>
          <cell r="J1493" t="str">
            <v>B</v>
          </cell>
          <cell r="K1493" t="str">
            <v>Ducaud</v>
          </cell>
          <cell r="N1493" t="str">
            <v>B</v>
          </cell>
        </row>
        <row r="1494">
          <cell r="B1494" t="str">
            <v>VJYJ-46</v>
          </cell>
          <cell r="C1494" t="str">
            <v>LDYECS317S0044213</v>
          </cell>
          <cell r="D1494" t="str">
            <v>MDN35025030110</v>
          </cell>
          <cell r="E1494" t="str">
            <v>Zhong Thong</v>
          </cell>
          <cell r="F1494" t="str">
            <v>Lck6122evg</v>
          </cell>
          <cell r="G1494" t="str">
            <v>Zhong Thong</v>
          </cell>
          <cell r="H1494" t="str">
            <v>Lck6122evg</v>
          </cell>
          <cell r="I1494">
            <v>2026</v>
          </cell>
          <cell r="J1494" t="str">
            <v>B</v>
          </cell>
          <cell r="K1494" t="str">
            <v>Ducaud</v>
          </cell>
          <cell r="N1494" t="str">
            <v>B</v>
          </cell>
        </row>
        <row r="1495">
          <cell r="B1495" t="str">
            <v>VJYJ-68</v>
          </cell>
          <cell r="C1495" t="str">
            <v>LDYECS311S0044210</v>
          </cell>
          <cell r="D1495" t="str">
            <v>MDN35025030109</v>
          </cell>
          <cell r="E1495" t="str">
            <v>Zhong Thong</v>
          </cell>
          <cell r="F1495" t="str">
            <v>Lck6122evg</v>
          </cell>
          <cell r="G1495" t="str">
            <v>Zhong Thong</v>
          </cell>
          <cell r="H1495" t="str">
            <v>Lck6122evg</v>
          </cell>
          <cell r="I1495">
            <v>2026</v>
          </cell>
          <cell r="J1495" t="str">
            <v>B</v>
          </cell>
          <cell r="K1495" t="str">
            <v>Ducaud</v>
          </cell>
          <cell r="N1495" t="str">
            <v>B</v>
          </cell>
        </row>
        <row r="1496">
          <cell r="B1496" t="str">
            <v>VJYJ-75</v>
          </cell>
          <cell r="C1496" t="str">
            <v>LDYECS31XS0044285</v>
          </cell>
          <cell r="D1496" t="str">
            <v>MDN35025020245</v>
          </cell>
          <cell r="E1496" t="str">
            <v>Zhong Thong</v>
          </cell>
          <cell r="F1496" t="str">
            <v>Lck6122evg</v>
          </cell>
          <cell r="G1496" t="str">
            <v>Zhong Thong</v>
          </cell>
          <cell r="H1496" t="str">
            <v>Lck6122evg</v>
          </cell>
          <cell r="I1496">
            <v>2026</v>
          </cell>
          <cell r="J1496" t="str">
            <v>B</v>
          </cell>
          <cell r="K1496" t="str">
            <v>Ducaud</v>
          </cell>
          <cell r="N1496" t="str">
            <v>B</v>
          </cell>
        </row>
        <row r="1497">
          <cell r="B1497" t="str">
            <v>VJYJ-84</v>
          </cell>
          <cell r="C1497" t="str">
            <v>LDYECS316S0044218</v>
          </cell>
          <cell r="D1497" t="str">
            <v>MDN35025010180</v>
          </cell>
          <cell r="E1497" t="str">
            <v>Zhong Thong</v>
          </cell>
          <cell r="F1497" t="str">
            <v>Lck6122evg</v>
          </cell>
          <cell r="G1497" t="str">
            <v>Zhong Thong</v>
          </cell>
          <cell r="H1497" t="str">
            <v>Lck6122evg</v>
          </cell>
          <cell r="I1497">
            <v>2026</v>
          </cell>
          <cell r="J1497" t="str">
            <v>B</v>
          </cell>
          <cell r="K1497" t="str">
            <v>Ducaud</v>
          </cell>
          <cell r="N1497" t="str">
            <v>B</v>
          </cell>
        </row>
        <row r="1498">
          <cell r="B1498" t="str">
            <v>VJYK-73</v>
          </cell>
          <cell r="C1498" t="str">
            <v>LDYECS315S0044291</v>
          </cell>
          <cell r="D1498" t="str">
            <v>MDN35025010116</v>
          </cell>
          <cell r="E1498" t="str">
            <v>Zhong Thong</v>
          </cell>
          <cell r="F1498" t="str">
            <v>Lck6122evg</v>
          </cell>
          <cell r="G1498" t="str">
            <v>Zhong Thong</v>
          </cell>
          <cell r="H1498" t="str">
            <v>Lck6122evg</v>
          </cell>
          <cell r="I1498">
            <v>2026</v>
          </cell>
          <cell r="J1498" t="str">
            <v>B</v>
          </cell>
          <cell r="K1498" t="str">
            <v>Ducaud</v>
          </cell>
          <cell r="N1498" t="str">
            <v>B</v>
          </cell>
        </row>
        <row r="1499">
          <cell r="B1499" t="str">
            <v>VJYK-82</v>
          </cell>
          <cell r="C1499" t="str">
            <v>LDYECS31XS0044335</v>
          </cell>
          <cell r="D1499" t="str">
            <v>MDN35025030151</v>
          </cell>
          <cell r="E1499" t="str">
            <v>Zhong Thong</v>
          </cell>
          <cell r="F1499" t="str">
            <v>Lck6122evg</v>
          </cell>
          <cell r="G1499" t="str">
            <v>Zhong Thong</v>
          </cell>
          <cell r="H1499" t="str">
            <v>Lck6122evg</v>
          </cell>
          <cell r="I1499">
            <v>2026</v>
          </cell>
          <cell r="J1499" t="str">
            <v>B</v>
          </cell>
          <cell r="K1499" t="str">
            <v>Ducaud</v>
          </cell>
          <cell r="N1499" t="str">
            <v>B</v>
          </cell>
        </row>
        <row r="1500">
          <cell r="B1500" t="str">
            <v>VJYK-83</v>
          </cell>
          <cell r="C1500" t="str">
            <v>LDYECS317S0044342</v>
          </cell>
          <cell r="D1500" t="str">
            <v>MDN35025010144</v>
          </cell>
          <cell r="E1500" t="str">
            <v>Zhong Thong</v>
          </cell>
          <cell r="F1500" t="str">
            <v>Lck6122evg</v>
          </cell>
          <cell r="G1500" t="str">
            <v>Zhong Thong</v>
          </cell>
          <cell r="H1500" t="str">
            <v>Lck6122evg</v>
          </cell>
          <cell r="I1500">
            <v>2026</v>
          </cell>
          <cell r="J1500" t="str">
            <v>B</v>
          </cell>
          <cell r="K1500" t="str">
            <v>Ducaud</v>
          </cell>
          <cell r="N1500" t="str">
            <v>B</v>
          </cell>
        </row>
        <row r="1501">
          <cell r="B1501" t="str">
            <v>VJYK-86</v>
          </cell>
          <cell r="C1501" t="str">
            <v>LDYECS313S0044368</v>
          </cell>
          <cell r="D1501" t="str">
            <v>MDN35025010047</v>
          </cell>
          <cell r="E1501" t="str">
            <v>Zhong Thong</v>
          </cell>
          <cell r="F1501" t="str">
            <v>Lck6122evg</v>
          </cell>
          <cell r="G1501" t="str">
            <v>Zhong Thong</v>
          </cell>
          <cell r="H1501" t="str">
            <v>Lck6122evg</v>
          </cell>
          <cell r="I1501">
            <v>2026</v>
          </cell>
          <cell r="J1501" t="str">
            <v>B</v>
          </cell>
          <cell r="K1501" t="str">
            <v>Ducaud</v>
          </cell>
          <cell r="N1501" t="str">
            <v>B</v>
          </cell>
        </row>
        <row r="1502">
          <cell r="B1502" t="str">
            <v>VJYK-89</v>
          </cell>
          <cell r="C1502" t="str">
            <v>LDYECS316S0044364</v>
          </cell>
          <cell r="D1502" t="str">
            <v>MDN35025030062</v>
          </cell>
          <cell r="E1502" t="str">
            <v>Zhong Thong</v>
          </cell>
          <cell r="F1502" t="str">
            <v>Lck6122evg</v>
          </cell>
          <cell r="G1502" t="str">
            <v>Zhong Thong</v>
          </cell>
          <cell r="H1502" t="str">
            <v>Lck6122evg</v>
          </cell>
          <cell r="I1502">
            <v>2026</v>
          </cell>
          <cell r="J1502" t="str">
            <v>B</v>
          </cell>
          <cell r="K1502" t="str">
            <v>Ducaud</v>
          </cell>
          <cell r="N1502" t="str">
            <v>B</v>
          </cell>
        </row>
        <row r="1503">
          <cell r="B1503" t="str">
            <v>VJYK-91</v>
          </cell>
          <cell r="C1503" t="str">
            <v>LDYECS312S0044295</v>
          </cell>
          <cell r="D1503" t="str">
            <v>MDN35025020211</v>
          </cell>
          <cell r="E1503" t="str">
            <v>Zhong Thong</v>
          </cell>
          <cell r="F1503" t="str">
            <v>Lck6122evg</v>
          </cell>
          <cell r="G1503" t="str">
            <v>Zhong Thong</v>
          </cell>
          <cell r="H1503" t="str">
            <v>Lck6122evg</v>
          </cell>
          <cell r="I1503">
            <v>2026</v>
          </cell>
          <cell r="J1503" t="str">
            <v>B</v>
          </cell>
          <cell r="K1503" t="str">
            <v>Ducaud</v>
          </cell>
          <cell r="N1503" t="str">
            <v>B</v>
          </cell>
        </row>
        <row r="1504">
          <cell r="B1504" t="str">
            <v>VJYK-95</v>
          </cell>
          <cell r="C1504" t="str">
            <v>LDYECS312S0044362</v>
          </cell>
          <cell r="D1504" t="str">
            <v>MDN35025010110</v>
          </cell>
          <cell r="E1504" t="str">
            <v>Zhong Thong</v>
          </cell>
          <cell r="F1504" t="str">
            <v>Lck6122evg</v>
          </cell>
          <cell r="G1504" t="str">
            <v>Zhong Thong</v>
          </cell>
          <cell r="H1504" t="str">
            <v>Lck6122evg</v>
          </cell>
          <cell r="I1504">
            <v>2026</v>
          </cell>
          <cell r="J1504" t="str">
            <v>B</v>
          </cell>
          <cell r="K1504" t="str">
            <v>Ducaud</v>
          </cell>
          <cell r="N1504" t="str">
            <v>B</v>
          </cell>
        </row>
        <row r="1505">
          <cell r="B1505" t="str">
            <v>VJYK-97</v>
          </cell>
          <cell r="C1505" t="str">
            <v>LDYECS314S0044380</v>
          </cell>
          <cell r="D1505" t="str">
            <v>MDN35025030033</v>
          </cell>
          <cell r="E1505" t="str">
            <v>Zhong Thong</v>
          </cell>
          <cell r="F1505" t="str">
            <v>Lck6122evg</v>
          </cell>
          <cell r="G1505" t="str">
            <v>Zhong Thong</v>
          </cell>
          <cell r="H1505" t="str">
            <v>Lck6122evg</v>
          </cell>
          <cell r="I1505">
            <v>2026</v>
          </cell>
          <cell r="J1505" t="str">
            <v>B</v>
          </cell>
          <cell r="K1505" t="str">
            <v>Ducaud</v>
          </cell>
          <cell r="N1505" t="str">
            <v>B</v>
          </cell>
        </row>
        <row r="1506">
          <cell r="B1506" t="str">
            <v>VJYK-98</v>
          </cell>
          <cell r="C1506" t="str">
            <v>LDYECS312S0044300</v>
          </cell>
          <cell r="D1506" t="str">
            <v>MDN350025010178</v>
          </cell>
          <cell r="E1506" t="str">
            <v>Zhong Thong</v>
          </cell>
          <cell r="F1506" t="str">
            <v>Lck6122evg</v>
          </cell>
          <cell r="G1506" t="str">
            <v>Zhong Thong</v>
          </cell>
          <cell r="H1506" t="str">
            <v>Lck6122evg</v>
          </cell>
          <cell r="I1506">
            <v>2026</v>
          </cell>
          <cell r="J1506" t="str">
            <v>B</v>
          </cell>
          <cell r="K1506" t="str">
            <v>Ducaud</v>
          </cell>
          <cell r="N1506" t="str">
            <v>B</v>
          </cell>
        </row>
        <row r="1507">
          <cell r="B1507" t="str">
            <v>VJYL-12</v>
          </cell>
          <cell r="C1507" t="str">
            <v>LDYECS313S0044290</v>
          </cell>
          <cell r="D1507" t="str">
            <v>MDN35025020214</v>
          </cell>
          <cell r="E1507" t="str">
            <v>Zhong Thong</v>
          </cell>
          <cell r="F1507" t="str">
            <v>Lck6122evg</v>
          </cell>
          <cell r="G1507" t="str">
            <v>Zhong Thong</v>
          </cell>
          <cell r="H1507" t="str">
            <v>Lck6122evg</v>
          </cell>
          <cell r="I1507">
            <v>2026</v>
          </cell>
          <cell r="J1507" t="str">
            <v>B</v>
          </cell>
          <cell r="K1507" t="str">
            <v>Ducaud</v>
          </cell>
          <cell r="N1507" t="str">
            <v>B</v>
          </cell>
        </row>
        <row r="1508">
          <cell r="B1508" t="str">
            <v>VJYL-17</v>
          </cell>
          <cell r="C1508" t="str">
            <v>LDYECS317S0044356</v>
          </cell>
          <cell r="D1508" t="str">
            <v>MDN35025010073</v>
          </cell>
          <cell r="E1508" t="str">
            <v>Zhong Thong</v>
          </cell>
          <cell r="F1508" t="str">
            <v>Lck6122evg</v>
          </cell>
          <cell r="G1508" t="str">
            <v>Zhong Thong</v>
          </cell>
          <cell r="H1508" t="str">
            <v>Lck6122evg</v>
          </cell>
          <cell r="I1508">
            <v>2026</v>
          </cell>
          <cell r="J1508" t="str">
            <v>B</v>
          </cell>
          <cell r="K1508" t="str">
            <v>Ducaud</v>
          </cell>
          <cell r="N1508" t="str">
            <v>B</v>
          </cell>
        </row>
        <row r="1509">
          <cell r="B1509" t="str">
            <v>VJZB-37</v>
          </cell>
          <cell r="C1509" t="str">
            <v>LDYECS31XS0044139</v>
          </cell>
          <cell r="D1509" t="str">
            <v>MDN35025030088</v>
          </cell>
          <cell r="E1509" t="str">
            <v>Zhong Thong</v>
          </cell>
          <cell r="F1509" t="str">
            <v>Lck6122evg</v>
          </cell>
          <cell r="G1509" t="str">
            <v>Zhong Thong</v>
          </cell>
          <cell r="H1509" t="str">
            <v>Lck6122evg</v>
          </cell>
          <cell r="I1509">
            <v>2026</v>
          </cell>
          <cell r="J1509" t="str">
            <v>B</v>
          </cell>
          <cell r="K1509" t="str">
            <v>Lo Blanco</v>
          </cell>
          <cell r="N1509" t="str">
            <v>B</v>
          </cell>
        </row>
        <row r="1510">
          <cell r="B1510" t="str">
            <v>VJZB-47</v>
          </cell>
          <cell r="C1510" t="str">
            <v>LDYECS315S0044145</v>
          </cell>
          <cell r="D1510" t="str">
            <v>MDN35025030096</v>
          </cell>
          <cell r="E1510" t="str">
            <v>Zhong Thong</v>
          </cell>
          <cell r="F1510" t="str">
            <v>Lck6122evg</v>
          </cell>
          <cell r="G1510" t="str">
            <v>Zhong Thong</v>
          </cell>
          <cell r="H1510" t="str">
            <v>Lck6122evg</v>
          </cell>
          <cell r="I1510">
            <v>2026</v>
          </cell>
          <cell r="J1510" t="str">
            <v>B</v>
          </cell>
          <cell r="K1510" t="str">
            <v>Lo Blanco</v>
          </cell>
          <cell r="N1510" t="str">
            <v>B</v>
          </cell>
        </row>
        <row r="1511">
          <cell r="B1511" t="str">
            <v>VJZB-57</v>
          </cell>
          <cell r="C1511" t="str">
            <v>LDYECS316S0044140</v>
          </cell>
          <cell r="D1511" t="str">
            <v>MDN35025030038</v>
          </cell>
          <cell r="E1511" t="str">
            <v>Zhong Thong</v>
          </cell>
          <cell r="F1511" t="str">
            <v>Lck6122evg</v>
          </cell>
          <cell r="G1511" t="str">
            <v>Zhong Thong</v>
          </cell>
          <cell r="H1511" t="str">
            <v>Lck6122evg</v>
          </cell>
          <cell r="I1511">
            <v>2026</v>
          </cell>
          <cell r="J1511" t="str">
            <v>B</v>
          </cell>
          <cell r="K1511" t="str">
            <v>Lo Blanco</v>
          </cell>
          <cell r="N1511" t="str">
            <v>B</v>
          </cell>
        </row>
        <row r="1512">
          <cell r="B1512" t="str">
            <v>VJZB-67</v>
          </cell>
          <cell r="C1512" t="str">
            <v>LDYECS317S0044230</v>
          </cell>
          <cell r="D1512" t="str">
            <v>MDN35025020272</v>
          </cell>
          <cell r="E1512" t="str">
            <v>Zhong Thong</v>
          </cell>
          <cell r="F1512" t="str">
            <v>Lck6122evg</v>
          </cell>
          <cell r="G1512" t="str">
            <v>Zhong Thong</v>
          </cell>
          <cell r="H1512" t="str">
            <v>Lck6122evg</v>
          </cell>
          <cell r="I1512">
            <v>2026</v>
          </cell>
          <cell r="J1512" t="str">
            <v>B</v>
          </cell>
          <cell r="K1512" t="str">
            <v>Lo Blanco</v>
          </cell>
          <cell r="N1512" t="str">
            <v>B</v>
          </cell>
        </row>
        <row r="1513">
          <cell r="B1513" t="str">
            <v>VJZB-77</v>
          </cell>
          <cell r="C1513" t="str">
            <v>LDYECS317S0044227</v>
          </cell>
          <cell r="D1513" t="str">
            <v>MDN35025020261</v>
          </cell>
          <cell r="E1513" t="str">
            <v>Zhong Thong</v>
          </cell>
          <cell r="F1513" t="str">
            <v>Lck6122evg</v>
          </cell>
          <cell r="G1513" t="str">
            <v>Zhong Thong</v>
          </cell>
          <cell r="H1513" t="str">
            <v>Lck6122evg</v>
          </cell>
          <cell r="I1513">
            <v>2026</v>
          </cell>
          <cell r="J1513" t="str">
            <v>B</v>
          </cell>
          <cell r="K1513" t="str">
            <v>Lo Blanco</v>
          </cell>
          <cell r="N1513" t="str">
            <v>B</v>
          </cell>
        </row>
        <row r="1514">
          <cell r="B1514" t="str">
            <v>VJZB-87</v>
          </cell>
          <cell r="C1514" t="str">
            <v>LDYECS315S0044288</v>
          </cell>
          <cell r="D1514" t="str">
            <v>MDN35025020208</v>
          </cell>
          <cell r="E1514" t="str">
            <v>Zhong Thong</v>
          </cell>
          <cell r="F1514" t="str">
            <v>Lck6122evg</v>
          </cell>
          <cell r="G1514" t="str">
            <v>Zhong Thong</v>
          </cell>
          <cell r="H1514" t="str">
            <v>Lck6122evg</v>
          </cell>
          <cell r="I1514">
            <v>2026</v>
          </cell>
          <cell r="J1514" t="str">
            <v>B</v>
          </cell>
          <cell r="K1514" t="str">
            <v>Ducaud</v>
          </cell>
          <cell r="N1514" t="str">
            <v>B</v>
          </cell>
        </row>
        <row r="1515">
          <cell r="B1515" t="str">
            <v>VJZB-97</v>
          </cell>
          <cell r="C1515" t="str">
            <v>LDYECS313S0044192</v>
          </cell>
          <cell r="D1515" t="str">
            <v>MDN35025020256</v>
          </cell>
          <cell r="E1515" t="str">
            <v>Zhong Thong</v>
          </cell>
          <cell r="F1515" t="str">
            <v>Lck6122evg</v>
          </cell>
          <cell r="G1515" t="str">
            <v>Zhong Thong</v>
          </cell>
          <cell r="H1515" t="str">
            <v>Lck6122evg</v>
          </cell>
          <cell r="I1515">
            <v>2026</v>
          </cell>
          <cell r="J1515" t="str">
            <v>B</v>
          </cell>
          <cell r="K1515" t="str">
            <v>Ducaud</v>
          </cell>
          <cell r="N1515" t="str">
            <v>B</v>
          </cell>
        </row>
        <row r="1516">
          <cell r="B1516" t="str">
            <v>VJZC-57</v>
          </cell>
          <cell r="C1516" t="str">
            <v>LDYECS315S0044193</v>
          </cell>
          <cell r="D1516" t="str">
            <v>MDN35025020248</v>
          </cell>
          <cell r="E1516" t="str">
            <v>Zhong Thong</v>
          </cell>
          <cell r="F1516" t="str">
            <v>Lck6122evg</v>
          </cell>
          <cell r="G1516" t="str">
            <v>Zhong Thong</v>
          </cell>
          <cell r="H1516" t="str">
            <v>Lck6122evg</v>
          </cell>
          <cell r="I1516">
            <v>2026</v>
          </cell>
          <cell r="J1516" t="str">
            <v>B</v>
          </cell>
          <cell r="K1516" t="str">
            <v>Ducaud</v>
          </cell>
          <cell r="N1516" t="str">
            <v>B</v>
          </cell>
        </row>
        <row r="1517">
          <cell r="B1517" t="str">
            <v>VJZH-87</v>
          </cell>
          <cell r="C1517" t="str">
            <v>LDYECS31XS0044271</v>
          </cell>
          <cell r="D1517" t="str">
            <v>MDN35025020210</v>
          </cell>
          <cell r="E1517" t="str">
            <v>Zhong Thong</v>
          </cell>
          <cell r="F1517" t="str">
            <v>Lck6122evg</v>
          </cell>
          <cell r="G1517" t="str">
            <v>Zhong Thong</v>
          </cell>
          <cell r="H1517" t="str">
            <v>Lck6122evg</v>
          </cell>
          <cell r="I1517">
            <v>2026</v>
          </cell>
          <cell r="J1517" t="str">
            <v>B</v>
          </cell>
          <cell r="K1517" t="str">
            <v>Ducaud</v>
          </cell>
          <cell r="N1517" t="str">
            <v>B</v>
          </cell>
        </row>
        <row r="1518">
          <cell r="B1518" t="str">
            <v>VJZH-97</v>
          </cell>
          <cell r="C1518" t="str">
            <v>LDYECS31XS0044268</v>
          </cell>
          <cell r="D1518" t="str">
            <v>MDN3502520269</v>
          </cell>
          <cell r="E1518" t="str">
            <v>Zhong Thong</v>
          </cell>
          <cell r="F1518" t="str">
            <v>Lck6122evg</v>
          </cell>
          <cell r="G1518" t="str">
            <v>Zhong Thong</v>
          </cell>
          <cell r="H1518" t="str">
            <v>Lck6122evg</v>
          </cell>
          <cell r="I1518">
            <v>2026</v>
          </cell>
          <cell r="J1518" t="str">
            <v>B</v>
          </cell>
          <cell r="K1518" t="str">
            <v>Ducaud</v>
          </cell>
          <cell r="N1518" t="str">
            <v>B</v>
          </cell>
        </row>
        <row r="1519">
          <cell r="B1519" t="str">
            <v>VJZJ-56</v>
          </cell>
          <cell r="C1519" t="str">
            <v>LDYECS319S0044262</v>
          </cell>
          <cell r="D1519" t="str">
            <v>MDN35025020247</v>
          </cell>
          <cell r="E1519" t="str">
            <v>Zhong Thong</v>
          </cell>
          <cell r="F1519" t="str">
            <v>Lck6122evg</v>
          </cell>
          <cell r="G1519" t="str">
            <v>Zhong Thong</v>
          </cell>
          <cell r="H1519" t="str">
            <v>Lck6122evg</v>
          </cell>
          <cell r="I1519">
            <v>2026</v>
          </cell>
          <cell r="J1519" t="str">
            <v>B</v>
          </cell>
          <cell r="K1519" t="str">
            <v>Ducaud</v>
          </cell>
          <cell r="N1519" t="str">
            <v>B</v>
          </cell>
        </row>
        <row r="1520">
          <cell r="B1520" t="str">
            <v>VJZJ-66</v>
          </cell>
          <cell r="C1520" t="str">
            <v>LDYECS311S0044269</v>
          </cell>
          <cell r="D1520" t="str">
            <v>MDN35025020266</v>
          </cell>
          <cell r="E1520" t="str">
            <v>Zhong Thong</v>
          </cell>
          <cell r="F1520" t="str">
            <v>Lck6122evg</v>
          </cell>
          <cell r="G1520" t="str">
            <v>Zhong Thong</v>
          </cell>
          <cell r="H1520" t="str">
            <v>Lck6122evg</v>
          </cell>
          <cell r="I1520">
            <v>2026</v>
          </cell>
          <cell r="J1520" t="str">
            <v>B</v>
          </cell>
          <cell r="K1520" t="str">
            <v>Ducaud</v>
          </cell>
          <cell r="N1520" t="str">
            <v>B</v>
          </cell>
        </row>
        <row r="1521">
          <cell r="B1521" t="str">
            <v>VKFW-93</v>
          </cell>
          <cell r="C1521" t="str">
            <v>LDYECS311S0044272</v>
          </cell>
          <cell r="D1521" t="str">
            <v>MDN35025020270</v>
          </cell>
          <cell r="E1521" t="str">
            <v>Zhong Thong</v>
          </cell>
          <cell r="F1521" t="str">
            <v>Lck6122evg</v>
          </cell>
          <cell r="G1521" t="str">
            <v>Zhong Thong</v>
          </cell>
          <cell r="H1521" t="str">
            <v>Lck6122evg</v>
          </cell>
          <cell r="I1521">
            <v>2026</v>
          </cell>
          <cell r="J1521" t="str">
            <v>B</v>
          </cell>
          <cell r="K1521" t="str">
            <v>Ducaud</v>
          </cell>
          <cell r="N1521" t="str">
            <v>B</v>
          </cell>
        </row>
        <row r="1522">
          <cell r="B1522" t="str">
            <v>VKFX-13</v>
          </cell>
          <cell r="C1522" t="str">
            <v>LDYECS317S0044258</v>
          </cell>
          <cell r="D1522" t="str">
            <v>MDN35025020200</v>
          </cell>
          <cell r="E1522" t="str">
            <v>Zhong Thong</v>
          </cell>
          <cell r="F1522" t="str">
            <v>Lck6122evg</v>
          </cell>
          <cell r="G1522" t="str">
            <v>Zhong Thong</v>
          </cell>
          <cell r="H1522" t="str">
            <v>Lck6122evg</v>
          </cell>
          <cell r="I1522">
            <v>2026</v>
          </cell>
          <cell r="J1522" t="str">
            <v>B</v>
          </cell>
          <cell r="K1522" t="str">
            <v>Ducaud</v>
          </cell>
          <cell r="N1522" t="str">
            <v>B</v>
          </cell>
        </row>
        <row r="1523">
          <cell r="B1523" t="str">
            <v>VKFX-33</v>
          </cell>
          <cell r="C1523" t="str">
            <v>LDYECS315S0044274</v>
          </cell>
          <cell r="D1523" t="str">
            <v>LDM35025020202</v>
          </cell>
          <cell r="E1523" t="str">
            <v>Zhong Thong</v>
          </cell>
          <cell r="F1523" t="str">
            <v>Lck6122evg</v>
          </cell>
          <cell r="G1523" t="str">
            <v>Zhong Thong</v>
          </cell>
          <cell r="H1523" t="str">
            <v>Lck6122evg</v>
          </cell>
          <cell r="I1523">
            <v>2026</v>
          </cell>
          <cell r="J1523" t="str">
            <v>B</v>
          </cell>
          <cell r="K1523" t="str">
            <v>Ducaud</v>
          </cell>
          <cell r="N1523" t="str">
            <v>B</v>
          </cell>
        </row>
        <row r="1524">
          <cell r="B1524" t="str">
            <v>VKFX-63</v>
          </cell>
          <cell r="C1524" t="str">
            <v>LDYECS314S0044279</v>
          </cell>
          <cell r="D1524" t="str">
            <v>MDN35025020206</v>
          </cell>
          <cell r="E1524" t="str">
            <v>Zhong Thong</v>
          </cell>
          <cell r="F1524" t="str">
            <v>Lck6122evg</v>
          </cell>
          <cell r="G1524" t="str">
            <v>Zhong Thong</v>
          </cell>
          <cell r="H1524" t="str">
            <v>Lck6122evg</v>
          </cell>
          <cell r="I1524">
            <v>2026</v>
          </cell>
          <cell r="J1524" t="str">
            <v>B</v>
          </cell>
          <cell r="K1524" t="str">
            <v>Ducaud</v>
          </cell>
          <cell r="N1524" t="str">
            <v>B</v>
          </cell>
        </row>
        <row r="1525">
          <cell r="B1525" t="str">
            <v>VKFX-73</v>
          </cell>
          <cell r="C1525" t="str">
            <v>LDYECS316S0044204</v>
          </cell>
          <cell r="D1525" t="str">
            <v>MDN35025020198</v>
          </cell>
          <cell r="E1525" t="str">
            <v>Zhong Thong</v>
          </cell>
          <cell r="F1525" t="str">
            <v>Lck6122evg</v>
          </cell>
          <cell r="G1525" t="str">
            <v>Zhong Thong</v>
          </cell>
          <cell r="H1525" t="str">
            <v>Lck6122evg</v>
          </cell>
          <cell r="I1525">
            <v>2026</v>
          </cell>
          <cell r="J1525" t="str">
            <v>B</v>
          </cell>
          <cell r="K1525" t="str">
            <v>Ducaud</v>
          </cell>
          <cell r="N1525" t="str">
            <v>B</v>
          </cell>
        </row>
        <row r="1526">
          <cell r="B1526" t="str">
            <v>VKFX-93</v>
          </cell>
          <cell r="C1526" t="str">
            <v>LDYECS312S0044359</v>
          </cell>
          <cell r="D1526" t="str">
            <v>MDN35025020203</v>
          </cell>
          <cell r="E1526" t="str">
            <v>Zhong Thong</v>
          </cell>
          <cell r="F1526" t="str">
            <v>Lck6122evg</v>
          </cell>
          <cell r="G1526" t="str">
            <v>Zhong Thong</v>
          </cell>
          <cell r="H1526" t="str">
            <v>Lck6122evg</v>
          </cell>
          <cell r="I1526">
            <v>2026</v>
          </cell>
          <cell r="J1526" t="str">
            <v>B</v>
          </cell>
          <cell r="K1526" t="str">
            <v>Ducaud</v>
          </cell>
          <cell r="N1526" t="str">
            <v>B</v>
          </cell>
        </row>
        <row r="1527">
          <cell r="B1527" t="str">
            <v>VKFZ-33</v>
          </cell>
          <cell r="C1527" t="str">
            <v>LDYECS314S0044363</v>
          </cell>
          <cell r="D1527" t="str">
            <v>MDN35025010121</v>
          </cell>
          <cell r="E1527" t="str">
            <v>Zhong Thong</v>
          </cell>
          <cell r="F1527" t="str">
            <v>Lck6122evg</v>
          </cell>
          <cell r="G1527" t="str">
            <v>Zhong Thong</v>
          </cell>
          <cell r="H1527" t="str">
            <v>Lck6122evg</v>
          </cell>
          <cell r="I1527">
            <v>2026</v>
          </cell>
          <cell r="J1527" t="str">
            <v>B</v>
          </cell>
          <cell r="K1527" t="str">
            <v>Ducaud</v>
          </cell>
          <cell r="N1527" t="str">
            <v>B</v>
          </cell>
        </row>
        <row r="1528">
          <cell r="B1528" t="str">
            <v>VKFZ-53</v>
          </cell>
          <cell r="C1528" t="str">
            <v>LDYECS315S0044307</v>
          </cell>
          <cell r="D1528" t="str">
            <v>MDN35025030028</v>
          </cell>
          <cell r="E1528" t="str">
            <v>Zhong Thong</v>
          </cell>
          <cell r="F1528" t="str">
            <v>Lck6122evg</v>
          </cell>
          <cell r="G1528" t="str">
            <v>Zhong Thong</v>
          </cell>
          <cell r="H1528" t="str">
            <v>Lck6122evg</v>
          </cell>
          <cell r="I1528">
            <v>2026</v>
          </cell>
          <cell r="J1528" t="str">
            <v>B</v>
          </cell>
          <cell r="K1528" t="str">
            <v>Ducaud</v>
          </cell>
          <cell r="N1528" t="str">
            <v>B</v>
          </cell>
        </row>
        <row r="1529">
          <cell r="B1529" t="str">
            <v>VKFZ-93</v>
          </cell>
          <cell r="C1529" t="str">
            <v>LDYECS317S0044311</v>
          </cell>
          <cell r="D1529" t="str">
            <v>MDN35025030043</v>
          </cell>
          <cell r="E1529" t="str">
            <v>Zhong Thong</v>
          </cell>
          <cell r="F1529" t="str">
            <v>Lck6122evg</v>
          </cell>
          <cell r="G1529" t="str">
            <v>Zhong Thong</v>
          </cell>
          <cell r="H1529" t="str">
            <v>Lck6122evg</v>
          </cell>
          <cell r="I1529">
            <v>2026</v>
          </cell>
          <cell r="J1529" t="str">
            <v>B</v>
          </cell>
          <cell r="K1529" t="str">
            <v>Ducaud</v>
          </cell>
          <cell r="N1529" t="str">
            <v>B</v>
          </cell>
        </row>
        <row r="1530">
          <cell r="B1530" t="str">
            <v>VKGB-43</v>
          </cell>
          <cell r="C1530" t="str">
            <v>LDYECS31XS44318</v>
          </cell>
          <cell r="D1530" t="str">
            <v>MDN35025010176</v>
          </cell>
          <cell r="E1530" t="str">
            <v>Zhong Thong</v>
          </cell>
          <cell r="F1530" t="str">
            <v>Lck6122evg</v>
          </cell>
          <cell r="G1530" t="str">
            <v>Zhong Thong</v>
          </cell>
          <cell r="H1530" t="str">
            <v>Lck6122evg</v>
          </cell>
          <cell r="I1530">
            <v>2026</v>
          </cell>
          <cell r="J1530" t="str">
            <v>B</v>
          </cell>
          <cell r="K1530" t="str">
            <v>Ducaud</v>
          </cell>
          <cell r="N1530" t="str">
            <v>B</v>
          </cell>
        </row>
        <row r="1531">
          <cell r="B1531" t="str">
            <v>VKGB-83</v>
          </cell>
          <cell r="C1531" t="str">
            <v>LDYECS312S0044314</v>
          </cell>
          <cell r="D1531" t="str">
            <v>MDN35025030094</v>
          </cell>
          <cell r="E1531" t="str">
            <v>Zhong Thong</v>
          </cell>
          <cell r="F1531" t="str">
            <v>Lck6122evg</v>
          </cell>
          <cell r="G1531" t="str">
            <v>Zhong Thong</v>
          </cell>
          <cell r="H1531" t="str">
            <v>Lck6122evg</v>
          </cell>
          <cell r="I1531">
            <v>2026</v>
          </cell>
          <cell r="J1531" t="str">
            <v>B</v>
          </cell>
          <cell r="K1531" t="str">
            <v>Ducaud</v>
          </cell>
          <cell r="N1531" t="str">
            <v>B</v>
          </cell>
        </row>
        <row r="1532">
          <cell r="B1532" t="str">
            <v>VKGC-23</v>
          </cell>
          <cell r="C1532" t="str">
            <v>LDYECS319S0044391</v>
          </cell>
          <cell r="D1532" t="str">
            <v>MDN35025010114</v>
          </cell>
          <cell r="E1532" t="str">
            <v>Zhong Thong</v>
          </cell>
          <cell r="F1532" t="str">
            <v>Lck6122evg</v>
          </cell>
          <cell r="G1532" t="str">
            <v>Zhong Thong</v>
          </cell>
          <cell r="H1532" t="str">
            <v>Lck6122evg</v>
          </cell>
          <cell r="I1532">
            <v>2026</v>
          </cell>
          <cell r="J1532" t="str">
            <v>B</v>
          </cell>
          <cell r="K1532" t="str">
            <v>Ducaud</v>
          </cell>
          <cell r="N1532" t="str">
            <v>B</v>
          </cell>
        </row>
        <row r="1533">
          <cell r="B1533" t="str">
            <v>VKGC-63</v>
          </cell>
          <cell r="C1533" t="str">
            <v>LDYECS317S0044387</v>
          </cell>
          <cell r="D1533" t="str">
            <v>MDN35025010083</v>
          </cell>
          <cell r="E1533" t="str">
            <v>Zhong Thong</v>
          </cell>
          <cell r="F1533" t="str">
            <v>Lck6122evg</v>
          </cell>
          <cell r="G1533" t="str">
            <v>Zhong Thong</v>
          </cell>
          <cell r="H1533" t="str">
            <v>Lck6122evg</v>
          </cell>
          <cell r="I1533">
            <v>2026</v>
          </cell>
          <cell r="J1533" t="str">
            <v>B</v>
          </cell>
          <cell r="K1533" t="str">
            <v>Ducaud</v>
          </cell>
          <cell r="N1533" t="str">
            <v>B</v>
          </cell>
        </row>
        <row r="1534">
          <cell r="B1534" t="str">
            <v>VKGC-73</v>
          </cell>
          <cell r="C1534" t="str">
            <v>LDYECS314S0044315</v>
          </cell>
          <cell r="D1534" t="str">
            <v>MDN35025010082</v>
          </cell>
          <cell r="E1534" t="str">
            <v>Zhong Thong</v>
          </cell>
          <cell r="F1534" t="str">
            <v>Lck6122evg</v>
          </cell>
          <cell r="G1534" t="str">
            <v>Zhong Thong</v>
          </cell>
          <cell r="H1534" t="str">
            <v>Lck6122evg</v>
          </cell>
          <cell r="I1534">
            <v>2026</v>
          </cell>
          <cell r="J1534" t="str">
            <v>B</v>
          </cell>
          <cell r="K1534" t="str">
            <v>Ducaud</v>
          </cell>
          <cell r="N1534" t="str">
            <v>B</v>
          </cell>
        </row>
        <row r="1535">
          <cell r="B1535" t="str">
            <v>VKGD-33</v>
          </cell>
          <cell r="C1535" t="str">
            <v>LDYECS312S0044393</v>
          </cell>
          <cell r="D1535" t="str">
            <v>MDN35025030149</v>
          </cell>
          <cell r="E1535" t="str">
            <v>Zhong Thong</v>
          </cell>
          <cell r="F1535" t="str">
            <v>Lck6122evg</v>
          </cell>
          <cell r="G1535" t="str">
            <v>Zhong Thong</v>
          </cell>
          <cell r="H1535" t="str">
            <v>Lck6122evg</v>
          </cell>
          <cell r="I1535">
            <v>2026</v>
          </cell>
          <cell r="J1535" t="str">
            <v>B</v>
          </cell>
          <cell r="K1535" t="str">
            <v>Ducaud</v>
          </cell>
          <cell r="N1535" t="str">
            <v>B</v>
          </cell>
        </row>
        <row r="1536">
          <cell r="B1536" t="str">
            <v>VKGD-43</v>
          </cell>
          <cell r="C1536" t="str">
            <v>MDYECS315S0044386</v>
          </cell>
          <cell r="D1536" t="str">
            <v>MDN35025010084</v>
          </cell>
          <cell r="E1536" t="str">
            <v>Zhong Thong</v>
          </cell>
          <cell r="F1536" t="str">
            <v>Lck6122evg</v>
          </cell>
          <cell r="G1536" t="str">
            <v>Zhong Thong</v>
          </cell>
          <cell r="H1536" t="str">
            <v>Lck6122evg</v>
          </cell>
          <cell r="I1536">
            <v>2026</v>
          </cell>
          <cell r="J1536" t="str">
            <v>B</v>
          </cell>
          <cell r="K1536" t="str">
            <v>Ducaud</v>
          </cell>
          <cell r="N1536" t="str">
            <v>B</v>
          </cell>
        </row>
        <row r="1537">
          <cell r="B1537" t="str">
            <v>VKGF-93</v>
          </cell>
          <cell r="C1537" t="str">
            <v>LDYECS318S0044320</v>
          </cell>
          <cell r="D1537" t="str">
            <v>MDN35025010160</v>
          </cell>
          <cell r="E1537" t="str">
            <v>Zhong Thong</v>
          </cell>
          <cell r="F1537" t="str">
            <v>Lck6122evg</v>
          </cell>
          <cell r="G1537" t="str">
            <v>Zhong Thong</v>
          </cell>
          <cell r="H1537" t="str">
            <v>Lck6122evg</v>
          </cell>
          <cell r="I1537">
            <v>2026</v>
          </cell>
          <cell r="J1537" t="str">
            <v>B</v>
          </cell>
          <cell r="K1537" t="str">
            <v>Ducaud</v>
          </cell>
          <cell r="N1537" t="str">
            <v>B</v>
          </cell>
        </row>
        <row r="1538">
          <cell r="B1538" t="str">
            <v>VKGG-13</v>
          </cell>
          <cell r="C1538" t="str">
            <v>LDYECS316S0044395</v>
          </cell>
          <cell r="D1538" t="str">
            <v>MDN35025010172</v>
          </cell>
          <cell r="E1538" t="str">
            <v>Zhong Thong</v>
          </cell>
          <cell r="F1538" t="str">
            <v>Lck6122evg</v>
          </cell>
          <cell r="G1538" t="str">
            <v>Zhong Thong</v>
          </cell>
          <cell r="H1538" t="str">
            <v>Lck6122evg</v>
          </cell>
          <cell r="I1538">
            <v>2026</v>
          </cell>
          <cell r="J1538" t="str">
            <v>B</v>
          </cell>
          <cell r="K1538" t="str">
            <v>Ducaud</v>
          </cell>
          <cell r="N1538" t="str">
            <v>B</v>
          </cell>
        </row>
        <row r="1539">
          <cell r="B1539" t="str">
            <v>VKGG-23</v>
          </cell>
          <cell r="C1539" t="str">
            <v>LDYECS314S0044329</v>
          </cell>
          <cell r="D1539" t="str">
            <v>MDN35025010145</v>
          </cell>
          <cell r="E1539" t="str">
            <v>Zhong Thong</v>
          </cell>
          <cell r="F1539" t="str">
            <v>Lck6122evg</v>
          </cell>
          <cell r="G1539" t="str">
            <v>Zhong Thong</v>
          </cell>
          <cell r="H1539" t="str">
            <v>Lck6122evg</v>
          </cell>
          <cell r="I1539">
            <v>2026</v>
          </cell>
          <cell r="J1539" t="str">
            <v>B</v>
          </cell>
          <cell r="K1539" t="str">
            <v>Ducaud</v>
          </cell>
          <cell r="N1539" t="str">
            <v>B</v>
          </cell>
        </row>
        <row r="1540">
          <cell r="B1540" t="str">
            <v>VKGG-33</v>
          </cell>
          <cell r="C1540" t="str">
            <v>LDYECS319S0044326</v>
          </cell>
          <cell r="D1540" t="str">
            <v>MDN35025030181</v>
          </cell>
          <cell r="E1540" t="str">
            <v>Zhong Thong</v>
          </cell>
          <cell r="F1540" t="str">
            <v>Lck6122evg</v>
          </cell>
          <cell r="G1540" t="str">
            <v>Zhong Thong</v>
          </cell>
          <cell r="H1540" t="str">
            <v>Lck6122evg</v>
          </cell>
          <cell r="I1540">
            <v>2026</v>
          </cell>
          <cell r="J1540" t="str">
            <v>B</v>
          </cell>
          <cell r="K1540" t="str">
            <v>Ducaud</v>
          </cell>
          <cell r="N1540" t="str">
            <v>B</v>
          </cell>
        </row>
        <row r="1541">
          <cell r="B1541" t="str">
            <v>VKGG-53</v>
          </cell>
          <cell r="C1541" t="str">
            <v>LDYECS310S0044330</v>
          </cell>
          <cell r="D1541" t="str">
            <v>MDN35025030253</v>
          </cell>
          <cell r="E1541" t="str">
            <v>Zhong Thong</v>
          </cell>
          <cell r="F1541" t="str">
            <v>Lck6122evg</v>
          </cell>
          <cell r="G1541" t="str">
            <v>Zhong Thong</v>
          </cell>
          <cell r="H1541" t="str">
            <v>Lck6122evg</v>
          </cell>
          <cell r="I1541">
            <v>2026</v>
          </cell>
          <cell r="J1541" t="str">
            <v>B</v>
          </cell>
          <cell r="K1541" t="str">
            <v>Ducaud</v>
          </cell>
          <cell r="N1541" t="str">
            <v>B</v>
          </cell>
        </row>
        <row r="1542">
          <cell r="B1542" t="str">
            <v>VKGG-73</v>
          </cell>
          <cell r="C1542" t="str">
            <v>LDYECS319S0044410</v>
          </cell>
          <cell r="D1542" t="str">
            <v>MDN35025030046</v>
          </cell>
          <cell r="E1542" t="str">
            <v>Zhong Thong</v>
          </cell>
          <cell r="F1542" t="str">
            <v>Lck6122evg</v>
          </cell>
          <cell r="G1542" t="str">
            <v>Zhong Thong</v>
          </cell>
          <cell r="H1542" t="str">
            <v>Lck6122evg</v>
          </cell>
          <cell r="I1542">
            <v>2026</v>
          </cell>
          <cell r="J1542" t="str">
            <v>B</v>
          </cell>
          <cell r="K1542" t="str">
            <v>Ducaud</v>
          </cell>
          <cell r="N1542" t="str">
            <v>B</v>
          </cell>
        </row>
        <row r="1543">
          <cell r="B1543" t="str">
            <v>VKGG-83</v>
          </cell>
          <cell r="C1543" t="str">
            <v>LDYECS31XS0044397</v>
          </cell>
          <cell r="D1543" t="str">
            <v>MDN35025030184</v>
          </cell>
          <cell r="E1543" t="str">
            <v>Zhong Thong</v>
          </cell>
          <cell r="F1543" t="str">
            <v>Lck6122evg</v>
          </cell>
          <cell r="G1543" t="str">
            <v>Zhong Thong</v>
          </cell>
          <cell r="H1543" t="str">
            <v>Lck6122evg</v>
          </cell>
          <cell r="I1543">
            <v>2026</v>
          </cell>
          <cell r="J1543" t="str">
            <v>B</v>
          </cell>
          <cell r="K1543" t="str">
            <v>Ducaud</v>
          </cell>
          <cell r="N1543" t="str">
            <v>B</v>
          </cell>
        </row>
        <row r="1544">
          <cell r="B1544" t="str">
            <v>VKGG-93</v>
          </cell>
          <cell r="C1544" t="str">
            <v>LDYECS316S0044400</v>
          </cell>
          <cell r="D1544" t="str">
            <v>MDN35025030146</v>
          </cell>
          <cell r="E1544" t="str">
            <v>Zhong Thong</v>
          </cell>
          <cell r="F1544" t="str">
            <v>Lck6122evg</v>
          </cell>
          <cell r="G1544" t="str">
            <v>Zhong Thong</v>
          </cell>
          <cell r="H1544" t="str">
            <v>Lck6122evg</v>
          </cell>
          <cell r="I1544">
            <v>2026</v>
          </cell>
          <cell r="J1544" t="str">
            <v>B</v>
          </cell>
          <cell r="K1544" t="str">
            <v>Ducaud</v>
          </cell>
          <cell r="N1544" t="str">
            <v>B</v>
          </cell>
        </row>
        <row r="1545">
          <cell r="B1545" t="str">
            <v>VKGH-13</v>
          </cell>
          <cell r="C1545" t="str">
            <v>LDYECS311S0044336</v>
          </cell>
          <cell r="D1545" t="str">
            <v>MDN35025030152</v>
          </cell>
          <cell r="E1545" t="str">
            <v>Zhong Thong</v>
          </cell>
          <cell r="F1545" t="str">
            <v>Lck6122evg</v>
          </cell>
          <cell r="G1545" t="str">
            <v>Zhong Thong</v>
          </cell>
          <cell r="H1545" t="str">
            <v>Lck6122evg</v>
          </cell>
          <cell r="I1545">
            <v>2026</v>
          </cell>
          <cell r="J1545" t="str">
            <v>B</v>
          </cell>
          <cell r="K1545" t="str">
            <v>Ducaud</v>
          </cell>
          <cell r="N1545" t="str">
            <v>B</v>
          </cell>
        </row>
        <row r="1546">
          <cell r="B1546" t="str">
            <v>VKGH-23</v>
          </cell>
          <cell r="C1546" t="str">
            <v>LDYECS315S0044338</v>
          </cell>
          <cell r="D1546" t="str">
            <v>MDN35025010150</v>
          </cell>
          <cell r="E1546" t="str">
            <v>Zhong Thong</v>
          </cell>
          <cell r="F1546" t="str">
            <v>Lck6122evg</v>
          </cell>
          <cell r="G1546" t="str">
            <v>Zhong Thong</v>
          </cell>
          <cell r="H1546" t="str">
            <v>Lck6122evg</v>
          </cell>
          <cell r="I1546">
            <v>2026</v>
          </cell>
          <cell r="J1546" t="str">
            <v>B</v>
          </cell>
          <cell r="K1546" t="str">
            <v>Ducaud</v>
          </cell>
          <cell r="N1546" t="str">
            <v>B</v>
          </cell>
        </row>
        <row r="1547">
          <cell r="B1547" t="str">
            <v>VKGH-33</v>
          </cell>
          <cell r="C1547" t="str">
            <v>LDYECS311S0044403</v>
          </cell>
          <cell r="D1547" t="str">
            <v>MDN35025030154</v>
          </cell>
          <cell r="E1547" t="str">
            <v>Zhong Thong</v>
          </cell>
          <cell r="F1547" t="str">
            <v>Lck6122evg</v>
          </cell>
          <cell r="G1547" t="str">
            <v>Zhong Thong</v>
          </cell>
          <cell r="H1547" t="str">
            <v>Lck6122evg</v>
          </cell>
          <cell r="I1547">
            <v>2026</v>
          </cell>
          <cell r="J1547" t="str">
            <v>B</v>
          </cell>
          <cell r="K1547" t="str">
            <v>Ducaud</v>
          </cell>
          <cell r="N1547" t="str">
            <v>B</v>
          </cell>
        </row>
        <row r="1548">
          <cell r="B1548" t="str">
            <v>VKGL-84</v>
          </cell>
          <cell r="C1548" t="str">
            <v>LDYECS319S0044309</v>
          </cell>
          <cell r="D1548" t="str">
            <v>MDN35025030008</v>
          </cell>
          <cell r="E1548" t="str">
            <v>Zhong Thong</v>
          </cell>
          <cell r="F1548" t="str">
            <v>Lck6122evg</v>
          </cell>
          <cell r="G1548" t="str">
            <v>Zhong Thong</v>
          </cell>
          <cell r="H1548" t="str">
            <v>Lck6122evg</v>
          </cell>
          <cell r="I1548">
            <v>2026</v>
          </cell>
          <cell r="J1548" t="str">
            <v>B</v>
          </cell>
          <cell r="K1548" t="str">
            <v>Ducaud</v>
          </cell>
          <cell r="N1548" t="str">
            <v>B</v>
          </cell>
        </row>
        <row r="1549">
          <cell r="B1549" t="str">
            <v>VKGP-35</v>
          </cell>
          <cell r="C1549" t="str">
            <v>LDYECS31XS0044190</v>
          </cell>
          <cell r="D1549" t="str">
            <v>MDN35025020179</v>
          </cell>
          <cell r="E1549" t="str">
            <v>Zhong Thong</v>
          </cell>
          <cell r="F1549" t="str">
            <v>Lck6122evg</v>
          </cell>
          <cell r="G1549" t="str">
            <v>Zhong Thong</v>
          </cell>
          <cell r="H1549" t="str">
            <v>Lck6122evg</v>
          </cell>
          <cell r="I1549">
            <v>2026</v>
          </cell>
          <cell r="J1549" t="str">
            <v>B</v>
          </cell>
          <cell r="K1549" t="str">
            <v>Ducaud</v>
          </cell>
          <cell r="N1549" t="str">
            <v>B</v>
          </cell>
        </row>
        <row r="1550">
          <cell r="B1550" t="str">
            <v>VKGP-45</v>
          </cell>
          <cell r="C1550" t="str">
            <v>LDYECS312S0044264</v>
          </cell>
          <cell r="D1550" t="str">
            <v>MDN35025030090</v>
          </cell>
          <cell r="E1550" t="str">
            <v>Zhong Thong</v>
          </cell>
          <cell r="F1550" t="str">
            <v>Lck6122evg</v>
          </cell>
          <cell r="G1550" t="str">
            <v>Zhong Thong</v>
          </cell>
          <cell r="H1550" t="str">
            <v>Lck6122evg</v>
          </cell>
          <cell r="I1550">
            <v>2026</v>
          </cell>
          <cell r="J1550" t="str">
            <v>B</v>
          </cell>
          <cell r="K1550" t="str">
            <v>Ducaud</v>
          </cell>
          <cell r="N1550" t="str">
            <v>B</v>
          </cell>
        </row>
        <row r="1551">
          <cell r="B1551" t="str">
            <v>VKGP-55</v>
          </cell>
          <cell r="C1551" t="str">
            <v>LDYECS315S0044355</v>
          </cell>
          <cell r="D1551" t="str">
            <v>MDN35025010086</v>
          </cell>
          <cell r="E1551" t="str">
            <v>Zhong Thong</v>
          </cell>
          <cell r="F1551" t="str">
            <v>Lck6122evg</v>
          </cell>
          <cell r="G1551" t="str">
            <v>Zhong Thong</v>
          </cell>
          <cell r="H1551" t="str">
            <v>Lck6122evg</v>
          </cell>
          <cell r="I1551">
            <v>2026</v>
          </cell>
          <cell r="J1551" t="str">
            <v>B</v>
          </cell>
          <cell r="K1551" t="str">
            <v>Ducaud</v>
          </cell>
          <cell r="N1551" t="str">
            <v>B</v>
          </cell>
        </row>
        <row r="1552">
          <cell r="B1552" t="str">
            <v>VKGP-75</v>
          </cell>
          <cell r="C1552" t="str">
            <v>LDYECS311S0044367</v>
          </cell>
          <cell r="D1552" t="str">
            <v>MDN35025010046</v>
          </cell>
          <cell r="E1552" t="str">
            <v>Zhong Thong</v>
          </cell>
          <cell r="F1552" t="str">
            <v>Lck6122evg</v>
          </cell>
          <cell r="G1552" t="str">
            <v>Zhong Thong</v>
          </cell>
          <cell r="H1552" t="str">
            <v>Lck6122evg</v>
          </cell>
          <cell r="I1552">
            <v>2026</v>
          </cell>
          <cell r="J1552" t="str">
            <v>B</v>
          </cell>
          <cell r="K1552" t="str">
            <v>Ducaud</v>
          </cell>
          <cell r="N1552" t="str">
            <v>B</v>
          </cell>
        </row>
        <row r="1553">
          <cell r="B1553" t="str">
            <v>VLBP-23</v>
          </cell>
          <cell r="C1553" t="str">
            <v>LDYECS311S0045762</v>
          </cell>
          <cell r="D1553" t="str">
            <v>MDN35025030168</v>
          </cell>
          <cell r="E1553" t="str">
            <v>Zhong Thong</v>
          </cell>
          <cell r="F1553" t="str">
            <v>Lck6122evg</v>
          </cell>
          <cell r="G1553" t="str">
            <v>Zhong Thong</v>
          </cell>
          <cell r="H1553" t="str">
            <v>Lck6122evg</v>
          </cell>
          <cell r="I1553">
            <v>2026</v>
          </cell>
          <cell r="J1553" t="str">
            <v>B</v>
          </cell>
          <cell r="K1553" t="str">
            <v>Ducaud</v>
          </cell>
          <cell r="N1553" t="str">
            <v>B</v>
          </cell>
        </row>
        <row r="1554">
          <cell r="B1554" t="str">
            <v>VLBP-73</v>
          </cell>
          <cell r="C1554" t="str">
            <v>LDYECS318S0045760</v>
          </cell>
          <cell r="D1554" t="str">
            <v>MDN35025030276</v>
          </cell>
          <cell r="E1554" t="str">
            <v>Zhong Thong</v>
          </cell>
          <cell r="F1554" t="str">
            <v>Lck6122evg</v>
          </cell>
          <cell r="G1554" t="str">
            <v>Zhong Thong</v>
          </cell>
          <cell r="H1554" t="str">
            <v>Lck6122evg</v>
          </cell>
          <cell r="I1554">
            <v>2026</v>
          </cell>
          <cell r="J1554" t="str">
            <v>B</v>
          </cell>
          <cell r="K1554" t="str">
            <v>Ducaud</v>
          </cell>
          <cell r="N1554" t="str">
            <v>B</v>
          </cell>
        </row>
        <row r="1555">
          <cell r="B1555" t="str">
            <v>VLBZ-78</v>
          </cell>
          <cell r="C1555" t="str">
            <v>LDYECS313S0045763</v>
          </cell>
          <cell r="D1555" t="str">
            <v>MDN35025030156</v>
          </cell>
          <cell r="E1555" t="str">
            <v>Zhong Thong</v>
          </cell>
          <cell r="F1555" t="str">
            <v>Lck6122evg</v>
          </cell>
          <cell r="G1555" t="str">
            <v>Zhong Thong</v>
          </cell>
          <cell r="H1555" t="str">
            <v>Lck6122evg</v>
          </cell>
          <cell r="I1555">
            <v>2026</v>
          </cell>
          <cell r="J1555" t="str">
            <v>B</v>
          </cell>
          <cell r="K1555" t="str">
            <v>Ducaud</v>
          </cell>
          <cell r="N1555" t="str">
            <v>B</v>
          </cell>
        </row>
        <row r="1556">
          <cell r="B1556" t="str">
            <v>VLBZ-96</v>
          </cell>
          <cell r="C1556" t="str">
            <v>LDYECS314S0044394</v>
          </cell>
          <cell r="D1556" t="str">
            <v>MDN35025030249</v>
          </cell>
          <cell r="E1556" t="str">
            <v>Zhong Thong</v>
          </cell>
          <cell r="F1556" t="str">
            <v>Lck6122evg</v>
          </cell>
          <cell r="G1556" t="str">
            <v>Zhong Thong</v>
          </cell>
          <cell r="H1556" t="str">
            <v>Lck6122evg</v>
          </cell>
          <cell r="I1556">
            <v>2026</v>
          </cell>
          <cell r="J1556" t="str">
            <v>B</v>
          </cell>
          <cell r="K1556" t="str">
            <v>Ducaud</v>
          </cell>
          <cell r="N1556" t="str">
            <v>B</v>
          </cell>
        </row>
        <row r="1557">
          <cell r="B1557" t="str">
            <v>VLCB-26</v>
          </cell>
          <cell r="C1557" t="str">
            <v>LDYECS315S0044257</v>
          </cell>
          <cell r="D1557" t="str">
            <v>MDN35025020147</v>
          </cell>
          <cell r="E1557" t="str">
            <v>Zhong Thong</v>
          </cell>
          <cell r="F1557" t="str">
            <v>Lck6122evg</v>
          </cell>
          <cell r="G1557" t="str">
            <v>Zhong Thong</v>
          </cell>
          <cell r="H1557" t="str">
            <v>Lck6122evg</v>
          </cell>
          <cell r="I1557">
            <v>2026</v>
          </cell>
          <cell r="J1557" t="str">
            <v>B</v>
          </cell>
          <cell r="K1557" t="str">
            <v>Ducaud</v>
          </cell>
          <cell r="N1557" t="str">
            <v>B</v>
          </cell>
        </row>
        <row r="1558">
          <cell r="B1558" t="str">
            <v>VLCB-56</v>
          </cell>
          <cell r="C1558" t="str">
            <v>LDYECS31XS0045758</v>
          </cell>
          <cell r="D1558" t="str">
            <v>MDN35025030172</v>
          </cell>
          <cell r="E1558" t="str">
            <v>Zhong Thong</v>
          </cell>
          <cell r="F1558" t="str">
            <v>Lck6122evg</v>
          </cell>
          <cell r="G1558" t="str">
            <v>Zhong Thong</v>
          </cell>
          <cell r="H1558" t="str">
            <v>Lck6122evg</v>
          </cell>
          <cell r="I1558">
            <v>2026</v>
          </cell>
          <cell r="J1558" t="str">
            <v>B</v>
          </cell>
          <cell r="K1558" t="str">
            <v>Ducaud</v>
          </cell>
          <cell r="N1558" t="str">
            <v>B</v>
          </cell>
        </row>
        <row r="1559">
          <cell r="B1559" t="str">
            <v>VLCC-16</v>
          </cell>
          <cell r="C1559" t="str">
            <v>LDYECS311S0045857</v>
          </cell>
          <cell r="D1559" t="str">
            <v>MDN35025030292</v>
          </cell>
          <cell r="E1559" t="str">
            <v>Zhong Thong</v>
          </cell>
          <cell r="F1559" t="str">
            <v>Lck6122evg</v>
          </cell>
          <cell r="G1559" t="str">
            <v>Zhong Thong</v>
          </cell>
          <cell r="H1559" t="str">
            <v>Lck6122evg</v>
          </cell>
          <cell r="I1559">
            <v>2026</v>
          </cell>
          <cell r="J1559" t="str">
            <v>B</v>
          </cell>
          <cell r="K1559" t="str">
            <v>Ducaud</v>
          </cell>
          <cell r="N1559" t="str">
            <v>B</v>
          </cell>
        </row>
        <row r="1560">
          <cell r="B1560" t="str">
            <v>VLCC-36</v>
          </cell>
          <cell r="C1560" t="str">
            <v>LDYECS315S0045764</v>
          </cell>
          <cell r="D1560" t="str">
            <v>MDN35025030157</v>
          </cell>
          <cell r="E1560" t="str">
            <v>Zhong Thong</v>
          </cell>
          <cell r="F1560" t="str">
            <v>Lck6122evg</v>
          </cell>
          <cell r="G1560" t="str">
            <v>Zhong Thong</v>
          </cell>
          <cell r="H1560" t="str">
            <v>Lck6122evg</v>
          </cell>
          <cell r="I1560">
            <v>2026</v>
          </cell>
          <cell r="J1560" t="str">
            <v>B</v>
          </cell>
          <cell r="K1560" t="str">
            <v>Ducaud</v>
          </cell>
          <cell r="N1560" t="str">
            <v>B</v>
          </cell>
        </row>
        <row r="1561">
          <cell r="B1561" t="str">
            <v>VLCD-56</v>
          </cell>
          <cell r="C1561" t="str">
            <v>LDYECS315S0045862</v>
          </cell>
          <cell r="D1561" t="str">
            <v>MDN35025030216</v>
          </cell>
          <cell r="E1561" t="str">
            <v>Zhong Thong</v>
          </cell>
          <cell r="F1561" t="str">
            <v>Lck6122evg</v>
          </cell>
          <cell r="G1561" t="str">
            <v>Zhong Thong</v>
          </cell>
          <cell r="H1561" t="str">
            <v>Lck6122evg</v>
          </cell>
          <cell r="I1561">
            <v>2026</v>
          </cell>
          <cell r="J1561" t="str">
            <v>B</v>
          </cell>
          <cell r="K1561" t="str">
            <v>Ducaud</v>
          </cell>
          <cell r="N1561" t="str">
            <v>B</v>
          </cell>
        </row>
        <row r="1562">
          <cell r="B1562" t="str">
            <v>VLCD-65</v>
          </cell>
          <cell r="C1562" t="str">
            <v>LDYECS318S0044155</v>
          </cell>
          <cell r="D1562" t="str">
            <v>MDN35025020268</v>
          </cell>
          <cell r="E1562" t="str">
            <v>Zhong Thong</v>
          </cell>
          <cell r="F1562" t="str">
            <v>Lck6122evg</v>
          </cell>
          <cell r="G1562" t="str">
            <v>Zhong Thong</v>
          </cell>
          <cell r="H1562" t="str">
            <v>Lck6122evg</v>
          </cell>
          <cell r="I1562">
            <v>2026</v>
          </cell>
          <cell r="J1562" t="str">
            <v>B</v>
          </cell>
          <cell r="K1562" t="str">
            <v>Ducaud</v>
          </cell>
          <cell r="N1562" t="str">
            <v>B</v>
          </cell>
        </row>
        <row r="1563">
          <cell r="B1563" t="str">
            <v>VLCF-18</v>
          </cell>
          <cell r="C1563" t="str">
            <v>LDYECS315S0045781</v>
          </cell>
          <cell r="D1563" t="str">
            <v>MDN35025030229</v>
          </cell>
          <cell r="E1563" t="str">
            <v>Zhong Thong</v>
          </cell>
          <cell r="F1563" t="str">
            <v>Lck6122evg</v>
          </cell>
          <cell r="G1563" t="str">
            <v>Zhong Thong</v>
          </cell>
          <cell r="H1563" t="str">
            <v>Lck6122evg</v>
          </cell>
          <cell r="I1563">
            <v>2026</v>
          </cell>
          <cell r="J1563" t="str">
            <v>B</v>
          </cell>
          <cell r="K1563" t="str">
            <v>Ducaud</v>
          </cell>
          <cell r="N1563" t="str">
            <v>B</v>
          </cell>
        </row>
        <row r="1564">
          <cell r="B1564" t="str">
            <v>VLCF-76</v>
          </cell>
          <cell r="C1564" t="str">
            <v>LDYECS317S0045765</v>
          </cell>
          <cell r="D1564" t="str">
            <v>MDN35025030272</v>
          </cell>
          <cell r="E1564" t="str">
            <v>Zhong Thong</v>
          </cell>
          <cell r="F1564" t="str">
            <v>Lck6122evg</v>
          </cell>
          <cell r="G1564" t="str">
            <v>Zhong Thong</v>
          </cell>
          <cell r="H1564" t="str">
            <v>Lck6122evg</v>
          </cell>
          <cell r="I1564">
            <v>2026</v>
          </cell>
          <cell r="J1564" t="str">
            <v>B</v>
          </cell>
          <cell r="K1564" t="str">
            <v>Ducaud</v>
          </cell>
          <cell r="N1564" t="str">
            <v>B</v>
          </cell>
        </row>
        <row r="1565">
          <cell r="B1565" t="str">
            <v>VLCG-67</v>
          </cell>
          <cell r="C1565" t="str">
            <v>LDYECS319S0045752</v>
          </cell>
          <cell r="D1565" t="str">
            <v>MDN35025030131</v>
          </cell>
          <cell r="E1565" t="str">
            <v>Zhong Thong</v>
          </cell>
          <cell r="F1565" t="str">
            <v>Lck6122evg</v>
          </cell>
          <cell r="G1565" t="str">
            <v>Zhong Thong</v>
          </cell>
          <cell r="H1565" t="str">
            <v>Lck6122evg</v>
          </cell>
          <cell r="I1565">
            <v>2026</v>
          </cell>
          <cell r="J1565" t="str">
            <v>B</v>
          </cell>
          <cell r="K1565" t="str">
            <v>Ducaud</v>
          </cell>
          <cell r="N1565" t="str">
            <v>B</v>
          </cell>
        </row>
        <row r="1566">
          <cell r="B1566" t="str">
            <v>VLCK-37</v>
          </cell>
          <cell r="C1566" t="str">
            <v>LDYECS313S0045861</v>
          </cell>
          <cell r="D1566" t="str">
            <v>MDN35025030174</v>
          </cell>
          <cell r="E1566" t="str">
            <v>Zhong Thong</v>
          </cell>
          <cell r="F1566" t="str">
            <v>Lck6122evg</v>
          </cell>
          <cell r="G1566" t="str">
            <v>Zhong Thong</v>
          </cell>
          <cell r="H1566" t="str">
            <v>Lck6122evg</v>
          </cell>
          <cell r="I1566">
            <v>2026</v>
          </cell>
          <cell r="J1566" t="str">
            <v>B</v>
          </cell>
          <cell r="K1566" t="str">
            <v>Ducaud</v>
          </cell>
          <cell r="N1566" t="str">
            <v>B</v>
          </cell>
        </row>
        <row r="1567">
          <cell r="B1567" t="str">
            <v>VLCK-77</v>
          </cell>
          <cell r="C1567" t="str">
            <v>LDYECS316S0045773</v>
          </cell>
          <cell r="D1567" t="str">
            <v>MDN35025030170</v>
          </cell>
          <cell r="E1567" t="str">
            <v>Zhong Thong</v>
          </cell>
          <cell r="F1567" t="str">
            <v>Lck6122evg</v>
          </cell>
          <cell r="G1567" t="str">
            <v>Zhong Thong</v>
          </cell>
          <cell r="H1567" t="str">
            <v>Lck6122evg</v>
          </cell>
          <cell r="I1567">
            <v>2026</v>
          </cell>
          <cell r="J1567" t="str">
            <v>B</v>
          </cell>
          <cell r="K1567" t="str">
            <v>Ducaud</v>
          </cell>
          <cell r="N1567" t="str">
            <v>B</v>
          </cell>
        </row>
        <row r="1568">
          <cell r="B1568" t="str">
            <v>VLFG-56</v>
          </cell>
          <cell r="C1568" t="str">
            <v>LDYECS312S0045771</v>
          </cell>
          <cell r="D1568" t="str">
            <v>MDN35025030182</v>
          </cell>
          <cell r="E1568" t="str">
            <v>Zhong Thong</v>
          </cell>
          <cell r="F1568" t="str">
            <v>Lck6122evg</v>
          </cell>
          <cell r="G1568" t="str">
            <v>Zhong Thong</v>
          </cell>
          <cell r="H1568" t="str">
            <v>Lck6122evg</v>
          </cell>
          <cell r="I1568">
            <v>2026</v>
          </cell>
          <cell r="J1568" t="str">
            <v>B</v>
          </cell>
          <cell r="K1568" t="str">
            <v>Ducaud</v>
          </cell>
          <cell r="N1568" t="str">
            <v>B</v>
          </cell>
        </row>
        <row r="1569">
          <cell r="B1569" t="str">
            <v>VLFG-69</v>
          </cell>
          <cell r="C1569" t="str">
            <v>LDYECS314S0045870</v>
          </cell>
          <cell r="D1569" t="str">
            <v>MDN35025030202</v>
          </cell>
          <cell r="E1569" t="str">
            <v>Zhong Thong</v>
          </cell>
          <cell r="F1569" t="str">
            <v>Lck6122evg</v>
          </cell>
          <cell r="G1569" t="str">
            <v>Zhong Thong</v>
          </cell>
          <cell r="H1569" t="str">
            <v>Lck6122evg</v>
          </cell>
          <cell r="I1569">
            <v>2026</v>
          </cell>
          <cell r="J1569" t="str">
            <v>B</v>
          </cell>
          <cell r="K1569" t="str">
            <v>Ducaud</v>
          </cell>
          <cell r="N1569" t="str">
            <v>B</v>
          </cell>
        </row>
        <row r="1570">
          <cell r="B1570" t="str">
            <v>VLFG-78</v>
          </cell>
          <cell r="C1570" t="str">
            <v>LDYECS312S0045866</v>
          </cell>
          <cell r="D1570" t="str">
            <v>MDN35025030296</v>
          </cell>
          <cell r="E1570" t="str">
            <v>Zhong Thong</v>
          </cell>
          <cell r="F1570" t="str">
            <v>Lck6122evg</v>
          </cell>
          <cell r="G1570" t="str">
            <v>Zhong Thong</v>
          </cell>
          <cell r="H1570" t="str">
            <v>Lck6122evg</v>
          </cell>
          <cell r="I1570">
            <v>2026</v>
          </cell>
          <cell r="J1570" t="str">
            <v>B</v>
          </cell>
          <cell r="K1570" t="str">
            <v>Ducaud</v>
          </cell>
          <cell r="N1570" t="str">
            <v>B</v>
          </cell>
        </row>
        <row r="1571">
          <cell r="B1571" t="str">
            <v>VLFG-89</v>
          </cell>
          <cell r="C1571" t="str">
            <v>LDYECS314S0045867</v>
          </cell>
          <cell r="D1571" t="str">
            <v>MDN35025030263</v>
          </cell>
          <cell r="E1571" t="str">
            <v>Zhong Thong</v>
          </cell>
          <cell r="F1571" t="str">
            <v>Lck6122evg</v>
          </cell>
          <cell r="G1571" t="str">
            <v>Zhong Thong</v>
          </cell>
          <cell r="H1571" t="str">
            <v>Lck6122evg</v>
          </cell>
          <cell r="I1571">
            <v>2026</v>
          </cell>
          <cell r="J1571" t="str">
            <v>B</v>
          </cell>
          <cell r="K1571" t="str">
            <v>Ducaud</v>
          </cell>
          <cell r="N1571" t="str">
            <v>B</v>
          </cell>
        </row>
        <row r="1572">
          <cell r="B1572" t="str">
            <v>VLFH-16</v>
          </cell>
          <cell r="C1572" t="str">
            <v>LDYECS318S0045872</v>
          </cell>
          <cell r="D1572" t="str">
            <v>MDN35025030208</v>
          </cell>
          <cell r="E1572" t="str">
            <v>Zhong Thong</v>
          </cell>
          <cell r="F1572" t="str">
            <v>Lck6122evg</v>
          </cell>
          <cell r="G1572" t="str">
            <v>Zhong Thong</v>
          </cell>
          <cell r="H1572" t="str">
            <v>Lck6122evg</v>
          </cell>
          <cell r="I1572">
            <v>2026</v>
          </cell>
          <cell r="J1572" t="str">
            <v>B</v>
          </cell>
          <cell r="K1572" t="str">
            <v>Ducaud</v>
          </cell>
          <cell r="N1572" t="str">
            <v>B</v>
          </cell>
        </row>
        <row r="1573">
          <cell r="B1573" t="str">
            <v>VLFH-46</v>
          </cell>
          <cell r="C1573" t="str">
            <v>LDYECS310S0045770</v>
          </cell>
          <cell r="D1573" t="str">
            <v>MDN35025030277</v>
          </cell>
          <cell r="E1573" t="str">
            <v>Zhong Thong</v>
          </cell>
          <cell r="F1573" t="str">
            <v>Lck6122evg</v>
          </cell>
          <cell r="G1573" t="str">
            <v>Zhong Thong</v>
          </cell>
          <cell r="H1573" t="str">
            <v>Lck6122evg</v>
          </cell>
          <cell r="I1573">
            <v>2026</v>
          </cell>
          <cell r="J1573" t="str">
            <v>B</v>
          </cell>
          <cell r="K1573" t="str">
            <v>Ducaud</v>
          </cell>
          <cell r="N1573" t="str">
            <v>B</v>
          </cell>
        </row>
        <row r="1574">
          <cell r="B1574" t="str">
            <v>VLFH-48</v>
          </cell>
          <cell r="C1574" t="str">
            <v>LDYECS31XS0045713</v>
          </cell>
          <cell r="D1574" t="str">
            <v>MDN35025030118</v>
          </cell>
          <cell r="E1574" t="str">
            <v>Zhong Thong</v>
          </cell>
          <cell r="F1574" t="str">
            <v>Lck6122evg</v>
          </cell>
          <cell r="G1574" t="str">
            <v>Zhong Thong</v>
          </cell>
          <cell r="H1574" t="str">
            <v>Lck6122evg</v>
          </cell>
          <cell r="I1574">
            <v>2026</v>
          </cell>
          <cell r="J1574" t="str">
            <v>B</v>
          </cell>
          <cell r="K1574" t="str">
            <v>Las Acacias</v>
          </cell>
          <cell r="N1574" t="str">
            <v>B</v>
          </cell>
        </row>
        <row r="1575">
          <cell r="B1575" t="str">
            <v>VLFH-56</v>
          </cell>
          <cell r="C1575" t="str">
            <v>LDYECS31XS0045808</v>
          </cell>
          <cell r="D1575" t="str">
            <v>MDN35025030192</v>
          </cell>
          <cell r="E1575" t="str">
            <v>Zhong Thong</v>
          </cell>
          <cell r="F1575" t="str">
            <v>Lck6122evg</v>
          </cell>
          <cell r="G1575" t="str">
            <v>Zhong Thong</v>
          </cell>
          <cell r="H1575" t="str">
            <v>Lck6122evg</v>
          </cell>
          <cell r="I1575">
            <v>2026</v>
          </cell>
          <cell r="J1575" t="str">
            <v>B</v>
          </cell>
          <cell r="K1575" t="str">
            <v>Las Acacias</v>
          </cell>
          <cell r="N1575" t="str">
            <v>B</v>
          </cell>
        </row>
        <row r="1576">
          <cell r="B1576" t="str">
            <v>VLFH-63</v>
          </cell>
          <cell r="C1576" t="str">
            <v>8LDYECS314S004578</v>
          </cell>
          <cell r="D1576" t="str">
            <v>MDN35025030194</v>
          </cell>
          <cell r="E1576" t="str">
            <v>Zhong Thong</v>
          </cell>
          <cell r="F1576" t="str">
            <v>Lck6122evg</v>
          </cell>
          <cell r="G1576" t="str">
            <v>Zhong Thong</v>
          </cell>
          <cell r="H1576" t="str">
            <v>Lck6122evg</v>
          </cell>
          <cell r="I1576">
            <v>2026</v>
          </cell>
          <cell r="J1576" t="str">
            <v>B</v>
          </cell>
          <cell r="K1576" t="str">
            <v>Las Acacias</v>
          </cell>
          <cell r="N1576" t="str">
            <v>B</v>
          </cell>
        </row>
        <row r="1577">
          <cell r="B1577" t="str">
            <v>VLFJ-57</v>
          </cell>
          <cell r="C1577" t="str">
            <v>LDYECS310S0045705</v>
          </cell>
          <cell r="D1577" t="str">
            <v>MDN35025030236</v>
          </cell>
          <cell r="E1577" t="str">
            <v>Zhong Thong</v>
          </cell>
          <cell r="F1577" t="str">
            <v>Lck6122evg</v>
          </cell>
          <cell r="G1577" t="str">
            <v>Zhong Thong</v>
          </cell>
          <cell r="H1577" t="str">
            <v>Lck6122evg</v>
          </cell>
          <cell r="I1577">
            <v>2026</v>
          </cell>
          <cell r="J1577" t="str">
            <v>B</v>
          </cell>
          <cell r="K1577" t="str">
            <v>Las Acacias</v>
          </cell>
          <cell r="N1577" t="str">
            <v>B</v>
          </cell>
        </row>
        <row r="1578">
          <cell r="B1578" t="str">
            <v>VLFJ-62</v>
          </cell>
          <cell r="C1578" t="str">
            <v>LDYECS318S0045774</v>
          </cell>
          <cell r="D1578" t="str">
            <v>MDN35025030173</v>
          </cell>
          <cell r="E1578" t="str">
            <v>Zhong Thong</v>
          </cell>
          <cell r="F1578" t="str">
            <v>Lck6122evg</v>
          </cell>
          <cell r="G1578" t="str">
            <v>Zhong Thong</v>
          </cell>
          <cell r="H1578" t="str">
            <v>Lck6122evg</v>
          </cell>
          <cell r="I1578">
            <v>2026</v>
          </cell>
          <cell r="J1578" t="str">
            <v>B</v>
          </cell>
          <cell r="K1578" t="str">
            <v>Las Acacias</v>
          </cell>
          <cell r="N1578" t="str">
            <v>B</v>
          </cell>
        </row>
        <row r="1579">
          <cell r="B1579" t="str">
            <v>VLFJ-65</v>
          </cell>
          <cell r="C1579" t="str">
            <v>LDYECS310S0045784</v>
          </cell>
          <cell r="D1579" t="str">
            <v>MDN35025030197</v>
          </cell>
          <cell r="E1579" t="str">
            <v>Zhong Thong</v>
          </cell>
          <cell r="F1579" t="str">
            <v>Lck6122evg</v>
          </cell>
          <cell r="G1579" t="str">
            <v>Zhong Thong</v>
          </cell>
          <cell r="H1579" t="str">
            <v>Lck6122evg</v>
          </cell>
          <cell r="I1579">
            <v>2026</v>
          </cell>
          <cell r="J1579" t="str">
            <v>B</v>
          </cell>
          <cell r="K1579" t="str">
            <v>Las Acacias</v>
          </cell>
          <cell r="N1579" t="str">
            <v>B</v>
          </cell>
        </row>
        <row r="1580">
          <cell r="B1580" t="str">
            <v>VLFJ-82</v>
          </cell>
          <cell r="C1580" t="str">
            <v>LDYECS311S0045700</v>
          </cell>
          <cell r="D1580" t="str">
            <v>MDN35025030297</v>
          </cell>
          <cell r="E1580" t="str">
            <v>Zhong Thong</v>
          </cell>
          <cell r="F1580" t="str">
            <v>Lck6122evg</v>
          </cell>
          <cell r="G1580" t="str">
            <v>Zhong Thong</v>
          </cell>
          <cell r="H1580" t="str">
            <v>Lck6122evg</v>
          </cell>
          <cell r="I1580">
            <v>2026</v>
          </cell>
          <cell r="J1580" t="str">
            <v>B</v>
          </cell>
          <cell r="K1580" t="str">
            <v>Las Acacias</v>
          </cell>
          <cell r="N1580" t="str">
            <v>B</v>
          </cell>
        </row>
        <row r="1581">
          <cell r="B1581" t="str">
            <v>VLFJ-85</v>
          </cell>
          <cell r="C1581" t="str">
            <v>LDYECS316S0045871</v>
          </cell>
          <cell r="D1581" t="str">
            <v>MDN35025030288</v>
          </cell>
          <cell r="E1581" t="str">
            <v>Zhong Thong</v>
          </cell>
          <cell r="F1581" t="str">
            <v>Lck6122evg</v>
          </cell>
          <cell r="G1581" t="str">
            <v>Zhong Thong</v>
          </cell>
          <cell r="H1581" t="str">
            <v>Lck6122evg</v>
          </cell>
          <cell r="I1581">
            <v>2026</v>
          </cell>
          <cell r="J1581" t="str">
            <v>B</v>
          </cell>
          <cell r="K1581" t="str">
            <v>Las Acacias</v>
          </cell>
          <cell r="N1581" t="str">
            <v>B</v>
          </cell>
        </row>
        <row r="1582">
          <cell r="B1582" t="str">
            <v>VLLY-27</v>
          </cell>
          <cell r="C1582" t="str">
            <v>LDYECS312S0045768</v>
          </cell>
          <cell r="D1582" t="str">
            <v>MDN35025030284</v>
          </cell>
          <cell r="E1582" t="str">
            <v>Zhong Thong</v>
          </cell>
          <cell r="F1582" t="str">
            <v>Lck6122evg</v>
          </cell>
          <cell r="G1582" t="str">
            <v>Zhong Thong</v>
          </cell>
          <cell r="H1582" t="str">
            <v>Lck6122evg</v>
          </cell>
          <cell r="I1582">
            <v>2026</v>
          </cell>
          <cell r="J1582" t="str">
            <v>B</v>
          </cell>
          <cell r="K1582" t="str">
            <v>Las Acacias</v>
          </cell>
          <cell r="N1582" t="str">
            <v>B</v>
          </cell>
        </row>
        <row r="1583">
          <cell r="B1583" t="str">
            <v>VLPD-24</v>
          </cell>
          <cell r="C1583" t="str">
            <v>LDYECS311S0045874</v>
          </cell>
          <cell r="D1583" t="str">
            <v>MDN35025030278</v>
          </cell>
          <cell r="E1583" t="str">
            <v>Zhong Thong</v>
          </cell>
          <cell r="F1583" t="str">
            <v>Lck6122evg</v>
          </cell>
          <cell r="G1583" t="str">
            <v>Zhong Thong</v>
          </cell>
          <cell r="H1583" t="str">
            <v>Lck6122evg</v>
          </cell>
          <cell r="I1583">
            <v>2026</v>
          </cell>
          <cell r="J1583" t="str">
            <v>B</v>
          </cell>
          <cell r="K1583" t="str">
            <v>Las Acacias</v>
          </cell>
          <cell r="N1583" t="str">
            <v>B</v>
          </cell>
        </row>
        <row r="1584">
          <cell r="B1584" t="str">
            <v>VLRS-46</v>
          </cell>
          <cell r="C1584" t="str">
            <v>LDYECS311S0045759</v>
          </cell>
          <cell r="D1584" t="str">
            <v>MDN35025030145</v>
          </cell>
          <cell r="E1584" t="str">
            <v>Zhong Thong</v>
          </cell>
          <cell r="F1584" t="str">
            <v>Lck6122evg</v>
          </cell>
          <cell r="G1584" t="str">
            <v>Zhong Thong</v>
          </cell>
          <cell r="H1584" t="str">
            <v>Lck6122evg</v>
          </cell>
          <cell r="I1584">
            <v>2026</v>
          </cell>
          <cell r="J1584" t="str">
            <v>B</v>
          </cell>
          <cell r="K1584" t="str">
            <v>Las Acacias</v>
          </cell>
          <cell r="N1584" t="str">
            <v>B</v>
          </cell>
        </row>
        <row r="1585">
          <cell r="B1585" t="str">
            <v>VLSD-60</v>
          </cell>
          <cell r="C1585" t="str">
            <v>LDYECS839S0045647</v>
          </cell>
          <cell r="D1585" t="str">
            <v>MJJ20025010022</v>
          </cell>
          <cell r="E1585" t="str">
            <v>Zhong Thong</v>
          </cell>
          <cell r="F1585" t="str">
            <v>Lck6850evg</v>
          </cell>
          <cell r="G1585" t="str">
            <v>Zhong Thong</v>
          </cell>
          <cell r="H1585" t="str">
            <v>Lck6850evg</v>
          </cell>
          <cell r="I1585">
            <v>2026</v>
          </cell>
          <cell r="J1585" t="str">
            <v>A</v>
          </cell>
          <cell r="K1585" t="str">
            <v>Las Acacias</v>
          </cell>
          <cell r="N1585" t="str">
            <v>A</v>
          </cell>
        </row>
        <row r="1586">
          <cell r="B1586" t="str">
            <v>VLSD-66</v>
          </cell>
          <cell r="C1586" t="str">
            <v>LDYECS83XS0045642</v>
          </cell>
          <cell r="D1586" t="str">
            <v>MJJ20025010017</v>
          </cell>
          <cell r="E1586" t="str">
            <v>Zhong Thong</v>
          </cell>
          <cell r="F1586" t="str">
            <v>Lck6850evg</v>
          </cell>
          <cell r="G1586" t="str">
            <v>Zhong Thong</v>
          </cell>
          <cell r="H1586" t="str">
            <v>Lck6850evg</v>
          </cell>
          <cell r="I1586">
            <v>2026</v>
          </cell>
          <cell r="J1586" t="str">
            <v>A</v>
          </cell>
          <cell r="K1586" t="str">
            <v>Las Acacias</v>
          </cell>
          <cell r="N1586" t="str">
            <v>A</v>
          </cell>
        </row>
        <row r="1587">
          <cell r="B1587" t="str">
            <v>VLSD-67</v>
          </cell>
          <cell r="C1587" t="str">
            <v>LDYECS835S0045645</v>
          </cell>
          <cell r="D1587" t="str">
            <v>MJJ20025010002</v>
          </cell>
          <cell r="E1587" t="str">
            <v>Zhong Thong</v>
          </cell>
          <cell r="F1587" t="str">
            <v>Lck6850evg</v>
          </cell>
          <cell r="G1587" t="str">
            <v>Zhong Thong</v>
          </cell>
          <cell r="H1587" t="str">
            <v>Lck6850evg</v>
          </cell>
          <cell r="I1587">
            <v>2026</v>
          </cell>
          <cell r="J1587" t="str">
            <v>A</v>
          </cell>
          <cell r="K1587" t="str">
            <v>Las Acacias</v>
          </cell>
          <cell r="N1587" t="str">
            <v>A</v>
          </cell>
        </row>
        <row r="1588">
          <cell r="B1588" t="str">
            <v>VLSD-68</v>
          </cell>
          <cell r="C1588" t="str">
            <v>LDYECS838S0045638</v>
          </cell>
          <cell r="D1588" t="str">
            <v>MJJ20025010018</v>
          </cell>
          <cell r="E1588" t="str">
            <v>Zhong Thong</v>
          </cell>
          <cell r="F1588" t="str">
            <v>Lck6850evg</v>
          </cell>
          <cell r="G1588" t="str">
            <v>Zhong Thong</v>
          </cell>
          <cell r="H1588" t="str">
            <v>Lck6850evg</v>
          </cell>
          <cell r="I1588">
            <v>2026</v>
          </cell>
          <cell r="J1588" t="str">
            <v>A</v>
          </cell>
          <cell r="K1588" t="str">
            <v>Las Acacias</v>
          </cell>
          <cell r="N1588" t="str">
            <v>A</v>
          </cell>
        </row>
        <row r="1589">
          <cell r="B1589" t="str">
            <v>VLSD-70</v>
          </cell>
          <cell r="C1589" t="str">
            <v>LDYECS838S0045641</v>
          </cell>
          <cell r="D1589" t="str">
            <v>MJJ20025010006</v>
          </cell>
          <cell r="E1589" t="str">
            <v>Zhong Thong</v>
          </cell>
          <cell r="F1589" t="str">
            <v>Lck6850evg</v>
          </cell>
          <cell r="G1589" t="str">
            <v>Zhong Thong</v>
          </cell>
          <cell r="H1589" t="str">
            <v>Lck6850evg</v>
          </cell>
          <cell r="I1589">
            <v>2026</v>
          </cell>
          <cell r="J1589" t="str">
            <v>A</v>
          </cell>
          <cell r="K1589" t="str">
            <v>Las Acacias</v>
          </cell>
          <cell r="N1589" t="str">
            <v>A</v>
          </cell>
        </row>
        <row r="1590">
          <cell r="B1590" t="str">
            <v>VLSD-77</v>
          </cell>
          <cell r="C1590" t="str">
            <v>LDYECS831S0045643</v>
          </cell>
          <cell r="D1590" t="str">
            <v>MJJ20025010055</v>
          </cell>
          <cell r="E1590" t="str">
            <v>Zhong Thong</v>
          </cell>
          <cell r="F1590" t="str">
            <v>Lck6850evg</v>
          </cell>
          <cell r="G1590" t="str">
            <v>Zhong Thong</v>
          </cell>
          <cell r="H1590" t="str">
            <v>Lck6850evg</v>
          </cell>
          <cell r="I1590">
            <v>2026</v>
          </cell>
          <cell r="J1590" t="str">
            <v>A</v>
          </cell>
          <cell r="K1590" t="str">
            <v>Las Acacias</v>
          </cell>
          <cell r="N1590" t="str">
            <v>A</v>
          </cell>
        </row>
        <row r="1591">
          <cell r="B1591" t="str">
            <v>VLSJ-88</v>
          </cell>
          <cell r="C1591" t="str">
            <v>LDYECS835S0044527</v>
          </cell>
          <cell r="D1591" t="str">
            <v>MJJ20025010038</v>
          </cell>
          <cell r="E1591" t="str">
            <v>Zhong Thong</v>
          </cell>
          <cell r="F1591" t="str">
            <v>Lck6850evg</v>
          </cell>
          <cell r="G1591" t="str">
            <v>Zhong Thong</v>
          </cell>
          <cell r="H1591" t="str">
            <v>Lck6850evg</v>
          </cell>
          <cell r="I1591">
            <v>2026</v>
          </cell>
          <cell r="J1591" t="str">
            <v>A</v>
          </cell>
          <cell r="K1591" t="str">
            <v>Las Acacias</v>
          </cell>
          <cell r="N1591" t="str">
            <v>A</v>
          </cell>
        </row>
        <row r="1592">
          <cell r="B1592" t="str">
            <v>VLSK-17</v>
          </cell>
          <cell r="C1592" t="str">
            <v>LDYECS837S0044528</v>
          </cell>
          <cell r="D1592" t="str">
            <v>MJJ20025010031</v>
          </cell>
          <cell r="E1592" t="str">
            <v>Zhong Thong</v>
          </cell>
          <cell r="F1592" t="str">
            <v>Lck6850evg</v>
          </cell>
          <cell r="G1592" t="str">
            <v>Zhong Thong</v>
          </cell>
          <cell r="H1592" t="str">
            <v>Lck6850evg</v>
          </cell>
          <cell r="I1592">
            <v>2026</v>
          </cell>
          <cell r="J1592" t="str">
            <v>A</v>
          </cell>
          <cell r="K1592" t="str">
            <v>Las Acacias</v>
          </cell>
          <cell r="N1592" t="str">
            <v>A</v>
          </cell>
        </row>
        <row r="1593">
          <cell r="B1593" t="str">
            <v>VLSK-18</v>
          </cell>
          <cell r="C1593" t="str">
            <v>LDYECS835S0045614</v>
          </cell>
          <cell r="D1593" t="str">
            <v>MJJ20025010009</v>
          </cell>
          <cell r="E1593" t="str">
            <v>Zhong Thong</v>
          </cell>
          <cell r="F1593" t="str">
            <v>Lck6850evg</v>
          </cell>
          <cell r="G1593" t="str">
            <v>Zhong Thong</v>
          </cell>
          <cell r="H1593" t="str">
            <v>Lck6850evg</v>
          </cell>
          <cell r="I1593">
            <v>2026</v>
          </cell>
          <cell r="J1593" t="str">
            <v>A</v>
          </cell>
          <cell r="K1593" t="str">
            <v>Las Acacias</v>
          </cell>
          <cell r="N1593" t="str">
            <v>A</v>
          </cell>
        </row>
        <row r="1594">
          <cell r="B1594" t="str">
            <v>VLSK-19</v>
          </cell>
          <cell r="C1594" t="str">
            <v>LDYECS319S0045797</v>
          </cell>
          <cell r="D1594" t="str">
            <v>MDN35025030308</v>
          </cell>
          <cell r="E1594" t="str">
            <v>Zhong Thong</v>
          </cell>
          <cell r="F1594" t="str">
            <v>Lck6122evg</v>
          </cell>
          <cell r="G1594" t="str">
            <v>Zhong Thong</v>
          </cell>
          <cell r="H1594" t="str">
            <v>Lck6122evg</v>
          </cell>
          <cell r="I1594">
            <v>2026</v>
          </cell>
          <cell r="J1594" t="str">
            <v>B</v>
          </cell>
          <cell r="K1594" t="str">
            <v>Las Acacias</v>
          </cell>
          <cell r="N1594" t="str">
            <v>B</v>
          </cell>
        </row>
        <row r="1595">
          <cell r="B1595" t="str">
            <v>VLSK-23</v>
          </cell>
          <cell r="C1595" t="str">
            <v>LDYECS315S0045800</v>
          </cell>
          <cell r="D1595" t="str">
            <v>MDN35025030258</v>
          </cell>
          <cell r="E1595" t="str">
            <v>Zhong Thong</v>
          </cell>
          <cell r="F1595" t="str">
            <v>Lck6122evg</v>
          </cell>
          <cell r="G1595" t="str">
            <v>Zhong Thong</v>
          </cell>
          <cell r="H1595" t="str">
            <v>Lck6122evg</v>
          </cell>
          <cell r="I1595">
            <v>2026</v>
          </cell>
          <cell r="J1595" t="str">
            <v>B</v>
          </cell>
          <cell r="K1595" t="str">
            <v>Las Acacias</v>
          </cell>
          <cell r="N1595" t="str">
            <v>B</v>
          </cell>
        </row>
        <row r="1596">
          <cell r="B1596" t="str">
            <v>VLSK-25</v>
          </cell>
          <cell r="C1596" t="str">
            <v>LDYECS315S0045795</v>
          </cell>
          <cell r="D1596" t="str">
            <v>MDN35025030264</v>
          </cell>
          <cell r="E1596" t="str">
            <v>Zhong Thong</v>
          </cell>
          <cell r="F1596" t="str">
            <v>Lck6122evg</v>
          </cell>
          <cell r="G1596" t="str">
            <v>Zhong Thong</v>
          </cell>
          <cell r="H1596" t="str">
            <v>Lck6122evg</v>
          </cell>
          <cell r="I1596">
            <v>2026</v>
          </cell>
          <cell r="J1596" t="str">
            <v>B</v>
          </cell>
          <cell r="K1596" t="str">
            <v>Las Acacias</v>
          </cell>
          <cell r="N1596" t="str">
            <v>B</v>
          </cell>
        </row>
        <row r="1597">
          <cell r="B1597" t="str">
            <v>VLSK-26</v>
          </cell>
          <cell r="C1597" t="str">
            <v>LDYECS310S0045722</v>
          </cell>
          <cell r="D1597" t="str">
            <v>MDN35025030123</v>
          </cell>
          <cell r="E1597" t="str">
            <v>Zhong Thong</v>
          </cell>
          <cell r="F1597" t="str">
            <v>Lck6122evg</v>
          </cell>
          <cell r="G1597" t="str">
            <v>Zhong Thong</v>
          </cell>
          <cell r="H1597" t="str">
            <v>Lck6122evg</v>
          </cell>
          <cell r="I1597">
            <v>2026</v>
          </cell>
          <cell r="J1597" t="str">
            <v>B</v>
          </cell>
          <cell r="K1597" t="str">
            <v>Las Acacias</v>
          </cell>
          <cell r="N1597" t="str">
            <v>B</v>
          </cell>
        </row>
        <row r="1598">
          <cell r="B1598" t="str">
            <v>VLSK-29</v>
          </cell>
          <cell r="C1598" t="str">
            <v>LDYECS310S0045798</v>
          </cell>
          <cell r="D1598" t="str">
            <v>MDN35025030250</v>
          </cell>
          <cell r="E1598" t="str">
            <v>Zhong Thong</v>
          </cell>
          <cell r="F1598" t="str">
            <v>Lck6122evg</v>
          </cell>
          <cell r="G1598" t="str">
            <v>Zhong Thong</v>
          </cell>
          <cell r="H1598" t="str">
            <v>Lck6122evg</v>
          </cell>
          <cell r="I1598">
            <v>2026</v>
          </cell>
          <cell r="J1598" t="str">
            <v>B</v>
          </cell>
          <cell r="K1598" t="str">
            <v>Las Acacias</v>
          </cell>
          <cell r="N1598" t="str">
            <v>B</v>
          </cell>
        </row>
        <row r="1599">
          <cell r="B1599" t="str">
            <v>VLSK-30</v>
          </cell>
          <cell r="C1599" t="str">
            <v>LDYECS313S0045813</v>
          </cell>
          <cell r="D1599" t="str">
            <v>MDN35025030268</v>
          </cell>
          <cell r="E1599" t="str">
            <v>Zhong Thong</v>
          </cell>
          <cell r="F1599" t="str">
            <v>Lck6122evg</v>
          </cell>
          <cell r="G1599" t="str">
            <v>Zhong Thong</v>
          </cell>
          <cell r="H1599" t="str">
            <v>Lck6122evg</v>
          </cell>
          <cell r="I1599">
            <v>2026</v>
          </cell>
          <cell r="J1599" t="str">
            <v>B</v>
          </cell>
          <cell r="K1599" t="str">
            <v>Las Acacias</v>
          </cell>
          <cell r="N1599" t="str">
            <v>B</v>
          </cell>
        </row>
        <row r="1600">
          <cell r="B1600" t="str">
            <v>VLSK-39</v>
          </cell>
          <cell r="C1600" t="str">
            <v>LDYECS315S0045814</v>
          </cell>
          <cell r="D1600" t="str">
            <v>MDN35025030040</v>
          </cell>
          <cell r="E1600" t="str">
            <v>Zhong Thong</v>
          </cell>
          <cell r="F1600" t="str">
            <v>Lck6122evg</v>
          </cell>
          <cell r="G1600" t="str">
            <v>Zhong Thong</v>
          </cell>
          <cell r="H1600" t="str">
            <v>Lck6122evg</v>
          </cell>
          <cell r="I1600">
            <v>2026</v>
          </cell>
          <cell r="J1600" t="str">
            <v>B</v>
          </cell>
          <cell r="K1600" t="str">
            <v>Las Acacias</v>
          </cell>
          <cell r="N1600" t="str">
            <v>B</v>
          </cell>
        </row>
        <row r="1601">
          <cell r="B1601" t="str">
            <v>VLSK-44</v>
          </cell>
          <cell r="C1601" t="str">
            <v>LDYECS317S0045779</v>
          </cell>
          <cell r="D1601" t="str">
            <v>MDN35025030160</v>
          </cell>
          <cell r="E1601" t="str">
            <v>Zhong Thong</v>
          </cell>
          <cell r="F1601" t="str">
            <v>Lck6122evg</v>
          </cell>
          <cell r="G1601" t="str">
            <v>Zhong Thong</v>
          </cell>
          <cell r="H1601" t="str">
            <v>Lck6122evg</v>
          </cell>
          <cell r="I1601">
            <v>2026</v>
          </cell>
          <cell r="J1601" t="str">
            <v>B</v>
          </cell>
          <cell r="K1601" t="str">
            <v>Las Acacias</v>
          </cell>
          <cell r="N1601" t="str">
            <v>B</v>
          </cell>
        </row>
        <row r="1602">
          <cell r="B1602" t="str">
            <v>VLSK-46</v>
          </cell>
          <cell r="C1602" t="str">
            <v>LDYECS311S0045809</v>
          </cell>
          <cell r="D1602" t="str">
            <v>MDN35025030257</v>
          </cell>
          <cell r="E1602" t="str">
            <v>Zhong Thong</v>
          </cell>
          <cell r="F1602" t="str">
            <v>Lck6122evg</v>
          </cell>
          <cell r="G1602" t="str">
            <v>Zhong Thong</v>
          </cell>
          <cell r="H1602" t="str">
            <v>Lck6122evg</v>
          </cell>
          <cell r="I1602">
            <v>2026</v>
          </cell>
          <cell r="J1602" t="str">
            <v>B</v>
          </cell>
          <cell r="K1602" t="str">
            <v>Las Acacias</v>
          </cell>
          <cell r="N1602" t="str">
            <v>B</v>
          </cell>
        </row>
        <row r="1603">
          <cell r="B1603" t="str">
            <v>VLSK-53</v>
          </cell>
          <cell r="C1603" t="str">
            <v>LDYECS314S0045724</v>
          </cell>
          <cell r="D1603" t="str">
            <v>MDN35025030060</v>
          </cell>
          <cell r="E1603" t="str">
            <v>Zhong Thong</v>
          </cell>
          <cell r="F1603" t="str">
            <v>Lck6122evg</v>
          </cell>
          <cell r="G1603" t="str">
            <v>Zhong Thong</v>
          </cell>
          <cell r="H1603" t="str">
            <v>Lck6122evg</v>
          </cell>
          <cell r="I1603">
            <v>2026</v>
          </cell>
          <cell r="J1603" t="str">
            <v>B</v>
          </cell>
          <cell r="K1603" t="str">
            <v>Las Acacias</v>
          </cell>
          <cell r="N1603" t="str">
            <v>B</v>
          </cell>
        </row>
        <row r="1604">
          <cell r="B1604" t="str">
            <v>VLSK-64</v>
          </cell>
          <cell r="C1604" t="str">
            <v>LDYECS318S0045810</v>
          </cell>
          <cell r="D1604" t="str">
            <v>MDN35025030195</v>
          </cell>
          <cell r="E1604" t="str">
            <v>Zhong Thong</v>
          </cell>
          <cell r="F1604" t="str">
            <v>Lck6122evg</v>
          </cell>
          <cell r="G1604" t="str">
            <v>Zhong Thong</v>
          </cell>
          <cell r="H1604" t="str">
            <v>Lck6122evg</v>
          </cell>
          <cell r="I1604">
            <v>2026</v>
          </cell>
          <cell r="J1604" t="str">
            <v>B</v>
          </cell>
          <cell r="K1604" t="str">
            <v>Las Acacias</v>
          </cell>
          <cell r="N1604" t="str">
            <v>B</v>
          </cell>
        </row>
        <row r="1605">
          <cell r="B1605" t="str">
            <v>VLSK-70</v>
          </cell>
          <cell r="C1605" t="str">
            <v>LDYECS31XS0045727</v>
          </cell>
          <cell r="D1605" t="str">
            <v>MDN35025030224</v>
          </cell>
          <cell r="E1605" t="str">
            <v>Zhong Thong</v>
          </cell>
          <cell r="F1605" t="str">
            <v>Lck6122evg</v>
          </cell>
          <cell r="G1605" t="str">
            <v>Zhong Thong</v>
          </cell>
          <cell r="H1605" t="str">
            <v>Lck6122evg</v>
          </cell>
          <cell r="I1605">
            <v>2026</v>
          </cell>
          <cell r="J1605" t="str">
            <v>B</v>
          </cell>
          <cell r="K1605" t="str">
            <v>Las Acacias</v>
          </cell>
          <cell r="N1605" t="str">
            <v>B</v>
          </cell>
        </row>
        <row r="1606">
          <cell r="B1606" t="str">
            <v>VLSK-77</v>
          </cell>
          <cell r="C1606" t="str">
            <v>LDYECS31XS0045811</v>
          </cell>
          <cell r="D1606" t="str">
            <v>MDN35025030077</v>
          </cell>
          <cell r="E1606" t="str">
            <v>Zhong Thong</v>
          </cell>
          <cell r="F1606" t="str">
            <v>Lck6122evg</v>
          </cell>
          <cell r="G1606" t="str">
            <v>Zhong Thong</v>
          </cell>
          <cell r="H1606" t="str">
            <v>Lck6122evg</v>
          </cell>
          <cell r="I1606">
            <v>2026</v>
          </cell>
          <cell r="J1606" t="str">
            <v>B</v>
          </cell>
          <cell r="K1606" t="str">
            <v>Las Acacias</v>
          </cell>
          <cell r="N1606" t="str">
            <v>B</v>
          </cell>
        </row>
        <row r="1607">
          <cell r="B1607" t="str">
            <v>VLSK-86</v>
          </cell>
          <cell r="C1607" t="str">
            <v>LDYECS314S0045819</v>
          </cell>
          <cell r="D1607" t="str">
            <v>MDN35025030081</v>
          </cell>
          <cell r="E1607" t="str">
            <v>Zhong Thong</v>
          </cell>
          <cell r="F1607" t="str">
            <v>Lck6122evg</v>
          </cell>
          <cell r="G1607" t="str">
            <v>Zhong Thong</v>
          </cell>
          <cell r="H1607" t="str">
            <v>Lck6122evg</v>
          </cell>
          <cell r="I1607">
            <v>2026</v>
          </cell>
          <cell r="J1607" t="str">
            <v>B</v>
          </cell>
          <cell r="K1607" t="str">
            <v>Las Acacias</v>
          </cell>
          <cell r="N1607" t="str">
            <v>B</v>
          </cell>
        </row>
        <row r="1608">
          <cell r="B1608" t="str">
            <v>VLSK-93</v>
          </cell>
          <cell r="C1608" t="str">
            <v>LDYECS311S0045728</v>
          </cell>
          <cell r="D1608" t="str">
            <v>MDN35025030126</v>
          </cell>
          <cell r="E1608" t="str">
            <v>Zhong Thong</v>
          </cell>
          <cell r="F1608" t="str">
            <v>Lck6122evg</v>
          </cell>
          <cell r="G1608" t="str">
            <v>Zhong Thong</v>
          </cell>
          <cell r="H1608" t="str">
            <v>Lck6122evg</v>
          </cell>
          <cell r="I1608">
            <v>2026</v>
          </cell>
          <cell r="J1608" t="str">
            <v>B</v>
          </cell>
          <cell r="K1608" t="str">
            <v>Las Acacias</v>
          </cell>
          <cell r="N1608" t="str">
            <v>B</v>
          </cell>
        </row>
        <row r="1609">
          <cell r="B1609" t="str">
            <v>VLSK-95</v>
          </cell>
          <cell r="C1609" t="str">
            <v>LDYECS316S0045840</v>
          </cell>
          <cell r="D1609" t="str">
            <v>MDN35025030254</v>
          </cell>
          <cell r="E1609" t="str">
            <v>Zhong Thong</v>
          </cell>
          <cell r="F1609" t="str">
            <v>Lck6122evg</v>
          </cell>
          <cell r="G1609" t="str">
            <v>Zhong Thong</v>
          </cell>
          <cell r="H1609" t="str">
            <v>Lck6122evg</v>
          </cell>
          <cell r="I1609">
            <v>2026</v>
          </cell>
          <cell r="J1609" t="str">
            <v>B</v>
          </cell>
          <cell r="K1609" t="str">
            <v>Las Acacias</v>
          </cell>
          <cell r="N1609" t="str">
            <v>B</v>
          </cell>
        </row>
        <row r="1610">
          <cell r="B1610" t="str">
            <v>VLSK-99</v>
          </cell>
          <cell r="C1610" t="str">
            <v>LDYECS314S0045822</v>
          </cell>
          <cell r="D1610" t="str">
            <v>MDN35025030089</v>
          </cell>
          <cell r="E1610" t="str">
            <v>Zhong Thong</v>
          </cell>
          <cell r="F1610" t="str">
            <v>Lck6122evg</v>
          </cell>
          <cell r="G1610" t="str">
            <v>Zhong Thong</v>
          </cell>
          <cell r="H1610" t="str">
            <v>Lck6122evg</v>
          </cell>
          <cell r="I1610">
            <v>2026</v>
          </cell>
          <cell r="J1610" t="str">
            <v>B</v>
          </cell>
          <cell r="K1610" t="str">
            <v>Las Acacias</v>
          </cell>
          <cell r="N1610" t="str">
            <v>B</v>
          </cell>
        </row>
        <row r="1611">
          <cell r="B1611" t="str">
            <v>VLSL-10</v>
          </cell>
          <cell r="C1611" t="str">
            <v>LDYECS315S0045828</v>
          </cell>
          <cell r="D1611" t="str">
            <v>MDN35025030269</v>
          </cell>
          <cell r="E1611" t="str">
            <v>Zhong Thong</v>
          </cell>
          <cell r="F1611" t="str">
            <v>Lck6122evg</v>
          </cell>
          <cell r="G1611" t="str">
            <v>Zhong Thong</v>
          </cell>
          <cell r="H1611" t="str">
            <v>Lck6122evg</v>
          </cell>
          <cell r="I1611">
            <v>2026</v>
          </cell>
          <cell r="J1611" t="str">
            <v>B</v>
          </cell>
          <cell r="K1611" t="str">
            <v>Las Acacias</v>
          </cell>
          <cell r="N1611" t="str">
            <v>B</v>
          </cell>
        </row>
        <row r="1612">
          <cell r="B1612" t="str">
            <v>VLSL-16</v>
          </cell>
          <cell r="C1612" t="str">
            <v>LDYECS31XS0045825</v>
          </cell>
          <cell r="D1612" t="str">
            <v>MDN35025030210</v>
          </cell>
          <cell r="E1612" t="str">
            <v>Zhong Thong</v>
          </cell>
          <cell r="F1612" t="str">
            <v>Lck6122evg</v>
          </cell>
          <cell r="G1612" t="str">
            <v>Zhong Thong</v>
          </cell>
          <cell r="H1612" t="str">
            <v>Lck6122evg</v>
          </cell>
          <cell r="I1612">
            <v>2026</v>
          </cell>
          <cell r="J1612" t="str">
            <v>B</v>
          </cell>
          <cell r="K1612" t="str">
            <v>Las Acacias</v>
          </cell>
          <cell r="N1612" t="str">
            <v>B</v>
          </cell>
        </row>
        <row r="1613">
          <cell r="B1613" t="str">
            <v>VLSL-25</v>
          </cell>
          <cell r="C1613" t="str">
            <v>LDYECS317S0045734</v>
          </cell>
          <cell r="D1613" t="str">
            <v>MDN35025030214</v>
          </cell>
          <cell r="E1613" t="str">
            <v>Zhong Thong</v>
          </cell>
          <cell r="F1613" t="str">
            <v>Lck6122evg</v>
          </cell>
          <cell r="G1613" t="str">
            <v>Zhong Thong</v>
          </cell>
          <cell r="H1613" t="str">
            <v>Lck6122evg</v>
          </cell>
          <cell r="I1613">
            <v>2026</v>
          </cell>
          <cell r="J1613" t="str">
            <v>B</v>
          </cell>
          <cell r="K1613" t="str">
            <v>Las Acacias</v>
          </cell>
          <cell r="N1613" t="str">
            <v>B</v>
          </cell>
        </row>
        <row r="1614">
          <cell r="B1614" t="str">
            <v>VLSS-34</v>
          </cell>
          <cell r="C1614" t="str">
            <v>LDYECS311S0045731</v>
          </cell>
          <cell r="D1614" t="str">
            <v>MDN35025030130</v>
          </cell>
          <cell r="E1614" t="str">
            <v>Zhong Thong</v>
          </cell>
          <cell r="F1614" t="str">
            <v>Lck6122evg</v>
          </cell>
          <cell r="G1614" t="str">
            <v>Zhong Thong</v>
          </cell>
          <cell r="H1614" t="str">
            <v>Lck6122evg</v>
          </cell>
          <cell r="I1614">
            <v>2026</v>
          </cell>
          <cell r="J1614" t="str">
            <v>B</v>
          </cell>
          <cell r="K1614" t="str">
            <v>Las Acacias</v>
          </cell>
          <cell r="N1614" t="str">
            <v>B</v>
          </cell>
        </row>
        <row r="1615">
          <cell r="B1615" t="str">
            <v>VLSS-37</v>
          </cell>
          <cell r="C1615" t="str">
            <v>LDYECS312S0045835</v>
          </cell>
          <cell r="D1615" t="str">
            <v>MDN35025030316</v>
          </cell>
          <cell r="E1615" t="str">
            <v>Zhong Thong</v>
          </cell>
          <cell r="F1615" t="str">
            <v>Lck6122evg</v>
          </cell>
          <cell r="G1615" t="str">
            <v>Zhong Thong</v>
          </cell>
          <cell r="H1615" t="str">
            <v>Lck6122evg</v>
          </cell>
          <cell r="I1615">
            <v>2026</v>
          </cell>
          <cell r="J1615" t="str">
            <v>B</v>
          </cell>
          <cell r="K1615" t="str">
            <v>Las Acacias</v>
          </cell>
          <cell r="N1615" t="str">
            <v>B</v>
          </cell>
        </row>
        <row r="1616">
          <cell r="B1616" t="str">
            <v>VLSS-45</v>
          </cell>
          <cell r="C1616" t="str">
            <v>LDYECS314S0045738</v>
          </cell>
          <cell r="D1616" t="str">
            <v>MDN35025030247</v>
          </cell>
          <cell r="E1616" t="str">
            <v>Zhong Thong</v>
          </cell>
          <cell r="F1616" t="str">
            <v>Lck6122evg</v>
          </cell>
          <cell r="G1616" t="str">
            <v>Zhong Thong</v>
          </cell>
          <cell r="H1616" t="str">
            <v>Lck6122evg</v>
          </cell>
          <cell r="I1616">
            <v>2026</v>
          </cell>
          <cell r="J1616" t="str">
            <v>B</v>
          </cell>
          <cell r="K1616" t="str">
            <v>Las Acacias</v>
          </cell>
          <cell r="N1616" t="str">
            <v>B</v>
          </cell>
        </row>
        <row r="1617">
          <cell r="B1617" t="str">
            <v>VLSS-69</v>
          </cell>
          <cell r="C1617" t="str">
            <v>LDYECS318S0045824</v>
          </cell>
          <cell r="D1617" t="str">
            <v>MDN35025030189</v>
          </cell>
          <cell r="E1617" t="str">
            <v>Zhong Thong</v>
          </cell>
          <cell r="F1617" t="str">
            <v>Lck6122evg</v>
          </cell>
          <cell r="G1617" t="str">
            <v>Zhong Thong</v>
          </cell>
          <cell r="H1617" t="str">
            <v>Lck6122evg</v>
          </cell>
          <cell r="I1617">
            <v>2026</v>
          </cell>
          <cell r="J1617" t="str">
            <v>B</v>
          </cell>
          <cell r="K1617" t="str">
            <v>Las Acacias</v>
          </cell>
          <cell r="N1617" t="str">
            <v>B</v>
          </cell>
        </row>
        <row r="1618">
          <cell r="B1618" t="str">
            <v>VLSS-88</v>
          </cell>
          <cell r="C1618" t="str">
            <v>LDYECS310S0045851</v>
          </cell>
          <cell r="D1618" t="str">
            <v>MDN35025030193</v>
          </cell>
          <cell r="E1618" t="str">
            <v>Zhong Thong</v>
          </cell>
          <cell r="F1618" t="str">
            <v>Lck6122evg</v>
          </cell>
          <cell r="G1618" t="str">
            <v>Zhong Thong</v>
          </cell>
          <cell r="H1618" t="str">
            <v>Lck6122evg</v>
          </cell>
          <cell r="I1618">
            <v>2026</v>
          </cell>
          <cell r="J1618" t="str">
            <v>B</v>
          </cell>
          <cell r="K1618" t="str">
            <v>Las Acacias</v>
          </cell>
          <cell r="N1618" t="str">
            <v>B</v>
          </cell>
        </row>
        <row r="1619">
          <cell r="B1619" t="str">
            <v>VLST-15</v>
          </cell>
          <cell r="C1619" t="str">
            <v>LDYECS319S0045850</v>
          </cell>
          <cell r="D1619" t="str">
            <v>MDN35025030244</v>
          </cell>
          <cell r="E1619" t="str">
            <v>Zhong Thong</v>
          </cell>
          <cell r="F1619" t="str">
            <v>Lck6122evg</v>
          </cell>
          <cell r="G1619" t="str">
            <v>Zhong Thong</v>
          </cell>
          <cell r="H1619" t="str">
            <v>Lck6122evg</v>
          </cell>
          <cell r="I1619">
            <v>2026</v>
          </cell>
          <cell r="J1619" t="str">
            <v>B</v>
          </cell>
          <cell r="K1619" t="str">
            <v>Las Acacias</v>
          </cell>
          <cell r="N1619" t="str">
            <v>B</v>
          </cell>
        </row>
        <row r="1620">
          <cell r="B1620" t="str">
            <v>VLST-23</v>
          </cell>
          <cell r="C1620" t="str">
            <v>LDYECS318S0045841</v>
          </cell>
          <cell r="D1620" t="str">
            <v>MDN35025030300</v>
          </cell>
          <cell r="E1620" t="str">
            <v>Zhong Thong</v>
          </cell>
          <cell r="F1620" t="str">
            <v>Lck6122evg</v>
          </cell>
          <cell r="G1620" t="str">
            <v>Zhong Thong</v>
          </cell>
          <cell r="H1620" t="str">
            <v>Lck6122evg</v>
          </cell>
          <cell r="I1620">
            <v>2026</v>
          </cell>
          <cell r="J1620" t="str">
            <v>B</v>
          </cell>
          <cell r="K1620" t="str">
            <v>Las Acacias</v>
          </cell>
          <cell r="N1620" t="str">
            <v>B</v>
          </cell>
        </row>
        <row r="1621">
          <cell r="B1621" t="str">
            <v>VLST-92</v>
          </cell>
          <cell r="C1621" t="str">
            <v>LDYECS318S0045838</v>
          </cell>
          <cell r="D1621" t="str">
            <v>MDN35025030084</v>
          </cell>
          <cell r="E1621" t="str">
            <v>Zhong Thong</v>
          </cell>
          <cell r="F1621" t="str">
            <v>Lck6122evg</v>
          </cell>
          <cell r="G1621" t="str">
            <v>Zhong Thong</v>
          </cell>
          <cell r="H1621" t="str">
            <v>Lck6122evg</v>
          </cell>
          <cell r="I1621">
            <v>2026</v>
          </cell>
          <cell r="J1621" t="str">
            <v>B</v>
          </cell>
          <cell r="K1621" t="str">
            <v>Las Acacias</v>
          </cell>
          <cell r="N1621" t="str">
            <v>B</v>
          </cell>
        </row>
        <row r="1622">
          <cell r="B1622" t="str">
            <v>VLSV-15</v>
          </cell>
          <cell r="C1622" t="str">
            <v>LDYECS31XS0045744</v>
          </cell>
          <cell r="D1622" t="str">
            <v>MDN35025030099</v>
          </cell>
          <cell r="E1622" t="str">
            <v>Zhong Thong</v>
          </cell>
          <cell r="F1622" t="str">
            <v>Lck6122evg</v>
          </cell>
          <cell r="G1622" t="str">
            <v>Zhong Thong</v>
          </cell>
          <cell r="H1622" t="str">
            <v>Lck6122evg</v>
          </cell>
          <cell r="I1622">
            <v>2026</v>
          </cell>
          <cell r="J1622" t="str">
            <v>B</v>
          </cell>
          <cell r="K1622" t="str">
            <v>Las Acacias</v>
          </cell>
          <cell r="N1622" t="str">
            <v>B</v>
          </cell>
        </row>
        <row r="1623">
          <cell r="B1623" t="str">
            <v>VLSV-32</v>
          </cell>
          <cell r="C1623" t="str">
            <v>LDYECS311S0045843</v>
          </cell>
          <cell r="D1623" t="str">
            <v>MDN35025030281</v>
          </cell>
          <cell r="E1623" t="str">
            <v>Zhong Thong</v>
          </cell>
          <cell r="F1623" t="str">
            <v>Lck6122evg</v>
          </cell>
          <cell r="G1623" t="str">
            <v>Zhong Thong</v>
          </cell>
          <cell r="H1623" t="str">
            <v>Lck6122evg</v>
          </cell>
          <cell r="I1623">
            <v>2026</v>
          </cell>
          <cell r="J1623" t="str">
            <v>B</v>
          </cell>
          <cell r="K1623" t="str">
            <v>Las Acacias</v>
          </cell>
          <cell r="N1623" t="str">
            <v>B</v>
          </cell>
        </row>
        <row r="1624">
          <cell r="B1624" t="str">
            <v>VLSW-32</v>
          </cell>
          <cell r="C1624" t="str">
            <v>LDYECS31XS0045887</v>
          </cell>
          <cell r="D1624" t="str">
            <v>MDN35025010014</v>
          </cell>
          <cell r="E1624" t="str">
            <v>Zhong Thong</v>
          </cell>
          <cell r="F1624" t="str">
            <v>Lck6122evg</v>
          </cell>
          <cell r="G1624" t="str">
            <v>Zhong Thong</v>
          </cell>
          <cell r="H1624" t="str">
            <v>Lck6122evg</v>
          </cell>
          <cell r="I1624">
            <v>2026</v>
          </cell>
          <cell r="J1624" t="str">
            <v>B</v>
          </cell>
          <cell r="K1624" t="str">
            <v>Las Acacias</v>
          </cell>
          <cell r="N1624" t="str">
            <v>B</v>
          </cell>
        </row>
        <row r="1625">
          <cell r="B1625" t="str">
            <v>VLSY-93</v>
          </cell>
          <cell r="C1625" t="str">
            <v>LDYECS314S0045755</v>
          </cell>
          <cell r="D1625" t="str">
            <v>MDN35025030243</v>
          </cell>
          <cell r="E1625" t="str">
            <v>Zhong Thong</v>
          </cell>
          <cell r="F1625" t="str">
            <v>Lck6122evg</v>
          </cell>
          <cell r="G1625" t="str">
            <v>Zhong Thong</v>
          </cell>
          <cell r="H1625" t="str">
            <v>Lck6122evg</v>
          </cell>
          <cell r="I1625">
            <v>2026</v>
          </cell>
          <cell r="J1625" t="str">
            <v>B</v>
          </cell>
          <cell r="K1625" t="str">
            <v>Las Acacias</v>
          </cell>
          <cell r="N1625" t="str">
            <v>B</v>
          </cell>
        </row>
        <row r="1626">
          <cell r="B1626" t="str">
            <v>VLSY-95</v>
          </cell>
          <cell r="C1626" t="str">
            <v>LDYECS319S0045847</v>
          </cell>
          <cell r="D1626" t="str">
            <v>MDN35025030242</v>
          </cell>
          <cell r="E1626" t="str">
            <v>Zhong Thong</v>
          </cell>
          <cell r="F1626" t="str">
            <v>Lck6122evg</v>
          </cell>
          <cell r="G1626" t="str">
            <v>Zhong Thong</v>
          </cell>
          <cell r="H1626" t="str">
            <v>Lck6122evg</v>
          </cell>
          <cell r="I1626">
            <v>2026</v>
          </cell>
          <cell r="J1626" t="str">
            <v>B</v>
          </cell>
          <cell r="K1626" t="str">
            <v>Las Acacias</v>
          </cell>
          <cell r="N1626" t="str">
            <v>B</v>
          </cell>
        </row>
        <row r="1627">
          <cell r="B1627" t="str">
            <v>VLSY-96</v>
          </cell>
          <cell r="C1627" t="str">
            <v>LDYECS316S0045854</v>
          </cell>
          <cell r="D1627" t="str">
            <v>MDN35025030125</v>
          </cell>
          <cell r="E1627" t="str">
            <v>Zhong Thong</v>
          </cell>
          <cell r="F1627" t="str">
            <v>Lck6122evg</v>
          </cell>
          <cell r="G1627" t="str">
            <v>Zhong Thong</v>
          </cell>
          <cell r="H1627" t="str">
            <v>Lck6122evg</v>
          </cell>
          <cell r="I1627">
            <v>2026</v>
          </cell>
          <cell r="J1627" t="str">
            <v>B</v>
          </cell>
          <cell r="K1627" t="str">
            <v>Las Acacias</v>
          </cell>
          <cell r="N1627" t="str">
            <v>B</v>
          </cell>
        </row>
        <row r="1628">
          <cell r="B1628" t="str">
            <v>VLSY-97</v>
          </cell>
          <cell r="C1628" t="str">
            <v>LDYECS318S0045757</v>
          </cell>
          <cell r="D1628" t="str">
            <v>MDN35025030175</v>
          </cell>
          <cell r="E1628" t="str">
            <v>Zhong Thong</v>
          </cell>
          <cell r="F1628" t="str">
            <v>Lck6122evg</v>
          </cell>
          <cell r="G1628" t="str">
            <v>Zhong Thong</v>
          </cell>
          <cell r="H1628" t="str">
            <v>Lck6122evg</v>
          </cell>
          <cell r="I1628">
            <v>2026</v>
          </cell>
          <cell r="J1628" t="str">
            <v>B</v>
          </cell>
          <cell r="K1628" t="str">
            <v>Las Acacias</v>
          </cell>
          <cell r="N1628" t="str">
            <v>B</v>
          </cell>
        </row>
        <row r="1629">
          <cell r="B1629" t="str">
            <v>VLSY-98</v>
          </cell>
          <cell r="C1629" t="str">
            <v>LDYECS31XS0045856</v>
          </cell>
          <cell r="D1629" t="str">
            <v>MDN35025030127</v>
          </cell>
          <cell r="E1629" t="str">
            <v>Zhong Thong</v>
          </cell>
          <cell r="F1629" t="str">
            <v>Lck6122evg</v>
          </cell>
          <cell r="G1629" t="str">
            <v>Zhong Thong</v>
          </cell>
          <cell r="H1629" t="str">
            <v>Lck6122evg</v>
          </cell>
          <cell r="I1629">
            <v>2026</v>
          </cell>
          <cell r="J1629" t="str">
            <v>B</v>
          </cell>
          <cell r="K1629" t="str">
            <v>Las Acacias</v>
          </cell>
          <cell r="N1629" t="str">
            <v>B</v>
          </cell>
        </row>
        <row r="1630">
          <cell r="B1630" t="str">
            <v>VLSZ-15</v>
          </cell>
          <cell r="C1630" t="str">
            <v>LDYECS312S0045849</v>
          </cell>
          <cell r="D1630" t="str">
            <v>MDN35025030294</v>
          </cell>
          <cell r="E1630" t="str">
            <v>Zhong Thong</v>
          </cell>
          <cell r="F1630" t="str">
            <v>Lck6122evg</v>
          </cell>
          <cell r="G1630" t="str">
            <v>Zhong Thong</v>
          </cell>
          <cell r="H1630" t="str">
            <v>Lck6122evg</v>
          </cell>
          <cell r="I1630">
            <v>2026</v>
          </cell>
          <cell r="J1630" t="str">
            <v>B</v>
          </cell>
          <cell r="K1630" t="str">
            <v>Las Acacias</v>
          </cell>
          <cell r="N1630" t="str">
            <v>B</v>
          </cell>
        </row>
        <row r="1631">
          <cell r="B1631" t="str">
            <v>VLSZ-16</v>
          </cell>
          <cell r="C1631" t="str">
            <v>LDYECS312S0045754</v>
          </cell>
          <cell r="D1631" t="str">
            <v>MDN35025030177</v>
          </cell>
          <cell r="E1631" t="str">
            <v>Zhong Thong</v>
          </cell>
          <cell r="F1631" t="str">
            <v>Lck6122evg</v>
          </cell>
          <cell r="G1631" t="str">
            <v>Zhong Thong</v>
          </cell>
          <cell r="H1631" t="str">
            <v>Lck6122evg</v>
          </cell>
          <cell r="I1631">
            <v>2026</v>
          </cell>
          <cell r="J1631" t="str">
            <v>B</v>
          </cell>
          <cell r="K1631" t="str">
            <v>Las Acacias</v>
          </cell>
          <cell r="N1631" t="str">
            <v>B</v>
          </cell>
        </row>
        <row r="1632">
          <cell r="B1632" t="str">
            <v>VLSZ-23</v>
          </cell>
          <cell r="C1632" t="str">
            <v>LDYECS310S0045865</v>
          </cell>
          <cell r="D1632" t="str">
            <v>MDN35025030267</v>
          </cell>
          <cell r="E1632" t="str">
            <v>Zhong Thong</v>
          </cell>
          <cell r="F1632" t="str">
            <v>Lck6122evg</v>
          </cell>
          <cell r="G1632" t="str">
            <v>Zhong Thong</v>
          </cell>
          <cell r="H1632" t="str">
            <v>Lck6122evg</v>
          </cell>
          <cell r="I1632">
            <v>2026</v>
          </cell>
          <cell r="J1632" t="str">
            <v>B</v>
          </cell>
          <cell r="K1632" t="str">
            <v>Las Acacias</v>
          </cell>
          <cell r="N1632" t="str">
            <v>B</v>
          </cell>
        </row>
        <row r="1633">
          <cell r="B1633" t="str">
            <v>FLXZ-95</v>
          </cell>
          <cell r="C1633" t="str">
            <v>LC9LC30F5JALA6109</v>
          </cell>
          <cell r="D1633" t="str">
            <v>G174J60001</v>
          </cell>
          <cell r="E1633" t="str">
            <v>KING LONG</v>
          </cell>
          <cell r="F1633" t="str">
            <v>XMQ 6127</v>
          </cell>
          <cell r="G1633" t="str">
            <v>KING LONG</v>
          </cell>
          <cell r="H1633" t="str">
            <v>XMQ 6127G E TECH</v>
          </cell>
          <cell r="I1633">
            <v>2019</v>
          </cell>
          <cell r="J1633" t="str">
            <v>B</v>
          </cell>
          <cell r="K1633" t="str">
            <v>Recoleta</v>
          </cell>
          <cell r="N1633" t="str">
            <v>B</v>
          </cell>
        </row>
        <row r="1634">
          <cell r="B1634" t="str">
            <v>GCBC-24</v>
          </cell>
          <cell r="C1634" t="str">
            <v>YV3T7U52XKA195288</v>
          </cell>
          <cell r="D1634">
            <v>482342</v>
          </cell>
          <cell r="E1634" t="str">
            <v>VOLVO</v>
          </cell>
          <cell r="F1634" t="str">
            <v>B8R</v>
          </cell>
          <cell r="G1634" t="str">
            <v>MARCOPOLO</v>
          </cell>
          <cell r="H1634" t="str">
            <v>TORINO</v>
          </cell>
          <cell r="I1634">
            <v>2019</v>
          </cell>
          <cell r="J1634" t="str">
            <v>BPAL</v>
          </cell>
          <cell r="K1634" t="str">
            <v>Santa Rosa</v>
          </cell>
          <cell r="N1634" t="str">
            <v>B</v>
          </cell>
        </row>
        <row r="1635">
          <cell r="B1635" t="str">
            <v>GCBC-25</v>
          </cell>
          <cell r="C1635" t="str">
            <v>YV3T7U520KA195591</v>
          </cell>
          <cell r="D1635">
            <v>483878</v>
          </cell>
          <cell r="E1635" t="str">
            <v>VOLVO</v>
          </cell>
          <cell r="F1635" t="str">
            <v>B8R</v>
          </cell>
          <cell r="G1635" t="str">
            <v>MARCOPOLO</v>
          </cell>
          <cell r="H1635" t="str">
            <v>TORINO</v>
          </cell>
          <cell r="I1635">
            <v>2019</v>
          </cell>
          <cell r="J1635" t="str">
            <v>BPAL</v>
          </cell>
          <cell r="K1635" t="str">
            <v>Recoleta</v>
          </cell>
          <cell r="N1635" t="str">
            <v>B</v>
          </cell>
        </row>
        <row r="1636">
          <cell r="B1636" t="str">
            <v>GCBC-26</v>
          </cell>
          <cell r="C1636" t="str">
            <v>YV3T7U529KA195640</v>
          </cell>
          <cell r="D1636">
            <v>479849</v>
          </cell>
          <cell r="E1636" t="str">
            <v>VOLVO</v>
          </cell>
          <cell r="F1636" t="str">
            <v>B8R</v>
          </cell>
          <cell r="G1636" t="str">
            <v>MARCOPOLO</v>
          </cell>
          <cell r="H1636" t="str">
            <v>TORINO</v>
          </cell>
          <cell r="I1636">
            <v>2019</v>
          </cell>
          <cell r="J1636" t="str">
            <v>BPAL</v>
          </cell>
          <cell r="K1636" t="str">
            <v>Recoleta</v>
          </cell>
          <cell r="N1636" t="str">
            <v>B</v>
          </cell>
        </row>
        <row r="1637">
          <cell r="B1637" t="str">
            <v>GCBC-27</v>
          </cell>
          <cell r="C1637" t="str">
            <v>YV3T7U526KA195689</v>
          </cell>
          <cell r="D1637">
            <v>484541</v>
          </cell>
          <cell r="E1637" t="str">
            <v>VOLVO</v>
          </cell>
          <cell r="F1637" t="str">
            <v>B8R</v>
          </cell>
          <cell r="G1637" t="str">
            <v>MARCOPOLO</v>
          </cell>
          <cell r="H1637" t="str">
            <v>TORINO</v>
          </cell>
          <cell r="I1637">
            <v>2019</v>
          </cell>
          <cell r="J1637" t="str">
            <v>BPAL</v>
          </cell>
          <cell r="K1637" t="str">
            <v>Recoleta</v>
          </cell>
          <cell r="N1637" t="str">
            <v>B</v>
          </cell>
        </row>
        <row r="1638">
          <cell r="B1638" t="str">
            <v>GCBC-28</v>
          </cell>
          <cell r="C1638" t="str">
            <v>YV3T7U528KA195189</v>
          </cell>
          <cell r="D1638">
            <v>481662</v>
          </cell>
          <cell r="E1638" t="str">
            <v>VOLVO</v>
          </cell>
          <cell r="F1638" t="str">
            <v>B8R</v>
          </cell>
          <cell r="G1638" t="str">
            <v>MARCOPOLO</v>
          </cell>
          <cell r="H1638" t="str">
            <v>TORINO</v>
          </cell>
          <cell r="I1638">
            <v>2019</v>
          </cell>
          <cell r="J1638" t="str">
            <v>BPAL</v>
          </cell>
          <cell r="K1638" t="str">
            <v>Santa Rosa</v>
          </cell>
          <cell r="N1638" t="str">
            <v>B</v>
          </cell>
        </row>
        <row r="1639">
          <cell r="B1639" t="str">
            <v>GCBC-29</v>
          </cell>
          <cell r="C1639" t="str">
            <v>YV3T7U527KA195149</v>
          </cell>
          <cell r="D1639">
            <v>478253</v>
          </cell>
          <cell r="E1639" t="str">
            <v>VOLVO</v>
          </cell>
          <cell r="F1639" t="str">
            <v>B8R</v>
          </cell>
          <cell r="G1639" t="str">
            <v>MARCOPOLO</v>
          </cell>
          <cell r="H1639" t="str">
            <v>TORINO</v>
          </cell>
          <cell r="I1639">
            <v>2019</v>
          </cell>
          <cell r="J1639" t="str">
            <v>BPAL</v>
          </cell>
          <cell r="K1639" t="str">
            <v>Santa Rosa</v>
          </cell>
          <cell r="N1639" t="str">
            <v>B</v>
          </cell>
        </row>
        <row r="1640">
          <cell r="B1640" t="str">
            <v>GCBC-30</v>
          </cell>
          <cell r="C1640" t="str">
            <v>YV3T7U528KA195354</v>
          </cell>
          <cell r="D1640">
            <v>482584</v>
          </cell>
          <cell r="E1640" t="str">
            <v>VOLVO</v>
          </cell>
          <cell r="F1640" t="str">
            <v>B8R</v>
          </cell>
          <cell r="G1640" t="str">
            <v>MARCOPOLO</v>
          </cell>
          <cell r="H1640" t="str">
            <v>TORINO</v>
          </cell>
          <cell r="I1640">
            <v>2019</v>
          </cell>
          <cell r="J1640" t="str">
            <v>BPAL</v>
          </cell>
          <cell r="K1640" t="str">
            <v>Santa Rosa</v>
          </cell>
          <cell r="N1640" t="str">
            <v>B</v>
          </cell>
        </row>
        <row r="1641">
          <cell r="B1641" t="str">
            <v>GCBC-31</v>
          </cell>
          <cell r="C1641" t="str">
            <v>YV3T7U525KA195358</v>
          </cell>
          <cell r="D1641">
            <v>482487</v>
          </cell>
          <cell r="E1641" t="str">
            <v>VOLVO</v>
          </cell>
          <cell r="F1641" t="str">
            <v>B8R</v>
          </cell>
          <cell r="G1641" t="str">
            <v>MARCOPOLO</v>
          </cell>
          <cell r="H1641" t="str">
            <v>TORINO</v>
          </cell>
          <cell r="I1641">
            <v>2019</v>
          </cell>
          <cell r="J1641" t="str">
            <v>BPAL</v>
          </cell>
          <cell r="K1641" t="str">
            <v>Santa Rosa</v>
          </cell>
          <cell r="N1641" t="str">
            <v>B</v>
          </cell>
        </row>
        <row r="1642">
          <cell r="B1642" t="str">
            <v>GCBC-33</v>
          </cell>
          <cell r="C1642" t="str">
            <v>YV3T7U529KA195573</v>
          </cell>
          <cell r="D1642">
            <v>483422</v>
          </cell>
          <cell r="E1642" t="str">
            <v>VOLVO</v>
          </cell>
          <cell r="F1642" t="str">
            <v>B8R</v>
          </cell>
          <cell r="G1642" t="str">
            <v>MARCOPOLO</v>
          </cell>
          <cell r="H1642" t="str">
            <v>TORINO</v>
          </cell>
          <cell r="I1642">
            <v>2019</v>
          </cell>
          <cell r="J1642" t="str">
            <v>BPAL</v>
          </cell>
          <cell r="K1642" t="str">
            <v>Recoleta</v>
          </cell>
          <cell r="N1642" t="str">
            <v>B</v>
          </cell>
        </row>
        <row r="1643">
          <cell r="B1643" t="str">
            <v>GCBC-34</v>
          </cell>
          <cell r="C1643" t="str">
            <v>YV3T7U526KA195711</v>
          </cell>
          <cell r="D1643">
            <v>484639</v>
          </cell>
          <cell r="E1643" t="str">
            <v>VOLVO</v>
          </cell>
          <cell r="F1643" t="str">
            <v>B8R</v>
          </cell>
          <cell r="G1643" t="str">
            <v>MARCOPOLO</v>
          </cell>
          <cell r="H1643" t="str">
            <v>TORINO</v>
          </cell>
          <cell r="I1643">
            <v>2019</v>
          </cell>
          <cell r="J1643" t="str">
            <v>BPAL</v>
          </cell>
          <cell r="K1643" t="str">
            <v>Recoleta</v>
          </cell>
          <cell r="N1643" t="str">
            <v>B</v>
          </cell>
        </row>
        <row r="1644">
          <cell r="B1644" t="str">
            <v>GCBC-35</v>
          </cell>
          <cell r="C1644" t="str">
            <v>YV3T7U522KA195687</v>
          </cell>
          <cell r="D1644">
            <v>484547</v>
          </cell>
          <cell r="E1644" t="str">
            <v>VOLVO</v>
          </cell>
          <cell r="F1644" t="str">
            <v>B8R</v>
          </cell>
          <cell r="G1644" t="str">
            <v>MARCOPOLO</v>
          </cell>
          <cell r="H1644" t="str">
            <v>TORINO</v>
          </cell>
          <cell r="I1644">
            <v>2019</v>
          </cell>
          <cell r="J1644" t="str">
            <v>BPAL</v>
          </cell>
          <cell r="K1644" t="str">
            <v>Recoleta</v>
          </cell>
          <cell r="N1644" t="str">
            <v>B</v>
          </cell>
        </row>
        <row r="1645">
          <cell r="B1645" t="str">
            <v>GCBF-43</v>
          </cell>
          <cell r="C1645" t="str">
            <v>YV3T7U520LA200970</v>
          </cell>
          <cell r="D1645">
            <v>506294</v>
          </cell>
          <cell r="E1645" t="str">
            <v>VOLVO</v>
          </cell>
          <cell r="F1645" t="str">
            <v>B8RLEA</v>
          </cell>
          <cell r="G1645" t="str">
            <v>MARCOPOLO</v>
          </cell>
          <cell r="H1645" t="str">
            <v>GRAN VIALE</v>
          </cell>
          <cell r="I1645">
            <v>2020</v>
          </cell>
          <cell r="J1645" t="str">
            <v>C</v>
          </cell>
          <cell r="K1645" t="str">
            <v>Recoleta</v>
          </cell>
          <cell r="N1645" t="str">
            <v>C</v>
          </cell>
        </row>
        <row r="1646">
          <cell r="B1646" t="str">
            <v>GCBF-44</v>
          </cell>
          <cell r="C1646" t="str">
            <v>YV3T7U524LA200874</v>
          </cell>
          <cell r="D1646">
            <v>505924</v>
          </cell>
          <cell r="E1646" t="str">
            <v>VOLVO</v>
          </cell>
          <cell r="F1646" t="str">
            <v>B8RLEA</v>
          </cell>
          <cell r="G1646" t="str">
            <v>MARCOPOLO</v>
          </cell>
          <cell r="H1646" t="str">
            <v>GRAN VIALE</v>
          </cell>
          <cell r="I1646">
            <v>2020</v>
          </cell>
          <cell r="J1646" t="str">
            <v>C</v>
          </cell>
          <cell r="K1646" t="str">
            <v>Recoleta</v>
          </cell>
          <cell r="N1646" t="str">
            <v>C</v>
          </cell>
        </row>
        <row r="1647">
          <cell r="B1647" t="str">
            <v>GCBF-45</v>
          </cell>
          <cell r="C1647" t="str">
            <v>YV3T7U526LA200875</v>
          </cell>
          <cell r="D1647">
            <v>505881</v>
          </cell>
          <cell r="E1647" t="str">
            <v>VOLVO</v>
          </cell>
          <cell r="F1647" t="str">
            <v>B8RLEA</v>
          </cell>
          <cell r="G1647" t="str">
            <v>MARCOPOLO</v>
          </cell>
          <cell r="H1647" t="str">
            <v>GRAN VIALE</v>
          </cell>
          <cell r="I1647">
            <v>2020</v>
          </cell>
          <cell r="J1647" t="str">
            <v>C</v>
          </cell>
          <cell r="K1647" t="str">
            <v>Lo Blanco</v>
          </cell>
          <cell r="N1647" t="str">
            <v>C</v>
          </cell>
        </row>
        <row r="1648">
          <cell r="B1648" t="str">
            <v>GCBF-46</v>
          </cell>
          <cell r="C1648" t="str">
            <v>YV3T7U528LA200876</v>
          </cell>
          <cell r="D1648">
            <v>505895</v>
          </cell>
          <cell r="E1648" t="str">
            <v>VOLVO</v>
          </cell>
          <cell r="F1648" t="str">
            <v>B8RLEA</v>
          </cell>
          <cell r="G1648" t="str">
            <v>MARCOPOLO</v>
          </cell>
          <cell r="H1648" t="str">
            <v>GRAN VIALE</v>
          </cell>
          <cell r="I1648">
            <v>2020</v>
          </cell>
          <cell r="J1648" t="str">
            <v>C</v>
          </cell>
          <cell r="K1648" t="str">
            <v>Recoleta</v>
          </cell>
          <cell r="N1648" t="str">
            <v>C</v>
          </cell>
        </row>
        <row r="1649">
          <cell r="B1649" t="str">
            <v>GCBF-47</v>
          </cell>
          <cell r="C1649" t="str">
            <v>YV3T7U520LA200886</v>
          </cell>
          <cell r="D1649">
            <v>506176</v>
          </cell>
          <cell r="E1649" t="str">
            <v>VOLVO</v>
          </cell>
          <cell r="F1649" t="str">
            <v>B8RLEA</v>
          </cell>
          <cell r="G1649" t="str">
            <v>MARCOPOLO</v>
          </cell>
          <cell r="H1649" t="str">
            <v>GRAN VIALE</v>
          </cell>
          <cell r="I1649">
            <v>2020</v>
          </cell>
          <cell r="J1649" t="str">
            <v>C</v>
          </cell>
          <cell r="K1649" t="str">
            <v>Recoleta</v>
          </cell>
          <cell r="N1649" t="str">
            <v>C</v>
          </cell>
        </row>
        <row r="1650">
          <cell r="B1650" t="str">
            <v>GCBF-48</v>
          </cell>
          <cell r="C1650" t="str">
            <v>YV3T7U522LA200887</v>
          </cell>
          <cell r="D1650">
            <v>506197</v>
          </cell>
          <cell r="E1650" t="str">
            <v>VOLVO</v>
          </cell>
          <cell r="F1650" t="str">
            <v>B8RLEA</v>
          </cell>
          <cell r="G1650" t="str">
            <v>MARCOPOLO</v>
          </cell>
          <cell r="H1650" t="str">
            <v>GRAN VIALE</v>
          </cell>
          <cell r="I1650">
            <v>2020</v>
          </cell>
          <cell r="J1650" t="str">
            <v>C</v>
          </cell>
          <cell r="K1650" t="str">
            <v>Recoleta</v>
          </cell>
          <cell r="N1650" t="str">
            <v>C</v>
          </cell>
        </row>
        <row r="1651">
          <cell r="B1651" t="str">
            <v>GCBF-49</v>
          </cell>
          <cell r="C1651" t="str">
            <v>YV3T7U526LA200925</v>
          </cell>
          <cell r="D1651">
            <v>506187</v>
          </cell>
          <cell r="E1651" t="str">
            <v>VOLVO</v>
          </cell>
          <cell r="F1651" t="str">
            <v>B8RLEA</v>
          </cell>
          <cell r="G1651" t="str">
            <v>MARCOPOLO</v>
          </cell>
          <cell r="H1651" t="str">
            <v>GRAN VIALE</v>
          </cell>
          <cell r="I1651">
            <v>2020</v>
          </cell>
          <cell r="J1651" t="str">
            <v>C</v>
          </cell>
          <cell r="K1651" t="str">
            <v>Recoleta</v>
          </cell>
          <cell r="N1651" t="str">
            <v>C</v>
          </cell>
        </row>
        <row r="1652">
          <cell r="B1652" t="str">
            <v>GCBF-50</v>
          </cell>
          <cell r="C1652" t="str">
            <v>YV3T7U527LA200934</v>
          </cell>
          <cell r="D1652">
            <v>506345</v>
          </cell>
          <cell r="E1652" t="str">
            <v>VOLVO</v>
          </cell>
          <cell r="F1652" t="str">
            <v>B8RLEA</v>
          </cell>
          <cell r="G1652" t="str">
            <v>MARCOPOLO</v>
          </cell>
          <cell r="H1652" t="str">
            <v>GRAN VIALE</v>
          </cell>
          <cell r="I1652">
            <v>2020</v>
          </cell>
          <cell r="J1652" t="str">
            <v>C</v>
          </cell>
          <cell r="K1652" t="str">
            <v>Recoleta</v>
          </cell>
          <cell r="N1652" t="str">
            <v>C</v>
          </cell>
        </row>
        <row r="1653">
          <cell r="B1653" t="str">
            <v>GCBF-51</v>
          </cell>
          <cell r="C1653" t="str">
            <v>YV3T7U529LA200935</v>
          </cell>
          <cell r="D1653">
            <v>506403</v>
          </cell>
          <cell r="E1653" t="str">
            <v>VOLVO</v>
          </cell>
          <cell r="F1653" t="str">
            <v>B8RLEA</v>
          </cell>
          <cell r="G1653" t="str">
            <v>MARCOPOLO</v>
          </cell>
          <cell r="H1653" t="str">
            <v>GRAN VIALE</v>
          </cell>
          <cell r="I1653">
            <v>2020</v>
          </cell>
          <cell r="J1653" t="str">
            <v>C</v>
          </cell>
          <cell r="K1653" t="str">
            <v>Recoleta</v>
          </cell>
          <cell r="N1653" t="str">
            <v>C</v>
          </cell>
        </row>
        <row r="1654">
          <cell r="B1654" t="str">
            <v>GCBF-52</v>
          </cell>
          <cell r="C1654" t="str">
            <v>YV3T7U520LA200936</v>
          </cell>
          <cell r="D1654">
            <v>506358</v>
          </cell>
          <cell r="E1654" t="str">
            <v>VOLVO</v>
          </cell>
          <cell r="F1654" t="str">
            <v>B8RLEA</v>
          </cell>
          <cell r="G1654" t="str">
            <v>MARCOPOLO</v>
          </cell>
          <cell r="H1654" t="str">
            <v>GRAN VIALE</v>
          </cell>
          <cell r="I1654">
            <v>2020</v>
          </cell>
          <cell r="J1654" t="str">
            <v>C</v>
          </cell>
          <cell r="K1654" t="str">
            <v>Recoleta</v>
          </cell>
          <cell r="N1654" t="str">
            <v>C</v>
          </cell>
        </row>
        <row r="1655">
          <cell r="B1655" t="str">
            <v>GCBF-53</v>
          </cell>
          <cell r="C1655" t="str">
            <v>YV3T7U524LA200969</v>
          </cell>
          <cell r="D1655">
            <v>506311</v>
          </cell>
          <cell r="E1655" t="str">
            <v>VOLVO</v>
          </cell>
          <cell r="F1655" t="str">
            <v>B8RLEA</v>
          </cell>
          <cell r="G1655" t="str">
            <v>MARCOPOLO</v>
          </cell>
          <cell r="H1655" t="str">
            <v>GRAN VIALE</v>
          </cell>
          <cell r="I1655">
            <v>2020</v>
          </cell>
          <cell r="J1655" t="str">
            <v>C</v>
          </cell>
          <cell r="K1655" t="str">
            <v>Recoleta</v>
          </cell>
          <cell r="N1655" t="str">
            <v>C</v>
          </cell>
        </row>
        <row r="1656">
          <cell r="B1656" t="str">
            <v>LXWT-82</v>
          </cell>
          <cell r="C1656" t="str">
            <v>YV3T7U524LA200924</v>
          </cell>
          <cell r="D1656">
            <v>506179</v>
          </cell>
          <cell r="E1656" t="str">
            <v>VOLVO</v>
          </cell>
          <cell r="F1656" t="str">
            <v>B8RLEA</v>
          </cell>
          <cell r="G1656" t="str">
            <v>MARCOPOLO</v>
          </cell>
          <cell r="H1656" t="str">
            <v>GRAN VIALE</v>
          </cell>
          <cell r="I1656">
            <v>2020</v>
          </cell>
          <cell r="J1656" t="str">
            <v>C</v>
          </cell>
          <cell r="K1656" t="str">
            <v>Recoleta</v>
          </cell>
          <cell r="N1656" t="str">
            <v>C</v>
          </cell>
        </row>
        <row r="1657">
          <cell r="B1657" t="str">
            <v>LXWT-83</v>
          </cell>
          <cell r="C1657" t="str">
            <v>YV3T7U522LA200873</v>
          </cell>
          <cell r="D1657">
            <v>505882</v>
          </cell>
          <cell r="E1657" t="str">
            <v>VOLVO</v>
          </cell>
          <cell r="F1657" t="str">
            <v>B8RLEA</v>
          </cell>
          <cell r="G1657" t="str">
            <v>MARCOPOLO</v>
          </cell>
          <cell r="H1657" t="str">
            <v>GRAN VIALE</v>
          </cell>
          <cell r="I1657">
            <v>2020</v>
          </cell>
          <cell r="J1657" t="str">
            <v>C</v>
          </cell>
          <cell r="K1657" t="str">
            <v>Recoleta</v>
          </cell>
          <cell r="N1657" t="str">
            <v>C</v>
          </cell>
        </row>
        <row r="1658">
          <cell r="B1658" t="str">
            <v>LXWT-84</v>
          </cell>
          <cell r="C1658" t="str">
            <v>YV3T7U520LA198721</v>
          </cell>
          <cell r="D1658">
            <v>500916</v>
          </cell>
          <cell r="E1658" t="str">
            <v>VOLVO</v>
          </cell>
          <cell r="F1658" t="str">
            <v>B8RLEA</v>
          </cell>
          <cell r="G1658" t="str">
            <v>MARCOPOLO</v>
          </cell>
          <cell r="H1658" t="str">
            <v>GRAN VIALE</v>
          </cell>
          <cell r="I1658">
            <v>2020</v>
          </cell>
          <cell r="J1658" t="str">
            <v>C</v>
          </cell>
          <cell r="K1658" t="str">
            <v>Lo Blanco</v>
          </cell>
          <cell r="N1658" t="str">
            <v>C</v>
          </cell>
        </row>
        <row r="1659">
          <cell r="B1659" t="str">
            <v>LXWT-85</v>
          </cell>
          <cell r="C1659" t="str">
            <v>YV3T7U52XLA200832</v>
          </cell>
          <cell r="D1659">
            <v>505962</v>
          </cell>
          <cell r="E1659" t="str">
            <v>VOLVO</v>
          </cell>
          <cell r="F1659" t="str">
            <v>B8RLEA</v>
          </cell>
          <cell r="G1659" t="str">
            <v>MARCOPOLO</v>
          </cell>
          <cell r="H1659" t="str">
            <v>GRAN VIALE</v>
          </cell>
          <cell r="I1659">
            <v>2020</v>
          </cell>
          <cell r="J1659" t="str">
            <v>C</v>
          </cell>
          <cell r="K1659" t="str">
            <v>Recoleta</v>
          </cell>
          <cell r="N1659" t="str">
            <v>C</v>
          </cell>
        </row>
        <row r="1660">
          <cell r="B1660" t="str">
            <v>LXWT-86</v>
          </cell>
          <cell r="C1660" t="str">
            <v>YV3T7U52XLA200863</v>
          </cell>
          <cell r="D1660">
            <v>505947</v>
          </cell>
          <cell r="E1660" t="str">
            <v>VOLVO</v>
          </cell>
          <cell r="F1660" t="str">
            <v>B8RLEA</v>
          </cell>
          <cell r="G1660" t="str">
            <v>MARCOPOLO</v>
          </cell>
          <cell r="H1660" t="str">
            <v>GRAN VIALE</v>
          </cell>
          <cell r="I1660">
            <v>2020</v>
          </cell>
          <cell r="J1660" t="str">
            <v>C</v>
          </cell>
          <cell r="K1660" t="str">
            <v>Recoleta</v>
          </cell>
          <cell r="N1660" t="str">
            <v>C</v>
          </cell>
        </row>
        <row r="1661">
          <cell r="B1661" t="str">
            <v>LXWT-87</v>
          </cell>
          <cell r="C1661" t="str">
            <v>YV3T7U528LA200831</v>
          </cell>
          <cell r="D1661">
            <v>505956</v>
          </cell>
          <cell r="E1661" t="str">
            <v>VOLVO</v>
          </cell>
          <cell r="F1661" t="str">
            <v>B8RLEA</v>
          </cell>
          <cell r="G1661" t="str">
            <v>MARCOPOLO</v>
          </cell>
          <cell r="H1661" t="str">
            <v>GRAN VIALE</v>
          </cell>
          <cell r="I1661">
            <v>2020</v>
          </cell>
          <cell r="J1661" t="str">
            <v>C</v>
          </cell>
          <cell r="K1661" t="str">
            <v>Recoleta</v>
          </cell>
          <cell r="N1661" t="str">
            <v>C</v>
          </cell>
        </row>
        <row r="1662">
          <cell r="B1662" t="str">
            <v>LXWT-88</v>
          </cell>
          <cell r="C1662" t="str">
            <v>YV3T7U528LA200862</v>
          </cell>
          <cell r="D1662">
            <v>505976</v>
          </cell>
          <cell r="E1662" t="str">
            <v>VOLVO</v>
          </cell>
          <cell r="F1662" t="str">
            <v>B8RLEA</v>
          </cell>
          <cell r="G1662" t="str">
            <v>MARCOPOLO</v>
          </cell>
          <cell r="H1662" t="str">
            <v>GRAN VIALE</v>
          </cell>
          <cell r="I1662">
            <v>2020</v>
          </cell>
          <cell r="J1662" t="str">
            <v>C</v>
          </cell>
          <cell r="K1662" t="str">
            <v>Recoleta</v>
          </cell>
          <cell r="N1662" t="str">
            <v>C</v>
          </cell>
        </row>
        <row r="1663">
          <cell r="B1663" t="str">
            <v>LXWT-89</v>
          </cell>
          <cell r="C1663" t="str">
            <v>YV3T7U521LA201271</v>
          </cell>
          <cell r="D1663">
            <v>507683</v>
          </cell>
          <cell r="E1663" t="str">
            <v>VOLVO</v>
          </cell>
          <cell r="F1663" t="str">
            <v>B8RLEA</v>
          </cell>
          <cell r="G1663" t="str">
            <v>MARCOPOLO</v>
          </cell>
          <cell r="H1663" t="str">
            <v>GRAN VIALE</v>
          </cell>
          <cell r="I1663">
            <v>2020</v>
          </cell>
          <cell r="J1663" t="str">
            <v>C</v>
          </cell>
          <cell r="K1663" t="str">
            <v>Lo Blanco</v>
          </cell>
          <cell r="N1663" t="str">
            <v>C</v>
          </cell>
        </row>
        <row r="1664">
          <cell r="B1664" t="str">
            <v>LXWT-90</v>
          </cell>
          <cell r="C1664" t="str">
            <v>YV3T7U525LA201208</v>
          </cell>
          <cell r="D1664">
            <v>507344</v>
          </cell>
          <cell r="E1664" t="str">
            <v>VOLVO</v>
          </cell>
          <cell r="F1664" t="str">
            <v>B8RLEA</v>
          </cell>
          <cell r="G1664" t="str">
            <v>MARCOPOLO</v>
          </cell>
          <cell r="H1664" t="str">
            <v>GRAN VIALE</v>
          </cell>
          <cell r="I1664">
            <v>2020</v>
          </cell>
          <cell r="J1664" t="str">
            <v>C</v>
          </cell>
          <cell r="K1664" t="str">
            <v>Lo Blanco</v>
          </cell>
          <cell r="N1664" t="str">
            <v>C</v>
          </cell>
        </row>
        <row r="1665">
          <cell r="B1665" t="str">
            <v>LXWT-91</v>
          </cell>
          <cell r="C1665" t="str">
            <v>YV3T7U524LA200888</v>
          </cell>
          <cell r="D1665">
            <v>506177</v>
          </cell>
          <cell r="E1665" t="str">
            <v>VOLVO</v>
          </cell>
          <cell r="F1665" t="str">
            <v>B8RLEA</v>
          </cell>
          <cell r="G1665" t="str">
            <v>MARCOPOLO</v>
          </cell>
          <cell r="H1665" t="str">
            <v>GRAN VIALE</v>
          </cell>
          <cell r="I1665">
            <v>2020</v>
          </cell>
          <cell r="J1665" t="str">
            <v>C</v>
          </cell>
          <cell r="K1665" t="str">
            <v>Recoleta</v>
          </cell>
          <cell r="N1665" t="str">
            <v>C</v>
          </cell>
        </row>
        <row r="1666">
          <cell r="B1666" t="str">
            <v>LXWT-92</v>
          </cell>
          <cell r="C1666" t="str">
            <v>YV3T7U522LA200923</v>
          </cell>
          <cell r="D1666">
            <v>506195</v>
          </cell>
          <cell r="E1666" t="str">
            <v>VOLVO</v>
          </cell>
          <cell r="F1666" t="str">
            <v>B8RLEA</v>
          </cell>
          <cell r="G1666" t="str">
            <v>MARCOPOLO</v>
          </cell>
          <cell r="H1666" t="str">
            <v>GRAN VIALE</v>
          </cell>
          <cell r="I1666">
            <v>2020</v>
          </cell>
          <cell r="J1666" t="str">
            <v>C</v>
          </cell>
          <cell r="K1666" t="str">
            <v>Lo Blanco</v>
          </cell>
          <cell r="N1666" t="str">
            <v>C</v>
          </cell>
        </row>
        <row r="1667">
          <cell r="B1667" t="str">
            <v>LXWT-93</v>
          </cell>
          <cell r="C1667" t="str">
            <v>YV3T7U525LA201211</v>
          </cell>
          <cell r="D1667">
            <v>507350</v>
          </cell>
          <cell r="E1667" t="str">
            <v>VOLVO</v>
          </cell>
          <cell r="F1667" t="str">
            <v>B8RLEA</v>
          </cell>
          <cell r="G1667" t="str">
            <v>MARCOPOLO</v>
          </cell>
          <cell r="H1667" t="str">
            <v>GRAN VIALE</v>
          </cell>
          <cell r="I1667">
            <v>2020</v>
          </cell>
          <cell r="J1667" t="str">
            <v>C</v>
          </cell>
          <cell r="K1667" t="str">
            <v>Lo Blanco</v>
          </cell>
          <cell r="N1667" t="str">
            <v>C</v>
          </cell>
        </row>
        <row r="1668">
          <cell r="B1668" t="str">
            <v>LXWT-94</v>
          </cell>
          <cell r="C1668" t="str">
            <v>YV3T7U52XLA201317</v>
          </cell>
          <cell r="D1668">
            <v>507672</v>
          </cell>
          <cell r="E1668" t="str">
            <v>VOLVO</v>
          </cell>
          <cell r="F1668" t="str">
            <v>B8RLEA</v>
          </cell>
          <cell r="G1668" t="str">
            <v>MARCOPOLO</v>
          </cell>
          <cell r="H1668" t="str">
            <v>GRAN VIALE</v>
          </cell>
          <cell r="I1668">
            <v>2020</v>
          </cell>
          <cell r="J1668" t="str">
            <v>C</v>
          </cell>
          <cell r="K1668" t="str">
            <v>Lo Blanco</v>
          </cell>
          <cell r="N1668" t="str">
            <v>C</v>
          </cell>
        </row>
        <row r="1669">
          <cell r="B1669" t="str">
            <v>LXWT-95</v>
          </cell>
          <cell r="C1669" t="str">
            <v>YV3T7U523LA201269</v>
          </cell>
          <cell r="D1669">
            <v>507437</v>
          </cell>
          <cell r="E1669" t="str">
            <v>VOLVO</v>
          </cell>
          <cell r="F1669" t="str">
            <v>B8RLEA</v>
          </cell>
          <cell r="G1669" t="str">
            <v>MARCOPOLO</v>
          </cell>
          <cell r="H1669" t="str">
            <v>GRAN VIALE</v>
          </cell>
          <cell r="I1669">
            <v>2020</v>
          </cell>
          <cell r="J1669" t="str">
            <v>C</v>
          </cell>
          <cell r="K1669" t="str">
            <v>Lo Blanco</v>
          </cell>
          <cell r="N1669" t="str">
            <v>C</v>
          </cell>
        </row>
        <row r="1670">
          <cell r="B1670" t="str">
            <v>LXWT-96</v>
          </cell>
          <cell r="C1670" t="str">
            <v>YV3T7U528LA201252</v>
          </cell>
          <cell r="D1670">
            <v>506904</v>
          </cell>
          <cell r="E1670" t="str">
            <v>VOLVO</v>
          </cell>
          <cell r="F1670" t="str">
            <v>B8RLEA</v>
          </cell>
          <cell r="G1670" t="str">
            <v>MARCOPOLO</v>
          </cell>
          <cell r="H1670" t="str">
            <v>GRAN VIALE</v>
          </cell>
          <cell r="I1670">
            <v>2020</v>
          </cell>
          <cell r="J1670" t="str">
            <v>C</v>
          </cell>
          <cell r="K1670" t="str">
            <v>Lo Blanco</v>
          </cell>
          <cell r="N1670" t="str">
            <v>C</v>
          </cell>
        </row>
        <row r="1671">
          <cell r="B1671" t="str">
            <v>LXWT-97</v>
          </cell>
          <cell r="C1671" t="str">
            <v>YV3T7U523LA201210</v>
          </cell>
          <cell r="D1671">
            <v>507372</v>
          </cell>
          <cell r="E1671" t="str">
            <v>VOLVO</v>
          </cell>
          <cell r="F1671" t="str">
            <v>B8RLEA</v>
          </cell>
          <cell r="G1671" t="str">
            <v>MARCOPOLO</v>
          </cell>
          <cell r="H1671" t="str">
            <v>GRAN VIALE</v>
          </cell>
          <cell r="I1671">
            <v>2020</v>
          </cell>
          <cell r="J1671" t="str">
            <v>C</v>
          </cell>
          <cell r="K1671" t="str">
            <v>Lo Blanco</v>
          </cell>
          <cell r="N1671" t="str">
            <v>C</v>
          </cell>
        </row>
        <row r="1672">
          <cell r="B1672" t="str">
            <v>LXWT-98</v>
          </cell>
          <cell r="C1672" t="str">
            <v>YV3T7U522LA201182</v>
          </cell>
          <cell r="D1672">
            <v>506843</v>
          </cell>
          <cell r="E1672" t="str">
            <v>VOLVO</v>
          </cell>
          <cell r="F1672" t="str">
            <v>B8RLEA</v>
          </cell>
          <cell r="G1672" t="str">
            <v>MARCOPOLO</v>
          </cell>
          <cell r="H1672" t="str">
            <v>GRAN VIALE</v>
          </cell>
          <cell r="I1672">
            <v>2020</v>
          </cell>
          <cell r="J1672" t="str">
            <v>C</v>
          </cell>
          <cell r="K1672" t="str">
            <v>Lo Blanco</v>
          </cell>
          <cell r="N1672" t="str">
            <v>C</v>
          </cell>
        </row>
        <row r="1673">
          <cell r="B1673" t="str">
            <v>LXWT-99</v>
          </cell>
          <cell r="C1673" t="str">
            <v>YV3T7U527LA201212</v>
          </cell>
          <cell r="D1673">
            <v>507397</v>
          </cell>
          <cell r="E1673" t="str">
            <v>VOLVO</v>
          </cell>
          <cell r="F1673" t="str">
            <v>B8RLEA</v>
          </cell>
          <cell r="G1673" t="str">
            <v>MARCOPOLO</v>
          </cell>
          <cell r="H1673" t="str">
            <v>GRAN VIALE</v>
          </cell>
          <cell r="I1673">
            <v>2020</v>
          </cell>
          <cell r="J1673" t="str">
            <v>C</v>
          </cell>
          <cell r="K1673" t="str">
            <v>Lo Blanco</v>
          </cell>
          <cell r="N1673" t="str">
            <v>C</v>
          </cell>
        </row>
        <row r="1674">
          <cell r="B1674" t="str">
            <v>LZPG-10</v>
          </cell>
          <cell r="C1674" t="str">
            <v>YV3T7U521LA201254</v>
          </cell>
          <cell r="D1674">
            <v>507451</v>
          </cell>
          <cell r="E1674" t="str">
            <v>VOLVO</v>
          </cell>
          <cell r="F1674" t="str">
            <v>B8RLEA</v>
          </cell>
          <cell r="G1674" t="str">
            <v>MARCOPOLO</v>
          </cell>
          <cell r="H1674" t="str">
            <v>GRAN VIALE</v>
          </cell>
          <cell r="I1674">
            <v>2020</v>
          </cell>
          <cell r="J1674" t="str">
            <v>C</v>
          </cell>
          <cell r="K1674" t="str">
            <v>Lo Blanco</v>
          </cell>
          <cell r="N1674" t="str">
            <v>C</v>
          </cell>
        </row>
        <row r="1675">
          <cell r="B1675" t="str">
            <v>LZPG-11</v>
          </cell>
          <cell r="C1675" t="str">
            <v>YV3T7U523LA201255</v>
          </cell>
          <cell r="D1675">
            <v>507423</v>
          </cell>
          <cell r="E1675" t="str">
            <v>VOLVO</v>
          </cell>
          <cell r="F1675" t="str">
            <v>B8RLEA</v>
          </cell>
          <cell r="G1675" t="str">
            <v>MARCOPOLO</v>
          </cell>
          <cell r="H1675" t="str">
            <v>GRAN VIALE</v>
          </cell>
          <cell r="I1675">
            <v>2020</v>
          </cell>
          <cell r="J1675" t="str">
            <v>C</v>
          </cell>
          <cell r="K1675" t="str">
            <v>Lo Blanco</v>
          </cell>
          <cell r="N1675" t="str">
            <v>C</v>
          </cell>
        </row>
        <row r="1676">
          <cell r="B1676" t="str">
            <v>LZPG-12</v>
          </cell>
          <cell r="C1676" t="str">
            <v>YV3T7U527LA201257</v>
          </cell>
          <cell r="D1676">
            <v>507427</v>
          </cell>
          <cell r="E1676" t="str">
            <v>VOLVO</v>
          </cell>
          <cell r="F1676" t="str">
            <v>B8RLEA</v>
          </cell>
          <cell r="G1676" t="str">
            <v>MARCOPOLO</v>
          </cell>
          <cell r="H1676" t="str">
            <v>GRAN VIALE</v>
          </cell>
          <cell r="I1676">
            <v>2020</v>
          </cell>
          <cell r="J1676" t="str">
            <v>C</v>
          </cell>
          <cell r="K1676" t="str">
            <v>Lo Blanco</v>
          </cell>
          <cell r="N1676" t="str">
            <v>C</v>
          </cell>
        </row>
        <row r="1677">
          <cell r="B1677" t="str">
            <v>LZPG-13</v>
          </cell>
          <cell r="C1677" t="str">
            <v>YV3T7U520LA198718</v>
          </cell>
          <cell r="D1677">
            <v>499868</v>
          </cell>
          <cell r="E1677" t="str">
            <v>VOLVO</v>
          </cell>
          <cell r="F1677" t="str">
            <v>B8RLEA</v>
          </cell>
          <cell r="G1677" t="str">
            <v>MARCOPOLO</v>
          </cell>
          <cell r="H1677" t="str">
            <v>GRAN VIALE</v>
          </cell>
          <cell r="I1677">
            <v>2020</v>
          </cell>
          <cell r="J1677" t="str">
            <v>C</v>
          </cell>
          <cell r="K1677" t="str">
            <v>Lo Blanco</v>
          </cell>
          <cell r="N1677" t="str">
            <v>C</v>
          </cell>
        </row>
        <row r="1678">
          <cell r="B1678" t="str">
            <v>LZPG-14</v>
          </cell>
          <cell r="C1678" t="str">
            <v>YV3T7U522LA198719</v>
          </cell>
          <cell r="D1678">
            <v>499801</v>
          </cell>
          <cell r="E1678" t="str">
            <v>VOLVO</v>
          </cell>
          <cell r="F1678" t="str">
            <v>B8RLEA</v>
          </cell>
          <cell r="G1678" t="str">
            <v>MARCOPOLO</v>
          </cell>
          <cell r="H1678" t="str">
            <v>GRAN VIALE</v>
          </cell>
          <cell r="I1678">
            <v>2020</v>
          </cell>
          <cell r="J1678" t="str">
            <v>C</v>
          </cell>
          <cell r="K1678" t="str">
            <v>Lo Blanco</v>
          </cell>
          <cell r="N1678" t="str">
            <v>C</v>
          </cell>
        </row>
        <row r="1679">
          <cell r="B1679" t="str">
            <v>LZPG-15</v>
          </cell>
          <cell r="C1679" t="str">
            <v>YV3T7U52XLA200989</v>
          </cell>
          <cell r="D1679">
            <v>506525</v>
          </cell>
          <cell r="E1679" t="str">
            <v>VOLVO</v>
          </cell>
          <cell r="F1679" t="str">
            <v>B8RLEA</v>
          </cell>
          <cell r="G1679" t="str">
            <v>MARCOPOLO</v>
          </cell>
          <cell r="H1679" t="str">
            <v>GRAN VIALE</v>
          </cell>
          <cell r="I1679">
            <v>2020</v>
          </cell>
          <cell r="J1679" t="str">
            <v>C</v>
          </cell>
          <cell r="K1679" t="str">
            <v>Recoleta</v>
          </cell>
          <cell r="N1679" t="str">
            <v>C</v>
          </cell>
        </row>
        <row r="1680">
          <cell r="B1680" t="str">
            <v>LZPG-16</v>
          </cell>
          <cell r="C1680" t="str">
            <v>YV3T7U529LA198717</v>
          </cell>
          <cell r="D1680">
            <v>501057</v>
          </cell>
          <cell r="E1680" t="str">
            <v>VOLVO</v>
          </cell>
          <cell r="F1680" t="str">
            <v>B8RLEA</v>
          </cell>
          <cell r="G1680" t="str">
            <v>MARCOPOLO</v>
          </cell>
          <cell r="H1680" t="str">
            <v>GRAN VIALE</v>
          </cell>
          <cell r="I1680">
            <v>2020</v>
          </cell>
          <cell r="J1680" t="str">
            <v>C</v>
          </cell>
          <cell r="K1680" t="str">
            <v>Recoleta</v>
          </cell>
          <cell r="N1680" t="str">
            <v>C</v>
          </cell>
        </row>
        <row r="1681">
          <cell r="B1681" t="str">
            <v>LZPG-17</v>
          </cell>
          <cell r="C1681" t="str">
            <v>YV3T7U529LA198720</v>
          </cell>
          <cell r="D1681">
            <v>500912</v>
          </cell>
          <cell r="E1681" t="str">
            <v>VOLVO</v>
          </cell>
          <cell r="F1681" t="str">
            <v>B8RLEA</v>
          </cell>
          <cell r="G1681" t="str">
            <v>MARCOPOLO</v>
          </cell>
          <cell r="H1681" t="str">
            <v>GRAN VIALE</v>
          </cell>
          <cell r="I1681">
            <v>2020</v>
          </cell>
          <cell r="J1681" t="str">
            <v>C</v>
          </cell>
          <cell r="K1681" t="str">
            <v>Lo Blanco</v>
          </cell>
          <cell r="N1681" t="str">
            <v>C</v>
          </cell>
        </row>
        <row r="1682">
          <cell r="B1682" t="str">
            <v>LZPG-18</v>
          </cell>
          <cell r="C1682" t="str">
            <v>YV3T7U525LA201256</v>
          </cell>
          <cell r="D1682">
            <v>507442</v>
          </cell>
          <cell r="E1682" t="str">
            <v>VOLVO</v>
          </cell>
          <cell r="F1682" t="str">
            <v>B8RLEA</v>
          </cell>
          <cell r="G1682" t="str">
            <v>MARCOPOLO</v>
          </cell>
          <cell r="H1682" t="str">
            <v>GRAN VIALE</v>
          </cell>
          <cell r="I1682">
            <v>2020</v>
          </cell>
          <cell r="J1682" t="str">
            <v>C</v>
          </cell>
          <cell r="K1682" t="str">
            <v>Lo Blanco</v>
          </cell>
          <cell r="N1682" t="str">
            <v>C</v>
          </cell>
        </row>
        <row r="1683">
          <cell r="B1683" t="str">
            <v>LZPG-19</v>
          </cell>
          <cell r="C1683" t="str">
            <v>YV3T7U528LA200988</v>
          </cell>
          <cell r="D1683">
            <v>506479</v>
          </cell>
          <cell r="E1683" t="str">
            <v>VOLVO</v>
          </cell>
          <cell r="F1683" t="str">
            <v>B8RLEA</v>
          </cell>
          <cell r="G1683" t="str">
            <v>MARCOPOLO</v>
          </cell>
          <cell r="H1683" t="str">
            <v>GRAN VIALE</v>
          </cell>
          <cell r="I1683">
            <v>2020</v>
          </cell>
          <cell r="J1683" t="str">
            <v>C</v>
          </cell>
          <cell r="K1683" t="str">
            <v>Lo Blanco</v>
          </cell>
          <cell r="N1683" t="str">
            <v>C</v>
          </cell>
        </row>
        <row r="1684">
          <cell r="B1684" t="str">
            <v>LZPG-20</v>
          </cell>
          <cell r="C1684" t="str">
            <v>YV3T7U525LA201032</v>
          </cell>
          <cell r="D1684">
            <v>506651</v>
          </cell>
          <cell r="E1684" t="str">
            <v>VOLVO</v>
          </cell>
          <cell r="F1684" t="str">
            <v>B8RLEA</v>
          </cell>
          <cell r="G1684" t="str">
            <v>MARCOPOLO</v>
          </cell>
          <cell r="H1684" t="str">
            <v>GRAN VIALE</v>
          </cell>
          <cell r="I1684">
            <v>2020</v>
          </cell>
          <cell r="J1684" t="str">
            <v>C</v>
          </cell>
          <cell r="K1684" t="str">
            <v>Lo Blanco</v>
          </cell>
          <cell r="N1684" t="str">
            <v>C</v>
          </cell>
        </row>
        <row r="1685">
          <cell r="B1685" t="str">
            <v>LZPG-21</v>
          </cell>
          <cell r="C1685" t="str">
            <v>YV3T7U528LA201266</v>
          </cell>
          <cell r="D1685">
            <v>507458</v>
          </cell>
          <cell r="E1685" t="str">
            <v>VOLVO</v>
          </cell>
          <cell r="F1685" t="str">
            <v>B8RLEA</v>
          </cell>
          <cell r="G1685" t="str">
            <v>MARCOPOLO</v>
          </cell>
          <cell r="H1685" t="str">
            <v>GRAN VIALE</v>
          </cell>
          <cell r="I1685">
            <v>2020</v>
          </cell>
          <cell r="J1685" t="str">
            <v>C</v>
          </cell>
          <cell r="K1685" t="str">
            <v>Lo Blanco</v>
          </cell>
          <cell r="N1685" t="str">
            <v>C</v>
          </cell>
        </row>
        <row r="1686">
          <cell r="B1686" t="str">
            <v>LZPG-22</v>
          </cell>
          <cell r="C1686" t="str">
            <v>YV3T7U523LA201272</v>
          </cell>
          <cell r="D1686">
            <v>507661</v>
          </cell>
          <cell r="E1686" t="str">
            <v>VOLVO</v>
          </cell>
          <cell r="F1686" t="str">
            <v>B8RLEA</v>
          </cell>
          <cell r="G1686" t="str">
            <v>MARCOPOLO</v>
          </cell>
          <cell r="H1686" t="str">
            <v>GRAN VIALE</v>
          </cell>
          <cell r="I1686">
            <v>2020</v>
          </cell>
          <cell r="J1686" t="str">
            <v>C</v>
          </cell>
          <cell r="K1686" t="str">
            <v>Lo Blanco</v>
          </cell>
          <cell r="N1686" t="str">
            <v>C</v>
          </cell>
        </row>
        <row r="1687">
          <cell r="B1687" t="str">
            <v>LZPG-23</v>
          </cell>
          <cell r="C1687" t="str">
            <v>YV3T7U526LA200990</v>
          </cell>
          <cell r="D1687">
            <v>506530</v>
          </cell>
          <cell r="E1687" t="str">
            <v>VOLVO</v>
          </cell>
          <cell r="F1687" t="str">
            <v>B8RLEA</v>
          </cell>
          <cell r="G1687" t="str">
            <v>MARCOPOLO</v>
          </cell>
          <cell r="H1687" t="str">
            <v>GRAN VIALE</v>
          </cell>
          <cell r="I1687">
            <v>2020</v>
          </cell>
          <cell r="J1687" t="str">
            <v>C</v>
          </cell>
          <cell r="K1687" t="str">
            <v>Recoleta</v>
          </cell>
          <cell r="N1687" t="str">
            <v>C</v>
          </cell>
        </row>
        <row r="1688">
          <cell r="B1688" t="str">
            <v>LZPG-24</v>
          </cell>
          <cell r="C1688" t="str">
            <v>YV3T7U528LA200991</v>
          </cell>
          <cell r="D1688">
            <v>506543</v>
          </cell>
          <cell r="E1688" t="str">
            <v>VOLVO</v>
          </cell>
          <cell r="F1688" t="str">
            <v>B8RLEA</v>
          </cell>
          <cell r="G1688" t="str">
            <v>MARCOPOLO</v>
          </cell>
          <cell r="H1688" t="str">
            <v>GRAN VIALE</v>
          </cell>
          <cell r="I1688">
            <v>2020</v>
          </cell>
          <cell r="J1688" t="str">
            <v>C</v>
          </cell>
          <cell r="K1688" t="str">
            <v>Lo Blanco</v>
          </cell>
          <cell r="N1688" t="str">
            <v>C</v>
          </cell>
        </row>
        <row r="1689">
          <cell r="B1689" t="str">
            <v>LZPG-25</v>
          </cell>
          <cell r="C1689" t="str">
            <v>YV3T7U52XLA201267</v>
          </cell>
          <cell r="D1689">
            <v>507419</v>
          </cell>
          <cell r="E1689" t="str">
            <v>VOLVO</v>
          </cell>
          <cell r="F1689" t="str">
            <v>B8RLEA</v>
          </cell>
          <cell r="G1689" t="str">
            <v>MARCOPOLO</v>
          </cell>
          <cell r="H1689" t="str">
            <v>GRAN VIALE</v>
          </cell>
          <cell r="I1689">
            <v>2020</v>
          </cell>
          <cell r="J1689" t="str">
            <v>C</v>
          </cell>
          <cell r="K1689" t="str">
            <v>Lo Blanco</v>
          </cell>
          <cell r="N1689" t="str">
            <v>C</v>
          </cell>
        </row>
        <row r="1690">
          <cell r="B1690" t="str">
            <v>LZPG-26</v>
          </cell>
          <cell r="C1690" t="str">
            <v>YV3T7U521LA201268</v>
          </cell>
          <cell r="D1690">
            <v>507446</v>
          </cell>
          <cell r="E1690" t="str">
            <v>VOLVO</v>
          </cell>
          <cell r="F1690" t="str">
            <v>B8RLEA</v>
          </cell>
          <cell r="G1690" t="str">
            <v>MARCOPOLO</v>
          </cell>
          <cell r="H1690" t="str">
            <v>GRAN VIALE</v>
          </cell>
          <cell r="I1690">
            <v>2020</v>
          </cell>
          <cell r="J1690" t="str">
            <v>C</v>
          </cell>
          <cell r="K1690" t="str">
            <v>Lo Blanco</v>
          </cell>
          <cell r="N1690" t="str">
            <v>C</v>
          </cell>
        </row>
        <row r="1691">
          <cell r="B1691" t="str">
            <v>LZPG-27</v>
          </cell>
          <cell r="C1691" t="str">
            <v>YV3T7U520LA200922</v>
          </cell>
          <cell r="D1691">
            <v>506223</v>
          </cell>
          <cell r="E1691" t="str">
            <v>VOLVO</v>
          </cell>
          <cell r="F1691" t="str">
            <v>B8RLEA</v>
          </cell>
          <cell r="G1691" t="str">
            <v>MARCOPOLO</v>
          </cell>
          <cell r="H1691" t="str">
            <v>GRAN VIALE</v>
          </cell>
          <cell r="I1691">
            <v>2020</v>
          </cell>
          <cell r="J1691" t="str">
            <v>C</v>
          </cell>
          <cell r="K1691" t="str">
            <v>Lo Blanco</v>
          </cell>
          <cell r="N1691" t="str">
            <v>C</v>
          </cell>
        </row>
        <row r="1692">
          <cell r="B1692" t="str">
            <v>LZPR-78</v>
          </cell>
          <cell r="C1692" t="str">
            <v>YV3T7U52XLA201253</v>
          </cell>
          <cell r="D1692">
            <v>507455</v>
          </cell>
          <cell r="E1692" t="str">
            <v>VOLVO</v>
          </cell>
          <cell r="F1692" t="str">
            <v>B8RLEA</v>
          </cell>
          <cell r="G1692" t="str">
            <v>MARCOPOLO</v>
          </cell>
          <cell r="H1692" t="str">
            <v>GRAN VIALE</v>
          </cell>
          <cell r="I1692">
            <v>2020</v>
          </cell>
          <cell r="J1692" t="str">
            <v>C</v>
          </cell>
          <cell r="K1692" t="str">
            <v>Recoleta</v>
          </cell>
          <cell r="N1692" t="str">
            <v>C</v>
          </cell>
        </row>
        <row r="1693">
          <cell r="B1693" t="str">
            <v>LZPR-79</v>
          </cell>
          <cell r="C1693" t="str">
            <v>YV3T7U521LA201044</v>
          </cell>
          <cell r="D1693">
            <v>506662</v>
          </cell>
          <cell r="E1693" t="str">
            <v>VOLVO</v>
          </cell>
          <cell r="F1693" t="str">
            <v>B8RLEA</v>
          </cell>
          <cell r="G1693" t="str">
            <v>MARCOPOLO</v>
          </cell>
          <cell r="H1693" t="str">
            <v>GRAN VIALE</v>
          </cell>
          <cell r="I1693">
            <v>2020</v>
          </cell>
          <cell r="J1693" t="str">
            <v>C</v>
          </cell>
          <cell r="K1693" t="str">
            <v>Recoleta</v>
          </cell>
          <cell r="N1693" t="str">
            <v>C</v>
          </cell>
        </row>
        <row r="1694">
          <cell r="B1694" t="str">
            <v>LZPR-80</v>
          </cell>
          <cell r="C1694" t="str">
            <v>YV3T7U528LA201171</v>
          </cell>
          <cell r="D1694">
            <v>507173</v>
          </cell>
          <cell r="E1694" t="str">
            <v>VOLVO</v>
          </cell>
          <cell r="F1694" t="str">
            <v>B8RLEA</v>
          </cell>
          <cell r="G1694" t="str">
            <v>MARCOPOLO</v>
          </cell>
          <cell r="H1694" t="str">
            <v>GRAN VIALE</v>
          </cell>
          <cell r="I1694">
            <v>2020</v>
          </cell>
          <cell r="J1694" t="str">
            <v>C</v>
          </cell>
          <cell r="K1694" t="str">
            <v>Recoleta</v>
          </cell>
          <cell r="N1694" t="str">
            <v>C</v>
          </cell>
        </row>
        <row r="1695">
          <cell r="B1695" t="str">
            <v>LZPR-81</v>
          </cell>
          <cell r="C1695" t="str">
            <v>YV3T7U526LA201167</v>
          </cell>
          <cell r="D1695">
            <v>507153</v>
          </cell>
          <cell r="E1695" t="str">
            <v>VOLVO</v>
          </cell>
          <cell r="F1695" t="str">
            <v>B8RLEA</v>
          </cell>
          <cell r="G1695" t="str">
            <v>MARCOPOLO</v>
          </cell>
          <cell r="H1695" t="str">
            <v>GRAN VIALE</v>
          </cell>
          <cell r="I1695">
            <v>2020</v>
          </cell>
          <cell r="J1695" t="str">
            <v>C</v>
          </cell>
          <cell r="K1695" t="str">
            <v>Recoleta</v>
          </cell>
          <cell r="N1695" t="str">
            <v>C</v>
          </cell>
        </row>
        <row r="1696">
          <cell r="B1696" t="str">
            <v>LZPR-82</v>
          </cell>
          <cell r="C1696" t="str">
            <v>YV3T7U528LA201168</v>
          </cell>
          <cell r="D1696">
            <v>507167</v>
          </cell>
          <cell r="E1696" t="str">
            <v>VOLVO</v>
          </cell>
          <cell r="F1696" t="str">
            <v>B8RLEA</v>
          </cell>
          <cell r="G1696" t="str">
            <v>MARCOPOLO</v>
          </cell>
          <cell r="H1696" t="str">
            <v>GRAN VIALE</v>
          </cell>
          <cell r="I1696">
            <v>2020</v>
          </cell>
          <cell r="J1696" t="str">
            <v>C</v>
          </cell>
          <cell r="K1696" t="str">
            <v>Recoleta</v>
          </cell>
          <cell r="N1696" t="str">
            <v>C</v>
          </cell>
        </row>
        <row r="1697">
          <cell r="B1697" t="str">
            <v>LZPR-83</v>
          </cell>
          <cell r="C1697" t="str">
            <v>YV3T7U525LA201144</v>
          </cell>
          <cell r="D1697">
            <v>507082</v>
          </cell>
          <cell r="E1697" t="str">
            <v>VOLVO</v>
          </cell>
          <cell r="F1697" t="str">
            <v>B8RLEA</v>
          </cell>
          <cell r="G1697" t="str">
            <v>MARCOPOLO</v>
          </cell>
          <cell r="H1697" t="str">
            <v>GRAN VIALE</v>
          </cell>
          <cell r="I1697">
            <v>2020</v>
          </cell>
          <cell r="J1697" t="str">
            <v>C</v>
          </cell>
          <cell r="K1697" t="str">
            <v>Recoleta</v>
          </cell>
          <cell r="N1697" t="str">
            <v>C</v>
          </cell>
        </row>
        <row r="1698">
          <cell r="B1698" t="str">
            <v>LZPR-84</v>
          </cell>
          <cell r="C1698" t="str">
            <v>YV3T7U520LA201035</v>
          </cell>
          <cell r="D1698">
            <v>506645</v>
          </cell>
          <cell r="E1698" t="str">
            <v>VOLVO</v>
          </cell>
          <cell r="F1698" t="str">
            <v>B8RLEA</v>
          </cell>
          <cell r="G1698" t="str">
            <v>MARCOPOLO</v>
          </cell>
          <cell r="H1698" t="str">
            <v>GRAN VIALE</v>
          </cell>
          <cell r="I1698">
            <v>2020</v>
          </cell>
          <cell r="J1698" t="str">
            <v>C</v>
          </cell>
          <cell r="K1698" t="str">
            <v>Recoleta</v>
          </cell>
          <cell r="N1698" t="str">
            <v>C</v>
          </cell>
        </row>
        <row r="1699">
          <cell r="B1699" t="str">
            <v>LZPR-85</v>
          </cell>
          <cell r="C1699" t="str">
            <v>YV3T7U527LA201209</v>
          </cell>
          <cell r="D1699">
            <v>507402</v>
          </cell>
          <cell r="E1699" t="str">
            <v>VOLVO</v>
          </cell>
          <cell r="F1699" t="str">
            <v>B8RLEA</v>
          </cell>
          <cell r="G1699" t="str">
            <v>MARCOPOLO</v>
          </cell>
          <cell r="H1699" t="str">
            <v>GRAN VIALE</v>
          </cell>
          <cell r="I1699">
            <v>2020</v>
          </cell>
          <cell r="J1699" t="str">
            <v>C</v>
          </cell>
          <cell r="K1699" t="str">
            <v>Recoleta</v>
          </cell>
          <cell r="N1699" t="str">
            <v>C</v>
          </cell>
        </row>
        <row r="1700">
          <cell r="B1700" t="str">
            <v>LZPR-86</v>
          </cell>
          <cell r="C1700" t="str">
            <v>YV3T7U52XLA201186</v>
          </cell>
          <cell r="D1700">
            <v>507277</v>
          </cell>
          <cell r="E1700" t="str">
            <v>VOLVO</v>
          </cell>
          <cell r="F1700" t="str">
            <v>B8RLEA</v>
          </cell>
          <cell r="G1700" t="str">
            <v>MARCOPOLO</v>
          </cell>
          <cell r="H1700" t="str">
            <v>GRAN VIALE</v>
          </cell>
          <cell r="I1700">
            <v>2020</v>
          </cell>
          <cell r="J1700" t="str">
            <v>C</v>
          </cell>
          <cell r="K1700" t="str">
            <v>Recoleta</v>
          </cell>
          <cell r="N1700" t="str">
            <v>C</v>
          </cell>
        </row>
        <row r="1701">
          <cell r="B1701" t="str">
            <v>LZPR-87</v>
          </cell>
          <cell r="C1701" t="str">
            <v>YV3T7U528LA201185</v>
          </cell>
          <cell r="D1701">
            <v>506865</v>
          </cell>
          <cell r="E1701" t="str">
            <v>VOLVO</v>
          </cell>
          <cell r="F1701" t="str">
            <v>B8RLEA</v>
          </cell>
          <cell r="G1701" t="str">
            <v>MARCOPOLO</v>
          </cell>
          <cell r="H1701" t="str">
            <v>GRAN VIALE</v>
          </cell>
          <cell r="I1701">
            <v>2020</v>
          </cell>
          <cell r="J1701" t="str">
            <v>C</v>
          </cell>
          <cell r="K1701" t="str">
            <v>Recoleta</v>
          </cell>
          <cell r="N1701" t="str">
            <v>C</v>
          </cell>
        </row>
        <row r="1702">
          <cell r="B1702" t="str">
            <v>LZPR-88</v>
          </cell>
          <cell r="C1702" t="str">
            <v>YV3T7U523LA201059</v>
          </cell>
          <cell r="D1702">
            <v>506732</v>
          </cell>
          <cell r="E1702" t="str">
            <v>VOLVO</v>
          </cell>
          <cell r="F1702" t="str">
            <v>B8RLEA</v>
          </cell>
          <cell r="G1702" t="str">
            <v>MARCOPOLO</v>
          </cell>
          <cell r="H1702" t="str">
            <v>GRAN VIALE</v>
          </cell>
          <cell r="I1702">
            <v>2020</v>
          </cell>
          <cell r="J1702" t="str">
            <v>C</v>
          </cell>
          <cell r="K1702" t="str">
            <v>Recoleta</v>
          </cell>
          <cell r="N1702" t="str">
            <v>C</v>
          </cell>
        </row>
        <row r="1703">
          <cell r="B1703" t="str">
            <v>LZPR-89</v>
          </cell>
          <cell r="C1703" t="str">
            <v>YV3T7U527LA201033</v>
          </cell>
          <cell r="D1703">
            <v>506661</v>
          </cell>
          <cell r="E1703" t="str">
            <v>VOLVO</v>
          </cell>
          <cell r="F1703" t="str">
            <v>B8RLEA</v>
          </cell>
          <cell r="G1703" t="str">
            <v>MARCOPOLO</v>
          </cell>
          <cell r="H1703" t="str">
            <v>GRAN VIALE</v>
          </cell>
          <cell r="I1703">
            <v>2020</v>
          </cell>
          <cell r="J1703" t="str">
            <v>C</v>
          </cell>
          <cell r="K1703" t="str">
            <v>Recoleta</v>
          </cell>
          <cell r="N1703" t="str">
            <v>C</v>
          </cell>
        </row>
        <row r="1704">
          <cell r="B1704" t="str">
            <v>LZPR-90</v>
          </cell>
          <cell r="C1704" t="str">
            <v>YV3T7U52XLA200992</v>
          </cell>
          <cell r="D1704">
            <v>506598</v>
          </cell>
          <cell r="E1704" t="str">
            <v>VOLVO</v>
          </cell>
          <cell r="F1704" t="str">
            <v>B8RLEA</v>
          </cell>
          <cell r="G1704" t="str">
            <v>MARCOPOLO</v>
          </cell>
          <cell r="H1704" t="str">
            <v>GRAN VIALE</v>
          </cell>
          <cell r="I1704">
            <v>2020</v>
          </cell>
          <cell r="J1704" t="str">
            <v>C</v>
          </cell>
          <cell r="K1704" t="str">
            <v>Recoleta</v>
          </cell>
          <cell r="N1704" t="str">
            <v>C</v>
          </cell>
        </row>
        <row r="1705">
          <cell r="B1705" t="str">
            <v>LZPR-92</v>
          </cell>
          <cell r="C1705" t="str">
            <v>YV3T7U522LA200971</v>
          </cell>
          <cell r="D1705">
            <v>506305</v>
          </cell>
          <cell r="E1705" t="str">
            <v>VOLVO</v>
          </cell>
          <cell r="F1705" t="str">
            <v>B8RLEA</v>
          </cell>
          <cell r="G1705" t="str">
            <v>MARCOPOLO</v>
          </cell>
          <cell r="H1705" t="str">
            <v>GRAN VIALE</v>
          </cell>
          <cell r="I1705">
            <v>2020</v>
          </cell>
          <cell r="J1705" t="str">
            <v>C</v>
          </cell>
          <cell r="K1705" t="str">
            <v>Recoleta</v>
          </cell>
          <cell r="N1705" t="str">
            <v>C</v>
          </cell>
        </row>
        <row r="1706">
          <cell r="B1706" t="str">
            <v>LZPR-93</v>
          </cell>
          <cell r="C1706" t="str">
            <v>YV3T7U525LA201046</v>
          </cell>
          <cell r="D1706">
            <v>506647</v>
          </cell>
          <cell r="E1706" t="str">
            <v>VOLVO</v>
          </cell>
          <cell r="F1706" t="str">
            <v>B8RLEA</v>
          </cell>
          <cell r="G1706" t="str">
            <v>MARCOPOLO</v>
          </cell>
          <cell r="H1706" t="str">
            <v>GRAN VIALE</v>
          </cell>
          <cell r="I1706">
            <v>2020</v>
          </cell>
          <cell r="J1706" t="str">
            <v>C</v>
          </cell>
          <cell r="K1706" t="str">
            <v>Recoleta</v>
          </cell>
          <cell r="N1706" t="str">
            <v>C</v>
          </cell>
        </row>
        <row r="1707">
          <cell r="B1707" t="str">
            <v>LZPR-94</v>
          </cell>
          <cell r="C1707" t="str">
            <v>YV3T7U521LA201156</v>
          </cell>
          <cell r="D1707">
            <v>507078</v>
          </cell>
          <cell r="E1707" t="str">
            <v>VOLVO</v>
          </cell>
          <cell r="F1707" t="str">
            <v>B8RLEA</v>
          </cell>
          <cell r="G1707" t="str">
            <v>MARCOPOLO</v>
          </cell>
          <cell r="H1707" t="str">
            <v>GRAN VIALE</v>
          </cell>
          <cell r="I1707">
            <v>2020</v>
          </cell>
          <cell r="J1707" t="str">
            <v>C</v>
          </cell>
          <cell r="K1707" t="str">
            <v>Recoleta</v>
          </cell>
          <cell r="N1707" t="str">
            <v>C</v>
          </cell>
        </row>
        <row r="1708">
          <cell r="B1708" t="str">
            <v>LZPR-95</v>
          </cell>
          <cell r="C1708" t="str">
            <v>YV3T7U521LA201058</v>
          </cell>
          <cell r="D1708">
            <v>506749</v>
          </cell>
          <cell r="E1708" t="str">
            <v>VOLVO</v>
          </cell>
          <cell r="F1708" t="str">
            <v>B8RLEA</v>
          </cell>
          <cell r="G1708" t="str">
            <v>MARCOPOLO</v>
          </cell>
          <cell r="H1708" t="str">
            <v>GRAN VIALE</v>
          </cell>
          <cell r="I1708">
            <v>2020</v>
          </cell>
          <cell r="J1708" t="str">
            <v>C</v>
          </cell>
          <cell r="K1708" t="str">
            <v>Recoleta</v>
          </cell>
          <cell r="N1708" t="str">
            <v>C</v>
          </cell>
        </row>
        <row r="1709">
          <cell r="B1709" t="str">
            <v>LZPR-96</v>
          </cell>
          <cell r="C1709" t="str">
            <v>YV3T7U528LA201073</v>
          </cell>
          <cell r="D1709">
            <v>507040</v>
          </cell>
          <cell r="E1709" t="str">
            <v>VOLVO</v>
          </cell>
          <cell r="F1709" t="str">
            <v>B8RLEA</v>
          </cell>
          <cell r="G1709" t="str">
            <v>MARCOPOLO</v>
          </cell>
          <cell r="H1709" t="str">
            <v>GRAN VIALE</v>
          </cell>
          <cell r="I1709">
            <v>2020</v>
          </cell>
          <cell r="J1709" t="str">
            <v>C</v>
          </cell>
          <cell r="K1709" t="str">
            <v>Recoleta</v>
          </cell>
          <cell r="N1709" t="str">
            <v>C</v>
          </cell>
        </row>
        <row r="1710">
          <cell r="B1710" t="str">
            <v>LZPR-97</v>
          </cell>
          <cell r="C1710" t="str">
            <v>YV3T7U524LA201071</v>
          </cell>
          <cell r="D1710">
            <v>506999</v>
          </cell>
          <cell r="E1710" t="str">
            <v>VOLVO</v>
          </cell>
          <cell r="F1710" t="str">
            <v>B8RLEA</v>
          </cell>
          <cell r="G1710" t="str">
            <v>MARCOPOLO</v>
          </cell>
          <cell r="H1710" t="str">
            <v>GRAN VIALE</v>
          </cell>
          <cell r="I1710">
            <v>2020</v>
          </cell>
          <cell r="J1710" t="str">
            <v>C</v>
          </cell>
          <cell r="K1710" t="str">
            <v>Recoleta</v>
          </cell>
          <cell r="N1710" t="str">
            <v>C</v>
          </cell>
        </row>
        <row r="1711">
          <cell r="B1711" t="str">
            <v>LZPR-98</v>
          </cell>
          <cell r="C1711" t="str">
            <v>YV3T7U529LA201048</v>
          </cell>
          <cell r="D1711">
            <v>506686</v>
          </cell>
          <cell r="E1711" t="str">
            <v>VOLVO</v>
          </cell>
          <cell r="F1711" t="str">
            <v>B8RLEA</v>
          </cell>
          <cell r="G1711" t="str">
            <v>MARCOPOLO</v>
          </cell>
          <cell r="H1711" t="str">
            <v>GRAN VIALE</v>
          </cell>
          <cell r="I1711">
            <v>2020</v>
          </cell>
          <cell r="J1711" t="str">
            <v>C</v>
          </cell>
          <cell r="K1711" t="str">
            <v>Recoleta</v>
          </cell>
          <cell r="N1711" t="str">
            <v>C</v>
          </cell>
        </row>
        <row r="1712">
          <cell r="B1712" t="str">
            <v>LZPR-99</v>
          </cell>
          <cell r="C1712" t="str">
            <v>YV3T7U52XLA201155</v>
          </cell>
          <cell r="D1712">
            <v>507117</v>
          </cell>
          <cell r="E1712" t="str">
            <v>VOLVO</v>
          </cell>
          <cell r="F1712" t="str">
            <v>B8RLEA</v>
          </cell>
          <cell r="G1712" t="str">
            <v>MARCOPOLO</v>
          </cell>
          <cell r="H1712" t="str">
            <v>GRAN VIALE</v>
          </cell>
          <cell r="I1712">
            <v>2020</v>
          </cell>
          <cell r="J1712" t="str">
            <v>C</v>
          </cell>
          <cell r="K1712" t="str">
            <v>Recoleta</v>
          </cell>
          <cell r="N1712" t="str">
            <v>C</v>
          </cell>
        </row>
        <row r="1713">
          <cell r="B1713" t="str">
            <v>LZPS-10</v>
          </cell>
          <cell r="C1713" t="str">
            <v>YV3T7U527LA201100</v>
          </cell>
          <cell r="D1713">
            <v>507055</v>
          </cell>
          <cell r="E1713" t="str">
            <v>VOLVO</v>
          </cell>
          <cell r="F1713" t="str">
            <v>B8RLEA</v>
          </cell>
          <cell r="G1713" t="str">
            <v>MARCOPOLO</v>
          </cell>
          <cell r="H1713" t="str">
            <v>GRAN VIALE</v>
          </cell>
          <cell r="I1713">
            <v>2020</v>
          </cell>
          <cell r="J1713" t="str">
            <v>C</v>
          </cell>
          <cell r="K1713" t="str">
            <v>Recoleta</v>
          </cell>
          <cell r="N1713" t="str">
            <v>C</v>
          </cell>
        </row>
        <row r="1714">
          <cell r="B1714" t="str">
            <v>LZPS-11</v>
          </cell>
          <cell r="C1714" t="str">
            <v>YV3T7U521LA201142</v>
          </cell>
          <cell r="D1714">
            <v>507102</v>
          </cell>
          <cell r="E1714" t="str">
            <v>VOLVO</v>
          </cell>
          <cell r="F1714" t="str">
            <v>B8RLEA</v>
          </cell>
          <cell r="G1714" t="str">
            <v>MARCOPOLO</v>
          </cell>
          <cell r="H1714" t="str">
            <v>GRAN VIALE</v>
          </cell>
          <cell r="I1714">
            <v>2020</v>
          </cell>
          <cell r="J1714" t="str">
            <v>C</v>
          </cell>
          <cell r="K1714" t="str">
            <v>Recoleta</v>
          </cell>
          <cell r="N1714" t="str">
            <v>C</v>
          </cell>
        </row>
        <row r="1715">
          <cell r="B1715" t="str">
            <v>LZPS-12</v>
          </cell>
          <cell r="C1715" t="str">
            <v>YV3T7U52XLA201141</v>
          </cell>
          <cell r="D1715">
            <v>507075</v>
          </cell>
          <cell r="E1715" t="str">
            <v>VOLVO</v>
          </cell>
          <cell r="F1715" t="str">
            <v>B8RLEA</v>
          </cell>
          <cell r="G1715" t="str">
            <v>MARCOPOLO</v>
          </cell>
          <cell r="H1715" t="str">
            <v>GRAN VIALE</v>
          </cell>
          <cell r="I1715">
            <v>2020</v>
          </cell>
          <cell r="J1715" t="str">
            <v>C</v>
          </cell>
          <cell r="K1715" t="str">
            <v>Recoleta</v>
          </cell>
          <cell r="N1715" t="str">
            <v>C</v>
          </cell>
        </row>
        <row r="1716">
          <cell r="B1716" t="str">
            <v>LZPS-13</v>
          </cell>
          <cell r="C1716" t="str">
            <v>YV3T7U526LA201153</v>
          </cell>
          <cell r="D1716">
            <v>507106</v>
          </cell>
          <cell r="E1716" t="str">
            <v>VOLVO</v>
          </cell>
          <cell r="F1716" t="str">
            <v>B8RLEA</v>
          </cell>
          <cell r="G1716" t="str">
            <v>MARCOPOLO</v>
          </cell>
          <cell r="H1716" t="str">
            <v>GRAN VIALE</v>
          </cell>
          <cell r="I1716">
            <v>2020</v>
          </cell>
          <cell r="J1716" t="str">
            <v>C</v>
          </cell>
          <cell r="K1716" t="str">
            <v>Recoleta</v>
          </cell>
          <cell r="N1716" t="str">
            <v>C</v>
          </cell>
        </row>
        <row r="1717">
          <cell r="B1717" t="str">
            <v>LZPS-14</v>
          </cell>
          <cell r="C1717" t="str">
            <v>YV3T7U529LA201034</v>
          </cell>
          <cell r="D1717">
            <v>506644</v>
          </cell>
          <cell r="E1717" t="str">
            <v>VOLVO</v>
          </cell>
          <cell r="F1717" t="str">
            <v>B8RLEA</v>
          </cell>
          <cell r="G1717" t="str">
            <v>MARCOPOLO</v>
          </cell>
          <cell r="H1717" t="str">
            <v>GRAN VIALE</v>
          </cell>
          <cell r="I1717">
            <v>2020</v>
          </cell>
          <cell r="J1717" t="str">
            <v>C</v>
          </cell>
          <cell r="K1717" t="str">
            <v>Recoleta</v>
          </cell>
          <cell r="N1717" t="str">
            <v>C</v>
          </cell>
        </row>
        <row r="1718">
          <cell r="B1718" t="str">
            <v>LZPS-15</v>
          </cell>
          <cell r="C1718" t="str">
            <v>YV3T7U523LA201045</v>
          </cell>
          <cell r="D1718">
            <v>506671</v>
          </cell>
          <cell r="E1718" t="str">
            <v>VOLVO</v>
          </cell>
          <cell r="F1718" t="str">
            <v>B8RLEA</v>
          </cell>
          <cell r="G1718" t="str">
            <v>MARCOPOLO</v>
          </cell>
          <cell r="H1718" t="str">
            <v>GRAN VIALE</v>
          </cell>
          <cell r="I1718">
            <v>2020</v>
          </cell>
          <cell r="J1718" t="str">
            <v>C</v>
          </cell>
          <cell r="K1718" t="str">
            <v>Recoleta</v>
          </cell>
          <cell r="N1718" t="str">
            <v>C</v>
          </cell>
        </row>
        <row r="1719">
          <cell r="B1719" t="str">
            <v>LZPS-16</v>
          </cell>
          <cell r="C1719" t="str">
            <v>YV3T7U52XLA201074</v>
          </cell>
          <cell r="D1719">
            <v>507033</v>
          </cell>
          <cell r="E1719" t="str">
            <v>VOLVO</v>
          </cell>
          <cell r="F1719" t="str">
            <v>B8RLEA</v>
          </cell>
          <cell r="G1719" t="str">
            <v>MARCOPOLO</v>
          </cell>
          <cell r="H1719" t="str">
            <v>GRAN VIALE</v>
          </cell>
          <cell r="I1719">
            <v>2020</v>
          </cell>
          <cell r="J1719" t="str">
            <v>C</v>
          </cell>
          <cell r="K1719" t="str">
            <v>Recoleta</v>
          </cell>
          <cell r="N1719" t="str">
            <v>C</v>
          </cell>
        </row>
        <row r="1720">
          <cell r="B1720" t="str">
            <v>LZPS-17</v>
          </cell>
          <cell r="C1720" t="str">
            <v>YV3T7U526LA201072</v>
          </cell>
          <cell r="D1720">
            <v>506988</v>
          </cell>
          <cell r="E1720" t="str">
            <v>VOLVO</v>
          </cell>
          <cell r="F1720" t="str">
            <v>B8RLEA</v>
          </cell>
          <cell r="G1720" t="str">
            <v>MARCOPOLO</v>
          </cell>
          <cell r="H1720" t="str">
            <v>GRAN VIALE</v>
          </cell>
          <cell r="I1720">
            <v>2020</v>
          </cell>
          <cell r="J1720" t="str">
            <v>C</v>
          </cell>
          <cell r="K1720" t="str">
            <v>Recoleta</v>
          </cell>
          <cell r="N1720" t="str">
            <v>C</v>
          </cell>
        </row>
        <row r="1721">
          <cell r="B1721" t="str">
            <v>LZPS-18</v>
          </cell>
          <cell r="C1721" t="str">
            <v>YV3T7U520LA201181</v>
          </cell>
          <cell r="D1721">
            <v>506841</v>
          </cell>
          <cell r="E1721" t="str">
            <v>VOLVO</v>
          </cell>
          <cell r="F1721" t="str">
            <v>B8RLEA</v>
          </cell>
          <cell r="G1721" t="str">
            <v>MARCOPOLO</v>
          </cell>
          <cell r="H1721" t="str">
            <v>GRAN VIALE</v>
          </cell>
          <cell r="I1721">
            <v>2020</v>
          </cell>
          <cell r="J1721" t="str">
            <v>C</v>
          </cell>
          <cell r="K1721" t="str">
            <v>Santa Rosa</v>
          </cell>
          <cell r="N1721" t="str">
            <v>C</v>
          </cell>
        </row>
        <row r="1722">
          <cell r="B1722" t="str">
            <v>LZPS-19</v>
          </cell>
          <cell r="C1722" t="str">
            <v>YV3T7U522LA201098</v>
          </cell>
          <cell r="D1722">
            <v>507058</v>
          </cell>
          <cell r="E1722" t="str">
            <v>VOLVO</v>
          </cell>
          <cell r="F1722" t="str">
            <v>B8RLEA</v>
          </cell>
          <cell r="G1722" t="str">
            <v>MARCOPOLO</v>
          </cell>
          <cell r="H1722" t="str">
            <v>GRAN VIALE</v>
          </cell>
          <cell r="I1722">
            <v>2020</v>
          </cell>
          <cell r="J1722" t="str">
            <v>C</v>
          </cell>
          <cell r="K1722" t="str">
            <v>Recoleta</v>
          </cell>
          <cell r="N1722" t="str">
            <v>C</v>
          </cell>
        </row>
        <row r="1723">
          <cell r="B1723" t="str">
            <v>LZPS-20</v>
          </cell>
          <cell r="C1723" t="str">
            <v>YV3T7U52XLA201060</v>
          </cell>
          <cell r="D1723">
            <v>506731</v>
          </cell>
          <cell r="E1723" t="str">
            <v>VOLVO</v>
          </cell>
          <cell r="F1723" t="str">
            <v>B8RLEA</v>
          </cell>
          <cell r="G1723" t="str">
            <v>MARCOPOLO</v>
          </cell>
          <cell r="H1723" t="str">
            <v>GRAN VIALE</v>
          </cell>
          <cell r="I1723">
            <v>2020</v>
          </cell>
          <cell r="J1723" t="str">
            <v>C</v>
          </cell>
          <cell r="K1723" t="str">
            <v>Santa Rosa</v>
          </cell>
          <cell r="N1723" t="str">
            <v>C</v>
          </cell>
        </row>
        <row r="1724">
          <cell r="B1724" t="str">
            <v>LZPS-21</v>
          </cell>
          <cell r="C1724" t="str">
            <v>YV3T7U523LA201143</v>
          </cell>
          <cell r="D1724">
            <v>507121</v>
          </cell>
          <cell r="E1724" t="str">
            <v>VOLVO</v>
          </cell>
          <cell r="F1724" t="str">
            <v>B8RLEA</v>
          </cell>
          <cell r="G1724" t="str">
            <v>MARCOPOLO</v>
          </cell>
          <cell r="H1724" t="str">
            <v>GRAN VIALE</v>
          </cell>
          <cell r="I1724">
            <v>2020</v>
          </cell>
          <cell r="J1724" t="str">
            <v>C</v>
          </cell>
          <cell r="K1724" t="str">
            <v>Recoleta</v>
          </cell>
          <cell r="N1724" t="str">
            <v>C</v>
          </cell>
        </row>
        <row r="1725">
          <cell r="B1725" t="str">
            <v>LZPS-22</v>
          </cell>
          <cell r="C1725" t="str">
            <v>YV3T7U52XLA201169</v>
          </cell>
          <cell r="D1725">
            <v>507144</v>
          </cell>
          <cell r="E1725" t="str">
            <v>VOLVO</v>
          </cell>
          <cell r="F1725" t="str">
            <v>B8RLEA</v>
          </cell>
          <cell r="G1725" t="str">
            <v>MARCOPOLO</v>
          </cell>
          <cell r="H1725" t="str">
            <v>GRAN VIALE</v>
          </cell>
          <cell r="I1725">
            <v>2020</v>
          </cell>
          <cell r="J1725" t="str">
            <v>C</v>
          </cell>
          <cell r="K1725" t="str">
            <v>Santa Rosa</v>
          </cell>
          <cell r="N1725" t="str">
            <v>C</v>
          </cell>
        </row>
        <row r="1726">
          <cell r="B1726" t="str">
            <v>LZPS-23</v>
          </cell>
          <cell r="C1726" t="str">
            <v>YV3T7U524LA201099</v>
          </cell>
          <cell r="D1726">
            <v>507047</v>
          </cell>
          <cell r="E1726" t="str">
            <v>VOLVO</v>
          </cell>
          <cell r="F1726" t="str">
            <v>B8RLEA</v>
          </cell>
          <cell r="G1726" t="str">
            <v>MARCOPOLO</v>
          </cell>
          <cell r="H1726" t="str">
            <v>GRAN VIALE</v>
          </cell>
          <cell r="I1726">
            <v>2020</v>
          </cell>
          <cell r="J1726" t="str">
            <v>C</v>
          </cell>
          <cell r="K1726" t="str">
            <v>Recoleta</v>
          </cell>
          <cell r="N1726" t="str">
            <v>C</v>
          </cell>
        </row>
        <row r="1727">
          <cell r="B1727" t="str">
            <v>LZPS-24</v>
          </cell>
          <cell r="C1727" t="str">
            <v>YV3T7U52XLA201270</v>
          </cell>
          <cell r="D1727">
            <v>507680</v>
          </cell>
          <cell r="E1727" t="str">
            <v>VOLVO</v>
          </cell>
          <cell r="F1727" t="str">
            <v>B8RLEA</v>
          </cell>
          <cell r="G1727" t="str">
            <v>MARCOPOLO</v>
          </cell>
          <cell r="H1727" t="str">
            <v>GRAN VIALE</v>
          </cell>
          <cell r="I1727">
            <v>2020</v>
          </cell>
          <cell r="J1727" t="str">
            <v>C</v>
          </cell>
          <cell r="K1727" t="str">
            <v>Santa Rosa</v>
          </cell>
          <cell r="N1727" t="str">
            <v>C</v>
          </cell>
        </row>
        <row r="1728">
          <cell r="B1728" t="str">
            <v>LZPS-25</v>
          </cell>
          <cell r="C1728" t="str">
            <v>YV3T7U521LA201061</v>
          </cell>
          <cell r="D1728">
            <v>506696</v>
          </cell>
          <cell r="E1728" t="str">
            <v>VOLVO</v>
          </cell>
          <cell r="F1728" t="str">
            <v>B8RLEA</v>
          </cell>
          <cell r="G1728" t="str">
            <v>MARCOPOLO</v>
          </cell>
          <cell r="H1728" t="str">
            <v>GRAN VIALE</v>
          </cell>
          <cell r="I1728">
            <v>2020</v>
          </cell>
          <cell r="J1728" t="str">
            <v>C</v>
          </cell>
          <cell r="K1728" t="str">
            <v>Recoleta</v>
          </cell>
          <cell r="N1728" t="str">
            <v>C</v>
          </cell>
        </row>
        <row r="1729">
          <cell r="B1729" t="str">
            <v>LZPT-38</v>
          </cell>
          <cell r="C1729" t="str">
            <v>YV3T7U526LA201184</v>
          </cell>
          <cell r="D1729">
            <v>506823</v>
          </cell>
          <cell r="E1729" t="str">
            <v>VOLVO</v>
          </cell>
          <cell r="F1729" t="str">
            <v>B8RLEA</v>
          </cell>
          <cell r="G1729" t="str">
            <v>MARCOPOLO</v>
          </cell>
          <cell r="H1729" t="str">
            <v>GRAN VIALE</v>
          </cell>
          <cell r="I1729">
            <v>2020</v>
          </cell>
          <cell r="J1729" t="str">
            <v>C</v>
          </cell>
          <cell r="K1729" t="str">
            <v>Santa Rosa</v>
          </cell>
          <cell r="N1729" t="str">
            <v>C</v>
          </cell>
        </row>
        <row r="1730">
          <cell r="B1730" t="str">
            <v>LZPT-39</v>
          </cell>
          <cell r="C1730" t="str">
            <v>YV3T7U524LA201183</v>
          </cell>
          <cell r="D1730">
            <v>506866</v>
          </cell>
          <cell r="E1730" t="str">
            <v>VOLVO</v>
          </cell>
          <cell r="F1730" t="str">
            <v>B8RLEA</v>
          </cell>
          <cell r="G1730" t="str">
            <v>MARCOPOLO</v>
          </cell>
          <cell r="H1730" t="str">
            <v>GRAN VIALE</v>
          </cell>
          <cell r="I1730">
            <v>2020</v>
          </cell>
          <cell r="J1730" t="str">
            <v>C</v>
          </cell>
          <cell r="K1730" t="str">
            <v>Santa Rosa</v>
          </cell>
          <cell r="N1730" t="str">
            <v>C</v>
          </cell>
        </row>
        <row r="1731">
          <cell r="B1731" t="str">
            <v>LZPT-40</v>
          </cell>
          <cell r="C1731" t="str">
            <v>YV3T7U523LA201157</v>
          </cell>
          <cell r="D1731">
            <v>507134</v>
          </cell>
          <cell r="E1731" t="str">
            <v>VOLVO</v>
          </cell>
          <cell r="F1731" t="str">
            <v>B8RLEA</v>
          </cell>
          <cell r="G1731" t="str">
            <v>MARCOPOLO</v>
          </cell>
          <cell r="H1731" t="str">
            <v>GRAN VIALE</v>
          </cell>
          <cell r="I1731">
            <v>2020</v>
          </cell>
          <cell r="J1731" t="str">
            <v>C</v>
          </cell>
          <cell r="K1731" t="str">
            <v>Santa Rosa</v>
          </cell>
          <cell r="N1731" t="str">
            <v>C</v>
          </cell>
        </row>
        <row r="1732">
          <cell r="B1732" t="str">
            <v>LZPT-41</v>
          </cell>
          <cell r="C1732" t="str">
            <v>YV3T7U526LA201170</v>
          </cell>
          <cell r="D1732">
            <v>507160</v>
          </cell>
          <cell r="E1732" t="str">
            <v>VOLVO</v>
          </cell>
          <cell r="F1732" t="str">
            <v>B8RLEA</v>
          </cell>
          <cell r="G1732" t="str">
            <v>MARCOPOLO</v>
          </cell>
          <cell r="H1732" t="str">
            <v>GRAN VIALE</v>
          </cell>
          <cell r="I1732">
            <v>2020</v>
          </cell>
          <cell r="J1732" t="str">
            <v>C</v>
          </cell>
          <cell r="K1732" t="str">
            <v>Santa Rosa</v>
          </cell>
          <cell r="N1732" t="str">
            <v>C</v>
          </cell>
        </row>
        <row r="1733">
          <cell r="B1733" t="str">
            <v>LZPT-42</v>
          </cell>
          <cell r="C1733" t="str">
            <v>YV3T7U528LA201140</v>
          </cell>
          <cell r="D1733">
            <v>507108</v>
          </cell>
          <cell r="E1733" t="str">
            <v>VOLVO</v>
          </cell>
          <cell r="F1733" t="str">
            <v>B8RLEA</v>
          </cell>
          <cell r="G1733" t="str">
            <v>MARCOPOLO</v>
          </cell>
          <cell r="H1733" t="str">
            <v>GRAN VIALE</v>
          </cell>
          <cell r="I1733">
            <v>2020</v>
          </cell>
          <cell r="J1733" t="str">
            <v>C</v>
          </cell>
          <cell r="K1733" t="str">
            <v>Santa Rosa</v>
          </cell>
          <cell r="N1733" t="str">
            <v>C</v>
          </cell>
        </row>
        <row r="1734">
          <cell r="B1734" t="str">
            <v>LZPT-43</v>
          </cell>
          <cell r="C1734" t="str">
            <v>YV3T7U521LA201075</v>
          </cell>
          <cell r="D1734">
            <v>507057</v>
          </cell>
          <cell r="E1734" t="str">
            <v>VOLVO</v>
          </cell>
          <cell r="F1734" t="str">
            <v>B8RLEA</v>
          </cell>
          <cell r="G1734" t="str">
            <v>MARCOPOLO</v>
          </cell>
          <cell r="H1734" t="str">
            <v>GRAN VIALE</v>
          </cell>
          <cell r="I1734">
            <v>2020</v>
          </cell>
          <cell r="J1734" t="str">
            <v>C</v>
          </cell>
          <cell r="K1734" t="str">
            <v>Recoleta</v>
          </cell>
          <cell r="N1734" t="str">
            <v>C</v>
          </cell>
        </row>
        <row r="1735">
          <cell r="B1735" t="str">
            <v>LZPT-44</v>
          </cell>
          <cell r="C1735" t="str">
            <v>YV3T7U529LA201101</v>
          </cell>
          <cell r="D1735">
            <v>507062</v>
          </cell>
          <cell r="E1735" t="str">
            <v>VOLVO</v>
          </cell>
          <cell r="F1735" t="str">
            <v>B8RLEA</v>
          </cell>
          <cell r="G1735" t="str">
            <v>MARCOPOLO</v>
          </cell>
          <cell r="H1735" t="str">
            <v>GRAN VIALE</v>
          </cell>
          <cell r="I1735">
            <v>2020</v>
          </cell>
          <cell r="J1735" t="str">
            <v>C</v>
          </cell>
          <cell r="K1735" t="str">
            <v>Recoleta</v>
          </cell>
          <cell r="N1735" t="str">
            <v>C</v>
          </cell>
        </row>
        <row r="1736">
          <cell r="B1736" t="str">
            <v>LZPT-45</v>
          </cell>
          <cell r="C1736" t="str">
            <v>YV3T7U526LA201850</v>
          </cell>
          <cell r="D1736">
            <v>507971</v>
          </cell>
          <cell r="E1736" t="str">
            <v>VOLVO</v>
          </cell>
          <cell r="F1736" t="str">
            <v>B8RLEA</v>
          </cell>
          <cell r="G1736" t="str">
            <v>MARCOPOLO</v>
          </cell>
          <cell r="H1736" t="str">
            <v>GRAN VIALE</v>
          </cell>
          <cell r="I1736">
            <v>2020</v>
          </cell>
          <cell r="J1736" t="str">
            <v>C</v>
          </cell>
          <cell r="K1736" t="str">
            <v>Santa Rosa</v>
          </cell>
          <cell r="N1736" t="str">
            <v>C</v>
          </cell>
        </row>
        <row r="1737">
          <cell r="B1737" t="str">
            <v>LZPT-46</v>
          </cell>
          <cell r="C1737" t="str">
            <v>YV3T7U527LA201713</v>
          </cell>
          <cell r="D1737">
            <v>508481</v>
          </cell>
          <cell r="E1737" t="str">
            <v>VOLVO</v>
          </cell>
          <cell r="F1737" t="str">
            <v>B8RLEA</v>
          </cell>
          <cell r="G1737" t="str">
            <v>MARCOPOLO</v>
          </cell>
          <cell r="H1737" t="str">
            <v>GRAN VIALE</v>
          </cell>
          <cell r="I1737">
            <v>2020</v>
          </cell>
          <cell r="J1737" t="str">
            <v>C</v>
          </cell>
          <cell r="K1737" t="str">
            <v>Recoleta</v>
          </cell>
          <cell r="N1737" t="str">
            <v>C</v>
          </cell>
        </row>
        <row r="1738">
          <cell r="B1738" t="str">
            <v>LZPT-47</v>
          </cell>
          <cell r="C1738" t="str">
            <v>YV3T7U524LA201801</v>
          </cell>
          <cell r="D1738">
            <v>509156</v>
          </cell>
          <cell r="E1738" t="str">
            <v>VOLVO</v>
          </cell>
          <cell r="F1738" t="str">
            <v>B8RLEA</v>
          </cell>
          <cell r="G1738" t="str">
            <v>MARCOPOLO</v>
          </cell>
          <cell r="H1738" t="str">
            <v>GRAN VIALE</v>
          </cell>
          <cell r="I1738">
            <v>2020</v>
          </cell>
          <cell r="J1738" t="str">
            <v>C</v>
          </cell>
          <cell r="K1738" t="str">
            <v>Recoleta</v>
          </cell>
          <cell r="N1738" t="str">
            <v>C</v>
          </cell>
        </row>
        <row r="1739">
          <cell r="B1739" t="str">
            <v>LZPT-48</v>
          </cell>
          <cell r="C1739" t="str">
            <v>YV3T7U529LA201812</v>
          </cell>
          <cell r="D1739">
            <v>509224</v>
          </cell>
          <cell r="E1739" t="str">
            <v>VOLVO</v>
          </cell>
          <cell r="F1739" t="str">
            <v>B8RLEA</v>
          </cell>
          <cell r="G1739" t="str">
            <v>MARCOPOLO</v>
          </cell>
          <cell r="H1739" t="str">
            <v>GRAN VIALE</v>
          </cell>
          <cell r="I1739">
            <v>2020</v>
          </cell>
          <cell r="J1739" t="str">
            <v>C</v>
          </cell>
          <cell r="K1739" t="str">
            <v>Recoleta</v>
          </cell>
          <cell r="N1739" t="str">
            <v>C</v>
          </cell>
        </row>
        <row r="1740">
          <cell r="B1740" t="str">
            <v>LZPT-49</v>
          </cell>
          <cell r="C1740" t="str">
            <v>YV3T7U520LA201813</v>
          </cell>
          <cell r="D1740">
            <v>509231</v>
          </cell>
          <cell r="E1740" t="str">
            <v>VOLVO</v>
          </cell>
          <cell r="F1740" t="str">
            <v>B8RLEA</v>
          </cell>
          <cell r="G1740" t="str">
            <v>MARCOPOLO</v>
          </cell>
          <cell r="H1740" t="str">
            <v>GRAN VIALE</v>
          </cell>
          <cell r="I1740">
            <v>2020</v>
          </cell>
          <cell r="J1740" t="str">
            <v>C</v>
          </cell>
          <cell r="K1740" t="str">
            <v>Santa Rosa</v>
          </cell>
          <cell r="N1740" t="str">
            <v>C</v>
          </cell>
        </row>
        <row r="1741">
          <cell r="B1741" t="str">
            <v>LZPT-50</v>
          </cell>
          <cell r="C1741" t="str">
            <v>YV3T7U522LA201814</v>
          </cell>
          <cell r="D1741">
            <v>509235</v>
          </cell>
          <cell r="E1741" t="str">
            <v>VOLVO</v>
          </cell>
          <cell r="F1741" t="str">
            <v>B8RLEA</v>
          </cell>
          <cell r="G1741" t="str">
            <v>MARCOPOLO</v>
          </cell>
          <cell r="H1741" t="str">
            <v>GRAN VIALE</v>
          </cell>
          <cell r="I1741">
            <v>2020</v>
          </cell>
          <cell r="J1741" t="str">
            <v>C</v>
          </cell>
          <cell r="K1741" t="str">
            <v>Recoleta</v>
          </cell>
          <cell r="N1741" t="str">
            <v>C</v>
          </cell>
        </row>
        <row r="1742">
          <cell r="B1742" t="str">
            <v>LZPT-51</v>
          </cell>
          <cell r="C1742" t="str">
            <v>YV3T7U52XLA201849</v>
          </cell>
          <cell r="D1742">
            <v>507983</v>
          </cell>
          <cell r="E1742" t="str">
            <v>VOLVO</v>
          </cell>
          <cell r="F1742" t="str">
            <v>B8RLEA</v>
          </cell>
          <cell r="G1742" t="str">
            <v>MARCOPOLO</v>
          </cell>
          <cell r="H1742" t="str">
            <v>GRAN VIALE</v>
          </cell>
          <cell r="I1742">
            <v>2020</v>
          </cell>
          <cell r="J1742" t="str">
            <v>C</v>
          </cell>
          <cell r="K1742" t="str">
            <v>Santa Rosa</v>
          </cell>
          <cell r="N1742" t="str">
            <v>C</v>
          </cell>
        </row>
        <row r="1743">
          <cell r="B1743" t="str">
            <v>LZPT-52</v>
          </cell>
          <cell r="C1743" t="str">
            <v>YV3T7U527LA201811</v>
          </cell>
          <cell r="D1743">
            <v>509204</v>
          </cell>
          <cell r="E1743" t="str">
            <v>VOLVO</v>
          </cell>
          <cell r="F1743" t="str">
            <v>B8RLEA</v>
          </cell>
          <cell r="G1743" t="str">
            <v>MARCOPOLO</v>
          </cell>
          <cell r="H1743" t="str">
            <v>GRAN VIALE</v>
          </cell>
          <cell r="I1743">
            <v>2020</v>
          </cell>
          <cell r="J1743" t="str">
            <v>C</v>
          </cell>
          <cell r="K1743" t="str">
            <v>Recoleta</v>
          </cell>
          <cell r="N1743" t="str">
            <v>C</v>
          </cell>
        </row>
        <row r="1744">
          <cell r="B1744" t="str">
            <v>LZPT-53</v>
          </cell>
          <cell r="C1744" t="str">
            <v>YV3T7U526LA201475</v>
          </cell>
          <cell r="D1744">
            <v>507876</v>
          </cell>
          <cell r="E1744" t="str">
            <v>VOLVO</v>
          </cell>
          <cell r="F1744" t="str">
            <v>B8RLEA</v>
          </cell>
          <cell r="G1744" t="str">
            <v>MARCOPOLO</v>
          </cell>
          <cell r="H1744" t="str">
            <v>GRAN VIALE</v>
          </cell>
          <cell r="I1744">
            <v>2020</v>
          </cell>
          <cell r="J1744" t="str">
            <v>C</v>
          </cell>
          <cell r="K1744" t="str">
            <v>Santa Rosa</v>
          </cell>
          <cell r="N1744" t="str">
            <v>C</v>
          </cell>
        </row>
        <row r="1745">
          <cell r="B1745" t="str">
            <v>LZPT-54</v>
          </cell>
          <cell r="C1745" t="str">
            <v>YV3T7U525LA201404</v>
          </cell>
          <cell r="D1745">
            <v>507532</v>
          </cell>
          <cell r="E1745" t="str">
            <v>VOLVO</v>
          </cell>
          <cell r="F1745" t="str">
            <v>B8RLEA</v>
          </cell>
          <cell r="G1745" t="str">
            <v>MARCOPOLO</v>
          </cell>
          <cell r="H1745" t="str">
            <v>GRAN VIALE</v>
          </cell>
          <cell r="I1745">
            <v>2020</v>
          </cell>
          <cell r="J1745" t="str">
            <v>C</v>
          </cell>
          <cell r="K1745" t="str">
            <v>Santa Rosa</v>
          </cell>
          <cell r="N1745" t="str">
            <v>C</v>
          </cell>
        </row>
        <row r="1746">
          <cell r="B1746" t="str">
            <v>LZPT-55</v>
          </cell>
          <cell r="C1746" t="str">
            <v>YV3T7U524LA201460</v>
          </cell>
          <cell r="D1746">
            <v>508062</v>
          </cell>
          <cell r="E1746" t="str">
            <v>VOLVO</v>
          </cell>
          <cell r="F1746" t="str">
            <v>B8RLEA</v>
          </cell>
          <cell r="G1746" t="str">
            <v>MARCOPOLO</v>
          </cell>
          <cell r="H1746" t="str">
            <v>GRAN VIALE</v>
          </cell>
          <cell r="I1746">
            <v>2020</v>
          </cell>
          <cell r="J1746" t="str">
            <v>C</v>
          </cell>
          <cell r="K1746" t="str">
            <v>Santa Rosa</v>
          </cell>
          <cell r="N1746" t="str">
            <v>C</v>
          </cell>
        </row>
        <row r="1747">
          <cell r="B1747" t="str">
            <v>LZPT-56</v>
          </cell>
          <cell r="C1747" t="str">
            <v>YV3T7U526LA201346</v>
          </cell>
          <cell r="D1747">
            <v>507705</v>
          </cell>
          <cell r="E1747" t="str">
            <v>VOLVO</v>
          </cell>
          <cell r="F1747" t="str">
            <v>B8RLEA</v>
          </cell>
          <cell r="G1747" t="str">
            <v>MARCOPOLO</v>
          </cell>
          <cell r="H1747" t="str">
            <v>GRAN VIALE</v>
          </cell>
          <cell r="I1747">
            <v>2020</v>
          </cell>
          <cell r="J1747" t="str">
            <v>C</v>
          </cell>
          <cell r="K1747" t="str">
            <v>Santa Rosa</v>
          </cell>
          <cell r="N1747" t="str">
            <v>C</v>
          </cell>
        </row>
        <row r="1748">
          <cell r="B1748" t="str">
            <v>LZPT-57</v>
          </cell>
          <cell r="C1748" t="str">
            <v>YV3T7U520LA201388</v>
          </cell>
          <cell r="D1748">
            <v>507636</v>
          </cell>
          <cell r="E1748" t="str">
            <v>VOLVO</v>
          </cell>
          <cell r="F1748" t="str">
            <v>B8RLEA</v>
          </cell>
          <cell r="G1748" t="str">
            <v>MARCOPOLO</v>
          </cell>
          <cell r="H1748" t="str">
            <v>GRAN VIALE</v>
          </cell>
          <cell r="I1748">
            <v>2020</v>
          </cell>
          <cell r="J1748" t="str">
            <v>C</v>
          </cell>
          <cell r="K1748" t="str">
            <v>Santa Rosa</v>
          </cell>
          <cell r="N1748" t="str">
            <v>C</v>
          </cell>
        </row>
        <row r="1749">
          <cell r="B1749" t="str">
            <v>LZPT-58</v>
          </cell>
          <cell r="C1749" t="str">
            <v>YV3T7U528LA201459</v>
          </cell>
          <cell r="D1749">
            <v>508054</v>
          </cell>
          <cell r="E1749" t="str">
            <v>VOLVO</v>
          </cell>
          <cell r="F1749" t="str">
            <v>B8RLEA</v>
          </cell>
          <cell r="G1749" t="str">
            <v>MARCOPOLO</v>
          </cell>
          <cell r="H1749" t="str">
            <v>GRAN VIALE</v>
          </cell>
          <cell r="I1749">
            <v>2020</v>
          </cell>
          <cell r="J1749" t="str">
            <v>C</v>
          </cell>
          <cell r="K1749" t="str">
            <v>Santa Rosa</v>
          </cell>
          <cell r="N1749" t="str">
            <v>C</v>
          </cell>
        </row>
        <row r="1750">
          <cell r="B1750" t="str">
            <v>LZPT-59</v>
          </cell>
          <cell r="C1750" t="str">
            <v>YV3T7U522LA201456</v>
          </cell>
          <cell r="D1750">
            <v>508070</v>
          </cell>
          <cell r="E1750" t="str">
            <v>VOLVO</v>
          </cell>
          <cell r="F1750" t="str">
            <v>B8RLEA</v>
          </cell>
          <cell r="G1750" t="str">
            <v>MARCOPOLO</v>
          </cell>
          <cell r="H1750" t="str">
            <v>GRAN VIALE</v>
          </cell>
          <cell r="I1750">
            <v>2020</v>
          </cell>
          <cell r="J1750" t="str">
            <v>C</v>
          </cell>
          <cell r="K1750" t="str">
            <v>Santa Rosa</v>
          </cell>
          <cell r="N1750" t="str">
            <v>C</v>
          </cell>
        </row>
        <row r="1751">
          <cell r="B1751" t="str">
            <v>LZPT-60</v>
          </cell>
          <cell r="C1751" t="str">
            <v>YV3T7U522LA201408</v>
          </cell>
          <cell r="D1751">
            <v>507800</v>
          </cell>
          <cell r="E1751" t="str">
            <v>VOLVO</v>
          </cell>
          <cell r="F1751" t="str">
            <v>B8RLEA</v>
          </cell>
          <cell r="G1751" t="str">
            <v>MARCOPOLO</v>
          </cell>
          <cell r="H1751" t="str">
            <v>GRAN VIALE</v>
          </cell>
          <cell r="I1751">
            <v>2020</v>
          </cell>
          <cell r="J1751" t="str">
            <v>C</v>
          </cell>
          <cell r="K1751" t="str">
            <v>Santa Rosa</v>
          </cell>
          <cell r="N1751" t="str">
            <v>C</v>
          </cell>
        </row>
        <row r="1752">
          <cell r="B1752" t="str">
            <v>LZPT-61</v>
          </cell>
          <cell r="C1752" t="str">
            <v>YV3T7U520LA201472</v>
          </cell>
          <cell r="D1752">
            <v>508092</v>
          </cell>
          <cell r="E1752" t="str">
            <v>VOLVO</v>
          </cell>
          <cell r="F1752" t="str">
            <v>B8RLEA</v>
          </cell>
          <cell r="G1752" t="str">
            <v>MARCOPOLO</v>
          </cell>
          <cell r="H1752" t="str">
            <v>GRAN VIALE</v>
          </cell>
          <cell r="I1752">
            <v>2020</v>
          </cell>
          <cell r="J1752" t="str">
            <v>C</v>
          </cell>
          <cell r="K1752" t="str">
            <v>Santa Rosa</v>
          </cell>
          <cell r="N1752" t="str">
            <v>C</v>
          </cell>
        </row>
        <row r="1753">
          <cell r="B1753" t="str">
            <v>LZPT-62</v>
          </cell>
          <cell r="C1753" t="str">
            <v>YV3T7U524LA201474</v>
          </cell>
          <cell r="D1753">
            <v>507827</v>
          </cell>
          <cell r="E1753" t="str">
            <v>VOLVO</v>
          </cell>
          <cell r="F1753" t="str">
            <v>B8RLEA</v>
          </cell>
          <cell r="G1753" t="str">
            <v>MARCOPOLO</v>
          </cell>
          <cell r="H1753" t="str">
            <v>GRAN VIALE</v>
          </cell>
          <cell r="I1753">
            <v>2020</v>
          </cell>
          <cell r="J1753" t="str">
            <v>C</v>
          </cell>
          <cell r="K1753" t="str">
            <v>Santa Rosa</v>
          </cell>
          <cell r="N1753" t="str">
            <v>C</v>
          </cell>
        </row>
        <row r="1754">
          <cell r="B1754" t="str">
            <v>LZPT-63</v>
          </cell>
          <cell r="C1754" t="str">
            <v>YV3T7U526LA201458</v>
          </cell>
          <cell r="D1754">
            <v>508067</v>
          </cell>
          <cell r="E1754" t="str">
            <v>VOLVO</v>
          </cell>
          <cell r="F1754" t="str">
            <v>B8RLEA</v>
          </cell>
          <cell r="G1754" t="str">
            <v>MARCOPOLO</v>
          </cell>
          <cell r="H1754" t="str">
            <v>GRAN VIALE</v>
          </cell>
          <cell r="I1754">
            <v>2020</v>
          </cell>
          <cell r="J1754" t="str">
            <v>C</v>
          </cell>
          <cell r="K1754" t="str">
            <v>Santa Rosa</v>
          </cell>
          <cell r="N1754" t="str">
            <v>C</v>
          </cell>
        </row>
        <row r="1755">
          <cell r="B1755" t="str">
            <v>LZPT-64</v>
          </cell>
          <cell r="C1755" t="str">
            <v>YV3T7U522LA201473</v>
          </cell>
          <cell r="D1755">
            <v>507830</v>
          </cell>
          <cell r="E1755" t="str">
            <v>VOLVO</v>
          </cell>
          <cell r="F1755" t="str">
            <v>B8RLEA</v>
          </cell>
          <cell r="G1755" t="str">
            <v>MARCOPOLO</v>
          </cell>
          <cell r="H1755" t="str">
            <v>GRAN VIALE</v>
          </cell>
          <cell r="I1755">
            <v>2020</v>
          </cell>
          <cell r="J1755" t="str">
            <v>C</v>
          </cell>
          <cell r="K1755" t="str">
            <v>Santa Rosa</v>
          </cell>
          <cell r="N1755" t="str">
            <v>C</v>
          </cell>
        </row>
        <row r="1756">
          <cell r="B1756" t="str">
            <v>LZPT-65</v>
          </cell>
          <cell r="C1756" t="str">
            <v>YV3T7U521LA201495</v>
          </cell>
          <cell r="D1756">
            <v>507813</v>
          </cell>
          <cell r="E1756" t="str">
            <v>VOLVO</v>
          </cell>
          <cell r="F1756" t="str">
            <v>B8RLEA</v>
          </cell>
          <cell r="G1756" t="str">
            <v>MARCOPOLO</v>
          </cell>
          <cell r="H1756" t="str">
            <v>GRAN VIALE</v>
          </cell>
          <cell r="I1756">
            <v>2020</v>
          </cell>
          <cell r="J1756" t="str">
            <v>C</v>
          </cell>
          <cell r="K1756" t="str">
            <v>Santa Rosa</v>
          </cell>
          <cell r="N1756" t="str">
            <v>C</v>
          </cell>
        </row>
        <row r="1757">
          <cell r="B1757" t="str">
            <v>LZPT-66</v>
          </cell>
          <cell r="C1757" t="str">
            <v>YV3T7U525LA201497</v>
          </cell>
          <cell r="D1757">
            <v>507862</v>
          </cell>
          <cell r="E1757" t="str">
            <v>VOLVO</v>
          </cell>
          <cell r="F1757" t="str">
            <v>B8RLEA</v>
          </cell>
          <cell r="G1757" t="str">
            <v>MARCOPOLO</v>
          </cell>
          <cell r="H1757" t="str">
            <v>GRAN VIALE</v>
          </cell>
          <cell r="I1757">
            <v>2020</v>
          </cell>
          <cell r="J1757" t="str">
            <v>C</v>
          </cell>
          <cell r="K1757" t="str">
            <v>Santa Rosa</v>
          </cell>
          <cell r="N1757" t="str">
            <v>C</v>
          </cell>
        </row>
        <row r="1758">
          <cell r="B1758" t="str">
            <v>LZPT-67</v>
          </cell>
          <cell r="C1758" t="str">
            <v>YV3T7U52XLA201320</v>
          </cell>
          <cell r="D1758">
            <v>507688</v>
          </cell>
          <cell r="E1758" t="str">
            <v>VOLVO</v>
          </cell>
          <cell r="F1758" t="str">
            <v>B8RLEA</v>
          </cell>
          <cell r="G1758" t="str">
            <v>MARCOPOLO</v>
          </cell>
          <cell r="H1758" t="str">
            <v>GRAN VIALE</v>
          </cell>
          <cell r="I1758">
            <v>2020</v>
          </cell>
          <cell r="J1758" t="str">
            <v>C</v>
          </cell>
          <cell r="K1758" t="str">
            <v>Santa Rosa</v>
          </cell>
          <cell r="N1758" t="str">
            <v>C</v>
          </cell>
        </row>
        <row r="1759">
          <cell r="B1759" t="str">
            <v>LZPT-69</v>
          </cell>
          <cell r="C1759" t="str">
            <v>YV3T7U521LA201402</v>
          </cell>
          <cell r="D1759">
            <v>507514</v>
          </cell>
          <cell r="E1759" t="str">
            <v>VOLVO</v>
          </cell>
          <cell r="F1759" t="str">
            <v>B8RLEA</v>
          </cell>
          <cell r="G1759" t="str">
            <v>MARCOPOLO</v>
          </cell>
          <cell r="H1759" t="str">
            <v>GRAN VIALE</v>
          </cell>
          <cell r="I1759">
            <v>2020</v>
          </cell>
          <cell r="J1759" t="str">
            <v>C</v>
          </cell>
          <cell r="K1759" t="str">
            <v>Santa Rosa</v>
          </cell>
          <cell r="N1759" t="str">
            <v>C</v>
          </cell>
        </row>
        <row r="1760">
          <cell r="B1760" t="str">
            <v>LZPT-70</v>
          </cell>
          <cell r="C1760" t="str">
            <v>YV3T7U526LA201461</v>
          </cell>
          <cell r="D1760">
            <v>508059</v>
          </cell>
          <cell r="E1760" t="str">
            <v>VOLVO</v>
          </cell>
          <cell r="F1760" t="str">
            <v>B8RLEA</v>
          </cell>
          <cell r="G1760" t="str">
            <v>MARCOPOLO</v>
          </cell>
          <cell r="H1760" t="str">
            <v>GRAN VIALE</v>
          </cell>
          <cell r="I1760">
            <v>2020</v>
          </cell>
          <cell r="J1760" t="str">
            <v>C</v>
          </cell>
          <cell r="K1760" t="str">
            <v>Santa Rosa</v>
          </cell>
          <cell r="N1760" t="str">
            <v>C</v>
          </cell>
        </row>
        <row r="1761">
          <cell r="B1761" t="str">
            <v>LZPT-71</v>
          </cell>
          <cell r="C1761" t="str">
            <v>YV3T7U522LA201392</v>
          </cell>
          <cell r="D1761">
            <v>507493</v>
          </cell>
          <cell r="E1761" t="str">
            <v>VOLVO</v>
          </cell>
          <cell r="F1761" t="str">
            <v>B8RLEA</v>
          </cell>
          <cell r="G1761" t="str">
            <v>MARCOPOLO</v>
          </cell>
          <cell r="H1761" t="str">
            <v>GRAN VIALE</v>
          </cell>
          <cell r="I1761">
            <v>2020</v>
          </cell>
          <cell r="J1761" t="str">
            <v>C</v>
          </cell>
          <cell r="K1761" t="str">
            <v>Santa Rosa</v>
          </cell>
          <cell r="N1761" t="str">
            <v>C</v>
          </cell>
        </row>
        <row r="1762">
          <cell r="B1762" t="str">
            <v>LZPT-72</v>
          </cell>
          <cell r="C1762" t="str">
            <v>YV3T7U524LA201457</v>
          </cell>
          <cell r="D1762">
            <v>508050</v>
          </cell>
          <cell r="E1762" t="str">
            <v>VOLVO</v>
          </cell>
          <cell r="F1762" t="str">
            <v>B8RLEA</v>
          </cell>
          <cell r="G1762" t="str">
            <v>MARCOPOLO</v>
          </cell>
          <cell r="H1762" t="str">
            <v>GRAN VIALE</v>
          </cell>
          <cell r="I1762">
            <v>2020</v>
          </cell>
          <cell r="J1762" t="str">
            <v>C</v>
          </cell>
          <cell r="K1762" t="str">
            <v>Santa Rosa</v>
          </cell>
          <cell r="N1762" t="str">
            <v>C</v>
          </cell>
        </row>
        <row r="1763">
          <cell r="B1763" t="str">
            <v>LZPT-73</v>
          </cell>
          <cell r="C1763" t="str">
            <v>YV3T7U522LA201389</v>
          </cell>
          <cell r="D1763">
            <v>507531</v>
          </cell>
          <cell r="E1763" t="str">
            <v>VOLVO</v>
          </cell>
          <cell r="F1763" t="str">
            <v>B8RLEA</v>
          </cell>
          <cell r="G1763" t="str">
            <v>MARCOPOLO</v>
          </cell>
          <cell r="H1763" t="str">
            <v>GRAN VIALE</v>
          </cell>
          <cell r="I1763">
            <v>2020</v>
          </cell>
          <cell r="J1763" t="str">
            <v>C</v>
          </cell>
          <cell r="K1763" t="str">
            <v>Santa Rosa</v>
          </cell>
          <cell r="N1763" t="str">
            <v>C</v>
          </cell>
        </row>
        <row r="1764">
          <cell r="B1764" t="str">
            <v>LZPT-74</v>
          </cell>
          <cell r="C1764" t="str">
            <v>YV3T7U524LA201345</v>
          </cell>
          <cell r="D1764">
            <v>507748</v>
          </cell>
          <cell r="E1764" t="str">
            <v>VOLVO</v>
          </cell>
          <cell r="F1764" t="str">
            <v>B8RLEA</v>
          </cell>
          <cell r="G1764" t="str">
            <v>MARCOPOLO</v>
          </cell>
          <cell r="H1764" t="str">
            <v>GRAN VIALE</v>
          </cell>
          <cell r="I1764">
            <v>2020</v>
          </cell>
          <cell r="J1764" t="str">
            <v>C</v>
          </cell>
          <cell r="K1764" t="str">
            <v>Santa Rosa</v>
          </cell>
          <cell r="N1764" t="str">
            <v>C</v>
          </cell>
        </row>
        <row r="1765">
          <cell r="B1765" t="str">
            <v>LZPT-75</v>
          </cell>
          <cell r="C1765" t="str">
            <v>YV3T7U529LA201471</v>
          </cell>
          <cell r="D1765">
            <v>508084</v>
          </cell>
          <cell r="E1765" t="str">
            <v>VOLVO</v>
          </cell>
          <cell r="F1765" t="str">
            <v>B8RLEA</v>
          </cell>
          <cell r="G1765" t="str">
            <v>MARCOPOLO</v>
          </cell>
          <cell r="H1765" t="str">
            <v>GRAN VIALE</v>
          </cell>
          <cell r="I1765">
            <v>2020</v>
          </cell>
          <cell r="J1765" t="str">
            <v>C</v>
          </cell>
          <cell r="K1765" t="str">
            <v>Santa Rosa</v>
          </cell>
          <cell r="N1765" t="str">
            <v>C</v>
          </cell>
        </row>
        <row r="1766">
          <cell r="B1766" t="str">
            <v>LZPT-76</v>
          </cell>
          <cell r="C1766" t="str">
            <v>YV3T7U529LA201406</v>
          </cell>
          <cell r="D1766">
            <v>507795</v>
          </cell>
          <cell r="E1766" t="str">
            <v>VOLVO</v>
          </cell>
          <cell r="F1766" t="str">
            <v>B8RLEA</v>
          </cell>
          <cell r="G1766" t="str">
            <v>MARCOPOLO</v>
          </cell>
          <cell r="H1766" t="str">
            <v>GRAN VIALE</v>
          </cell>
          <cell r="I1766">
            <v>2020</v>
          </cell>
          <cell r="J1766" t="str">
            <v>C</v>
          </cell>
          <cell r="K1766" t="str">
            <v>Santa Rosa</v>
          </cell>
          <cell r="N1766" t="str">
            <v>C</v>
          </cell>
        </row>
        <row r="1767">
          <cell r="B1767" t="str">
            <v>LZPT-77</v>
          </cell>
          <cell r="C1767" t="str">
            <v>YV3T7U524LA201393</v>
          </cell>
          <cell r="D1767">
            <v>507522</v>
          </cell>
          <cell r="E1767" t="str">
            <v>VOLVO</v>
          </cell>
          <cell r="F1767" t="str">
            <v>B8RLEA</v>
          </cell>
          <cell r="G1767" t="str">
            <v>MARCOPOLO</v>
          </cell>
          <cell r="H1767" t="str">
            <v>GRAN VIALE</v>
          </cell>
          <cell r="I1767">
            <v>2020</v>
          </cell>
          <cell r="J1767" t="str">
            <v>C</v>
          </cell>
          <cell r="K1767" t="str">
            <v>Santa Rosa</v>
          </cell>
          <cell r="N1767" t="str">
            <v>C</v>
          </cell>
        </row>
        <row r="1768">
          <cell r="B1768" t="str">
            <v>LZPV-98</v>
          </cell>
          <cell r="C1768" t="str">
            <v>YV3T7U527LA201047</v>
          </cell>
          <cell r="D1768">
            <v>506628</v>
          </cell>
          <cell r="E1768" t="str">
            <v>VOLVO</v>
          </cell>
          <cell r="F1768" t="str">
            <v>B8RLEA</v>
          </cell>
          <cell r="G1768" t="str">
            <v>MARCOPOLO</v>
          </cell>
          <cell r="H1768" t="str">
            <v>GRAN VIALE</v>
          </cell>
          <cell r="I1768">
            <v>2020</v>
          </cell>
          <cell r="J1768" t="str">
            <v>C</v>
          </cell>
          <cell r="K1768" t="str">
            <v>Recoleta</v>
          </cell>
          <cell r="N1768" t="str">
            <v>C</v>
          </cell>
        </row>
        <row r="1769">
          <cell r="B1769" t="str">
            <v>LZPV-99</v>
          </cell>
          <cell r="C1769" t="str">
            <v>YV3T7U528LA201347</v>
          </cell>
          <cell r="D1769">
            <v>507710</v>
          </cell>
          <cell r="E1769" t="str">
            <v>VOLVO</v>
          </cell>
          <cell r="F1769" t="str">
            <v>B8RLEA</v>
          </cell>
          <cell r="G1769" t="str">
            <v>MARCOPOLO</v>
          </cell>
          <cell r="H1769" t="str">
            <v>GRAN VIALE</v>
          </cell>
          <cell r="I1769">
            <v>2020</v>
          </cell>
          <cell r="J1769" t="str">
            <v>C</v>
          </cell>
          <cell r="K1769" t="str">
            <v>Santa Rosa</v>
          </cell>
          <cell r="N1769" t="str">
            <v>C</v>
          </cell>
        </row>
        <row r="1770">
          <cell r="B1770" t="str">
            <v>LZPW-10</v>
          </cell>
          <cell r="C1770" t="str">
            <v>YV3T7U529LA201390</v>
          </cell>
          <cell r="D1770">
            <v>507489</v>
          </cell>
          <cell r="E1770" t="str">
            <v>VOLVO</v>
          </cell>
          <cell r="F1770" t="str">
            <v>B8RLEA</v>
          </cell>
          <cell r="G1770" t="str">
            <v>MARCOPOLO</v>
          </cell>
          <cell r="H1770" t="str">
            <v>GRAN VIALE</v>
          </cell>
          <cell r="I1770">
            <v>2020</v>
          </cell>
          <cell r="J1770" t="str">
            <v>C</v>
          </cell>
          <cell r="K1770" t="str">
            <v>Santa Rosa</v>
          </cell>
          <cell r="N1770" t="str">
            <v>C</v>
          </cell>
        </row>
        <row r="1771">
          <cell r="B1771" t="str">
            <v>LZPW-11</v>
          </cell>
          <cell r="C1771" t="str">
            <v>YV3T7U520LA201407</v>
          </cell>
          <cell r="D1771">
            <v>507762</v>
          </cell>
          <cell r="E1771" t="str">
            <v>VOLVO</v>
          </cell>
          <cell r="F1771" t="str">
            <v>B8RLEA</v>
          </cell>
          <cell r="G1771" t="str">
            <v>MARCOPOLO</v>
          </cell>
          <cell r="H1771" t="str">
            <v>GRAN VIALE</v>
          </cell>
          <cell r="I1771">
            <v>2020</v>
          </cell>
          <cell r="J1771" t="str">
            <v>C</v>
          </cell>
          <cell r="K1771" t="str">
            <v>Santa Rosa</v>
          </cell>
          <cell r="N1771" t="str">
            <v>C</v>
          </cell>
        </row>
        <row r="1772">
          <cell r="B1772" t="str">
            <v>LZPW-12</v>
          </cell>
          <cell r="C1772" t="str">
            <v>YV3T7U523LA201496</v>
          </cell>
          <cell r="D1772">
            <v>507817</v>
          </cell>
          <cell r="E1772" t="str">
            <v>VOLVO</v>
          </cell>
          <cell r="F1772" t="str">
            <v>B8RLEA</v>
          </cell>
          <cell r="G1772" t="str">
            <v>MARCOPOLO</v>
          </cell>
          <cell r="H1772" t="str">
            <v>GRAN VIALE</v>
          </cell>
          <cell r="I1772">
            <v>2020</v>
          </cell>
          <cell r="J1772" t="str">
            <v>C</v>
          </cell>
          <cell r="K1772" t="str">
            <v>Santa Rosa</v>
          </cell>
          <cell r="N1772" t="str">
            <v>C</v>
          </cell>
        </row>
        <row r="1773">
          <cell r="B1773" t="str">
            <v>LZPW-13</v>
          </cell>
          <cell r="C1773" t="str">
            <v>YV3T7U526LA201816</v>
          </cell>
          <cell r="D1773">
            <v>509236</v>
          </cell>
          <cell r="E1773" t="str">
            <v>VOLVO</v>
          </cell>
          <cell r="F1773" t="str">
            <v>B8RLEA</v>
          </cell>
          <cell r="G1773" t="str">
            <v>MARCOPOLO</v>
          </cell>
          <cell r="H1773" t="str">
            <v>GRAN VIALE</v>
          </cell>
          <cell r="I1773">
            <v>2020</v>
          </cell>
          <cell r="J1773" t="str">
            <v>C</v>
          </cell>
          <cell r="K1773" t="str">
            <v>Santa Rosa</v>
          </cell>
          <cell r="N1773" t="str">
            <v>C</v>
          </cell>
        </row>
        <row r="1774">
          <cell r="B1774" t="str">
            <v>LZPW-14</v>
          </cell>
          <cell r="C1774" t="str">
            <v>YV3T7U528LA201154</v>
          </cell>
          <cell r="D1774">
            <v>507070</v>
          </cell>
          <cell r="E1774" t="str">
            <v>VOLVO</v>
          </cell>
          <cell r="F1774" t="str">
            <v>B8RLEA</v>
          </cell>
          <cell r="G1774" t="str">
            <v>MARCOPOLO</v>
          </cell>
          <cell r="H1774" t="str">
            <v>GRAN VIALE</v>
          </cell>
          <cell r="I1774">
            <v>2020</v>
          </cell>
          <cell r="J1774" t="str">
            <v>C</v>
          </cell>
          <cell r="K1774" t="str">
            <v>Recoleta</v>
          </cell>
          <cell r="N1774" t="str">
            <v>C</v>
          </cell>
        </row>
        <row r="1775">
          <cell r="B1775" t="str">
            <v>LZPW-15</v>
          </cell>
          <cell r="C1775" t="str">
            <v>YV3T7U521LA201318</v>
          </cell>
          <cell r="D1775">
            <v>507658</v>
          </cell>
          <cell r="E1775" t="str">
            <v>VOLVO</v>
          </cell>
          <cell r="F1775" t="str">
            <v>B8RLEA</v>
          </cell>
          <cell r="G1775" t="str">
            <v>MARCOPOLO</v>
          </cell>
          <cell r="H1775" t="str">
            <v>GRAN VIALE</v>
          </cell>
          <cell r="I1775">
            <v>2020</v>
          </cell>
          <cell r="J1775" t="str">
            <v>C</v>
          </cell>
          <cell r="K1775" t="str">
            <v>Santa Rosa</v>
          </cell>
          <cell r="N1775" t="str">
            <v>C</v>
          </cell>
        </row>
        <row r="1776">
          <cell r="B1776" t="str">
            <v>LZPW-16</v>
          </cell>
          <cell r="C1776" t="str">
            <v>YV3T7U523LA201319</v>
          </cell>
          <cell r="D1776">
            <v>507679</v>
          </cell>
          <cell r="E1776" t="str">
            <v>VOLVO</v>
          </cell>
          <cell r="F1776" t="str">
            <v>B8RLEA</v>
          </cell>
          <cell r="G1776" t="str">
            <v>MARCOPOLO</v>
          </cell>
          <cell r="H1776" t="str">
            <v>GRAN VIALE</v>
          </cell>
          <cell r="I1776">
            <v>2020</v>
          </cell>
          <cell r="J1776" t="str">
            <v>C</v>
          </cell>
          <cell r="K1776" t="str">
            <v>Santa Rosa</v>
          </cell>
          <cell r="N1776" t="str">
            <v>C</v>
          </cell>
        </row>
        <row r="1777">
          <cell r="B1777" t="str">
            <v>LZPW-17</v>
          </cell>
          <cell r="C1777" t="str">
            <v>YV3T7U521LA201321</v>
          </cell>
          <cell r="D1777">
            <v>507655</v>
          </cell>
          <cell r="E1777" t="str">
            <v>VOLVO</v>
          </cell>
          <cell r="F1777" t="str">
            <v>B8RLEA</v>
          </cell>
          <cell r="G1777" t="str">
            <v>MARCOPOLO</v>
          </cell>
          <cell r="H1777" t="str">
            <v>GRAN VIALE</v>
          </cell>
          <cell r="I1777">
            <v>2020</v>
          </cell>
          <cell r="J1777" t="str">
            <v>C</v>
          </cell>
          <cell r="K1777" t="str">
            <v>Santa Rosa</v>
          </cell>
          <cell r="N1777" t="str">
            <v>C</v>
          </cell>
        </row>
        <row r="1778">
          <cell r="B1778" t="str">
            <v>LZPW-18</v>
          </cell>
          <cell r="C1778" t="str">
            <v>YV3T7U52XLA201348</v>
          </cell>
          <cell r="D1778">
            <v>507719</v>
          </cell>
          <cell r="E1778" t="str">
            <v>VOLVO</v>
          </cell>
          <cell r="F1778" t="str">
            <v>B8RLEA</v>
          </cell>
          <cell r="G1778" t="str">
            <v>MARCOPOLO</v>
          </cell>
          <cell r="H1778" t="str">
            <v>GRAN VIALE</v>
          </cell>
          <cell r="I1778">
            <v>2020</v>
          </cell>
          <cell r="J1778" t="str">
            <v>C</v>
          </cell>
          <cell r="K1778" t="str">
            <v>Santa Rosa</v>
          </cell>
          <cell r="N1778" t="str">
            <v>C</v>
          </cell>
        </row>
        <row r="1779">
          <cell r="B1779" t="str">
            <v>LZPW-19</v>
          </cell>
          <cell r="C1779" t="str">
            <v>YV3T7U527LA201405</v>
          </cell>
          <cell r="D1779">
            <v>507775</v>
          </cell>
          <cell r="E1779" t="str">
            <v>VOLVO</v>
          </cell>
          <cell r="F1779" t="str">
            <v>B8RLEA</v>
          </cell>
          <cell r="G1779" t="str">
            <v>MARCOPOLO</v>
          </cell>
          <cell r="H1779" t="str">
            <v>GRAN VIALE</v>
          </cell>
          <cell r="I1779">
            <v>2020</v>
          </cell>
          <cell r="J1779" t="str">
            <v>C</v>
          </cell>
          <cell r="K1779" t="str">
            <v>Santa Rosa</v>
          </cell>
          <cell r="N1779" t="str">
            <v>C</v>
          </cell>
        </row>
        <row r="1780">
          <cell r="B1780" t="str">
            <v>LZPW-20</v>
          </cell>
          <cell r="C1780" t="str">
            <v>YV3T7U521LA198727</v>
          </cell>
          <cell r="D1780">
            <v>508214</v>
          </cell>
          <cell r="E1780" t="str">
            <v>VOLVO</v>
          </cell>
          <cell r="F1780" t="str">
            <v>B8RLEA</v>
          </cell>
          <cell r="G1780" t="str">
            <v>MARCOPOLO</v>
          </cell>
          <cell r="H1780" t="str">
            <v>GRAN VIALE</v>
          </cell>
          <cell r="I1780">
            <v>2020</v>
          </cell>
          <cell r="J1780" t="str">
            <v>C</v>
          </cell>
          <cell r="K1780" t="str">
            <v>Santa Rosa</v>
          </cell>
          <cell r="N1780" t="str">
            <v>C</v>
          </cell>
        </row>
        <row r="1781">
          <cell r="B1781" t="str">
            <v>LZPW-21</v>
          </cell>
          <cell r="C1781" t="str">
            <v>YV3T7U528LA201669</v>
          </cell>
          <cell r="D1781">
            <v>508621</v>
          </cell>
          <cell r="E1781" t="str">
            <v>VOLVO</v>
          </cell>
          <cell r="F1781" t="str">
            <v>B8RLEA</v>
          </cell>
          <cell r="G1781" t="str">
            <v>MARCOPOLO</v>
          </cell>
          <cell r="H1781" t="str">
            <v>GRAN VIALE</v>
          </cell>
          <cell r="I1781">
            <v>2020</v>
          </cell>
          <cell r="J1781" t="str">
            <v>C</v>
          </cell>
          <cell r="K1781" t="str">
            <v>Santa Rosa</v>
          </cell>
          <cell r="N1781" t="str">
            <v>C</v>
          </cell>
        </row>
        <row r="1782">
          <cell r="B1782" t="str">
            <v>LZPW-22</v>
          </cell>
          <cell r="C1782" t="str">
            <v>YV3T7U520LA201391</v>
          </cell>
          <cell r="D1782">
            <v>507509</v>
          </cell>
          <cell r="E1782" t="str">
            <v>VOLVO</v>
          </cell>
          <cell r="F1782" t="str">
            <v>B8RLEA</v>
          </cell>
          <cell r="G1782" t="str">
            <v>MARCOPOLO</v>
          </cell>
          <cell r="H1782" t="str">
            <v>GRAN VIALE</v>
          </cell>
          <cell r="I1782">
            <v>2020</v>
          </cell>
          <cell r="J1782" t="str">
            <v>C</v>
          </cell>
          <cell r="K1782" t="str">
            <v>Santa Rosa</v>
          </cell>
          <cell r="N1782" t="str">
            <v>C</v>
          </cell>
        </row>
        <row r="1783">
          <cell r="B1783" t="str">
            <v>LZRB-82</v>
          </cell>
          <cell r="C1783" t="str">
            <v>YV3T7U520LA201097</v>
          </cell>
          <cell r="D1783">
            <v>507017</v>
          </cell>
          <cell r="E1783" t="str">
            <v>VOLVO</v>
          </cell>
          <cell r="F1783" t="str">
            <v>B8RLEA</v>
          </cell>
          <cell r="G1783" t="str">
            <v>MARCOPOLO</v>
          </cell>
          <cell r="H1783" t="str">
            <v>GRAN VIALE</v>
          </cell>
          <cell r="I1783">
            <v>2020</v>
          </cell>
          <cell r="J1783" t="str">
            <v>C</v>
          </cell>
          <cell r="K1783" t="str">
            <v>Recoleta</v>
          </cell>
          <cell r="N1783" t="str">
            <v>C</v>
          </cell>
        </row>
        <row r="1784">
          <cell r="B1784" t="str">
            <v>LZRB-83</v>
          </cell>
          <cell r="C1784" t="str">
            <v>YV3T7U528LA201476</v>
          </cell>
          <cell r="D1784">
            <v>507871</v>
          </cell>
          <cell r="E1784" t="str">
            <v>VOLVO</v>
          </cell>
          <cell r="F1784" t="str">
            <v>B8RLEA</v>
          </cell>
          <cell r="G1784" t="str">
            <v>MARCOPOLO</v>
          </cell>
          <cell r="H1784" t="str">
            <v>GRAN VIALE</v>
          </cell>
          <cell r="I1784">
            <v>2020</v>
          </cell>
          <cell r="J1784" t="str">
            <v>C</v>
          </cell>
          <cell r="K1784" t="str">
            <v>Santa Rosa</v>
          </cell>
          <cell r="N1784" t="str">
            <v>C</v>
          </cell>
        </row>
        <row r="1785">
          <cell r="B1785" t="str">
            <v>LZRB-84</v>
          </cell>
          <cell r="C1785" t="str">
            <v>YV3T7U524LA201815</v>
          </cell>
          <cell r="D1785">
            <v>509217</v>
          </cell>
          <cell r="E1785" t="str">
            <v>VOLVO</v>
          </cell>
          <cell r="F1785" t="str">
            <v>B8RLEA</v>
          </cell>
          <cell r="G1785" t="str">
            <v>MARCOPOLO</v>
          </cell>
          <cell r="H1785" t="str">
            <v>GRAN VIALE</v>
          </cell>
          <cell r="I1785">
            <v>2020</v>
          </cell>
          <cell r="J1785" t="str">
            <v>C</v>
          </cell>
          <cell r="K1785" t="str">
            <v>Santa Rosa</v>
          </cell>
          <cell r="N1785" t="str">
            <v>C</v>
          </cell>
        </row>
        <row r="1786">
          <cell r="B1786" t="str">
            <v>LZRB-85</v>
          </cell>
          <cell r="C1786" t="str">
            <v>YV3T7U522LA201666</v>
          </cell>
          <cell r="D1786">
            <v>508593</v>
          </cell>
          <cell r="E1786" t="str">
            <v>VOLVO</v>
          </cell>
          <cell r="F1786" t="str">
            <v>B8RLEA</v>
          </cell>
          <cell r="G1786" t="str">
            <v>MARCOPOLO</v>
          </cell>
          <cell r="H1786" t="str">
            <v>GRAN VIALE</v>
          </cell>
          <cell r="I1786">
            <v>2020</v>
          </cell>
          <cell r="J1786" t="str">
            <v>C</v>
          </cell>
          <cell r="K1786" t="str">
            <v>Santa Rosa</v>
          </cell>
          <cell r="N1786" t="str">
            <v>C</v>
          </cell>
        </row>
        <row r="1787">
          <cell r="B1787" t="str">
            <v>LZRB-86</v>
          </cell>
          <cell r="C1787" t="str">
            <v>YV3T7U529LA201924</v>
          </cell>
          <cell r="D1787">
            <v>509325</v>
          </cell>
          <cell r="E1787" t="str">
            <v>VOLVO</v>
          </cell>
          <cell r="F1787" t="str">
            <v>B8RLEA</v>
          </cell>
          <cell r="G1787" t="str">
            <v>MARCOPOLO</v>
          </cell>
          <cell r="H1787" t="str">
            <v>GRAN VIALE</v>
          </cell>
          <cell r="I1787">
            <v>2020</v>
          </cell>
          <cell r="J1787" t="str">
            <v>C</v>
          </cell>
          <cell r="K1787" t="str">
            <v>Santa Rosa</v>
          </cell>
          <cell r="N1787" t="str">
            <v>C</v>
          </cell>
        </row>
        <row r="1788">
          <cell r="B1788" t="str">
            <v>LZRB-87</v>
          </cell>
          <cell r="C1788" t="str">
            <v>YV3T7U521LA201903</v>
          </cell>
          <cell r="D1788">
            <v>509608</v>
          </cell>
          <cell r="E1788" t="str">
            <v>VOLVO</v>
          </cell>
          <cell r="F1788" t="str">
            <v>B8RLEA</v>
          </cell>
          <cell r="G1788" t="str">
            <v>MARCOPOLO</v>
          </cell>
          <cell r="H1788" t="str">
            <v>GRAN VIALE</v>
          </cell>
          <cell r="I1788">
            <v>2020</v>
          </cell>
          <cell r="J1788" t="str">
            <v>C</v>
          </cell>
          <cell r="K1788" t="str">
            <v>Santa Rosa</v>
          </cell>
          <cell r="N1788" t="str">
            <v>C</v>
          </cell>
        </row>
        <row r="1789">
          <cell r="B1789" t="str">
            <v>LZRB-88</v>
          </cell>
          <cell r="C1789" t="str">
            <v>YV3T7U523LA201921</v>
          </cell>
          <cell r="D1789">
            <v>509543</v>
          </cell>
          <cell r="E1789" t="str">
            <v>VOLVO</v>
          </cell>
          <cell r="F1789" t="str">
            <v>B8RLEA</v>
          </cell>
          <cell r="G1789" t="str">
            <v>MARCOPOLO</v>
          </cell>
          <cell r="H1789" t="str">
            <v>GRAN VIALE</v>
          </cell>
          <cell r="I1789">
            <v>2020</v>
          </cell>
          <cell r="J1789" t="str">
            <v>C</v>
          </cell>
          <cell r="K1789" t="str">
            <v>Santa Rosa</v>
          </cell>
          <cell r="N1789" t="str">
            <v>C</v>
          </cell>
        </row>
        <row r="1790">
          <cell r="B1790" t="str">
            <v>SFVZ-29</v>
          </cell>
          <cell r="C1790" t="str">
            <v>LVCB4L4DXMM003870</v>
          </cell>
          <cell r="D1790" t="str">
            <v>M221100546</v>
          </cell>
          <cell r="E1790" t="str">
            <v>FOTON</v>
          </cell>
          <cell r="F1790" t="str">
            <v>EBUS U12 SC</v>
          </cell>
          <cell r="G1790" t="str">
            <v>FOTON</v>
          </cell>
          <cell r="H1790" t="str">
            <v>EBUS U12 SC</v>
          </cell>
          <cell r="I1790">
            <v>2022</v>
          </cell>
          <cell r="J1790" t="str">
            <v>B</v>
          </cell>
          <cell r="K1790" t="str">
            <v>Ducaud</v>
          </cell>
          <cell r="N1790" t="str">
            <v>B</v>
          </cell>
        </row>
        <row r="1791">
          <cell r="B1791" t="str">
            <v>SFVZ-39</v>
          </cell>
          <cell r="C1791" t="str">
            <v>LVCB4L4D5MM003646</v>
          </cell>
          <cell r="D1791" t="str">
            <v>M221100541</v>
          </cell>
          <cell r="E1791" t="str">
            <v>FOTON</v>
          </cell>
          <cell r="F1791" t="str">
            <v>EBUS U12 SC</v>
          </cell>
          <cell r="G1791" t="str">
            <v>FOTON</v>
          </cell>
          <cell r="H1791" t="str">
            <v>EBUS U12 SC</v>
          </cell>
          <cell r="I1791">
            <v>2022</v>
          </cell>
          <cell r="J1791" t="str">
            <v>B</v>
          </cell>
          <cell r="K1791" t="str">
            <v>Ducaud</v>
          </cell>
          <cell r="N1791" t="str">
            <v>B</v>
          </cell>
        </row>
        <row r="1792">
          <cell r="B1792" t="str">
            <v>SFVZ-40</v>
          </cell>
          <cell r="C1792" t="str">
            <v>LVCB4L4D3MM003872</v>
          </cell>
          <cell r="D1792" t="str">
            <v>M221100304</v>
          </cell>
          <cell r="E1792" t="str">
            <v>FOTON</v>
          </cell>
          <cell r="F1792" t="str">
            <v>EBUS U12 SC</v>
          </cell>
          <cell r="G1792" t="str">
            <v>FOTON</v>
          </cell>
          <cell r="H1792" t="str">
            <v>EBUS U12 SC</v>
          </cell>
          <cell r="I1792">
            <v>2022</v>
          </cell>
          <cell r="J1792" t="str">
            <v>B</v>
          </cell>
          <cell r="K1792" t="str">
            <v>Santa Rosa</v>
          </cell>
          <cell r="N1792" t="str">
            <v>B</v>
          </cell>
        </row>
        <row r="1793">
          <cell r="B1793" t="str">
            <v>SFVZ-44</v>
          </cell>
          <cell r="C1793" t="str">
            <v>LVCB4L4D9MM003875</v>
          </cell>
          <cell r="D1793" t="str">
            <v>M221100438</v>
          </cell>
          <cell r="E1793" t="str">
            <v>FOTON</v>
          </cell>
          <cell r="F1793" t="str">
            <v>EBUS U12 SC</v>
          </cell>
          <cell r="G1793" t="str">
            <v>FOTON</v>
          </cell>
          <cell r="H1793" t="str">
            <v>EBUS U12 SC</v>
          </cell>
          <cell r="I1793">
            <v>2022</v>
          </cell>
          <cell r="J1793" t="str">
            <v>B</v>
          </cell>
          <cell r="K1793" t="str">
            <v>Santa Rosa</v>
          </cell>
          <cell r="N1793" t="str">
            <v>B</v>
          </cell>
        </row>
        <row r="1794">
          <cell r="B1794" t="str">
            <v>SFVZ-49</v>
          </cell>
          <cell r="C1794" t="str">
            <v>LVCB4L4D0MM003876</v>
          </cell>
          <cell r="D1794" t="str">
            <v>M221100544</v>
          </cell>
          <cell r="E1794" t="str">
            <v>FOTON</v>
          </cell>
          <cell r="F1794" t="str">
            <v>EBUS U12 SC</v>
          </cell>
          <cell r="G1794" t="str">
            <v>FOTON</v>
          </cell>
          <cell r="H1794" t="str">
            <v>EBUS U12 SC</v>
          </cell>
          <cell r="I1794">
            <v>2022</v>
          </cell>
          <cell r="J1794" t="str">
            <v>B</v>
          </cell>
          <cell r="K1794" t="str">
            <v>Santa Rosa</v>
          </cell>
          <cell r="N1794" t="str">
            <v>B</v>
          </cell>
        </row>
        <row r="1795">
          <cell r="B1795" t="str">
            <v>SFVZ-56</v>
          </cell>
          <cell r="C1795" t="str">
            <v>LVCB4L4D2MM003877</v>
          </cell>
          <cell r="D1795" t="str">
            <v>M221100558</v>
          </cell>
          <cell r="E1795" t="str">
            <v>FOTON</v>
          </cell>
          <cell r="F1795" t="str">
            <v>EBUS U12 SC</v>
          </cell>
          <cell r="G1795" t="str">
            <v>FOTON</v>
          </cell>
          <cell r="H1795" t="str">
            <v>EBUS U12 SC</v>
          </cell>
          <cell r="I1795">
            <v>2022</v>
          </cell>
          <cell r="J1795" t="str">
            <v>B</v>
          </cell>
          <cell r="K1795" t="str">
            <v>Santa Rosa</v>
          </cell>
          <cell r="N1795" t="str">
            <v>B</v>
          </cell>
        </row>
        <row r="1796">
          <cell r="B1796" t="str">
            <v>SFVZ-60</v>
          </cell>
          <cell r="C1796" t="str">
            <v>LVCB4L4D6MM003879</v>
          </cell>
          <cell r="D1796" t="str">
            <v>M221110022</v>
          </cell>
          <cell r="E1796" t="str">
            <v>FOTON</v>
          </cell>
          <cell r="F1796" t="str">
            <v>EBUS U12 SC</v>
          </cell>
          <cell r="G1796" t="str">
            <v>FOTON</v>
          </cell>
          <cell r="H1796" t="str">
            <v>EBUS U12 SC</v>
          </cell>
          <cell r="I1796">
            <v>2022</v>
          </cell>
          <cell r="J1796" t="str">
            <v>B</v>
          </cell>
          <cell r="K1796" t="str">
            <v>Lo Blanco</v>
          </cell>
          <cell r="N1796" t="str">
            <v>B</v>
          </cell>
        </row>
        <row r="1797">
          <cell r="B1797" t="str">
            <v>SFVZ-63</v>
          </cell>
          <cell r="C1797" t="str">
            <v>LVCB4L4D2MM003880</v>
          </cell>
          <cell r="D1797" t="str">
            <v>M221100408</v>
          </cell>
          <cell r="E1797" t="str">
            <v>FOTON</v>
          </cell>
          <cell r="F1797" t="str">
            <v>EBUS U12 SC</v>
          </cell>
          <cell r="G1797" t="str">
            <v>FOTON</v>
          </cell>
          <cell r="H1797" t="str">
            <v>EBUS U12 SC</v>
          </cell>
          <cell r="I1797">
            <v>2022</v>
          </cell>
          <cell r="J1797" t="str">
            <v>B</v>
          </cell>
          <cell r="K1797" t="str">
            <v>Santa Rosa</v>
          </cell>
          <cell r="N1797" t="str">
            <v>B</v>
          </cell>
        </row>
        <row r="1798">
          <cell r="B1798" t="str">
            <v>SFVZ-67</v>
          </cell>
          <cell r="C1798" t="str">
            <v>LVCB4L4D4MM003881</v>
          </cell>
          <cell r="D1798" t="str">
            <v>M221110108</v>
          </cell>
          <cell r="E1798" t="str">
            <v>FOTON</v>
          </cell>
          <cell r="F1798" t="str">
            <v>EBUS U12 SC</v>
          </cell>
          <cell r="G1798" t="str">
            <v>FOTON</v>
          </cell>
          <cell r="H1798" t="str">
            <v>EBUS U12 SC</v>
          </cell>
          <cell r="I1798">
            <v>2022</v>
          </cell>
          <cell r="J1798" t="str">
            <v>B</v>
          </cell>
          <cell r="K1798" t="str">
            <v>Santa Rosa</v>
          </cell>
          <cell r="N1798" t="str">
            <v>B</v>
          </cell>
        </row>
        <row r="1799">
          <cell r="B1799" t="str">
            <v>SFVZ-70</v>
          </cell>
          <cell r="C1799" t="str">
            <v>LVCB4L4D6MM003882</v>
          </cell>
          <cell r="D1799" t="str">
            <v>M221100437</v>
          </cell>
          <cell r="E1799" t="str">
            <v>FOTON</v>
          </cell>
          <cell r="F1799" t="str">
            <v>EBUS U12 SC</v>
          </cell>
          <cell r="G1799" t="str">
            <v>FOTON</v>
          </cell>
          <cell r="H1799" t="str">
            <v>EBUS U12 SC</v>
          </cell>
          <cell r="I1799">
            <v>2022</v>
          </cell>
          <cell r="J1799" t="str">
            <v>B</v>
          </cell>
          <cell r="K1799" t="str">
            <v>Santa Rosa</v>
          </cell>
          <cell r="N1799" t="str">
            <v>B</v>
          </cell>
        </row>
        <row r="1800">
          <cell r="B1800" t="str">
            <v>SFVZ-80</v>
          </cell>
          <cell r="C1800" t="str">
            <v>LVCB4L4D8MM003883</v>
          </cell>
          <cell r="D1800" t="str">
            <v>M221100477</v>
          </cell>
          <cell r="E1800" t="str">
            <v>FOTON</v>
          </cell>
          <cell r="F1800" t="str">
            <v>EBUS U12 SC</v>
          </cell>
          <cell r="G1800" t="str">
            <v>FOTON</v>
          </cell>
          <cell r="H1800" t="str">
            <v>EBUS U12 SC</v>
          </cell>
          <cell r="I1800">
            <v>2022</v>
          </cell>
          <cell r="J1800" t="str">
            <v>B</v>
          </cell>
          <cell r="K1800" t="str">
            <v>Santa Rosa</v>
          </cell>
          <cell r="N1800" t="str">
            <v>B</v>
          </cell>
        </row>
        <row r="1801">
          <cell r="B1801" t="str">
            <v>SFVZ-81</v>
          </cell>
          <cell r="C1801" t="str">
            <v>LVCB4L4D1MM003885</v>
          </cell>
          <cell r="D1801" t="str">
            <v>M221100475</v>
          </cell>
          <cell r="E1801" t="str">
            <v>FOTON</v>
          </cell>
          <cell r="F1801" t="str">
            <v>EBUS U12 SC</v>
          </cell>
          <cell r="G1801" t="str">
            <v>FOTON</v>
          </cell>
          <cell r="H1801" t="str">
            <v>EBUS U12 SC</v>
          </cell>
          <cell r="I1801">
            <v>2022</v>
          </cell>
          <cell r="J1801" t="str">
            <v>B</v>
          </cell>
          <cell r="K1801" t="str">
            <v>Santa Rosa</v>
          </cell>
          <cell r="N1801" t="str">
            <v>B</v>
          </cell>
        </row>
        <row r="1802">
          <cell r="B1802" t="str">
            <v>SFVZ-85</v>
          </cell>
          <cell r="C1802" t="str">
            <v>LVCB4L4D3MM003886</v>
          </cell>
          <cell r="D1802" t="str">
            <v>M221100543</v>
          </cell>
          <cell r="E1802" t="str">
            <v>FOTON</v>
          </cell>
          <cell r="F1802" t="str">
            <v>EBUS U12 SC</v>
          </cell>
          <cell r="G1802" t="str">
            <v>FOTON</v>
          </cell>
          <cell r="H1802" t="str">
            <v>EBUS U12 SC</v>
          </cell>
          <cell r="I1802">
            <v>2022</v>
          </cell>
          <cell r="J1802" t="str">
            <v>B</v>
          </cell>
          <cell r="K1802" t="str">
            <v>Santa Rosa</v>
          </cell>
          <cell r="N1802" t="str">
            <v>B</v>
          </cell>
        </row>
        <row r="1803">
          <cell r="B1803" t="str">
            <v>SFVZ-86</v>
          </cell>
          <cell r="C1803" t="str">
            <v>LVCB4L4D5MM003887</v>
          </cell>
          <cell r="D1803" t="str">
            <v>M221110021</v>
          </cell>
          <cell r="E1803" t="str">
            <v>FOTON</v>
          </cell>
          <cell r="F1803" t="str">
            <v>EBUS U12 SC</v>
          </cell>
          <cell r="G1803" t="str">
            <v>FOTON</v>
          </cell>
          <cell r="H1803" t="str">
            <v>EBUS U12 SC</v>
          </cell>
          <cell r="I1803">
            <v>2022</v>
          </cell>
          <cell r="J1803" t="str">
            <v>B</v>
          </cell>
          <cell r="K1803" t="str">
            <v>Santa Rosa</v>
          </cell>
          <cell r="N1803" t="str">
            <v>B</v>
          </cell>
        </row>
        <row r="1804">
          <cell r="B1804" t="str">
            <v>SFVZ-87</v>
          </cell>
          <cell r="C1804" t="str">
            <v>LVCB4L4D7MM003888</v>
          </cell>
          <cell r="D1804" t="str">
            <v>M221100297</v>
          </cell>
          <cell r="E1804" t="str">
            <v>FOTON</v>
          </cell>
          <cell r="F1804" t="str">
            <v>EBUS U12 SC</v>
          </cell>
          <cell r="G1804" t="str">
            <v>FOTON</v>
          </cell>
          <cell r="H1804" t="str">
            <v>EBUS U12 SC</v>
          </cell>
          <cell r="I1804">
            <v>2022</v>
          </cell>
          <cell r="J1804" t="str">
            <v>B</v>
          </cell>
          <cell r="K1804" t="str">
            <v>Lo Blanco</v>
          </cell>
          <cell r="N1804" t="str">
            <v>B</v>
          </cell>
        </row>
        <row r="1805">
          <cell r="B1805" t="str">
            <v>SFVZ-94</v>
          </cell>
          <cell r="C1805" t="str">
            <v>LVCB4L4D9MM003889</v>
          </cell>
          <cell r="D1805" t="str">
            <v>M221100396</v>
          </cell>
          <cell r="E1805" t="str">
            <v>FOTON</v>
          </cell>
          <cell r="F1805" t="str">
            <v>EBUS U12 SC</v>
          </cell>
          <cell r="G1805" t="str">
            <v>FOTON</v>
          </cell>
          <cell r="H1805" t="str">
            <v>EBUS U12 SC</v>
          </cell>
          <cell r="I1805">
            <v>2022</v>
          </cell>
          <cell r="J1805" t="str">
            <v>B</v>
          </cell>
          <cell r="K1805" t="str">
            <v>Recoleta</v>
          </cell>
          <cell r="N1805" t="str">
            <v>B</v>
          </cell>
        </row>
        <row r="1806">
          <cell r="B1806" t="str">
            <v>SFVZ-96</v>
          </cell>
          <cell r="C1806" t="str">
            <v>LVCB4L4D5MM003890</v>
          </cell>
          <cell r="D1806" t="str">
            <v>M221100305</v>
          </cell>
          <cell r="E1806" t="str">
            <v>FOTON</v>
          </cell>
          <cell r="F1806" t="str">
            <v>EBUS U12 SC</v>
          </cell>
          <cell r="G1806" t="str">
            <v>FOTON</v>
          </cell>
          <cell r="H1806" t="str">
            <v>EBUS U12 SC</v>
          </cell>
          <cell r="I1806">
            <v>2022</v>
          </cell>
          <cell r="J1806" t="str">
            <v>B</v>
          </cell>
          <cell r="K1806" t="str">
            <v>Santa Rosa</v>
          </cell>
          <cell r="N1806" t="str">
            <v>B</v>
          </cell>
        </row>
        <row r="1807">
          <cell r="B1807" t="str">
            <v>SFWB-10</v>
          </cell>
          <cell r="C1807" t="str">
            <v>LVCB4L4D9MM003892</v>
          </cell>
          <cell r="D1807" t="str">
            <v>M221110101</v>
          </cell>
          <cell r="E1807" t="str">
            <v>FOTON</v>
          </cell>
          <cell r="F1807" t="str">
            <v>EBUS U12 SC</v>
          </cell>
          <cell r="G1807" t="str">
            <v>FOTON</v>
          </cell>
          <cell r="H1807" t="str">
            <v>EBUS U12 SC</v>
          </cell>
          <cell r="I1807">
            <v>2022</v>
          </cell>
          <cell r="J1807" t="str">
            <v>B</v>
          </cell>
          <cell r="K1807" t="str">
            <v>Recoleta</v>
          </cell>
          <cell r="N1807" t="str">
            <v>B</v>
          </cell>
        </row>
        <row r="1808">
          <cell r="B1808" t="str">
            <v>SFWB-14</v>
          </cell>
          <cell r="C1808" t="str">
            <v>LVCB4L4D0MM003893</v>
          </cell>
          <cell r="D1808" t="str">
            <v>M221100547</v>
          </cell>
          <cell r="E1808" t="str">
            <v>FOTON</v>
          </cell>
          <cell r="F1808" t="str">
            <v>EBUS U12 SC</v>
          </cell>
          <cell r="G1808" t="str">
            <v>FOTON</v>
          </cell>
          <cell r="H1808" t="str">
            <v>EBUS U12 SC</v>
          </cell>
          <cell r="I1808">
            <v>2022</v>
          </cell>
          <cell r="J1808" t="str">
            <v>B</v>
          </cell>
          <cell r="K1808" t="str">
            <v>Santa Rosa</v>
          </cell>
          <cell r="N1808" t="str">
            <v>B</v>
          </cell>
        </row>
        <row r="1809">
          <cell r="B1809" t="str">
            <v>SFWB-16</v>
          </cell>
          <cell r="C1809" t="str">
            <v>LVCB4L4D4MM003895</v>
          </cell>
          <cell r="D1809" t="str">
            <v>M221100515</v>
          </cell>
          <cell r="E1809" t="str">
            <v>FOTON</v>
          </cell>
          <cell r="F1809" t="str">
            <v>EBUS U12 SC</v>
          </cell>
          <cell r="G1809" t="str">
            <v>FOTON</v>
          </cell>
          <cell r="H1809" t="str">
            <v>EBUS U12 SC</v>
          </cell>
          <cell r="I1809">
            <v>2022</v>
          </cell>
          <cell r="J1809" t="str">
            <v>B</v>
          </cell>
          <cell r="K1809" t="str">
            <v>Recoleta</v>
          </cell>
          <cell r="N1809" t="str">
            <v>B</v>
          </cell>
        </row>
        <row r="1810">
          <cell r="B1810" t="str">
            <v>SFWB-21</v>
          </cell>
          <cell r="C1810" t="str">
            <v>LVCB4L4DXMM003898</v>
          </cell>
          <cell r="D1810" t="str">
            <v>M221110024</v>
          </cell>
          <cell r="E1810" t="str">
            <v>FOTON</v>
          </cell>
          <cell r="F1810" t="str">
            <v>EBUS U12 SC</v>
          </cell>
          <cell r="G1810" t="str">
            <v>FOTON</v>
          </cell>
          <cell r="H1810" t="str">
            <v>EBUS U12 SC</v>
          </cell>
          <cell r="I1810">
            <v>2022</v>
          </cell>
          <cell r="J1810" t="str">
            <v>B</v>
          </cell>
          <cell r="K1810" t="str">
            <v>Santa Rosa</v>
          </cell>
          <cell r="N1810" t="str">
            <v>B</v>
          </cell>
        </row>
        <row r="1811">
          <cell r="B1811" t="str">
            <v>SFWB-24</v>
          </cell>
          <cell r="C1811" t="str">
            <v>LVCB4L4D1MM003899</v>
          </cell>
          <cell r="D1811" t="str">
            <v>M221100443</v>
          </cell>
          <cell r="E1811" t="str">
            <v>FOTON</v>
          </cell>
          <cell r="F1811" t="str">
            <v>EBUS U12 SC</v>
          </cell>
          <cell r="G1811" t="str">
            <v>FOTON</v>
          </cell>
          <cell r="H1811" t="str">
            <v>EBUS U12 SC</v>
          </cell>
          <cell r="I1811">
            <v>2022</v>
          </cell>
          <cell r="J1811" t="str">
            <v>B</v>
          </cell>
          <cell r="K1811" t="str">
            <v>Santa Rosa</v>
          </cell>
          <cell r="N1811" t="str">
            <v>B</v>
          </cell>
        </row>
        <row r="1812">
          <cell r="B1812" t="str">
            <v>SFWB-28</v>
          </cell>
          <cell r="C1812" t="str">
            <v>LVCB4L4D8MM003902</v>
          </cell>
          <cell r="D1812" t="str">
            <v>M221100309</v>
          </cell>
          <cell r="E1812" t="str">
            <v>FOTON</v>
          </cell>
          <cell r="F1812" t="str">
            <v>EBUS U12 SC</v>
          </cell>
          <cell r="G1812" t="str">
            <v>FOTON</v>
          </cell>
          <cell r="H1812" t="str">
            <v>EBUS U12 SC</v>
          </cell>
          <cell r="I1812">
            <v>2022</v>
          </cell>
          <cell r="J1812" t="str">
            <v>B</v>
          </cell>
          <cell r="K1812" t="str">
            <v>Santa Rosa</v>
          </cell>
          <cell r="N1812" t="str">
            <v>B</v>
          </cell>
        </row>
        <row r="1813">
          <cell r="B1813" t="str">
            <v>SFWB-29</v>
          </cell>
          <cell r="C1813" t="str">
            <v>LVCB4L4DXMM003903</v>
          </cell>
          <cell r="D1813" t="str">
            <v>M221110578</v>
          </cell>
          <cell r="E1813" t="str">
            <v>FOTON</v>
          </cell>
          <cell r="F1813" t="str">
            <v>EBUS U12 SC</v>
          </cell>
          <cell r="G1813" t="str">
            <v>FOTON</v>
          </cell>
          <cell r="H1813" t="str">
            <v>EBUS U12 SC</v>
          </cell>
          <cell r="I1813">
            <v>2022</v>
          </cell>
          <cell r="J1813" t="str">
            <v>B</v>
          </cell>
          <cell r="K1813" t="str">
            <v>Santa Rosa</v>
          </cell>
          <cell r="N1813" t="str">
            <v>B</v>
          </cell>
        </row>
        <row r="1814">
          <cell r="B1814" t="str">
            <v>SFWB-31</v>
          </cell>
          <cell r="C1814" t="str">
            <v>LVCB4L4D3MM003905</v>
          </cell>
          <cell r="D1814" t="str">
            <v>M221100400</v>
          </cell>
          <cell r="E1814" t="str">
            <v>FOTON</v>
          </cell>
          <cell r="F1814" t="str">
            <v>EBUS U12 SC</v>
          </cell>
          <cell r="G1814" t="str">
            <v>FOTON</v>
          </cell>
          <cell r="H1814" t="str">
            <v>EBUS U12 SC</v>
          </cell>
          <cell r="I1814">
            <v>2022</v>
          </cell>
          <cell r="J1814" t="str">
            <v>B</v>
          </cell>
          <cell r="K1814" t="str">
            <v>Recoleta</v>
          </cell>
          <cell r="N1814" t="str">
            <v>B</v>
          </cell>
        </row>
        <row r="1815">
          <cell r="B1815" t="str">
            <v>SFWB-33</v>
          </cell>
          <cell r="C1815" t="str">
            <v>LVCB4L4D5MM003906</v>
          </cell>
          <cell r="D1815" t="str">
            <v>M221100516</v>
          </cell>
          <cell r="E1815" t="str">
            <v>FOTON</v>
          </cell>
          <cell r="F1815" t="str">
            <v>EBUS U12 SC</v>
          </cell>
          <cell r="G1815" t="str">
            <v>FOTON</v>
          </cell>
          <cell r="H1815" t="str">
            <v>EBUS U12 SC</v>
          </cell>
          <cell r="I1815">
            <v>2022</v>
          </cell>
          <cell r="J1815" t="str">
            <v>B</v>
          </cell>
          <cell r="K1815" t="str">
            <v>Santa Rosa</v>
          </cell>
          <cell r="N1815" t="str">
            <v>B</v>
          </cell>
        </row>
        <row r="1816">
          <cell r="B1816" t="str">
            <v>SFWB-35</v>
          </cell>
          <cell r="C1816" t="str">
            <v>LVCB4L4D7MM003907</v>
          </cell>
          <cell r="D1816" t="str">
            <v>M221100306</v>
          </cell>
          <cell r="E1816" t="str">
            <v>FOTON</v>
          </cell>
          <cell r="F1816" t="str">
            <v>EBUS U12 SC</v>
          </cell>
          <cell r="G1816" t="str">
            <v>FOTON</v>
          </cell>
          <cell r="H1816" t="str">
            <v>EBUS U12 SC</v>
          </cell>
          <cell r="I1816">
            <v>2022</v>
          </cell>
          <cell r="J1816" t="str">
            <v>B</v>
          </cell>
          <cell r="K1816" t="str">
            <v>Recoleta</v>
          </cell>
          <cell r="N1816" t="str">
            <v>B</v>
          </cell>
        </row>
        <row r="1817">
          <cell r="B1817" t="str">
            <v>SFWB-42</v>
          </cell>
          <cell r="C1817" t="str">
            <v>LVCB4L4D0MM003909</v>
          </cell>
          <cell r="D1817" t="str">
            <v>M221110025</v>
          </cell>
          <cell r="E1817" t="str">
            <v>FOTON</v>
          </cell>
          <cell r="F1817" t="str">
            <v>EBUS U12 SC</v>
          </cell>
          <cell r="G1817" t="str">
            <v>FOTON</v>
          </cell>
          <cell r="H1817" t="str">
            <v>EBUS U12 SC</v>
          </cell>
          <cell r="I1817">
            <v>2022</v>
          </cell>
          <cell r="J1817" t="str">
            <v>B</v>
          </cell>
          <cell r="K1817" t="str">
            <v>Santa Rosa</v>
          </cell>
          <cell r="N1817" t="str">
            <v>B</v>
          </cell>
        </row>
        <row r="1818">
          <cell r="B1818" t="str">
            <v>SFWB-44</v>
          </cell>
          <cell r="C1818" t="str">
            <v>LVCB4L4D9MM003911</v>
          </cell>
          <cell r="D1818" t="str">
            <v>M221100549</v>
          </cell>
          <cell r="E1818" t="str">
            <v>FOTON</v>
          </cell>
          <cell r="F1818" t="str">
            <v>EBUS U12 SC</v>
          </cell>
          <cell r="G1818" t="str">
            <v>FOTON</v>
          </cell>
          <cell r="H1818" t="str">
            <v>EBUS U12 SC</v>
          </cell>
          <cell r="I1818">
            <v>2022</v>
          </cell>
          <cell r="J1818" t="str">
            <v>B</v>
          </cell>
          <cell r="K1818" t="str">
            <v>Santa Rosa</v>
          </cell>
          <cell r="N1818" t="str">
            <v>B</v>
          </cell>
        </row>
        <row r="1819">
          <cell r="B1819" t="str">
            <v>SFWB-46</v>
          </cell>
          <cell r="C1819" t="str">
            <v>LVCB4L4D3MM003631</v>
          </cell>
          <cell r="D1819" t="str">
            <v>M221100523</v>
          </cell>
          <cell r="E1819" t="str">
            <v>FOTON</v>
          </cell>
          <cell r="F1819" t="str">
            <v>EBUS U12 SC</v>
          </cell>
          <cell r="G1819" t="str">
            <v>FOTON</v>
          </cell>
          <cell r="H1819" t="str">
            <v>EBUS U12 SC</v>
          </cell>
          <cell r="I1819">
            <v>2022</v>
          </cell>
          <cell r="J1819" t="str">
            <v>B</v>
          </cell>
          <cell r="K1819" t="str">
            <v>Santa Rosa</v>
          </cell>
          <cell r="N1819" t="str">
            <v>B</v>
          </cell>
        </row>
        <row r="1820">
          <cell r="B1820" t="str">
            <v>SFWB-48</v>
          </cell>
          <cell r="C1820" t="str">
            <v>LVCB4L4D8MM003916</v>
          </cell>
          <cell r="D1820" t="str">
            <v>M221100441</v>
          </cell>
          <cell r="E1820" t="str">
            <v>FOTON</v>
          </cell>
          <cell r="F1820" t="str">
            <v>EBUS U12 SC</v>
          </cell>
          <cell r="G1820" t="str">
            <v>FOTON</v>
          </cell>
          <cell r="H1820" t="str">
            <v>EBUS U12 SC</v>
          </cell>
          <cell r="I1820">
            <v>2022</v>
          </cell>
          <cell r="J1820" t="str">
            <v>B</v>
          </cell>
          <cell r="K1820" t="str">
            <v>Santa Rosa</v>
          </cell>
          <cell r="N1820" t="str">
            <v>B</v>
          </cell>
        </row>
        <row r="1821">
          <cell r="B1821" t="str">
            <v>SFWB-50</v>
          </cell>
          <cell r="C1821" t="str">
            <v>LVCB4L4D3MM003919</v>
          </cell>
          <cell r="D1821" t="str">
            <v>M221110656</v>
          </cell>
          <cell r="E1821" t="str">
            <v>FOTON</v>
          </cell>
          <cell r="F1821" t="str">
            <v>EBUS U12 SC</v>
          </cell>
          <cell r="G1821" t="str">
            <v>FOTON</v>
          </cell>
          <cell r="H1821" t="str">
            <v>EBUS U12 SC</v>
          </cell>
          <cell r="I1821">
            <v>2022</v>
          </cell>
          <cell r="J1821" t="str">
            <v>B</v>
          </cell>
          <cell r="K1821" t="str">
            <v>Recoleta</v>
          </cell>
          <cell r="N1821" t="str">
            <v>B</v>
          </cell>
        </row>
        <row r="1822">
          <cell r="B1822" t="str">
            <v>SFWB-51</v>
          </cell>
          <cell r="C1822" t="str">
            <v>LVCB4L4D1MM003921</v>
          </cell>
          <cell r="D1822" t="str">
            <v>M221100522</v>
          </cell>
          <cell r="E1822" t="str">
            <v>FOTON</v>
          </cell>
          <cell r="F1822" t="str">
            <v>EBUS U12 SC</v>
          </cell>
          <cell r="G1822" t="str">
            <v>FOTON</v>
          </cell>
          <cell r="H1822" t="str">
            <v>EBUS U12 SC</v>
          </cell>
          <cell r="I1822">
            <v>2022</v>
          </cell>
          <cell r="J1822" t="str">
            <v>B</v>
          </cell>
          <cell r="K1822" t="str">
            <v>Santa Rosa</v>
          </cell>
          <cell r="N1822" t="str">
            <v>B</v>
          </cell>
        </row>
        <row r="1823">
          <cell r="B1823" t="str">
            <v>SFWB-58</v>
          </cell>
          <cell r="C1823" t="str">
            <v>LVCB4L4D3MM003922</v>
          </cell>
          <cell r="D1823" t="str">
            <v>M221100487</v>
          </cell>
          <cell r="E1823" t="str">
            <v>FOTON</v>
          </cell>
          <cell r="F1823" t="str">
            <v>EBUS U12 SC</v>
          </cell>
          <cell r="G1823" t="str">
            <v>FOTON</v>
          </cell>
          <cell r="H1823" t="str">
            <v>EBUS U12 SC</v>
          </cell>
          <cell r="I1823">
            <v>2022</v>
          </cell>
          <cell r="J1823" t="str">
            <v>B</v>
          </cell>
          <cell r="K1823" t="str">
            <v>Recoleta</v>
          </cell>
          <cell r="N1823" t="str">
            <v>B</v>
          </cell>
        </row>
        <row r="1824">
          <cell r="B1824" t="str">
            <v>SFWB-61</v>
          </cell>
          <cell r="C1824" t="str">
            <v>LVCB4L4D2MM003927</v>
          </cell>
          <cell r="D1824" t="str">
            <v>M221100560</v>
          </cell>
          <cell r="E1824" t="str">
            <v>FOTON</v>
          </cell>
          <cell r="F1824" t="str">
            <v>EBUS U12 SC</v>
          </cell>
          <cell r="G1824" t="str">
            <v>FOTON</v>
          </cell>
          <cell r="H1824" t="str">
            <v>EBUS U12 SC</v>
          </cell>
          <cell r="I1824">
            <v>2022</v>
          </cell>
          <cell r="J1824" t="str">
            <v>B</v>
          </cell>
          <cell r="K1824" t="str">
            <v>Santa Rosa</v>
          </cell>
          <cell r="N1824" t="str">
            <v>B</v>
          </cell>
        </row>
        <row r="1825">
          <cell r="B1825" t="str">
            <v>SFWB-64</v>
          </cell>
          <cell r="C1825" t="str">
            <v>LVCB4L4D4MM003928</v>
          </cell>
          <cell r="D1825" t="str">
            <v>M221110528</v>
          </cell>
          <cell r="E1825" t="str">
            <v>FOTON</v>
          </cell>
          <cell r="F1825" t="str">
            <v>EBUS U12 SC</v>
          </cell>
          <cell r="G1825" t="str">
            <v>FOTON</v>
          </cell>
          <cell r="H1825" t="str">
            <v>EBUS U12 SC</v>
          </cell>
          <cell r="I1825">
            <v>2022</v>
          </cell>
          <cell r="J1825" t="str">
            <v>B</v>
          </cell>
          <cell r="K1825" t="str">
            <v>Santa Rosa</v>
          </cell>
          <cell r="N1825" t="str">
            <v>B</v>
          </cell>
        </row>
        <row r="1826">
          <cell r="B1826" t="str">
            <v>SFWB-68</v>
          </cell>
          <cell r="C1826" t="str">
            <v>LVCB4L4D6MM003929</v>
          </cell>
          <cell r="D1826" t="str">
            <v>M221100439</v>
          </cell>
          <cell r="E1826" t="str">
            <v>FOTON</v>
          </cell>
          <cell r="F1826" t="str">
            <v>EBUS U12 SC</v>
          </cell>
          <cell r="G1826" t="str">
            <v>FOTON</v>
          </cell>
          <cell r="H1826" t="str">
            <v>EBUS U12 SC</v>
          </cell>
          <cell r="I1826">
            <v>2022</v>
          </cell>
          <cell r="J1826" t="str">
            <v>B</v>
          </cell>
          <cell r="K1826" t="str">
            <v>Recoleta</v>
          </cell>
          <cell r="N1826" t="str">
            <v>B</v>
          </cell>
        </row>
        <row r="1827">
          <cell r="B1827" t="str">
            <v>SFWB-72</v>
          </cell>
          <cell r="C1827" t="str">
            <v>LVCB4L4D2MM003930</v>
          </cell>
          <cell r="D1827" t="str">
            <v>M221100374</v>
          </cell>
          <cell r="E1827" t="str">
            <v>FOTON</v>
          </cell>
          <cell r="F1827" t="str">
            <v>EBUS U12 SC</v>
          </cell>
          <cell r="G1827" t="str">
            <v>FOTON</v>
          </cell>
          <cell r="H1827" t="str">
            <v>EBUS U12 SC</v>
          </cell>
          <cell r="I1827">
            <v>2022</v>
          </cell>
          <cell r="J1827" t="str">
            <v>B</v>
          </cell>
          <cell r="K1827" t="str">
            <v>Santa Rosa</v>
          </cell>
          <cell r="N1827" t="str">
            <v>B</v>
          </cell>
        </row>
        <row r="1828">
          <cell r="B1828" t="str">
            <v>SFWB-73</v>
          </cell>
          <cell r="C1828" t="str">
            <v>LVCB4L4D4MM003931</v>
          </cell>
          <cell r="D1828" t="str">
            <v>M221100407</v>
          </cell>
          <cell r="E1828" t="str">
            <v>FOTON</v>
          </cell>
          <cell r="F1828" t="str">
            <v>EBUS U12 SC</v>
          </cell>
          <cell r="G1828" t="str">
            <v>FOTON</v>
          </cell>
          <cell r="H1828" t="str">
            <v>EBUS U12 SC</v>
          </cell>
          <cell r="I1828">
            <v>2022</v>
          </cell>
          <cell r="J1828" t="str">
            <v>B</v>
          </cell>
          <cell r="K1828" t="str">
            <v>Santa Rosa</v>
          </cell>
          <cell r="N1828" t="str">
            <v>B</v>
          </cell>
        </row>
        <row r="1829">
          <cell r="B1829" t="str">
            <v>SFWB-75</v>
          </cell>
          <cell r="C1829" t="str">
            <v>LVCB4L4D8MM003933</v>
          </cell>
          <cell r="D1829" t="str">
            <v>M221110652</v>
          </cell>
          <cell r="E1829" t="str">
            <v>FOTON</v>
          </cell>
          <cell r="F1829" t="str">
            <v>EBUS U12 SC</v>
          </cell>
          <cell r="G1829" t="str">
            <v>FOTON</v>
          </cell>
          <cell r="H1829" t="str">
            <v>EBUS U12 SC</v>
          </cell>
          <cell r="I1829">
            <v>2022</v>
          </cell>
          <cell r="J1829" t="str">
            <v>B</v>
          </cell>
          <cell r="K1829" t="str">
            <v>Santa Rosa</v>
          </cell>
          <cell r="N1829" t="str">
            <v>B</v>
          </cell>
        </row>
        <row r="1830">
          <cell r="B1830" t="str">
            <v>SFWB-76</v>
          </cell>
          <cell r="C1830" t="str">
            <v>LVCB4L4D3MM003936</v>
          </cell>
          <cell r="D1830" t="str">
            <v>M221110487</v>
          </cell>
          <cell r="E1830" t="str">
            <v>FOTON</v>
          </cell>
          <cell r="F1830" t="str">
            <v>EBUS U12 SC</v>
          </cell>
          <cell r="G1830" t="str">
            <v>FOTON</v>
          </cell>
          <cell r="H1830" t="str">
            <v>EBUS U12 SC</v>
          </cell>
          <cell r="I1830">
            <v>2022</v>
          </cell>
          <cell r="J1830" t="str">
            <v>B</v>
          </cell>
          <cell r="K1830" t="str">
            <v>Santa Rosa</v>
          </cell>
          <cell r="N1830" t="str">
            <v>B</v>
          </cell>
        </row>
        <row r="1831">
          <cell r="B1831" t="str">
            <v>SFWB-77</v>
          </cell>
          <cell r="C1831" t="str">
            <v>LVCB4L4D5MM003937</v>
          </cell>
          <cell r="D1831" t="str">
            <v>M221120003</v>
          </cell>
          <cell r="E1831" t="str">
            <v>FOTON</v>
          </cell>
          <cell r="F1831" t="str">
            <v>EBUS U12 SC</v>
          </cell>
          <cell r="G1831" t="str">
            <v>FOTON</v>
          </cell>
          <cell r="H1831" t="str">
            <v>EBUS U12 SC</v>
          </cell>
          <cell r="I1831">
            <v>2022</v>
          </cell>
          <cell r="J1831" t="str">
            <v>B</v>
          </cell>
          <cell r="K1831" t="str">
            <v>Santa Rosa</v>
          </cell>
          <cell r="N1831" t="str">
            <v>B</v>
          </cell>
        </row>
        <row r="1832">
          <cell r="B1832" t="str">
            <v>SFWB-82</v>
          </cell>
          <cell r="C1832" t="str">
            <v>LVCB4L4D7MM003938</v>
          </cell>
          <cell r="D1832" t="str">
            <v>M221100406</v>
          </cell>
          <cell r="E1832" t="str">
            <v>FOTON</v>
          </cell>
          <cell r="F1832" t="str">
            <v>EBUS U12 SC</v>
          </cell>
          <cell r="G1832" t="str">
            <v>FOTON</v>
          </cell>
          <cell r="H1832" t="str">
            <v>EBUS U12 SC</v>
          </cell>
          <cell r="I1832">
            <v>2022</v>
          </cell>
          <cell r="J1832" t="str">
            <v>B</v>
          </cell>
          <cell r="K1832" t="str">
            <v>Santa Rosa</v>
          </cell>
          <cell r="N1832" t="str">
            <v>B</v>
          </cell>
        </row>
        <row r="1833">
          <cell r="B1833" t="str">
            <v>SFWB-84</v>
          </cell>
          <cell r="C1833" t="str">
            <v>LVCB4L4D9MM003939</v>
          </cell>
          <cell r="D1833" t="str">
            <v>M221100435</v>
          </cell>
          <cell r="E1833" t="str">
            <v>FOTON</v>
          </cell>
          <cell r="F1833" t="str">
            <v>EBUS U12 SC</v>
          </cell>
          <cell r="G1833" t="str">
            <v>FOTON</v>
          </cell>
          <cell r="H1833" t="str">
            <v>EBUS U12 SC</v>
          </cell>
          <cell r="I1833">
            <v>2022</v>
          </cell>
          <cell r="J1833" t="str">
            <v>B</v>
          </cell>
          <cell r="K1833" t="str">
            <v>Recoleta</v>
          </cell>
          <cell r="N1833" t="str">
            <v>B</v>
          </cell>
        </row>
        <row r="1834">
          <cell r="B1834" t="str">
            <v>SFWB-85</v>
          </cell>
          <cell r="C1834" t="str">
            <v>LVCB4L4D5MM003940</v>
          </cell>
          <cell r="D1834" t="str">
            <v>M221100409</v>
          </cell>
          <cell r="E1834" t="str">
            <v>FOTON</v>
          </cell>
          <cell r="F1834" t="str">
            <v>EBUS U12 SC</v>
          </cell>
          <cell r="G1834" t="str">
            <v>FOTON</v>
          </cell>
          <cell r="H1834" t="str">
            <v>EBUS U12 SC</v>
          </cell>
          <cell r="I1834">
            <v>2022</v>
          </cell>
          <cell r="J1834" t="str">
            <v>B</v>
          </cell>
          <cell r="K1834" t="str">
            <v>Santa Rosa</v>
          </cell>
          <cell r="N1834" t="str">
            <v>B</v>
          </cell>
        </row>
        <row r="1835">
          <cell r="B1835" t="str">
            <v>SFWB-87</v>
          </cell>
          <cell r="C1835" t="str">
            <v>LVCB4L4D7MM003941</v>
          </cell>
          <cell r="D1835" t="str">
            <v>M221110529</v>
          </cell>
          <cell r="E1835" t="str">
            <v>FOTON</v>
          </cell>
          <cell r="F1835" t="str">
            <v>EBUS U12 SC</v>
          </cell>
          <cell r="G1835" t="str">
            <v>FOTON</v>
          </cell>
          <cell r="H1835" t="str">
            <v>EBUS U12 SC</v>
          </cell>
          <cell r="I1835">
            <v>2022</v>
          </cell>
          <cell r="J1835" t="str">
            <v>B</v>
          </cell>
          <cell r="K1835" t="str">
            <v>Santa Rosa</v>
          </cell>
          <cell r="N1835" t="str">
            <v>B</v>
          </cell>
        </row>
        <row r="1836">
          <cell r="B1836" t="str">
            <v>SFWB-89</v>
          </cell>
          <cell r="C1836" t="str">
            <v>LVCB4L4D0MM003943</v>
          </cell>
          <cell r="D1836" t="str">
            <v>M221100548</v>
          </cell>
          <cell r="E1836" t="str">
            <v>FOTON</v>
          </cell>
          <cell r="F1836" t="str">
            <v>EBUS U12 SC</v>
          </cell>
          <cell r="G1836" t="str">
            <v>FOTON</v>
          </cell>
          <cell r="H1836" t="str">
            <v>EBUS U12 SC</v>
          </cell>
          <cell r="I1836">
            <v>2022</v>
          </cell>
          <cell r="J1836" t="str">
            <v>B</v>
          </cell>
          <cell r="K1836" t="str">
            <v>Recoleta</v>
          </cell>
          <cell r="N1836" t="str">
            <v>B</v>
          </cell>
        </row>
        <row r="1837">
          <cell r="B1837" t="str">
            <v>SFWB-90</v>
          </cell>
          <cell r="C1837" t="str">
            <v>LVCB4L4D8MM003947</v>
          </cell>
          <cell r="D1837" t="str">
            <v>M221110648</v>
          </cell>
          <cell r="E1837" t="str">
            <v>FOTON</v>
          </cell>
          <cell r="F1837" t="str">
            <v>EBUS U12 SC</v>
          </cell>
          <cell r="G1837" t="str">
            <v>FOTON</v>
          </cell>
          <cell r="H1837" t="str">
            <v>EBUS U12 SC</v>
          </cell>
          <cell r="I1837">
            <v>2022</v>
          </cell>
          <cell r="J1837" t="str">
            <v>B</v>
          </cell>
          <cell r="K1837" t="str">
            <v>Santa Rosa</v>
          </cell>
          <cell r="N1837" t="str">
            <v>B</v>
          </cell>
        </row>
        <row r="1838">
          <cell r="B1838" t="str">
            <v>SFWB-95</v>
          </cell>
          <cell r="C1838" t="str">
            <v>LVCB4L4D8MM003950</v>
          </cell>
          <cell r="D1838" t="str">
            <v>M221100399</v>
          </cell>
          <cell r="E1838" t="str">
            <v>FOTON</v>
          </cell>
          <cell r="F1838" t="str">
            <v>EBUS U12 SC</v>
          </cell>
          <cell r="G1838" t="str">
            <v>FOTON</v>
          </cell>
          <cell r="H1838" t="str">
            <v>EBUS U12 SC</v>
          </cell>
          <cell r="I1838">
            <v>2022</v>
          </cell>
          <cell r="J1838" t="str">
            <v>B</v>
          </cell>
          <cell r="K1838" t="str">
            <v>Santa Rosa</v>
          </cell>
          <cell r="N1838" t="str">
            <v>B</v>
          </cell>
        </row>
        <row r="1839">
          <cell r="B1839" t="str">
            <v>SFWB-96</v>
          </cell>
          <cell r="C1839" t="str">
            <v>LVCB4L4DXMM003951</v>
          </cell>
          <cell r="D1839" t="str">
            <v>M221110650</v>
          </cell>
          <cell r="E1839" t="str">
            <v>FOTON</v>
          </cell>
          <cell r="F1839" t="str">
            <v>EBUS U12 SC</v>
          </cell>
          <cell r="G1839" t="str">
            <v>FOTON</v>
          </cell>
          <cell r="H1839" t="str">
            <v>EBUS U12 SC</v>
          </cell>
          <cell r="I1839">
            <v>2022</v>
          </cell>
          <cell r="J1839" t="str">
            <v>B</v>
          </cell>
          <cell r="K1839" t="str">
            <v>Santa Rosa</v>
          </cell>
          <cell r="N1839" t="str">
            <v>B</v>
          </cell>
        </row>
        <row r="1840">
          <cell r="B1840" t="str">
            <v>SFWB-98</v>
          </cell>
          <cell r="C1840" t="str">
            <v>LVCB4L4D1MM003952</v>
          </cell>
          <cell r="D1840" t="str">
            <v>M221100302</v>
          </cell>
          <cell r="E1840" t="str">
            <v>FOTON</v>
          </cell>
          <cell r="F1840" t="str">
            <v>EBUS U12 SC</v>
          </cell>
          <cell r="G1840" t="str">
            <v>FOTON</v>
          </cell>
          <cell r="H1840" t="str">
            <v>EBUS U12 SC</v>
          </cell>
          <cell r="I1840">
            <v>2022</v>
          </cell>
          <cell r="J1840" t="str">
            <v>B</v>
          </cell>
          <cell r="K1840" t="str">
            <v>Santa Rosa</v>
          </cell>
          <cell r="N1840" t="str">
            <v>B</v>
          </cell>
        </row>
        <row r="1841">
          <cell r="B1841" t="str">
            <v>SFWZ-10</v>
          </cell>
          <cell r="C1841" t="str">
            <v>LVCB4L4D3MM003953</v>
          </cell>
          <cell r="D1841" t="str">
            <v>M221100373</v>
          </cell>
          <cell r="E1841" t="str">
            <v>FOTON</v>
          </cell>
          <cell r="F1841" t="str">
            <v>EBUS U12 SC</v>
          </cell>
          <cell r="G1841" t="str">
            <v>FOTON</v>
          </cell>
          <cell r="H1841" t="str">
            <v>EBUS U12 SC</v>
          </cell>
          <cell r="I1841">
            <v>2022</v>
          </cell>
          <cell r="J1841" t="str">
            <v>B</v>
          </cell>
          <cell r="K1841" t="str">
            <v>Santa Rosa</v>
          </cell>
          <cell r="N1841" t="str">
            <v>B</v>
          </cell>
        </row>
        <row r="1842">
          <cell r="B1842" t="str">
            <v>SFWZ-13</v>
          </cell>
          <cell r="C1842" t="str">
            <v>LVCB4L4D7MM003955</v>
          </cell>
          <cell r="D1842" t="str">
            <v>M221100404</v>
          </cell>
          <cell r="E1842" t="str">
            <v>FOTON</v>
          </cell>
          <cell r="F1842" t="str">
            <v>EBUS U12 SC</v>
          </cell>
          <cell r="G1842" t="str">
            <v>FOTON</v>
          </cell>
          <cell r="H1842" t="str">
            <v>EBUS U12 SC</v>
          </cell>
          <cell r="I1842">
            <v>2022</v>
          </cell>
          <cell r="J1842" t="str">
            <v>B</v>
          </cell>
          <cell r="K1842" t="str">
            <v>Santa Rosa</v>
          </cell>
          <cell r="N1842" t="str">
            <v>B</v>
          </cell>
        </row>
        <row r="1843">
          <cell r="B1843" t="str">
            <v>SFWZ-14</v>
          </cell>
          <cell r="C1843" t="str">
            <v>LVCB4L4D2MM003958</v>
          </cell>
          <cell r="D1843" t="str">
            <v>M221100512</v>
          </cell>
          <cell r="E1843" t="str">
            <v>FOTON</v>
          </cell>
          <cell r="F1843" t="str">
            <v>EBUS U12 SC</v>
          </cell>
          <cell r="G1843" t="str">
            <v>FOTON</v>
          </cell>
          <cell r="H1843" t="str">
            <v>EBUS U12 SC</v>
          </cell>
          <cell r="I1843">
            <v>2022</v>
          </cell>
          <cell r="J1843" t="str">
            <v>B</v>
          </cell>
          <cell r="K1843" t="str">
            <v>Santa Rosa</v>
          </cell>
          <cell r="N1843" t="str">
            <v>B</v>
          </cell>
        </row>
        <row r="1844">
          <cell r="B1844" t="str">
            <v>SFWZ-16</v>
          </cell>
          <cell r="C1844" t="str">
            <v>LVCB4L4D0MM003960</v>
          </cell>
          <cell r="D1844" t="str">
            <v>M221110581</v>
          </cell>
          <cell r="E1844" t="str">
            <v>FOTON</v>
          </cell>
          <cell r="F1844" t="str">
            <v>EBUS U12 SC</v>
          </cell>
          <cell r="G1844" t="str">
            <v>FOTON</v>
          </cell>
          <cell r="H1844" t="str">
            <v>EBUS U12 SC</v>
          </cell>
          <cell r="I1844">
            <v>2022</v>
          </cell>
          <cell r="J1844" t="str">
            <v>B</v>
          </cell>
          <cell r="K1844" t="str">
            <v>Recoleta</v>
          </cell>
          <cell r="N1844" t="str">
            <v>B</v>
          </cell>
        </row>
        <row r="1845">
          <cell r="B1845" t="str">
            <v>SFWZ-17</v>
          </cell>
          <cell r="C1845" t="str">
            <v>LVCB4L4D2MM003961</v>
          </cell>
          <cell r="D1845" t="str">
            <v>M221100478</v>
          </cell>
          <cell r="E1845" t="str">
            <v>FOTON</v>
          </cell>
          <cell r="F1845" t="str">
            <v>EBUS U12 SC</v>
          </cell>
          <cell r="G1845" t="str">
            <v>FOTON</v>
          </cell>
          <cell r="H1845" t="str">
            <v>EBUS U12 SC</v>
          </cell>
          <cell r="I1845">
            <v>2022</v>
          </cell>
          <cell r="J1845" t="str">
            <v>B</v>
          </cell>
          <cell r="K1845" t="str">
            <v>Recoleta</v>
          </cell>
          <cell r="N1845" t="str">
            <v>B</v>
          </cell>
        </row>
        <row r="1846">
          <cell r="B1846" t="str">
            <v>SFWZ-18</v>
          </cell>
          <cell r="C1846" t="str">
            <v>LVCB4L4D4MM003962</v>
          </cell>
          <cell r="D1846" t="str">
            <v>M221100440</v>
          </cell>
          <cell r="E1846" t="str">
            <v>FOTON</v>
          </cell>
          <cell r="F1846" t="str">
            <v>EBUS U12 SC</v>
          </cell>
          <cell r="G1846" t="str">
            <v>FOTON</v>
          </cell>
          <cell r="H1846" t="str">
            <v>EBUS U12 SC</v>
          </cell>
          <cell r="I1846">
            <v>2022</v>
          </cell>
          <cell r="J1846" t="str">
            <v>B</v>
          </cell>
          <cell r="K1846" t="str">
            <v>Santa Rosa</v>
          </cell>
          <cell r="N1846" t="str">
            <v>B</v>
          </cell>
        </row>
        <row r="1847">
          <cell r="B1847" t="str">
            <v>SFWZ-20</v>
          </cell>
          <cell r="C1847" t="str">
            <v>LVCB4L4D3MM003967</v>
          </cell>
          <cell r="D1847" t="str">
            <v>M221110579</v>
          </cell>
          <cell r="E1847" t="str">
            <v>FOTON</v>
          </cell>
          <cell r="F1847" t="str">
            <v>EBUS U12 SC</v>
          </cell>
          <cell r="G1847" t="str">
            <v>FOTON</v>
          </cell>
          <cell r="H1847" t="str">
            <v>EBUS U12 SC</v>
          </cell>
          <cell r="I1847">
            <v>2022</v>
          </cell>
          <cell r="J1847" t="str">
            <v>B</v>
          </cell>
          <cell r="K1847" t="str">
            <v>Santa Rosa</v>
          </cell>
          <cell r="N1847" t="str">
            <v>B</v>
          </cell>
        </row>
        <row r="1848">
          <cell r="B1848" t="str">
            <v>SFWZ-21</v>
          </cell>
          <cell r="C1848" t="str">
            <v>LVCB4L4D5MM003968</v>
          </cell>
          <cell r="D1848" t="str">
            <v>M221110110</v>
          </cell>
          <cell r="E1848" t="str">
            <v>FOTON</v>
          </cell>
          <cell r="F1848" t="str">
            <v>EBUS U12 SC</v>
          </cell>
          <cell r="G1848" t="str">
            <v>FOTON</v>
          </cell>
          <cell r="H1848" t="str">
            <v>EBUS U12 SC</v>
          </cell>
          <cell r="I1848">
            <v>2022</v>
          </cell>
          <cell r="J1848" t="str">
            <v>B</v>
          </cell>
          <cell r="K1848" t="str">
            <v>Santa Rosa</v>
          </cell>
          <cell r="N1848" t="str">
            <v>B</v>
          </cell>
        </row>
        <row r="1849">
          <cell r="B1849" t="str">
            <v>SFWZ-23</v>
          </cell>
          <cell r="C1849" t="str">
            <v>LVCB4L4D7MM003969</v>
          </cell>
          <cell r="D1849" t="str">
            <v>M221100513</v>
          </cell>
          <cell r="E1849" t="str">
            <v>FOTON</v>
          </cell>
          <cell r="F1849" t="str">
            <v>EBUS U12 SC</v>
          </cell>
          <cell r="G1849" t="str">
            <v>FOTON</v>
          </cell>
          <cell r="H1849" t="str">
            <v>EBUS U12 SC</v>
          </cell>
          <cell r="I1849">
            <v>2022</v>
          </cell>
          <cell r="J1849" t="str">
            <v>B</v>
          </cell>
          <cell r="K1849" t="str">
            <v>Santa Rosa</v>
          </cell>
          <cell r="N1849" t="str">
            <v>B</v>
          </cell>
        </row>
        <row r="1850">
          <cell r="B1850" t="str">
            <v>SFWZ-25</v>
          </cell>
          <cell r="C1850" t="str">
            <v>LVCB4L4D3MM003970</v>
          </cell>
          <cell r="D1850" t="str">
            <v>M221110654</v>
          </cell>
          <cell r="E1850" t="str">
            <v>FOTON</v>
          </cell>
          <cell r="F1850" t="str">
            <v>EBUS U12 SC</v>
          </cell>
          <cell r="G1850" t="str">
            <v>FOTON</v>
          </cell>
          <cell r="H1850" t="str">
            <v>EBUS U12 SC</v>
          </cell>
          <cell r="I1850">
            <v>2022</v>
          </cell>
          <cell r="J1850" t="str">
            <v>B</v>
          </cell>
          <cell r="K1850" t="str">
            <v>Santa Rosa</v>
          </cell>
          <cell r="N1850" t="str">
            <v>B</v>
          </cell>
        </row>
        <row r="1851">
          <cell r="B1851" t="str">
            <v>SFWZ-26</v>
          </cell>
          <cell r="C1851" t="str">
            <v>LVCB4L4D5MM003971</v>
          </cell>
          <cell r="D1851" t="str">
            <v>M221100476</v>
          </cell>
          <cell r="E1851" t="str">
            <v>FOTON</v>
          </cell>
          <cell r="F1851" t="str">
            <v>EBUS U12 SC</v>
          </cell>
          <cell r="G1851" t="str">
            <v>FOTON</v>
          </cell>
          <cell r="H1851" t="str">
            <v>EBUS U12 SC</v>
          </cell>
          <cell r="I1851">
            <v>2022</v>
          </cell>
          <cell r="J1851" t="str">
            <v>B</v>
          </cell>
          <cell r="K1851" t="str">
            <v>Santa Rosa</v>
          </cell>
          <cell r="N1851" t="str">
            <v>B</v>
          </cell>
        </row>
        <row r="1852">
          <cell r="B1852" t="str">
            <v>SFWZ-27</v>
          </cell>
          <cell r="C1852" t="str">
            <v>LVCB4L4D9MM003973</v>
          </cell>
          <cell r="D1852" t="str">
            <v>M221100410</v>
          </cell>
          <cell r="E1852" t="str">
            <v>FOTON</v>
          </cell>
          <cell r="F1852" t="str">
            <v>EBUS U12 SC</v>
          </cell>
          <cell r="G1852" t="str">
            <v>FOTON</v>
          </cell>
          <cell r="H1852" t="str">
            <v>EBUS U12 SC</v>
          </cell>
          <cell r="I1852">
            <v>2022</v>
          </cell>
          <cell r="J1852" t="str">
            <v>B</v>
          </cell>
          <cell r="K1852" t="str">
            <v>Recoleta</v>
          </cell>
          <cell r="N1852" t="str">
            <v>B</v>
          </cell>
        </row>
        <row r="1853">
          <cell r="B1853" t="str">
            <v>SFWZ-29</v>
          </cell>
          <cell r="C1853" t="str">
            <v>LVCB4L4D4MM003976</v>
          </cell>
          <cell r="D1853" t="str">
            <v>M221120001</v>
          </cell>
          <cell r="E1853" t="str">
            <v>FOTON</v>
          </cell>
          <cell r="F1853" t="str">
            <v>EBUS U12 SC</v>
          </cell>
          <cell r="G1853" t="str">
            <v>FOTON</v>
          </cell>
          <cell r="H1853" t="str">
            <v>EBUS U12 SC</v>
          </cell>
          <cell r="I1853">
            <v>2022</v>
          </cell>
          <cell r="J1853" t="str">
            <v>B</v>
          </cell>
          <cell r="K1853" t="str">
            <v>Recoleta</v>
          </cell>
          <cell r="N1853" t="str">
            <v>B</v>
          </cell>
        </row>
        <row r="1854">
          <cell r="B1854" t="str">
            <v>SFWZ-31</v>
          </cell>
          <cell r="C1854" t="str">
            <v>LVCB4L4D6MM003977</v>
          </cell>
          <cell r="D1854" t="str">
            <v>M221110536</v>
          </cell>
          <cell r="E1854" t="str">
            <v>FOTON</v>
          </cell>
          <cell r="F1854" t="str">
            <v>EBUS U12 SC</v>
          </cell>
          <cell r="G1854" t="str">
            <v>FOTON</v>
          </cell>
          <cell r="H1854" t="str">
            <v>EBUS U12 SC</v>
          </cell>
          <cell r="I1854">
            <v>2022</v>
          </cell>
          <cell r="J1854" t="str">
            <v>B</v>
          </cell>
          <cell r="K1854" t="str">
            <v>Recoleta</v>
          </cell>
          <cell r="N1854" t="str">
            <v>B</v>
          </cell>
        </row>
        <row r="1855">
          <cell r="B1855" t="str">
            <v>SFWZ-32</v>
          </cell>
          <cell r="C1855" t="str">
            <v>LVCB4L4DXMM003979</v>
          </cell>
          <cell r="D1855" t="str">
            <v>M221110535</v>
          </cell>
          <cell r="E1855" t="str">
            <v>FOTON</v>
          </cell>
          <cell r="F1855" t="str">
            <v>EBUS U12 SC</v>
          </cell>
          <cell r="G1855" t="str">
            <v>FOTON</v>
          </cell>
          <cell r="H1855" t="str">
            <v>EBUS U12 SC</v>
          </cell>
          <cell r="I1855">
            <v>2022</v>
          </cell>
          <cell r="J1855" t="str">
            <v>B</v>
          </cell>
          <cell r="K1855" t="str">
            <v>Santa Rosa</v>
          </cell>
          <cell r="N1855" t="str">
            <v>B</v>
          </cell>
        </row>
        <row r="1856">
          <cell r="B1856" t="str">
            <v>SFWZ-33</v>
          </cell>
          <cell r="C1856" t="str">
            <v>LVCB4L4D8MM003981</v>
          </cell>
          <cell r="D1856" t="str">
            <v>M221100514</v>
          </cell>
          <cell r="E1856" t="str">
            <v>FOTON</v>
          </cell>
          <cell r="F1856" t="str">
            <v>EBUS U12 SC</v>
          </cell>
          <cell r="G1856" t="str">
            <v>FOTON</v>
          </cell>
          <cell r="H1856" t="str">
            <v>EBUS U12 SC</v>
          </cell>
          <cell r="I1856">
            <v>2022</v>
          </cell>
          <cell r="J1856" t="str">
            <v>B</v>
          </cell>
          <cell r="K1856" t="str">
            <v>Recoleta</v>
          </cell>
          <cell r="N1856" t="str">
            <v>B</v>
          </cell>
        </row>
        <row r="1857">
          <cell r="B1857" t="str">
            <v>SFWZ-34</v>
          </cell>
          <cell r="C1857" t="str">
            <v>LVCB4L4DXMM003982</v>
          </cell>
          <cell r="D1857" t="str">
            <v>M221110115</v>
          </cell>
          <cell r="E1857" t="str">
            <v>FOTON</v>
          </cell>
          <cell r="F1857" t="str">
            <v>EBUS U12 SC</v>
          </cell>
          <cell r="G1857" t="str">
            <v>FOTON</v>
          </cell>
          <cell r="H1857" t="str">
            <v>EBUS U12 SC</v>
          </cell>
          <cell r="I1857">
            <v>2022</v>
          </cell>
          <cell r="J1857" t="str">
            <v>B</v>
          </cell>
          <cell r="K1857" t="str">
            <v>Santa Rosa</v>
          </cell>
          <cell r="N1857" t="str">
            <v>B</v>
          </cell>
        </row>
        <row r="1858">
          <cell r="B1858" t="str">
            <v>SFWZ-36</v>
          </cell>
          <cell r="C1858" t="str">
            <v>LVCB4L4D5MM003985</v>
          </cell>
          <cell r="D1858" t="str">
            <v>M221100525</v>
          </cell>
          <cell r="E1858" t="str">
            <v>FOTON</v>
          </cell>
          <cell r="F1858" t="str">
            <v>EBUS U12 SC</v>
          </cell>
          <cell r="G1858" t="str">
            <v>FOTON</v>
          </cell>
          <cell r="H1858" t="str">
            <v>EBUS U12 SC</v>
          </cell>
          <cell r="I1858">
            <v>2022</v>
          </cell>
          <cell r="J1858" t="str">
            <v>B</v>
          </cell>
          <cell r="K1858" t="str">
            <v>Santa Rosa</v>
          </cell>
          <cell r="N1858" t="str">
            <v>B</v>
          </cell>
        </row>
        <row r="1859">
          <cell r="B1859" t="str">
            <v>SFWZ-37</v>
          </cell>
          <cell r="C1859" t="str">
            <v>LVCB4L4D8NM002640</v>
          </cell>
          <cell r="D1859" t="str">
            <v>M221100490</v>
          </cell>
          <cell r="E1859" t="str">
            <v>FOTON</v>
          </cell>
          <cell r="F1859" t="str">
            <v>EBUS U12 SC</v>
          </cell>
          <cell r="G1859" t="str">
            <v>FOTON</v>
          </cell>
          <cell r="H1859" t="str">
            <v>EBUS U12 SC</v>
          </cell>
          <cell r="I1859">
            <v>2022</v>
          </cell>
          <cell r="J1859" t="str">
            <v>B</v>
          </cell>
          <cell r="K1859" t="str">
            <v>Recoleta</v>
          </cell>
          <cell r="N1859" t="str">
            <v>B</v>
          </cell>
        </row>
        <row r="1860">
          <cell r="B1860" t="str">
            <v>SFWZ-38</v>
          </cell>
          <cell r="C1860" t="str">
            <v>LVCB4L4D7MM003986</v>
          </cell>
          <cell r="D1860" t="str">
            <v>M221120002</v>
          </cell>
          <cell r="E1860" t="str">
            <v>FOTON</v>
          </cell>
          <cell r="F1860" t="str">
            <v>EBUS U12 SC</v>
          </cell>
          <cell r="G1860" t="str">
            <v>FOTON</v>
          </cell>
          <cell r="H1860" t="str">
            <v>EBUS U12 SC</v>
          </cell>
          <cell r="I1860">
            <v>2022</v>
          </cell>
          <cell r="J1860" t="str">
            <v>B</v>
          </cell>
          <cell r="K1860" t="str">
            <v>Santa Rosa</v>
          </cell>
          <cell r="N1860" t="str">
            <v>B</v>
          </cell>
        </row>
        <row r="1861">
          <cell r="B1861" t="str">
            <v>SFWZ-39</v>
          </cell>
          <cell r="C1861" t="str">
            <v>LVCB4L4D9MM003987</v>
          </cell>
          <cell r="D1861" t="str">
            <v>M221110655</v>
          </cell>
          <cell r="E1861" t="str">
            <v>FOTON</v>
          </cell>
          <cell r="F1861" t="str">
            <v>EBUS U12 SC</v>
          </cell>
          <cell r="G1861" t="str">
            <v>FOTON</v>
          </cell>
          <cell r="H1861" t="str">
            <v>EBUS U12 SC</v>
          </cell>
          <cell r="I1861">
            <v>2022</v>
          </cell>
          <cell r="J1861" t="str">
            <v>B</v>
          </cell>
          <cell r="K1861" t="str">
            <v>Recoleta</v>
          </cell>
          <cell r="N1861" t="str">
            <v>B</v>
          </cell>
        </row>
        <row r="1862">
          <cell r="B1862" t="str">
            <v>SFWZ-40</v>
          </cell>
          <cell r="C1862" t="str">
            <v>LVCB4L4D7NM002631</v>
          </cell>
          <cell r="D1862" t="str">
            <v>M221110657</v>
          </cell>
          <cell r="E1862" t="str">
            <v>FOTON</v>
          </cell>
          <cell r="F1862" t="str">
            <v>EBUS U12 SC</v>
          </cell>
          <cell r="G1862" t="str">
            <v>FOTON</v>
          </cell>
          <cell r="H1862" t="str">
            <v>EBUS U12 SC</v>
          </cell>
          <cell r="I1862">
            <v>2022</v>
          </cell>
          <cell r="J1862" t="str">
            <v>B</v>
          </cell>
          <cell r="K1862" t="str">
            <v>Santa Rosa</v>
          </cell>
          <cell r="N1862" t="str">
            <v>B</v>
          </cell>
        </row>
        <row r="1863">
          <cell r="B1863" t="str">
            <v>SFWZ-42</v>
          </cell>
          <cell r="C1863" t="str">
            <v>LVCB4L4D9NM002632</v>
          </cell>
          <cell r="D1863" t="str">
            <v>M221100550</v>
          </cell>
          <cell r="E1863" t="str">
            <v>FOTON</v>
          </cell>
          <cell r="F1863" t="str">
            <v>EBUS U12 SC</v>
          </cell>
          <cell r="G1863" t="str">
            <v>FOTON</v>
          </cell>
          <cell r="H1863" t="str">
            <v>EBUS U12 SC</v>
          </cell>
          <cell r="I1863">
            <v>2022</v>
          </cell>
          <cell r="J1863" t="str">
            <v>B</v>
          </cell>
          <cell r="K1863" t="str">
            <v>Recoleta</v>
          </cell>
          <cell r="N1863" t="str">
            <v>B</v>
          </cell>
        </row>
        <row r="1864">
          <cell r="B1864" t="str">
            <v>SFWZ-45</v>
          </cell>
          <cell r="C1864" t="str">
            <v>LVCB4L4D0NM002633</v>
          </cell>
          <cell r="D1864" t="str">
            <v>M221110538</v>
          </cell>
          <cell r="E1864" t="str">
            <v>FOTON</v>
          </cell>
          <cell r="F1864" t="str">
            <v>EBUS U12 SC</v>
          </cell>
          <cell r="G1864" t="str">
            <v>FOTON</v>
          </cell>
          <cell r="H1864" t="str">
            <v>EBUS U12 SC</v>
          </cell>
          <cell r="I1864">
            <v>2022</v>
          </cell>
          <cell r="J1864" t="str">
            <v>B</v>
          </cell>
          <cell r="K1864" t="str">
            <v>Santa Rosa</v>
          </cell>
          <cell r="N1864" t="str">
            <v>B</v>
          </cell>
        </row>
        <row r="1865">
          <cell r="B1865" t="str">
            <v>SFWZ-48</v>
          </cell>
          <cell r="C1865" t="str">
            <v>LVCB4L4D4NM002635</v>
          </cell>
          <cell r="D1865" t="str">
            <v>M221110653</v>
          </cell>
          <cell r="E1865" t="str">
            <v>FOTON</v>
          </cell>
          <cell r="F1865" t="str">
            <v>EBUS U12 SC</v>
          </cell>
          <cell r="G1865" t="str">
            <v>FOTON</v>
          </cell>
          <cell r="H1865" t="str">
            <v>EBUS U12 SC</v>
          </cell>
          <cell r="I1865">
            <v>2022</v>
          </cell>
          <cell r="J1865" t="str">
            <v>B</v>
          </cell>
          <cell r="K1865" t="str">
            <v>Recoleta</v>
          </cell>
          <cell r="N1865" t="str">
            <v>B</v>
          </cell>
        </row>
        <row r="1866">
          <cell r="B1866" t="str">
            <v>SFWZ-49</v>
          </cell>
          <cell r="C1866" t="str">
            <v>LVCB4L4D6NM002636</v>
          </cell>
          <cell r="D1866" t="str">
            <v>M221110109</v>
          </cell>
          <cell r="E1866" t="str">
            <v>FOTON</v>
          </cell>
          <cell r="F1866" t="str">
            <v>EBUS U12 SC</v>
          </cell>
          <cell r="G1866" t="str">
            <v>FOTON</v>
          </cell>
          <cell r="H1866" t="str">
            <v>EBUS U12 SC</v>
          </cell>
          <cell r="I1866">
            <v>2022</v>
          </cell>
          <cell r="J1866" t="str">
            <v>B</v>
          </cell>
          <cell r="K1866" t="str">
            <v>Recoleta</v>
          </cell>
          <cell r="N1866" t="str">
            <v>B</v>
          </cell>
        </row>
        <row r="1867">
          <cell r="B1867" t="str">
            <v>SFWZ-50</v>
          </cell>
          <cell r="C1867" t="str">
            <v>LVCB4L4D8NM002637</v>
          </cell>
          <cell r="D1867" t="str">
            <v>M221100545</v>
          </cell>
          <cell r="E1867" t="str">
            <v>FOTON</v>
          </cell>
          <cell r="F1867" t="str">
            <v>EBUS U12 SC</v>
          </cell>
          <cell r="G1867" t="str">
            <v>FOTON</v>
          </cell>
          <cell r="H1867" t="str">
            <v>EBUS U12 SC</v>
          </cell>
          <cell r="I1867">
            <v>2022</v>
          </cell>
          <cell r="J1867" t="str">
            <v>B</v>
          </cell>
          <cell r="K1867" t="str">
            <v>Recoleta</v>
          </cell>
          <cell r="N1867" t="str">
            <v>B</v>
          </cell>
        </row>
        <row r="1868">
          <cell r="B1868" t="str">
            <v>SFWZ-52</v>
          </cell>
          <cell r="C1868" t="str">
            <v>LVCB4L4DXNM002638</v>
          </cell>
          <cell r="D1868" t="str">
            <v>M221110095</v>
          </cell>
          <cell r="E1868" t="str">
            <v>FOTON</v>
          </cell>
          <cell r="F1868" t="str">
            <v>EBUS U12 SC</v>
          </cell>
          <cell r="G1868" t="str">
            <v>FOTON</v>
          </cell>
          <cell r="H1868" t="str">
            <v>EBUS U12 SC</v>
          </cell>
          <cell r="I1868">
            <v>2022</v>
          </cell>
          <cell r="J1868" t="str">
            <v>B</v>
          </cell>
          <cell r="K1868" t="str">
            <v>Recoleta</v>
          </cell>
          <cell r="N1868" t="str">
            <v>B</v>
          </cell>
        </row>
        <row r="1869">
          <cell r="B1869" t="str">
            <v>SFWZ-53</v>
          </cell>
          <cell r="C1869" t="str">
            <v>LVCB4L4D1NM002639</v>
          </cell>
          <cell r="D1869" t="str">
            <v>M221110580</v>
          </cell>
          <cell r="E1869" t="str">
            <v>FOTON</v>
          </cell>
          <cell r="F1869" t="str">
            <v>EBUS U12 SC</v>
          </cell>
          <cell r="G1869" t="str">
            <v>FOTON</v>
          </cell>
          <cell r="H1869" t="str">
            <v>EBUS U12 SC</v>
          </cell>
          <cell r="I1869">
            <v>2022</v>
          </cell>
          <cell r="J1869" t="str">
            <v>B</v>
          </cell>
          <cell r="K1869" t="str">
            <v>Recoleta</v>
          </cell>
          <cell r="N1869" t="str">
            <v>B</v>
          </cell>
        </row>
        <row r="1870">
          <cell r="B1870" t="str">
            <v>SFWZ-54</v>
          </cell>
          <cell r="C1870" t="str">
            <v>LVCB4L4DXNM002641</v>
          </cell>
          <cell r="D1870" t="str">
            <v>M221100298</v>
          </cell>
          <cell r="E1870" t="str">
            <v>FOTON</v>
          </cell>
          <cell r="F1870" t="str">
            <v>EBUS U12 SC</v>
          </cell>
          <cell r="G1870" t="str">
            <v>FOTON</v>
          </cell>
          <cell r="H1870" t="str">
            <v>EBUS U12 SC</v>
          </cell>
          <cell r="I1870">
            <v>2022</v>
          </cell>
          <cell r="J1870" t="str">
            <v>B</v>
          </cell>
          <cell r="K1870" t="str">
            <v>Recoleta</v>
          </cell>
          <cell r="N1870" t="str">
            <v>B</v>
          </cell>
        </row>
        <row r="1871">
          <cell r="B1871" t="str">
            <v>SFWZ-55</v>
          </cell>
          <cell r="C1871" t="str">
            <v>LVCB4L4D1NM002642</v>
          </cell>
          <cell r="D1871" t="str">
            <v>M221100436</v>
          </cell>
          <cell r="E1871" t="str">
            <v>FOTON</v>
          </cell>
          <cell r="F1871" t="str">
            <v>EBUS U12 SC</v>
          </cell>
          <cell r="G1871" t="str">
            <v>FOTON</v>
          </cell>
          <cell r="H1871" t="str">
            <v>EBUS U12 SC</v>
          </cell>
          <cell r="I1871">
            <v>2022</v>
          </cell>
          <cell r="J1871" t="str">
            <v>B</v>
          </cell>
          <cell r="K1871" t="str">
            <v>Recoleta</v>
          </cell>
          <cell r="N1871" t="str">
            <v>B</v>
          </cell>
        </row>
        <row r="1872">
          <cell r="B1872" t="str">
            <v>SFWZ-56</v>
          </cell>
          <cell r="C1872" t="str">
            <v>LVCB4L4D3NM002643</v>
          </cell>
          <cell r="D1872" t="str">
            <v>M221100488</v>
          </cell>
          <cell r="E1872" t="str">
            <v>FOTON</v>
          </cell>
          <cell r="F1872" t="str">
            <v>EBUS U12 SC</v>
          </cell>
          <cell r="G1872" t="str">
            <v>FOTON</v>
          </cell>
          <cell r="H1872" t="str">
            <v>EBUS U12 SC</v>
          </cell>
          <cell r="I1872">
            <v>2022</v>
          </cell>
          <cell r="J1872" t="str">
            <v>B</v>
          </cell>
          <cell r="K1872" t="str">
            <v>Recoleta</v>
          </cell>
          <cell r="N1872" t="str">
            <v>B</v>
          </cell>
        </row>
        <row r="1873">
          <cell r="B1873" t="str">
            <v>SFWZ-58</v>
          </cell>
          <cell r="C1873" t="str">
            <v>LVCB4L4D7NM002645</v>
          </cell>
          <cell r="D1873" t="str">
            <v>M221100401</v>
          </cell>
          <cell r="E1873" t="str">
            <v>FOTON</v>
          </cell>
          <cell r="F1873" t="str">
            <v>EBUS U12 SC</v>
          </cell>
          <cell r="G1873" t="str">
            <v>FOTON</v>
          </cell>
          <cell r="H1873" t="str">
            <v>EBUS U12 SC</v>
          </cell>
          <cell r="I1873">
            <v>2022</v>
          </cell>
          <cell r="J1873" t="str">
            <v>B</v>
          </cell>
          <cell r="K1873" t="str">
            <v>Santa Rosa</v>
          </cell>
          <cell r="N1873" t="str">
            <v>B</v>
          </cell>
        </row>
        <row r="1874">
          <cell r="B1874" t="str">
            <v>SFWZ-59</v>
          </cell>
          <cell r="C1874" t="str">
            <v>LVCB4L4D9NM002646</v>
          </cell>
          <cell r="D1874" t="str">
            <v>M221110103</v>
          </cell>
          <cell r="E1874" t="str">
            <v>FOTON</v>
          </cell>
          <cell r="F1874" t="str">
            <v>EBUS U12 SC</v>
          </cell>
          <cell r="G1874" t="str">
            <v>FOTON</v>
          </cell>
          <cell r="H1874" t="str">
            <v>EBUS U12 SC</v>
          </cell>
          <cell r="I1874">
            <v>2022</v>
          </cell>
          <cell r="J1874" t="str">
            <v>B</v>
          </cell>
          <cell r="K1874" t="str">
            <v>Recoleta</v>
          </cell>
          <cell r="N1874" t="str">
            <v>B</v>
          </cell>
        </row>
        <row r="1875">
          <cell r="B1875" t="str">
            <v>SFWZ-61</v>
          </cell>
          <cell r="C1875" t="str">
            <v>LVCB4L4D0NM002647</v>
          </cell>
          <cell r="D1875" t="str">
            <v>M221100524</v>
          </cell>
          <cell r="E1875" t="str">
            <v>FOTON</v>
          </cell>
          <cell r="F1875" t="str">
            <v>EBUS U12 SC</v>
          </cell>
          <cell r="G1875" t="str">
            <v>FOTON</v>
          </cell>
          <cell r="H1875" t="str">
            <v>EBUS U12 SC</v>
          </cell>
          <cell r="I1875">
            <v>2022</v>
          </cell>
          <cell r="J1875" t="str">
            <v>B</v>
          </cell>
          <cell r="K1875" t="str">
            <v>Recoleta</v>
          </cell>
          <cell r="N1875" t="str">
            <v>B</v>
          </cell>
        </row>
        <row r="1876">
          <cell r="B1876" t="str">
            <v>SFWZ-62</v>
          </cell>
          <cell r="C1876" t="str">
            <v>LVCB4L4D2NM002648</v>
          </cell>
          <cell r="D1876" t="str">
            <v>M221100442</v>
          </cell>
          <cell r="E1876" t="str">
            <v>FOTON</v>
          </cell>
          <cell r="F1876" t="str">
            <v>EBUS U12 SC</v>
          </cell>
          <cell r="G1876" t="str">
            <v>FOTON</v>
          </cell>
          <cell r="H1876" t="str">
            <v>EBUS U12 SC</v>
          </cell>
          <cell r="I1876">
            <v>2022</v>
          </cell>
          <cell r="J1876" t="str">
            <v>B</v>
          </cell>
          <cell r="K1876" t="str">
            <v>Recoleta</v>
          </cell>
          <cell r="N1876" t="str">
            <v>B</v>
          </cell>
        </row>
        <row r="1877">
          <cell r="B1877" t="str">
            <v>SFWZ-63</v>
          </cell>
          <cell r="C1877" t="str">
            <v>LVCB4L4D4NM002649</v>
          </cell>
          <cell r="D1877" t="str">
            <v>M221100412</v>
          </cell>
          <cell r="E1877" t="str">
            <v>FOTON</v>
          </cell>
          <cell r="F1877" t="str">
            <v>EBUS U12 SC</v>
          </cell>
          <cell r="G1877" t="str">
            <v>FOTON</v>
          </cell>
          <cell r="H1877" t="str">
            <v>EBUS U12 SC</v>
          </cell>
          <cell r="I1877">
            <v>2022</v>
          </cell>
          <cell r="J1877" t="str">
            <v>B</v>
          </cell>
          <cell r="K1877" t="str">
            <v>Santa Rosa</v>
          </cell>
          <cell r="N1877" t="str">
            <v>B</v>
          </cell>
        </row>
        <row r="1878">
          <cell r="B1878" t="str">
            <v>SFWZ-64</v>
          </cell>
          <cell r="C1878" t="str">
            <v>LVCB4L4D0NM002650</v>
          </cell>
          <cell r="D1878" t="str">
            <v>M221110537</v>
          </cell>
          <cell r="E1878" t="str">
            <v>FOTON</v>
          </cell>
          <cell r="F1878" t="str">
            <v>EBUS U12 SC</v>
          </cell>
          <cell r="G1878" t="str">
            <v>FOTON</v>
          </cell>
          <cell r="H1878" t="str">
            <v>EBUS U12 SC</v>
          </cell>
          <cell r="I1878">
            <v>2022</v>
          </cell>
          <cell r="J1878" t="str">
            <v>B</v>
          </cell>
          <cell r="K1878" t="str">
            <v>Recoleta</v>
          </cell>
          <cell r="N1878" t="str">
            <v>B</v>
          </cell>
        </row>
        <row r="1879">
          <cell r="B1879" t="str">
            <v>SFWZ-65</v>
          </cell>
          <cell r="C1879" t="str">
            <v>LVCB4L4D2NM002651</v>
          </cell>
          <cell r="D1879" t="str">
            <v>M221100486</v>
          </cell>
          <cell r="E1879" t="str">
            <v>FOTON</v>
          </cell>
          <cell r="F1879" t="str">
            <v>EBUS U12 SC</v>
          </cell>
          <cell r="G1879" t="str">
            <v>FOTON</v>
          </cell>
          <cell r="H1879" t="str">
            <v>EBUS U12 SC</v>
          </cell>
          <cell r="I1879">
            <v>2022</v>
          </cell>
          <cell r="J1879" t="str">
            <v>B</v>
          </cell>
          <cell r="K1879" t="str">
            <v>Recoleta</v>
          </cell>
          <cell r="N1879" t="str">
            <v>B</v>
          </cell>
        </row>
        <row r="1880">
          <cell r="B1880" t="str">
            <v>SFWZ-66</v>
          </cell>
          <cell r="C1880" t="str">
            <v>LVCB4L4D4NM002652</v>
          </cell>
          <cell r="D1880" t="str">
            <v>M221110530</v>
          </cell>
          <cell r="E1880" t="str">
            <v>FOTON</v>
          </cell>
          <cell r="F1880" t="str">
            <v>EBUS U12 SC</v>
          </cell>
          <cell r="G1880" t="str">
            <v>FOTON</v>
          </cell>
          <cell r="H1880" t="str">
            <v>EBUS U12 SC</v>
          </cell>
          <cell r="I1880">
            <v>2022</v>
          </cell>
          <cell r="J1880" t="str">
            <v>B</v>
          </cell>
          <cell r="K1880" t="str">
            <v>Recoleta</v>
          </cell>
          <cell r="N1880" t="str">
            <v>B</v>
          </cell>
        </row>
        <row r="1881">
          <cell r="B1881" t="str">
            <v>SFWZ-67</v>
          </cell>
          <cell r="C1881" t="str">
            <v>LVCB4L4D6NM002653</v>
          </cell>
          <cell r="D1881" t="str">
            <v>M221100474</v>
          </cell>
          <cell r="E1881" t="str">
            <v>FOTON</v>
          </cell>
          <cell r="F1881" t="str">
            <v>EBUS U12 SC</v>
          </cell>
          <cell r="G1881" t="str">
            <v>FOTON</v>
          </cell>
          <cell r="H1881" t="str">
            <v>EBUS U12 SC</v>
          </cell>
          <cell r="I1881">
            <v>2022</v>
          </cell>
          <cell r="J1881" t="str">
            <v>B</v>
          </cell>
          <cell r="K1881" t="str">
            <v>Santa Rosa</v>
          </cell>
          <cell r="N1881" t="str">
            <v>B</v>
          </cell>
        </row>
        <row r="1882">
          <cell r="B1882" t="str">
            <v>SFWZ-68</v>
          </cell>
          <cell r="C1882" t="str">
            <v>LVCB4L4DXNM002655</v>
          </cell>
          <cell r="D1882" t="str">
            <v>M221100411</v>
          </cell>
          <cell r="E1882" t="str">
            <v>FOTON</v>
          </cell>
          <cell r="F1882" t="str">
            <v>EBUS U12 SC</v>
          </cell>
          <cell r="G1882" t="str">
            <v>FOTON</v>
          </cell>
          <cell r="H1882" t="str">
            <v>EBUS U12 SC</v>
          </cell>
          <cell r="I1882">
            <v>2022</v>
          </cell>
          <cell r="J1882" t="str">
            <v>B</v>
          </cell>
          <cell r="K1882" t="str">
            <v>Santa Rosa</v>
          </cell>
          <cell r="N1882" t="str">
            <v>B</v>
          </cell>
        </row>
        <row r="1883">
          <cell r="B1883" t="str">
            <v>SFWZ-69</v>
          </cell>
          <cell r="C1883" t="str">
            <v>LVCB4L4D1NM002656</v>
          </cell>
          <cell r="D1883" t="str">
            <v>M221100301</v>
          </cell>
          <cell r="E1883" t="str">
            <v>FOTON</v>
          </cell>
          <cell r="F1883" t="str">
            <v>EBUS U12 SC</v>
          </cell>
          <cell r="G1883" t="str">
            <v>FOTON</v>
          </cell>
          <cell r="H1883" t="str">
            <v>EBUS U12 SC</v>
          </cell>
          <cell r="I1883">
            <v>2022</v>
          </cell>
          <cell r="J1883" t="str">
            <v>B</v>
          </cell>
          <cell r="K1883" t="str">
            <v>Recoleta</v>
          </cell>
          <cell r="N1883" t="str">
            <v>B</v>
          </cell>
        </row>
        <row r="1884">
          <cell r="B1884" t="str">
            <v>SFWZ-70</v>
          </cell>
          <cell r="C1884" t="str">
            <v>LVCB4L4D3NM002657</v>
          </cell>
          <cell r="D1884" t="str">
            <v>M221110532</v>
          </cell>
          <cell r="E1884" t="str">
            <v>FOTON</v>
          </cell>
          <cell r="F1884" t="str">
            <v>EBUS U12 SC</v>
          </cell>
          <cell r="G1884" t="str">
            <v>FOTON</v>
          </cell>
          <cell r="H1884" t="str">
            <v>EBUS U12 SC</v>
          </cell>
          <cell r="I1884">
            <v>2022</v>
          </cell>
          <cell r="J1884" t="str">
            <v>B</v>
          </cell>
          <cell r="K1884" t="str">
            <v>Santa Rosa</v>
          </cell>
          <cell r="N1884" t="str">
            <v>B</v>
          </cell>
        </row>
        <row r="1885">
          <cell r="B1885" t="str">
            <v>SFWZ-73</v>
          </cell>
          <cell r="C1885" t="str">
            <v>LVCB4L4D5NM002658</v>
          </cell>
          <cell r="D1885" t="str">
            <v>M221100527</v>
          </cell>
          <cell r="E1885" t="str">
            <v>FOTON</v>
          </cell>
          <cell r="F1885" t="str">
            <v>EBUS U12 SC</v>
          </cell>
          <cell r="G1885" t="str">
            <v>FOTON</v>
          </cell>
          <cell r="H1885" t="str">
            <v>EBUS U12 SC</v>
          </cell>
          <cell r="I1885">
            <v>2022</v>
          </cell>
          <cell r="J1885" t="str">
            <v>B</v>
          </cell>
          <cell r="K1885" t="str">
            <v>Recoleta</v>
          </cell>
          <cell r="N1885" t="str">
            <v>B</v>
          </cell>
        </row>
        <row r="1886">
          <cell r="B1886" t="str">
            <v>SFWZ-74</v>
          </cell>
          <cell r="C1886" t="str">
            <v>LVCB4L4D7NM002659</v>
          </cell>
          <cell r="D1886" t="str">
            <v>M221100403</v>
          </cell>
          <cell r="E1886" t="str">
            <v>FOTON</v>
          </cell>
          <cell r="F1886" t="str">
            <v>EBUS U12 SC</v>
          </cell>
          <cell r="G1886" t="str">
            <v>FOTON</v>
          </cell>
          <cell r="H1886" t="str">
            <v>EBUS U12 SC</v>
          </cell>
          <cell r="I1886">
            <v>2022</v>
          </cell>
          <cell r="J1886" t="str">
            <v>B</v>
          </cell>
          <cell r="K1886" t="str">
            <v>Santa Rosa</v>
          </cell>
          <cell r="N1886" t="str">
            <v>B</v>
          </cell>
        </row>
        <row r="1887">
          <cell r="B1887" t="str">
            <v>SFWZ-75</v>
          </cell>
          <cell r="C1887" t="str">
            <v>LVCB4L4D3NM002660</v>
          </cell>
          <cell r="D1887" t="str">
            <v>M221100542</v>
          </cell>
          <cell r="E1887" t="str">
            <v>FOTON</v>
          </cell>
          <cell r="F1887" t="str">
            <v>EBUS U12 SC</v>
          </cell>
          <cell r="G1887" t="str">
            <v>FOTON</v>
          </cell>
          <cell r="H1887" t="str">
            <v>EBUS U12 SC</v>
          </cell>
          <cell r="I1887">
            <v>2022</v>
          </cell>
          <cell r="J1887" t="str">
            <v>B</v>
          </cell>
          <cell r="K1887" t="str">
            <v>Santa Rosa</v>
          </cell>
          <cell r="N1887" t="str">
            <v>B</v>
          </cell>
        </row>
        <row r="1888">
          <cell r="B1888" t="str">
            <v>SFWZ-76</v>
          </cell>
          <cell r="C1888" t="str">
            <v>LVCB4L4D5NM002661</v>
          </cell>
          <cell r="D1888" t="str">
            <v>M221110527</v>
          </cell>
          <cell r="E1888" t="str">
            <v>FOTON</v>
          </cell>
          <cell r="F1888" t="str">
            <v>EBUS U12 SC</v>
          </cell>
          <cell r="G1888" t="str">
            <v>FOTON</v>
          </cell>
          <cell r="H1888" t="str">
            <v>EBUS U12 SC</v>
          </cell>
          <cell r="I1888">
            <v>2022</v>
          </cell>
          <cell r="J1888" t="str">
            <v>B</v>
          </cell>
          <cell r="K1888" t="str">
            <v>Santa Rosa</v>
          </cell>
          <cell r="N1888" t="str">
            <v>B</v>
          </cell>
        </row>
        <row r="1889">
          <cell r="B1889" t="str">
            <v>SFWZ-77</v>
          </cell>
          <cell r="C1889" t="str">
            <v>LVCB4L4D7NM002662</v>
          </cell>
          <cell r="D1889" t="str">
            <v>M221100402</v>
          </cell>
          <cell r="E1889" t="str">
            <v>FOTON</v>
          </cell>
          <cell r="F1889" t="str">
            <v>EBUS U12 SC</v>
          </cell>
          <cell r="G1889" t="str">
            <v>FOTON</v>
          </cell>
          <cell r="H1889" t="str">
            <v>EBUS U12 SC</v>
          </cell>
          <cell r="I1889">
            <v>2022</v>
          </cell>
          <cell r="J1889" t="str">
            <v>B</v>
          </cell>
          <cell r="K1889" t="str">
            <v>Santa Rosa</v>
          </cell>
          <cell r="N1889" t="str">
            <v>B</v>
          </cell>
        </row>
        <row r="1890">
          <cell r="B1890" t="str">
            <v>SFWZ-78</v>
          </cell>
          <cell r="C1890" t="str">
            <v>LVCB4L4D9NM002663</v>
          </cell>
          <cell r="D1890" t="str">
            <v>M221110019</v>
          </cell>
          <cell r="E1890" t="str">
            <v>FOTON</v>
          </cell>
          <cell r="F1890" t="str">
            <v>EBUS U12 SC</v>
          </cell>
          <cell r="G1890" t="str">
            <v>FOTON</v>
          </cell>
          <cell r="H1890" t="str">
            <v>EBUS U12 SC</v>
          </cell>
          <cell r="I1890">
            <v>2022</v>
          </cell>
          <cell r="J1890" t="str">
            <v>B</v>
          </cell>
          <cell r="K1890" t="str">
            <v>Santa Rosa</v>
          </cell>
          <cell r="N1890" t="str">
            <v>B</v>
          </cell>
        </row>
        <row r="1891">
          <cell r="B1891" t="str">
            <v>SFWZ-80</v>
          </cell>
          <cell r="C1891" t="str">
            <v>LVCB4L4D2NM002665</v>
          </cell>
          <cell r="D1891" t="str">
            <v>M221100489</v>
          </cell>
          <cell r="E1891" t="str">
            <v>FOTON</v>
          </cell>
          <cell r="F1891" t="str">
            <v>EBUS U12 SC</v>
          </cell>
          <cell r="G1891" t="str">
            <v>FOTON</v>
          </cell>
          <cell r="H1891" t="str">
            <v>EBUS U12 SC</v>
          </cell>
          <cell r="I1891">
            <v>2022</v>
          </cell>
          <cell r="J1891" t="str">
            <v>B</v>
          </cell>
          <cell r="K1891" t="str">
            <v>Recoleta</v>
          </cell>
          <cell r="N1891" t="str">
            <v>B</v>
          </cell>
        </row>
        <row r="1892">
          <cell r="B1892" t="str">
            <v>SFWZ-81</v>
          </cell>
          <cell r="C1892" t="str">
            <v>LVCB4L4D4NM002666</v>
          </cell>
          <cell r="D1892" t="str">
            <v>M221110651</v>
          </cell>
          <cell r="E1892" t="str">
            <v>FOTON</v>
          </cell>
          <cell r="F1892" t="str">
            <v>EBUS U12 SC</v>
          </cell>
          <cell r="G1892" t="str">
            <v>FOTON</v>
          </cell>
          <cell r="H1892" t="str">
            <v>EBUS U12 SC</v>
          </cell>
          <cell r="I1892">
            <v>2022</v>
          </cell>
          <cell r="J1892" t="str">
            <v>B</v>
          </cell>
          <cell r="K1892" t="str">
            <v>Recoleta</v>
          </cell>
          <cell r="N1892" t="str">
            <v>B</v>
          </cell>
        </row>
        <row r="1893">
          <cell r="B1893" t="str">
            <v>SFWZ-82</v>
          </cell>
          <cell r="C1893" t="str">
            <v>LVCB4L4D6NM002667</v>
          </cell>
          <cell r="D1893" t="str">
            <v>M221100405</v>
          </cell>
          <cell r="E1893" t="str">
            <v>FOTON</v>
          </cell>
          <cell r="F1893" t="str">
            <v>EBUS U12 SC</v>
          </cell>
          <cell r="G1893" t="str">
            <v>FOTON</v>
          </cell>
          <cell r="H1893" t="str">
            <v>EBUS U12 SC</v>
          </cell>
          <cell r="I1893">
            <v>2022</v>
          </cell>
          <cell r="J1893" t="str">
            <v>B</v>
          </cell>
          <cell r="K1893" t="str">
            <v>Recoleta</v>
          </cell>
          <cell r="N1893" t="str">
            <v>B</v>
          </cell>
        </row>
        <row r="1894">
          <cell r="B1894" t="str">
            <v>SFWZ-83</v>
          </cell>
          <cell r="C1894" t="str">
            <v>LVCB4L4D8NM002668</v>
          </cell>
          <cell r="D1894" t="str">
            <v>M221100526</v>
          </cell>
          <cell r="E1894" t="str">
            <v>FOTON</v>
          </cell>
          <cell r="F1894" t="str">
            <v>EBUS U12 SC</v>
          </cell>
          <cell r="G1894" t="str">
            <v>FOTON</v>
          </cell>
          <cell r="H1894" t="str">
            <v>EBUS U12 SC</v>
          </cell>
          <cell r="I1894">
            <v>2022</v>
          </cell>
          <cell r="J1894" t="str">
            <v>B</v>
          </cell>
          <cell r="K1894" t="str">
            <v>Recoleta</v>
          </cell>
          <cell r="N1894" t="str">
            <v>B</v>
          </cell>
        </row>
        <row r="1895">
          <cell r="B1895" t="str">
            <v>SFWZ-85</v>
          </cell>
          <cell r="C1895" t="str">
            <v>LVCB4L4DXNM002669</v>
          </cell>
          <cell r="D1895" t="str">
            <v>M221110534</v>
          </cell>
          <cell r="E1895" t="str">
            <v>FOTON</v>
          </cell>
          <cell r="F1895" t="str">
            <v>EBUS U12 SC</v>
          </cell>
          <cell r="G1895" t="str">
            <v>FOTON</v>
          </cell>
          <cell r="H1895" t="str">
            <v>EBUS U12 SC</v>
          </cell>
          <cell r="I1895">
            <v>2022</v>
          </cell>
          <cell r="J1895" t="str">
            <v>B</v>
          </cell>
          <cell r="K1895" t="str">
            <v>Santa Rosa</v>
          </cell>
          <cell r="N1895" t="str">
            <v>B</v>
          </cell>
        </row>
        <row r="1896">
          <cell r="B1896" t="str">
            <v>SXKV-97</v>
          </cell>
          <cell r="C1896" t="str">
            <v>YV3T7U520RA212108</v>
          </cell>
          <cell r="D1896">
            <v>593521</v>
          </cell>
          <cell r="E1896" t="str">
            <v>VOLVO</v>
          </cell>
          <cell r="F1896" t="str">
            <v>B8RLEA</v>
          </cell>
          <cell r="G1896" t="str">
            <v>MARCOPOLO</v>
          </cell>
          <cell r="H1896" t="str">
            <v>GRAN VIALE</v>
          </cell>
          <cell r="I1896">
            <v>2023</v>
          </cell>
          <cell r="J1896" t="str">
            <v>C</v>
          </cell>
          <cell r="K1896" t="str">
            <v>Santa Rosa</v>
          </cell>
          <cell r="N1896" t="str">
            <v>C</v>
          </cell>
        </row>
        <row r="1897">
          <cell r="B1897" t="str">
            <v>SXKV-98</v>
          </cell>
          <cell r="C1897" t="str">
            <v>YV3T7U522RA212112</v>
          </cell>
          <cell r="D1897">
            <v>593751</v>
          </cell>
          <cell r="E1897" t="str">
            <v>VOLVO</v>
          </cell>
          <cell r="F1897" t="str">
            <v>B8RLEA</v>
          </cell>
          <cell r="G1897" t="str">
            <v>MARCOPOLO</v>
          </cell>
          <cell r="H1897" t="str">
            <v>GRAN VIALE</v>
          </cell>
          <cell r="I1897">
            <v>2023</v>
          </cell>
          <cell r="J1897" t="str">
            <v>C</v>
          </cell>
          <cell r="K1897" t="str">
            <v>Santa Rosa</v>
          </cell>
          <cell r="N1897" t="str">
            <v>C</v>
          </cell>
        </row>
        <row r="1898">
          <cell r="B1898" t="str">
            <v>SXKV-99</v>
          </cell>
          <cell r="C1898" t="str">
            <v>YV3T7U525RA212217</v>
          </cell>
          <cell r="D1898">
            <v>595002</v>
          </cell>
          <cell r="E1898" t="str">
            <v>VOLVO</v>
          </cell>
          <cell r="F1898" t="str">
            <v>B8RLEA</v>
          </cell>
          <cell r="G1898" t="str">
            <v>MARCOPOLO</v>
          </cell>
          <cell r="H1898" t="str">
            <v>GRAN VIALE</v>
          </cell>
          <cell r="I1898">
            <v>2023</v>
          </cell>
          <cell r="J1898" t="str">
            <v>C</v>
          </cell>
          <cell r="K1898" t="str">
            <v>Santa Rosa</v>
          </cell>
          <cell r="N1898" t="str">
            <v>C</v>
          </cell>
        </row>
        <row r="1899">
          <cell r="B1899" t="str">
            <v>TBZB-24</v>
          </cell>
          <cell r="C1899" t="str">
            <v>YV3T7U523RA212314</v>
          </cell>
          <cell r="D1899">
            <v>598537</v>
          </cell>
          <cell r="E1899" t="str">
            <v>VOLVO</v>
          </cell>
          <cell r="F1899" t="str">
            <v>B8RLEA</v>
          </cell>
          <cell r="G1899" t="str">
            <v>MARCOPOLO</v>
          </cell>
          <cell r="H1899" t="str">
            <v>GRAN VIALE</v>
          </cell>
          <cell r="I1899">
            <v>2023</v>
          </cell>
          <cell r="J1899" t="str">
            <v>C</v>
          </cell>
          <cell r="K1899" t="str">
            <v>Santa Rosa</v>
          </cell>
          <cell r="N1899" t="str">
            <v>C</v>
          </cell>
        </row>
        <row r="1900">
          <cell r="B1900" t="str">
            <v>VLSZ-25</v>
          </cell>
          <cell r="C1900" t="str">
            <v>LDYECS315S0045859</v>
          </cell>
          <cell r="D1900" t="str">
            <v>MDN35025030200</v>
          </cell>
          <cell r="E1900" t="str">
            <v>Zhong Thong</v>
          </cell>
          <cell r="F1900" t="str">
            <v>Lck6122evg</v>
          </cell>
          <cell r="G1900" t="str">
            <v>Zhong Thong</v>
          </cell>
          <cell r="H1900" t="str">
            <v>Lck6122evg</v>
          </cell>
          <cell r="I1900">
            <v>2026</v>
          </cell>
          <cell r="J1900" t="str">
            <v>B</v>
          </cell>
          <cell r="K1900" t="str">
            <v>Las Acacias</v>
          </cell>
          <cell r="N1900" t="str">
            <v>B</v>
          </cell>
        </row>
        <row r="1901">
          <cell r="B1901" t="str">
            <v>VLSZ-26</v>
          </cell>
          <cell r="C1901" t="str">
            <v>LDYECS313S0045858</v>
          </cell>
          <cell r="D1901" t="str">
            <v>MDN35025030201</v>
          </cell>
          <cell r="E1901" t="str">
            <v>Zhong Thong</v>
          </cell>
          <cell r="F1901" t="str">
            <v>Lck6122evg</v>
          </cell>
          <cell r="G1901" t="str">
            <v>Zhong Thong</v>
          </cell>
          <cell r="H1901" t="str">
            <v>Lck6122evg</v>
          </cell>
          <cell r="I1901">
            <v>2026</v>
          </cell>
          <cell r="J1901" t="str">
            <v>B</v>
          </cell>
          <cell r="K1901" t="str">
            <v>Las Acacias</v>
          </cell>
          <cell r="N1901" t="str">
            <v>B</v>
          </cell>
        </row>
        <row r="1902">
          <cell r="B1902" t="str">
            <v>VLSZ-46</v>
          </cell>
          <cell r="C1902" t="str">
            <v>LDYECS313S0045777</v>
          </cell>
          <cell r="D1902" t="str">
            <v>MDN35025030141</v>
          </cell>
          <cell r="E1902" t="str">
            <v>Zhong Thong</v>
          </cell>
          <cell r="F1902" t="str">
            <v>Lck6122evg</v>
          </cell>
          <cell r="G1902" t="str">
            <v>Zhong Thong</v>
          </cell>
          <cell r="H1902" t="str">
            <v>Lck6122evg</v>
          </cell>
          <cell r="I1902">
            <v>2026</v>
          </cell>
          <cell r="J1902" t="str">
            <v>B</v>
          </cell>
          <cell r="K1902" t="str">
            <v>Las Acacias</v>
          </cell>
          <cell r="N1902" t="str">
            <v>B</v>
          </cell>
        </row>
        <row r="1903">
          <cell r="B1903" t="str">
            <v>VLSZ-52</v>
          </cell>
          <cell r="C1903" t="str">
            <v>LDYECS314S0045772</v>
          </cell>
          <cell r="D1903" t="str">
            <v>MDN35025030143</v>
          </cell>
          <cell r="E1903" t="str">
            <v>Zhong Thong</v>
          </cell>
          <cell r="F1903" t="str">
            <v>Lck6122evg</v>
          </cell>
          <cell r="G1903" t="str">
            <v>Zhong Thong</v>
          </cell>
          <cell r="H1903" t="str">
            <v>Lck6122evg</v>
          </cell>
          <cell r="I1903">
            <v>2026</v>
          </cell>
          <cell r="J1903" t="str">
            <v>B</v>
          </cell>
          <cell r="K1903" t="str">
            <v>Las Acacias</v>
          </cell>
          <cell r="N1903" t="str">
            <v>B</v>
          </cell>
        </row>
        <row r="1904">
          <cell r="B1904" t="str">
            <v>VLSZ-54</v>
          </cell>
          <cell r="C1904" t="str">
            <v>LDYECS318S0045869</v>
          </cell>
          <cell r="D1904" t="str">
            <v>MDN35025030203</v>
          </cell>
          <cell r="E1904" t="str">
            <v>Zhong Thong</v>
          </cell>
          <cell r="F1904" t="str">
            <v>Lck6122evg</v>
          </cell>
          <cell r="G1904" t="str">
            <v>Zhong Thong</v>
          </cell>
          <cell r="H1904" t="str">
            <v>Lck6122evg</v>
          </cell>
          <cell r="I1904">
            <v>2026</v>
          </cell>
          <cell r="J1904" t="str">
            <v>B</v>
          </cell>
          <cell r="K1904" t="str">
            <v>Las Acacias</v>
          </cell>
          <cell r="N1904" t="str">
            <v>B</v>
          </cell>
        </row>
        <row r="1905">
          <cell r="B1905" t="str">
            <v>VLSZ-65</v>
          </cell>
          <cell r="C1905" t="str">
            <v>LDYECS311S0045860</v>
          </cell>
          <cell r="D1905" t="str">
            <v>MDN35025030275</v>
          </cell>
          <cell r="E1905" t="str">
            <v>Zhong Thong</v>
          </cell>
          <cell r="F1905" t="str">
            <v>Lck6122evg</v>
          </cell>
          <cell r="G1905" t="str">
            <v>Zhong Thong</v>
          </cell>
          <cell r="H1905" t="str">
            <v>Lck6122evg</v>
          </cell>
          <cell r="I1905">
            <v>2026</v>
          </cell>
          <cell r="J1905" t="str">
            <v>B</v>
          </cell>
          <cell r="K1905" t="str">
            <v>Las Acacias</v>
          </cell>
          <cell r="N1905" t="str">
            <v>B</v>
          </cell>
        </row>
        <row r="1906">
          <cell r="B1906" t="str">
            <v>VLSZ-68</v>
          </cell>
          <cell r="C1906" t="str">
            <v>LDYECS316S0045868</v>
          </cell>
          <cell r="D1906" t="str">
            <v>MDN35025030262</v>
          </cell>
          <cell r="E1906" t="str">
            <v>Zhong Thong</v>
          </cell>
          <cell r="F1906" t="str">
            <v>Lck6122evg</v>
          </cell>
          <cell r="G1906" t="str">
            <v>Zhong Thong</v>
          </cell>
          <cell r="H1906" t="str">
            <v>Lck6122evg</v>
          </cell>
          <cell r="I1906">
            <v>2026</v>
          </cell>
          <cell r="J1906" t="str">
            <v>B</v>
          </cell>
          <cell r="K1906" t="str">
            <v>Las Acacias</v>
          </cell>
          <cell r="N1906" t="str">
            <v>B</v>
          </cell>
        </row>
        <row r="1907">
          <cell r="B1907" t="str">
            <v>VLSZ-75</v>
          </cell>
          <cell r="C1907" t="str">
            <v>LDYECS312S0045785</v>
          </cell>
          <cell r="D1907" t="str">
            <v>MDN35025030159</v>
          </cell>
          <cell r="E1907" t="str">
            <v>Zhong Thong</v>
          </cell>
          <cell r="F1907" t="str">
            <v>Lck6122evg</v>
          </cell>
          <cell r="G1907" t="str">
            <v>Zhong Thong</v>
          </cell>
          <cell r="H1907" t="str">
            <v>Lck6122evg</v>
          </cell>
          <cell r="I1907">
            <v>2026</v>
          </cell>
          <cell r="J1907" t="str">
            <v>B</v>
          </cell>
          <cell r="K1907" t="str">
            <v>Las Acacias</v>
          </cell>
          <cell r="N1907" t="str">
            <v>B</v>
          </cell>
        </row>
        <row r="1908">
          <cell r="B1908" t="str">
            <v>VLTB-15</v>
          </cell>
          <cell r="C1908" t="str">
            <v>LDYECS31XS0045873</v>
          </cell>
          <cell r="D1908" t="str">
            <v>MDN35025030290</v>
          </cell>
          <cell r="E1908" t="str">
            <v>Zhong Thong</v>
          </cell>
          <cell r="F1908" t="str">
            <v>Lck6122evg</v>
          </cell>
          <cell r="G1908" t="str">
            <v>Zhong Thong</v>
          </cell>
          <cell r="H1908" t="str">
            <v>Lck6122evg</v>
          </cell>
          <cell r="I1908">
            <v>2026</v>
          </cell>
          <cell r="J1908" t="str">
            <v>B</v>
          </cell>
          <cell r="K1908" t="str">
            <v>Las Acacias</v>
          </cell>
          <cell r="N1908" t="str">
            <v>B</v>
          </cell>
        </row>
        <row r="1909">
          <cell r="B1909" t="str">
            <v>VLTB-35</v>
          </cell>
          <cell r="C1909" t="str">
            <v>LDYECS319S0045783</v>
          </cell>
          <cell r="D1909" t="str">
            <v>MDN35025030314</v>
          </cell>
          <cell r="E1909" t="str">
            <v>Zhong Thong</v>
          </cell>
          <cell r="F1909" t="str">
            <v>Lck6122evg</v>
          </cell>
          <cell r="G1909" t="str">
            <v>Zhong Thong</v>
          </cell>
          <cell r="H1909" t="str">
            <v>Lck6122evg</v>
          </cell>
          <cell r="I1909">
            <v>2026</v>
          </cell>
          <cell r="J1909" t="str">
            <v>B</v>
          </cell>
          <cell r="K1909" t="str">
            <v>Las Acacias</v>
          </cell>
          <cell r="N1909" t="str">
            <v>B</v>
          </cell>
        </row>
        <row r="1910">
          <cell r="B1910" t="str">
            <v>VLTB-43</v>
          </cell>
          <cell r="C1910" t="str">
            <v>LDYECS315S0045778</v>
          </cell>
          <cell r="D1910" t="str">
            <v>MDN35025030280</v>
          </cell>
          <cell r="E1910" t="str">
            <v>Zhong Thong</v>
          </cell>
          <cell r="F1910" t="str">
            <v>Lck6122evg</v>
          </cell>
          <cell r="G1910" t="str">
            <v>Zhong Thong</v>
          </cell>
          <cell r="H1910" t="str">
            <v>Lck6122evg</v>
          </cell>
          <cell r="I1910">
            <v>2026</v>
          </cell>
          <cell r="J1910" t="str">
            <v>B</v>
          </cell>
          <cell r="K1910" t="str">
            <v>Las Acacias</v>
          </cell>
          <cell r="N1910" t="str">
            <v>B</v>
          </cell>
        </row>
        <row r="1911">
          <cell r="B1911" t="str">
            <v>VLTB-85</v>
          </cell>
          <cell r="C1911" t="str">
            <v>LDYECS316S0045787</v>
          </cell>
          <cell r="D1911" t="str">
            <v>MDN35025030176</v>
          </cell>
          <cell r="E1911" t="str">
            <v>Zhong Thong</v>
          </cell>
          <cell r="F1911" t="str">
            <v>Lck6122evg</v>
          </cell>
          <cell r="G1911" t="str">
            <v>Zhong Thong</v>
          </cell>
          <cell r="H1911" t="str">
            <v>Lck6122evg</v>
          </cell>
          <cell r="I1911">
            <v>2026</v>
          </cell>
          <cell r="J1911" t="str">
            <v>B</v>
          </cell>
          <cell r="K1911" t="str">
            <v>Las Acacias</v>
          </cell>
          <cell r="N1911" t="str">
            <v>B</v>
          </cell>
        </row>
        <row r="1912">
          <cell r="B1912" t="str">
            <v>VLTB-93</v>
          </cell>
          <cell r="C1912" t="str">
            <v>LDYECS313S0045780</v>
          </cell>
          <cell r="D1912" t="str">
            <v>MDN35025030190</v>
          </cell>
          <cell r="E1912" t="str">
            <v>Zhong Thong</v>
          </cell>
          <cell r="F1912" t="str">
            <v>Lck6122evg</v>
          </cell>
          <cell r="G1912" t="str">
            <v>Zhong Thong</v>
          </cell>
          <cell r="H1912" t="str">
            <v>Lck6122evg</v>
          </cell>
          <cell r="I1912">
            <v>2026</v>
          </cell>
          <cell r="J1912" t="str">
            <v>B</v>
          </cell>
          <cell r="K1912" t="str">
            <v>Las Acacias</v>
          </cell>
          <cell r="N1912" t="str">
            <v>B</v>
          </cell>
        </row>
        <row r="1913">
          <cell r="B1913" t="str">
            <v>VLTB-94</v>
          </cell>
          <cell r="C1913" t="str">
            <v>LDYECS311S0045776</v>
          </cell>
          <cell r="D1913" t="str">
            <v>MDN35025030167</v>
          </cell>
          <cell r="E1913" t="str">
            <v>Zhong Thong</v>
          </cell>
          <cell r="F1913" t="str">
            <v>Lck6122evg</v>
          </cell>
          <cell r="G1913" t="str">
            <v>Zhong Thong</v>
          </cell>
          <cell r="H1913" t="str">
            <v>Lck6122evg</v>
          </cell>
          <cell r="I1913">
            <v>2026</v>
          </cell>
          <cell r="J1913" t="str">
            <v>B</v>
          </cell>
          <cell r="K1913" t="str">
            <v>Las Acacias</v>
          </cell>
          <cell r="N1913" t="str">
            <v>B</v>
          </cell>
        </row>
        <row r="1914">
          <cell r="B1914" t="str">
            <v>VLTC-16</v>
          </cell>
          <cell r="C1914" t="str">
            <v>LDYECS317S0045782</v>
          </cell>
          <cell r="D1914" t="str">
            <v>MDN35025030212</v>
          </cell>
          <cell r="E1914" t="str">
            <v>Zhong Thong</v>
          </cell>
          <cell r="F1914" t="str">
            <v>Lck6122evg</v>
          </cell>
          <cell r="G1914" t="str">
            <v>Zhong Thong</v>
          </cell>
          <cell r="H1914" t="str">
            <v>Lck6122evg</v>
          </cell>
          <cell r="I1914">
            <v>2026</v>
          </cell>
          <cell r="J1914" t="str">
            <v>B</v>
          </cell>
          <cell r="K1914" t="str">
            <v>Las Acacias</v>
          </cell>
          <cell r="N1914" t="str">
            <v>B</v>
          </cell>
        </row>
        <row r="1915">
          <cell r="B1915" t="str">
            <v>VLTC-17</v>
          </cell>
          <cell r="C1915" t="str">
            <v>LDYECS316S0045885</v>
          </cell>
          <cell r="D1915" t="str">
            <v>MDN35025030187</v>
          </cell>
          <cell r="E1915" t="str">
            <v>Zhong Thong</v>
          </cell>
          <cell r="F1915" t="str">
            <v>Lck6122evg</v>
          </cell>
          <cell r="G1915" t="str">
            <v>Zhong Thong</v>
          </cell>
          <cell r="H1915" t="str">
            <v>Lck6122evg</v>
          </cell>
          <cell r="I1915">
            <v>2026</v>
          </cell>
          <cell r="J1915" t="str">
            <v>B</v>
          </cell>
          <cell r="K1915" t="str">
            <v>Las Acacias</v>
          </cell>
          <cell r="N1915" t="str">
            <v>B</v>
          </cell>
        </row>
        <row r="1916">
          <cell r="B1916" t="str">
            <v>VLTC-21</v>
          </cell>
          <cell r="C1916" t="str">
            <v>LDYECS311S0045745</v>
          </cell>
          <cell r="D1916" t="str">
            <v>MDN35025030007</v>
          </cell>
          <cell r="E1916" t="str">
            <v>Zhong Thong</v>
          </cell>
          <cell r="F1916" t="str">
            <v>Lck6122evg</v>
          </cell>
          <cell r="G1916" t="str">
            <v>Zhong Thong</v>
          </cell>
          <cell r="H1916" t="str">
            <v>Lck6122evg</v>
          </cell>
          <cell r="I1916">
            <v>2026</v>
          </cell>
          <cell r="J1916" t="str">
            <v>B</v>
          </cell>
          <cell r="K1916" t="str">
            <v>Las Acacias</v>
          </cell>
          <cell r="N1916" t="str">
            <v>B</v>
          </cell>
        </row>
        <row r="1917">
          <cell r="B1917" t="str">
            <v>VLTC-23</v>
          </cell>
          <cell r="C1917" t="str">
            <v>LDYECS31XS0045789</v>
          </cell>
          <cell r="D1917" t="str">
            <v>MDN35025030164</v>
          </cell>
          <cell r="E1917" t="str">
            <v>Zhong Thong</v>
          </cell>
          <cell r="F1917" t="str">
            <v>Lck6122evg</v>
          </cell>
          <cell r="G1917" t="str">
            <v>Zhong Thong</v>
          </cell>
          <cell r="H1917" t="str">
            <v>Lck6122evg</v>
          </cell>
          <cell r="I1917">
            <v>2026</v>
          </cell>
          <cell r="J1917" t="str">
            <v>B</v>
          </cell>
          <cell r="K1917" t="str">
            <v>Las Acacias</v>
          </cell>
          <cell r="N1917" t="str">
            <v>B</v>
          </cell>
        </row>
        <row r="1918">
          <cell r="B1918" t="str">
            <v>VLTC-32</v>
          </cell>
          <cell r="C1918" t="str">
            <v>LDYECS311S0045888</v>
          </cell>
          <cell r="D1918" t="str">
            <v>MDN35025010010</v>
          </cell>
          <cell r="E1918" t="str">
            <v>Zhong Thong</v>
          </cell>
          <cell r="F1918" t="str">
            <v>Lck6122evg</v>
          </cell>
          <cell r="G1918" t="str">
            <v>Zhong Thong</v>
          </cell>
          <cell r="H1918" t="str">
            <v>Lck6122evg</v>
          </cell>
          <cell r="I1918">
            <v>2026</v>
          </cell>
          <cell r="J1918" t="str">
            <v>B</v>
          </cell>
          <cell r="K1918" t="str">
            <v>Las Acacias</v>
          </cell>
          <cell r="N1918" t="str">
            <v>B</v>
          </cell>
        </row>
        <row r="1919">
          <cell r="B1919" t="str">
            <v>VLTC-33</v>
          </cell>
          <cell r="C1919" t="str">
            <v>LDYECS312S0045883</v>
          </cell>
          <cell r="D1919" t="str">
            <v>MDN35025010007</v>
          </cell>
          <cell r="E1919" t="str">
            <v>Zhong Thong</v>
          </cell>
          <cell r="F1919" t="str">
            <v>Lck6122evg</v>
          </cell>
          <cell r="G1919" t="str">
            <v>Zhong Thong</v>
          </cell>
          <cell r="H1919" t="str">
            <v>Lck6122evg</v>
          </cell>
          <cell r="I1919">
            <v>2026</v>
          </cell>
          <cell r="J1919" t="str">
            <v>B</v>
          </cell>
          <cell r="K1919" t="str">
            <v>Las Acacias</v>
          </cell>
          <cell r="N1919" t="str">
            <v>B</v>
          </cell>
        </row>
        <row r="1920">
          <cell r="B1920" t="str">
            <v>VLTC-34</v>
          </cell>
          <cell r="C1920" t="str">
            <v>LDYECS315S0045876</v>
          </cell>
          <cell r="D1920" t="str">
            <v>MDN35025030057</v>
          </cell>
          <cell r="E1920" t="str">
            <v>Zhong Thong</v>
          </cell>
          <cell r="F1920" t="str">
            <v>Lck6122evg</v>
          </cell>
          <cell r="G1920" t="str">
            <v>Zhong Thong</v>
          </cell>
          <cell r="H1920" t="str">
            <v>Lck6122evg</v>
          </cell>
          <cell r="I1920">
            <v>2026</v>
          </cell>
          <cell r="J1920" t="str">
            <v>B</v>
          </cell>
          <cell r="K1920" t="str">
            <v>Las Acacias</v>
          </cell>
          <cell r="N1920" t="str">
            <v>B</v>
          </cell>
        </row>
        <row r="1921">
          <cell r="B1921" t="str">
            <v>VLTC-35</v>
          </cell>
          <cell r="C1921" t="str">
            <v>LDYECS319S0045881</v>
          </cell>
          <cell r="D1921" t="str">
            <v>MDN35025030161</v>
          </cell>
          <cell r="E1921" t="str">
            <v>Zhong Thong</v>
          </cell>
          <cell r="F1921" t="str">
            <v>Lck6122evg</v>
          </cell>
          <cell r="G1921" t="str">
            <v>Zhong Thong</v>
          </cell>
          <cell r="H1921" t="str">
            <v>Lck6122evg</v>
          </cell>
          <cell r="I1921">
            <v>2026</v>
          </cell>
          <cell r="J1921" t="str">
            <v>B</v>
          </cell>
          <cell r="K1921" t="str">
            <v>Las Acacias</v>
          </cell>
          <cell r="N1921" t="str">
            <v>B</v>
          </cell>
        </row>
        <row r="1922">
          <cell r="B1922" t="str">
            <v>VLTC-36</v>
          </cell>
          <cell r="C1922" t="str">
            <v>LDYECS318S0045788</v>
          </cell>
          <cell r="D1922" t="str">
            <v>MDN35025030139</v>
          </cell>
          <cell r="E1922" t="str">
            <v>Zhong Thong</v>
          </cell>
          <cell r="F1922" t="str">
            <v>Lck6122evg</v>
          </cell>
          <cell r="G1922" t="str">
            <v>Zhong Thong</v>
          </cell>
          <cell r="H1922" t="str">
            <v>Lck6122evg</v>
          </cell>
          <cell r="I1922">
            <v>2026</v>
          </cell>
          <cell r="J1922" t="str">
            <v>B</v>
          </cell>
          <cell r="K1922" t="str">
            <v>Las Acacias</v>
          </cell>
          <cell r="N1922" t="str">
            <v>B</v>
          </cell>
        </row>
        <row r="1923">
          <cell r="B1923" t="str">
            <v>VLTC-37</v>
          </cell>
          <cell r="C1923" t="str">
            <v>LDYECS317S0045877</v>
          </cell>
          <cell r="D1923" t="str">
            <v>MDN35025030162</v>
          </cell>
          <cell r="E1923" t="str">
            <v>Zhong Thong</v>
          </cell>
          <cell r="F1923" t="str">
            <v>Lck6122evg</v>
          </cell>
          <cell r="G1923" t="str">
            <v>Zhong Thong</v>
          </cell>
          <cell r="H1923" t="str">
            <v>Lck6122evg</v>
          </cell>
          <cell r="I1923">
            <v>2026</v>
          </cell>
          <cell r="J1923" t="str">
            <v>B</v>
          </cell>
          <cell r="K1923" t="str">
            <v>Las Acacias</v>
          </cell>
          <cell r="N1923" t="str">
            <v>B</v>
          </cell>
        </row>
        <row r="1924">
          <cell r="B1924" t="str">
            <v>VLTC-43</v>
          </cell>
          <cell r="C1924" t="str">
            <v>LDYECS313S0045875</v>
          </cell>
          <cell r="D1924" t="str">
            <v>MDN35025030129</v>
          </cell>
          <cell r="E1924" t="str">
            <v>Zhong Thong</v>
          </cell>
          <cell r="F1924" t="str">
            <v>Lck6122evg</v>
          </cell>
          <cell r="G1924" t="str">
            <v>Zhong Thong</v>
          </cell>
          <cell r="H1924" t="str">
            <v>Lck6122evg</v>
          </cell>
          <cell r="I1924">
            <v>2026</v>
          </cell>
          <cell r="J1924" t="str">
            <v>B</v>
          </cell>
          <cell r="K1924" t="str">
            <v>Las Acacias</v>
          </cell>
          <cell r="N1924" t="str">
            <v>B</v>
          </cell>
        </row>
        <row r="1925">
          <cell r="B1925" t="str">
            <v>VLTC-44</v>
          </cell>
          <cell r="C1925" t="str">
            <v>LDYECS314S0045884</v>
          </cell>
          <cell r="D1925" t="str">
            <v>MDN35025030150</v>
          </cell>
          <cell r="E1925" t="str">
            <v>Zhong Thong</v>
          </cell>
          <cell r="F1925" t="str">
            <v>Lck6122evg</v>
          </cell>
          <cell r="G1925" t="str">
            <v>Zhong Thong</v>
          </cell>
          <cell r="H1925" t="str">
            <v>Lck6122evg</v>
          </cell>
          <cell r="I1925">
            <v>2026</v>
          </cell>
          <cell r="J1925" t="str">
            <v>B</v>
          </cell>
          <cell r="K1925" t="str">
            <v>Las Acacias</v>
          </cell>
          <cell r="N1925" t="str">
            <v>B</v>
          </cell>
        </row>
        <row r="1926">
          <cell r="B1926" t="str">
            <v>VLTC-45</v>
          </cell>
          <cell r="C1926" t="str">
            <v>LDYECS310S0045879</v>
          </cell>
          <cell r="D1926" t="str">
            <v>MDN35025030061</v>
          </cell>
          <cell r="E1926" t="str">
            <v>Zhong Thong</v>
          </cell>
          <cell r="F1926" t="str">
            <v>Lck6122evg</v>
          </cell>
          <cell r="G1926" t="str">
            <v>Zhong Thong</v>
          </cell>
          <cell r="H1926" t="str">
            <v>Lck6122evg</v>
          </cell>
          <cell r="I1926">
            <v>2026</v>
          </cell>
          <cell r="J1926" t="str">
            <v>B</v>
          </cell>
          <cell r="K1926" t="str">
            <v>Las Acacias</v>
          </cell>
          <cell r="N1926" t="str">
            <v>B</v>
          </cell>
        </row>
        <row r="1927">
          <cell r="B1927" t="str">
            <v>VLTC-53</v>
          </cell>
          <cell r="C1927" t="str">
            <v>LDYECS317S0045880</v>
          </cell>
          <cell r="D1927" t="str">
            <v>MDN35025030304</v>
          </cell>
          <cell r="E1927" t="str">
            <v>Zhong Thong</v>
          </cell>
          <cell r="F1927" t="str">
            <v>Lck6122evg</v>
          </cell>
          <cell r="G1927" t="str">
            <v>Zhong Thong</v>
          </cell>
          <cell r="H1927" t="str">
            <v>Lck6122evg</v>
          </cell>
          <cell r="I1927">
            <v>2026</v>
          </cell>
          <cell r="J1927" t="str">
            <v>B</v>
          </cell>
          <cell r="K1927" t="str">
            <v>Las Acacias</v>
          </cell>
          <cell r="N1927" t="str">
            <v>B</v>
          </cell>
        </row>
        <row r="1928">
          <cell r="B1928" t="str">
            <v>VLTC-62</v>
          </cell>
          <cell r="C1928" t="str">
            <v>LDYECS319S0045878</v>
          </cell>
          <cell r="D1928" t="str">
            <v>MDN35025030083</v>
          </cell>
          <cell r="E1928" t="str">
            <v>Zhong Thong</v>
          </cell>
          <cell r="F1928" t="str">
            <v>Lck6122evg</v>
          </cell>
          <cell r="G1928" t="str">
            <v>Zhong Thong</v>
          </cell>
          <cell r="H1928" t="str">
            <v>Lck6122evg</v>
          </cell>
          <cell r="I1928">
            <v>2026</v>
          </cell>
          <cell r="J1928" t="str">
            <v>B</v>
          </cell>
          <cell r="K1928" t="str">
            <v>Las Acacias</v>
          </cell>
          <cell r="N1928" t="str">
            <v>B</v>
          </cell>
        </row>
        <row r="1929">
          <cell r="B1929" t="str">
            <v>VLTC-92</v>
          </cell>
          <cell r="C1929" t="str">
            <v>LDYECS310S0045882</v>
          </cell>
          <cell r="D1929" t="str">
            <v>MDN35025030289</v>
          </cell>
          <cell r="E1929" t="str">
            <v>Zhong Thong</v>
          </cell>
          <cell r="F1929" t="str">
            <v>Lck6122evg</v>
          </cell>
          <cell r="G1929" t="str">
            <v>Zhong Thong</v>
          </cell>
          <cell r="H1929" t="str">
            <v>Lck6122evg</v>
          </cell>
          <cell r="I1929">
            <v>2026</v>
          </cell>
          <cell r="J1929" t="str">
            <v>B</v>
          </cell>
          <cell r="K1929" t="str">
            <v>Las Acacias</v>
          </cell>
          <cell r="N1929" t="str">
            <v>B</v>
          </cell>
        </row>
        <row r="1930">
          <cell r="B1930" t="str">
            <v>VPBC-75</v>
          </cell>
          <cell r="C1930" t="str">
            <v>LDYECS316S0045899</v>
          </cell>
          <cell r="D1930" t="str">
            <v>MDN35025030166</v>
          </cell>
          <cell r="E1930" t="str">
            <v>Zhong Thong</v>
          </cell>
          <cell r="F1930" t="str">
            <v>Lck6122evg</v>
          </cell>
          <cell r="G1930" t="str">
            <v>Zhong Thong</v>
          </cell>
          <cell r="H1930" t="str">
            <v>Lck6122evg</v>
          </cell>
          <cell r="I1930">
            <v>2026</v>
          </cell>
          <cell r="J1930" t="str">
            <v>B</v>
          </cell>
          <cell r="K1930" t="str">
            <v>Las Acacias</v>
          </cell>
          <cell r="N1930" t="str">
            <v>B</v>
          </cell>
        </row>
        <row r="1931">
          <cell r="B1931" t="str">
            <v>VPBD-15</v>
          </cell>
          <cell r="C1931" t="str">
            <v>LDYECS311S0045891</v>
          </cell>
          <cell r="D1931" t="str">
            <v>MDN35025030095</v>
          </cell>
          <cell r="E1931" t="str">
            <v>Zhong Thong</v>
          </cell>
          <cell r="F1931" t="str">
            <v>Lck6122evg</v>
          </cell>
          <cell r="G1931" t="str">
            <v>Zhong Thong</v>
          </cell>
          <cell r="H1931" t="str">
            <v>Lck6122evg</v>
          </cell>
          <cell r="I1931">
            <v>2026</v>
          </cell>
          <cell r="J1931" t="str">
            <v>B</v>
          </cell>
          <cell r="K1931" t="str">
            <v>Las Acacias</v>
          </cell>
          <cell r="N1931" t="str">
            <v>B</v>
          </cell>
        </row>
        <row r="1932">
          <cell r="B1932" t="str">
            <v>VPBD-25</v>
          </cell>
          <cell r="C1932" t="str">
            <v>LDYECS312S0045897</v>
          </cell>
          <cell r="D1932" t="str">
            <v>MDN35025030274</v>
          </cell>
          <cell r="E1932" t="str">
            <v>Zhong Thong</v>
          </cell>
          <cell r="F1932" t="str">
            <v>Lck6122evg</v>
          </cell>
          <cell r="G1932" t="str">
            <v>Zhong Thong</v>
          </cell>
          <cell r="H1932" t="str">
            <v>Lck6122evg</v>
          </cell>
          <cell r="I1932">
            <v>2026</v>
          </cell>
          <cell r="J1932" t="str">
            <v>B</v>
          </cell>
          <cell r="K1932" t="str">
            <v>Las Acacias</v>
          </cell>
          <cell r="N1932" t="str">
            <v>B</v>
          </cell>
        </row>
        <row r="1933">
          <cell r="B1933" t="str">
            <v>VPBD-64</v>
          </cell>
          <cell r="C1933" t="str">
            <v>LDYECS313S0045892</v>
          </cell>
          <cell r="D1933" t="str">
            <v>MDN35025010003</v>
          </cell>
          <cell r="E1933" t="str">
            <v>Zhong Thong</v>
          </cell>
          <cell r="F1933" t="str">
            <v>Lck6122evg</v>
          </cell>
          <cell r="G1933" t="str">
            <v>Zhong Thong</v>
          </cell>
          <cell r="H1933" t="str">
            <v>Lck6122evg</v>
          </cell>
          <cell r="I1933">
            <v>2026</v>
          </cell>
          <cell r="J1933" t="str">
            <v>B</v>
          </cell>
          <cell r="K1933" t="str">
            <v>Las Acacias</v>
          </cell>
          <cell r="N1933" t="str">
            <v>B</v>
          </cell>
        </row>
        <row r="1934">
          <cell r="B1934" t="str">
            <v>VPBD-84</v>
          </cell>
          <cell r="C1934" t="str">
            <v>LDYECS319S0045900</v>
          </cell>
          <cell r="D1934" t="str">
            <v>MDN35025030309</v>
          </cell>
          <cell r="E1934" t="str">
            <v>Zhong Thong</v>
          </cell>
          <cell r="F1934" t="str">
            <v>Lck6122evg</v>
          </cell>
          <cell r="G1934" t="str">
            <v>Zhong Thong</v>
          </cell>
          <cell r="H1934" t="str">
            <v>Lck6122evg</v>
          </cell>
          <cell r="I1934">
            <v>2026</v>
          </cell>
          <cell r="J1934" t="str">
            <v>B</v>
          </cell>
          <cell r="K1934" t="str">
            <v>Las Acacias</v>
          </cell>
          <cell r="N1934" t="str">
            <v>B</v>
          </cell>
        </row>
        <row r="1935">
          <cell r="B1935" t="str">
            <v>VPBF-11</v>
          </cell>
          <cell r="C1935" t="str">
            <v>LDYECS310S0045901</v>
          </cell>
          <cell r="D1935" t="str">
            <v>MDN35025030140</v>
          </cell>
          <cell r="E1935" t="str">
            <v>Zhong Thong</v>
          </cell>
          <cell r="F1935" t="str">
            <v>Lck6122evg</v>
          </cell>
          <cell r="G1935" t="str">
            <v>Zhong Thong</v>
          </cell>
          <cell r="H1935" t="str">
            <v>Lck6122evg</v>
          </cell>
          <cell r="I1935">
            <v>2026</v>
          </cell>
          <cell r="J1935" t="str">
            <v>B</v>
          </cell>
          <cell r="K1935" t="str">
            <v>Las Acacias</v>
          </cell>
          <cell r="N1935" t="str">
            <v>B</v>
          </cell>
        </row>
        <row r="1936">
          <cell r="B1936" t="str">
            <v>VPBF-13</v>
          </cell>
          <cell r="C1936" t="str">
            <v>LDYECS317S0045894</v>
          </cell>
          <cell r="D1936" t="str">
            <v>MDN35025010015</v>
          </cell>
          <cell r="E1936" t="str">
            <v>Zhong Thong</v>
          </cell>
          <cell r="F1936" t="str">
            <v>Lck6122evg</v>
          </cell>
          <cell r="G1936" t="str">
            <v>Zhong Thong</v>
          </cell>
          <cell r="H1936" t="str">
            <v>Lck6122evg</v>
          </cell>
          <cell r="I1936">
            <v>2026</v>
          </cell>
          <cell r="J1936" t="str">
            <v>B</v>
          </cell>
          <cell r="K1936" t="str">
            <v>Las Acacias</v>
          </cell>
          <cell r="N1936" t="str">
            <v>B</v>
          </cell>
        </row>
        <row r="1937">
          <cell r="B1937" t="str">
            <v>VPBF-14</v>
          </cell>
          <cell r="C1937" t="str">
            <v>LDYECS310S0045896</v>
          </cell>
          <cell r="D1937" t="str">
            <v>MDN35025030169</v>
          </cell>
          <cell r="E1937" t="str">
            <v>Zhong Thong</v>
          </cell>
          <cell r="F1937" t="str">
            <v>Lck6122evg</v>
          </cell>
          <cell r="G1937" t="str">
            <v>Zhong Thong</v>
          </cell>
          <cell r="H1937" t="str">
            <v>Lck6122evg</v>
          </cell>
          <cell r="I1937">
            <v>2026</v>
          </cell>
          <cell r="J1937" t="str">
            <v>B</v>
          </cell>
          <cell r="K1937" t="str">
            <v>Las Acacias</v>
          </cell>
          <cell r="N1937" t="str">
            <v>B</v>
          </cell>
        </row>
        <row r="1938">
          <cell r="B1938" t="str">
            <v>VPBF-41</v>
          </cell>
          <cell r="C1938" t="str">
            <v>LDYECS319S0045895</v>
          </cell>
          <cell r="D1938" t="str">
            <v>MDN35025030282</v>
          </cell>
          <cell r="E1938" t="str">
            <v>Zhong Thong</v>
          </cell>
          <cell r="F1938" t="str">
            <v>Lck6122evg</v>
          </cell>
          <cell r="G1938" t="str">
            <v>Zhong Thong</v>
          </cell>
          <cell r="H1938" t="str">
            <v>Lck6122evg</v>
          </cell>
          <cell r="I1938">
            <v>2026</v>
          </cell>
          <cell r="J1938" t="str">
            <v>B</v>
          </cell>
          <cell r="K1938" t="str">
            <v>Las Acacias</v>
          </cell>
          <cell r="N1938" t="str">
            <v>B</v>
          </cell>
        </row>
        <row r="1939">
          <cell r="B1939" t="str">
            <v>VPBF-51</v>
          </cell>
          <cell r="C1939" t="str">
            <v>LDYECS313S0045889</v>
          </cell>
          <cell r="D1939" t="str">
            <v>MDN35025010009</v>
          </cell>
          <cell r="E1939" t="str">
            <v>Zhong Thong</v>
          </cell>
          <cell r="F1939" t="str">
            <v>Lck6122evg</v>
          </cell>
          <cell r="G1939" t="str">
            <v>Zhong Thong</v>
          </cell>
          <cell r="H1939" t="str">
            <v>Lck6122evg</v>
          </cell>
          <cell r="I1939">
            <v>2026</v>
          </cell>
          <cell r="J1939" t="str">
            <v>B</v>
          </cell>
          <cell r="K1939" t="str">
            <v>Las Acacias</v>
          </cell>
          <cell r="N1939" t="str">
            <v>B</v>
          </cell>
        </row>
        <row r="1940">
          <cell r="B1940" t="str">
            <v>VPBF-63</v>
          </cell>
          <cell r="C1940" t="str">
            <v>LDYECS314S0045898</v>
          </cell>
          <cell r="D1940" t="str">
            <v>MDN35025030165</v>
          </cell>
          <cell r="E1940" t="str">
            <v>Zhong Thong</v>
          </cell>
          <cell r="F1940" t="str">
            <v>Lck6122evg</v>
          </cell>
          <cell r="G1940" t="str">
            <v>Zhong Thong</v>
          </cell>
          <cell r="H1940" t="str">
            <v>Lck6122evg</v>
          </cell>
          <cell r="I1940">
            <v>2026</v>
          </cell>
          <cell r="J1940" t="str">
            <v>B</v>
          </cell>
          <cell r="K1940" t="str">
            <v>Las Acacias</v>
          </cell>
          <cell r="N1940" t="str">
            <v>B</v>
          </cell>
        </row>
        <row r="1941">
          <cell r="B1941" t="str">
            <v>VPBF-71</v>
          </cell>
          <cell r="C1941" t="str">
            <v>LDYECS318S0045886</v>
          </cell>
          <cell r="D1941" t="str">
            <v>MDN35025010011</v>
          </cell>
          <cell r="E1941" t="str">
            <v>Zhong Thong</v>
          </cell>
          <cell r="F1941" t="str">
            <v>Lck6122evg</v>
          </cell>
          <cell r="G1941" t="str">
            <v>Zhong Thong</v>
          </cell>
          <cell r="H1941" t="str">
            <v>Lck6122evg</v>
          </cell>
          <cell r="I1941">
            <v>2026</v>
          </cell>
          <cell r="J1941" t="str">
            <v>B</v>
          </cell>
          <cell r="K1941" t="str">
            <v>Las Acacias</v>
          </cell>
          <cell r="N1941" t="str">
            <v>B</v>
          </cell>
        </row>
        <row r="1942">
          <cell r="B1942" t="str">
            <v>VPBF-93</v>
          </cell>
          <cell r="C1942" t="str">
            <v>LDYECS310S0040231</v>
          </cell>
          <cell r="D1942" t="str">
            <v>MDN35024090002</v>
          </cell>
          <cell r="E1942" t="str">
            <v>Zhong Thong</v>
          </cell>
          <cell r="F1942" t="str">
            <v>Lck6122evg</v>
          </cell>
          <cell r="G1942" t="str">
            <v>Zhong Thong</v>
          </cell>
          <cell r="H1942" t="str">
            <v>Lck6122evg</v>
          </cell>
          <cell r="I1942">
            <v>2026</v>
          </cell>
          <cell r="J1942" t="str">
            <v>B</v>
          </cell>
          <cell r="K1942" t="str">
            <v>Las Acacias</v>
          </cell>
          <cell r="N1942" t="str">
            <v>B</v>
          </cell>
        </row>
        <row r="1943">
          <cell r="B1943" t="str">
            <v>VPBG-88</v>
          </cell>
          <cell r="C1943" t="str">
            <v>LDYECS315S0045893</v>
          </cell>
          <cell r="D1943" t="str">
            <v>MDN35025010002</v>
          </cell>
          <cell r="E1943" t="str">
            <v>Zhong Thong</v>
          </cell>
          <cell r="F1943" t="str">
            <v>Lck6122evg</v>
          </cell>
          <cell r="G1943" t="str">
            <v>Zhong Thong</v>
          </cell>
          <cell r="H1943" t="str">
            <v>Lck6122evg</v>
          </cell>
          <cell r="I1943">
            <v>2026</v>
          </cell>
          <cell r="J1943" t="str">
            <v>B</v>
          </cell>
          <cell r="K1943" t="str">
            <v>Las Acacias</v>
          </cell>
          <cell r="N1943" t="str">
            <v>B</v>
          </cell>
        </row>
        <row r="1944">
          <cell r="B1944" t="str">
            <v>VPBK-91</v>
          </cell>
          <cell r="C1944" t="str">
            <v>LDYECS31XS0045890</v>
          </cell>
          <cell r="D1944" t="str">
            <v>MDN35025030147</v>
          </cell>
          <cell r="E1944" t="str">
            <v>Zhong Thong</v>
          </cell>
          <cell r="F1944" t="str">
            <v>Lck6122evg</v>
          </cell>
          <cell r="G1944" t="str">
            <v>Zhong Thong</v>
          </cell>
          <cell r="H1944" t="str">
            <v>Lck6122evg</v>
          </cell>
          <cell r="I1944">
            <v>2026</v>
          </cell>
          <cell r="J1944" t="str">
            <v>B</v>
          </cell>
          <cell r="K1944" t="str">
            <v>Las Acacias</v>
          </cell>
          <cell r="N1944" t="str">
            <v>B</v>
          </cell>
        </row>
        <row r="1945">
          <cell r="B1945" t="str">
            <v>PPU</v>
          </cell>
          <cell r="C1945" t="str">
            <v>N° Chasis</v>
          </cell>
          <cell r="D1945" t="str">
            <v>N Motor</v>
          </cell>
          <cell r="E1945" t="str">
            <v>Marca chasis</v>
          </cell>
          <cell r="F1945" t="str">
            <v>Modelo Chasis</v>
          </cell>
          <cell r="G1945" t="str">
            <v>Marca Carrocería</v>
          </cell>
          <cell r="H1945" t="str">
            <v>Modelo Carrocería</v>
          </cell>
          <cell r="I1945" t="str">
            <v>Año</v>
          </cell>
          <cell r="J1945" t="str">
            <v>Tipo de Bus</v>
          </cell>
          <cell r="K1945" t="str">
            <v>Nombre Terminal Asignado</v>
          </cell>
          <cell r="L1945" t="str">
            <v xml:space="preserve">Dirección Terminal </v>
          </cell>
          <cell r="M1945" t="str">
            <v xml:space="preserve">Comuna </v>
          </cell>
        </row>
        <row r="1946">
          <cell r="B1946" t="str">
            <v>GCBB15</v>
          </cell>
          <cell r="C1946" t="str">
            <v>De Baja</v>
          </cell>
          <cell r="D1946" t="str">
            <v>De Baja</v>
          </cell>
          <cell r="E1946" t="str">
            <v>De Baja</v>
          </cell>
          <cell r="F1946" t="str">
            <v>De Baja</v>
          </cell>
          <cell r="G1946" t="str">
            <v>De Baja</v>
          </cell>
          <cell r="H1946" t="str">
            <v>De Baja</v>
          </cell>
          <cell r="I1946" t="str">
            <v>De Baja</v>
          </cell>
          <cell r="J1946" t="str">
            <v>De Baja</v>
          </cell>
          <cell r="K1946" t="str">
            <v>De Baja</v>
          </cell>
          <cell r="L1946" t="str">
            <v>De Baja</v>
          </cell>
          <cell r="M1946" t="str">
            <v>De Baja</v>
          </cell>
        </row>
        <row r="1947">
          <cell r="B1947" t="str">
            <v>FLXZ94</v>
          </cell>
          <cell r="C1947" t="str">
            <v>D8478292K2PL</v>
          </cell>
          <cell r="D1947" t="str">
            <v>YV3T7U524KA195142</v>
          </cell>
          <cell r="E1947" t="str">
            <v>Volvo</v>
          </cell>
          <cell r="F1947" t="str">
            <v>B8R</v>
          </cell>
          <cell r="G1947" t="str">
            <v>MARCOPOLO</v>
          </cell>
          <cell r="H1947" t="str">
            <v>TORINO</v>
          </cell>
          <cell r="I1947">
            <v>2019</v>
          </cell>
          <cell r="J1947" t="str">
            <v>B2PAL</v>
          </cell>
          <cell r="K1947" t="str">
            <v>LOS LIBERTADORES</v>
          </cell>
          <cell r="L1947" t="str">
            <v>Los Liberadores 6450, Lote 4A</v>
          </cell>
          <cell r="M1947" t="str">
            <v>Huechuraba</v>
          </cell>
          <cell r="N1947" t="str">
            <v>B</v>
          </cell>
        </row>
        <row r="1948">
          <cell r="B1948" t="str">
            <v>GCBB13</v>
          </cell>
          <cell r="C1948" t="str">
            <v>D8482685K2PL</v>
          </cell>
          <cell r="D1948" t="str">
            <v>YV3T7U521KA195230</v>
          </cell>
          <cell r="E1948" t="str">
            <v>Volvo</v>
          </cell>
          <cell r="F1948" t="str">
            <v>B8R</v>
          </cell>
          <cell r="G1948" t="str">
            <v>MARCOPOLO</v>
          </cell>
          <cell r="H1948" t="str">
            <v>TORINO</v>
          </cell>
          <cell r="I1948">
            <v>2019</v>
          </cell>
          <cell r="J1948" t="str">
            <v>B2PAL</v>
          </cell>
          <cell r="K1948" t="str">
            <v>LOS LIBERTADORES</v>
          </cell>
          <cell r="L1948" t="str">
            <v>Los Liberadores 6450, Lote 4A</v>
          </cell>
          <cell r="M1948" t="str">
            <v>Huechuraba</v>
          </cell>
          <cell r="N1948" t="str">
            <v>B</v>
          </cell>
        </row>
        <row r="1949">
          <cell r="B1949" t="str">
            <v>GCBC16</v>
          </cell>
          <cell r="C1949" t="str">
            <v>D8483833K2PL</v>
          </cell>
          <cell r="D1949" t="str">
            <v>YV3T7U520KA195641</v>
          </cell>
          <cell r="E1949" t="str">
            <v>Volvo</v>
          </cell>
          <cell r="F1949" t="str">
            <v>B8R</v>
          </cell>
          <cell r="G1949" t="str">
            <v>MARCOPOLO</v>
          </cell>
          <cell r="H1949" t="str">
            <v>TORINO</v>
          </cell>
          <cell r="I1949">
            <v>2019</v>
          </cell>
          <cell r="J1949" t="str">
            <v>B2PAL</v>
          </cell>
          <cell r="K1949" t="str">
            <v>LOS LIBERTADORES</v>
          </cell>
          <cell r="L1949" t="str">
            <v>Los Liberadores 6450, Lote 4A</v>
          </cell>
          <cell r="M1949" t="str">
            <v>Huechuraba</v>
          </cell>
          <cell r="N1949" t="str">
            <v>B</v>
          </cell>
        </row>
        <row r="1950">
          <cell r="B1950" t="str">
            <v>GCBC17</v>
          </cell>
          <cell r="C1950" t="str">
            <v>D8483530K2PL</v>
          </cell>
          <cell r="D1950" t="str">
            <v>YV3T7U522KA195642</v>
          </cell>
          <cell r="E1950" t="str">
            <v>Volvo</v>
          </cell>
          <cell r="F1950" t="str">
            <v>B8R</v>
          </cell>
          <cell r="G1950" t="str">
            <v>MARCOPOLO</v>
          </cell>
          <cell r="H1950" t="str">
            <v>TORINO</v>
          </cell>
          <cell r="I1950">
            <v>2019</v>
          </cell>
          <cell r="J1950" t="str">
            <v>B2PAL</v>
          </cell>
          <cell r="K1950" t="str">
            <v>LOS LIBERTADORES</v>
          </cell>
          <cell r="L1950" t="str">
            <v>Los Liberadores 6450, Lote 4A</v>
          </cell>
          <cell r="M1950" t="str">
            <v>Huechuraba</v>
          </cell>
          <cell r="N1950" t="str">
            <v>B</v>
          </cell>
        </row>
        <row r="1951">
          <cell r="B1951" t="str">
            <v>GCBC18</v>
          </cell>
          <cell r="C1951" t="str">
            <v>D8483789K2PL</v>
          </cell>
          <cell r="D1951" t="str">
            <v>YV3T7U524KA195643</v>
          </cell>
          <cell r="E1951" t="str">
            <v>Volvo</v>
          </cell>
          <cell r="F1951" t="str">
            <v>B8R</v>
          </cell>
          <cell r="G1951" t="str">
            <v>MARCOPOLO</v>
          </cell>
          <cell r="H1951" t="str">
            <v>TORINO</v>
          </cell>
          <cell r="I1951">
            <v>2019</v>
          </cell>
          <cell r="J1951" t="str">
            <v>B2PAL</v>
          </cell>
          <cell r="K1951" t="str">
            <v>SAN JOSE</v>
          </cell>
          <cell r="L1951" t="str">
            <v>San José 030 (José Besa 669)</v>
          </cell>
          <cell r="M1951" t="str">
            <v>San Bernardo</v>
          </cell>
          <cell r="N1951" t="str">
            <v>B</v>
          </cell>
        </row>
        <row r="1952">
          <cell r="B1952" t="str">
            <v>GCBC19</v>
          </cell>
          <cell r="C1952" t="str">
            <v>D8484480K2PL</v>
          </cell>
          <cell r="D1952" t="str">
            <v>YV3T7U524KA195688</v>
          </cell>
          <cell r="E1952" t="str">
            <v>Volvo</v>
          </cell>
          <cell r="F1952" t="str">
            <v>B8R</v>
          </cell>
          <cell r="G1952" t="str">
            <v>MARCOPOLO</v>
          </cell>
          <cell r="H1952" t="str">
            <v>TORINO</v>
          </cell>
          <cell r="I1952">
            <v>2019</v>
          </cell>
          <cell r="J1952" t="str">
            <v>B2PAL</v>
          </cell>
          <cell r="K1952" t="str">
            <v>SAN JOSE</v>
          </cell>
          <cell r="L1952" t="str">
            <v>San José 030 (José Besa 669)</v>
          </cell>
          <cell r="M1952" t="str">
            <v>San Bernardo</v>
          </cell>
          <cell r="N1952" t="str">
            <v>B</v>
          </cell>
        </row>
        <row r="1953">
          <cell r="B1953" t="str">
            <v>GCBC20</v>
          </cell>
          <cell r="C1953" t="str">
            <v>D8484637K2PL</v>
          </cell>
          <cell r="D1953" t="str">
            <v>YV3T7U528KA195712</v>
          </cell>
          <cell r="E1953" t="str">
            <v>Volvo</v>
          </cell>
          <cell r="F1953" t="str">
            <v>B8R</v>
          </cell>
          <cell r="G1953" t="str">
            <v>MARCOPOLO</v>
          </cell>
          <cell r="H1953" t="str">
            <v>TORINO</v>
          </cell>
          <cell r="I1953">
            <v>2019</v>
          </cell>
          <cell r="J1953" t="str">
            <v>B2PAL</v>
          </cell>
          <cell r="K1953" t="str">
            <v>SAN JOSE</v>
          </cell>
          <cell r="L1953" t="str">
            <v>San José 030 (José Besa 669)</v>
          </cell>
          <cell r="M1953" t="str">
            <v>San Bernardo</v>
          </cell>
          <cell r="N1953" t="str">
            <v>B</v>
          </cell>
        </row>
        <row r="1954">
          <cell r="B1954" t="str">
            <v>GCBC21</v>
          </cell>
          <cell r="C1954" t="str">
            <v>D8484676K2PL</v>
          </cell>
          <cell r="D1954" t="str">
            <v>YV3T7U52XKA195713</v>
          </cell>
          <cell r="E1954" t="str">
            <v>Volvo</v>
          </cell>
          <cell r="F1954" t="str">
            <v>B8R</v>
          </cell>
          <cell r="G1954" t="str">
            <v>MARCOPOLO</v>
          </cell>
          <cell r="H1954" t="str">
            <v>TORINO</v>
          </cell>
          <cell r="I1954">
            <v>2019</v>
          </cell>
          <cell r="J1954" t="str">
            <v>B2PAL</v>
          </cell>
          <cell r="K1954" t="str">
            <v>LOS LIBERTADORES</v>
          </cell>
          <cell r="L1954" t="str">
            <v>Los Liberadores 6450, Lote 4A</v>
          </cell>
          <cell r="M1954" t="str">
            <v>Huechuraba</v>
          </cell>
          <cell r="N1954" t="str">
            <v>B</v>
          </cell>
        </row>
        <row r="1955">
          <cell r="B1955" t="str">
            <v>GCBC22</v>
          </cell>
          <cell r="C1955" t="str">
            <v>D8484733K2PL</v>
          </cell>
          <cell r="D1955" t="str">
            <v>YV3T7U526KA195742</v>
          </cell>
          <cell r="E1955" t="str">
            <v>Volvo</v>
          </cell>
          <cell r="F1955" t="str">
            <v>B8R</v>
          </cell>
          <cell r="G1955" t="str">
            <v>MARCOPOLO</v>
          </cell>
          <cell r="H1955" t="str">
            <v>TORINO</v>
          </cell>
          <cell r="I1955">
            <v>2019</v>
          </cell>
          <cell r="J1955" t="str">
            <v>B2PAL</v>
          </cell>
          <cell r="K1955" t="str">
            <v>LOS LIBERTADORES</v>
          </cell>
          <cell r="L1955" t="str">
            <v>Los Liberadores 6450, Lote 4A</v>
          </cell>
          <cell r="M1955" t="str">
            <v>Huechuraba</v>
          </cell>
          <cell r="N1955" t="str">
            <v>B</v>
          </cell>
        </row>
        <row r="1956">
          <cell r="B1956" t="str">
            <v>GCBC23</v>
          </cell>
          <cell r="C1956" t="str">
            <v>D8481621K2PL</v>
          </cell>
          <cell r="D1956" t="str">
            <v>YV3T7U528KA195175</v>
          </cell>
          <cell r="E1956" t="str">
            <v>Volvo</v>
          </cell>
          <cell r="F1956" t="str">
            <v>B8R</v>
          </cell>
          <cell r="G1956" t="str">
            <v>MARCOPOLO</v>
          </cell>
          <cell r="H1956" t="str">
            <v>TORINO</v>
          </cell>
          <cell r="I1956">
            <v>2019</v>
          </cell>
          <cell r="J1956" t="str">
            <v>B2PAL</v>
          </cell>
          <cell r="K1956" t="str">
            <v>LOS LIBERTADORES</v>
          </cell>
          <cell r="L1956" t="str">
            <v>Los Liberadores 6450, Lote 4A</v>
          </cell>
          <cell r="M1956" t="str">
            <v>Huechuraba</v>
          </cell>
          <cell r="N1956" t="str">
            <v>B</v>
          </cell>
        </row>
        <row r="1957">
          <cell r="B1957" t="str">
            <v>GCBB16</v>
          </cell>
          <cell r="C1957" t="str">
            <v>D8482769K2PL</v>
          </cell>
          <cell r="D1957" t="str">
            <v>YV3T7U522KA195303</v>
          </cell>
          <cell r="E1957" t="str">
            <v>Volvo</v>
          </cell>
          <cell r="F1957" t="str">
            <v>B8R</v>
          </cell>
          <cell r="G1957" t="str">
            <v>MARCOPOLO</v>
          </cell>
          <cell r="H1957" t="str">
            <v>TORINO</v>
          </cell>
          <cell r="I1957">
            <v>2019</v>
          </cell>
          <cell r="J1957" t="str">
            <v>B2PAL</v>
          </cell>
          <cell r="K1957" t="str">
            <v>LOS LIBERTADORES</v>
          </cell>
          <cell r="L1957" t="str">
            <v>Los Liberadores 6450, Lote 4A</v>
          </cell>
          <cell r="M1957" t="str">
            <v>Huechuraba</v>
          </cell>
          <cell r="N1957" t="str">
            <v>B</v>
          </cell>
        </row>
        <row r="1958">
          <cell r="B1958" t="str">
            <v>GCBB17</v>
          </cell>
          <cell r="C1958" t="str">
            <v>D8478205K2PL</v>
          </cell>
          <cell r="D1958" t="str">
            <v>YV3T7U520KA195140</v>
          </cell>
          <cell r="E1958" t="str">
            <v>Volvo</v>
          </cell>
          <cell r="F1958" t="str">
            <v>B8R</v>
          </cell>
          <cell r="G1958" t="str">
            <v>MARCOPOLO</v>
          </cell>
          <cell r="H1958" t="str">
            <v>TORINO</v>
          </cell>
          <cell r="I1958">
            <v>2019</v>
          </cell>
          <cell r="J1958" t="str">
            <v>B2PAL</v>
          </cell>
          <cell r="K1958" t="str">
            <v>LOS LIBERTADORES</v>
          </cell>
          <cell r="L1958" t="str">
            <v>Los Liberadores 6450, Lote 4A</v>
          </cell>
          <cell r="M1958" t="str">
            <v>Huechuraba</v>
          </cell>
          <cell r="N1958" t="str">
            <v>B</v>
          </cell>
        </row>
        <row r="1959">
          <cell r="B1959" t="str">
            <v>GCBB18</v>
          </cell>
          <cell r="C1959" t="str">
            <v>D8481556K2PL</v>
          </cell>
          <cell r="D1959" t="str">
            <v>YV3T7U521KA195177</v>
          </cell>
          <cell r="E1959" t="str">
            <v>Volvo</v>
          </cell>
          <cell r="F1959" t="str">
            <v>B8R</v>
          </cell>
          <cell r="G1959" t="str">
            <v>MARCOPOLO</v>
          </cell>
          <cell r="H1959" t="str">
            <v>TORINO</v>
          </cell>
          <cell r="I1959">
            <v>2019</v>
          </cell>
          <cell r="J1959" t="str">
            <v>B2PAL</v>
          </cell>
          <cell r="K1959" t="str">
            <v>SAN JOSE</v>
          </cell>
          <cell r="L1959" t="str">
            <v>San José 030 (José Besa 669)</v>
          </cell>
          <cell r="M1959" t="str">
            <v>San Bernardo</v>
          </cell>
          <cell r="N1959" t="str">
            <v>B</v>
          </cell>
        </row>
        <row r="1960">
          <cell r="B1960" t="str">
            <v>GCBB19</v>
          </cell>
          <cell r="C1960" t="str">
            <v>D8482482K2PL</v>
          </cell>
          <cell r="D1960" t="str">
            <v>YV3T7U523KA195326</v>
          </cell>
          <cell r="E1960" t="str">
            <v>Volvo</v>
          </cell>
          <cell r="F1960" t="str">
            <v>B8R</v>
          </cell>
          <cell r="G1960" t="str">
            <v>MARCOPOLO</v>
          </cell>
          <cell r="H1960" t="str">
            <v>TORINO</v>
          </cell>
          <cell r="I1960">
            <v>2019</v>
          </cell>
          <cell r="J1960" t="str">
            <v>B2PAL</v>
          </cell>
          <cell r="K1960" t="str">
            <v>LOS LIBERTADORES</v>
          </cell>
          <cell r="L1960" t="str">
            <v>Los Liberadores 6450, Lote 4A</v>
          </cell>
          <cell r="M1960" t="str">
            <v>Huechuraba</v>
          </cell>
          <cell r="N1960" t="str">
            <v>B</v>
          </cell>
        </row>
        <row r="1961">
          <cell r="B1961" t="str">
            <v>GCBB20</v>
          </cell>
          <cell r="C1961" t="str">
            <v>D8482478K2PL</v>
          </cell>
          <cell r="D1961" t="str">
            <v>YV3T7U525KA195327</v>
          </cell>
          <cell r="E1961" t="str">
            <v>Volvo</v>
          </cell>
          <cell r="F1961" t="str">
            <v>B8R</v>
          </cell>
          <cell r="G1961" t="str">
            <v>MARCOPOLO</v>
          </cell>
          <cell r="H1961" t="str">
            <v>TORINO</v>
          </cell>
          <cell r="I1961">
            <v>2019</v>
          </cell>
          <cell r="J1961" t="str">
            <v>B2PAL</v>
          </cell>
          <cell r="K1961" t="str">
            <v>LOS LIBERTADORES</v>
          </cell>
          <cell r="L1961" t="str">
            <v>Los Liberadores 6450, Lote 4A</v>
          </cell>
          <cell r="M1961" t="str">
            <v>Huechuraba</v>
          </cell>
          <cell r="N1961" t="str">
            <v>B</v>
          </cell>
        </row>
        <row r="1962">
          <cell r="B1962" t="str">
            <v>GCBB21</v>
          </cell>
          <cell r="C1962" t="str">
            <v>D8482400K2PL</v>
          </cell>
          <cell r="D1962" t="str">
            <v>YV3T7U527KA195328</v>
          </cell>
          <cell r="E1962" t="str">
            <v>Volvo</v>
          </cell>
          <cell r="F1962" t="str">
            <v>B8R</v>
          </cell>
          <cell r="G1962" t="str">
            <v>MARCOPOLO</v>
          </cell>
          <cell r="H1962" t="str">
            <v>TORINO</v>
          </cell>
          <cell r="I1962">
            <v>2019</v>
          </cell>
          <cell r="J1962" t="str">
            <v>B2PAL</v>
          </cell>
          <cell r="K1962" t="str">
            <v>LOS LIBERTADORES</v>
          </cell>
          <cell r="L1962" t="str">
            <v>Los Liberadores 6450, Lote 4A</v>
          </cell>
          <cell r="M1962" t="str">
            <v>Huechuraba</v>
          </cell>
          <cell r="N1962" t="str">
            <v>B</v>
          </cell>
        </row>
        <row r="1963">
          <cell r="B1963" t="str">
            <v>GCBB22</v>
          </cell>
          <cell r="C1963" t="str">
            <v>D8482554K2PL</v>
          </cell>
          <cell r="D1963" t="str">
            <v>YV3T7U520KA195350</v>
          </cell>
          <cell r="E1963" t="str">
            <v>Volvo</v>
          </cell>
          <cell r="F1963" t="str">
            <v>B8R</v>
          </cell>
          <cell r="G1963" t="str">
            <v>MARCOPOLO</v>
          </cell>
          <cell r="H1963" t="str">
            <v>TORINO</v>
          </cell>
          <cell r="I1963">
            <v>2019</v>
          </cell>
          <cell r="J1963" t="str">
            <v>B2PAL</v>
          </cell>
          <cell r="K1963" t="str">
            <v>LOS LIBERTADORES</v>
          </cell>
          <cell r="L1963" t="str">
            <v>Los Liberadores 6450, Lote 4A</v>
          </cell>
          <cell r="M1963" t="str">
            <v>Huechuraba</v>
          </cell>
          <cell r="N1963" t="str">
            <v>B</v>
          </cell>
        </row>
        <row r="1964">
          <cell r="B1964" t="str">
            <v>GCBB23</v>
          </cell>
          <cell r="C1964" t="str">
            <v>D8482519K2PL</v>
          </cell>
          <cell r="D1964" t="str">
            <v>YV3T7U522KA195351</v>
          </cell>
          <cell r="E1964" t="str">
            <v>Volvo</v>
          </cell>
          <cell r="F1964" t="str">
            <v>B8R</v>
          </cell>
          <cell r="G1964" t="str">
            <v>MARCOPOLO</v>
          </cell>
          <cell r="H1964" t="str">
            <v>TORINO</v>
          </cell>
          <cell r="I1964">
            <v>2019</v>
          </cell>
          <cell r="J1964" t="str">
            <v>B2PAL</v>
          </cell>
          <cell r="K1964" t="str">
            <v>LOS LIBERTADORES</v>
          </cell>
          <cell r="L1964" t="str">
            <v>Los Liberadores 6450, Lote 4A</v>
          </cell>
          <cell r="M1964" t="str">
            <v>Huechuraba</v>
          </cell>
          <cell r="N1964" t="str">
            <v>B</v>
          </cell>
        </row>
        <row r="1965">
          <cell r="B1965" t="str">
            <v>GCBB24</v>
          </cell>
          <cell r="C1965" t="str">
            <v>D8482509K2PL</v>
          </cell>
          <cell r="D1965" t="str">
            <v>YV3T7U524KA195352</v>
          </cell>
          <cell r="E1965" t="str">
            <v>Volvo</v>
          </cell>
          <cell r="F1965" t="str">
            <v>B8R</v>
          </cell>
          <cell r="G1965" t="str">
            <v>MARCOPOLO</v>
          </cell>
          <cell r="H1965" t="str">
            <v>TORINO</v>
          </cell>
          <cell r="I1965">
            <v>2019</v>
          </cell>
          <cell r="J1965" t="str">
            <v>B2PAL</v>
          </cell>
          <cell r="K1965" t="str">
            <v>LOS LIBERTADORES</v>
          </cell>
          <cell r="L1965" t="str">
            <v>Los Liberadores 6450, Lote 4A</v>
          </cell>
          <cell r="M1965" t="str">
            <v>Huechuraba</v>
          </cell>
          <cell r="N1965" t="str">
            <v>B</v>
          </cell>
        </row>
        <row r="1966">
          <cell r="B1966" t="str">
            <v>FLXZ96</v>
          </cell>
          <cell r="C1966" t="str">
            <v>D8478282K2PL</v>
          </cell>
          <cell r="D1966" t="str">
            <v>YV3T7U526KA195143</v>
          </cell>
          <cell r="E1966" t="str">
            <v>Volvo</v>
          </cell>
          <cell r="F1966" t="str">
            <v>B8R</v>
          </cell>
          <cell r="G1966" t="str">
            <v>MARCOPOLO</v>
          </cell>
          <cell r="H1966" t="str">
            <v>TORINO</v>
          </cell>
          <cell r="I1966">
            <v>2019</v>
          </cell>
          <cell r="J1966" t="str">
            <v>B2PAL</v>
          </cell>
          <cell r="K1966" t="str">
            <v>LOS LIBERTADORES</v>
          </cell>
          <cell r="L1966" t="str">
            <v>Los Liberadores 6450, Lote 4A</v>
          </cell>
          <cell r="M1966" t="str">
            <v>Huechuraba</v>
          </cell>
          <cell r="N1966" t="str">
            <v>B</v>
          </cell>
        </row>
        <row r="1967">
          <cell r="B1967" t="str">
            <v>GCBB25</v>
          </cell>
          <cell r="C1967" t="str">
            <v>D8482576K2PL</v>
          </cell>
          <cell r="D1967" t="str">
            <v>YV3T7U523KA195357</v>
          </cell>
          <cell r="E1967" t="str">
            <v>Volvo</v>
          </cell>
          <cell r="F1967" t="str">
            <v>B8R</v>
          </cell>
          <cell r="G1967" t="str">
            <v>MARCOPOLO</v>
          </cell>
          <cell r="H1967" t="str">
            <v>TORINO</v>
          </cell>
          <cell r="I1967">
            <v>2019</v>
          </cell>
          <cell r="J1967" t="str">
            <v>B2PAL</v>
          </cell>
          <cell r="K1967" t="str">
            <v>LOS LIBERTADORES</v>
          </cell>
          <cell r="L1967" t="str">
            <v>Los Liberadores 6450, Lote 4A</v>
          </cell>
          <cell r="M1967" t="str">
            <v>Huechuraba</v>
          </cell>
          <cell r="N1967" t="str">
            <v>B</v>
          </cell>
        </row>
        <row r="1968">
          <cell r="B1968" t="str">
            <v>GCBB26</v>
          </cell>
          <cell r="C1968" t="str">
            <v>D8482502K2PL</v>
          </cell>
          <cell r="D1968" t="str">
            <v>YV3T7U523KA195360</v>
          </cell>
          <cell r="E1968" t="str">
            <v>Volvo</v>
          </cell>
          <cell r="F1968" t="str">
            <v>B8R</v>
          </cell>
          <cell r="G1968" t="str">
            <v>MARCOPOLO</v>
          </cell>
          <cell r="H1968" t="str">
            <v>TORINO</v>
          </cell>
          <cell r="I1968">
            <v>2019</v>
          </cell>
          <cell r="J1968" t="str">
            <v>B2PAL</v>
          </cell>
          <cell r="K1968" t="str">
            <v>LOS LIBERTADORES</v>
          </cell>
          <cell r="L1968" t="str">
            <v>Los Liberadores 6450, Lote 4A</v>
          </cell>
          <cell r="M1968" t="str">
            <v>Huechuraba</v>
          </cell>
          <cell r="N1968" t="str">
            <v>B</v>
          </cell>
        </row>
        <row r="1969">
          <cell r="B1969" t="str">
            <v>GCBB27</v>
          </cell>
          <cell r="C1969" t="str">
            <v>D8482597K2PL</v>
          </cell>
          <cell r="D1969" t="str">
            <v>YV3T7U525KA195361</v>
          </cell>
          <cell r="E1969" t="str">
            <v>Volvo</v>
          </cell>
          <cell r="F1969" t="str">
            <v>B8R</v>
          </cell>
          <cell r="G1969" t="str">
            <v>MARCOPOLO</v>
          </cell>
          <cell r="H1969" t="str">
            <v>TORINO</v>
          </cell>
          <cell r="I1969">
            <v>2019</v>
          </cell>
          <cell r="J1969" t="str">
            <v>B2PAL</v>
          </cell>
          <cell r="K1969" t="str">
            <v>LOS LIBERTADORES</v>
          </cell>
          <cell r="L1969" t="str">
            <v>Los Liberadores 6450, Lote 4A</v>
          </cell>
          <cell r="M1969" t="str">
            <v>Huechuraba</v>
          </cell>
          <cell r="N1969" t="str">
            <v>B</v>
          </cell>
        </row>
        <row r="1970">
          <cell r="B1970" t="str">
            <v>GCBB28</v>
          </cell>
          <cell r="C1970" t="str">
            <v>D8481798K2PL</v>
          </cell>
          <cell r="D1970" t="str">
            <v>YV3T7U527KA195460</v>
          </cell>
          <cell r="E1970" t="str">
            <v>Volvo</v>
          </cell>
          <cell r="F1970" t="str">
            <v>B8R</v>
          </cell>
          <cell r="G1970" t="str">
            <v>MARCOPOLO</v>
          </cell>
          <cell r="H1970" t="str">
            <v>TORINO</v>
          </cell>
          <cell r="I1970">
            <v>2019</v>
          </cell>
          <cell r="J1970" t="str">
            <v>B2PAL</v>
          </cell>
          <cell r="K1970" t="str">
            <v>LOS LIBERTADORES</v>
          </cell>
          <cell r="L1970" t="str">
            <v>Los Liberadores 6450, Lote 4A</v>
          </cell>
          <cell r="M1970" t="str">
            <v>Huechuraba</v>
          </cell>
          <cell r="N1970" t="str">
            <v>B</v>
          </cell>
        </row>
        <row r="1971">
          <cell r="B1971" t="str">
            <v>GCBB29</v>
          </cell>
          <cell r="C1971" t="str">
            <v>D8481794K2PL</v>
          </cell>
          <cell r="D1971" t="str">
            <v>YV3T7U529KA195461</v>
          </cell>
          <cell r="E1971" t="str">
            <v>Volvo</v>
          </cell>
          <cell r="F1971" t="str">
            <v>B8R</v>
          </cell>
          <cell r="G1971" t="str">
            <v>MARCOPOLO</v>
          </cell>
          <cell r="H1971" t="str">
            <v>TORINO</v>
          </cell>
          <cell r="I1971">
            <v>2019</v>
          </cell>
          <cell r="J1971" t="str">
            <v>B2PAL</v>
          </cell>
          <cell r="K1971" t="str">
            <v>LOS LIBERTADORES</v>
          </cell>
          <cell r="L1971" t="str">
            <v>Los Liberadores 6450, Lote 4A</v>
          </cell>
          <cell r="M1971" t="str">
            <v>Huechuraba</v>
          </cell>
          <cell r="N1971" t="str">
            <v>B</v>
          </cell>
        </row>
        <row r="1972">
          <cell r="B1972" t="str">
            <v>GCBB30</v>
          </cell>
          <cell r="C1972" t="str">
            <v>D8483045K2PL</v>
          </cell>
          <cell r="D1972" t="str">
            <v>YV3T7U520KA195462</v>
          </cell>
          <cell r="E1972" t="str">
            <v>Volvo</v>
          </cell>
          <cell r="F1972" t="str">
            <v>B8R</v>
          </cell>
          <cell r="G1972" t="str">
            <v>MARCOPOLO</v>
          </cell>
          <cell r="H1972" t="str">
            <v>TORINO</v>
          </cell>
          <cell r="I1972">
            <v>2019</v>
          </cell>
          <cell r="J1972" t="str">
            <v>B2PAL</v>
          </cell>
          <cell r="K1972" t="str">
            <v>LOS LIBERTADORES</v>
          </cell>
          <cell r="L1972" t="str">
            <v>Los Liberadores 6450, Lote 4A</v>
          </cell>
          <cell r="M1972" t="str">
            <v>Huechuraba</v>
          </cell>
          <cell r="N1972" t="str">
            <v>B</v>
          </cell>
        </row>
        <row r="1973">
          <cell r="B1973" t="str">
            <v>GCBB31</v>
          </cell>
          <cell r="C1973" t="str">
            <v>D8483063K2PL</v>
          </cell>
          <cell r="D1973" t="str">
            <v>YV3T7U522KA195463</v>
          </cell>
          <cell r="E1973" t="str">
            <v>Volvo</v>
          </cell>
          <cell r="F1973" t="str">
            <v>B8R</v>
          </cell>
          <cell r="G1973" t="str">
            <v>MARCOPOLO</v>
          </cell>
          <cell r="H1973" t="str">
            <v>TORINO</v>
          </cell>
          <cell r="I1973">
            <v>2019</v>
          </cell>
          <cell r="J1973" t="str">
            <v>B2PAL</v>
          </cell>
          <cell r="K1973" t="str">
            <v>LOS LIBERTADORES</v>
          </cell>
          <cell r="L1973" t="str">
            <v>Los Liberadores 6450, Lote 4A</v>
          </cell>
          <cell r="M1973" t="str">
            <v>Huechuraba</v>
          </cell>
          <cell r="N1973" t="str">
            <v>B</v>
          </cell>
        </row>
        <row r="1974">
          <cell r="B1974" t="str">
            <v>GCBB32</v>
          </cell>
          <cell r="C1974" t="str">
            <v>D8483109K2PL</v>
          </cell>
          <cell r="D1974" t="str">
            <v>YV3T7U523KA195486</v>
          </cell>
          <cell r="E1974" t="str">
            <v>Volvo</v>
          </cell>
          <cell r="F1974" t="str">
            <v>B8R</v>
          </cell>
          <cell r="G1974" t="str">
            <v>MARCOPOLO</v>
          </cell>
          <cell r="H1974" t="str">
            <v>TORINO</v>
          </cell>
          <cell r="I1974">
            <v>2019</v>
          </cell>
          <cell r="J1974" t="str">
            <v>B2PAL</v>
          </cell>
          <cell r="K1974" t="str">
            <v>LOS LIBERTADORES</v>
          </cell>
          <cell r="L1974" t="str">
            <v>Los Liberadores 6450, Lote 4A</v>
          </cell>
          <cell r="M1974" t="str">
            <v>Huechuraba</v>
          </cell>
          <cell r="N1974" t="str">
            <v>B</v>
          </cell>
        </row>
        <row r="1975">
          <cell r="B1975" t="str">
            <v>GCBC33</v>
          </cell>
          <cell r="C1975" t="str">
            <v>D8483197K2PL</v>
          </cell>
          <cell r="D1975" t="str">
            <v>YV3T7U526KA195532</v>
          </cell>
          <cell r="E1975" t="str">
            <v>Volvo</v>
          </cell>
          <cell r="F1975" t="str">
            <v>B8R</v>
          </cell>
          <cell r="G1975" t="str">
            <v>MARCOPOLO</v>
          </cell>
          <cell r="H1975" t="str">
            <v>TORINO</v>
          </cell>
          <cell r="I1975">
            <v>2019</v>
          </cell>
          <cell r="J1975" t="str">
            <v>B2PAL</v>
          </cell>
          <cell r="K1975" t="str">
            <v>LOS LIBERTADORES</v>
          </cell>
          <cell r="L1975" t="str">
            <v>Los Liberadores 6450, Lote 4A</v>
          </cell>
          <cell r="M1975" t="str">
            <v>Huechuraba</v>
          </cell>
          <cell r="N1975" t="str">
            <v>B</v>
          </cell>
        </row>
        <row r="1976">
          <cell r="B1976" t="str">
            <v>GCBB34</v>
          </cell>
          <cell r="C1976" t="str">
            <v>D8483194K2PL</v>
          </cell>
          <cell r="D1976" t="str">
            <v>YV3T7U528KA195533</v>
          </cell>
          <cell r="E1976" t="str">
            <v>Volvo</v>
          </cell>
          <cell r="F1976" t="str">
            <v>B8R</v>
          </cell>
          <cell r="G1976" t="str">
            <v>MARCOPOLO</v>
          </cell>
          <cell r="H1976" t="str">
            <v>TORINO</v>
          </cell>
          <cell r="I1976">
            <v>2019</v>
          </cell>
          <cell r="J1976" t="str">
            <v>B2PAL</v>
          </cell>
          <cell r="K1976" t="str">
            <v>LOS LIBERTADORES</v>
          </cell>
          <cell r="L1976" t="str">
            <v>Los Liberadores 6450, Lote 4A</v>
          </cell>
          <cell r="M1976" t="str">
            <v>Huechuraba</v>
          </cell>
          <cell r="N1976" t="str">
            <v>B</v>
          </cell>
        </row>
        <row r="1977">
          <cell r="B1977" t="str">
            <v>FLXZ97</v>
          </cell>
          <cell r="C1977" t="str">
            <v>D8478297K2PL</v>
          </cell>
          <cell r="D1977" t="str">
            <v>YV3T7U528KA195144</v>
          </cell>
          <cell r="E1977" t="str">
            <v>Volvo</v>
          </cell>
          <cell r="F1977" t="str">
            <v>B8R</v>
          </cell>
          <cell r="G1977" t="str">
            <v>MARCOPOLO</v>
          </cell>
          <cell r="H1977" t="str">
            <v>TORINO</v>
          </cell>
          <cell r="I1977">
            <v>2019</v>
          </cell>
          <cell r="J1977" t="str">
            <v>B2PAL</v>
          </cell>
          <cell r="K1977" t="str">
            <v>LOS LIBERTADORES</v>
          </cell>
          <cell r="L1977" t="str">
            <v>Los Liberadores 6450, Lote 4A</v>
          </cell>
          <cell r="M1977" t="str">
            <v>Huechuraba</v>
          </cell>
          <cell r="N1977" t="str">
            <v>B</v>
          </cell>
        </row>
        <row r="1978">
          <cell r="B1978" t="str">
            <v>GCBB35</v>
          </cell>
          <cell r="C1978" t="str">
            <v>D8483221K2PL</v>
          </cell>
          <cell r="D1978" t="str">
            <v>YV3T7U521KA195535</v>
          </cell>
          <cell r="E1978" t="str">
            <v>Volvo</v>
          </cell>
          <cell r="F1978" t="str">
            <v>B8R</v>
          </cell>
          <cell r="G1978" t="str">
            <v>MARCOPOLO</v>
          </cell>
          <cell r="H1978" t="str">
            <v>TORINO</v>
          </cell>
          <cell r="I1978">
            <v>2019</v>
          </cell>
          <cell r="J1978" t="str">
            <v>B2PAL</v>
          </cell>
          <cell r="K1978" t="str">
            <v>LOS LIBERTADORES</v>
          </cell>
          <cell r="L1978" t="str">
            <v>Los Liberadores 6450, Lote 4A</v>
          </cell>
          <cell r="M1978" t="str">
            <v>Huechuraba</v>
          </cell>
          <cell r="N1978" t="str">
            <v>B</v>
          </cell>
        </row>
        <row r="1979">
          <cell r="B1979" t="str">
            <v>GCBB36</v>
          </cell>
          <cell r="C1979" t="str">
            <v>D89303077</v>
          </cell>
          <cell r="D1979" t="str">
            <v>YV3T7U523KA195553</v>
          </cell>
          <cell r="E1979" t="str">
            <v>Volvo</v>
          </cell>
          <cell r="F1979" t="str">
            <v>B8R</v>
          </cell>
          <cell r="G1979" t="str">
            <v>MARCOPOLO</v>
          </cell>
          <cell r="H1979" t="str">
            <v>TORINO</v>
          </cell>
          <cell r="I1979">
            <v>2019</v>
          </cell>
          <cell r="J1979" t="str">
            <v>B2PAL</v>
          </cell>
          <cell r="K1979" t="str">
            <v>LOS LIBERTADORES</v>
          </cell>
          <cell r="L1979" t="str">
            <v>Los Liberadores 6450, Lote 4A</v>
          </cell>
          <cell r="M1979" t="str">
            <v>Huechuraba</v>
          </cell>
          <cell r="N1979" t="str">
            <v>B</v>
          </cell>
        </row>
        <row r="1980">
          <cell r="B1980" t="str">
            <v>GCBB37</v>
          </cell>
          <cell r="C1980" t="str">
            <v>D8483453K2PL</v>
          </cell>
          <cell r="D1980" t="str">
            <v>YV3T7U527KA195572</v>
          </cell>
          <cell r="E1980" t="str">
            <v>Volvo</v>
          </cell>
          <cell r="F1980" t="str">
            <v>B8R</v>
          </cell>
          <cell r="G1980" t="str">
            <v>MARCOPOLO</v>
          </cell>
          <cell r="H1980" t="str">
            <v>TORINO</v>
          </cell>
          <cell r="I1980">
            <v>2019</v>
          </cell>
          <cell r="J1980" t="str">
            <v>B2PAL</v>
          </cell>
          <cell r="K1980" t="str">
            <v>LOS LIBERTADORES</v>
          </cell>
          <cell r="L1980" t="str">
            <v>Los Liberadores 6450, Lote 4A</v>
          </cell>
          <cell r="M1980" t="str">
            <v>Huechuraba</v>
          </cell>
          <cell r="N1980" t="str">
            <v>B</v>
          </cell>
        </row>
        <row r="1981">
          <cell r="B1981" t="str">
            <v>GCBB38</v>
          </cell>
          <cell r="C1981" t="str">
            <v>D8483890K2PL</v>
          </cell>
          <cell r="D1981" t="str">
            <v>YV3T7U520KA195574</v>
          </cell>
          <cell r="E1981" t="str">
            <v>Volvo</v>
          </cell>
          <cell r="F1981" t="str">
            <v>B8R</v>
          </cell>
          <cell r="G1981" t="str">
            <v>MARCOPOLO</v>
          </cell>
          <cell r="H1981" t="str">
            <v>TORINO</v>
          </cell>
          <cell r="I1981">
            <v>2019</v>
          </cell>
          <cell r="J1981" t="str">
            <v>B2PAL</v>
          </cell>
          <cell r="K1981" t="str">
            <v>LOS LIBERTADORES</v>
          </cell>
          <cell r="L1981" t="str">
            <v>Los Liberadores 6450, Lote 4A</v>
          </cell>
          <cell r="M1981" t="str">
            <v>Huechuraba</v>
          </cell>
          <cell r="N1981" t="str">
            <v>B</v>
          </cell>
        </row>
        <row r="1982">
          <cell r="B1982" t="str">
            <v>GCBB39</v>
          </cell>
          <cell r="C1982" t="str">
            <v>D8478276K2PL</v>
          </cell>
          <cell r="D1982" t="str">
            <v>YV3T7U522KA195141</v>
          </cell>
          <cell r="E1982" t="str">
            <v>Volvo</v>
          </cell>
          <cell r="F1982" t="str">
            <v>B8R</v>
          </cell>
          <cell r="G1982" t="str">
            <v>MARCOPOLO</v>
          </cell>
          <cell r="H1982" t="str">
            <v>TORINO</v>
          </cell>
          <cell r="I1982">
            <v>2019</v>
          </cell>
          <cell r="J1982" t="str">
            <v>B2PAL</v>
          </cell>
          <cell r="K1982" t="str">
            <v>LOS LIBERTADORES</v>
          </cell>
          <cell r="L1982" t="str">
            <v>Los Liberadores 6450, Lote 4A</v>
          </cell>
          <cell r="M1982" t="str">
            <v>Huechuraba</v>
          </cell>
          <cell r="N1982" t="str">
            <v>B</v>
          </cell>
        </row>
        <row r="1983">
          <cell r="B1983" t="str">
            <v>GCBB40</v>
          </cell>
          <cell r="C1983" t="str">
            <v>D8481604K2PL</v>
          </cell>
          <cell r="D1983" t="str">
            <v>YV3T7U52XKA195145</v>
          </cell>
          <cell r="E1983" t="str">
            <v>Volvo</v>
          </cell>
          <cell r="F1983" t="str">
            <v>B8R</v>
          </cell>
          <cell r="G1983" t="str">
            <v>MARCOPOLO</v>
          </cell>
          <cell r="H1983" t="str">
            <v>TORINO</v>
          </cell>
          <cell r="I1983">
            <v>2019</v>
          </cell>
          <cell r="J1983" t="str">
            <v>B2PAL</v>
          </cell>
          <cell r="K1983" t="str">
            <v>LOS LIBERTADORES</v>
          </cell>
          <cell r="L1983" t="str">
            <v>Los Liberadores 6450, Lote 4A</v>
          </cell>
          <cell r="M1983" t="str">
            <v>Huechuraba</v>
          </cell>
          <cell r="N1983" t="str">
            <v>B</v>
          </cell>
        </row>
        <row r="1984">
          <cell r="B1984" t="str">
            <v>GCBB41</v>
          </cell>
          <cell r="C1984" t="str">
            <v>D8481609K2PL</v>
          </cell>
          <cell r="D1984" t="str">
            <v>YV3T7U521KA195146</v>
          </cell>
          <cell r="E1984" t="str">
            <v>Volvo</v>
          </cell>
          <cell r="F1984" t="str">
            <v>B8R</v>
          </cell>
          <cell r="G1984" t="str">
            <v>MARCOPOLO</v>
          </cell>
          <cell r="H1984" t="str">
            <v>TORINO</v>
          </cell>
          <cell r="I1984">
            <v>2019</v>
          </cell>
          <cell r="J1984" t="str">
            <v>B2PAL</v>
          </cell>
          <cell r="K1984" t="str">
            <v>LOS LIBERTADORES</v>
          </cell>
          <cell r="L1984" t="str">
            <v>Los Liberadores 6450, Lote 4A</v>
          </cell>
          <cell r="M1984" t="str">
            <v>Huechuraba</v>
          </cell>
          <cell r="N1984" t="str">
            <v>B</v>
          </cell>
        </row>
        <row r="1985">
          <cell r="B1985" t="str">
            <v>GCBB42</v>
          </cell>
          <cell r="C1985" t="str">
            <v>D8478221K2PL</v>
          </cell>
          <cell r="D1985" t="str">
            <v>YV3T7U523KA195147</v>
          </cell>
          <cell r="E1985" t="str">
            <v>Volvo</v>
          </cell>
          <cell r="F1985" t="str">
            <v>B8R</v>
          </cell>
          <cell r="G1985" t="str">
            <v>MARCOPOLO</v>
          </cell>
          <cell r="H1985" t="str">
            <v>TORINO</v>
          </cell>
          <cell r="I1985">
            <v>2019</v>
          </cell>
          <cell r="J1985" t="str">
            <v>B2PAL</v>
          </cell>
          <cell r="K1985" t="str">
            <v>LOS LIBERTADORES</v>
          </cell>
          <cell r="L1985" t="str">
            <v>Los Liberadores 6450, Lote 4A</v>
          </cell>
          <cell r="M1985" t="str">
            <v>Huechuraba</v>
          </cell>
          <cell r="N1985" t="str">
            <v>B</v>
          </cell>
        </row>
        <row r="1986">
          <cell r="B1986" t="str">
            <v>GCBB43</v>
          </cell>
          <cell r="C1986" t="str">
            <v>D8478290K2PL</v>
          </cell>
          <cell r="D1986" t="str">
            <v>YV3T7U525KA195148</v>
          </cell>
          <cell r="E1986" t="str">
            <v>Volvo</v>
          </cell>
          <cell r="F1986" t="str">
            <v>B8R</v>
          </cell>
          <cell r="G1986" t="str">
            <v>MARCOPOLO</v>
          </cell>
          <cell r="H1986" t="str">
            <v>TORINO</v>
          </cell>
          <cell r="I1986">
            <v>2019</v>
          </cell>
          <cell r="J1986" t="str">
            <v>B2PAL</v>
          </cell>
          <cell r="K1986" t="str">
            <v>LOS LIBERTADORES</v>
          </cell>
          <cell r="L1986" t="str">
            <v>Los Liberadores 6450, Lote 4A</v>
          </cell>
          <cell r="M1986" t="str">
            <v>Huechuraba</v>
          </cell>
          <cell r="N1986" t="str">
            <v>B</v>
          </cell>
        </row>
        <row r="1987">
          <cell r="B1987" t="str">
            <v>GCBB44</v>
          </cell>
          <cell r="C1987" t="str">
            <v>D8481517K2PL</v>
          </cell>
          <cell r="D1987" t="str">
            <v>YV3T7U520KA195171</v>
          </cell>
          <cell r="E1987" t="str">
            <v>Volvo</v>
          </cell>
          <cell r="F1987" t="str">
            <v>B8R</v>
          </cell>
          <cell r="G1987" t="str">
            <v>MARCOPOLO</v>
          </cell>
          <cell r="H1987" t="str">
            <v>TORINO</v>
          </cell>
          <cell r="I1987">
            <v>2019</v>
          </cell>
          <cell r="J1987" t="str">
            <v>B2PAL</v>
          </cell>
          <cell r="K1987" t="str">
            <v>LOS LIBERTADORES</v>
          </cell>
          <cell r="L1987" t="str">
            <v>Los Liberadores 6450, Lote 4A</v>
          </cell>
          <cell r="M1987" t="str">
            <v>Huechuraba</v>
          </cell>
          <cell r="N1987" t="str">
            <v>B</v>
          </cell>
        </row>
        <row r="1988">
          <cell r="B1988" t="str">
            <v>FLXZ98</v>
          </cell>
          <cell r="C1988" t="str">
            <v>D8481625K2PL</v>
          </cell>
          <cell r="D1988" t="str">
            <v>YV3T7U526KA195174</v>
          </cell>
          <cell r="E1988" t="str">
            <v>Volvo</v>
          </cell>
          <cell r="F1988" t="str">
            <v>B8R</v>
          </cell>
          <cell r="G1988" t="str">
            <v>MARCOPOLO</v>
          </cell>
          <cell r="H1988" t="str">
            <v>TORINO</v>
          </cell>
          <cell r="I1988">
            <v>2019</v>
          </cell>
          <cell r="J1988" t="str">
            <v>B2PAL</v>
          </cell>
          <cell r="K1988" t="str">
            <v>LOS LIBERTADORES</v>
          </cell>
          <cell r="L1988" t="str">
            <v>Los Liberadores 6450, Lote 4A</v>
          </cell>
          <cell r="M1988" t="str">
            <v>Huechuraba</v>
          </cell>
          <cell r="N1988" t="str">
            <v>B</v>
          </cell>
        </row>
        <row r="1989">
          <cell r="B1989" t="str">
            <v>GCBB45</v>
          </cell>
          <cell r="C1989" t="str">
            <v>D8481615K2PL</v>
          </cell>
          <cell r="D1989" t="str">
            <v>YV3T7U524KA195173</v>
          </cell>
          <cell r="E1989" t="str">
            <v>Volvo</v>
          </cell>
          <cell r="F1989" t="str">
            <v>B8R</v>
          </cell>
          <cell r="G1989" t="str">
            <v>MARCOPOLO</v>
          </cell>
          <cell r="H1989" t="str">
            <v>TORINO</v>
          </cell>
          <cell r="I1989">
            <v>2019</v>
          </cell>
          <cell r="J1989" t="str">
            <v>B2PAL</v>
          </cell>
          <cell r="K1989" t="str">
            <v>LOS LIBERTADORES</v>
          </cell>
          <cell r="L1989" t="str">
            <v>Los Liberadores 6450, Lote 4A</v>
          </cell>
          <cell r="M1989" t="str">
            <v>Huechuraba</v>
          </cell>
          <cell r="N1989" t="str">
            <v>B</v>
          </cell>
        </row>
        <row r="1990">
          <cell r="B1990" t="str">
            <v>GCBB46</v>
          </cell>
          <cell r="C1990" t="str">
            <v>D8481618K2PL</v>
          </cell>
          <cell r="D1990" t="str">
            <v>YV3T7U52XKA195176</v>
          </cell>
          <cell r="E1990" t="str">
            <v>Volvo</v>
          </cell>
          <cell r="F1990" t="str">
            <v>B8R</v>
          </cell>
          <cell r="G1990" t="str">
            <v>MARCOPOLO</v>
          </cell>
          <cell r="H1990" t="str">
            <v>TORINO</v>
          </cell>
          <cell r="I1990">
            <v>2019</v>
          </cell>
          <cell r="J1990" t="str">
            <v>B2PAL</v>
          </cell>
          <cell r="K1990" t="str">
            <v>LOS LIBERTADORES</v>
          </cell>
          <cell r="L1990" t="str">
            <v>Los Liberadores 6450, Lote 4A</v>
          </cell>
          <cell r="M1990" t="str">
            <v>Huechuraba</v>
          </cell>
          <cell r="N1990" t="str">
            <v>B</v>
          </cell>
        </row>
        <row r="1991">
          <cell r="B1991" t="str">
            <v>GCBB47</v>
          </cell>
          <cell r="C1991" t="str">
            <v>D8481639K2PL</v>
          </cell>
          <cell r="D1991" t="str">
            <v>YV3T7U523KA195178</v>
          </cell>
          <cell r="E1991" t="str">
            <v>Volvo</v>
          </cell>
          <cell r="F1991" t="str">
            <v>B8R</v>
          </cell>
          <cell r="G1991" t="str">
            <v>MARCOPOLO</v>
          </cell>
          <cell r="H1991" t="str">
            <v>TORINO</v>
          </cell>
          <cell r="I1991">
            <v>2019</v>
          </cell>
          <cell r="J1991" t="str">
            <v>B2PAL</v>
          </cell>
          <cell r="K1991" t="str">
            <v>LOS LIBERTADORES</v>
          </cell>
          <cell r="L1991" t="str">
            <v>Los Liberadores 6450, Lote 4A</v>
          </cell>
          <cell r="M1991" t="str">
            <v>Huechuraba</v>
          </cell>
          <cell r="N1991" t="str">
            <v>B</v>
          </cell>
        </row>
        <row r="1992">
          <cell r="B1992" t="str">
            <v>GCBB48</v>
          </cell>
          <cell r="C1992" t="str">
            <v>D8481597K2PL</v>
          </cell>
          <cell r="D1992" t="str">
            <v>YV3T7U523KA195181</v>
          </cell>
          <cell r="E1992" t="str">
            <v>Volvo</v>
          </cell>
          <cell r="F1992" t="str">
            <v>B8R</v>
          </cell>
          <cell r="G1992" t="str">
            <v>MARCOPOLO</v>
          </cell>
          <cell r="H1992" t="str">
            <v>TORINO</v>
          </cell>
          <cell r="I1992">
            <v>2019</v>
          </cell>
          <cell r="J1992" t="str">
            <v>B2PAL</v>
          </cell>
          <cell r="K1992" t="str">
            <v>LOS LIBERTADORES</v>
          </cell>
          <cell r="L1992" t="str">
            <v>Los Liberadores 6450, Lote 4A</v>
          </cell>
          <cell r="M1992" t="str">
            <v>Huechuraba</v>
          </cell>
          <cell r="N1992" t="str">
            <v>B</v>
          </cell>
        </row>
        <row r="1993">
          <cell r="B1993" t="str">
            <v>GCBB49</v>
          </cell>
          <cell r="C1993" t="str">
            <v>D8481673K2PL</v>
          </cell>
          <cell r="D1993" t="str">
            <v>YV3T7U524KA195190</v>
          </cell>
          <cell r="E1993" t="str">
            <v>Volvo</v>
          </cell>
          <cell r="F1993" t="str">
            <v>B8R</v>
          </cell>
          <cell r="G1993" t="str">
            <v>MARCOPOLO</v>
          </cell>
          <cell r="H1993" t="str">
            <v>TORINO</v>
          </cell>
          <cell r="I1993">
            <v>2019</v>
          </cell>
          <cell r="J1993" t="str">
            <v>B2PAL</v>
          </cell>
          <cell r="K1993" t="str">
            <v>LOS LIBERTADORES</v>
          </cell>
          <cell r="L1993" t="str">
            <v>Los Liberadores 6450, Lote 4A</v>
          </cell>
          <cell r="M1993" t="str">
            <v>Huechuraba</v>
          </cell>
          <cell r="N1993" t="str">
            <v>B</v>
          </cell>
        </row>
        <row r="1994">
          <cell r="B1994" t="str">
            <v>GCBB50</v>
          </cell>
          <cell r="C1994" t="str">
            <v>D8481885K2PL</v>
          </cell>
          <cell r="D1994" t="str">
            <v>YV3T7U526KA195191</v>
          </cell>
          <cell r="E1994" t="str">
            <v>Volvo</v>
          </cell>
          <cell r="F1994" t="str">
            <v>B8R</v>
          </cell>
          <cell r="G1994" t="str">
            <v>MARCOPOLO</v>
          </cell>
          <cell r="H1994" t="str">
            <v>TORINO</v>
          </cell>
          <cell r="I1994">
            <v>2019</v>
          </cell>
          <cell r="J1994" t="str">
            <v>B2PAL</v>
          </cell>
          <cell r="K1994" t="str">
            <v>LOS LIBERTADORES</v>
          </cell>
          <cell r="L1994" t="str">
            <v>Los Liberadores 6450, Lote 4A</v>
          </cell>
          <cell r="M1994" t="str">
            <v>Huechuraba</v>
          </cell>
          <cell r="N1994" t="str">
            <v>B</v>
          </cell>
        </row>
        <row r="1995">
          <cell r="B1995" t="str">
            <v>GCBB51</v>
          </cell>
          <cell r="C1995" t="str">
            <v>D8481866K2PL</v>
          </cell>
          <cell r="D1995" t="str">
            <v>YV3T7U528KA195192</v>
          </cell>
          <cell r="E1995" t="str">
            <v>Volvo</v>
          </cell>
          <cell r="F1995" t="str">
            <v>B8R</v>
          </cell>
          <cell r="G1995" t="str">
            <v>MARCOPOLO</v>
          </cell>
          <cell r="H1995" t="str">
            <v>TORINO</v>
          </cell>
          <cell r="I1995">
            <v>2019</v>
          </cell>
          <cell r="J1995" t="str">
            <v>B2PAL</v>
          </cell>
          <cell r="K1995" t="str">
            <v>LOS LIBERTADORES</v>
          </cell>
          <cell r="L1995" t="str">
            <v>Los Liberadores 6450, Lote 4A</v>
          </cell>
          <cell r="M1995" t="str">
            <v>Huechuraba</v>
          </cell>
          <cell r="N1995" t="str">
            <v>B</v>
          </cell>
        </row>
        <row r="1996">
          <cell r="B1996" t="str">
            <v>GCBB52</v>
          </cell>
          <cell r="C1996" t="str">
            <v>D8481887K2PL</v>
          </cell>
          <cell r="D1996" t="str">
            <v>YV3T7U52XKA195193</v>
          </cell>
          <cell r="E1996" t="str">
            <v>Volvo</v>
          </cell>
          <cell r="F1996" t="str">
            <v>B8R</v>
          </cell>
          <cell r="G1996" t="str">
            <v>MARCOPOLO</v>
          </cell>
          <cell r="H1996" t="str">
            <v>TORINO</v>
          </cell>
          <cell r="I1996">
            <v>2019</v>
          </cell>
          <cell r="J1996" t="str">
            <v>B2PAL</v>
          </cell>
          <cell r="K1996" t="str">
            <v>LOS LIBERTADORES</v>
          </cell>
          <cell r="L1996" t="str">
            <v>Los Liberadores 6450, Lote 4A</v>
          </cell>
          <cell r="M1996" t="str">
            <v>Huechuraba</v>
          </cell>
          <cell r="N1996" t="str">
            <v>B</v>
          </cell>
        </row>
        <row r="1997">
          <cell r="B1997" t="str">
            <v>GCBB53</v>
          </cell>
          <cell r="C1997" t="str">
            <v>D8481478K2PL</v>
          </cell>
          <cell r="D1997" t="str">
            <v>YV3T7U527KA195197</v>
          </cell>
          <cell r="E1997" t="str">
            <v>Volvo</v>
          </cell>
          <cell r="F1997" t="str">
            <v>B8R</v>
          </cell>
          <cell r="G1997" t="str">
            <v>MARCOPOLO</v>
          </cell>
          <cell r="H1997" t="str">
            <v>TORINO</v>
          </cell>
          <cell r="I1997">
            <v>2019</v>
          </cell>
          <cell r="J1997" t="str">
            <v>B2PAL</v>
          </cell>
          <cell r="K1997" t="str">
            <v>LOS LIBERTADORES</v>
          </cell>
          <cell r="L1997" t="str">
            <v>Los Liberadores 6450, Lote 4A</v>
          </cell>
          <cell r="M1997" t="str">
            <v>Huechuraba</v>
          </cell>
          <cell r="N1997" t="str">
            <v>B</v>
          </cell>
        </row>
        <row r="1998">
          <cell r="B1998" t="str">
            <v>GCBB54</v>
          </cell>
          <cell r="C1998" t="str">
            <v>D8481635K2PL</v>
          </cell>
          <cell r="D1998" t="str">
            <v>YV3T7U529KA195198</v>
          </cell>
          <cell r="E1998" t="str">
            <v>Volvo</v>
          </cell>
          <cell r="F1998" t="str">
            <v>B8R</v>
          </cell>
          <cell r="G1998" t="str">
            <v>MARCOPOLO</v>
          </cell>
          <cell r="H1998" t="str">
            <v>TORINO</v>
          </cell>
          <cell r="I1998">
            <v>2019</v>
          </cell>
          <cell r="J1998" t="str">
            <v>B2PAL</v>
          </cell>
          <cell r="K1998" t="str">
            <v>LOS LIBERTADORES</v>
          </cell>
          <cell r="L1998" t="str">
            <v>Los Liberadores 6450, Lote 4A</v>
          </cell>
          <cell r="M1998" t="str">
            <v>Huechuraba</v>
          </cell>
          <cell r="N1998" t="str">
            <v>B</v>
          </cell>
        </row>
        <row r="1999">
          <cell r="B1999" t="str">
            <v>FLXZ99</v>
          </cell>
          <cell r="C1999" t="str">
            <v>D8481607K2PL</v>
          </cell>
          <cell r="D1999" t="str">
            <v>YV3T7U521KA195180</v>
          </cell>
          <cell r="E1999" t="str">
            <v>Volvo</v>
          </cell>
          <cell r="F1999" t="str">
            <v>B8R</v>
          </cell>
          <cell r="G1999" t="str">
            <v>MARCOPOLO</v>
          </cell>
          <cell r="H1999" t="str">
            <v>TORINO</v>
          </cell>
          <cell r="I1999">
            <v>2019</v>
          </cell>
          <cell r="J1999" t="str">
            <v>B2PAL</v>
          </cell>
          <cell r="K1999" t="str">
            <v>LOS LIBERTADORES</v>
          </cell>
          <cell r="L1999" t="str">
            <v>Los Liberadores 6450, Lote 4A</v>
          </cell>
          <cell r="M1999" t="str">
            <v>Huechuraba</v>
          </cell>
          <cell r="N1999" t="str">
            <v>B</v>
          </cell>
        </row>
        <row r="2000">
          <cell r="B2000" t="str">
            <v>GCBB55</v>
          </cell>
          <cell r="C2000" t="str">
            <v>D8481488K2PL</v>
          </cell>
          <cell r="D2000" t="str">
            <v>YV3T7U525KA195229</v>
          </cell>
          <cell r="E2000" t="str">
            <v>Volvo</v>
          </cell>
          <cell r="F2000" t="str">
            <v>B8R</v>
          </cell>
          <cell r="G2000" t="str">
            <v>MARCOPOLO</v>
          </cell>
          <cell r="H2000" t="str">
            <v>TORINO</v>
          </cell>
          <cell r="I2000">
            <v>2019</v>
          </cell>
          <cell r="J2000" t="str">
            <v>B2PAL</v>
          </cell>
          <cell r="K2000" t="str">
            <v>LOS LIBERTADORES</v>
          </cell>
          <cell r="L2000" t="str">
            <v>Los Liberadores 6450, Lote 4A</v>
          </cell>
          <cell r="M2000" t="str">
            <v>Huechuraba</v>
          </cell>
          <cell r="N2000" t="str">
            <v>B</v>
          </cell>
        </row>
        <row r="2001">
          <cell r="B2001" t="str">
            <v>GCBB56</v>
          </cell>
          <cell r="C2001" t="str">
            <v>D8482670K2PL</v>
          </cell>
          <cell r="D2001" t="str">
            <v>YV3T7U523KA195231</v>
          </cell>
          <cell r="E2001" t="str">
            <v>Volvo</v>
          </cell>
          <cell r="F2001" t="str">
            <v>B8R</v>
          </cell>
          <cell r="G2001" t="str">
            <v>MARCOPOLO</v>
          </cell>
          <cell r="H2001" t="str">
            <v>TORINO</v>
          </cell>
          <cell r="I2001">
            <v>2019</v>
          </cell>
          <cell r="J2001" t="str">
            <v>B2PAL</v>
          </cell>
          <cell r="K2001" t="str">
            <v>LOS LIBERTADORES</v>
          </cell>
          <cell r="L2001" t="str">
            <v>Los Liberadores 6450, Lote 4A</v>
          </cell>
          <cell r="M2001" t="str">
            <v>Huechuraba</v>
          </cell>
          <cell r="N2001" t="str">
            <v>B</v>
          </cell>
        </row>
        <row r="2002">
          <cell r="B2002" t="str">
            <v>GCBB57</v>
          </cell>
          <cell r="C2002" t="str">
            <v>D8481984K2PL</v>
          </cell>
          <cell r="D2002" t="str">
            <v>YV3T7U524KA195268</v>
          </cell>
          <cell r="E2002" t="str">
            <v>Volvo</v>
          </cell>
          <cell r="F2002" t="str">
            <v>B8R</v>
          </cell>
          <cell r="G2002" t="str">
            <v>MARCOPOLO</v>
          </cell>
          <cell r="H2002" t="str">
            <v>TORINO</v>
          </cell>
          <cell r="I2002">
            <v>2019</v>
          </cell>
          <cell r="J2002" t="str">
            <v>B2PAL</v>
          </cell>
          <cell r="K2002" t="str">
            <v>LOS LIBERTADORES</v>
          </cell>
          <cell r="L2002" t="str">
            <v>Los Liberadores 6450, Lote 4A</v>
          </cell>
          <cell r="M2002" t="str">
            <v>Huechuraba</v>
          </cell>
          <cell r="N2002" t="str">
            <v>B</v>
          </cell>
        </row>
        <row r="2003">
          <cell r="B2003" t="str">
            <v>GCBB58</v>
          </cell>
          <cell r="C2003" t="str">
            <v>D8481907K2PL</v>
          </cell>
          <cell r="D2003" t="str">
            <v>YV3T7U526KA195269</v>
          </cell>
          <cell r="E2003" t="str">
            <v>Volvo</v>
          </cell>
          <cell r="F2003" t="str">
            <v>B8R</v>
          </cell>
          <cell r="G2003" t="str">
            <v>MARCOPOLO</v>
          </cell>
          <cell r="H2003" t="str">
            <v>TORINO</v>
          </cell>
          <cell r="I2003">
            <v>2019</v>
          </cell>
          <cell r="J2003" t="str">
            <v>B2PAL</v>
          </cell>
          <cell r="K2003" t="str">
            <v>LOS LIBERTADORES</v>
          </cell>
          <cell r="L2003" t="str">
            <v>Los Liberadores 6450, Lote 4A</v>
          </cell>
          <cell r="M2003" t="str">
            <v>Huechuraba</v>
          </cell>
          <cell r="N2003" t="str">
            <v>B</v>
          </cell>
        </row>
        <row r="2004">
          <cell r="B2004" t="str">
            <v>GCBB59</v>
          </cell>
          <cell r="C2004" t="str">
            <v>D8481955K2PL</v>
          </cell>
          <cell r="D2004" t="str">
            <v>YV3T7U522KA195270</v>
          </cell>
          <cell r="E2004" t="str">
            <v>Volvo</v>
          </cell>
          <cell r="F2004" t="str">
            <v>B8R</v>
          </cell>
          <cell r="G2004" t="str">
            <v>MARCOPOLO</v>
          </cell>
          <cell r="H2004" t="str">
            <v>TORINO</v>
          </cell>
          <cell r="I2004">
            <v>2019</v>
          </cell>
          <cell r="J2004" t="str">
            <v>B2PAL</v>
          </cell>
          <cell r="K2004" t="str">
            <v>LOS LIBERTADORES</v>
          </cell>
          <cell r="L2004" t="str">
            <v>Los Liberadores 6450, Lote 4A</v>
          </cell>
          <cell r="M2004" t="str">
            <v>Huechuraba</v>
          </cell>
          <cell r="N2004" t="str">
            <v>B</v>
          </cell>
        </row>
        <row r="2005">
          <cell r="B2005" t="str">
            <v>GCBB60</v>
          </cell>
          <cell r="C2005" t="str">
            <v>D8482733K2PL</v>
          </cell>
          <cell r="D2005" t="str">
            <v>YV3T7U524KA195299</v>
          </cell>
          <cell r="E2005" t="str">
            <v>Volvo</v>
          </cell>
          <cell r="F2005" t="str">
            <v>B8R</v>
          </cell>
          <cell r="G2005" t="str">
            <v>MARCOPOLO</v>
          </cell>
          <cell r="H2005" t="str">
            <v>TORINO</v>
          </cell>
          <cell r="I2005">
            <v>2019</v>
          </cell>
          <cell r="J2005" t="str">
            <v>B2PAL</v>
          </cell>
          <cell r="K2005" t="str">
            <v>LOS LIBERTADORES</v>
          </cell>
          <cell r="L2005" t="str">
            <v>Los Liberadores 6450, Lote 4A</v>
          </cell>
          <cell r="M2005" t="str">
            <v>Huechuraba</v>
          </cell>
          <cell r="N2005" t="str">
            <v>B</v>
          </cell>
        </row>
        <row r="2006">
          <cell r="B2006" t="str">
            <v>GCBB61</v>
          </cell>
          <cell r="C2006" t="str">
            <v>D8482727K2PL</v>
          </cell>
          <cell r="D2006" t="str">
            <v>YV3T7U527KA195300</v>
          </cell>
          <cell r="E2006" t="str">
            <v>Volvo</v>
          </cell>
          <cell r="F2006" t="str">
            <v>B8R</v>
          </cell>
          <cell r="G2006" t="str">
            <v>MARCOPOLO</v>
          </cell>
          <cell r="H2006" t="str">
            <v>TORINO</v>
          </cell>
          <cell r="I2006">
            <v>2019</v>
          </cell>
          <cell r="J2006" t="str">
            <v>B2PAL</v>
          </cell>
          <cell r="K2006" t="str">
            <v>LOS LIBERTADORES</v>
          </cell>
          <cell r="L2006" t="str">
            <v>Los Liberadores 6450, Lote 4A</v>
          </cell>
          <cell r="M2006" t="str">
            <v>Huechuraba</v>
          </cell>
          <cell r="N2006" t="str">
            <v>B</v>
          </cell>
        </row>
        <row r="2007">
          <cell r="B2007" t="str">
            <v>GCBB62</v>
          </cell>
          <cell r="C2007" t="str">
            <v>D8482362K2PL</v>
          </cell>
          <cell r="D2007" t="str">
            <v>YV3T7U526KA195286</v>
          </cell>
          <cell r="E2007" t="str">
            <v>Volvo</v>
          </cell>
          <cell r="F2007" t="str">
            <v>B8R</v>
          </cell>
          <cell r="G2007" t="str">
            <v>MARCOPOLO</v>
          </cell>
          <cell r="H2007" t="str">
            <v>TORINO</v>
          </cell>
          <cell r="I2007">
            <v>2019</v>
          </cell>
          <cell r="J2007" t="str">
            <v>B2PAL</v>
          </cell>
          <cell r="K2007" t="str">
            <v>LOS LIBERTADORES</v>
          </cell>
          <cell r="L2007" t="str">
            <v>Los Liberadores 6450, Lote 4A</v>
          </cell>
          <cell r="M2007" t="str">
            <v>Huechuraba</v>
          </cell>
          <cell r="N2007" t="str">
            <v>B</v>
          </cell>
        </row>
        <row r="2008">
          <cell r="B2008" t="str">
            <v>GCBB63</v>
          </cell>
          <cell r="C2008" t="str">
            <v>D8482765K2PL</v>
          </cell>
          <cell r="D2008" t="str">
            <v>YV3T7U520KA195302</v>
          </cell>
          <cell r="E2008" t="str">
            <v>Volvo</v>
          </cell>
          <cell r="F2008" t="str">
            <v>B8R</v>
          </cell>
          <cell r="G2008" t="str">
            <v>MARCOPOLO</v>
          </cell>
          <cell r="H2008" t="str">
            <v>TORINO</v>
          </cell>
          <cell r="I2008">
            <v>2019</v>
          </cell>
          <cell r="J2008" t="str">
            <v>B2PAL</v>
          </cell>
          <cell r="K2008" t="str">
            <v>LOS LIBERTADORES</v>
          </cell>
          <cell r="L2008" t="str">
            <v>Los Liberadores 6450, Lote 4A</v>
          </cell>
          <cell r="M2008" t="str">
            <v>Huechuraba</v>
          </cell>
          <cell r="N2008" t="str">
            <v>B</v>
          </cell>
        </row>
        <row r="2009">
          <cell r="B2009" t="str">
            <v>GCBB64</v>
          </cell>
          <cell r="C2009" t="str">
            <v>D8482772K2PL</v>
          </cell>
          <cell r="D2009" t="str">
            <v>YV3T7U526KA195305</v>
          </cell>
          <cell r="E2009" t="str">
            <v>Volvo</v>
          </cell>
          <cell r="F2009" t="str">
            <v>B8R</v>
          </cell>
          <cell r="G2009" t="str">
            <v>MARCOPOLO</v>
          </cell>
          <cell r="H2009" t="str">
            <v>TORINO</v>
          </cell>
          <cell r="I2009">
            <v>2019</v>
          </cell>
          <cell r="J2009" t="str">
            <v>B2PAL</v>
          </cell>
          <cell r="K2009" t="str">
            <v>LOS LIBERTADORES</v>
          </cell>
          <cell r="L2009" t="str">
            <v>Los Liberadores 6450, Lote 4A</v>
          </cell>
          <cell r="M2009" t="str">
            <v>Huechuraba</v>
          </cell>
          <cell r="N2009" t="str">
            <v>B</v>
          </cell>
        </row>
        <row r="2010">
          <cell r="B2010" t="str">
            <v>GCBB10</v>
          </cell>
          <cell r="C2010" t="str">
            <v>D8481853K2PL</v>
          </cell>
          <cell r="D2010" t="str">
            <v>YV3T7U523KA195195</v>
          </cell>
          <cell r="E2010" t="str">
            <v>Volvo</v>
          </cell>
          <cell r="F2010" t="str">
            <v>B8R</v>
          </cell>
          <cell r="G2010" t="str">
            <v>MARCOPOLO</v>
          </cell>
          <cell r="H2010" t="str">
            <v>TORINO</v>
          </cell>
          <cell r="I2010">
            <v>2019</v>
          </cell>
          <cell r="J2010" t="str">
            <v>B2PAL</v>
          </cell>
          <cell r="K2010" t="str">
            <v>LOS LIBERTADORES</v>
          </cell>
          <cell r="L2010" t="str">
            <v>Los Liberadores 6450, Lote 4A</v>
          </cell>
          <cell r="M2010" t="str">
            <v>Huechuraba</v>
          </cell>
          <cell r="N2010" t="str">
            <v>B</v>
          </cell>
        </row>
        <row r="2011">
          <cell r="B2011" t="str">
            <v>GCBB65</v>
          </cell>
          <cell r="C2011" t="str">
            <v>D8482473K2PL</v>
          </cell>
          <cell r="D2011" t="str">
            <v>YV3T7U520KA195316</v>
          </cell>
          <cell r="E2011" t="str">
            <v>Volvo</v>
          </cell>
          <cell r="F2011" t="str">
            <v>B8R</v>
          </cell>
          <cell r="G2011" t="str">
            <v>MARCOPOLO</v>
          </cell>
          <cell r="H2011" t="str">
            <v>TORINO</v>
          </cell>
          <cell r="I2011">
            <v>2019</v>
          </cell>
          <cell r="J2011" t="str">
            <v>B2PAL</v>
          </cell>
          <cell r="K2011" t="str">
            <v>LOS LIBERTADORES</v>
          </cell>
          <cell r="L2011" t="str">
            <v>Los Liberadores 6450, Lote 4A</v>
          </cell>
          <cell r="M2011" t="str">
            <v>Huechuraba</v>
          </cell>
          <cell r="N2011" t="str">
            <v>B</v>
          </cell>
        </row>
        <row r="2012">
          <cell r="B2012" t="str">
            <v>GCBB66</v>
          </cell>
          <cell r="C2012" t="str">
            <v>D8484011K2PL</v>
          </cell>
          <cell r="D2012" t="str">
            <v>YV3T7U522KA195592</v>
          </cell>
          <cell r="E2012" t="str">
            <v>Volvo</v>
          </cell>
          <cell r="F2012" t="str">
            <v>B8R</v>
          </cell>
          <cell r="G2012" t="str">
            <v>MARCOPOLO</v>
          </cell>
          <cell r="H2012" t="str">
            <v>TORINO</v>
          </cell>
          <cell r="I2012">
            <v>2019</v>
          </cell>
          <cell r="J2012" t="str">
            <v>B2PAL</v>
          </cell>
          <cell r="K2012" t="str">
            <v>LOS LIBERTADORES</v>
          </cell>
          <cell r="L2012" t="str">
            <v>Los Liberadores 6450, Lote 4A</v>
          </cell>
          <cell r="M2012" t="str">
            <v>Huechuraba</v>
          </cell>
          <cell r="N2012" t="str">
            <v>B</v>
          </cell>
        </row>
        <row r="2013">
          <cell r="B2013" t="str">
            <v>GCBB67</v>
          </cell>
          <cell r="C2013" t="str">
            <v>D8483863K2PL</v>
          </cell>
          <cell r="D2013" t="str">
            <v>YV3T7U526KA195594</v>
          </cell>
          <cell r="E2013" t="str">
            <v>Volvo</v>
          </cell>
          <cell r="F2013" t="str">
            <v>B8R</v>
          </cell>
          <cell r="G2013" t="str">
            <v>MARCOPOLO</v>
          </cell>
          <cell r="H2013" t="str">
            <v>TORINO</v>
          </cell>
          <cell r="I2013">
            <v>2019</v>
          </cell>
          <cell r="J2013" t="str">
            <v>B2PAL</v>
          </cell>
          <cell r="K2013" t="str">
            <v>LOS LIBERTADORES</v>
          </cell>
          <cell r="L2013" t="str">
            <v>Los Liberadores 6450, Lote 4A</v>
          </cell>
          <cell r="M2013" t="str">
            <v>Huechuraba</v>
          </cell>
          <cell r="N2013" t="str">
            <v>B</v>
          </cell>
        </row>
        <row r="2014">
          <cell r="B2014" t="str">
            <v>GCBB68</v>
          </cell>
          <cell r="C2014" t="str">
            <v>D8452415K2PL</v>
          </cell>
          <cell r="D2014" t="str">
            <v>YV3T7U529JA189190</v>
          </cell>
          <cell r="E2014" t="str">
            <v>Volvo</v>
          </cell>
          <cell r="F2014" t="str">
            <v>B8R</v>
          </cell>
          <cell r="G2014" t="str">
            <v>MARCOPOLO</v>
          </cell>
          <cell r="H2014" t="str">
            <v>TORINO</v>
          </cell>
          <cell r="I2014">
            <v>2019</v>
          </cell>
          <cell r="J2014" t="str">
            <v>B2PAL</v>
          </cell>
          <cell r="K2014" t="str">
            <v>SAN JOSE</v>
          </cell>
          <cell r="L2014" t="str">
            <v>San José 030 (José Besa 669)</v>
          </cell>
          <cell r="M2014" t="str">
            <v>San Bernardo</v>
          </cell>
          <cell r="N2014" t="str">
            <v>B</v>
          </cell>
        </row>
        <row r="2015">
          <cell r="B2015" t="str">
            <v>GCBB69</v>
          </cell>
          <cell r="C2015" t="str">
            <v>D8481542K2PL</v>
          </cell>
          <cell r="D2015" t="str">
            <v>YV3T7U522KA195172</v>
          </cell>
          <cell r="E2015" t="str">
            <v>Volvo</v>
          </cell>
          <cell r="F2015" t="str">
            <v>B8R</v>
          </cell>
          <cell r="G2015" t="str">
            <v>MARCOPOLO</v>
          </cell>
          <cell r="H2015" t="str">
            <v>TORINO</v>
          </cell>
          <cell r="I2015">
            <v>2019</v>
          </cell>
          <cell r="J2015" t="str">
            <v>B2PAL</v>
          </cell>
          <cell r="K2015" t="str">
            <v>LOS LIBERTADORES</v>
          </cell>
          <cell r="L2015" t="str">
            <v>Los Liberadores 6450, Lote 4A</v>
          </cell>
          <cell r="M2015" t="str">
            <v>Huechuraba</v>
          </cell>
          <cell r="N2015" t="str">
            <v>B</v>
          </cell>
        </row>
        <row r="2016">
          <cell r="B2016" t="str">
            <v>GCBB70</v>
          </cell>
          <cell r="C2016" t="str">
            <v>D8482361K2PL</v>
          </cell>
          <cell r="D2016" t="str">
            <v>YV3T7U528KA195287</v>
          </cell>
          <cell r="E2016" t="str">
            <v>Volvo</v>
          </cell>
          <cell r="F2016" t="str">
            <v>B8R</v>
          </cell>
          <cell r="G2016" t="str">
            <v>MARCOPOLO</v>
          </cell>
          <cell r="H2016" t="str">
            <v>TORINO</v>
          </cell>
          <cell r="I2016">
            <v>2019</v>
          </cell>
          <cell r="J2016" t="str">
            <v>B2PAL</v>
          </cell>
          <cell r="K2016" t="str">
            <v>LOS LIBERTADORES</v>
          </cell>
          <cell r="L2016" t="str">
            <v>Los Liberadores 6450, Lote 4A</v>
          </cell>
          <cell r="M2016" t="str">
            <v>Huechuraba</v>
          </cell>
          <cell r="N2016" t="str">
            <v>B</v>
          </cell>
        </row>
        <row r="2017">
          <cell r="B2017" t="str">
            <v>GCBB71</v>
          </cell>
          <cell r="C2017" t="str">
            <v>D8482775K2PL</v>
          </cell>
          <cell r="D2017" t="str">
            <v>YV3T7U528KA195306</v>
          </cell>
          <cell r="E2017" t="str">
            <v>Volvo</v>
          </cell>
          <cell r="F2017" t="str">
            <v>B8R</v>
          </cell>
          <cell r="G2017" t="str">
            <v>MARCOPOLO</v>
          </cell>
          <cell r="H2017" t="str">
            <v>TORINO</v>
          </cell>
          <cell r="I2017">
            <v>2019</v>
          </cell>
          <cell r="J2017" t="str">
            <v>B2PAL</v>
          </cell>
          <cell r="K2017" t="str">
            <v>LOS LIBERTADORES</v>
          </cell>
          <cell r="L2017" t="str">
            <v>Los Liberadores 6450, Lote 4A</v>
          </cell>
          <cell r="M2017" t="str">
            <v>Huechuraba</v>
          </cell>
          <cell r="N2017" t="str">
            <v>B</v>
          </cell>
        </row>
        <row r="2018">
          <cell r="B2018" t="str">
            <v>GCBB72</v>
          </cell>
          <cell r="C2018" t="str">
            <v>D8482721K2PL</v>
          </cell>
          <cell r="D2018" t="str">
            <v>YV3T7U52XKA195307</v>
          </cell>
          <cell r="E2018" t="str">
            <v>Volvo</v>
          </cell>
          <cell r="F2018" t="str">
            <v>B8R</v>
          </cell>
          <cell r="G2018" t="str">
            <v>MARCOPOLO</v>
          </cell>
          <cell r="H2018" t="str">
            <v>TORINO</v>
          </cell>
          <cell r="I2018">
            <v>2019</v>
          </cell>
          <cell r="J2018" t="str">
            <v>B2PAL</v>
          </cell>
          <cell r="K2018" t="str">
            <v>LOS LIBERTADORES</v>
          </cell>
          <cell r="L2018" t="str">
            <v>Los Liberadores 6450, Lote 4A</v>
          </cell>
          <cell r="M2018" t="str">
            <v>Huechuraba</v>
          </cell>
          <cell r="N2018" t="str">
            <v>B</v>
          </cell>
        </row>
        <row r="2019">
          <cell r="B2019" t="str">
            <v>GCBB73</v>
          </cell>
          <cell r="C2019" t="str">
            <v>D8482748K2PL</v>
          </cell>
          <cell r="D2019" t="str">
            <v>YV3T7U521KA195308</v>
          </cell>
          <cell r="E2019" t="str">
            <v>Volvo</v>
          </cell>
          <cell r="F2019" t="str">
            <v>B8R</v>
          </cell>
          <cell r="G2019" t="str">
            <v>MARCOPOLO</v>
          </cell>
          <cell r="H2019" t="str">
            <v>TORINO</v>
          </cell>
          <cell r="I2019">
            <v>2019</v>
          </cell>
          <cell r="J2019" t="str">
            <v>B2PAL</v>
          </cell>
          <cell r="K2019" t="str">
            <v>SAN JOSE</v>
          </cell>
          <cell r="L2019" t="str">
            <v>San José 030 (José Besa 669)</v>
          </cell>
          <cell r="M2019" t="str">
            <v>San Bernardo</v>
          </cell>
          <cell r="N2019" t="str">
            <v>B</v>
          </cell>
        </row>
        <row r="2020">
          <cell r="B2020" t="str">
            <v>GCBB74</v>
          </cell>
          <cell r="C2020" t="str">
            <v>D8482485K2PL</v>
          </cell>
          <cell r="D2020" t="str">
            <v>YV3T7U522KA195317</v>
          </cell>
          <cell r="E2020" t="str">
            <v>Volvo</v>
          </cell>
          <cell r="F2020" t="str">
            <v>B8R</v>
          </cell>
          <cell r="G2020" t="str">
            <v>MARCOPOLO</v>
          </cell>
          <cell r="H2020" t="str">
            <v>TORINO</v>
          </cell>
          <cell r="I2020">
            <v>2019</v>
          </cell>
          <cell r="J2020" t="str">
            <v>B2PAL</v>
          </cell>
          <cell r="K2020" t="str">
            <v>LOS LIBERTADORES</v>
          </cell>
          <cell r="L2020" t="str">
            <v>Los Liberadores 6450, Lote 4A</v>
          </cell>
          <cell r="M2020" t="str">
            <v>Huechuraba</v>
          </cell>
          <cell r="N2020" t="str">
            <v>B</v>
          </cell>
        </row>
        <row r="2021">
          <cell r="B2021" t="str">
            <v>GCBB11</v>
          </cell>
          <cell r="C2021" t="str">
            <v>D8481452K2PL</v>
          </cell>
          <cell r="D2021" t="str">
            <v>YV3T7U525KA195196</v>
          </cell>
          <cell r="E2021" t="str">
            <v>Volvo</v>
          </cell>
          <cell r="F2021" t="str">
            <v>B8R</v>
          </cell>
          <cell r="G2021" t="str">
            <v>MARCOPOLO</v>
          </cell>
          <cell r="H2021" t="str">
            <v>TORINO</v>
          </cell>
          <cell r="I2021">
            <v>2019</v>
          </cell>
          <cell r="J2021" t="str">
            <v>B2PAL</v>
          </cell>
          <cell r="K2021" t="str">
            <v>LOS LIBERTADORES</v>
          </cell>
          <cell r="L2021" t="str">
            <v>Los Liberadores 6450, Lote 4A</v>
          </cell>
          <cell r="M2021" t="str">
            <v>Huechuraba</v>
          </cell>
          <cell r="N2021" t="str">
            <v>B</v>
          </cell>
        </row>
        <row r="2022">
          <cell r="B2022" t="str">
            <v>GCBB75</v>
          </cell>
          <cell r="C2022" t="str">
            <v>D8482455K2PL</v>
          </cell>
          <cell r="D2022" t="str">
            <v>YV3T7U524KA195318</v>
          </cell>
          <cell r="E2022" t="str">
            <v>Volvo</v>
          </cell>
          <cell r="F2022" t="str">
            <v>B8R</v>
          </cell>
          <cell r="G2022" t="str">
            <v>MARCOPOLO</v>
          </cell>
          <cell r="H2022" t="str">
            <v>TORINO</v>
          </cell>
          <cell r="I2022">
            <v>2019</v>
          </cell>
          <cell r="J2022" t="str">
            <v>B2PAL</v>
          </cell>
          <cell r="K2022" t="str">
            <v>LOS LIBERTADORES</v>
          </cell>
          <cell r="L2022" t="str">
            <v>Los Liberadores 6450, Lote 4A</v>
          </cell>
          <cell r="M2022" t="str">
            <v>Huechuraba</v>
          </cell>
          <cell r="N2022" t="str">
            <v>B</v>
          </cell>
        </row>
        <row r="2023">
          <cell r="B2023" t="str">
            <v>GCBB76</v>
          </cell>
          <cell r="C2023" t="str">
            <v>D8482471K2PL</v>
          </cell>
          <cell r="D2023" t="str">
            <v>YV3T7U526KA195319</v>
          </cell>
          <cell r="E2023" t="str">
            <v>Volvo</v>
          </cell>
          <cell r="F2023" t="str">
            <v>B8R</v>
          </cell>
          <cell r="G2023" t="str">
            <v>MARCOPOLO</v>
          </cell>
          <cell r="H2023" t="str">
            <v>TORINO</v>
          </cell>
          <cell r="I2023">
            <v>2019</v>
          </cell>
          <cell r="J2023" t="str">
            <v>B2PAL</v>
          </cell>
          <cell r="K2023" t="str">
            <v>SAN JOSE</v>
          </cell>
          <cell r="L2023" t="str">
            <v>San José 030 (José Besa 669)</v>
          </cell>
          <cell r="M2023" t="str">
            <v>San Bernardo</v>
          </cell>
          <cell r="N2023" t="str">
            <v>B</v>
          </cell>
        </row>
        <row r="2024">
          <cell r="B2024" t="str">
            <v>GCBB77</v>
          </cell>
          <cell r="C2024" t="str">
            <v>D8482458K2PL</v>
          </cell>
          <cell r="D2024" t="str">
            <v>YV3T7U522KA195320</v>
          </cell>
          <cell r="E2024" t="str">
            <v>Volvo</v>
          </cell>
          <cell r="F2024" t="str">
            <v>B8R</v>
          </cell>
          <cell r="G2024" t="str">
            <v>MARCOPOLO</v>
          </cell>
          <cell r="H2024" t="str">
            <v>TORINO</v>
          </cell>
          <cell r="I2024">
            <v>2019</v>
          </cell>
          <cell r="J2024" t="str">
            <v>B2PAL</v>
          </cell>
          <cell r="K2024" t="str">
            <v>LOS LIBERTADORES</v>
          </cell>
          <cell r="L2024" t="str">
            <v>Los Liberadores 6450, Lote 4A</v>
          </cell>
          <cell r="M2024" t="str">
            <v>Huechuraba</v>
          </cell>
          <cell r="N2024" t="str">
            <v>B</v>
          </cell>
        </row>
        <row r="2025">
          <cell r="B2025" t="str">
            <v>GCBB78</v>
          </cell>
          <cell r="C2025" t="str">
            <v>D8482397K2PL</v>
          </cell>
          <cell r="D2025" t="str">
            <v>YV3T7U524KA195321</v>
          </cell>
          <cell r="E2025" t="str">
            <v>Volvo</v>
          </cell>
          <cell r="F2025" t="str">
            <v>B8R</v>
          </cell>
          <cell r="G2025" t="str">
            <v>MARCOPOLO</v>
          </cell>
          <cell r="H2025" t="str">
            <v>TORINO</v>
          </cell>
          <cell r="I2025">
            <v>2019</v>
          </cell>
          <cell r="J2025" t="str">
            <v>B2PAL</v>
          </cell>
          <cell r="K2025" t="str">
            <v>LOS LIBERTADORES</v>
          </cell>
          <cell r="L2025" t="str">
            <v>Los Liberadores 6450, Lote 4A</v>
          </cell>
          <cell r="M2025" t="str">
            <v>Huechuraba</v>
          </cell>
          <cell r="N2025" t="str">
            <v>B</v>
          </cell>
        </row>
        <row r="2026">
          <cell r="B2026" t="str">
            <v>GCBB79</v>
          </cell>
          <cell r="C2026" t="str">
            <v>D8482405K2PL</v>
          </cell>
          <cell r="D2026" t="str">
            <v>YV3T7U526KA195322</v>
          </cell>
          <cell r="E2026" t="str">
            <v>Volvo</v>
          </cell>
          <cell r="F2026" t="str">
            <v>B8R</v>
          </cell>
          <cell r="G2026" t="str">
            <v>MARCOPOLO</v>
          </cell>
          <cell r="H2026" t="str">
            <v>TORINO</v>
          </cell>
          <cell r="I2026">
            <v>2019</v>
          </cell>
          <cell r="J2026" t="str">
            <v>B2PAL</v>
          </cell>
          <cell r="K2026" t="str">
            <v>SAN JOSE</v>
          </cell>
          <cell r="L2026" t="str">
            <v>San José 030 (José Besa 669)</v>
          </cell>
          <cell r="M2026" t="str">
            <v>San Bernardo</v>
          </cell>
          <cell r="N2026" t="str">
            <v>B</v>
          </cell>
        </row>
        <row r="2027">
          <cell r="B2027" t="str">
            <v>GCBB80</v>
          </cell>
          <cell r="C2027" t="str">
            <v>D8482402K2PL</v>
          </cell>
          <cell r="D2027" t="str">
            <v>YV3T7U528KA195323</v>
          </cell>
          <cell r="E2027" t="str">
            <v>Volvo</v>
          </cell>
          <cell r="F2027" t="str">
            <v>B8R</v>
          </cell>
          <cell r="G2027" t="str">
            <v>MARCOPOLO</v>
          </cell>
          <cell r="H2027" t="str">
            <v>TORINO</v>
          </cell>
          <cell r="I2027">
            <v>2019</v>
          </cell>
          <cell r="J2027" t="str">
            <v>B2PAL</v>
          </cell>
          <cell r="K2027" t="str">
            <v>SAN JOSE</v>
          </cell>
          <cell r="L2027" t="str">
            <v>San José 030 (José Besa 669)</v>
          </cell>
          <cell r="M2027" t="str">
            <v>San Bernardo</v>
          </cell>
          <cell r="N2027" t="str">
            <v>B</v>
          </cell>
        </row>
        <row r="2028">
          <cell r="B2028" t="str">
            <v>GCBB81</v>
          </cell>
          <cell r="C2028" t="str">
            <v>D8482422K2PL</v>
          </cell>
          <cell r="D2028" t="str">
            <v>YV3T7U521KA195325</v>
          </cell>
          <cell r="E2028" t="str">
            <v>Volvo</v>
          </cell>
          <cell r="F2028" t="str">
            <v>B8R</v>
          </cell>
          <cell r="G2028" t="str">
            <v>MARCOPOLO</v>
          </cell>
          <cell r="H2028" t="str">
            <v>TORINO</v>
          </cell>
          <cell r="I2028">
            <v>2019</v>
          </cell>
          <cell r="J2028" t="str">
            <v>B2PAL</v>
          </cell>
          <cell r="K2028" t="str">
            <v>SAN JOSE</v>
          </cell>
          <cell r="L2028" t="str">
            <v>San José 030 (José Besa 669)</v>
          </cell>
          <cell r="M2028" t="str">
            <v>San Bernardo</v>
          </cell>
          <cell r="N2028" t="str">
            <v>B</v>
          </cell>
        </row>
        <row r="2029">
          <cell r="B2029" t="str">
            <v>GCBB82</v>
          </cell>
          <cell r="C2029" t="str">
            <v>D8482534K2PL</v>
          </cell>
          <cell r="D2029" t="str">
            <v>YV3T7U527KA195359</v>
          </cell>
          <cell r="E2029" t="str">
            <v>Volvo</v>
          </cell>
          <cell r="F2029" t="str">
            <v>B8R</v>
          </cell>
          <cell r="G2029" t="str">
            <v>MARCOPOLO</v>
          </cell>
          <cell r="H2029" t="str">
            <v>TORINO</v>
          </cell>
          <cell r="I2029">
            <v>2019</v>
          </cell>
          <cell r="J2029" t="str">
            <v>B2PAL</v>
          </cell>
          <cell r="K2029" t="str">
            <v>SAN JOSE</v>
          </cell>
          <cell r="L2029" t="str">
            <v>San José 030 (José Besa 669)</v>
          </cell>
          <cell r="M2029" t="str">
            <v>San Bernardo</v>
          </cell>
          <cell r="N2029" t="str">
            <v>B</v>
          </cell>
        </row>
        <row r="2030">
          <cell r="B2030" t="str">
            <v>GCBB83</v>
          </cell>
          <cell r="C2030" t="str">
            <v>D8482872K2PL</v>
          </cell>
          <cell r="D2030" t="str">
            <v>YV3T7U52XKA195405</v>
          </cell>
          <cell r="E2030" t="str">
            <v>Volvo</v>
          </cell>
          <cell r="F2030" t="str">
            <v>B8R</v>
          </cell>
          <cell r="G2030" t="str">
            <v>MARCOPOLO</v>
          </cell>
          <cell r="H2030" t="str">
            <v>TORINO</v>
          </cell>
          <cell r="I2030">
            <v>2019</v>
          </cell>
          <cell r="J2030" t="str">
            <v>B2PAL</v>
          </cell>
          <cell r="K2030" t="str">
            <v>LOS LIBERTADORES</v>
          </cell>
          <cell r="L2030" t="str">
            <v>Los Liberadores 6450, Lote 4A</v>
          </cell>
          <cell r="M2030" t="str">
            <v>Huechuraba</v>
          </cell>
          <cell r="N2030" t="str">
            <v>B</v>
          </cell>
        </row>
        <row r="2031">
          <cell r="B2031" t="str">
            <v>GCBB84</v>
          </cell>
          <cell r="C2031" t="str">
            <v>D8482892K2PL</v>
          </cell>
          <cell r="D2031" t="str">
            <v>YV3T7U521KA195406</v>
          </cell>
          <cell r="E2031" t="str">
            <v>Volvo</v>
          </cell>
          <cell r="F2031" t="str">
            <v>B8R</v>
          </cell>
          <cell r="G2031" t="str">
            <v>MARCOPOLO</v>
          </cell>
          <cell r="H2031" t="str">
            <v>TORINO</v>
          </cell>
          <cell r="I2031">
            <v>2019</v>
          </cell>
          <cell r="J2031" t="str">
            <v>B2PAL</v>
          </cell>
          <cell r="K2031" t="str">
            <v>SAN JOSE</v>
          </cell>
          <cell r="L2031" t="str">
            <v>San José 030 (José Besa 669)</v>
          </cell>
          <cell r="M2031" t="str">
            <v>San Bernardo</v>
          </cell>
          <cell r="N2031" t="str">
            <v>B</v>
          </cell>
        </row>
        <row r="2032">
          <cell r="B2032" t="str">
            <v>GCBB12</v>
          </cell>
          <cell r="C2032" t="str">
            <v>D8481676K2PL</v>
          </cell>
          <cell r="D2032" t="str">
            <v>YV3T7U520KA195199</v>
          </cell>
          <cell r="E2032" t="str">
            <v>Volvo</v>
          </cell>
          <cell r="F2032" t="str">
            <v>B8R</v>
          </cell>
          <cell r="G2032" t="str">
            <v>MARCOPOLO</v>
          </cell>
          <cell r="H2032" t="str">
            <v>TORINO</v>
          </cell>
          <cell r="I2032">
            <v>2019</v>
          </cell>
          <cell r="J2032" t="str">
            <v>B2PAL</v>
          </cell>
          <cell r="K2032" t="str">
            <v>LOS LIBERTADORES</v>
          </cell>
          <cell r="L2032" t="str">
            <v>Los Liberadores 6450, Lote 4A</v>
          </cell>
          <cell r="M2032" t="str">
            <v>Huechuraba</v>
          </cell>
          <cell r="N2032" t="str">
            <v>B</v>
          </cell>
        </row>
        <row r="2033">
          <cell r="B2033" t="str">
            <v>GCBB85</v>
          </cell>
          <cell r="C2033" t="str">
            <v>D8481773K2PL</v>
          </cell>
          <cell r="D2033" t="str">
            <v>YV3T7U522KA195429</v>
          </cell>
          <cell r="E2033" t="str">
            <v>Volvo</v>
          </cell>
          <cell r="F2033" t="str">
            <v>B8R</v>
          </cell>
          <cell r="G2033" t="str">
            <v>MARCOPOLO</v>
          </cell>
          <cell r="H2033" t="str">
            <v>TORINO</v>
          </cell>
          <cell r="I2033">
            <v>2019</v>
          </cell>
          <cell r="J2033" t="str">
            <v>B2PAL</v>
          </cell>
          <cell r="K2033" t="str">
            <v>LOS LIBERTADORES</v>
          </cell>
          <cell r="L2033" t="str">
            <v>Los Liberadores 6450, Lote 4A</v>
          </cell>
          <cell r="M2033" t="str">
            <v>Huechuraba</v>
          </cell>
          <cell r="N2033" t="str">
            <v>B</v>
          </cell>
        </row>
        <row r="2034">
          <cell r="B2034" t="str">
            <v>GCBB86</v>
          </cell>
          <cell r="C2034" t="str">
            <v>D8483496K2PL</v>
          </cell>
          <cell r="D2034" t="str">
            <v>YV3T7U52XKA195551</v>
          </cell>
          <cell r="E2034" t="str">
            <v>Volvo</v>
          </cell>
          <cell r="F2034" t="str">
            <v>B8R</v>
          </cell>
          <cell r="G2034" t="str">
            <v>MARCOPOLO</v>
          </cell>
          <cell r="H2034" t="str">
            <v>TORINO</v>
          </cell>
          <cell r="I2034">
            <v>2019</v>
          </cell>
          <cell r="J2034" t="str">
            <v>B2PAL</v>
          </cell>
          <cell r="K2034" t="str">
            <v>SAN JOSE</v>
          </cell>
          <cell r="L2034" t="str">
            <v>San José 030 (José Besa 669)</v>
          </cell>
          <cell r="M2034" t="str">
            <v>San Bernardo</v>
          </cell>
          <cell r="N2034" t="str">
            <v>B</v>
          </cell>
        </row>
        <row r="2035">
          <cell r="B2035" t="str">
            <v>GCBB87</v>
          </cell>
          <cell r="C2035" t="str">
            <v>D8483527K2PL</v>
          </cell>
          <cell r="D2035" t="str">
            <v>YV3T7U521KA195552</v>
          </cell>
          <cell r="E2035" t="str">
            <v>Volvo</v>
          </cell>
          <cell r="F2035" t="str">
            <v>B8R</v>
          </cell>
          <cell r="G2035" t="str">
            <v>MARCOPOLO</v>
          </cell>
          <cell r="H2035" t="str">
            <v>TORINO</v>
          </cell>
          <cell r="I2035">
            <v>2019</v>
          </cell>
          <cell r="J2035" t="str">
            <v>B2PAL</v>
          </cell>
          <cell r="K2035" t="str">
            <v>SAN JOSE</v>
          </cell>
          <cell r="L2035" t="str">
            <v>San José 030 (José Besa 669)</v>
          </cell>
          <cell r="M2035" t="str">
            <v>San Bernardo</v>
          </cell>
          <cell r="N2035" t="str">
            <v>B</v>
          </cell>
        </row>
        <row r="2036">
          <cell r="B2036" t="str">
            <v>GCBB88</v>
          </cell>
          <cell r="C2036" t="str">
            <v>D8483438K2PL</v>
          </cell>
          <cell r="D2036" t="str">
            <v>YV3T7U525KA195554</v>
          </cell>
          <cell r="E2036" t="str">
            <v>Volvo</v>
          </cell>
          <cell r="F2036" t="str">
            <v>B8R</v>
          </cell>
          <cell r="G2036" t="str">
            <v>MARCOPOLO</v>
          </cell>
          <cell r="H2036" t="str">
            <v>TORINO</v>
          </cell>
          <cell r="I2036">
            <v>2019</v>
          </cell>
          <cell r="J2036" t="str">
            <v>B2PAL</v>
          </cell>
          <cell r="K2036" t="str">
            <v>SAN JOSE</v>
          </cell>
          <cell r="L2036" t="str">
            <v>San José 030 (José Besa 669)</v>
          </cell>
          <cell r="M2036" t="str">
            <v>San Bernardo</v>
          </cell>
          <cell r="N2036" t="str">
            <v>B</v>
          </cell>
        </row>
        <row r="2037">
          <cell r="B2037" t="str">
            <v>GCBB89</v>
          </cell>
          <cell r="C2037" t="str">
            <v>D8484688K2PL</v>
          </cell>
          <cell r="D2037" t="str">
            <v>YV3T7U521KA195714</v>
          </cell>
          <cell r="E2037" t="str">
            <v>Volvo</v>
          </cell>
          <cell r="F2037" t="str">
            <v>B8R</v>
          </cell>
          <cell r="G2037" t="str">
            <v>MARCOPOLO</v>
          </cell>
          <cell r="H2037" t="str">
            <v>TORINO</v>
          </cell>
          <cell r="I2037">
            <v>2019</v>
          </cell>
          <cell r="J2037" t="str">
            <v>B2PAL</v>
          </cell>
          <cell r="K2037" t="str">
            <v>SAN JOSE</v>
          </cell>
          <cell r="L2037" t="str">
            <v>San José 030 (José Besa 669)</v>
          </cell>
          <cell r="M2037" t="str">
            <v>San Bernardo</v>
          </cell>
          <cell r="N2037" t="str">
            <v>B</v>
          </cell>
        </row>
        <row r="2038">
          <cell r="B2038" t="str">
            <v>GCBB91</v>
          </cell>
          <cell r="C2038" t="str">
            <v>D8482515K2PL</v>
          </cell>
          <cell r="D2038" t="str">
            <v>YV3T7U524KA195349</v>
          </cell>
          <cell r="E2038" t="str">
            <v>Volvo</v>
          </cell>
          <cell r="F2038" t="str">
            <v>B8R</v>
          </cell>
          <cell r="G2038" t="str">
            <v>MARCOPOLO</v>
          </cell>
          <cell r="H2038" t="str">
            <v>TORINO</v>
          </cell>
          <cell r="I2038">
            <v>2019</v>
          </cell>
          <cell r="J2038" t="str">
            <v>B2PAL</v>
          </cell>
          <cell r="K2038" t="str">
            <v>LOS LIBERTADORES</v>
          </cell>
          <cell r="L2038" t="str">
            <v>Los Liberadores 6450, Lote 4A</v>
          </cell>
          <cell r="M2038" t="str">
            <v>Huechuraba</v>
          </cell>
          <cell r="N2038" t="str">
            <v>B</v>
          </cell>
        </row>
        <row r="2039">
          <cell r="B2039" t="str">
            <v>GCBB92</v>
          </cell>
          <cell r="C2039" t="str">
            <v>D8482526K2PL</v>
          </cell>
          <cell r="D2039" t="str">
            <v>YV3T7U526KA195353</v>
          </cell>
          <cell r="E2039" t="str">
            <v>Volvo</v>
          </cell>
          <cell r="F2039" t="str">
            <v>B8R</v>
          </cell>
          <cell r="G2039" t="str">
            <v>MARCOPOLO</v>
          </cell>
          <cell r="H2039" t="str">
            <v>TORINO</v>
          </cell>
          <cell r="I2039">
            <v>2019</v>
          </cell>
          <cell r="J2039" t="str">
            <v>B2PAL</v>
          </cell>
          <cell r="K2039" t="str">
            <v>SAN JOSE</v>
          </cell>
          <cell r="L2039" t="str">
            <v>San José 030 (José Besa 669)</v>
          </cell>
          <cell r="M2039" t="str">
            <v>San Bernardo</v>
          </cell>
          <cell r="N2039" t="str">
            <v>B</v>
          </cell>
        </row>
        <row r="2040">
          <cell r="B2040" t="str">
            <v>GCBB93</v>
          </cell>
          <cell r="C2040" t="str">
            <v>D8482598K2PL</v>
          </cell>
          <cell r="D2040" t="str">
            <v>YV3T7U52XKA195355</v>
          </cell>
          <cell r="E2040" t="str">
            <v>Volvo</v>
          </cell>
          <cell r="F2040" t="str">
            <v>B8R</v>
          </cell>
          <cell r="G2040" t="str">
            <v>MARCOPOLO</v>
          </cell>
          <cell r="H2040" t="str">
            <v>TORINO</v>
          </cell>
          <cell r="I2040">
            <v>2019</v>
          </cell>
          <cell r="J2040" t="str">
            <v>B2PAL</v>
          </cell>
          <cell r="K2040" t="str">
            <v>SAN JOSE</v>
          </cell>
          <cell r="L2040" t="str">
            <v>San José 030 (José Besa 669)</v>
          </cell>
          <cell r="M2040" t="str">
            <v>San Bernardo</v>
          </cell>
          <cell r="N2040" t="str">
            <v>B</v>
          </cell>
        </row>
        <row r="2041">
          <cell r="B2041" t="str">
            <v>GCBB94</v>
          </cell>
          <cell r="C2041" t="str">
            <v>D8483001K2PL</v>
          </cell>
          <cell r="D2041" t="str">
            <v>YV3T7U526KA195403</v>
          </cell>
          <cell r="E2041" t="str">
            <v>Volvo</v>
          </cell>
          <cell r="F2041" t="str">
            <v>B8R</v>
          </cell>
          <cell r="G2041" t="str">
            <v>MARCOPOLO</v>
          </cell>
          <cell r="H2041" t="str">
            <v>TORINO</v>
          </cell>
          <cell r="I2041">
            <v>2019</v>
          </cell>
          <cell r="J2041" t="str">
            <v>B2PAL</v>
          </cell>
          <cell r="K2041" t="str">
            <v>LOS LIBERTADORES</v>
          </cell>
          <cell r="L2041" t="str">
            <v>Los Liberadores 6450, Lote 4A</v>
          </cell>
          <cell r="M2041" t="str">
            <v>Huechuraba</v>
          </cell>
          <cell r="N2041" t="str">
            <v>B</v>
          </cell>
        </row>
        <row r="2042">
          <cell r="B2042" t="str">
            <v>GCBB95</v>
          </cell>
          <cell r="C2042" t="str">
            <v>D8483444K2PL</v>
          </cell>
          <cell r="D2042" t="str">
            <v>YV3T7U528KA195404</v>
          </cell>
          <cell r="E2042" t="str">
            <v>Volvo</v>
          </cell>
          <cell r="F2042" t="str">
            <v>B8R</v>
          </cell>
          <cell r="G2042" t="str">
            <v>MARCOPOLO</v>
          </cell>
          <cell r="H2042" t="str">
            <v>TORINO</v>
          </cell>
          <cell r="I2042">
            <v>2019</v>
          </cell>
          <cell r="J2042" t="str">
            <v>B2PAL</v>
          </cell>
          <cell r="K2042" t="str">
            <v>SAN JOSE</v>
          </cell>
          <cell r="L2042" t="str">
            <v>San José 030 (José Besa 669)</v>
          </cell>
          <cell r="M2042" t="str">
            <v>San Bernardo</v>
          </cell>
          <cell r="N2042" t="str">
            <v>B</v>
          </cell>
        </row>
        <row r="2043">
          <cell r="B2043" t="str">
            <v>GCBB13</v>
          </cell>
          <cell r="C2043" t="str">
            <v>D8481462K2PL</v>
          </cell>
          <cell r="D2043" t="str">
            <v>YV3T7U523KA195200</v>
          </cell>
          <cell r="E2043" t="str">
            <v>Volvo</v>
          </cell>
          <cell r="F2043" t="str">
            <v>B8R</v>
          </cell>
          <cell r="G2043" t="str">
            <v>MARCOPOLO</v>
          </cell>
          <cell r="H2043" t="str">
            <v>TORINO</v>
          </cell>
          <cell r="I2043">
            <v>2019</v>
          </cell>
          <cell r="J2043" t="str">
            <v>B2PAL</v>
          </cell>
          <cell r="K2043" t="str">
            <v>LOS LIBERTADORES</v>
          </cell>
          <cell r="L2043" t="str">
            <v>Los Liberadores 6450, Lote 4A</v>
          </cell>
          <cell r="M2043" t="str">
            <v>Huechuraba</v>
          </cell>
          <cell r="N2043" t="str">
            <v>B</v>
          </cell>
        </row>
        <row r="2044">
          <cell r="B2044" t="str">
            <v>GCBB96</v>
          </cell>
          <cell r="C2044" t="str">
            <v>D8481807K2PL</v>
          </cell>
          <cell r="D2044" t="str">
            <v>YV3T7U520KA195428</v>
          </cell>
          <cell r="E2044" t="str">
            <v>Volvo</v>
          </cell>
          <cell r="F2044" t="str">
            <v>B8R</v>
          </cell>
          <cell r="G2044" t="str">
            <v>MARCOPOLO</v>
          </cell>
          <cell r="H2044" t="str">
            <v>TORINO</v>
          </cell>
          <cell r="I2044">
            <v>2019</v>
          </cell>
          <cell r="J2044" t="str">
            <v>B2PAL</v>
          </cell>
          <cell r="K2044" t="str">
            <v>SAN JOSE</v>
          </cell>
          <cell r="L2044" t="str">
            <v>San José 030 (José Besa 669)</v>
          </cell>
          <cell r="M2044" t="str">
            <v>San Bernardo</v>
          </cell>
          <cell r="N2044" t="str">
            <v>B</v>
          </cell>
        </row>
        <row r="2045">
          <cell r="B2045" t="str">
            <v>GCBB97</v>
          </cell>
          <cell r="C2045" t="str">
            <v>D8481802K2PL</v>
          </cell>
          <cell r="D2045" t="str">
            <v>YV3T7U529KA195430</v>
          </cell>
          <cell r="E2045" t="str">
            <v>Volvo</v>
          </cell>
          <cell r="F2045" t="str">
            <v>B8R</v>
          </cell>
          <cell r="G2045" t="str">
            <v>MARCOPOLO</v>
          </cell>
          <cell r="H2045" t="str">
            <v>TORINO</v>
          </cell>
          <cell r="I2045">
            <v>2019</v>
          </cell>
          <cell r="J2045" t="str">
            <v>B2PAL</v>
          </cell>
          <cell r="K2045" t="str">
            <v>SAN JOSE</v>
          </cell>
          <cell r="L2045" t="str">
            <v>San José 030 (José Besa 669)</v>
          </cell>
          <cell r="M2045" t="str">
            <v>San Bernardo</v>
          </cell>
          <cell r="N2045" t="str">
            <v>B</v>
          </cell>
        </row>
        <row r="2046">
          <cell r="B2046" t="str">
            <v>GCBB98</v>
          </cell>
          <cell r="C2046" t="str">
            <v>D8481788K2PL</v>
          </cell>
          <cell r="D2046" t="str">
            <v>YV3T7U520KA195431</v>
          </cell>
          <cell r="E2046" t="str">
            <v>Volvo</v>
          </cell>
          <cell r="F2046" t="str">
            <v>B8R</v>
          </cell>
          <cell r="G2046" t="str">
            <v>MARCOPOLO</v>
          </cell>
          <cell r="H2046" t="str">
            <v>TORINO</v>
          </cell>
          <cell r="I2046">
            <v>2019</v>
          </cell>
          <cell r="J2046" t="str">
            <v>B2PAL</v>
          </cell>
          <cell r="K2046" t="str">
            <v>SAN JOSE</v>
          </cell>
          <cell r="L2046" t="str">
            <v>San José 030 (José Besa 669)</v>
          </cell>
          <cell r="M2046" t="str">
            <v>San Bernardo</v>
          </cell>
          <cell r="N2046" t="str">
            <v>B</v>
          </cell>
        </row>
        <row r="2047">
          <cell r="B2047" t="str">
            <v>GCBB33</v>
          </cell>
          <cell r="C2047" t="str">
            <v>D8483123K2PL</v>
          </cell>
          <cell r="D2047" t="str">
            <v>YV3T7U525KA195487</v>
          </cell>
          <cell r="E2047" t="str">
            <v>Volvo</v>
          </cell>
          <cell r="F2047" t="str">
            <v>B8R</v>
          </cell>
          <cell r="G2047" t="str">
            <v>MARCOPOLO</v>
          </cell>
          <cell r="H2047" t="str">
            <v>TORINO</v>
          </cell>
          <cell r="I2047">
            <v>2019</v>
          </cell>
          <cell r="J2047" t="str">
            <v>B2PAL</v>
          </cell>
          <cell r="K2047" t="str">
            <v>SAN JOSE</v>
          </cell>
          <cell r="L2047" t="str">
            <v>San José 030 (José Besa 669)</v>
          </cell>
          <cell r="M2047" t="str">
            <v>San Bernardo</v>
          </cell>
          <cell r="N2047" t="str">
            <v>B</v>
          </cell>
        </row>
        <row r="2048">
          <cell r="B2048" t="str">
            <v>GCBC10</v>
          </cell>
          <cell r="C2048" t="str">
            <v>D8483090K2PL</v>
          </cell>
          <cell r="D2048" t="str">
            <v>YV3T7U527KA195488</v>
          </cell>
          <cell r="E2048" t="str">
            <v>Volvo</v>
          </cell>
          <cell r="F2048" t="str">
            <v>B8R</v>
          </cell>
          <cell r="G2048" t="str">
            <v>MARCOPOLO</v>
          </cell>
          <cell r="H2048" t="str">
            <v>TORINO</v>
          </cell>
          <cell r="I2048">
            <v>2019</v>
          </cell>
          <cell r="J2048" t="str">
            <v>B2PAL</v>
          </cell>
          <cell r="K2048" t="str">
            <v>SAN JOSE</v>
          </cell>
          <cell r="L2048" t="str">
            <v>San José 030 (José Besa 669)</v>
          </cell>
          <cell r="M2048" t="str">
            <v>San Bernardo</v>
          </cell>
          <cell r="N2048" t="str">
            <v>B</v>
          </cell>
        </row>
        <row r="2049">
          <cell r="B2049" t="str">
            <v>GCBC11</v>
          </cell>
          <cell r="C2049" t="str">
            <v>D8483468K2PL</v>
          </cell>
          <cell r="D2049" t="str">
            <v>YV3T7U525KA195571</v>
          </cell>
          <cell r="E2049" t="str">
            <v>Volvo</v>
          </cell>
          <cell r="F2049" t="str">
            <v>B8R</v>
          </cell>
          <cell r="G2049" t="str">
            <v>MARCOPOLO</v>
          </cell>
          <cell r="H2049" t="str">
            <v>TORINO</v>
          </cell>
          <cell r="I2049">
            <v>2019</v>
          </cell>
          <cell r="J2049" t="str">
            <v>B2PAL</v>
          </cell>
          <cell r="K2049" t="str">
            <v>SAN JOSE</v>
          </cell>
          <cell r="L2049" t="str">
            <v>San José 030 (José Besa 669)</v>
          </cell>
          <cell r="M2049" t="str">
            <v>San Bernardo</v>
          </cell>
          <cell r="N2049" t="str">
            <v>B</v>
          </cell>
        </row>
        <row r="2050">
          <cell r="B2050" t="str">
            <v>GCBC12</v>
          </cell>
          <cell r="C2050" t="str">
            <v>D8483819K2PL</v>
          </cell>
          <cell r="D2050" t="str">
            <v>YV3T7U520KA195686</v>
          </cell>
          <cell r="E2050" t="str">
            <v>Volvo</v>
          </cell>
          <cell r="F2050" t="str">
            <v>B8R</v>
          </cell>
          <cell r="G2050" t="str">
            <v>MARCOPOLO</v>
          </cell>
          <cell r="H2050" t="str">
            <v>TORINO</v>
          </cell>
          <cell r="I2050">
            <v>2019</v>
          </cell>
          <cell r="J2050" t="str">
            <v>B2PAL</v>
          </cell>
          <cell r="K2050" t="str">
            <v>SAN JOSE</v>
          </cell>
          <cell r="L2050" t="str">
            <v>San José 030 (José Besa 669)</v>
          </cell>
          <cell r="M2050" t="str">
            <v>San Bernardo</v>
          </cell>
          <cell r="N2050" t="str">
            <v>B</v>
          </cell>
        </row>
        <row r="2051">
          <cell r="B2051" t="str">
            <v>GCBC13</v>
          </cell>
          <cell r="C2051" t="str">
            <v>D8481869K2PL</v>
          </cell>
          <cell r="D2051" t="str">
            <v>YV3T7U521KA195194</v>
          </cell>
          <cell r="E2051" t="str">
            <v>Volvo</v>
          </cell>
          <cell r="F2051" t="str">
            <v>B8R</v>
          </cell>
          <cell r="G2051" t="str">
            <v>MARCOPOLO</v>
          </cell>
          <cell r="H2051" t="str">
            <v>TORINO</v>
          </cell>
          <cell r="I2051">
            <v>2019</v>
          </cell>
          <cell r="J2051" t="str">
            <v>B2PAL</v>
          </cell>
          <cell r="K2051" t="str">
            <v>SAN JOSE</v>
          </cell>
          <cell r="L2051" t="str">
            <v>San José 030 (José Besa 669)</v>
          </cell>
          <cell r="M2051" t="str">
            <v>San Bernardo</v>
          </cell>
          <cell r="N2051" t="str">
            <v>B</v>
          </cell>
        </row>
        <row r="2052">
          <cell r="B2052" t="str">
            <v>GCBC14</v>
          </cell>
          <cell r="C2052" t="str">
            <v>D8483079K2PL</v>
          </cell>
          <cell r="D2052" t="str">
            <v>YV3T7U529KA195489</v>
          </cell>
          <cell r="E2052" t="str">
            <v>Volvo</v>
          </cell>
          <cell r="F2052" t="str">
            <v>B8R</v>
          </cell>
          <cell r="G2052" t="str">
            <v>MARCOPOLO</v>
          </cell>
          <cell r="H2052" t="str">
            <v>TORINO</v>
          </cell>
          <cell r="I2052">
            <v>2019</v>
          </cell>
          <cell r="J2052" t="str">
            <v>B2PAL</v>
          </cell>
          <cell r="K2052" t="str">
            <v>SAN JOSE</v>
          </cell>
          <cell r="L2052" t="str">
            <v>San José 030 (José Besa 669)</v>
          </cell>
          <cell r="M2052" t="str">
            <v>San Bernardo</v>
          </cell>
          <cell r="N2052" t="str">
            <v>B</v>
          </cell>
        </row>
        <row r="2053">
          <cell r="B2053" t="str">
            <v>GCBC15</v>
          </cell>
          <cell r="C2053" t="str">
            <v>D8483914K2PL</v>
          </cell>
          <cell r="D2053" t="str">
            <v>YV3T7U524KA195593</v>
          </cell>
          <cell r="E2053" t="str">
            <v>Volvo</v>
          </cell>
          <cell r="F2053" t="str">
            <v>B8R</v>
          </cell>
          <cell r="G2053" t="str">
            <v>MARCOPOLO</v>
          </cell>
          <cell r="H2053" t="str">
            <v>TORINO</v>
          </cell>
          <cell r="I2053">
            <v>2019</v>
          </cell>
          <cell r="J2053" t="str">
            <v>B2PAL</v>
          </cell>
          <cell r="K2053" t="str">
            <v>SAN JOSE</v>
          </cell>
          <cell r="L2053" t="str">
            <v>San José 030 (José Besa 669)</v>
          </cell>
          <cell r="M2053" t="str">
            <v>San Bernardo</v>
          </cell>
          <cell r="N2053" t="str">
            <v>B</v>
          </cell>
        </row>
        <row r="2054">
          <cell r="B2054" t="str">
            <v>VFHJ88</v>
          </cell>
          <cell r="C2054" t="str">
            <v>LDYECS31XS0043931</v>
          </cell>
          <cell r="D2054" t="str">
            <v>MDN35025010058</v>
          </cell>
          <cell r="E2054" t="str">
            <v>Zhong Tong</v>
          </cell>
          <cell r="F2054" t="str">
            <v>Lck6122evg</v>
          </cell>
          <cell r="G2054" t="str">
            <v>ZHONGTONG</v>
          </cell>
          <cell r="H2054" t="str">
            <v>LCK6122EVG</v>
          </cell>
          <cell r="I2054">
            <v>2025</v>
          </cell>
          <cell r="J2054" t="str">
            <v>B</v>
          </cell>
          <cell r="K2054" t="str">
            <v>SAN JOSE</v>
          </cell>
          <cell r="L2054" t="str">
            <v>San José 030 (José Besa 669)</v>
          </cell>
          <cell r="M2054" t="str">
            <v>San Bernardo</v>
          </cell>
          <cell r="N2054" t="str">
            <v>B</v>
          </cell>
        </row>
        <row r="2055">
          <cell r="B2055" t="str">
            <v>VFHL33</v>
          </cell>
          <cell r="C2055" t="str">
            <v>LDYECS315S0043917</v>
          </cell>
          <cell r="D2055" t="str">
            <v>MDN35025010105</v>
          </cell>
          <cell r="E2055" t="str">
            <v>Zhong Tong</v>
          </cell>
          <cell r="F2055" t="str">
            <v>Lck6122evg</v>
          </cell>
          <cell r="G2055" t="str">
            <v>ZHONGTONG</v>
          </cell>
          <cell r="H2055" t="str">
            <v>LCK6122EVG</v>
          </cell>
          <cell r="I2055">
            <v>2025</v>
          </cell>
          <cell r="J2055" t="str">
            <v>B</v>
          </cell>
          <cell r="K2055" t="str">
            <v>SAN JOSE</v>
          </cell>
          <cell r="L2055" t="str">
            <v>San José 030 (José Besa 669)</v>
          </cell>
          <cell r="M2055" t="str">
            <v>San Bernardo</v>
          </cell>
          <cell r="N2055" t="str">
            <v>B</v>
          </cell>
        </row>
        <row r="2056">
          <cell r="B2056" t="str">
            <v>VFHL39</v>
          </cell>
          <cell r="C2056" t="str">
            <v>LDYECS319S0043970</v>
          </cell>
          <cell r="D2056" t="str">
            <v>MDN35025010061</v>
          </cell>
          <cell r="E2056" t="str">
            <v>Zhong Tong</v>
          </cell>
          <cell r="F2056" t="str">
            <v>Lck6122evg</v>
          </cell>
          <cell r="G2056" t="str">
            <v>ZHONGTONG</v>
          </cell>
          <cell r="H2056" t="str">
            <v>LCK6122EVG</v>
          </cell>
          <cell r="I2056">
            <v>2025</v>
          </cell>
          <cell r="J2056" t="str">
            <v>B</v>
          </cell>
          <cell r="K2056" t="str">
            <v>SAN JOSE</v>
          </cell>
          <cell r="L2056" t="str">
            <v>San José 030 (José Besa 669)</v>
          </cell>
          <cell r="M2056" t="str">
            <v>San Bernardo</v>
          </cell>
          <cell r="N2056" t="str">
            <v>B</v>
          </cell>
        </row>
        <row r="2057">
          <cell r="B2057" t="str">
            <v>VFHL46</v>
          </cell>
          <cell r="C2057" t="str">
            <v>LDYECS318S0043930</v>
          </cell>
          <cell r="D2057" t="str">
            <v>MDN35025010059</v>
          </cell>
          <cell r="E2057" t="str">
            <v>Zhong Tong</v>
          </cell>
          <cell r="F2057" t="str">
            <v>Lck6122evg</v>
          </cell>
          <cell r="G2057" t="str">
            <v>ZHONGTONG</v>
          </cell>
          <cell r="H2057" t="str">
            <v>LCK6122EVG</v>
          </cell>
          <cell r="I2057">
            <v>2025</v>
          </cell>
          <cell r="J2057" t="str">
            <v>B</v>
          </cell>
          <cell r="K2057" t="str">
            <v>SAN JOSE</v>
          </cell>
          <cell r="L2057" t="str">
            <v>San José 030 (José Besa 669)</v>
          </cell>
          <cell r="M2057" t="str">
            <v>San Bernardo</v>
          </cell>
          <cell r="N2057" t="str">
            <v>B</v>
          </cell>
        </row>
        <row r="2058">
          <cell r="B2058" t="str">
            <v>VFHL56</v>
          </cell>
          <cell r="C2058" t="str">
            <v>LDYECS319S0043919</v>
          </cell>
          <cell r="D2058" t="str">
            <v>MDN35025010112</v>
          </cell>
          <cell r="E2058" t="str">
            <v>Zhong Tong</v>
          </cell>
          <cell r="F2058" t="str">
            <v>Lck6122evg</v>
          </cell>
          <cell r="G2058" t="str">
            <v>ZHONGTONG</v>
          </cell>
          <cell r="H2058" t="str">
            <v>LCK6122EVG</v>
          </cell>
          <cell r="I2058">
            <v>2025</v>
          </cell>
          <cell r="J2058" t="str">
            <v>B</v>
          </cell>
          <cell r="K2058" t="str">
            <v>SAN JOSE</v>
          </cell>
          <cell r="L2058" t="str">
            <v>San José 030 (José Besa 669)</v>
          </cell>
          <cell r="M2058" t="str">
            <v>San Bernardo</v>
          </cell>
          <cell r="N2058" t="str">
            <v>B</v>
          </cell>
        </row>
        <row r="2059">
          <cell r="B2059" t="str">
            <v>VFHG99</v>
          </cell>
          <cell r="C2059" t="str">
            <v>LDYECS314S0043908</v>
          </cell>
          <cell r="D2059" t="str">
            <v>MDN35025010130</v>
          </cell>
          <cell r="E2059" t="str">
            <v>Zhong Tong</v>
          </cell>
          <cell r="F2059" t="str">
            <v>Lck6122evg</v>
          </cell>
          <cell r="G2059" t="str">
            <v>ZHONGTONG</v>
          </cell>
          <cell r="H2059" t="str">
            <v>LCK6122EVG</v>
          </cell>
          <cell r="I2059">
            <v>2025</v>
          </cell>
          <cell r="J2059" t="str">
            <v>B</v>
          </cell>
          <cell r="K2059" t="str">
            <v>SAN JOSE</v>
          </cell>
          <cell r="L2059" t="str">
            <v>San José 030 (José Besa 669)</v>
          </cell>
          <cell r="M2059" t="str">
            <v>San Bernardo</v>
          </cell>
          <cell r="N2059" t="str">
            <v>B</v>
          </cell>
        </row>
        <row r="2060">
          <cell r="B2060" t="str">
            <v>VFHH49</v>
          </cell>
          <cell r="C2060" t="str">
            <v>LDYECS312S0043924</v>
          </cell>
          <cell r="D2060" t="str">
            <v>MDN35025010050</v>
          </cell>
          <cell r="E2060" t="str">
            <v>Zhong Tong</v>
          </cell>
          <cell r="F2060" t="str">
            <v>Lck6122evg</v>
          </cell>
          <cell r="G2060" t="str">
            <v>ZHONGTONG</v>
          </cell>
          <cell r="H2060" t="str">
            <v>LCK6122EVG</v>
          </cell>
          <cell r="I2060">
            <v>2025</v>
          </cell>
          <cell r="J2060" t="str">
            <v>B</v>
          </cell>
          <cell r="K2060" t="str">
            <v>SAN JOSE</v>
          </cell>
          <cell r="L2060" t="str">
            <v>San José 030 (José Besa 669)</v>
          </cell>
          <cell r="M2060" t="str">
            <v>San Bernardo</v>
          </cell>
          <cell r="N2060" t="str">
            <v>B</v>
          </cell>
        </row>
        <row r="2061">
          <cell r="B2061" t="str">
            <v>VFHH65</v>
          </cell>
          <cell r="C2061" t="str">
            <v>LDYECS311S0043946</v>
          </cell>
          <cell r="D2061" t="str">
            <v>MDN35025010056</v>
          </cell>
          <cell r="E2061" t="str">
            <v>Zhong Tong</v>
          </cell>
          <cell r="F2061" t="str">
            <v>Lck6122evg</v>
          </cell>
          <cell r="G2061" t="str">
            <v>ZHONGTONG</v>
          </cell>
          <cell r="H2061" t="str">
            <v>LCK6122EVG</v>
          </cell>
          <cell r="I2061">
            <v>2025</v>
          </cell>
          <cell r="J2061" t="str">
            <v>B</v>
          </cell>
          <cell r="K2061" t="str">
            <v>SAN JOSE</v>
          </cell>
          <cell r="L2061" t="str">
            <v>San José 030 (José Besa 669)</v>
          </cell>
          <cell r="M2061" t="str">
            <v>San Bernardo</v>
          </cell>
          <cell r="N2061" t="str">
            <v>B</v>
          </cell>
        </row>
        <row r="2062">
          <cell r="B2062" t="str">
            <v>VFHJ21</v>
          </cell>
          <cell r="C2062" t="str">
            <v>LDYECS318S0043913</v>
          </cell>
          <cell r="D2062" t="str">
            <v>MDN35025010045</v>
          </cell>
          <cell r="E2062" t="str">
            <v>Zhong Tong</v>
          </cell>
          <cell r="F2062" t="str">
            <v>Lck6122evg</v>
          </cell>
          <cell r="G2062" t="str">
            <v>ZHONGTONG</v>
          </cell>
          <cell r="H2062" t="str">
            <v>LCK6122EVG</v>
          </cell>
          <cell r="I2062">
            <v>2025</v>
          </cell>
          <cell r="J2062" t="str">
            <v>B</v>
          </cell>
          <cell r="K2062" t="str">
            <v>SAN JOSE</v>
          </cell>
          <cell r="L2062" t="str">
            <v>San José 030 (José Besa 669)</v>
          </cell>
          <cell r="M2062" t="str">
            <v>San Bernardo</v>
          </cell>
          <cell r="N2062" t="str">
            <v>B</v>
          </cell>
        </row>
        <row r="2063">
          <cell r="B2063" t="str">
            <v>VFHJ43</v>
          </cell>
          <cell r="C2063" t="str">
            <v>LDYECS31XS0043895</v>
          </cell>
          <cell r="D2063" t="str">
            <v>MDN35025010235</v>
          </cell>
          <cell r="E2063" t="str">
            <v>Zhong Tong</v>
          </cell>
          <cell r="F2063" t="str">
            <v>Lck6122evg</v>
          </cell>
          <cell r="G2063" t="str">
            <v>ZHONGTONG</v>
          </cell>
          <cell r="H2063" t="str">
            <v>LCK6122EVG</v>
          </cell>
          <cell r="I2063">
            <v>2025</v>
          </cell>
          <cell r="J2063" t="str">
            <v>B</v>
          </cell>
          <cell r="K2063" t="str">
            <v>SAN JOSE</v>
          </cell>
          <cell r="L2063" t="str">
            <v>San José 030 (José Besa 669)</v>
          </cell>
          <cell r="M2063" t="str">
            <v>San Bernardo</v>
          </cell>
          <cell r="N2063" t="str">
            <v>B</v>
          </cell>
        </row>
        <row r="2064">
          <cell r="B2064" t="str">
            <v>VFHJ59</v>
          </cell>
          <cell r="C2064" t="str">
            <v>LDYECS317S0043935</v>
          </cell>
          <cell r="D2064" t="str">
            <v>MDN35025010210</v>
          </cell>
          <cell r="E2064" t="str">
            <v>Zhong Tong</v>
          </cell>
          <cell r="F2064" t="str">
            <v>Lck6122evg</v>
          </cell>
          <cell r="G2064" t="str">
            <v>ZHONGTONG</v>
          </cell>
          <cell r="H2064" t="str">
            <v>LCK6122EVG</v>
          </cell>
          <cell r="I2064">
            <v>2025</v>
          </cell>
          <cell r="J2064" t="str">
            <v>B</v>
          </cell>
          <cell r="K2064" t="str">
            <v>SAN JOSE</v>
          </cell>
          <cell r="L2064" t="str">
            <v>San José 030 (José Besa 669)</v>
          </cell>
          <cell r="M2064" t="str">
            <v>San Bernardo</v>
          </cell>
          <cell r="N2064" t="str">
            <v>B</v>
          </cell>
        </row>
        <row r="2065">
          <cell r="B2065" t="str">
            <v>VFHJ92</v>
          </cell>
          <cell r="C2065" t="str">
            <v>LDYECS316S0043926</v>
          </cell>
          <cell r="D2065" t="str">
            <v>MDN35025010044</v>
          </cell>
          <cell r="E2065" t="str">
            <v>Zhong Tong</v>
          </cell>
          <cell r="F2065" t="str">
            <v>Lck6122evg</v>
          </cell>
          <cell r="G2065" t="str">
            <v>ZHONGTONG</v>
          </cell>
          <cell r="H2065" t="str">
            <v>LCK6122EVG</v>
          </cell>
          <cell r="I2065">
            <v>2025</v>
          </cell>
          <cell r="J2065" t="str">
            <v>B</v>
          </cell>
          <cell r="K2065" t="str">
            <v>SAN JOSE</v>
          </cell>
          <cell r="L2065" t="str">
            <v>San José 030 (José Besa 669)</v>
          </cell>
          <cell r="M2065" t="str">
            <v>San Bernardo</v>
          </cell>
          <cell r="N2065" t="str">
            <v>B</v>
          </cell>
        </row>
        <row r="2066">
          <cell r="B2066" t="str">
            <v>VFHJ69</v>
          </cell>
          <cell r="C2066" t="str">
            <v>LDYECS31XS0043914</v>
          </cell>
          <cell r="D2066" t="str">
            <v>MDN35025010074</v>
          </cell>
          <cell r="E2066" t="str">
            <v>Zhong Tong</v>
          </cell>
          <cell r="F2066" t="str">
            <v>Lck6122evg</v>
          </cell>
          <cell r="G2066" t="str">
            <v>ZHONGTONG</v>
          </cell>
          <cell r="H2066" t="str">
            <v>LCK6122EVG</v>
          </cell>
          <cell r="I2066">
            <v>2025</v>
          </cell>
          <cell r="J2066" t="str">
            <v>B</v>
          </cell>
          <cell r="K2066" t="str">
            <v>SAN JOSE</v>
          </cell>
          <cell r="L2066" t="str">
            <v>San José 030 (José Besa 669)</v>
          </cell>
          <cell r="M2066" t="str">
            <v>San Bernardo</v>
          </cell>
          <cell r="N2066" t="str">
            <v>B</v>
          </cell>
        </row>
        <row r="2067">
          <cell r="B2067" t="str">
            <v>VFHJ77</v>
          </cell>
          <cell r="C2067" t="str">
            <v>LDYECS310S0043906</v>
          </cell>
          <cell r="D2067" t="str">
            <v>MDN35025010080</v>
          </cell>
          <cell r="E2067" t="str">
            <v>Zhong Tong</v>
          </cell>
          <cell r="F2067" t="str">
            <v>Lck6122evg</v>
          </cell>
          <cell r="G2067" t="str">
            <v>ZHONGTONG</v>
          </cell>
          <cell r="H2067" t="str">
            <v>LCK6122EVG</v>
          </cell>
          <cell r="I2067">
            <v>2025</v>
          </cell>
          <cell r="J2067" t="str">
            <v>B</v>
          </cell>
          <cell r="K2067" t="str">
            <v>SAN JOSE</v>
          </cell>
          <cell r="L2067" t="str">
            <v>San José 030 (José Besa 669)</v>
          </cell>
          <cell r="M2067" t="str">
            <v>San Bernardo</v>
          </cell>
          <cell r="N2067" t="str">
            <v>B</v>
          </cell>
        </row>
        <row r="2068">
          <cell r="B2068" t="str">
            <v>VFHL62</v>
          </cell>
          <cell r="C2068" t="str">
            <v>LDYECS31XS0043928</v>
          </cell>
          <cell r="D2068" t="str">
            <v>MDN35025010051</v>
          </cell>
          <cell r="E2068" t="str">
            <v>Zhong Tong</v>
          </cell>
          <cell r="F2068" t="str">
            <v>Lck6122evg</v>
          </cell>
          <cell r="G2068" t="str">
            <v>ZHONGTONG</v>
          </cell>
          <cell r="H2068" t="str">
            <v>LCK6122EVG</v>
          </cell>
          <cell r="I2068">
            <v>2025</v>
          </cell>
          <cell r="J2068" t="str">
            <v>B</v>
          </cell>
          <cell r="K2068" t="str">
            <v>SAN JOSE</v>
          </cell>
          <cell r="L2068" t="str">
            <v>San José 030 (José Besa 669)</v>
          </cell>
          <cell r="M2068" t="str">
            <v>San Bernardo</v>
          </cell>
          <cell r="N2068" t="str">
            <v>B</v>
          </cell>
        </row>
        <row r="2069">
          <cell r="B2069" t="str">
            <v>VFHL66</v>
          </cell>
          <cell r="C2069" t="str">
            <v>LDYECS315S0043934</v>
          </cell>
          <cell r="D2069" t="str">
            <v>MDN35025010214</v>
          </cell>
          <cell r="E2069" t="str">
            <v>Zhong Tong</v>
          </cell>
          <cell r="F2069" t="str">
            <v>Lck6122evg</v>
          </cell>
          <cell r="G2069" t="str">
            <v>ZHONGTONG</v>
          </cell>
          <cell r="H2069" t="str">
            <v>LCK6122EVG</v>
          </cell>
          <cell r="I2069">
            <v>2025</v>
          </cell>
          <cell r="J2069" t="str">
            <v>B</v>
          </cell>
          <cell r="K2069" t="str">
            <v>CERRILLOS</v>
          </cell>
          <cell r="L2069" t="str">
            <v>Calle Uno 7371</v>
          </cell>
          <cell r="M2069" t="str">
            <v>Huechuraba</v>
          </cell>
          <cell r="N2069" t="str">
            <v>B</v>
          </cell>
        </row>
        <row r="2070">
          <cell r="B2070" t="str">
            <v>VFHL81</v>
          </cell>
          <cell r="C2070" t="str">
            <v>LDYECS317S0043983</v>
          </cell>
          <cell r="D2070" t="str">
            <v>MDN35025020100</v>
          </cell>
          <cell r="E2070" t="str">
            <v>Zhong Tong</v>
          </cell>
          <cell r="F2070" t="str">
            <v>Lck6122evg</v>
          </cell>
          <cell r="G2070" t="str">
            <v>ZHONGTONG</v>
          </cell>
          <cell r="H2070" t="str">
            <v>LCK6122EVG</v>
          </cell>
          <cell r="I2070">
            <v>2025</v>
          </cell>
          <cell r="J2070" t="str">
            <v>B</v>
          </cell>
          <cell r="K2070" t="str">
            <v>LOS LIBERTADORES</v>
          </cell>
          <cell r="L2070" t="str">
            <v>Los Liberadores 6450, Lote 4A</v>
          </cell>
          <cell r="M2070" t="str">
            <v>Huechuraba</v>
          </cell>
          <cell r="N2070" t="str">
            <v>B</v>
          </cell>
        </row>
        <row r="2071">
          <cell r="B2071" t="str">
            <v>VFHS85</v>
          </cell>
          <cell r="C2071" t="str">
            <v>LDYECS315S0043979</v>
          </cell>
          <cell r="D2071" t="str">
            <v>MDN35025020094</v>
          </cell>
          <cell r="E2071" t="str">
            <v>Zhong Tong</v>
          </cell>
          <cell r="F2071" t="str">
            <v>Lck6122evg</v>
          </cell>
          <cell r="G2071" t="str">
            <v>ZHONGTONG</v>
          </cell>
          <cell r="H2071" t="str">
            <v>LCK6122EVG</v>
          </cell>
          <cell r="I2071">
            <v>2025</v>
          </cell>
          <cell r="J2071" t="str">
            <v>B</v>
          </cell>
          <cell r="K2071" t="str">
            <v>LOS LIBERTADORES</v>
          </cell>
          <cell r="L2071" t="str">
            <v>Los Liberadores 6450, Lote 4A</v>
          </cell>
          <cell r="M2071" t="str">
            <v>Huechuraba</v>
          </cell>
          <cell r="N2071" t="str">
            <v>B</v>
          </cell>
        </row>
        <row r="2072">
          <cell r="B2072" t="str">
            <v>VFHS95</v>
          </cell>
          <cell r="C2072" t="str">
            <v>LDYECS314S0043956</v>
          </cell>
          <cell r="D2072" t="str">
            <v>MDN35025020090</v>
          </cell>
          <cell r="E2072" t="str">
            <v>Zhong Tong</v>
          </cell>
          <cell r="F2072" t="str">
            <v>Lck6122evg</v>
          </cell>
          <cell r="G2072" t="str">
            <v>ZHONGTONG</v>
          </cell>
          <cell r="H2072" t="str">
            <v>LCK6122EVG</v>
          </cell>
          <cell r="I2072">
            <v>2025</v>
          </cell>
          <cell r="J2072" t="str">
            <v>B</v>
          </cell>
          <cell r="K2072" t="str">
            <v>LOS LIBERTADORES</v>
          </cell>
          <cell r="L2072" t="str">
            <v>Los Liberadores 6450, Lote 4A</v>
          </cell>
          <cell r="M2072" t="str">
            <v>Huechuraba</v>
          </cell>
          <cell r="N2072" t="str">
            <v>B</v>
          </cell>
        </row>
        <row r="2073">
          <cell r="B2073" t="str">
            <v>VFHS98</v>
          </cell>
          <cell r="C2073" t="str">
            <v>LDYECS316S0043957</v>
          </cell>
          <cell r="D2073" t="str">
            <v>MDN35025020069</v>
          </cell>
          <cell r="E2073" t="str">
            <v>Zhong Tong</v>
          </cell>
          <cell r="F2073" t="str">
            <v>Lck6122evg</v>
          </cell>
          <cell r="G2073" t="str">
            <v>ZHONGTONG</v>
          </cell>
          <cell r="H2073" t="str">
            <v>LCK6122EVG</v>
          </cell>
          <cell r="I2073">
            <v>2025</v>
          </cell>
          <cell r="J2073" t="str">
            <v>B</v>
          </cell>
          <cell r="K2073" t="str">
            <v>SAN JOSE</v>
          </cell>
          <cell r="L2073" t="str">
            <v>San José 030 (José Besa 669)</v>
          </cell>
          <cell r="M2073" t="str">
            <v>San Bernardo</v>
          </cell>
          <cell r="N2073" t="str">
            <v>B</v>
          </cell>
        </row>
        <row r="2074">
          <cell r="B2074" t="str">
            <v>VFHT45</v>
          </cell>
          <cell r="C2074" t="str">
            <v>LDYECS319S0043953</v>
          </cell>
          <cell r="D2074" t="str">
            <v>MDN35025020052</v>
          </cell>
          <cell r="E2074" t="str">
            <v>Zhong Tong</v>
          </cell>
          <cell r="F2074" t="str">
            <v>Lck6122evg</v>
          </cell>
          <cell r="G2074" t="str">
            <v>ZHONGTONG</v>
          </cell>
          <cell r="H2074" t="str">
            <v>LCK6122EVG</v>
          </cell>
          <cell r="I2074">
            <v>2025</v>
          </cell>
          <cell r="J2074" t="str">
            <v>B</v>
          </cell>
          <cell r="K2074" t="str">
            <v>SAN JOSE</v>
          </cell>
          <cell r="L2074" t="str">
            <v>San José 030 (José Besa 669)</v>
          </cell>
          <cell r="M2074" t="str">
            <v>San Bernardo</v>
          </cell>
          <cell r="N2074" t="str">
            <v>B</v>
          </cell>
        </row>
        <row r="2075">
          <cell r="B2075" t="str">
            <v>VFHT55</v>
          </cell>
          <cell r="C2075" t="str">
            <v>LDYECS310S0043954</v>
          </cell>
          <cell r="D2075" t="str">
            <v>MDN35025020088</v>
          </cell>
          <cell r="E2075" t="str">
            <v>Zhong Tong</v>
          </cell>
          <cell r="F2075" t="str">
            <v>Lck6122evg</v>
          </cell>
          <cell r="G2075" t="str">
            <v>ZHONGTONG</v>
          </cell>
          <cell r="H2075" t="str">
            <v>LCK6122EVG</v>
          </cell>
          <cell r="I2075">
            <v>2025</v>
          </cell>
          <cell r="J2075" t="str">
            <v>B</v>
          </cell>
          <cell r="K2075" t="str">
            <v>SAN JOSE</v>
          </cell>
          <cell r="L2075" t="str">
            <v>San José 030 (José Besa 669)</v>
          </cell>
          <cell r="M2075" t="str">
            <v>San Bernardo</v>
          </cell>
          <cell r="N2075" t="str">
            <v>B</v>
          </cell>
        </row>
        <row r="2076">
          <cell r="B2076" t="str">
            <v>VFHK16</v>
          </cell>
          <cell r="C2076" t="str">
            <v>LDYECS311S0043915</v>
          </cell>
          <cell r="D2076" t="str">
            <v>MDN35025010066</v>
          </cell>
          <cell r="E2076" t="str">
            <v>Zhong Tong</v>
          </cell>
          <cell r="F2076" t="str">
            <v>Lck6122evg</v>
          </cell>
          <cell r="G2076" t="str">
            <v>ZHONGTONG</v>
          </cell>
          <cell r="H2076" t="str">
            <v>LCK6122EVG</v>
          </cell>
          <cell r="I2076">
            <v>2025</v>
          </cell>
          <cell r="J2076" t="str">
            <v>B</v>
          </cell>
          <cell r="K2076" t="str">
            <v>SAN JOSE</v>
          </cell>
          <cell r="L2076" t="str">
            <v>San José 030 (José Besa 669)</v>
          </cell>
          <cell r="M2076" t="str">
            <v>San Bernardo</v>
          </cell>
          <cell r="N2076" t="str">
            <v>B</v>
          </cell>
        </row>
        <row r="2077">
          <cell r="B2077" t="str">
            <v>VFHT73</v>
          </cell>
          <cell r="C2077" t="str">
            <v>LDYECS319S0043984</v>
          </cell>
          <cell r="D2077" t="str">
            <v>MDN35025020097</v>
          </cell>
          <cell r="E2077" t="str">
            <v>Zhong Tong</v>
          </cell>
          <cell r="F2077" t="str">
            <v>Lck6122evg</v>
          </cell>
          <cell r="G2077" t="str">
            <v>ZHONGTONG</v>
          </cell>
          <cell r="H2077" t="str">
            <v>LCK6122EVG</v>
          </cell>
          <cell r="I2077">
            <v>2025</v>
          </cell>
          <cell r="J2077" t="str">
            <v>B</v>
          </cell>
          <cell r="K2077" t="str">
            <v>CERRILLOS</v>
          </cell>
          <cell r="L2077" t="str">
            <v>Calle Uno 7371</v>
          </cell>
          <cell r="M2077" t="str">
            <v>Cerrillos</v>
          </cell>
          <cell r="N2077" t="str">
            <v>B</v>
          </cell>
        </row>
        <row r="2078">
          <cell r="B2078" t="str">
            <v>VFHT80</v>
          </cell>
          <cell r="C2078" t="str">
            <v>LDYECS314S0043987</v>
          </cell>
          <cell r="D2078" t="str">
            <v>MDN35025020056</v>
          </cell>
          <cell r="E2078" t="str">
            <v>Zhong Tong</v>
          </cell>
          <cell r="F2078" t="str">
            <v>Lck6122evg</v>
          </cell>
          <cell r="G2078" t="str">
            <v>ZHONGTONG</v>
          </cell>
          <cell r="H2078" t="str">
            <v>LCK6122EVG</v>
          </cell>
          <cell r="I2078">
            <v>2025</v>
          </cell>
          <cell r="J2078" t="str">
            <v>B</v>
          </cell>
          <cell r="K2078" t="str">
            <v>LOS LIBERTADORES</v>
          </cell>
          <cell r="L2078" t="str">
            <v>Los Liberadores 6450, Lote 4A</v>
          </cell>
          <cell r="M2078" t="str">
            <v>Huechuraba</v>
          </cell>
          <cell r="N2078" t="str">
            <v>B</v>
          </cell>
        </row>
        <row r="2079">
          <cell r="B2079" t="str">
            <v>VFHT81</v>
          </cell>
          <cell r="C2079" t="str">
            <v>LDYECS314S0043973</v>
          </cell>
          <cell r="D2079" t="str">
            <v>MDN35025020087</v>
          </cell>
          <cell r="E2079" t="str">
            <v>Zhong Tong</v>
          </cell>
          <cell r="F2079" t="str">
            <v>Lck6122evg</v>
          </cell>
          <cell r="G2079" t="str">
            <v>ZHONGTONG</v>
          </cell>
          <cell r="H2079" t="str">
            <v>LCK6122EVG</v>
          </cell>
          <cell r="I2079">
            <v>2025</v>
          </cell>
          <cell r="J2079" t="str">
            <v>B</v>
          </cell>
          <cell r="K2079" t="str">
            <v>LOS LIBERTADORES</v>
          </cell>
          <cell r="L2079" t="str">
            <v>Los Liberadores 6450, Lote 4A</v>
          </cell>
          <cell r="M2079" t="str">
            <v>Huechuraba</v>
          </cell>
          <cell r="N2079" t="str">
            <v>B</v>
          </cell>
        </row>
        <row r="2080">
          <cell r="B2080" t="str">
            <v>VFHV57</v>
          </cell>
          <cell r="C2080" t="str">
            <v>LDYECS316S0043974</v>
          </cell>
          <cell r="D2080" t="str">
            <v>MDN35025020079</v>
          </cell>
          <cell r="E2080" t="str">
            <v>Zhong Tong</v>
          </cell>
          <cell r="F2080" t="str">
            <v>Lck6122evg</v>
          </cell>
          <cell r="G2080" t="str">
            <v>ZHONGTONG</v>
          </cell>
          <cell r="H2080" t="str">
            <v>LCK6122EVG</v>
          </cell>
          <cell r="I2080">
            <v>2025</v>
          </cell>
          <cell r="J2080" t="str">
            <v>B</v>
          </cell>
          <cell r="K2080" t="str">
            <v>LOS LIBERTADORES</v>
          </cell>
          <cell r="L2080" t="str">
            <v>Los Liberadores 6450, Lote 4A</v>
          </cell>
          <cell r="M2080" t="str">
            <v>Huechuraba</v>
          </cell>
          <cell r="N2080" t="str">
            <v>B</v>
          </cell>
        </row>
        <row r="2081">
          <cell r="B2081" t="str">
            <v>VFHV67</v>
          </cell>
          <cell r="C2081" t="str">
            <v>LDYECS311S0043980</v>
          </cell>
          <cell r="D2081" t="str">
            <v>MDN35025020095</v>
          </cell>
          <cell r="E2081" t="str">
            <v>Zhong Tong</v>
          </cell>
          <cell r="F2081" t="str">
            <v>Lck6122evg</v>
          </cell>
          <cell r="G2081" t="str">
            <v>ZHONGTONG</v>
          </cell>
          <cell r="H2081" t="str">
            <v>LCK6122EVG</v>
          </cell>
          <cell r="I2081">
            <v>2025</v>
          </cell>
          <cell r="J2081" t="str">
            <v>B</v>
          </cell>
          <cell r="K2081" t="str">
            <v>LOS LIBERTADORES</v>
          </cell>
          <cell r="L2081" t="str">
            <v>Los Liberadores 6450, Lote 4A</v>
          </cell>
          <cell r="M2081" t="str">
            <v>Huechuraba</v>
          </cell>
          <cell r="N2081" t="str">
            <v>B</v>
          </cell>
        </row>
        <row r="2082">
          <cell r="B2082" t="str">
            <v>VFHV82</v>
          </cell>
          <cell r="C2082" t="str">
            <v>LDYECS319S0044004</v>
          </cell>
          <cell r="D2082" t="str">
            <v>MDN35025020057</v>
          </cell>
          <cell r="E2082" t="str">
            <v>Zhong Tong</v>
          </cell>
          <cell r="F2082" t="str">
            <v>Lck6122evg</v>
          </cell>
          <cell r="G2082" t="str">
            <v>ZHONGTONG</v>
          </cell>
          <cell r="H2082" t="str">
            <v>LCK6122EVG</v>
          </cell>
          <cell r="I2082">
            <v>2025</v>
          </cell>
          <cell r="J2082" t="str">
            <v>B</v>
          </cell>
          <cell r="K2082" t="str">
            <v>LOS LIBERTADORES</v>
          </cell>
          <cell r="L2082" t="str">
            <v>Los Liberadores 6450, Lote 4A</v>
          </cell>
          <cell r="M2082" t="str">
            <v>Huechuraba</v>
          </cell>
          <cell r="N2082" t="str">
            <v>B</v>
          </cell>
        </row>
        <row r="2083">
          <cell r="B2083" t="str">
            <v>VFHV87</v>
          </cell>
          <cell r="C2083" t="str">
            <v>LDYECS312S0043955</v>
          </cell>
          <cell r="D2083" t="str">
            <v>MDN35025020084</v>
          </cell>
          <cell r="E2083" t="str">
            <v>Zhong Tong</v>
          </cell>
          <cell r="F2083" t="str">
            <v>Lck6122evg</v>
          </cell>
          <cell r="G2083" t="str">
            <v>ZHONGTONG</v>
          </cell>
          <cell r="H2083" t="str">
            <v>LCK6122EVG</v>
          </cell>
          <cell r="I2083">
            <v>2025</v>
          </cell>
          <cell r="J2083" t="str">
            <v>B</v>
          </cell>
          <cell r="K2083" t="str">
            <v>LOS LIBERTADORES</v>
          </cell>
          <cell r="L2083" t="str">
            <v>Los Liberadores 6450, Lote 4A</v>
          </cell>
          <cell r="M2083" t="str">
            <v>Huechuraba</v>
          </cell>
          <cell r="N2083" t="str">
            <v>B</v>
          </cell>
        </row>
        <row r="2084">
          <cell r="B2084" t="str">
            <v>VFHW46</v>
          </cell>
          <cell r="C2084" t="str">
            <v>LDYECS318S0043989</v>
          </cell>
          <cell r="D2084" t="str">
            <v>MDN35025020060</v>
          </cell>
          <cell r="E2084" t="str">
            <v>Zhong Tong</v>
          </cell>
          <cell r="F2084" t="str">
            <v>Lck6122evg</v>
          </cell>
          <cell r="G2084" t="str">
            <v>ZHONGTONG</v>
          </cell>
          <cell r="H2084" t="str">
            <v>LCK6122EVG</v>
          </cell>
          <cell r="I2084">
            <v>2025</v>
          </cell>
          <cell r="J2084" t="str">
            <v>B</v>
          </cell>
          <cell r="K2084" t="str">
            <v>LOS LIBERTADORES</v>
          </cell>
          <cell r="L2084" t="str">
            <v>Los Liberadores 6450, Lote 4A</v>
          </cell>
          <cell r="M2084" t="str">
            <v>Huechuraba</v>
          </cell>
          <cell r="N2084" t="str">
            <v>B</v>
          </cell>
        </row>
        <row r="2085">
          <cell r="B2085" t="str">
            <v>VFHW51</v>
          </cell>
          <cell r="C2085" t="str">
            <v>LDYECS311S0043977</v>
          </cell>
          <cell r="D2085" t="str">
            <v>MDN35025020058</v>
          </cell>
          <cell r="E2085" t="str">
            <v>Zhong Tong</v>
          </cell>
          <cell r="F2085" t="str">
            <v>Lck6122evg</v>
          </cell>
          <cell r="G2085" t="str">
            <v>ZHONGTONG</v>
          </cell>
          <cell r="H2085" t="str">
            <v>LCK6122EVG</v>
          </cell>
          <cell r="I2085">
            <v>2025</v>
          </cell>
          <cell r="J2085" t="str">
            <v>B</v>
          </cell>
          <cell r="K2085" t="str">
            <v>LOS LIBERTADORES</v>
          </cell>
          <cell r="L2085" t="str">
            <v>Los Liberadores 6450, Lote 4A</v>
          </cell>
          <cell r="M2085" t="str">
            <v>Huechuraba</v>
          </cell>
          <cell r="N2085" t="str">
            <v>B</v>
          </cell>
        </row>
        <row r="2086">
          <cell r="B2086" t="str">
            <v>VFHW63</v>
          </cell>
          <cell r="C2086" t="str">
            <v>LDYECS318S0043975</v>
          </cell>
          <cell r="D2086" t="str">
            <v>MDN35025020063</v>
          </cell>
          <cell r="E2086" t="str">
            <v>Zhong Tong</v>
          </cell>
          <cell r="F2086" t="str">
            <v>Lck6122evg</v>
          </cell>
          <cell r="G2086" t="str">
            <v>ZHONGTONG</v>
          </cell>
          <cell r="H2086" t="str">
            <v>LCK6122EVG</v>
          </cell>
          <cell r="I2086">
            <v>2025</v>
          </cell>
          <cell r="J2086" t="str">
            <v>B</v>
          </cell>
          <cell r="K2086" t="str">
            <v>LOS LIBERTADORES</v>
          </cell>
          <cell r="L2086" t="str">
            <v>Los Liberadores 6450, Lote 4A</v>
          </cell>
          <cell r="M2086" t="str">
            <v>Huechuraba</v>
          </cell>
          <cell r="N2086" t="str">
            <v>B</v>
          </cell>
        </row>
        <row r="2087">
          <cell r="B2087" t="str">
            <v>VFHK27</v>
          </cell>
          <cell r="C2087" t="str">
            <v>LDYECS312S0043910</v>
          </cell>
          <cell r="D2087" t="str">
            <v>MDN35025010079</v>
          </cell>
          <cell r="E2087" t="str">
            <v>Zhong Tong</v>
          </cell>
          <cell r="F2087" t="str">
            <v>Lck6122evg</v>
          </cell>
          <cell r="G2087" t="str">
            <v>ZHONGTONG</v>
          </cell>
          <cell r="H2087" t="str">
            <v>LCK6122EVG</v>
          </cell>
          <cell r="I2087">
            <v>2025</v>
          </cell>
          <cell r="J2087" t="str">
            <v>B</v>
          </cell>
          <cell r="K2087" t="str">
            <v>SAN JOSE</v>
          </cell>
          <cell r="L2087" t="str">
            <v>San José 030 (José Besa 669)</v>
          </cell>
          <cell r="M2087" t="str">
            <v>San Bernardo</v>
          </cell>
          <cell r="N2087" t="str">
            <v>B</v>
          </cell>
        </row>
        <row r="2088">
          <cell r="B2088" t="str">
            <v>VFPB70</v>
          </cell>
          <cell r="C2088" t="str">
            <v>LDYECS316S0043991</v>
          </cell>
          <cell r="D2088" t="str">
            <v>MDN35025020122</v>
          </cell>
          <cell r="E2088" t="str">
            <v>Zhong Tong</v>
          </cell>
          <cell r="F2088" t="str">
            <v>Lck6122evg</v>
          </cell>
          <cell r="G2088" t="str">
            <v>ZHONGTONG</v>
          </cell>
          <cell r="H2088" t="str">
            <v>LCK6122EVG</v>
          </cell>
          <cell r="I2088">
            <v>2025</v>
          </cell>
          <cell r="J2088" t="str">
            <v>B</v>
          </cell>
          <cell r="K2088" t="str">
            <v>LOS LIBERTADORES</v>
          </cell>
          <cell r="L2088" t="str">
            <v>Los Liberadores 6450, Lote 4A</v>
          </cell>
          <cell r="M2088" t="str">
            <v>Huechuraba</v>
          </cell>
          <cell r="N2088" t="str">
            <v>B</v>
          </cell>
        </row>
        <row r="2089">
          <cell r="B2089" t="str">
            <v>VFPC10</v>
          </cell>
          <cell r="C2089" t="str">
            <v>LDYECS317S0044115</v>
          </cell>
          <cell r="D2089" t="str">
            <v>MDN35025010018</v>
          </cell>
          <cell r="E2089" t="str">
            <v>Zhong Tong</v>
          </cell>
          <cell r="F2089" t="str">
            <v>Lck6122evg</v>
          </cell>
          <cell r="G2089" t="str">
            <v>ZHONGTONG</v>
          </cell>
          <cell r="H2089" t="str">
            <v>LCK6122EVG</v>
          </cell>
          <cell r="I2089">
            <v>2025</v>
          </cell>
          <cell r="J2089" t="str">
            <v>B</v>
          </cell>
          <cell r="K2089" t="str">
            <v>LOS LIBERTADORES</v>
          </cell>
          <cell r="L2089" t="str">
            <v>Los Liberadores 6450, Lote 4A</v>
          </cell>
          <cell r="M2089" t="str">
            <v>Huechuraba</v>
          </cell>
          <cell r="N2089" t="str">
            <v>B</v>
          </cell>
        </row>
        <row r="2090">
          <cell r="B2090" t="str">
            <v>VFPC31</v>
          </cell>
          <cell r="C2090" t="str">
            <v>LDYECS315S0043996</v>
          </cell>
          <cell r="D2090" t="str">
            <v>MDN35025020055</v>
          </cell>
          <cell r="E2090" t="str">
            <v>Zhong Tong</v>
          </cell>
          <cell r="F2090" t="str">
            <v>Lck6122evg</v>
          </cell>
          <cell r="G2090" t="str">
            <v>ZHONGTONG</v>
          </cell>
          <cell r="H2090" t="str">
            <v>LCK6122EVG</v>
          </cell>
          <cell r="I2090">
            <v>2025</v>
          </cell>
          <cell r="J2090" t="str">
            <v>B</v>
          </cell>
          <cell r="K2090" t="str">
            <v>LOS LIBERTADORES</v>
          </cell>
          <cell r="L2090" t="str">
            <v>Los Liberadores 6450, Lote 4A</v>
          </cell>
          <cell r="M2090" t="str">
            <v>Huechuraba</v>
          </cell>
          <cell r="N2090" t="str">
            <v>B</v>
          </cell>
        </row>
        <row r="2091">
          <cell r="B2091" t="str">
            <v>VFPC80</v>
          </cell>
          <cell r="C2091" t="str">
            <v>LDYECS313S0043978</v>
          </cell>
          <cell r="D2091" t="str">
            <v>MDN35025020093</v>
          </cell>
          <cell r="E2091" t="str">
            <v>Zhong Tong</v>
          </cell>
          <cell r="F2091" t="str">
            <v>Lck6122evg</v>
          </cell>
          <cell r="G2091" t="str">
            <v>ZHONGTONG</v>
          </cell>
          <cell r="H2091" t="str">
            <v>LCK6122EVG</v>
          </cell>
          <cell r="I2091">
            <v>2025</v>
          </cell>
          <cell r="J2091" t="str">
            <v>B</v>
          </cell>
          <cell r="K2091" t="str">
            <v>LOS LIBERTADORES</v>
          </cell>
          <cell r="L2091" t="str">
            <v>Los Liberadores 6450, Lote 4A</v>
          </cell>
          <cell r="M2091" t="str">
            <v>Huechuraba</v>
          </cell>
          <cell r="N2091" t="str">
            <v>B</v>
          </cell>
        </row>
        <row r="2092">
          <cell r="B2092" t="str">
            <v>VFPC51</v>
          </cell>
          <cell r="C2092" t="str">
            <v>LDYECS31XS0044027</v>
          </cell>
          <cell r="D2092" t="str">
            <v>MDN35025020112</v>
          </cell>
          <cell r="E2092" t="str">
            <v>Zhong Tong</v>
          </cell>
          <cell r="F2092" t="str">
            <v>Lck6122evg</v>
          </cell>
          <cell r="G2092" t="str">
            <v>ZHONGTONG</v>
          </cell>
          <cell r="H2092" t="str">
            <v>LCK6122EVG</v>
          </cell>
          <cell r="I2092">
            <v>2025</v>
          </cell>
          <cell r="J2092" t="str">
            <v>B</v>
          </cell>
          <cell r="K2092" t="str">
            <v>LOS LIBERTADORES</v>
          </cell>
          <cell r="L2092" t="str">
            <v>Los Liberadores 6450, Lote 4A</v>
          </cell>
          <cell r="M2092" t="str">
            <v>Huechuraba</v>
          </cell>
          <cell r="N2092" t="str">
            <v>B</v>
          </cell>
        </row>
        <row r="2093">
          <cell r="B2093" t="str">
            <v>VFPD84</v>
          </cell>
          <cell r="C2093" t="str">
            <v>LDYECS315S0043982</v>
          </cell>
          <cell r="D2093" t="str">
            <v>MDN35025020067</v>
          </cell>
          <cell r="E2093" t="str">
            <v>Zhong Tong</v>
          </cell>
          <cell r="F2093" t="str">
            <v>Lck6122evg</v>
          </cell>
          <cell r="G2093" t="str">
            <v>ZHONGTONG</v>
          </cell>
          <cell r="H2093" t="str">
            <v>LCK6122EVG</v>
          </cell>
          <cell r="I2093">
            <v>2025</v>
          </cell>
          <cell r="J2093" t="str">
            <v>B</v>
          </cell>
          <cell r="K2093" t="str">
            <v>LOS LIBERTADORES</v>
          </cell>
          <cell r="L2093" t="str">
            <v>Los Liberadores 6450, Lote 4A</v>
          </cell>
          <cell r="M2093" t="str">
            <v>Huechuraba</v>
          </cell>
          <cell r="N2093" t="str">
            <v>B</v>
          </cell>
        </row>
        <row r="2094">
          <cell r="B2094" t="str">
            <v>VFPD94</v>
          </cell>
          <cell r="C2094" t="str">
            <v>LDYECS317S0043997</v>
          </cell>
          <cell r="D2094" t="str">
            <v>MDN35025020022</v>
          </cell>
          <cell r="E2094" t="str">
            <v>Zhong Tong</v>
          </cell>
          <cell r="F2094" t="str">
            <v>Lck6122evg</v>
          </cell>
          <cell r="G2094" t="str">
            <v>ZHONGTONG</v>
          </cell>
          <cell r="H2094" t="str">
            <v>LCK6122EVG</v>
          </cell>
          <cell r="I2094">
            <v>2025</v>
          </cell>
          <cell r="J2094" t="str">
            <v>B</v>
          </cell>
          <cell r="K2094" t="str">
            <v>LOS LIBERTADORES</v>
          </cell>
          <cell r="L2094" t="str">
            <v>Los Liberadores 6450, Lote 4A</v>
          </cell>
          <cell r="M2094" t="str">
            <v>Huechuraba</v>
          </cell>
          <cell r="N2094" t="str">
            <v>B</v>
          </cell>
        </row>
        <row r="2095">
          <cell r="B2095" t="str">
            <v>VFHL60</v>
          </cell>
          <cell r="C2095" t="str">
            <v>LDYECS314S0043911</v>
          </cell>
          <cell r="D2095" t="str">
            <v>MDN35025010115</v>
          </cell>
          <cell r="E2095" t="str">
            <v>Zhong Tong</v>
          </cell>
          <cell r="F2095" t="str">
            <v>Lck6122evg</v>
          </cell>
          <cell r="G2095" t="str">
            <v>ZHONGTONG</v>
          </cell>
          <cell r="H2095" t="str">
            <v>LCK6122EVG</v>
          </cell>
          <cell r="I2095">
            <v>2025</v>
          </cell>
          <cell r="J2095" t="str">
            <v>B</v>
          </cell>
          <cell r="K2095" t="str">
            <v>LOS LIBERTADORES</v>
          </cell>
          <cell r="L2095" t="str">
            <v>Los Liberadores 6450, Lote 4A</v>
          </cell>
          <cell r="M2095" t="str">
            <v>Huechuraba</v>
          </cell>
          <cell r="N2095" t="str">
            <v>B</v>
          </cell>
        </row>
        <row r="2096">
          <cell r="B2096" t="str">
            <v>VFHK31</v>
          </cell>
          <cell r="C2096" t="str">
            <v>LDYECS314S0043925</v>
          </cell>
          <cell r="D2096" t="str">
            <v>MDN35025010120</v>
          </cell>
          <cell r="E2096" t="str">
            <v>Zhong Tong</v>
          </cell>
          <cell r="F2096" t="str">
            <v>Lck6122evg</v>
          </cell>
          <cell r="G2096" t="str">
            <v>ZHONGTONG</v>
          </cell>
          <cell r="H2096" t="str">
            <v>LCK6122EVG</v>
          </cell>
          <cell r="I2096">
            <v>2025</v>
          </cell>
          <cell r="J2096" t="str">
            <v>B</v>
          </cell>
          <cell r="K2096" t="str">
            <v>SAN JOSE</v>
          </cell>
          <cell r="L2096" t="str">
            <v>San José 030 (José Besa 669)</v>
          </cell>
          <cell r="M2096" t="str">
            <v>San Bernardo</v>
          </cell>
          <cell r="N2096" t="str">
            <v>B</v>
          </cell>
        </row>
        <row r="2097">
          <cell r="B2097" t="str">
            <v>VFHK58</v>
          </cell>
          <cell r="C2097" t="str">
            <v>LDYECS315S0043898</v>
          </cell>
          <cell r="D2097" t="str">
            <v>MDN35025010184</v>
          </cell>
          <cell r="E2097" t="str">
            <v>Zhong Tong</v>
          </cell>
          <cell r="F2097" t="str">
            <v>Lck6122evg</v>
          </cell>
          <cell r="G2097" t="str">
            <v>ZHONGTONG</v>
          </cell>
          <cell r="H2097" t="str">
            <v>LCK6122EVG</v>
          </cell>
          <cell r="I2097">
            <v>2025</v>
          </cell>
          <cell r="J2097" t="str">
            <v>B</v>
          </cell>
          <cell r="K2097" t="str">
            <v>SAN JOSE</v>
          </cell>
          <cell r="L2097" t="str">
            <v>San José 030 (José Besa 669)</v>
          </cell>
          <cell r="M2097" t="str">
            <v>San Bernardo</v>
          </cell>
          <cell r="N2097" t="str">
            <v>B</v>
          </cell>
        </row>
        <row r="2098">
          <cell r="B2098" t="str">
            <v>VFHK69</v>
          </cell>
          <cell r="C2098" t="str">
            <v>LDYECS316S0043909</v>
          </cell>
          <cell r="D2098" t="str">
            <v>MDN35025010068</v>
          </cell>
          <cell r="E2098" t="str">
            <v>Zhong Tong</v>
          </cell>
          <cell r="F2098" t="str">
            <v>Lck6122evg</v>
          </cell>
          <cell r="G2098" t="str">
            <v>ZHONGTONG</v>
          </cell>
          <cell r="H2098" t="str">
            <v>LCK6122EVG</v>
          </cell>
          <cell r="I2098">
            <v>2025</v>
          </cell>
          <cell r="J2098" t="str">
            <v>B</v>
          </cell>
          <cell r="K2098" t="str">
            <v>SAN JOSE</v>
          </cell>
          <cell r="L2098" t="str">
            <v>San José 030 (José Besa 669)</v>
          </cell>
          <cell r="M2098" t="str">
            <v>San Bernardo</v>
          </cell>
          <cell r="N2098" t="str">
            <v>B</v>
          </cell>
        </row>
        <row r="2099">
          <cell r="B2099" t="str">
            <v>VFHK89</v>
          </cell>
          <cell r="C2099" t="str">
            <v>LDYECS316S0043943</v>
          </cell>
          <cell r="D2099" t="str">
            <v>MDN35025010049</v>
          </cell>
          <cell r="E2099" t="str">
            <v>Zhong Tong</v>
          </cell>
          <cell r="F2099" t="str">
            <v>Lck6122evg</v>
          </cell>
          <cell r="G2099" t="str">
            <v>ZHONGTONG</v>
          </cell>
          <cell r="H2099" t="str">
            <v>LCK6122EVG</v>
          </cell>
          <cell r="I2099">
            <v>2025</v>
          </cell>
          <cell r="J2099" t="str">
            <v>B</v>
          </cell>
          <cell r="K2099" t="str">
            <v>CERRILLOS</v>
          </cell>
          <cell r="L2099" t="str">
            <v>Calle Uno 7371</v>
          </cell>
          <cell r="M2099" t="str">
            <v>Estacion Central</v>
          </cell>
          <cell r="N2099" t="str">
            <v>B</v>
          </cell>
        </row>
        <row r="2100">
          <cell r="B2100" t="str">
            <v>VFHK96</v>
          </cell>
          <cell r="C2100" t="str">
            <v>LDYECS319S0043905</v>
          </cell>
          <cell r="D2100" t="str">
            <v>MDN35025010108</v>
          </cell>
          <cell r="E2100" t="str">
            <v>Zhong Tong</v>
          </cell>
          <cell r="F2100" t="str">
            <v>Lck6122evg</v>
          </cell>
          <cell r="G2100" t="str">
            <v>ZHONGTONG</v>
          </cell>
          <cell r="H2100" t="str">
            <v>LCK6122EVG</v>
          </cell>
          <cell r="I2100">
            <v>2025</v>
          </cell>
          <cell r="J2100" t="str">
            <v>B</v>
          </cell>
          <cell r="K2100" t="str">
            <v>SAN ALFONSO</v>
          </cell>
          <cell r="L2100" t="str">
            <v>San Alfonso 2141 (Ramón Subercaseaux 3060)</v>
          </cell>
          <cell r="M2100" t="str">
            <v>Estacion Central</v>
          </cell>
          <cell r="N2100" t="str">
            <v>B</v>
          </cell>
        </row>
        <row r="2101">
          <cell r="B2101" t="str">
            <v>GCBF42</v>
          </cell>
          <cell r="C2101" t="str">
            <v>YV3T7U520JA189191</v>
          </cell>
          <cell r="D2101">
            <v>451887</v>
          </cell>
          <cell r="E2101" t="str">
            <v>Volvo</v>
          </cell>
          <cell r="F2101" t="str">
            <v>B8RLEA</v>
          </cell>
          <cell r="G2101" t="str">
            <v>MARCOPOLO</v>
          </cell>
          <cell r="H2101" t="str">
            <v>TORINO</v>
          </cell>
          <cell r="I2101">
            <v>2020</v>
          </cell>
          <cell r="J2101" t="str">
            <v>C</v>
          </cell>
          <cell r="K2101" t="str">
            <v>SAN ALFONSO</v>
          </cell>
          <cell r="L2101" t="str">
            <v>San Alfonso 2141 (Ramón Subercaseaux 3060)</v>
          </cell>
          <cell r="M2101" t="str">
            <v>Estacion Central</v>
          </cell>
          <cell r="N2101" t="str">
            <v>C</v>
          </cell>
        </row>
        <row r="2102">
          <cell r="B2102" t="str">
            <v>LZRB89</v>
          </cell>
          <cell r="C2102" t="str">
            <v>YV3T7U523LA201711</v>
          </cell>
          <cell r="D2102">
            <v>508408</v>
          </cell>
          <cell r="E2102" t="str">
            <v>Volvo</v>
          </cell>
          <cell r="F2102" t="str">
            <v>B8RLEA</v>
          </cell>
          <cell r="G2102" t="str">
            <v>MARCOPOLO</v>
          </cell>
          <cell r="H2102" t="str">
            <v>GRAN VIALE</v>
          </cell>
          <cell r="I2102">
            <v>2020</v>
          </cell>
          <cell r="J2102" t="str">
            <v>C</v>
          </cell>
          <cell r="K2102" t="str">
            <v>PIE ANDINO</v>
          </cell>
          <cell r="L2102" t="str">
            <v>Pie Andino 31 (Pie Andino 383)</v>
          </cell>
          <cell r="M2102" t="str">
            <v>Puente Alto</v>
          </cell>
          <cell r="N2102" t="str">
            <v>C</v>
          </cell>
        </row>
        <row r="2103">
          <cell r="B2103" t="str">
            <v>LZRB90</v>
          </cell>
          <cell r="C2103" t="str">
            <v>YV3T7U527LA201923</v>
          </cell>
          <cell r="D2103">
            <v>509327</v>
          </cell>
          <cell r="E2103" t="str">
            <v>Volvo</v>
          </cell>
          <cell r="F2103" t="str">
            <v>B8RLEA</v>
          </cell>
          <cell r="G2103" t="str">
            <v>MARCOPOLO</v>
          </cell>
          <cell r="H2103" t="str">
            <v>GRAN VIALE</v>
          </cell>
          <cell r="I2103">
            <v>2020</v>
          </cell>
          <cell r="J2103" t="str">
            <v>C</v>
          </cell>
          <cell r="K2103" t="str">
            <v>PIE ANDINO</v>
          </cell>
          <cell r="L2103" t="str">
            <v>Pie Andino 31 (Pie Andino 383)</v>
          </cell>
          <cell r="M2103" t="str">
            <v>Puente Alto</v>
          </cell>
          <cell r="N2103" t="str">
            <v>C</v>
          </cell>
        </row>
        <row r="2104">
          <cell r="B2104" t="str">
            <v>LZRB91</v>
          </cell>
          <cell r="C2104" t="str">
            <v>YV3T7U525LA201709</v>
          </cell>
          <cell r="D2104">
            <v>508437</v>
          </cell>
          <cell r="E2104" t="str">
            <v>Volvo</v>
          </cell>
          <cell r="F2104" t="str">
            <v>B8RLEA</v>
          </cell>
          <cell r="G2104" t="str">
            <v>MARCOPOLO</v>
          </cell>
          <cell r="H2104" t="str">
            <v>GRAN VIALE</v>
          </cell>
          <cell r="I2104">
            <v>2020</v>
          </cell>
          <cell r="J2104" t="str">
            <v>C</v>
          </cell>
          <cell r="K2104" t="str">
            <v>PIE ANDINO</v>
          </cell>
          <cell r="L2104" t="str">
            <v>Pie Andino 31 (Pie Andino 383)</v>
          </cell>
          <cell r="M2104" t="str">
            <v>Puente Alto</v>
          </cell>
          <cell r="N2104" t="str">
            <v>C</v>
          </cell>
        </row>
        <row r="2105">
          <cell r="B2105" t="str">
            <v>LZRB92</v>
          </cell>
          <cell r="C2105" t="str">
            <v>YV3T7U520LA201665</v>
          </cell>
          <cell r="D2105">
            <v>508572</v>
          </cell>
          <cell r="E2105" t="str">
            <v>Volvo</v>
          </cell>
          <cell r="F2105" t="str">
            <v>B8RLEA</v>
          </cell>
          <cell r="G2105" t="str">
            <v>MARCOPOLO</v>
          </cell>
          <cell r="H2105" t="str">
            <v>GRAN VIALE</v>
          </cell>
          <cell r="I2105">
            <v>2020</v>
          </cell>
          <cell r="J2105" t="str">
            <v>C</v>
          </cell>
          <cell r="K2105" t="str">
            <v>PIE ANDINO</v>
          </cell>
          <cell r="L2105" t="str">
            <v>Pie Andino 31 (Pie Andino 383)</v>
          </cell>
          <cell r="M2105" t="str">
            <v>Puente Alto</v>
          </cell>
          <cell r="N2105" t="str">
            <v>C</v>
          </cell>
        </row>
        <row r="2106">
          <cell r="B2106" t="str">
            <v>LZRB93</v>
          </cell>
          <cell r="C2106" t="str">
            <v>YV3T7U521LA201710</v>
          </cell>
          <cell r="D2106">
            <v>508361</v>
          </cell>
          <cell r="E2106" t="str">
            <v>Volvo</v>
          </cell>
          <cell r="F2106" t="str">
            <v>B8RLEA</v>
          </cell>
          <cell r="G2106" t="str">
            <v>MARCOPOLO</v>
          </cell>
          <cell r="H2106" t="str">
            <v>GRAN VIALE</v>
          </cell>
          <cell r="I2106">
            <v>2020</v>
          </cell>
          <cell r="J2106" t="str">
            <v>C</v>
          </cell>
          <cell r="K2106" t="str">
            <v>PIE ANDINO</v>
          </cell>
          <cell r="L2106" t="str">
            <v>Pie Andino 31 (Pie Andino 383)</v>
          </cell>
          <cell r="M2106" t="str">
            <v>Puente Alto</v>
          </cell>
          <cell r="N2106" t="str">
            <v>C</v>
          </cell>
        </row>
        <row r="2107">
          <cell r="B2107" t="str">
            <v>LZRB94</v>
          </cell>
          <cell r="C2107" t="str">
            <v>YV3T7U526LA201699</v>
          </cell>
          <cell r="D2107">
            <v>508380</v>
          </cell>
          <cell r="E2107" t="str">
            <v>Volvo</v>
          </cell>
          <cell r="F2107" t="str">
            <v>B8RLEA</v>
          </cell>
          <cell r="G2107" t="str">
            <v>MARCOPOLO</v>
          </cell>
          <cell r="H2107" t="str">
            <v>GRAN VIALE</v>
          </cell>
          <cell r="I2107">
            <v>2020</v>
          </cell>
          <cell r="J2107" t="str">
            <v>C</v>
          </cell>
          <cell r="K2107" t="str">
            <v>PIE ANDINO</v>
          </cell>
          <cell r="L2107" t="str">
            <v>Pie Andino 31 (Pie Andino 383)</v>
          </cell>
          <cell r="M2107" t="str">
            <v>Puente Alto</v>
          </cell>
          <cell r="N2107" t="str">
            <v>C</v>
          </cell>
        </row>
        <row r="2108">
          <cell r="B2108" t="str">
            <v>LZRB95</v>
          </cell>
          <cell r="C2108" t="str">
            <v>YV3T7U522LA201697</v>
          </cell>
          <cell r="D2108">
            <v>508444</v>
          </cell>
          <cell r="E2108" t="str">
            <v>Volvo</v>
          </cell>
          <cell r="F2108" t="str">
            <v>B8RLEA</v>
          </cell>
          <cell r="G2108" t="str">
            <v>MARCOPOLO</v>
          </cell>
          <cell r="H2108" t="str">
            <v>GRAN VIALE</v>
          </cell>
          <cell r="I2108">
            <v>2020</v>
          </cell>
          <cell r="J2108" t="str">
            <v>C</v>
          </cell>
          <cell r="K2108" t="str">
            <v>PIE ANDINO</v>
          </cell>
          <cell r="L2108" t="str">
            <v>Pie Andino 31 (Pie Andino 383)</v>
          </cell>
          <cell r="M2108" t="str">
            <v>Puente Alto</v>
          </cell>
          <cell r="N2108" t="str">
            <v>C</v>
          </cell>
        </row>
        <row r="2109">
          <cell r="B2109" t="str">
            <v>LZRB96</v>
          </cell>
          <cell r="C2109" t="str">
            <v>YV3T7U524LA201698</v>
          </cell>
          <cell r="D2109">
            <v>508467</v>
          </cell>
          <cell r="E2109" t="str">
            <v>Volvo</v>
          </cell>
          <cell r="F2109" t="str">
            <v>B8RLEA</v>
          </cell>
          <cell r="G2109" t="str">
            <v>MARCOPOLO</v>
          </cell>
          <cell r="H2109" t="str">
            <v>GRAN VIALE</v>
          </cell>
          <cell r="I2109">
            <v>2020</v>
          </cell>
          <cell r="J2109" t="str">
            <v>C</v>
          </cell>
          <cell r="K2109" t="str">
            <v>PIE ANDINO</v>
          </cell>
          <cell r="L2109" t="str">
            <v>Pie Andino 31 (Pie Andino 383)</v>
          </cell>
          <cell r="M2109" t="str">
            <v>Puente Alto</v>
          </cell>
          <cell r="N2109" t="str">
            <v>C</v>
          </cell>
        </row>
        <row r="2110">
          <cell r="B2110" t="str">
            <v>LZRD61</v>
          </cell>
          <cell r="C2110" t="str">
            <v>YV3T7U523LA198728</v>
          </cell>
          <cell r="D2110">
            <v>508196</v>
          </cell>
          <cell r="E2110" t="str">
            <v>Volvo</v>
          </cell>
          <cell r="F2110" t="str">
            <v>B8RLEA</v>
          </cell>
          <cell r="G2110" t="str">
            <v>MARCOPOLO</v>
          </cell>
          <cell r="H2110" t="str">
            <v>GRAN VIALE</v>
          </cell>
          <cell r="I2110">
            <v>2020</v>
          </cell>
          <cell r="J2110" t="str">
            <v>C</v>
          </cell>
          <cell r="K2110" t="str">
            <v>PIE ANDINO</v>
          </cell>
          <cell r="L2110" t="str">
            <v>Pie Andino 31 (Pie Andino 383)</v>
          </cell>
          <cell r="M2110" t="str">
            <v>Puente Alto</v>
          </cell>
          <cell r="N2110" t="str">
            <v>C</v>
          </cell>
        </row>
        <row r="2111">
          <cell r="B2111" t="str">
            <v>LZRD62</v>
          </cell>
          <cell r="C2111" t="str">
            <v>YV3T7U526LA201623</v>
          </cell>
          <cell r="D2111">
            <v>508277</v>
          </cell>
          <cell r="E2111" t="str">
            <v>Volvo</v>
          </cell>
          <cell r="F2111" t="str">
            <v>B8RLEA</v>
          </cell>
          <cell r="G2111" t="str">
            <v>MARCOPOLO</v>
          </cell>
          <cell r="H2111" t="str">
            <v>GRAN VIALE</v>
          </cell>
          <cell r="I2111">
            <v>2020</v>
          </cell>
          <cell r="J2111" t="str">
            <v>C</v>
          </cell>
          <cell r="K2111" t="str">
            <v>PIE ANDINO</v>
          </cell>
          <cell r="L2111" t="str">
            <v>Pie Andino 31 (Pie Andino 383)</v>
          </cell>
          <cell r="M2111" t="str">
            <v>Puente Alto</v>
          </cell>
          <cell r="N2111" t="str">
            <v>C</v>
          </cell>
        </row>
        <row r="2112">
          <cell r="B2112" t="str">
            <v>LZRD63</v>
          </cell>
          <cell r="C2112" t="str">
            <v>YV3T7U52XLA198726</v>
          </cell>
          <cell r="D2112">
            <v>508208</v>
          </cell>
          <cell r="E2112" t="str">
            <v>Volvo</v>
          </cell>
          <cell r="F2112" t="str">
            <v>B8RLEA</v>
          </cell>
          <cell r="G2112" t="str">
            <v>MARCOPOLO</v>
          </cell>
          <cell r="H2112" t="str">
            <v>GRAN VIALE</v>
          </cell>
          <cell r="I2112">
            <v>2020</v>
          </cell>
          <cell r="J2112" t="str">
            <v>C</v>
          </cell>
          <cell r="K2112" t="str">
            <v>PIE ANDINO</v>
          </cell>
          <cell r="L2112" t="str">
            <v>Pie Andino 31 (Pie Andino 383)</v>
          </cell>
          <cell r="M2112" t="str">
            <v>Puente Alto</v>
          </cell>
          <cell r="N2112" t="str">
            <v>C</v>
          </cell>
        </row>
        <row r="2113">
          <cell r="B2113" t="str">
            <v>LZRD64</v>
          </cell>
          <cell r="C2113" t="str">
            <v>YV3T7U526LA198724</v>
          </cell>
          <cell r="D2113">
            <v>508167</v>
          </cell>
          <cell r="E2113" t="str">
            <v>Volvo</v>
          </cell>
          <cell r="F2113" t="str">
            <v>B8RLEA</v>
          </cell>
          <cell r="G2113" t="str">
            <v>MARCOPOLO</v>
          </cell>
          <cell r="H2113" t="str">
            <v>GRAN VIALE</v>
          </cell>
          <cell r="I2113">
            <v>2020</v>
          </cell>
          <cell r="J2113" t="str">
            <v>C</v>
          </cell>
          <cell r="K2113" t="str">
            <v>PIE ANDINO</v>
          </cell>
          <cell r="L2113" t="str">
            <v>Pie Andino 31 (Pie Andino 383)</v>
          </cell>
          <cell r="M2113" t="str">
            <v>Puente Alto</v>
          </cell>
          <cell r="N2113" t="str">
            <v>C</v>
          </cell>
        </row>
        <row r="2114">
          <cell r="B2114" t="str">
            <v>LZRD65</v>
          </cell>
          <cell r="C2114" t="str">
            <v>YV3T7U521LA201500</v>
          </cell>
          <cell r="D2114">
            <v>507859</v>
          </cell>
          <cell r="E2114" t="str">
            <v>Volvo</v>
          </cell>
          <cell r="F2114" t="str">
            <v>B8RLEA</v>
          </cell>
          <cell r="G2114" t="str">
            <v>MARCOPOLO</v>
          </cell>
          <cell r="H2114" t="str">
            <v>GRAN VIALE</v>
          </cell>
          <cell r="I2114">
            <v>2020</v>
          </cell>
          <cell r="J2114" t="str">
            <v>C</v>
          </cell>
          <cell r="K2114" t="str">
            <v>PIE ANDINO</v>
          </cell>
          <cell r="L2114" t="str">
            <v>Pie Andino 31 (Pie Andino 383)</v>
          </cell>
          <cell r="M2114" t="str">
            <v>Puente Alto</v>
          </cell>
          <cell r="N2114" t="str">
            <v>C</v>
          </cell>
        </row>
        <row r="2115">
          <cell r="B2115" t="str">
            <v>LZRD66</v>
          </cell>
          <cell r="C2115" t="str">
            <v>YV3T7U522LA198722</v>
          </cell>
          <cell r="D2115">
            <v>508172</v>
          </cell>
          <cell r="E2115" t="str">
            <v>Volvo</v>
          </cell>
          <cell r="F2115" t="str">
            <v>B8RLEA</v>
          </cell>
          <cell r="G2115" t="str">
            <v>MARCOPOLO</v>
          </cell>
          <cell r="H2115" t="str">
            <v>GRAN VIALE</v>
          </cell>
          <cell r="I2115">
            <v>2020</v>
          </cell>
          <cell r="J2115" t="str">
            <v>C</v>
          </cell>
          <cell r="K2115" t="str">
            <v>PIE ANDINO</v>
          </cell>
          <cell r="L2115" t="str">
            <v>Pie Andino 31 (Pie Andino 383)</v>
          </cell>
          <cell r="M2115" t="str">
            <v>Puente Alto</v>
          </cell>
          <cell r="N2115" t="str">
            <v>C</v>
          </cell>
        </row>
        <row r="2116">
          <cell r="B2116" t="str">
            <v>LZRD67</v>
          </cell>
          <cell r="C2116" t="str">
            <v>YV3T7U520LA201696</v>
          </cell>
          <cell r="D2116">
            <v>508690</v>
          </cell>
          <cell r="E2116" t="str">
            <v>Volvo</v>
          </cell>
          <cell r="F2116" t="str">
            <v>B8RLEA</v>
          </cell>
          <cell r="G2116" t="str">
            <v>MARCOPOLO</v>
          </cell>
          <cell r="H2116" t="str">
            <v>GRAN VIALE</v>
          </cell>
          <cell r="I2116">
            <v>2020</v>
          </cell>
          <cell r="J2116" t="str">
            <v>C</v>
          </cell>
          <cell r="K2116" t="str">
            <v>SAN ALFONSO</v>
          </cell>
          <cell r="L2116" t="str">
            <v>San Alfonso 2141 (Ramón Subercaseaux 3060)</v>
          </cell>
          <cell r="M2116" t="str">
            <v>Estacion Central</v>
          </cell>
          <cell r="N2116" t="str">
            <v>C</v>
          </cell>
        </row>
        <row r="2117">
          <cell r="B2117" t="str">
            <v>LZRD68</v>
          </cell>
          <cell r="C2117" t="str">
            <v>YV3T7U52XLA201608</v>
          </cell>
          <cell r="D2117">
            <v>508223</v>
          </cell>
          <cell r="E2117" t="str">
            <v>Volvo</v>
          </cell>
          <cell r="F2117" t="str">
            <v>B8RLEA</v>
          </cell>
          <cell r="G2117" t="str">
            <v>MARCOPOLO</v>
          </cell>
          <cell r="H2117" t="str">
            <v>GRAN VIALE</v>
          </cell>
          <cell r="I2117">
            <v>2020</v>
          </cell>
          <cell r="J2117" t="str">
            <v>C</v>
          </cell>
          <cell r="K2117" t="str">
            <v>PIE ANDINO</v>
          </cell>
          <cell r="L2117" t="str">
            <v>Pie Andino 31 (Pie Andino 383)</v>
          </cell>
          <cell r="M2117" t="str">
            <v>Puente Alto</v>
          </cell>
          <cell r="N2117" t="str">
            <v>C</v>
          </cell>
        </row>
        <row r="2118">
          <cell r="B2118" t="str">
            <v>LZRD69</v>
          </cell>
          <cell r="C2118" t="str">
            <v>YV3T7U521LA201545</v>
          </cell>
          <cell r="D2118">
            <v>508144</v>
          </cell>
          <cell r="E2118" t="str">
            <v>Volvo</v>
          </cell>
          <cell r="F2118" t="str">
            <v>B8RLEA</v>
          </cell>
          <cell r="G2118" t="str">
            <v>MARCOPOLO</v>
          </cell>
          <cell r="H2118" t="str">
            <v>GRAN VIALE</v>
          </cell>
          <cell r="I2118">
            <v>2020</v>
          </cell>
          <cell r="J2118" t="str">
            <v>C</v>
          </cell>
          <cell r="K2118" t="str">
            <v>PIE ANDINO</v>
          </cell>
          <cell r="L2118" t="str">
            <v>Pie Andino 31 (Pie Andino 383)</v>
          </cell>
          <cell r="M2118" t="str">
            <v>Puente Alto</v>
          </cell>
          <cell r="N2118" t="str">
            <v>C</v>
          </cell>
        </row>
        <row r="2119">
          <cell r="B2119" t="str">
            <v>LZRD70</v>
          </cell>
          <cell r="C2119" t="str">
            <v>YV3T7U528LA201543</v>
          </cell>
          <cell r="D2119">
            <v>508132</v>
          </cell>
          <cell r="E2119" t="str">
            <v>Volvo</v>
          </cell>
          <cell r="F2119" t="str">
            <v>B8RLEA</v>
          </cell>
          <cell r="G2119" t="str">
            <v>MARCOPOLO</v>
          </cell>
          <cell r="H2119" t="str">
            <v>GRAN VIALE</v>
          </cell>
          <cell r="I2119">
            <v>2020</v>
          </cell>
          <cell r="J2119" t="str">
            <v>C</v>
          </cell>
          <cell r="K2119" t="str">
            <v>PIE ANDINO</v>
          </cell>
          <cell r="L2119" t="str">
            <v>Pie Andino 31 (Pie Andino 383)</v>
          </cell>
          <cell r="M2119" t="str">
            <v>Puente Alto</v>
          </cell>
          <cell r="N2119" t="str">
            <v>C</v>
          </cell>
        </row>
        <row r="2120">
          <cell r="B2120" t="str">
            <v>LZRD71</v>
          </cell>
          <cell r="C2120" t="str">
            <v>YV3T7U528LA201624</v>
          </cell>
          <cell r="D2120">
            <v>508345</v>
          </cell>
          <cell r="E2120" t="str">
            <v>Volvo</v>
          </cell>
          <cell r="F2120" t="str">
            <v>B8RLEA</v>
          </cell>
          <cell r="G2120" t="str">
            <v>MARCOPOLO</v>
          </cell>
          <cell r="H2120" t="str">
            <v>GRAN VIALE</v>
          </cell>
          <cell r="I2120">
            <v>2020</v>
          </cell>
          <cell r="J2120" t="str">
            <v>C</v>
          </cell>
          <cell r="K2120" t="str">
            <v>PIE ANDINO</v>
          </cell>
          <cell r="L2120" t="str">
            <v>Pie Andino 31 (Pie Andino 383)</v>
          </cell>
          <cell r="M2120" t="str">
            <v>Puente Alto</v>
          </cell>
          <cell r="N2120" t="str">
            <v>C</v>
          </cell>
        </row>
        <row r="2121">
          <cell r="B2121" t="str">
            <v>LZRD72</v>
          </cell>
          <cell r="C2121" t="str">
            <v>YV3T7U525LA198729</v>
          </cell>
          <cell r="D2121">
            <v>508201</v>
          </cell>
          <cell r="E2121" t="str">
            <v>Volvo</v>
          </cell>
          <cell r="F2121" t="str">
            <v>B8RLEA</v>
          </cell>
          <cell r="G2121" t="str">
            <v>MARCOPOLO</v>
          </cell>
          <cell r="H2121" t="str">
            <v>GRAN VIALE</v>
          </cell>
          <cell r="I2121">
            <v>2020</v>
          </cell>
          <cell r="J2121" t="str">
            <v>C</v>
          </cell>
          <cell r="K2121" t="str">
            <v>PIE ANDINO</v>
          </cell>
          <cell r="L2121" t="str">
            <v>Pie Andino 31 (Pie Andino 383)</v>
          </cell>
          <cell r="M2121" t="str">
            <v>Puente Alto</v>
          </cell>
          <cell r="N2121" t="str">
            <v>C</v>
          </cell>
        </row>
        <row r="2122">
          <cell r="B2122" t="str">
            <v>LZRD73</v>
          </cell>
          <cell r="C2122" t="str">
            <v>YV3T7U526LA201542</v>
          </cell>
          <cell r="D2122">
            <v>508119</v>
          </cell>
          <cell r="E2122" t="str">
            <v>Volvo</v>
          </cell>
          <cell r="F2122" t="str">
            <v>B8RLEA</v>
          </cell>
          <cell r="G2122" t="str">
            <v>MARCOPOLO</v>
          </cell>
          <cell r="H2122" t="str">
            <v>GRAN VIALE</v>
          </cell>
          <cell r="I2122">
            <v>2020</v>
          </cell>
          <cell r="J2122" t="str">
            <v>C</v>
          </cell>
          <cell r="K2122" t="str">
            <v>PIE ANDINO</v>
          </cell>
          <cell r="L2122" t="str">
            <v>Pie Andino 31 (Pie Andino 383)</v>
          </cell>
          <cell r="M2122" t="str">
            <v>Puente Alto</v>
          </cell>
          <cell r="N2122" t="str">
            <v>C</v>
          </cell>
        </row>
        <row r="2123">
          <cell r="B2123" t="str">
            <v>LZRD74</v>
          </cell>
          <cell r="C2123" t="str">
            <v>YV3T7U524LA201622</v>
          </cell>
          <cell r="D2123">
            <v>508282</v>
          </cell>
          <cell r="E2123" t="str">
            <v>Volvo</v>
          </cell>
          <cell r="F2123" t="str">
            <v>B8RLEA</v>
          </cell>
          <cell r="G2123" t="str">
            <v>MARCOPOLO</v>
          </cell>
          <cell r="H2123" t="str">
            <v>GRAN VIALE</v>
          </cell>
          <cell r="I2123">
            <v>2020</v>
          </cell>
          <cell r="J2123" t="str">
            <v>C</v>
          </cell>
          <cell r="K2123" t="str">
            <v>PIE ANDINO</v>
          </cell>
          <cell r="L2123" t="str">
            <v>Pie Andino 31 (Pie Andino 383)</v>
          </cell>
          <cell r="M2123" t="str">
            <v>Puente Alto</v>
          </cell>
          <cell r="N2123" t="str">
            <v>C</v>
          </cell>
        </row>
        <row r="2124">
          <cell r="B2124" t="str">
            <v>LZRD75</v>
          </cell>
          <cell r="C2124" t="str">
            <v>YV3T7U52XLA201544</v>
          </cell>
          <cell r="D2124">
            <v>508121</v>
          </cell>
          <cell r="E2124" t="str">
            <v>Volvo</v>
          </cell>
          <cell r="F2124" t="str">
            <v>B8RLEA</v>
          </cell>
          <cell r="G2124" t="str">
            <v>MARCOPOLO</v>
          </cell>
          <cell r="H2124" t="str">
            <v>GRAN VIALE</v>
          </cell>
          <cell r="I2124">
            <v>2020</v>
          </cell>
          <cell r="J2124" t="str">
            <v>C</v>
          </cell>
          <cell r="K2124" t="str">
            <v>SAN ALFONSO</v>
          </cell>
          <cell r="L2124" t="str">
            <v>San Alfonso 2141 (Ramón Subercaseaux 3060)</v>
          </cell>
          <cell r="M2124" t="str">
            <v>Estacion Central</v>
          </cell>
          <cell r="N2124" t="str">
            <v>C</v>
          </cell>
        </row>
        <row r="2125">
          <cell r="B2125" t="str">
            <v>LZRD76</v>
          </cell>
          <cell r="C2125" t="str">
            <v>YV3T7U528LA198725</v>
          </cell>
          <cell r="D2125">
            <v>508224</v>
          </cell>
          <cell r="E2125" t="str">
            <v>Volvo</v>
          </cell>
          <cell r="F2125" t="str">
            <v>B8RLEA</v>
          </cell>
          <cell r="G2125" t="str">
            <v>MARCOPOLO</v>
          </cell>
          <cell r="H2125" t="str">
            <v>GRAN VIALE</v>
          </cell>
          <cell r="I2125">
            <v>2020</v>
          </cell>
          <cell r="J2125" t="str">
            <v>C</v>
          </cell>
          <cell r="K2125" t="str">
            <v>SAN ALFONSO</v>
          </cell>
          <cell r="L2125" t="str">
            <v>San Alfonso 2141 (Ramón Subercaseaux 3060)</v>
          </cell>
          <cell r="M2125" t="str">
            <v>Estacion Central</v>
          </cell>
          <cell r="N2125" t="str">
            <v>C</v>
          </cell>
        </row>
        <row r="2126">
          <cell r="B2126" t="str">
            <v>LZRD77</v>
          </cell>
          <cell r="C2126" t="str">
            <v>YV3T7U524LA201667</v>
          </cell>
          <cell r="D2126">
            <v>508615</v>
          </cell>
          <cell r="E2126" t="str">
            <v>Volvo</v>
          </cell>
          <cell r="F2126" t="str">
            <v>B8RLEA</v>
          </cell>
          <cell r="G2126" t="str">
            <v>MARCOPOLO</v>
          </cell>
          <cell r="H2126" t="str">
            <v>GRAN VIALE</v>
          </cell>
          <cell r="I2126">
            <v>2020</v>
          </cell>
          <cell r="J2126" t="str">
            <v>C</v>
          </cell>
          <cell r="K2126" t="str">
            <v>PIE ANDINO</v>
          </cell>
          <cell r="L2126" t="str">
            <v>Pie Andino 31 (Pie Andino 383)</v>
          </cell>
          <cell r="M2126" t="str">
            <v>Puente Alto</v>
          </cell>
          <cell r="N2126" t="str">
            <v>C</v>
          </cell>
        </row>
        <row r="2127">
          <cell r="B2127" t="str">
            <v>LZRD78</v>
          </cell>
          <cell r="C2127" t="str">
            <v>YV3T7U524LA201670</v>
          </cell>
          <cell r="D2127">
            <v>508569</v>
          </cell>
          <cell r="E2127" t="str">
            <v>Volvo</v>
          </cell>
          <cell r="F2127" t="str">
            <v>B8RLEA</v>
          </cell>
          <cell r="G2127" t="str">
            <v>MARCOPOLO</v>
          </cell>
          <cell r="H2127" t="str">
            <v>GRAN VIALE</v>
          </cell>
          <cell r="I2127">
            <v>2020</v>
          </cell>
          <cell r="J2127" t="str">
            <v>C</v>
          </cell>
          <cell r="K2127" t="str">
            <v>SAN ALFONSO</v>
          </cell>
          <cell r="L2127" t="str">
            <v>San Alfonso 2141 (Ramón Subercaseaux 3060)</v>
          </cell>
          <cell r="M2127" t="str">
            <v>Estacion Central</v>
          </cell>
          <cell r="N2127" t="str">
            <v>C</v>
          </cell>
        </row>
        <row r="2128">
          <cell r="B2128" t="str">
            <v>LZRD79</v>
          </cell>
          <cell r="C2128" t="str">
            <v>YV3T7U52XLA201625</v>
          </cell>
          <cell r="D2128">
            <v>508297</v>
          </cell>
          <cell r="E2128" t="str">
            <v>Volvo</v>
          </cell>
          <cell r="F2128" t="str">
            <v>B8RLEA</v>
          </cell>
          <cell r="G2128" t="str">
            <v>MARCOPOLO</v>
          </cell>
          <cell r="H2128" t="str">
            <v>GRAN VIALE</v>
          </cell>
          <cell r="I2128">
            <v>2020</v>
          </cell>
          <cell r="J2128" t="str">
            <v>C</v>
          </cell>
          <cell r="K2128" t="str">
            <v>PIE ANDINO</v>
          </cell>
          <cell r="L2128" t="str">
            <v>Pie Andino 31 (Pie Andino 383)</v>
          </cell>
          <cell r="M2128" t="str">
            <v>Puente Alto</v>
          </cell>
          <cell r="N2128" t="str">
            <v>C</v>
          </cell>
        </row>
        <row r="2129">
          <cell r="B2129" t="str">
            <v>LZRD80</v>
          </cell>
          <cell r="C2129" t="str">
            <v>YV3T7U520LA201620</v>
          </cell>
          <cell r="D2129">
            <v>508303</v>
          </cell>
          <cell r="E2129" t="str">
            <v>Volvo</v>
          </cell>
          <cell r="F2129" t="str">
            <v>B8RLEA</v>
          </cell>
          <cell r="G2129" t="str">
            <v>MARCOPOLO</v>
          </cell>
          <cell r="H2129" t="str">
            <v>GRAN VIALE</v>
          </cell>
          <cell r="I2129">
            <v>2020</v>
          </cell>
          <cell r="J2129" t="str">
            <v>C</v>
          </cell>
          <cell r="K2129" t="str">
            <v>PIE ANDINO</v>
          </cell>
          <cell r="L2129" t="str">
            <v>Pie Andino 31 (Pie Andino 383)</v>
          </cell>
          <cell r="M2129" t="str">
            <v>Puente Alto</v>
          </cell>
          <cell r="N2129" t="str">
            <v>C</v>
          </cell>
        </row>
        <row r="2130">
          <cell r="B2130" t="str">
            <v>LZRD81</v>
          </cell>
          <cell r="C2130" t="str">
            <v>YV3T7U526LA201606</v>
          </cell>
          <cell r="D2130">
            <v>508235</v>
          </cell>
          <cell r="E2130" t="str">
            <v>Volvo</v>
          </cell>
          <cell r="F2130" t="str">
            <v>B8RLEA</v>
          </cell>
          <cell r="G2130" t="str">
            <v>MARCOPOLO</v>
          </cell>
          <cell r="H2130" t="str">
            <v>GRAN VIALE</v>
          </cell>
          <cell r="I2130">
            <v>2020</v>
          </cell>
          <cell r="J2130" t="str">
            <v>C</v>
          </cell>
          <cell r="K2130" t="str">
            <v>PIE ANDINO</v>
          </cell>
          <cell r="L2130" t="str">
            <v>Pie Andino 31 (Pie Andino 383)</v>
          </cell>
          <cell r="M2130" t="str">
            <v>Puente Alto</v>
          </cell>
          <cell r="N2130" t="str">
            <v>C</v>
          </cell>
        </row>
        <row r="2131">
          <cell r="B2131" t="str">
            <v>LZRD82</v>
          </cell>
          <cell r="C2131" t="str">
            <v>YV3T7U527LA201498</v>
          </cell>
          <cell r="D2131">
            <v>507854</v>
          </cell>
          <cell r="E2131" t="str">
            <v>Volvo</v>
          </cell>
          <cell r="F2131" t="str">
            <v>B8RLEA</v>
          </cell>
          <cell r="G2131" t="str">
            <v>MARCOPOLO</v>
          </cell>
          <cell r="H2131" t="str">
            <v>GRAN VIALE</v>
          </cell>
          <cell r="I2131">
            <v>2020</v>
          </cell>
          <cell r="J2131" t="str">
            <v>C</v>
          </cell>
          <cell r="K2131" t="str">
            <v>PIE ANDINO</v>
          </cell>
          <cell r="L2131" t="str">
            <v>Pie Andino 31 (Pie Andino 383)</v>
          </cell>
          <cell r="M2131" t="str">
            <v>Puente Alto</v>
          </cell>
          <cell r="N2131" t="str">
            <v>C</v>
          </cell>
        </row>
        <row r="2132">
          <cell r="B2132" t="str">
            <v>LZRD83</v>
          </cell>
          <cell r="C2132" t="str">
            <v>YV3T7U522LA201540</v>
          </cell>
          <cell r="D2132">
            <v>507955</v>
          </cell>
          <cell r="E2132" t="str">
            <v>Volvo</v>
          </cell>
          <cell r="F2132" t="str">
            <v>B8RLEA</v>
          </cell>
          <cell r="G2132" t="str">
            <v>MARCOPOLO</v>
          </cell>
          <cell r="H2132" t="str">
            <v>GRAN VIALE</v>
          </cell>
          <cell r="I2132">
            <v>2020</v>
          </cell>
          <cell r="J2132" t="str">
            <v>C</v>
          </cell>
          <cell r="K2132" t="str">
            <v>SAN ALFONSO</v>
          </cell>
          <cell r="L2132" t="str">
            <v>San Alfonso 2141 (Ramón Subercaseaux 3060)</v>
          </cell>
          <cell r="M2132" t="str">
            <v>Estacion Central</v>
          </cell>
          <cell r="N2132" t="str">
            <v>C</v>
          </cell>
        </row>
        <row r="2133">
          <cell r="B2133" t="str">
            <v>LZRD84</v>
          </cell>
          <cell r="C2133" t="str">
            <v>YV3T7U526LA201668</v>
          </cell>
          <cell r="D2133">
            <v>508633</v>
          </cell>
          <cell r="E2133" t="str">
            <v>Volvo</v>
          </cell>
          <cell r="F2133" t="str">
            <v>B8RLEA</v>
          </cell>
          <cell r="G2133" t="str">
            <v>MARCOPOLO</v>
          </cell>
          <cell r="H2133" t="str">
            <v>GRAN VIALE</v>
          </cell>
          <cell r="I2133">
            <v>2020</v>
          </cell>
          <cell r="J2133" t="str">
            <v>C</v>
          </cell>
          <cell r="K2133" t="str">
            <v>PIE ANDINO</v>
          </cell>
          <cell r="L2133" t="str">
            <v>Pie Andino 31 (Pie Andino 383)</v>
          </cell>
          <cell r="M2133" t="str">
            <v>Puente Alto</v>
          </cell>
          <cell r="N2133" t="str">
            <v>C</v>
          </cell>
        </row>
        <row r="2134">
          <cell r="B2134" t="str">
            <v>LZRD85</v>
          </cell>
          <cell r="C2134" t="str">
            <v>YV3T7U529LA201695</v>
          </cell>
          <cell r="D2134">
            <v>508651</v>
          </cell>
          <cell r="E2134" t="str">
            <v>Volvo</v>
          </cell>
          <cell r="F2134" t="str">
            <v>B8RLEA</v>
          </cell>
          <cell r="G2134" t="str">
            <v>MARCOPOLO</v>
          </cell>
          <cell r="H2134" t="str">
            <v>GRAN VIALE</v>
          </cell>
          <cell r="I2134">
            <v>2020</v>
          </cell>
          <cell r="J2134" t="str">
            <v>C</v>
          </cell>
          <cell r="K2134" t="str">
            <v>PIE ANDINO</v>
          </cell>
          <cell r="L2134" t="str">
            <v>Pie Andino 31 (Pie Andino 383)</v>
          </cell>
          <cell r="M2134" t="str">
            <v>Puente Alto</v>
          </cell>
          <cell r="N2134" t="str">
            <v>C</v>
          </cell>
        </row>
        <row r="2135">
          <cell r="B2135" t="str">
            <v>LZRD86</v>
          </cell>
          <cell r="C2135" t="str">
            <v>YV3T7U521LA201609</v>
          </cell>
          <cell r="D2135">
            <v>508236</v>
          </cell>
          <cell r="E2135" t="str">
            <v>Volvo</v>
          </cell>
          <cell r="F2135" t="str">
            <v>B8RLEA</v>
          </cell>
          <cell r="G2135" t="str">
            <v>MARCOPOLO</v>
          </cell>
          <cell r="H2135" t="str">
            <v>GRAN VIALE</v>
          </cell>
          <cell r="I2135">
            <v>2020</v>
          </cell>
          <cell r="J2135" t="str">
            <v>C</v>
          </cell>
          <cell r="K2135" t="str">
            <v>PIE ANDINO</v>
          </cell>
          <cell r="L2135" t="str">
            <v>Pie Andino 31 (Pie Andino 383)</v>
          </cell>
          <cell r="M2135" t="str">
            <v>Puente Alto</v>
          </cell>
          <cell r="N2135" t="str">
            <v>C</v>
          </cell>
        </row>
        <row r="2136">
          <cell r="B2136" t="str">
            <v>LZRD87</v>
          </cell>
          <cell r="C2136" t="str">
            <v>YV3T7U522LA201621</v>
          </cell>
          <cell r="D2136">
            <v>508307</v>
          </cell>
          <cell r="E2136" t="str">
            <v>Volvo</v>
          </cell>
          <cell r="F2136" t="str">
            <v>B8RLEA</v>
          </cell>
          <cell r="G2136" t="str">
            <v>MARCOPOLO</v>
          </cell>
          <cell r="H2136" t="str">
            <v>GRAN VIALE</v>
          </cell>
          <cell r="I2136">
            <v>2020</v>
          </cell>
          <cell r="J2136" t="str">
            <v>C</v>
          </cell>
          <cell r="K2136" t="str">
            <v>PIE ANDINO</v>
          </cell>
          <cell r="L2136" t="str">
            <v>Pie Andino 31 (Pie Andino 383)</v>
          </cell>
          <cell r="M2136" t="str">
            <v>Puente Alto</v>
          </cell>
          <cell r="N2136" t="str">
            <v>C</v>
          </cell>
        </row>
        <row r="2137">
          <cell r="B2137" t="str">
            <v>LZRD88</v>
          </cell>
          <cell r="C2137" t="str">
            <v>YV3T7U528LA201607</v>
          </cell>
          <cell r="D2137">
            <v>508215</v>
          </cell>
          <cell r="E2137" t="str">
            <v>Volvo</v>
          </cell>
          <cell r="F2137" t="str">
            <v>B8RLEA</v>
          </cell>
          <cell r="G2137" t="str">
            <v>MARCOPOLO</v>
          </cell>
          <cell r="H2137" t="str">
            <v>GRAN VIALE</v>
          </cell>
          <cell r="I2137">
            <v>2020</v>
          </cell>
          <cell r="J2137" t="str">
            <v>C</v>
          </cell>
          <cell r="K2137" t="str">
            <v>SAN ALFONSO</v>
          </cell>
          <cell r="L2137" t="str">
            <v>San Alfonso 2141 (Ramón Subercaseaux 3060)</v>
          </cell>
          <cell r="M2137" t="str">
            <v>Estacion Central</v>
          </cell>
          <cell r="N2137" t="str">
            <v>C</v>
          </cell>
        </row>
        <row r="2138">
          <cell r="B2138" t="str">
            <v>LZRD89</v>
          </cell>
          <cell r="C2138" t="str">
            <v>YV3T7U527LA201694</v>
          </cell>
          <cell r="D2138">
            <v>508655</v>
          </cell>
          <cell r="E2138" t="str">
            <v>Volvo</v>
          </cell>
          <cell r="F2138" t="str">
            <v>B8RLEA</v>
          </cell>
          <cell r="G2138" t="str">
            <v>MARCOPOLO</v>
          </cell>
          <cell r="H2138" t="str">
            <v>GRAN VIALE</v>
          </cell>
          <cell r="I2138">
            <v>2020</v>
          </cell>
          <cell r="J2138" t="str">
            <v>C</v>
          </cell>
          <cell r="K2138" t="str">
            <v>PIE ANDINO</v>
          </cell>
          <cell r="L2138" t="str">
            <v>Pie Andino 31 (Pie Andino 383)</v>
          </cell>
          <cell r="M2138" t="str">
            <v>Puente Alto</v>
          </cell>
          <cell r="N2138" t="str">
            <v>C</v>
          </cell>
        </row>
        <row r="2139">
          <cell r="B2139" t="str">
            <v>LZRD90</v>
          </cell>
          <cell r="C2139" t="str">
            <v>YV3T7U528LA201610</v>
          </cell>
          <cell r="D2139">
            <v>508198</v>
          </cell>
          <cell r="E2139" t="str">
            <v>Volvo</v>
          </cell>
          <cell r="F2139" t="str">
            <v>B8RLEA</v>
          </cell>
          <cell r="G2139" t="str">
            <v>MARCOPOLO</v>
          </cell>
          <cell r="H2139" t="str">
            <v>GRAN VIALE</v>
          </cell>
          <cell r="I2139">
            <v>2020</v>
          </cell>
          <cell r="J2139" t="str">
            <v>C</v>
          </cell>
          <cell r="K2139" t="str">
            <v>PIE ANDINO</v>
          </cell>
          <cell r="L2139" t="str">
            <v>Pie Andino 31 (Pie Andino 383)</v>
          </cell>
          <cell r="M2139" t="str">
            <v>Puente Alto</v>
          </cell>
          <cell r="N2139" t="str">
            <v>C</v>
          </cell>
        </row>
        <row r="2140">
          <cell r="B2140" t="str">
            <v>LZRD91</v>
          </cell>
          <cell r="C2140" t="str">
            <v>YV3T7U525LA201922</v>
          </cell>
          <cell r="D2140">
            <v>509348</v>
          </cell>
          <cell r="E2140" t="str">
            <v>Volvo</v>
          </cell>
          <cell r="F2140" t="str">
            <v>B8RLEA</v>
          </cell>
          <cell r="G2140" t="str">
            <v>MARCOPOLO</v>
          </cell>
          <cell r="H2140" t="str">
            <v>GRAN VIALE</v>
          </cell>
          <cell r="I2140">
            <v>2020</v>
          </cell>
          <cell r="J2140" t="str">
            <v>C</v>
          </cell>
          <cell r="K2140" t="str">
            <v>SAN ALFONSO</v>
          </cell>
          <cell r="L2140" t="str">
            <v>San Alfonso 2141 (Ramón Subercaseaux 3060)</v>
          </cell>
          <cell r="M2140" t="str">
            <v>Estacion Central</v>
          </cell>
          <cell r="N2140" t="str">
            <v>C</v>
          </cell>
        </row>
        <row r="2141">
          <cell r="B2141" t="str">
            <v>LZRD92</v>
          </cell>
          <cell r="C2141" t="str">
            <v>YV3T7U527LA201906</v>
          </cell>
          <cell r="D2141">
            <v>509467</v>
          </cell>
          <cell r="E2141" t="str">
            <v>Volvo</v>
          </cell>
          <cell r="F2141" t="str">
            <v>B8RLEA</v>
          </cell>
          <cell r="G2141" t="str">
            <v>MARCOPOLO</v>
          </cell>
          <cell r="H2141" t="str">
            <v>GRAN VIALE</v>
          </cell>
          <cell r="I2141">
            <v>2020</v>
          </cell>
          <cell r="J2141" t="str">
            <v>C</v>
          </cell>
          <cell r="K2141" t="str">
            <v>SAN ALFONSO</v>
          </cell>
          <cell r="L2141" t="str">
            <v>San Alfonso 2141 (Ramón Subercaseaux 3060)</v>
          </cell>
          <cell r="M2141" t="str">
            <v>Estacion Central</v>
          </cell>
          <cell r="N2141" t="str">
            <v>C</v>
          </cell>
        </row>
        <row r="2142">
          <cell r="B2142" t="str">
            <v>LZRD61</v>
          </cell>
          <cell r="C2142" t="str">
            <v>YV3T7U528LA201848</v>
          </cell>
          <cell r="D2142">
            <v>507981</v>
          </cell>
          <cell r="E2142" t="str">
            <v>Volvo</v>
          </cell>
          <cell r="F2142" t="str">
            <v>B8RLEA</v>
          </cell>
          <cell r="G2142" t="str">
            <v>MARCOPOLO</v>
          </cell>
          <cell r="H2142" t="str">
            <v>GRAN VIALE</v>
          </cell>
          <cell r="I2142">
            <v>2020</v>
          </cell>
          <cell r="J2142" t="str">
            <v>C</v>
          </cell>
          <cell r="K2142" t="str">
            <v>PIE ANDINO</v>
          </cell>
          <cell r="L2142" t="str">
            <v>Pie Andino 31 (Pie Andino 383)</v>
          </cell>
          <cell r="M2142" t="str">
            <v>Puente Alto</v>
          </cell>
          <cell r="N2142" t="str">
            <v>C</v>
          </cell>
        </row>
        <row r="2143">
          <cell r="B2143" t="str">
            <v>LZRD94</v>
          </cell>
          <cell r="C2143" t="str">
            <v>YV3T7U523LA201708</v>
          </cell>
          <cell r="D2143">
            <v>508404</v>
          </cell>
          <cell r="E2143" t="str">
            <v>Volvo</v>
          </cell>
          <cell r="F2143" t="str">
            <v>B8RLEA</v>
          </cell>
          <cell r="G2143" t="str">
            <v>MARCOPOLO</v>
          </cell>
          <cell r="H2143" t="str">
            <v>GRAN VIALE</v>
          </cell>
          <cell r="I2143">
            <v>2020</v>
          </cell>
          <cell r="J2143" t="str">
            <v>C</v>
          </cell>
          <cell r="K2143" t="str">
            <v>PIE ANDINO</v>
          </cell>
          <cell r="L2143" t="str">
            <v>Pie Andino 31 (Pie Andino 383)</v>
          </cell>
          <cell r="M2143" t="str">
            <v>Puente Alto</v>
          </cell>
          <cell r="N2143" t="str">
            <v>C</v>
          </cell>
        </row>
        <row r="2144">
          <cell r="B2144" t="str">
            <v>LZRD95</v>
          </cell>
          <cell r="C2144" t="str">
            <v>YV3T7U525LA201905</v>
          </cell>
          <cell r="D2144">
            <v>509585</v>
          </cell>
          <cell r="E2144" t="str">
            <v>Volvo</v>
          </cell>
          <cell r="F2144" t="str">
            <v>B8RLEA</v>
          </cell>
          <cell r="G2144" t="str">
            <v>MARCOPOLO</v>
          </cell>
          <cell r="H2144" t="str">
            <v>GRAN VIALE</v>
          </cell>
          <cell r="I2144">
            <v>2020</v>
          </cell>
          <cell r="J2144" t="str">
            <v>C</v>
          </cell>
          <cell r="K2144" t="str">
            <v>PIE ANDINO</v>
          </cell>
          <cell r="L2144" t="str">
            <v>Pie Andino 31 (Pie Andino 383)</v>
          </cell>
          <cell r="M2144" t="str">
            <v>Puente Alto</v>
          </cell>
          <cell r="N2144" t="str">
            <v>C</v>
          </cell>
        </row>
        <row r="2145">
          <cell r="B2145" t="str">
            <v>LZRD96</v>
          </cell>
          <cell r="C2145" t="str">
            <v>YV3T7U520LA201908</v>
          </cell>
          <cell r="D2145">
            <v>509583</v>
          </cell>
          <cell r="E2145" t="str">
            <v>Volvo</v>
          </cell>
          <cell r="F2145" t="str">
            <v>B8RLEA</v>
          </cell>
          <cell r="G2145" t="str">
            <v>MARCOPOLO</v>
          </cell>
          <cell r="H2145" t="str">
            <v>GRAN VIALE</v>
          </cell>
          <cell r="I2145">
            <v>2020</v>
          </cell>
          <cell r="J2145" t="str">
            <v>C</v>
          </cell>
          <cell r="K2145" t="str">
            <v>PIE ANDINO</v>
          </cell>
          <cell r="L2145" t="str">
            <v>Pie Andino 31 (Pie Andino 383)</v>
          </cell>
          <cell r="M2145" t="str">
            <v>Puente Alto</v>
          </cell>
          <cell r="N2145" t="str">
            <v>C</v>
          </cell>
        </row>
        <row r="2146">
          <cell r="B2146" t="str">
            <v>LZRD97</v>
          </cell>
          <cell r="C2146" t="str">
            <v>YV3T7U529LA201907</v>
          </cell>
          <cell r="D2146">
            <v>509444</v>
          </cell>
          <cell r="E2146" t="str">
            <v>Volvo</v>
          </cell>
          <cell r="F2146" t="str">
            <v>B8RLEA</v>
          </cell>
          <cell r="G2146" t="str">
            <v>MARCOPOLO</v>
          </cell>
          <cell r="H2146" t="str">
            <v>GRAN VIALE</v>
          </cell>
          <cell r="I2146">
            <v>2020</v>
          </cell>
          <cell r="J2146" t="str">
            <v>C</v>
          </cell>
          <cell r="K2146" t="str">
            <v>PIE ANDINO</v>
          </cell>
          <cell r="L2146" t="str">
            <v>Pie Andino 31 (Pie Andino 383)</v>
          </cell>
          <cell r="M2146" t="str">
            <v>Puente Alto</v>
          </cell>
          <cell r="N2146" t="str">
            <v>C</v>
          </cell>
        </row>
        <row r="2147">
          <cell r="B2147" t="str">
            <v>LZRD98</v>
          </cell>
          <cell r="C2147" t="str">
            <v>YV3T7U526LA201802</v>
          </cell>
          <cell r="D2147">
            <v>509171</v>
          </cell>
          <cell r="E2147" t="str">
            <v>Volvo</v>
          </cell>
          <cell r="F2147" t="str">
            <v>B8RLEA</v>
          </cell>
          <cell r="G2147" t="str">
            <v>MARCOPOLO</v>
          </cell>
          <cell r="H2147" t="str">
            <v>GRAN VIALE</v>
          </cell>
          <cell r="I2147">
            <v>2020</v>
          </cell>
          <cell r="J2147" t="str">
            <v>C</v>
          </cell>
          <cell r="K2147" t="str">
            <v>PIE ANDINO</v>
          </cell>
          <cell r="L2147" t="str">
            <v>Pie Andino 31 (Pie Andino 383)</v>
          </cell>
          <cell r="M2147" t="str">
            <v>Puente Alto</v>
          </cell>
          <cell r="N2147" t="str">
            <v>C</v>
          </cell>
        </row>
        <row r="2148">
          <cell r="B2148" t="str">
            <v>LZRD99</v>
          </cell>
          <cell r="C2148" t="str">
            <v>YV3T7U523LA201904</v>
          </cell>
          <cell r="D2148">
            <v>509572</v>
          </cell>
          <cell r="E2148" t="str">
            <v>Volvo</v>
          </cell>
          <cell r="F2148" t="str">
            <v>B8RLEA</v>
          </cell>
          <cell r="G2148" t="str">
            <v>MARCOPOLO</v>
          </cell>
          <cell r="H2148" t="str">
            <v>GRAN VIALE</v>
          </cell>
          <cell r="I2148">
            <v>2020</v>
          </cell>
          <cell r="J2148" t="str">
            <v>C</v>
          </cell>
          <cell r="K2148" t="str">
            <v>PIE ANDINO</v>
          </cell>
          <cell r="L2148" t="str">
            <v>Pie Andino 31 (Pie Andino 383)</v>
          </cell>
          <cell r="M2148" t="str">
            <v>Puente Alto</v>
          </cell>
          <cell r="N2148" t="str">
            <v>C</v>
          </cell>
        </row>
        <row r="2149">
          <cell r="B2149" t="str">
            <v>LZRF10</v>
          </cell>
          <cell r="C2149" t="str">
            <v>YV3T7U525LA201712</v>
          </cell>
          <cell r="D2149">
            <v>508475</v>
          </cell>
          <cell r="E2149" t="str">
            <v>Volvo</v>
          </cell>
          <cell r="F2149" t="str">
            <v>B8RLEA</v>
          </cell>
          <cell r="G2149" t="str">
            <v>MARCOPOLO</v>
          </cell>
          <cell r="H2149" t="str">
            <v>GRAN VIALE</v>
          </cell>
          <cell r="I2149">
            <v>2020</v>
          </cell>
          <cell r="J2149" t="str">
            <v>C</v>
          </cell>
          <cell r="K2149" t="str">
            <v>PIE ANDINO</v>
          </cell>
          <cell r="L2149" t="str">
            <v>Pie Andino 31 (Pie Andino 383)</v>
          </cell>
          <cell r="M2149" t="str">
            <v>Puente Alto</v>
          </cell>
          <cell r="N2149" t="str">
            <v>C</v>
          </cell>
        </row>
        <row r="2150">
          <cell r="B2150" t="str">
            <v>LZRF11</v>
          </cell>
          <cell r="C2150" t="str">
            <v>YV3T7U526LA201847</v>
          </cell>
          <cell r="D2150">
            <v>507974</v>
          </cell>
          <cell r="E2150" t="str">
            <v>Volvo</v>
          </cell>
          <cell r="F2150" t="str">
            <v>B8RLEA</v>
          </cell>
          <cell r="G2150" t="str">
            <v>MARCOPOLO</v>
          </cell>
          <cell r="H2150" t="str">
            <v>GRAN VIALE</v>
          </cell>
          <cell r="I2150">
            <v>2020</v>
          </cell>
          <cell r="J2150" t="str">
            <v>C</v>
          </cell>
          <cell r="K2150" t="str">
            <v>PIE ANDINO</v>
          </cell>
          <cell r="L2150" t="str">
            <v>Pie Andino 31 (Pie Andino 383)</v>
          </cell>
          <cell r="M2150" t="str">
            <v>Puente Alto</v>
          </cell>
          <cell r="N2150" t="str">
            <v>C</v>
          </cell>
        </row>
        <row r="2151">
          <cell r="B2151" t="str">
            <v>LZRF12</v>
          </cell>
          <cell r="C2151" t="str">
            <v>YV3T7U528LA201851</v>
          </cell>
          <cell r="D2151">
            <v>508008</v>
          </cell>
          <cell r="E2151" t="str">
            <v>Volvo</v>
          </cell>
          <cell r="F2151" t="str">
            <v>B8RLEA</v>
          </cell>
          <cell r="G2151" t="str">
            <v>MARCOPOLO</v>
          </cell>
          <cell r="H2151" t="str">
            <v>GRAN VIALE</v>
          </cell>
          <cell r="I2151">
            <v>2020</v>
          </cell>
          <cell r="J2151" t="str">
            <v>C</v>
          </cell>
          <cell r="K2151" t="str">
            <v>PIE ANDINO</v>
          </cell>
          <cell r="L2151" t="str">
            <v>Pie Andino 31 (Pie Andino 383)</v>
          </cell>
          <cell r="M2151" t="str">
            <v>Puente Alto</v>
          </cell>
          <cell r="N2151" t="str">
            <v>C</v>
          </cell>
        </row>
        <row r="2152">
          <cell r="B2152" t="str">
            <v>LZRF13</v>
          </cell>
          <cell r="C2152" t="str">
            <v>YV3T7U529LA201499</v>
          </cell>
          <cell r="D2152">
            <v>507878</v>
          </cell>
          <cell r="E2152" t="str">
            <v>Volvo</v>
          </cell>
          <cell r="F2152" t="str">
            <v>B8RLEA</v>
          </cell>
          <cell r="G2152" t="str">
            <v>MARCOPOLO</v>
          </cell>
          <cell r="H2152" t="str">
            <v>GRAN VIALE</v>
          </cell>
          <cell r="I2152">
            <v>2020</v>
          </cell>
          <cell r="J2152" t="str">
            <v>C</v>
          </cell>
          <cell r="K2152" t="str">
            <v>PIE ANDINO</v>
          </cell>
          <cell r="L2152" t="str">
            <v>Pie Andino 31 (Pie Andino 383)</v>
          </cell>
          <cell r="M2152" t="str">
            <v>Puente Alto</v>
          </cell>
          <cell r="N2152" t="str">
            <v>C</v>
          </cell>
        </row>
        <row r="2153">
          <cell r="B2153" t="str">
            <v>LZRF14</v>
          </cell>
          <cell r="C2153" t="str">
            <v>YV3T7U524LA201541</v>
          </cell>
          <cell r="D2153">
            <v>507933</v>
          </cell>
          <cell r="E2153" t="str">
            <v>Volvo</v>
          </cell>
          <cell r="F2153" t="str">
            <v>B8RLEA</v>
          </cell>
          <cell r="G2153" t="str">
            <v>MARCOPOLO</v>
          </cell>
          <cell r="H2153" t="str">
            <v>GRAN VIALE</v>
          </cell>
          <cell r="I2153">
            <v>2020</v>
          </cell>
          <cell r="J2153" t="str">
            <v>C</v>
          </cell>
          <cell r="K2153" t="str">
            <v>PIE ANDINO</v>
          </cell>
          <cell r="L2153" t="str">
            <v>Pie Andino 31 (Pie Andino 383)</v>
          </cell>
          <cell r="M2153" t="str">
            <v>Puente Alto</v>
          </cell>
          <cell r="N2153" t="str">
            <v>C</v>
          </cell>
        </row>
        <row r="2154">
          <cell r="B2154" t="str">
            <v>LZRF15</v>
          </cell>
          <cell r="C2154" t="str">
            <v>YV3T7U524LA198723</v>
          </cell>
          <cell r="D2154">
            <v>508173</v>
          </cell>
          <cell r="E2154" t="str">
            <v>Volvo</v>
          </cell>
          <cell r="F2154" t="str">
            <v>B8RLEA</v>
          </cell>
          <cell r="G2154" t="str">
            <v>MARCOPOLO</v>
          </cell>
          <cell r="H2154" t="str">
            <v>GRAN VIALE</v>
          </cell>
          <cell r="I2154">
            <v>2020</v>
          </cell>
          <cell r="J2154" t="str">
            <v>C</v>
          </cell>
          <cell r="K2154" t="str">
            <v>PIE ANDINO</v>
          </cell>
          <cell r="L2154" t="str">
            <v>Pie Andino 31 (Pie Andino 383)</v>
          </cell>
          <cell r="M2154" t="str">
            <v>Puente Alto</v>
          </cell>
          <cell r="N2154" t="str">
            <v>C</v>
          </cell>
        </row>
        <row r="2155">
          <cell r="B2155" t="str">
            <v>RJXT26</v>
          </cell>
          <cell r="C2155" t="str">
            <v>YV3T7U528KA194902</v>
          </cell>
          <cell r="D2155">
            <v>480074</v>
          </cell>
          <cell r="E2155" t="str">
            <v>Volvo</v>
          </cell>
          <cell r="F2155" t="str">
            <v>B8RLEA</v>
          </cell>
          <cell r="G2155" t="str">
            <v>MARCOPOLO</v>
          </cell>
          <cell r="H2155" t="str">
            <v>MONDEGO II</v>
          </cell>
          <cell r="I2155">
            <v>2021</v>
          </cell>
          <cell r="J2155" t="str">
            <v>C</v>
          </cell>
          <cell r="K2155" t="str">
            <v>PIE ANDINO</v>
          </cell>
          <cell r="L2155" t="str">
            <v>Pie Andino 31 (Pie Andino 383)</v>
          </cell>
          <cell r="M2155" t="str">
            <v>Puente Alto</v>
          </cell>
          <cell r="N2155" t="str">
            <v>C</v>
          </cell>
        </row>
        <row r="2156">
          <cell r="B2156" t="str">
            <v>RWTP78</v>
          </cell>
          <cell r="C2156" t="str">
            <v>YV3T7U52XNA207976</v>
          </cell>
          <cell r="D2156">
            <v>552632</v>
          </cell>
          <cell r="E2156" t="str">
            <v>Volvo</v>
          </cell>
          <cell r="F2156" t="str">
            <v>B8RLEA</v>
          </cell>
          <cell r="G2156" t="str">
            <v>MARCOPOLO</v>
          </cell>
          <cell r="H2156" t="str">
            <v>GRAN VIALE</v>
          </cell>
          <cell r="I2156">
            <v>2022</v>
          </cell>
          <cell r="J2156" t="str">
            <v>C</v>
          </cell>
          <cell r="K2156" t="str">
            <v>PIE ANDINO</v>
          </cell>
          <cell r="L2156" t="str">
            <v>Pie Andino 31 (Pie Andino 383)</v>
          </cell>
          <cell r="M2156" t="str">
            <v>Puente Alto</v>
          </cell>
          <cell r="N2156" t="str">
            <v>C</v>
          </cell>
        </row>
        <row r="2157">
          <cell r="B2157" t="str">
            <v>RWTP79</v>
          </cell>
          <cell r="C2157" t="str">
            <v>YV3T7U52XNA207895</v>
          </cell>
          <cell r="D2157">
            <v>552649</v>
          </cell>
          <cell r="E2157" t="str">
            <v>Volvo</v>
          </cell>
          <cell r="F2157" t="str">
            <v>B8RLEA</v>
          </cell>
          <cell r="G2157" t="str">
            <v>MARCOPOLO</v>
          </cell>
          <cell r="H2157" t="str">
            <v>GRAN VIALE</v>
          </cell>
          <cell r="I2157">
            <v>2022</v>
          </cell>
          <cell r="J2157" t="str">
            <v>C</v>
          </cell>
          <cell r="K2157" t="str">
            <v>SAN ALFONSO</v>
          </cell>
          <cell r="L2157" t="str">
            <v>San Alfonso 2141 (Ramón Subercaseaux 3060)</v>
          </cell>
          <cell r="M2157" t="str">
            <v>Estacion Central</v>
          </cell>
          <cell r="N2157" t="str">
            <v>C</v>
          </cell>
        </row>
        <row r="2158">
          <cell r="B2158" t="str">
            <v>RWTP80</v>
          </cell>
          <cell r="C2158" t="str">
            <v>YV3T7U528NA207894</v>
          </cell>
          <cell r="D2158">
            <v>552624</v>
          </cell>
          <cell r="E2158" t="str">
            <v>Volvo</v>
          </cell>
          <cell r="F2158" t="str">
            <v>B8RLEA</v>
          </cell>
          <cell r="G2158" t="str">
            <v>MARCOPOLO</v>
          </cell>
          <cell r="H2158" t="str">
            <v>GRAN VIALE</v>
          </cell>
          <cell r="I2158">
            <v>2022</v>
          </cell>
          <cell r="J2158" t="str">
            <v>C</v>
          </cell>
          <cell r="K2158" t="str">
            <v>SAN ALFONSO</v>
          </cell>
          <cell r="L2158" t="str">
            <v>San Alfonso 2141 (Ramón Subercaseaux 3060)</v>
          </cell>
          <cell r="M2158" t="str">
            <v>Estacion Central</v>
          </cell>
          <cell r="N2158" t="str">
            <v>C</v>
          </cell>
        </row>
        <row r="2159">
          <cell r="B2159" t="str">
            <v>RWTP81</v>
          </cell>
          <cell r="C2159" t="str">
            <v>YV3T7U526NA207893</v>
          </cell>
          <cell r="D2159">
            <v>552338</v>
          </cell>
          <cell r="E2159" t="str">
            <v>Volvo</v>
          </cell>
          <cell r="F2159" t="str">
            <v>B8RLEA</v>
          </cell>
          <cell r="G2159" t="str">
            <v>MARCOPOLO</v>
          </cell>
          <cell r="H2159" t="str">
            <v>GRAN VIALE</v>
          </cell>
          <cell r="I2159">
            <v>2022</v>
          </cell>
          <cell r="J2159" t="str">
            <v>C</v>
          </cell>
          <cell r="K2159" t="str">
            <v>SAN ALFONSO</v>
          </cell>
          <cell r="L2159" t="str">
            <v>San Alfonso 2141 (Ramón Subercaseaux 3060)</v>
          </cell>
          <cell r="M2159" t="str">
            <v>Estacion Central</v>
          </cell>
          <cell r="N2159" t="str">
            <v>C</v>
          </cell>
        </row>
        <row r="2160">
          <cell r="B2160" t="str">
            <v>RWTP82</v>
          </cell>
          <cell r="C2160" t="str">
            <v>YV3T7U525NA207884</v>
          </cell>
          <cell r="D2160">
            <v>552333</v>
          </cell>
          <cell r="E2160" t="str">
            <v>Volvo</v>
          </cell>
          <cell r="F2160" t="str">
            <v>B8RLEA</v>
          </cell>
          <cell r="G2160" t="str">
            <v>MARCOPOLO</v>
          </cell>
          <cell r="H2160" t="str">
            <v>GRAN VIALE</v>
          </cell>
          <cell r="I2160">
            <v>2022</v>
          </cell>
          <cell r="J2160" t="str">
            <v>C</v>
          </cell>
          <cell r="K2160" t="str">
            <v>SAN ALFONSO</v>
          </cell>
          <cell r="L2160" t="str">
            <v>San Alfonso 2141 (Ramón Subercaseaux 3060)</v>
          </cell>
          <cell r="M2160" t="str">
            <v>Estacion Central</v>
          </cell>
          <cell r="N2160" t="str">
            <v>C</v>
          </cell>
        </row>
        <row r="2161">
          <cell r="B2161" t="str">
            <v>RWTP83</v>
          </cell>
          <cell r="C2161" t="str">
            <v>YV3T7U523NA207995</v>
          </cell>
          <cell r="D2161">
            <v>552881</v>
          </cell>
          <cell r="E2161" t="str">
            <v>Volvo</v>
          </cell>
          <cell r="F2161" t="str">
            <v>B8RLEA</v>
          </cell>
          <cell r="G2161" t="str">
            <v>MARCOPOLO</v>
          </cell>
          <cell r="H2161" t="str">
            <v>GRAN VIALE</v>
          </cell>
          <cell r="I2161">
            <v>2022</v>
          </cell>
          <cell r="J2161" t="str">
            <v>C</v>
          </cell>
          <cell r="K2161" t="str">
            <v>PIE ANDINO</v>
          </cell>
          <cell r="L2161" t="str">
            <v>Pie Andino 31 (Pie Andino 383)</v>
          </cell>
          <cell r="M2161" t="str">
            <v>Puente Alto</v>
          </cell>
          <cell r="N2161" t="str">
            <v>C</v>
          </cell>
        </row>
        <row r="2162">
          <cell r="B2162" t="str">
            <v>RWTP84</v>
          </cell>
          <cell r="C2162" t="str">
            <v>YV3T7U521NA207834</v>
          </cell>
          <cell r="D2162">
            <v>550630</v>
          </cell>
          <cell r="E2162" t="str">
            <v>Volvo</v>
          </cell>
          <cell r="F2162" t="str">
            <v>B8RLEA</v>
          </cell>
          <cell r="G2162" t="str">
            <v>MARCOPOLO</v>
          </cell>
          <cell r="H2162" t="str">
            <v>GRAN VIALE</v>
          </cell>
          <cell r="I2162">
            <v>2022</v>
          </cell>
          <cell r="J2162" t="str">
            <v>C</v>
          </cell>
          <cell r="K2162" t="str">
            <v>SAN ALFONSO</v>
          </cell>
          <cell r="L2162" t="str">
            <v>San Alfonso 2141 (Ramón Subercaseaux 3060)</v>
          </cell>
          <cell r="M2162" t="str">
            <v>Estacion Central</v>
          </cell>
          <cell r="N2162" t="str">
            <v>C</v>
          </cell>
        </row>
        <row r="2163">
          <cell r="B2163" t="str">
            <v>RWTP85</v>
          </cell>
          <cell r="C2163" t="str">
            <v>YV3T7U529NA207967</v>
          </cell>
          <cell r="D2163">
            <v>552303</v>
          </cell>
          <cell r="E2163" t="str">
            <v>Volvo</v>
          </cell>
          <cell r="F2163" t="str">
            <v>B8RLEA</v>
          </cell>
          <cell r="G2163" t="str">
            <v>MARCOPOLO</v>
          </cell>
          <cell r="H2163" t="str">
            <v>GRAN VIALE</v>
          </cell>
          <cell r="I2163">
            <v>2022</v>
          </cell>
          <cell r="J2163" t="str">
            <v>C</v>
          </cell>
          <cell r="K2163" t="str">
            <v>PIE ANDINO</v>
          </cell>
          <cell r="L2163" t="str">
            <v>Pie Andino 31 (Pie Andino 383)</v>
          </cell>
          <cell r="M2163" t="str">
            <v>Puente Alto</v>
          </cell>
          <cell r="N2163" t="str">
            <v>C</v>
          </cell>
        </row>
        <row r="2164">
          <cell r="B2164" t="str">
            <v>RWTP86</v>
          </cell>
          <cell r="C2164" t="str">
            <v>YV3T7U528NA207930</v>
          </cell>
          <cell r="D2164">
            <v>551701</v>
          </cell>
          <cell r="E2164" t="str">
            <v>Volvo</v>
          </cell>
          <cell r="F2164" t="str">
            <v>B8RLEA</v>
          </cell>
          <cell r="G2164" t="str">
            <v>MARCOPOLO</v>
          </cell>
          <cell r="H2164" t="str">
            <v>GRAN VIALE</v>
          </cell>
          <cell r="I2164">
            <v>2022</v>
          </cell>
          <cell r="J2164" t="str">
            <v>C</v>
          </cell>
          <cell r="K2164" t="str">
            <v>PIE ANDINO</v>
          </cell>
          <cell r="L2164" t="str">
            <v>Pie Andino 31 (Pie Andino 383)</v>
          </cell>
          <cell r="M2164" t="str">
            <v>Puente Alto</v>
          </cell>
          <cell r="N2164" t="str">
            <v>C</v>
          </cell>
        </row>
        <row r="2165">
          <cell r="B2165" t="str">
            <v>RWTP87</v>
          </cell>
          <cell r="C2165" t="str">
            <v>YV3T7U522NA207891</v>
          </cell>
          <cell r="D2165">
            <v>552373</v>
          </cell>
          <cell r="E2165" t="str">
            <v>Volvo</v>
          </cell>
          <cell r="F2165" t="str">
            <v>B8RLEA</v>
          </cell>
          <cell r="G2165" t="str">
            <v>MARCOPOLO</v>
          </cell>
          <cell r="H2165" t="str">
            <v>GRAN VIALE</v>
          </cell>
          <cell r="I2165">
            <v>2022</v>
          </cell>
          <cell r="J2165" t="str">
            <v>C</v>
          </cell>
          <cell r="K2165" t="str">
            <v>SAN ALFONSO</v>
          </cell>
          <cell r="L2165" t="str">
            <v>San Alfonso 2141 (Ramón Subercaseaux 3060)</v>
          </cell>
          <cell r="M2165" t="str">
            <v>Estacion Central</v>
          </cell>
          <cell r="N2165" t="str">
            <v>C</v>
          </cell>
        </row>
        <row r="2166">
          <cell r="B2166" t="str">
            <v>RWTP88</v>
          </cell>
          <cell r="C2166" t="str">
            <v>YV3T7U52XNA207881</v>
          </cell>
          <cell r="D2166">
            <v>552573</v>
          </cell>
          <cell r="E2166" t="str">
            <v>Volvo</v>
          </cell>
          <cell r="F2166" t="str">
            <v>B8RLEA</v>
          </cell>
          <cell r="G2166" t="str">
            <v>MARCOPOLO</v>
          </cell>
          <cell r="H2166" t="str">
            <v>GRAN VIALE</v>
          </cell>
          <cell r="I2166">
            <v>2022</v>
          </cell>
          <cell r="J2166" t="str">
            <v>C</v>
          </cell>
          <cell r="K2166" t="str">
            <v>SAN ALFONSO</v>
          </cell>
          <cell r="L2166" t="str">
            <v>San Alfonso 2141 (Ramón Subercaseaux 3060)</v>
          </cell>
          <cell r="M2166" t="str">
            <v>Estacion Central</v>
          </cell>
          <cell r="N2166" t="str">
            <v>C</v>
          </cell>
        </row>
        <row r="2167">
          <cell r="B2167" t="str">
            <v>RWTP89</v>
          </cell>
          <cell r="C2167" t="str">
            <v>YV3T7U527NA207837</v>
          </cell>
          <cell r="D2167">
            <v>550568</v>
          </cell>
          <cell r="E2167" t="str">
            <v>Volvo</v>
          </cell>
          <cell r="F2167" t="str">
            <v>B8RLEA</v>
          </cell>
          <cell r="G2167" t="str">
            <v>MARCOPOLO</v>
          </cell>
          <cell r="H2167" t="str">
            <v>GRAN VIALE</v>
          </cell>
          <cell r="I2167">
            <v>2022</v>
          </cell>
          <cell r="J2167" t="str">
            <v>C</v>
          </cell>
          <cell r="K2167" t="str">
            <v>SAN ALFONSO</v>
          </cell>
          <cell r="L2167" t="str">
            <v>San Alfonso 2141 (Ramón Subercaseaux 3060)</v>
          </cell>
          <cell r="M2167" t="str">
            <v>Estacion Central</v>
          </cell>
          <cell r="N2167" t="str">
            <v>C</v>
          </cell>
        </row>
        <row r="2168">
          <cell r="B2168" t="str">
            <v>RWTP90</v>
          </cell>
          <cell r="C2168" t="str">
            <v>YV3T7U527NA207935</v>
          </cell>
          <cell r="D2168">
            <v>551734</v>
          </cell>
          <cell r="E2168" t="str">
            <v>Volvo</v>
          </cell>
          <cell r="F2168" t="str">
            <v>B8RLEA</v>
          </cell>
          <cell r="G2168" t="str">
            <v>MARCOPOLO</v>
          </cell>
          <cell r="H2168" t="str">
            <v>GRAN VIALE</v>
          </cell>
          <cell r="I2168">
            <v>2022</v>
          </cell>
          <cell r="J2168" t="str">
            <v>C</v>
          </cell>
          <cell r="K2168" t="str">
            <v>PIE ANDINO</v>
          </cell>
          <cell r="L2168" t="str">
            <v>Pie Andino 31 (Pie Andino 383)</v>
          </cell>
          <cell r="M2168" t="str">
            <v>Puente Alto</v>
          </cell>
          <cell r="N2168" t="str">
            <v>C</v>
          </cell>
        </row>
        <row r="2169">
          <cell r="B2169" t="str">
            <v>RWTP91</v>
          </cell>
          <cell r="C2169" t="str">
            <v>YV3T7U524NA207892</v>
          </cell>
          <cell r="D2169">
            <v>552393</v>
          </cell>
          <cell r="E2169" t="str">
            <v>Volvo</v>
          </cell>
          <cell r="F2169" t="str">
            <v>B8RLEA</v>
          </cell>
          <cell r="G2169" t="str">
            <v>MARCOPOLO</v>
          </cell>
          <cell r="H2169" t="str">
            <v>GRAN VIALE</v>
          </cell>
          <cell r="I2169">
            <v>2022</v>
          </cell>
          <cell r="J2169" t="str">
            <v>C</v>
          </cell>
          <cell r="K2169" t="str">
            <v>SAN ALFONSO</v>
          </cell>
          <cell r="L2169" t="str">
            <v>San Alfonso 2141 (Ramón Subercaseaux 3060)</v>
          </cell>
          <cell r="M2169" t="str">
            <v>Estacion Central</v>
          </cell>
          <cell r="N2169" t="str">
            <v>C</v>
          </cell>
        </row>
        <row r="2170">
          <cell r="B2170" t="str">
            <v>RWTP92</v>
          </cell>
          <cell r="C2170" t="str">
            <v>YV3T7U523NA207835</v>
          </cell>
          <cell r="D2170">
            <v>550593</v>
          </cell>
          <cell r="E2170" t="str">
            <v>Volvo</v>
          </cell>
          <cell r="F2170" t="str">
            <v>B8RLEA</v>
          </cell>
          <cell r="G2170" t="str">
            <v>MARCOPOLO</v>
          </cell>
          <cell r="H2170" t="str">
            <v>GRAN VIALE</v>
          </cell>
          <cell r="I2170">
            <v>2022</v>
          </cell>
          <cell r="J2170" t="str">
            <v>C</v>
          </cell>
          <cell r="K2170" t="str">
            <v>SAN ALFONSO</v>
          </cell>
          <cell r="L2170" t="str">
            <v>San Alfonso 2141 (Ramón Subercaseaux 3060)</v>
          </cell>
          <cell r="M2170" t="str">
            <v>Estacion Central</v>
          </cell>
          <cell r="N2170" t="str">
            <v>C</v>
          </cell>
        </row>
        <row r="2171">
          <cell r="B2171" t="str">
            <v>RWTP93</v>
          </cell>
          <cell r="C2171" t="str">
            <v>YV3T7U52XNA207833</v>
          </cell>
          <cell r="D2171">
            <v>550451</v>
          </cell>
          <cell r="E2171" t="str">
            <v>Volvo</v>
          </cell>
          <cell r="F2171" t="str">
            <v>B8RLEA</v>
          </cell>
          <cell r="G2171" t="str">
            <v>MARCOPOLO</v>
          </cell>
          <cell r="H2171" t="str">
            <v>GRAN VIALE</v>
          </cell>
          <cell r="I2171">
            <v>2022</v>
          </cell>
          <cell r="J2171" t="str">
            <v>C</v>
          </cell>
          <cell r="K2171" t="str">
            <v>SAN ALFONSO</v>
          </cell>
          <cell r="L2171" t="str">
            <v>San Alfonso 2141 (Ramón Subercaseaux 3060)</v>
          </cell>
          <cell r="M2171" t="str">
            <v>Estacion Central</v>
          </cell>
          <cell r="N2171" t="str">
            <v>C</v>
          </cell>
        </row>
        <row r="2172">
          <cell r="B2172" t="str">
            <v>RWTP94</v>
          </cell>
          <cell r="C2172" t="str">
            <v>YV3T7U520NA207937</v>
          </cell>
          <cell r="D2172">
            <v>551900</v>
          </cell>
          <cell r="E2172" t="str">
            <v>Volvo</v>
          </cell>
          <cell r="F2172" t="str">
            <v>B8RLEA</v>
          </cell>
          <cell r="G2172" t="str">
            <v>MARCOPOLO</v>
          </cell>
          <cell r="H2172" t="str">
            <v>GRAN VIALE</v>
          </cell>
          <cell r="I2172">
            <v>2022</v>
          </cell>
          <cell r="J2172" t="str">
            <v>C</v>
          </cell>
          <cell r="K2172" t="str">
            <v>PIE ANDINO</v>
          </cell>
          <cell r="L2172" t="str">
            <v>Pie Andino 31 (Pie Andino 383)</v>
          </cell>
          <cell r="M2172" t="str">
            <v>Puente Alto</v>
          </cell>
          <cell r="N2172" t="str">
            <v>C</v>
          </cell>
        </row>
        <row r="2173">
          <cell r="B2173" t="str">
            <v>RWTP95</v>
          </cell>
          <cell r="C2173" t="str">
            <v>YV3T7U523NA207978</v>
          </cell>
          <cell r="D2173">
            <v>553953</v>
          </cell>
          <cell r="E2173" t="str">
            <v>Volvo</v>
          </cell>
          <cell r="F2173" t="str">
            <v>B8RLEA</v>
          </cell>
          <cell r="G2173" t="str">
            <v>MARCOPOLO</v>
          </cell>
          <cell r="H2173" t="str">
            <v>GRAN VIALE</v>
          </cell>
          <cell r="I2173">
            <v>2022</v>
          </cell>
          <cell r="J2173" t="str">
            <v>C</v>
          </cell>
          <cell r="K2173" t="str">
            <v>PIE ANDINO</v>
          </cell>
          <cell r="L2173" t="str">
            <v>Pie Andino 31 (Pie Andino 383)</v>
          </cell>
          <cell r="M2173" t="str">
            <v>Puente Alto</v>
          </cell>
          <cell r="N2173" t="str">
            <v>C</v>
          </cell>
        </row>
        <row r="2174">
          <cell r="B2174" t="str">
            <v>RWTP96</v>
          </cell>
          <cell r="C2174" t="str">
            <v>YV3T7U525NA207934</v>
          </cell>
          <cell r="D2174">
            <v>551716</v>
          </cell>
          <cell r="E2174" t="str">
            <v>Volvo</v>
          </cell>
          <cell r="F2174" t="str">
            <v>B8RLEA</v>
          </cell>
          <cell r="G2174" t="str">
            <v>MARCOPOLO</v>
          </cell>
          <cell r="H2174" t="str">
            <v>GRAN VIALE</v>
          </cell>
          <cell r="I2174">
            <v>2022</v>
          </cell>
          <cell r="J2174" t="str">
            <v>C</v>
          </cell>
          <cell r="K2174" t="str">
            <v>PIE ANDINO</v>
          </cell>
          <cell r="L2174" t="str">
            <v>Pie Andino 31 (Pie Andino 383)</v>
          </cell>
          <cell r="M2174" t="str">
            <v>Puente Alto</v>
          </cell>
          <cell r="N2174" t="str">
            <v>C</v>
          </cell>
        </row>
        <row r="2175">
          <cell r="B2175" t="str">
            <v>RWTP97</v>
          </cell>
          <cell r="C2175" t="str">
            <v>YV3T7U523NA207933</v>
          </cell>
          <cell r="D2175">
            <v>551695</v>
          </cell>
          <cell r="E2175" t="str">
            <v>Volvo</v>
          </cell>
          <cell r="F2175" t="str">
            <v>B8RLEA</v>
          </cell>
          <cell r="G2175" t="str">
            <v>MARCOPOLO</v>
          </cell>
          <cell r="H2175" t="str">
            <v>GRAN VIALE</v>
          </cell>
          <cell r="I2175">
            <v>2022</v>
          </cell>
          <cell r="J2175" t="str">
            <v>C</v>
          </cell>
          <cell r="K2175" t="str">
            <v>PIE ANDINO</v>
          </cell>
          <cell r="L2175" t="str">
            <v>Pie Andino 31 (Pie Andino 383)</v>
          </cell>
          <cell r="M2175" t="str">
            <v>Puente Alto</v>
          </cell>
          <cell r="N2175" t="str">
            <v>C</v>
          </cell>
        </row>
        <row r="2176">
          <cell r="B2176" t="str">
            <v>RWTP98</v>
          </cell>
          <cell r="C2176" t="str">
            <v>YV3T7U521NA207932</v>
          </cell>
          <cell r="D2176">
            <v>551682</v>
          </cell>
          <cell r="E2176" t="str">
            <v>Volvo</v>
          </cell>
          <cell r="F2176" t="str">
            <v>B8RLEA</v>
          </cell>
          <cell r="G2176" t="str">
            <v>MARCOPOLO</v>
          </cell>
          <cell r="H2176" t="str">
            <v>GRAN VIALE</v>
          </cell>
          <cell r="I2176">
            <v>2022</v>
          </cell>
          <cell r="J2176" t="str">
            <v>C</v>
          </cell>
          <cell r="K2176" t="str">
            <v>PIE ANDINO</v>
          </cell>
          <cell r="L2176" t="str">
            <v>Pie Andino 31 (Pie Andino 383)</v>
          </cell>
          <cell r="M2176" t="str">
            <v>Puente Alto</v>
          </cell>
          <cell r="N2176" t="str">
            <v>C</v>
          </cell>
        </row>
        <row r="2177">
          <cell r="B2177" t="str">
            <v>RWTP99</v>
          </cell>
          <cell r="C2177" t="str">
            <v>YV3T7U52XNA207931</v>
          </cell>
          <cell r="D2177">
            <v>551698</v>
          </cell>
          <cell r="E2177" t="str">
            <v>Volvo</v>
          </cell>
          <cell r="F2177" t="str">
            <v>B8RLEA</v>
          </cell>
          <cell r="G2177" t="str">
            <v>MARCOPOLO</v>
          </cell>
          <cell r="H2177" t="str">
            <v>GRAN VIALE</v>
          </cell>
          <cell r="I2177">
            <v>2022</v>
          </cell>
          <cell r="J2177" t="str">
            <v>C</v>
          </cell>
          <cell r="K2177" t="str">
            <v>PIE ANDINO</v>
          </cell>
          <cell r="L2177" t="str">
            <v>Pie Andino 31 (Pie Andino 383)</v>
          </cell>
          <cell r="M2177" t="str">
            <v>Puente Alto</v>
          </cell>
          <cell r="N2177" t="str">
            <v>C</v>
          </cell>
        </row>
        <row r="2178">
          <cell r="B2178" t="str">
            <v>RWTR10</v>
          </cell>
          <cell r="C2178" t="str">
            <v>YV3T7U52XNA207928</v>
          </cell>
          <cell r="D2178">
            <v>551645</v>
          </cell>
          <cell r="E2178" t="str">
            <v>Volvo</v>
          </cell>
          <cell r="F2178" t="str">
            <v>B8RLEA</v>
          </cell>
          <cell r="G2178" t="str">
            <v>MARCOPOLO</v>
          </cell>
          <cell r="H2178" t="str">
            <v>GRAN VIALE</v>
          </cell>
          <cell r="I2178">
            <v>2022</v>
          </cell>
          <cell r="J2178" t="str">
            <v>C</v>
          </cell>
          <cell r="K2178" t="str">
            <v>SAN ALFONSO</v>
          </cell>
          <cell r="L2178" t="str">
            <v>San Alfonso 2141 (Ramón Subercaseaux 3060)</v>
          </cell>
          <cell r="M2178" t="str">
            <v>Estacion Central</v>
          </cell>
          <cell r="N2178" t="str">
            <v>C</v>
          </cell>
        </row>
        <row r="2179">
          <cell r="B2179" t="str">
            <v>RWTR11</v>
          </cell>
          <cell r="C2179" t="str">
            <v>YV3T7U528NA207927</v>
          </cell>
          <cell r="D2179">
            <v>551661</v>
          </cell>
          <cell r="E2179" t="str">
            <v>Volvo</v>
          </cell>
          <cell r="F2179" t="str">
            <v>B8RLEA</v>
          </cell>
          <cell r="G2179" t="str">
            <v>MARCOPOLO</v>
          </cell>
          <cell r="H2179" t="str">
            <v>GRAN VIALE</v>
          </cell>
          <cell r="I2179">
            <v>2022</v>
          </cell>
          <cell r="J2179" t="str">
            <v>C</v>
          </cell>
          <cell r="K2179" t="str">
            <v>SAN ALFONSO</v>
          </cell>
          <cell r="L2179" t="str">
            <v>San Alfonso 2141 (Ramón Subercaseaux 3060)</v>
          </cell>
          <cell r="M2179" t="str">
            <v>Estacion Central</v>
          </cell>
          <cell r="N2179" t="str">
            <v>C</v>
          </cell>
        </row>
        <row r="2180">
          <cell r="B2180" t="str">
            <v>RYJG90</v>
          </cell>
          <cell r="C2180" t="str">
            <v>YV3T7U521NA208143</v>
          </cell>
          <cell r="D2180">
            <v>554610</v>
          </cell>
          <cell r="E2180" t="str">
            <v>Volvo</v>
          </cell>
          <cell r="F2180" t="str">
            <v>B8RLEA</v>
          </cell>
          <cell r="G2180" t="str">
            <v>MARCOPOLO</v>
          </cell>
          <cell r="H2180" t="str">
            <v>GRAN VIALE</v>
          </cell>
          <cell r="I2180">
            <v>2022</v>
          </cell>
          <cell r="J2180" t="str">
            <v>C</v>
          </cell>
          <cell r="K2180" t="str">
            <v>PIE ANDINO</v>
          </cell>
          <cell r="L2180" t="str">
            <v>Pie Andino 31 (Pie Andino 383)</v>
          </cell>
          <cell r="M2180" t="str">
            <v>Puente Alto</v>
          </cell>
          <cell r="N2180" t="str">
            <v>C</v>
          </cell>
        </row>
        <row r="2181">
          <cell r="B2181" t="str">
            <v>RYJG91</v>
          </cell>
          <cell r="C2181" t="str">
            <v>YV3T7U523NA208144</v>
          </cell>
          <cell r="D2181">
            <v>554682</v>
          </cell>
          <cell r="E2181" t="str">
            <v>Volvo</v>
          </cell>
          <cell r="F2181" t="str">
            <v>B8RLEA</v>
          </cell>
          <cell r="G2181" t="str">
            <v>MARCOPOLO</v>
          </cell>
          <cell r="H2181" t="str">
            <v>GRAN VIALE</v>
          </cell>
          <cell r="I2181">
            <v>2022</v>
          </cell>
          <cell r="J2181" t="str">
            <v>C</v>
          </cell>
          <cell r="K2181" t="str">
            <v>PIE ANDINO</v>
          </cell>
          <cell r="L2181" t="str">
            <v>Pie Andino 31 (Pie Andino 383)</v>
          </cell>
          <cell r="M2181" t="str">
            <v>Puente Alto</v>
          </cell>
          <cell r="N2181" t="str">
            <v>C</v>
          </cell>
        </row>
        <row r="2182">
          <cell r="B2182" t="str">
            <v>RYJG92</v>
          </cell>
          <cell r="C2182" t="str">
            <v>YV3T7U522NA208152</v>
          </cell>
          <cell r="D2182">
            <v>554694</v>
          </cell>
          <cell r="E2182" t="str">
            <v>Volvo</v>
          </cell>
          <cell r="F2182" t="str">
            <v>B8RLEA</v>
          </cell>
          <cell r="G2182" t="str">
            <v>MARCOPOLO</v>
          </cell>
          <cell r="H2182" t="str">
            <v>GRAN VIALE</v>
          </cell>
          <cell r="I2182">
            <v>2022</v>
          </cell>
          <cell r="J2182" t="str">
            <v>C</v>
          </cell>
          <cell r="K2182" t="str">
            <v>SAN ALFONSO</v>
          </cell>
          <cell r="L2182" t="str">
            <v>San Alfonso 2141 (Ramón Subercaseaux 3060)</v>
          </cell>
          <cell r="M2182" t="str">
            <v>Estacion Central</v>
          </cell>
          <cell r="N2182" t="str">
            <v>C</v>
          </cell>
        </row>
        <row r="2183">
          <cell r="B2183" t="str">
            <v>RYJG93</v>
          </cell>
          <cell r="C2183" t="str">
            <v>YV3T7U527NA208163</v>
          </cell>
          <cell r="D2183">
            <v>555374</v>
          </cell>
          <cell r="E2183" t="str">
            <v>Volvo</v>
          </cell>
          <cell r="F2183" t="str">
            <v>B8RLEA</v>
          </cell>
          <cell r="G2183" t="str">
            <v>MARCOPOLO</v>
          </cell>
          <cell r="H2183" t="str">
            <v>GRAN VIALE</v>
          </cell>
          <cell r="I2183">
            <v>2022</v>
          </cell>
          <cell r="J2183" t="str">
            <v>C</v>
          </cell>
          <cell r="K2183" t="str">
            <v>SAN ALFONSO</v>
          </cell>
          <cell r="L2183" t="str">
            <v>San Alfonso 2141 (Ramón Subercaseaux 3060)</v>
          </cell>
          <cell r="M2183" t="str">
            <v>Estacion Central</v>
          </cell>
          <cell r="N2183" t="str">
            <v>C</v>
          </cell>
        </row>
        <row r="2184">
          <cell r="B2184" t="str">
            <v>RYJG94</v>
          </cell>
          <cell r="C2184" t="str">
            <v>YV3T7U528NA208169</v>
          </cell>
          <cell r="D2184">
            <v>555138</v>
          </cell>
          <cell r="E2184" t="str">
            <v>Volvo</v>
          </cell>
          <cell r="F2184" t="str">
            <v>B8RLEA</v>
          </cell>
          <cell r="G2184" t="str">
            <v>MARCOPOLO</v>
          </cell>
          <cell r="H2184" t="str">
            <v>GRAN VIALE</v>
          </cell>
          <cell r="I2184">
            <v>2022</v>
          </cell>
          <cell r="J2184" t="str">
            <v>C</v>
          </cell>
          <cell r="K2184" t="str">
            <v>SAN ALFONSO</v>
          </cell>
          <cell r="L2184" t="str">
            <v>San Alfonso 2141 (Ramón Subercaseaux 3060)</v>
          </cell>
          <cell r="M2184" t="str">
            <v>Estacion Central</v>
          </cell>
          <cell r="N2184" t="str">
            <v>C</v>
          </cell>
        </row>
        <row r="2185">
          <cell r="B2185" t="str">
            <v>RYJG95</v>
          </cell>
          <cell r="C2185" t="str">
            <v>YV3T7U525NA208193</v>
          </cell>
          <cell r="D2185">
            <v>555050</v>
          </cell>
          <cell r="E2185" t="str">
            <v>Volvo</v>
          </cell>
          <cell r="F2185" t="str">
            <v>B8RLEA</v>
          </cell>
          <cell r="G2185" t="str">
            <v>MARCOPOLO</v>
          </cell>
          <cell r="H2185" t="str">
            <v>GRAN VIALE</v>
          </cell>
          <cell r="I2185">
            <v>2022</v>
          </cell>
          <cell r="J2185" t="str">
            <v>C</v>
          </cell>
          <cell r="K2185" t="str">
            <v>SAN ALFONSO</v>
          </cell>
          <cell r="L2185" t="str">
            <v>San Alfonso 2141 (Ramón Subercaseaux 3060)</v>
          </cell>
          <cell r="M2185" t="str">
            <v>Estacion Central</v>
          </cell>
          <cell r="N2185" t="str">
            <v>C</v>
          </cell>
        </row>
        <row r="2186">
          <cell r="B2186" t="str">
            <v>SXKV87</v>
          </cell>
          <cell r="C2186" t="str">
            <v>YV3T7U529RA212110</v>
          </cell>
          <cell r="D2186">
            <v>593684</v>
          </cell>
          <cell r="E2186" t="str">
            <v>Volvo</v>
          </cell>
          <cell r="F2186" t="str">
            <v>B8RLEA</v>
          </cell>
          <cell r="G2186" t="str">
            <v>MARCOPOLO</v>
          </cell>
          <cell r="H2186" t="str">
            <v>GRAN VIALE</v>
          </cell>
          <cell r="I2186">
            <v>2023</v>
          </cell>
          <cell r="J2186" t="str">
            <v>C</v>
          </cell>
          <cell r="K2186" t="str">
            <v>SAN ALFONSO</v>
          </cell>
          <cell r="L2186" t="str">
            <v>San Alfonso 2141 (Ramón Subercaseaux 3060)</v>
          </cell>
          <cell r="M2186" t="str">
            <v>Estacion Central</v>
          </cell>
          <cell r="N2186" t="str">
            <v>C</v>
          </cell>
        </row>
        <row r="2187">
          <cell r="B2187" t="str">
            <v>SXKV88</v>
          </cell>
          <cell r="C2187" t="str">
            <v>YV3T7U522RA212109</v>
          </cell>
          <cell r="D2187">
            <v>593717</v>
          </cell>
          <cell r="E2187" t="str">
            <v>Volvo</v>
          </cell>
          <cell r="F2187" t="str">
            <v>B8RLEA</v>
          </cell>
          <cell r="G2187" t="str">
            <v>MARCOPOLO</v>
          </cell>
          <cell r="H2187" t="str">
            <v>GRAN VIALE</v>
          </cell>
          <cell r="I2187">
            <v>2023</v>
          </cell>
          <cell r="J2187" t="str">
            <v>C</v>
          </cell>
          <cell r="K2187" t="str">
            <v>SAN ALFONSO</v>
          </cell>
          <cell r="L2187" t="str">
            <v>San Alfonso 2141 (Ramón Subercaseaux 3060)</v>
          </cell>
          <cell r="M2187" t="str">
            <v>Estacion Central</v>
          </cell>
          <cell r="N2187" t="str">
            <v>C</v>
          </cell>
        </row>
        <row r="2188">
          <cell r="B2188" t="str">
            <v>SXKV89</v>
          </cell>
          <cell r="C2188" t="str">
            <v>YV3T7U521RA211954</v>
          </cell>
          <cell r="D2188">
            <v>592427</v>
          </cell>
          <cell r="E2188" t="str">
            <v>Volvo</v>
          </cell>
          <cell r="F2188" t="str">
            <v>B8RLEA</v>
          </cell>
          <cell r="G2188" t="str">
            <v>MARCOPOLO</v>
          </cell>
          <cell r="H2188" t="str">
            <v>GRAN VIALE</v>
          </cell>
          <cell r="I2188">
            <v>2023</v>
          </cell>
          <cell r="J2188" t="str">
            <v>C</v>
          </cell>
          <cell r="K2188" t="str">
            <v>SAN ALFONSO</v>
          </cell>
          <cell r="L2188" t="str">
            <v>San Alfonso 2141 (Ramón Subercaseaux 3060)</v>
          </cell>
          <cell r="M2188" t="str">
            <v>Estacion Central</v>
          </cell>
          <cell r="N2188" t="str">
            <v>C</v>
          </cell>
        </row>
        <row r="2189">
          <cell r="B2189" t="str">
            <v>SXKV90</v>
          </cell>
          <cell r="C2189" t="str">
            <v>YV3T7U527RA211988</v>
          </cell>
          <cell r="D2189">
            <v>593907</v>
          </cell>
          <cell r="E2189" t="str">
            <v>Volvo</v>
          </cell>
          <cell r="F2189" t="str">
            <v>B8RLEA</v>
          </cell>
          <cell r="G2189" t="str">
            <v>MARCOPOLO</v>
          </cell>
          <cell r="H2189" t="str">
            <v>GRAN VIALE</v>
          </cell>
          <cell r="I2189">
            <v>2023</v>
          </cell>
          <cell r="J2189" t="str">
            <v>C</v>
          </cell>
          <cell r="K2189" t="str">
            <v>SAN ALFONSO</v>
          </cell>
          <cell r="L2189" t="str">
            <v>San Alfonso 2141 (Ramón Subercaseaux 3060)</v>
          </cell>
          <cell r="M2189" t="str">
            <v>Estacion Central</v>
          </cell>
          <cell r="N2189" t="str">
            <v>C</v>
          </cell>
        </row>
        <row r="2190">
          <cell r="B2190" t="str">
            <v>SXKV91</v>
          </cell>
          <cell r="C2190" t="str">
            <v>YV3T7U529RA211989</v>
          </cell>
          <cell r="D2190">
            <v>593887</v>
          </cell>
          <cell r="E2190" t="str">
            <v>Volvo</v>
          </cell>
          <cell r="F2190" t="str">
            <v>B8RLEA</v>
          </cell>
          <cell r="G2190" t="str">
            <v>MARCOPOLO</v>
          </cell>
          <cell r="H2190" t="str">
            <v>GRAN VIALE</v>
          </cell>
          <cell r="I2190">
            <v>2023</v>
          </cell>
          <cell r="J2190" t="str">
            <v>C</v>
          </cell>
          <cell r="K2190" t="str">
            <v>SAN ALFONSO</v>
          </cell>
          <cell r="L2190" t="str">
            <v>San Alfonso 2141 (Ramón Subercaseaux 3060)</v>
          </cell>
          <cell r="M2190" t="str">
            <v>Estacion Central</v>
          </cell>
          <cell r="N2190" t="str">
            <v>C</v>
          </cell>
        </row>
        <row r="2191">
          <cell r="B2191" t="str">
            <v>SXKV92</v>
          </cell>
          <cell r="C2191" t="str">
            <v>YV3T7U525RA211990</v>
          </cell>
          <cell r="D2191">
            <v>593899</v>
          </cell>
          <cell r="E2191" t="str">
            <v>Volvo</v>
          </cell>
          <cell r="F2191" t="str">
            <v>B8RLEA</v>
          </cell>
          <cell r="G2191" t="str">
            <v>MARCOPOLO</v>
          </cell>
          <cell r="H2191" t="str">
            <v>GRAN VIALE</v>
          </cell>
          <cell r="I2191">
            <v>2023</v>
          </cell>
          <cell r="J2191" t="str">
            <v>C</v>
          </cell>
          <cell r="K2191" t="str">
            <v>SAN ALFONSO</v>
          </cell>
          <cell r="L2191" t="str">
            <v>San Alfonso 2141 (Ramón Subercaseaux 3060)</v>
          </cell>
          <cell r="M2191" t="str">
            <v>Estacion Central</v>
          </cell>
          <cell r="N2191" t="str">
            <v>C</v>
          </cell>
        </row>
        <row r="2192">
          <cell r="B2192" t="str">
            <v>SXKV93</v>
          </cell>
          <cell r="C2192" t="str">
            <v>YV3T7U527RA211991</v>
          </cell>
          <cell r="D2192">
            <v>593420</v>
          </cell>
          <cell r="E2192" t="str">
            <v>Volvo</v>
          </cell>
          <cell r="F2192" t="str">
            <v>B8RLEA</v>
          </cell>
          <cell r="G2192" t="str">
            <v>MARCOPOLO</v>
          </cell>
          <cell r="H2192" t="str">
            <v>GRAN VIALE</v>
          </cell>
          <cell r="I2192">
            <v>2023</v>
          </cell>
          <cell r="J2192" t="str">
            <v>C</v>
          </cell>
          <cell r="K2192" t="str">
            <v>SAN ALFONSO</v>
          </cell>
          <cell r="L2192" t="str">
            <v>San Alfonso 2141 (Ramón Subercaseaux 3060)</v>
          </cell>
          <cell r="M2192" t="str">
            <v>Estacion Central</v>
          </cell>
          <cell r="N2192" t="str">
            <v>C</v>
          </cell>
        </row>
        <row r="2193">
          <cell r="B2193" t="str">
            <v>SXKV94</v>
          </cell>
          <cell r="C2193" t="str">
            <v>YV3T7U529RA211992</v>
          </cell>
          <cell r="D2193">
            <v>593506</v>
          </cell>
          <cell r="E2193" t="str">
            <v>Volvo</v>
          </cell>
          <cell r="F2193" t="str">
            <v>B8RLEA</v>
          </cell>
          <cell r="G2193" t="str">
            <v>MARCOPOLO</v>
          </cell>
          <cell r="H2193" t="str">
            <v>GRAN VIALE</v>
          </cell>
          <cell r="I2193">
            <v>2023</v>
          </cell>
          <cell r="J2193" t="str">
            <v>C</v>
          </cell>
          <cell r="K2193" t="str">
            <v>SAN ALFONSO</v>
          </cell>
          <cell r="L2193" t="str">
            <v>San Alfonso 2141 (Ramón Subercaseaux 3060)</v>
          </cell>
          <cell r="M2193" t="str">
            <v>Estacion Central</v>
          </cell>
          <cell r="N2193" t="str">
            <v>C</v>
          </cell>
        </row>
        <row r="2194">
          <cell r="B2194" t="str">
            <v>SXKV95</v>
          </cell>
          <cell r="C2194" t="str">
            <v>YV3T7U520RA211993</v>
          </cell>
          <cell r="D2194">
            <v>593418</v>
          </cell>
          <cell r="E2194" t="str">
            <v>Volvo</v>
          </cell>
          <cell r="F2194" t="str">
            <v>B8RLEA</v>
          </cell>
          <cell r="G2194" t="str">
            <v>MARCOPOLO</v>
          </cell>
          <cell r="H2194" t="str">
            <v>GRAN VIALE</v>
          </cell>
          <cell r="I2194">
            <v>2023</v>
          </cell>
          <cell r="J2194" t="str">
            <v>C</v>
          </cell>
          <cell r="K2194" t="str">
            <v>SAN ALFONSO</v>
          </cell>
          <cell r="L2194" t="str">
            <v>San Alfonso 2141 (Ramón Subercaseaux 3060)</v>
          </cell>
          <cell r="M2194" t="str">
            <v>Estacion Central</v>
          </cell>
          <cell r="N2194" t="str">
            <v>C</v>
          </cell>
        </row>
        <row r="2195">
          <cell r="B2195" t="str">
            <v>SXKV96</v>
          </cell>
          <cell r="C2195" t="str">
            <v>YV3T7U529RA212107</v>
          </cell>
          <cell r="D2195">
            <v>593145</v>
          </cell>
          <cell r="E2195" t="str">
            <v>Volvo</v>
          </cell>
          <cell r="F2195" t="str">
            <v>B8RLEA</v>
          </cell>
          <cell r="G2195" t="str">
            <v>MARCOPOLO</v>
          </cell>
          <cell r="H2195" t="str">
            <v>GRAN VIALE</v>
          </cell>
          <cell r="I2195">
            <v>2023</v>
          </cell>
          <cell r="J2195" t="str">
            <v>C</v>
          </cell>
          <cell r="K2195" t="str">
            <v>SAN ALFONSO</v>
          </cell>
          <cell r="L2195" t="str">
            <v>San Alfonso 2141 (Ramón Subercaseaux 3060)</v>
          </cell>
          <cell r="M2195" t="str">
            <v>Estacion Central</v>
          </cell>
          <cell r="N2195" t="str">
            <v>C</v>
          </cell>
        </row>
        <row r="2196">
          <cell r="B2196" t="str">
            <v>VFPB75</v>
          </cell>
          <cell r="C2196" t="str">
            <v>MDN35025020059</v>
          </cell>
          <cell r="D2196" t="str">
            <v>LDYECS312S0043986</v>
          </cell>
          <cell r="E2196" t="str">
            <v>Zhong Tong</v>
          </cell>
          <cell r="F2196" t="str">
            <v>Lck6122evg</v>
          </cell>
          <cell r="G2196" t="str">
            <v>ZHONGTONG</v>
          </cell>
          <cell r="H2196" t="str">
            <v>LCK6122EVG</v>
          </cell>
          <cell r="I2196">
            <v>2025</v>
          </cell>
          <cell r="J2196" t="str">
            <v>B</v>
          </cell>
          <cell r="K2196" t="str">
            <v>CERRILLOS</v>
          </cell>
          <cell r="L2196" t="str">
            <v>Calle Uno 7371</v>
          </cell>
          <cell r="M2196" t="str">
            <v>Cerrillos</v>
          </cell>
          <cell r="N2196" t="str">
            <v>B</v>
          </cell>
        </row>
        <row r="2197">
          <cell r="B2197" t="str">
            <v>VFPB85</v>
          </cell>
          <cell r="C2197" t="str">
            <v>MDN35025020068</v>
          </cell>
          <cell r="D2197" t="str">
            <v>LDYECS318S0044009</v>
          </cell>
          <cell r="E2197" t="str">
            <v>Zhong Tong</v>
          </cell>
          <cell r="F2197" t="str">
            <v>Lck6122evg</v>
          </cell>
          <cell r="G2197" t="str">
            <v>ZHONGTONG</v>
          </cell>
          <cell r="H2197" t="str">
            <v>LCK6122EVG</v>
          </cell>
          <cell r="I2197">
            <v>2025</v>
          </cell>
          <cell r="J2197" t="str">
            <v>B</v>
          </cell>
          <cell r="K2197" t="str">
            <v>PIE ANDINO</v>
          </cell>
          <cell r="L2197" t="str">
            <v>Pie Andino 31 (Pie Andino 383)</v>
          </cell>
          <cell r="M2197" t="str">
            <v>Puente Alto</v>
          </cell>
          <cell r="N2197" t="str">
            <v>B</v>
          </cell>
        </row>
        <row r="2198">
          <cell r="B2198" t="str">
            <v>VFPC59</v>
          </cell>
          <cell r="C2198" t="str">
            <v>MDN35025020104</v>
          </cell>
          <cell r="D2198" t="str">
            <v>LDYECS315S0044016</v>
          </cell>
          <cell r="E2198" t="str">
            <v>Zhong Tong</v>
          </cell>
          <cell r="F2198" t="str">
            <v>Lck6122evg</v>
          </cell>
          <cell r="G2198" t="str">
            <v>ZHONGTONG</v>
          </cell>
          <cell r="H2198" t="str">
            <v>LCK6122EVG</v>
          </cell>
          <cell r="I2198">
            <v>2025</v>
          </cell>
          <cell r="J2198" t="str">
            <v>B</v>
          </cell>
          <cell r="K2198" t="str">
            <v>SAN ALFONSO</v>
          </cell>
          <cell r="L2198" t="str">
            <v>San Alfonso 2141 (Ramón Subercaseaux 3060)</v>
          </cell>
          <cell r="M2198" t="str">
            <v>Estacion Central</v>
          </cell>
          <cell r="N2198" t="str">
            <v>B</v>
          </cell>
        </row>
        <row r="2199">
          <cell r="B2199" t="str">
            <v>VFPC66</v>
          </cell>
          <cell r="C2199" t="str">
            <v>MDN35025020124</v>
          </cell>
          <cell r="D2199" t="str">
            <v>LDYECS311S0044014</v>
          </cell>
          <cell r="E2199" t="str">
            <v>Zhong Tong</v>
          </cell>
          <cell r="F2199" t="str">
            <v>Lck6122evg</v>
          </cell>
          <cell r="G2199" t="str">
            <v>ZHONGTONG</v>
          </cell>
          <cell r="H2199" t="str">
            <v>LCK6122EVG</v>
          </cell>
          <cell r="I2199">
            <v>2025</v>
          </cell>
          <cell r="J2199" t="str">
            <v>B</v>
          </cell>
          <cell r="K2199" t="str">
            <v>SAN ALFONSO</v>
          </cell>
          <cell r="L2199" t="str">
            <v>San Alfonso 2141 (Ramón Subercaseaux 3060)</v>
          </cell>
          <cell r="M2199" t="str">
            <v>Estacion Central</v>
          </cell>
          <cell r="N2199" t="str">
            <v>B</v>
          </cell>
        </row>
        <row r="2200">
          <cell r="B2200" t="str">
            <v>VFPC69</v>
          </cell>
          <cell r="C2200" t="str">
            <v>MDN35025020027</v>
          </cell>
          <cell r="D2200" t="str">
            <v>LDYECS317S0044003</v>
          </cell>
          <cell r="E2200" t="str">
            <v>Zhong Tong</v>
          </cell>
          <cell r="F2200" t="str">
            <v>Lck6122evg</v>
          </cell>
          <cell r="G2200" t="str">
            <v>ZHONGTONG</v>
          </cell>
          <cell r="H2200" t="str">
            <v>LCK6122EVG</v>
          </cell>
          <cell r="I2200">
            <v>2025</v>
          </cell>
          <cell r="J2200" t="str">
            <v>B</v>
          </cell>
          <cell r="K2200" t="str">
            <v>PIE ANDINO</v>
          </cell>
          <cell r="L2200" t="str">
            <v>Pie Andino 31 (Pie Andino 383)</v>
          </cell>
          <cell r="M2200" t="str">
            <v>Puente Alto</v>
          </cell>
          <cell r="N2200" t="str">
            <v>B</v>
          </cell>
        </row>
        <row r="2201">
          <cell r="B2201" t="str">
            <v>VFPD10</v>
          </cell>
          <cell r="C2201" t="str">
            <v>MDN35025020086</v>
          </cell>
          <cell r="D2201" t="str">
            <v>LDYECS31XS0043976</v>
          </cell>
          <cell r="E2201" t="str">
            <v>Zhong Tong</v>
          </cell>
          <cell r="F2201" t="str">
            <v>Lck6122evg</v>
          </cell>
          <cell r="G2201" t="str">
            <v>ZHONGTONG</v>
          </cell>
          <cell r="H2201" t="str">
            <v>LCK6122EVG</v>
          </cell>
          <cell r="I2201">
            <v>2025</v>
          </cell>
          <cell r="J2201" t="str">
            <v>B</v>
          </cell>
          <cell r="K2201" t="str">
            <v>CERRILLOS</v>
          </cell>
          <cell r="L2201" t="str">
            <v>Calle Uno 7371</v>
          </cell>
          <cell r="M2201" t="str">
            <v>Cerrillos</v>
          </cell>
          <cell r="N2201" t="str">
            <v>B</v>
          </cell>
        </row>
        <row r="2202">
          <cell r="B2202" t="str">
            <v>VFPD41</v>
          </cell>
          <cell r="C2202" t="str">
            <v>MDN35025020119</v>
          </cell>
          <cell r="D2202" t="str">
            <v>LDYECS313S0043981</v>
          </cell>
          <cell r="E2202" t="str">
            <v>Zhong Tong</v>
          </cell>
          <cell r="F2202" t="str">
            <v>Lck6122evg</v>
          </cell>
          <cell r="G2202" t="str">
            <v>ZHONGTONG</v>
          </cell>
          <cell r="H2202" t="str">
            <v>LCK6122EVG</v>
          </cell>
          <cell r="I2202">
            <v>2025</v>
          </cell>
          <cell r="J2202" t="str">
            <v>B</v>
          </cell>
          <cell r="K2202" t="str">
            <v>PIE ANDINO</v>
          </cell>
          <cell r="L2202" t="str">
            <v>Pie Andino 31 (Pie Andino 383)</v>
          </cell>
          <cell r="M2202" t="str">
            <v>Puente Alto</v>
          </cell>
          <cell r="N2202" t="str">
            <v>B</v>
          </cell>
        </row>
        <row r="2203">
          <cell r="B2203" t="str">
            <v>VFPD51</v>
          </cell>
          <cell r="C2203" t="str">
            <v>MDN35025020092</v>
          </cell>
          <cell r="D2203" t="str">
            <v>LDYECS319S0043998</v>
          </cell>
          <cell r="E2203" t="str">
            <v>Zhong Tong</v>
          </cell>
          <cell r="F2203" t="str">
            <v>Lck6122evg</v>
          </cell>
          <cell r="G2203" t="str">
            <v>ZHONGTONG</v>
          </cell>
          <cell r="H2203" t="str">
            <v>LCK6122EVG</v>
          </cell>
          <cell r="I2203">
            <v>2025</v>
          </cell>
          <cell r="J2203" t="str">
            <v>B</v>
          </cell>
          <cell r="K2203" t="str">
            <v>CERRILLOS</v>
          </cell>
          <cell r="L2203" t="str">
            <v>Calle Uno 7371</v>
          </cell>
          <cell r="M2203" t="str">
            <v>Cerrillos</v>
          </cell>
          <cell r="N2203" t="str">
            <v>B</v>
          </cell>
        </row>
        <row r="2204">
          <cell r="B2204" t="str">
            <v>VFPD61</v>
          </cell>
          <cell r="C2204" t="str">
            <v>MDN35025020153</v>
          </cell>
          <cell r="D2204" t="str">
            <v>LDYECS310S0043999</v>
          </cell>
          <cell r="E2204" t="str">
            <v>Zhong Tong</v>
          </cell>
          <cell r="F2204" t="str">
            <v>Lck6122evg</v>
          </cell>
          <cell r="G2204" t="str">
            <v>ZHONGTONG</v>
          </cell>
          <cell r="H2204" t="str">
            <v>LCK6122EVG</v>
          </cell>
          <cell r="I2204">
            <v>2025</v>
          </cell>
          <cell r="J2204" t="str">
            <v>B</v>
          </cell>
          <cell r="K2204" t="str">
            <v>CERRILLOS</v>
          </cell>
          <cell r="L2204" t="str">
            <v>Calle Uno 7371</v>
          </cell>
          <cell r="M2204" t="str">
            <v>Cerrillos</v>
          </cell>
          <cell r="N2204" t="str">
            <v>B</v>
          </cell>
        </row>
        <row r="2205">
          <cell r="B2205" t="str">
            <v>VFPD71</v>
          </cell>
          <cell r="C2205" t="str">
            <v>MDN35025010097</v>
          </cell>
          <cell r="D2205" t="str">
            <v>LDYECS318S0044110</v>
          </cell>
          <cell r="E2205" t="str">
            <v>Zhong Tong</v>
          </cell>
          <cell r="F2205" t="str">
            <v>Lck6122evg</v>
          </cell>
          <cell r="G2205" t="str">
            <v>ZHONGTONG</v>
          </cell>
          <cell r="H2205" t="str">
            <v>LCK6122EVG</v>
          </cell>
          <cell r="I2205">
            <v>2025</v>
          </cell>
          <cell r="J2205" t="str">
            <v>B</v>
          </cell>
          <cell r="K2205" t="str">
            <v>CERRILLOS</v>
          </cell>
          <cell r="L2205" t="str">
            <v>Calle Uno 7371</v>
          </cell>
          <cell r="M2205" t="str">
            <v>Cerrillos</v>
          </cell>
          <cell r="N2205" t="str">
            <v>B</v>
          </cell>
        </row>
        <row r="2206">
          <cell r="B2206" t="str">
            <v>VFPD81</v>
          </cell>
          <cell r="C2206" t="str">
            <v>MDN35025020026</v>
          </cell>
          <cell r="D2206" t="str">
            <v>LDYECS31XS0043993</v>
          </cell>
          <cell r="E2206" t="str">
            <v>Zhong Tong</v>
          </cell>
          <cell r="F2206" t="str">
            <v>Lck6122evg</v>
          </cell>
          <cell r="G2206" t="str">
            <v>ZHONGTONG</v>
          </cell>
          <cell r="H2206" t="str">
            <v>LCK6122EVG</v>
          </cell>
          <cell r="I2206">
            <v>2025</v>
          </cell>
          <cell r="J2206" t="str">
            <v>B</v>
          </cell>
          <cell r="K2206" t="str">
            <v>CERRILLOS</v>
          </cell>
          <cell r="L2206" t="str">
            <v>Calle Uno 7371</v>
          </cell>
          <cell r="M2206" t="str">
            <v>Cerrillos</v>
          </cell>
          <cell r="N2206" t="str">
            <v>B</v>
          </cell>
        </row>
        <row r="2207">
          <cell r="B2207" t="str">
            <v>VFPF21</v>
          </cell>
          <cell r="C2207" t="str">
            <v>MDN35025020048</v>
          </cell>
          <cell r="D2207" t="str">
            <v>LDYECS316S0043988</v>
          </cell>
          <cell r="E2207" t="str">
            <v>Zhong Tong</v>
          </cell>
          <cell r="F2207" t="str">
            <v>Lck6122evg</v>
          </cell>
          <cell r="G2207" t="str">
            <v>ZHONGTONG</v>
          </cell>
          <cell r="H2207" t="str">
            <v>LCK6122EVG</v>
          </cell>
          <cell r="I2207">
            <v>2025</v>
          </cell>
          <cell r="J2207" t="str">
            <v>B</v>
          </cell>
          <cell r="K2207" t="str">
            <v>PIE ANDINO</v>
          </cell>
          <cell r="L2207" t="str">
            <v>Pie Andino 31 (Pie Andino 383)</v>
          </cell>
          <cell r="M2207" t="str">
            <v>Puente Alto</v>
          </cell>
          <cell r="N2207" t="str">
            <v>B</v>
          </cell>
        </row>
        <row r="2208">
          <cell r="B2208" t="str">
            <v>VFPF31</v>
          </cell>
          <cell r="C2208" t="str">
            <v>MDN35025020053</v>
          </cell>
          <cell r="D2208" t="str">
            <v>LDYECS310S0043985</v>
          </cell>
          <cell r="E2208" t="str">
            <v>Zhong Tong</v>
          </cell>
          <cell r="F2208" t="str">
            <v>Lck6122evg</v>
          </cell>
          <cell r="G2208" t="str">
            <v>ZHONGTONG</v>
          </cell>
          <cell r="H2208" t="str">
            <v>LCK6122EVG</v>
          </cell>
          <cell r="I2208">
            <v>2025</v>
          </cell>
          <cell r="J2208" t="str">
            <v>B</v>
          </cell>
          <cell r="K2208" t="str">
            <v>CERRILLOS</v>
          </cell>
          <cell r="L2208" t="str">
            <v>Calle Uno 7371</v>
          </cell>
          <cell r="M2208" t="str">
            <v>Cerrillos</v>
          </cell>
          <cell r="N2208" t="str">
            <v>B</v>
          </cell>
        </row>
        <row r="2209">
          <cell r="B2209" t="str">
            <v>VFPF51</v>
          </cell>
          <cell r="C2209" t="str">
            <v>MDN35025020080</v>
          </cell>
          <cell r="D2209" t="str">
            <v>LDYECS314S0043990</v>
          </cell>
          <cell r="E2209" t="str">
            <v>Zhong Tong</v>
          </cell>
          <cell r="F2209" t="str">
            <v>Lck6122evg</v>
          </cell>
          <cell r="G2209" t="str">
            <v>ZHONGTONG</v>
          </cell>
          <cell r="H2209" t="str">
            <v>LCK6122EVG</v>
          </cell>
          <cell r="I2209">
            <v>2025</v>
          </cell>
          <cell r="J2209" t="str">
            <v>B</v>
          </cell>
          <cell r="K2209" t="str">
            <v>CERRILLOS</v>
          </cell>
          <cell r="L2209" t="str">
            <v>Calle Uno 7371</v>
          </cell>
          <cell r="M2209" t="str">
            <v>Cerrillos</v>
          </cell>
          <cell r="N2209" t="str">
            <v>B</v>
          </cell>
        </row>
        <row r="2210">
          <cell r="B2210" t="str">
            <v>VFPF54</v>
          </cell>
          <cell r="C2210" t="str">
            <v>MDN35025020046</v>
          </cell>
          <cell r="D2210" t="str">
            <v>LDYECS311S0043994</v>
          </cell>
          <cell r="E2210" t="str">
            <v>Zhong Tong</v>
          </cell>
          <cell r="F2210" t="str">
            <v>Lck6122evg</v>
          </cell>
          <cell r="G2210" t="str">
            <v>ZHONGTONG</v>
          </cell>
          <cell r="H2210" t="str">
            <v>LCK6122EVG</v>
          </cell>
          <cell r="I2210">
            <v>2025</v>
          </cell>
          <cell r="J2210" t="str">
            <v>B</v>
          </cell>
          <cell r="K2210" t="str">
            <v>PIE ANDINO</v>
          </cell>
          <cell r="L2210" t="str">
            <v>Pie Andino 31 (Pie Andino 383)</v>
          </cell>
          <cell r="M2210" t="str">
            <v>Puente Alto</v>
          </cell>
          <cell r="N2210" t="str">
            <v>B</v>
          </cell>
        </row>
        <row r="2211">
          <cell r="B2211" t="str">
            <v>VFPF61</v>
          </cell>
          <cell r="C2211" t="str">
            <v>MDN35025020061</v>
          </cell>
          <cell r="D2211" t="str">
            <v>LDYECS318S0043992</v>
          </cell>
          <cell r="E2211" t="str">
            <v>Zhong Tong</v>
          </cell>
          <cell r="F2211" t="str">
            <v>Lck6122evg</v>
          </cell>
          <cell r="G2211" t="str">
            <v>ZHONGTONG</v>
          </cell>
          <cell r="H2211" t="str">
            <v>LCK6122EVG</v>
          </cell>
          <cell r="I2211">
            <v>2025</v>
          </cell>
          <cell r="J2211" t="str">
            <v>B</v>
          </cell>
          <cell r="K2211" t="str">
            <v>SAN ALFONSO</v>
          </cell>
          <cell r="L2211" t="str">
            <v>San Alfonso 2141 (Ramón Subercaseaux 3060)</v>
          </cell>
          <cell r="M2211" t="str">
            <v>Estacion Central</v>
          </cell>
          <cell r="N2211" t="str">
            <v>B</v>
          </cell>
        </row>
        <row r="2212">
          <cell r="B2212" t="str">
            <v>VFPG48</v>
          </cell>
          <cell r="C2212" t="str">
            <v>MDN35025020044</v>
          </cell>
          <cell r="D2212" t="str">
            <v>LDYECS31XS0044058</v>
          </cell>
          <cell r="E2212" t="str">
            <v>Zhong Tong</v>
          </cell>
          <cell r="F2212" t="str">
            <v>Lck6122evg</v>
          </cell>
          <cell r="G2212" t="str">
            <v>ZHONGTONG</v>
          </cell>
          <cell r="H2212" t="str">
            <v>LCK6122EVG</v>
          </cell>
          <cell r="I2212">
            <v>2025</v>
          </cell>
          <cell r="J2212" t="str">
            <v>B</v>
          </cell>
          <cell r="K2212" t="str">
            <v>CERRILLOS</v>
          </cell>
          <cell r="L2212" t="str">
            <v>Calle Uno 7371</v>
          </cell>
          <cell r="M2212" t="str">
            <v>Cerrillos</v>
          </cell>
          <cell r="N2212" t="str">
            <v>B</v>
          </cell>
        </row>
        <row r="2213">
          <cell r="B2213" t="str">
            <v>VFPG58</v>
          </cell>
          <cell r="C2213" t="str">
            <v>MDN35025020113</v>
          </cell>
          <cell r="D2213" t="str">
            <v>LDYECS318S0044012</v>
          </cell>
          <cell r="E2213" t="str">
            <v>Zhong Tong</v>
          </cell>
          <cell r="F2213" t="str">
            <v>Lck6122evg</v>
          </cell>
          <cell r="G2213" t="str">
            <v>ZHONGTONG</v>
          </cell>
          <cell r="H2213" t="str">
            <v>LCK6122EVG</v>
          </cell>
          <cell r="I2213">
            <v>2025</v>
          </cell>
          <cell r="J2213" t="str">
            <v>B</v>
          </cell>
          <cell r="K2213" t="str">
            <v>CERRILLOS</v>
          </cell>
          <cell r="L2213" t="str">
            <v>Calle Uno 7371</v>
          </cell>
          <cell r="M2213" t="str">
            <v>Cerrillos</v>
          </cell>
          <cell r="N2213" t="str">
            <v>B</v>
          </cell>
        </row>
        <row r="2214">
          <cell r="B2214" t="str">
            <v>VFPG91</v>
          </cell>
          <cell r="C2214" t="str">
            <v>MDN35025020051</v>
          </cell>
          <cell r="D2214" t="str">
            <v>LDYECS310S0044019</v>
          </cell>
          <cell r="E2214" t="str">
            <v>Zhong Tong</v>
          </cell>
          <cell r="F2214" t="str">
            <v>Lck6122evg</v>
          </cell>
          <cell r="G2214" t="str">
            <v>ZHONGTONG</v>
          </cell>
          <cell r="H2214" t="str">
            <v>LCK6122EVG</v>
          </cell>
          <cell r="I2214">
            <v>2025</v>
          </cell>
          <cell r="J2214" t="str">
            <v>B</v>
          </cell>
          <cell r="K2214" t="str">
            <v>PIE ANDINO</v>
          </cell>
          <cell r="L2214" t="str">
            <v>Pie Andino 31 (Pie Andino 383)</v>
          </cell>
          <cell r="M2214" t="str">
            <v>Puente Alto</v>
          </cell>
          <cell r="N2214" t="str">
            <v>B</v>
          </cell>
        </row>
        <row r="2215">
          <cell r="B2215" t="str">
            <v>VFPH21</v>
          </cell>
          <cell r="C2215" t="str">
            <v>MDN35025020130</v>
          </cell>
          <cell r="D2215" t="str">
            <v>LDYECS319S0044021</v>
          </cell>
          <cell r="E2215" t="str">
            <v>Zhong Tong</v>
          </cell>
          <cell r="F2215" t="str">
            <v>Lck6122evg</v>
          </cell>
          <cell r="G2215" t="str">
            <v>ZHONGTONG</v>
          </cell>
          <cell r="H2215" t="str">
            <v>LCK6122EVG</v>
          </cell>
          <cell r="I2215">
            <v>2025</v>
          </cell>
          <cell r="J2215" t="str">
            <v>B</v>
          </cell>
          <cell r="K2215" t="str">
            <v>PIE ANDINO</v>
          </cell>
          <cell r="L2215" t="str">
            <v>Pie Andino 31 (Pie Andino 383)</v>
          </cell>
          <cell r="M2215" t="str">
            <v>Puente Alto</v>
          </cell>
          <cell r="N2215" t="str">
            <v>B</v>
          </cell>
        </row>
        <row r="2216">
          <cell r="B2216" t="str">
            <v>VFPH35</v>
          </cell>
          <cell r="C2216" t="str">
            <v>MDN35025020025</v>
          </cell>
          <cell r="D2216" t="str">
            <v>LDYECS313S0044001</v>
          </cell>
          <cell r="E2216" t="str">
            <v>Zhong Tong</v>
          </cell>
          <cell r="F2216" t="str">
            <v>Lck6122evg</v>
          </cell>
          <cell r="G2216" t="str">
            <v>ZHONGTONG</v>
          </cell>
          <cell r="H2216" t="str">
            <v>LCK6122EVG</v>
          </cell>
          <cell r="I2216">
            <v>2025</v>
          </cell>
          <cell r="J2216" t="str">
            <v>B</v>
          </cell>
          <cell r="K2216" t="str">
            <v>CERRILLOS</v>
          </cell>
          <cell r="L2216" t="str">
            <v>Calle Uno 7371</v>
          </cell>
          <cell r="M2216" t="str">
            <v>Cerrillos</v>
          </cell>
          <cell r="N2216" t="str">
            <v>B</v>
          </cell>
        </row>
        <row r="2217">
          <cell r="B2217" t="str">
            <v>VFPH51</v>
          </cell>
          <cell r="C2217" t="str">
            <v>MDN35025020054</v>
          </cell>
          <cell r="D2217" t="str">
            <v>LDYECS311S0044000</v>
          </cell>
          <cell r="E2217" t="str">
            <v>Zhong Tong</v>
          </cell>
          <cell r="F2217" t="str">
            <v>Lck6122evg</v>
          </cell>
          <cell r="G2217" t="str">
            <v>ZHONGTONG</v>
          </cell>
          <cell r="H2217" t="str">
            <v>LCK6122EVG</v>
          </cell>
          <cell r="I2217">
            <v>2025</v>
          </cell>
          <cell r="J2217" t="str">
            <v>B</v>
          </cell>
          <cell r="K2217" t="str">
            <v>PIE ANDINO</v>
          </cell>
          <cell r="L2217" t="str">
            <v>Pie Andino 31 (Pie Andino 383)</v>
          </cell>
          <cell r="M2217" t="str">
            <v>Puente Alto</v>
          </cell>
          <cell r="N2217" t="str">
            <v>B</v>
          </cell>
        </row>
        <row r="2218">
          <cell r="B2218" t="str">
            <v>VFPH66</v>
          </cell>
          <cell r="C2218" t="str">
            <v>MDN35025020154</v>
          </cell>
          <cell r="D2218" t="str">
            <v>LDYECS315S0044002</v>
          </cell>
          <cell r="E2218" t="str">
            <v>Zhong Tong</v>
          </cell>
          <cell r="F2218" t="str">
            <v>Lck6122evg</v>
          </cell>
          <cell r="G2218" t="str">
            <v>ZHONGTONG</v>
          </cell>
          <cell r="H2218" t="str">
            <v>LCK6122EVG</v>
          </cell>
          <cell r="I2218">
            <v>2025</v>
          </cell>
          <cell r="J2218" t="str">
            <v>B</v>
          </cell>
          <cell r="K2218" t="str">
            <v>CERRILLOS</v>
          </cell>
          <cell r="L2218" t="str">
            <v>Calle Uno 7371</v>
          </cell>
          <cell r="M2218" t="str">
            <v>Cerrillos</v>
          </cell>
          <cell r="N2218" t="str">
            <v>B</v>
          </cell>
        </row>
        <row r="2219">
          <cell r="B2219" t="str">
            <v>VFPH79</v>
          </cell>
          <cell r="C2219" t="str">
            <v>MDN35025020121</v>
          </cell>
          <cell r="D2219" t="str">
            <v>LDYECS314S0044007</v>
          </cell>
          <cell r="E2219" t="str">
            <v>Zhong Tong</v>
          </cell>
          <cell r="F2219" t="str">
            <v>Lck6122evg</v>
          </cell>
          <cell r="G2219" t="str">
            <v>ZHONGTONG</v>
          </cell>
          <cell r="H2219" t="str">
            <v>LCK6122EVG</v>
          </cell>
          <cell r="I2219">
            <v>2025</v>
          </cell>
          <cell r="J2219" t="str">
            <v>B</v>
          </cell>
          <cell r="K2219" t="str">
            <v>PIE ANDINO</v>
          </cell>
          <cell r="L2219" t="str">
            <v>Pie Andino 31 (Pie Andino 383)</v>
          </cell>
          <cell r="M2219" t="str">
            <v>Puente Alto</v>
          </cell>
          <cell r="N2219" t="str">
            <v>B</v>
          </cell>
        </row>
        <row r="2220">
          <cell r="B2220" t="str">
            <v>VFPH81</v>
          </cell>
          <cell r="C2220" t="str">
            <v>MDN35025020096</v>
          </cell>
          <cell r="D2220" t="str">
            <v>LDYECS318S0044060</v>
          </cell>
          <cell r="E2220" t="str">
            <v>Zhong Tong</v>
          </cell>
          <cell r="F2220" t="str">
            <v>Lck6122evg</v>
          </cell>
          <cell r="G2220" t="str">
            <v>ZHONGTONG</v>
          </cell>
          <cell r="H2220" t="str">
            <v>LCK6122EVG</v>
          </cell>
          <cell r="I2220">
            <v>2025</v>
          </cell>
          <cell r="J2220" t="str">
            <v>B</v>
          </cell>
          <cell r="K2220" t="str">
            <v>PIE ANDINO</v>
          </cell>
          <cell r="L2220" t="str">
            <v>Pie Andino 31 (Pie Andino 383)</v>
          </cell>
          <cell r="M2220" t="str">
            <v>Puente Alto</v>
          </cell>
          <cell r="N2220" t="str">
            <v>B</v>
          </cell>
        </row>
        <row r="2221">
          <cell r="B2221" t="str">
            <v>VFPH91</v>
          </cell>
          <cell r="C2221" t="str">
            <v>MDN35025020045</v>
          </cell>
          <cell r="D2221" t="str">
            <v>LDYECS312S0044023</v>
          </cell>
          <cell r="E2221" t="str">
            <v>Zhong Tong</v>
          </cell>
          <cell r="F2221" t="str">
            <v>Lck6122evg</v>
          </cell>
          <cell r="G2221" t="str">
            <v>ZHONGTONG</v>
          </cell>
          <cell r="H2221" t="str">
            <v>LCK6122EVG</v>
          </cell>
          <cell r="I2221">
            <v>2025</v>
          </cell>
          <cell r="J2221" t="str">
            <v>B</v>
          </cell>
          <cell r="K2221" t="str">
            <v>PIE ANDINO</v>
          </cell>
          <cell r="L2221" t="str">
            <v>Pie Andino 31 (Pie Andino 383)</v>
          </cell>
          <cell r="M2221" t="str">
            <v>Puente Alto</v>
          </cell>
          <cell r="N2221" t="str">
            <v>B</v>
          </cell>
        </row>
        <row r="2222">
          <cell r="B2222" t="str">
            <v>VFPH98</v>
          </cell>
          <cell r="C2222" t="str">
            <v>MDN35025020128</v>
          </cell>
          <cell r="D2222" t="str">
            <v>LDYECS31XS0044030</v>
          </cell>
          <cell r="E2222" t="str">
            <v>Zhong Tong</v>
          </cell>
          <cell r="F2222" t="str">
            <v>Lck6122evg</v>
          </cell>
          <cell r="G2222" t="str">
            <v>ZHONGTONG</v>
          </cell>
          <cell r="H2222" t="str">
            <v>LCK6122EVG</v>
          </cell>
          <cell r="I2222">
            <v>2025</v>
          </cell>
          <cell r="J2222" t="str">
            <v>B</v>
          </cell>
          <cell r="K2222" t="str">
            <v>SAN ALFONSO</v>
          </cell>
          <cell r="L2222" t="str">
            <v>San Alfonso 2141 (Ramón Subercaseaux 3060)</v>
          </cell>
          <cell r="M2222" t="str">
            <v>Estacion Central</v>
          </cell>
          <cell r="N2222" t="str">
            <v>B</v>
          </cell>
        </row>
        <row r="2223">
          <cell r="B2223" t="str">
            <v>VFPJ11</v>
          </cell>
          <cell r="C2223" t="str">
            <v>MDN35025010019</v>
          </cell>
          <cell r="D2223" t="str">
            <v>LDYECS319S0044116</v>
          </cell>
          <cell r="E2223" t="str">
            <v>Zhong Tong</v>
          </cell>
          <cell r="F2223" t="str">
            <v>Lck6122evg</v>
          </cell>
          <cell r="G2223" t="str">
            <v>ZHONGTONG</v>
          </cell>
          <cell r="H2223" t="str">
            <v>LCK6122EVG</v>
          </cell>
          <cell r="I2223">
            <v>2025</v>
          </cell>
          <cell r="J2223" t="str">
            <v>B</v>
          </cell>
          <cell r="K2223" t="str">
            <v>CERRILLOS</v>
          </cell>
          <cell r="L2223" t="str">
            <v>Calle Uno 7371</v>
          </cell>
          <cell r="M2223" t="str">
            <v>Cerrillos</v>
          </cell>
          <cell r="N2223" t="str">
            <v>B</v>
          </cell>
        </row>
        <row r="2224">
          <cell r="B2224" t="str">
            <v>VFPJ25</v>
          </cell>
          <cell r="C2224" t="str">
            <v>MDN35025020127</v>
          </cell>
          <cell r="D2224" t="str">
            <v>LDYECS313S0044029</v>
          </cell>
          <cell r="E2224" t="str">
            <v>Zhong Tong</v>
          </cell>
          <cell r="F2224" t="str">
            <v>Lck6122evg</v>
          </cell>
          <cell r="G2224" t="str">
            <v>ZHONGTONG</v>
          </cell>
          <cell r="H2224" t="str">
            <v>LCK6122EVG</v>
          </cell>
          <cell r="I2224">
            <v>2025</v>
          </cell>
          <cell r="J2224" t="str">
            <v>B</v>
          </cell>
          <cell r="K2224" t="str">
            <v>PIE ANDINO</v>
          </cell>
          <cell r="L2224" t="str">
            <v>Pie Andino 31 (Pie Andino 383)</v>
          </cell>
          <cell r="M2224" t="str">
            <v>Puente Alto</v>
          </cell>
          <cell r="N2224" t="str">
            <v>B</v>
          </cell>
        </row>
        <row r="2225">
          <cell r="B2225" t="str">
            <v>VFPJ28</v>
          </cell>
          <cell r="C2225" t="str">
            <v>MDN35025020123</v>
          </cell>
          <cell r="D2225" t="str">
            <v>LDYECS314S0044010</v>
          </cell>
          <cell r="E2225" t="str">
            <v>Zhong Tong</v>
          </cell>
          <cell r="F2225" t="str">
            <v>Lck6122evg</v>
          </cell>
          <cell r="G2225" t="str">
            <v>ZHONGTONG</v>
          </cell>
          <cell r="H2225" t="str">
            <v>LCK6122EVG</v>
          </cell>
          <cell r="I2225">
            <v>2025</v>
          </cell>
          <cell r="J2225" t="str">
            <v>B</v>
          </cell>
          <cell r="K2225" t="str">
            <v>PIE ANDINO</v>
          </cell>
          <cell r="L2225" t="str">
            <v>Pie Andino 31 (Pie Andino 383)</v>
          </cell>
          <cell r="M2225" t="str">
            <v>Puente Alto</v>
          </cell>
          <cell r="N2225" t="str">
            <v>B</v>
          </cell>
        </row>
        <row r="2226">
          <cell r="B2226" t="str">
            <v>VFPJ31</v>
          </cell>
          <cell r="C2226" t="str">
            <v>MDN35025020070</v>
          </cell>
          <cell r="D2226" t="str">
            <v>LDYECS313S0043995</v>
          </cell>
          <cell r="E2226" t="str">
            <v>Zhong Tong</v>
          </cell>
          <cell r="F2226" t="str">
            <v>Lck6122evg</v>
          </cell>
          <cell r="G2226" t="str">
            <v>ZHONGTONG</v>
          </cell>
          <cell r="H2226" t="str">
            <v>LCK6122EVG</v>
          </cell>
          <cell r="I2226">
            <v>2025</v>
          </cell>
          <cell r="J2226" t="str">
            <v>B</v>
          </cell>
          <cell r="K2226" t="str">
            <v>CERRILLOS</v>
          </cell>
          <cell r="L2226" t="str">
            <v>Calle Uno 7371</v>
          </cell>
          <cell r="M2226" t="str">
            <v>Cerrillos</v>
          </cell>
          <cell r="N2226" t="str">
            <v>B</v>
          </cell>
        </row>
        <row r="2227">
          <cell r="B2227" t="str">
            <v>VFPJ51</v>
          </cell>
          <cell r="C2227" t="str">
            <v>MDN35025020109</v>
          </cell>
          <cell r="D2227" t="str">
            <v>LDYECS314S0044024</v>
          </cell>
          <cell r="E2227" t="str">
            <v>Zhong Tong</v>
          </cell>
          <cell r="F2227" t="str">
            <v>Lck6122evg</v>
          </cell>
          <cell r="G2227" t="str">
            <v>ZHONGTONG</v>
          </cell>
          <cell r="H2227" t="str">
            <v>LCK6122EVG</v>
          </cell>
          <cell r="I2227">
            <v>2025</v>
          </cell>
          <cell r="J2227" t="str">
            <v>B</v>
          </cell>
          <cell r="K2227" t="str">
            <v>PIE ANDINO</v>
          </cell>
          <cell r="L2227" t="str">
            <v>Pie Andino 31 (Pie Andino 383)</v>
          </cell>
          <cell r="M2227" t="str">
            <v>Puente Alto</v>
          </cell>
          <cell r="N2227" t="str">
            <v>B</v>
          </cell>
        </row>
        <row r="2228">
          <cell r="B2228" t="str">
            <v>VFPJ53</v>
          </cell>
          <cell r="C2228" t="str">
            <v>MDN35025020024</v>
          </cell>
          <cell r="D2228" t="str">
            <v>LDYECS318S0044026</v>
          </cell>
          <cell r="E2228" t="str">
            <v>Zhong Tong</v>
          </cell>
          <cell r="F2228" t="str">
            <v>Lck6122evg</v>
          </cell>
          <cell r="G2228" t="str">
            <v>ZHONGTONG</v>
          </cell>
          <cell r="H2228" t="str">
            <v>LCK6122EVG</v>
          </cell>
          <cell r="I2228">
            <v>2025</v>
          </cell>
          <cell r="J2228" t="str">
            <v>B</v>
          </cell>
          <cell r="K2228" t="str">
            <v>CERRILLOS</v>
          </cell>
          <cell r="L2228" t="str">
            <v>Calle Uno 7371</v>
          </cell>
          <cell r="M2228" t="str">
            <v>Cerrillos</v>
          </cell>
          <cell r="N2228" t="str">
            <v>B</v>
          </cell>
        </row>
        <row r="2229">
          <cell r="B2229" t="str">
            <v>VFPJ61</v>
          </cell>
          <cell r="C2229" t="str">
            <v>MDN35025020049</v>
          </cell>
          <cell r="D2229" t="str">
            <v>LDYECS310S0044005</v>
          </cell>
          <cell r="E2229" t="str">
            <v>Zhong Tong</v>
          </cell>
          <cell r="F2229" t="str">
            <v>Lck6122evg</v>
          </cell>
          <cell r="G2229" t="str">
            <v>ZHONGTONG</v>
          </cell>
          <cell r="H2229" t="str">
            <v>LCK6122EVG</v>
          </cell>
          <cell r="I2229">
            <v>2025</v>
          </cell>
          <cell r="J2229" t="str">
            <v>B</v>
          </cell>
          <cell r="K2229" t="str">
            <v>PIE ANDINO</v>
          </cell>
          <cell r="L2229" t="str">
            <v>Pie Andino 31 (Pie Andino 383)</v>
          </cell>
          <cell r="M2229" t="str">
            <v>Puente Alto</v>
          </cell>
          <cell r="N2229" t="str">
            <v>B</v>
          </cell>
        </row>
        <row r="2230">
          <cell r="B2230" t="str">
            <v>VFPJ66</v>
          </cell>
          <cell r="C2230" t="str">
            <v>MDN35025020108</v>
          </cell>
          <cell r="D2230" t="str">
            <v>LDYECS31XS0044061</v>
          </cell>
          <cell r="E2230" t="str">
            <v>Zhong Tong</v>
          </cell>
          <cell r="F2230" t="str">
            <v>Lck6122evg</v>
          </cell>
          <cell r="G2230" t="str">
            <v>ZHONGTONG</v>
          </cell>
          <cell r="H2230" t="str">
            <v>LCK6122EVG</v>
          </cell>
          <cell r="I2230">
            <v>2025</v>
          </cell>
          <cell r="J2230" t="str">
            <v>B</v>
          </cell>
          <cell r="K2230" t="str">
            <v>CERRILLOS</v>
          </cell>
          <cell r="L2230" t="str">
            <v>Calle Uno 7371</v>
          </cell>
          <cell r="M2230" t="str">
            <v>Cerrillos</v>
          </cell>
          <cell r="N2230" t="str">
            <v>B</v>
          </cell>
        </row>
        <row r="2231">
          <cell r="B2231" t="str">
            <v>VFPJ68</v>
          </cell>
          <cell r="C2231" t="str">
            <v>MDN35025020064</v>
          </cell>
          <cell r="D2231" t="str">
            <v>LDYECS316S0044008</v>
          </cell>
          <cell r="E2231" t="str">
            <v>Zhong Tong</v>
          </cell>
          <cell r="F2231" t="str">
            <v>Lck6122evg</v>
          </cell>
          <cell r="G2231" t="str">
            <v>ZHONGTONG</v>
          </cell>
          <cell r="H2231" t="str">
            <v>LCK6122EVG</v>
          </cell>
          <cell r="I2231">
            <v>2025</v>
          </cell>
          <cell r="J2231" t="str">
            <v>B</v>
          </cell>
          <cell r="K2231" t="str">
            <v>PIE ANDINO</v>
          </cell>
          <cell r="L2231" t="str">
            <v>Pie Andino 31 (Pie Andino 383)</v>
          </cell>
          <cell r="M2231" t="str">
            <v>Puente Alto</v>
          </cell>
          <cell r="N2231" t="str">
            <v>B</v>
          </cell>
        </row>
        <row r="2232">
          <cell r="B2232" t="str">
            <v>VFPJ71</v>
          </cell>
          <cell r="C2232" t="str">
            <v>MDN35025020103</v>
          </cell>
          <cell r="D2232" t="str">
            <v>LDYECS313S0044015</v>
          </cell>
          <cell r="E2232" t="str">
            <v>Zhong Tong</v>
          </cell>
          <cell r="F2232" t="str">
            <v>Lck6122evg</v>
          </cell>
          <cell r="G2232" t="str">
            <v>ZHONGTONG</v>
          </cell>
          <cell r="H2232" t="str">
            <v>LCK6122EVG</v>
          </cell>
          <cell r="I2232">
            <v>2025</v>
          </cell>
          <cell r="J2232" t="str">
            <v>B</v>
          </cell>
          <cell r="K2232" t="str">
            <v>CERRILLOS</v>
          </cell>
          <cell r="L2232" t="str">
            <v>Calle Uno 7371</v>
          </cell>
          <cell r="M2232" t="str">
            <v>Cerrillos</v>
          </cell>
          <cell r="N2232" t="str">
            <v>B</v>
          </cell>
        </row>
        <row r="2233">
          <cell r="B2233" t="str">
            <v>VFPJ77</v>
          </cell>
          <cell r="C2233" t="str">
            <v>MDN35025020131</v>
          </cell>
          <cell r="D2233" t="str">
            <v>LDYECS317S0044017</v>
          </cell>
          <cell r="E2233" t="str">
            <v>Zhong Tong</v>
          </cell>
          <cell r="F2233" t="str">
            <v>Lck6122evg</v>
          </cell>
          <cell r="G2233" t="str">
            <v>ZHONGTONG</v>
          </cell>
          <cell r="H2233" t="str">
            <v>LCK6122EVG</v>
          </cell>
          <cell r="I2233">
            <v>2025</v>
          </cell>
          <cell r="J2233" t="str">
            <v>B</v>
          </cell>
          <cell r="K2233" t="str">
            <v>PIE ANDINO</v>
          </cell>
          <cell r="L2233" t="str">
            <v>Pie Andino 31 (Pie Andino 383)</v>
          </cell>
          <cell r="M2233" t="str">
            <v>Puente Alto</v>
          </cell>
          <cell r="N2233" t="str">
            <v>B</v>
          </cell>
        </row>
        <row r="2234">
          <cell r="B2234" t="str">
            <v>VFPK64</v>
          </cell>
          <cell r="C2234" t="str">
            <v>MDN35025020115</v>
          </cell>
          <cell r="D2234" t="str">
            <v>LDYECS319S0044018</v>
          </cell>
          <cell r="E2234" t="str">
            <v>Zhong Tong</v>
          </cell>
          <cell r="F2234" t="str">
            <v>Lck6122evg</v>
          </cell>
          <cell r="G2234" t="str">
            <v>ZHONGTONG</v>
          </cell>
          <cell r="H2234" t="str">
            <v>LCK6122EVG</v>
          </cell>
          <cell r="I2234">
            <v>2025</v>
          </cell>
          <cell r="J2234" t="str">
            <v>B</v>
          </cell>
          <cell r="K2234" t="str">
            <v>CERRILLOS</v>
          </cell>
          <cell r="L2234" t="str">
            <v>Calle Uno 7371</v>
          </cell>
          <cell r="M2234" t="str">
            <v>Cerrillos</v>
          </cell>
          <cell r="N2234" t="str">
            <v>B</v>
          </cell>
        </row>
        <row r="2235">
          <cell r="B2235" t="str">
            <v>VFPK81</v>
          </cell>
          <cell r="C2235" t="str">
            <v>MDN35025020019</v>
          </cell>
          <cell r="D2235" t="str">
            <v>LDYECS313S0044094</v>
          </cell>
          <cell r="E2235" t="str">
            <v>Zhong Tong</v>
          </cell>
          <cell r="F2235" t="str">
            <v>Lck6122evg</v>
          </cell>
          <cell r="G2235" t="str">
            <v>ZHONGTONG</v>
          </cell>
          <cell r="H2235" t="str">
            <v>LCK6122EVG</v>
          </cell>
          <cell r="I2235">
            <v>2025</v>
          </cell>
          <cell r="J2235" t="str">
            <v>B</v>
          </cell>
          <cell r="K2235" t="str">
            <v>PIE ANDINO</v>
          </cell>
          <cell r="L2235" t="str">
            <v>Pie Andino 31 (Pie Andino 383)</v>
          </cell>
          <cell r="M2235" t="str">
            <v>Puente Alto</v>
          </cell>
          <cell r="N2235" t="str">
            <v>B</v>
          </cell>
        </row>
        <row r="2236">
          <cell r="B2236" t="str">
            <v>VFPK91</v>
          </cell>
          <cell r="C2236" t="str">
            <v>MDN35025010038</v>
          </cell>
          <cell r="D2236" t="str">
            <v>LDYECS315S0044114</v>
          </cell>
          <cell r="E2236" t="str">
            <v>Zhong Tong</v>
          </cell>
          <cell r="F2236" t="str">
            <v>Lck6122evg</v>
          </cell>
          <cell r="G2236" t="str">
            <v>ZHONGTONG</v>
          </cell>
          <cell r="H2236" t="str">
            <v>LCK6122EVG</v>
          </cell>
          <cell r="I2236">
            <v>2025</v>
          </cell>
          <cell r="J2236" t="str">
            <v>B</v>
          </cell>
          <cell r="K2236" t="str">
            <v>PIE ANDINO</v>
          </cell>
          <cell r="L2236" t="str">
            <v>Pie Andino 31 (Pie Andino 383)</v>
          </cell>
          <cell r="M2236" t="str">
            <v>Puente Alto</v>
          </cell>
          <cell r="N2236" t="str">
            <v>B</v>
          </cell>
        </row>
        <row r="2237">
          <cell r="B2237" t="str">
            <v>VFPL11</v>
          </cell>
          <cell r="C2237" t="str">
            <v>MDN35025020028</v>
          </cell>
          <cell r="D2237" t="str">
            <v>LDYECS314S0044041</v>
          </cell>
          <cell r="E2237" t="str">
            <v>Zhong Tong</v>
          </cell>
          <cell r="F2237" t="str">
            <v>Lck6122evg</v>
          </cell>
          <cell r="G2237" t="str">
            <v>ZHONGTONG</v>
          </cell>
          <cell r="H2237" t="str">
            <v>LCK6122EVG</v>
          </cell>
          <cell r="I2237">
            <v>2025</v>
          </cell>
          <cell r="J2237" t="str">
            <v>B</v>
          </cell>
          <cell r="K2237" t="str">
            <v>PIE ANDINO</v>
          </cell>
          <cell r="L2237" t="str">
            <v>Pie Andino 31 (Pie Andino 383)</v>
          </cell>
          <cell r="M2237" t="str">
            <v>Puente Alto</v>
          </cell>
          <cell r="N2237" t="str">
            <v>B</v>
          </cell>
        </row>
        <row r="2238">
          <cell r="B2238" t="str">
            <v>VFPL15</v>
          </cell>
          <cell r="C2238" t="str">
            <v>MDN35025020111</v>
          </cell>
          <cell r="D2238" t="str">
            <v>LDYECS31XS0044013</v>
          </cell>
          <cell r="E2238" t="str">
            <v>Zhong Tong</v>
          </cell>
          <cell r="F2238" t="str">
            <v>Lck6122evg</v>
          </cell>
          <cell r="G2238" t="str">
            <v>ZHONGTONG</v>
          </cell>
          <cell r="H2238" t="str">
            <v>LCK6122EVG</v>
          </cell>
          <cell r="I2238">
            <v>2025</v>
          </cell>
          <cell r="J2238" t="str">
            <v>B</v>
          </cell>
          <cell r="K2238" t="str">
            <v>PIE ANDINO</v>
          </cell>
          <cell r="L2238" t="str">
            <v>Pie Andino 31 (Pie Andino 383)</v>
          </cell>
          <cell r="M2238" t="str">
            <v>Puente Alto</v>
          </cell>
          <cell r="N2238" t="str">
            <v>B</v>
          </cell>
        </row>
        <row r="2239">
          <cell r="B2239" t="str">
            <v>VFPL21</v>
          </cell>
          <cell r="C2239" t="str">
            <v>MDN35025020125</v>
          </cell>
          <cell r="D2239" t="str">
            <v>LDYECS313S0044032</v>
          </cell>
          <cell r="E2239" t="str">
            <v>Zhong Tong</v>
          </cell>
          <cell r="F2239" t="str">
            <v>Lck6122evg</v>
          </cell>
          <cell r="G2239" t="str">
            <v>ZHONGTONG</v>
          </cell>
          <cell r="H2239" t="str">
            <v>LCK6122EVG</v>
          </cell>
          <cell r="I2239">
            <v>2025</v>
          </cell>
          <cell r="J2239" t="str">
            <v>B</v>
          </cell>
          <cell r="K2239" t="str">
            <v>PIE ANDINO</v>
          </cell>
          <cell r="L2239" t="str">
            <v>Pie Andino 31 (Pie Andino 383)</v>
          </cell>
          <cell r="M2239" t="str">
            <v>Puente Alto</v>
          </cell>
          <cell r="N2239" t="str">
            <v>B</v>
          </cell>
        </row>
        <row r="2240">
          <cell r="B2240" t="str">
            <v>VFPL31</v>
          </cell>
          <cell r="C2240" t="str">
            <v>MDN35025020117</v>
          </cell>
          <cell r="D2240" t="str">
            <v>LDYECS310S0044022</v>
          </cell>
          <cell r="E2240" t="str">
            <v>Zhong Tong</v>
          </cell>
          <cell r="F2240" t="str">
            <v>Lck6122evg</v>
          </cell>
          <cell r="G2240" t="str">
            <v>ZHONGTONG</v>
          </cell>
          <cell r="H2240" t="str">
            <v>LCK6122EVG</v>
          </cell>
          <cell r="I2240">
            <v>2025</v>
          </cell>
          <cell r="J2240" t="str">
            <v>B</v>
          </cell>
          <cell r="K2240" t="str">
            <v>PIE ANDINO</v>
          </cell>
          <cell r="L2240" t="str">
            <v>Pie Andino 31 (Pie Andino 383)</v>
          </cell>
          <cell r="M2240" t="str">
            <v>Puente Alto</v>
          </cell>
          <cell r="N2240" t="str">
            <v>B</v>
          </cell>
        </row>
        <row r="2241">
          <cell r="B2241" t="str">
            <v>VFPL35</v>
          </cell>
          <cell r="C2241" t="str">
            <v>MDN35025020006</v>
          </cell>
          <cell r="D2241" t="str">
            <v>LDYECS316S0044073</v>
          </cell>
          <cell r="E2241" t="str">
            <v>Zhong Tong</v>
          </cell>
          <cell r="F2241" t="str">
            <v>Lck6122evg</v>
          </cell>
          <cell r="G2241" t="str">
            <v>ZHONGTONG</v>
          </cell>
          <cell r="H2241" t="str">
            <v>LCK6122EVG</v>
          </cell>
          <cell r="I2241">
            <v>2025</v>
          </cell>
          <cell r="J2241" t="str">
            <v>B</v>
          </cell>
          <cell r="K2241" t="str">
            <v>PIE ANDINO</v>
          </cell>
          <cell r="L2241" t="str">
            <v>Pie Andino 31 (Pie Andino 383)</v>
          </cell>
          <cell r="M2241" t="str">
            <v>Puente Alto</v>
          </cell>
          <cell r="N2241" t="str">
            <v>B</v>
          </cell>
        </row>
        <row r="2242">
          <cell r="B2242" t="str">
            <v>VFPL41</v>
          </cell>
          <cell r="C2242" t="str">
            <v>MDN35025020062</v>
          </cell>
          <cell r="D2242" t="str">
            <v>LDYECS312S0044006</v>
          </cell>
          <cell r="E2242" t="str">
            <v>Zhong Tong</v>
          </cell>
          <cell r="F2242" t="str">
            <v>Lck6122evg</v>
          </cell>
          <cell r="G2242" t="str">
            <v>ZHONGTONG</v>
          </cell>
          <cell r="H2242" t="str">
            <v>LCK6122EVG</v>
          </cell>
          <cell r="I2242">
            <v>2025</v>
          </cell>
          <cell r="J2242" t="str">
            <v>B</v>
          </cell>
          <cell r="K2242" t="str">
            <v>SAN ALFONSO</v>
          </cell>
          <cell r="L2242" t="str">
            <v>San Alfonso 2141 (Ramón Subercaseaux 3060)</v>
          </cell>
          <cell r="M2242" t="str">
            <v>Estacion Central</v>
          </cell>
          <cell r="N2242" t="str">
            <v>B</v>
          </cell>
        </row>
        <row r="2243">
          <cell r="B2243" t="str">
            <v>VFPL46</v>
          </cell>
          <cell r="C2243" t="str">
            <v>MDN35025020116</v>
          </cell>
          <cell r="D2243" t="str">
            <v>LDYECS317S0044020</v>
          </cell>
          <cell r="E2243" t="str">
            <v>Zhong Tong</v>
          </cell>
          <cell r="F2243" t="str">
            <v>Lck6122evg</v>
          </cell>
          <cell r="G2243" t="str">
            <v>ZHONGTONG</v>
          </cell>
          <cell r="H2243" t="str">
            <v>LCK6122EVG</v>
          </cell>
          <cell r="I2243">
            <v>2025</v>
          </cell>
          <cell r="J2243" t="str">
            <v>B</v>
          </cell>
          <cell r="K2243" t="str">
            <v>SAN ALFONSO</v>
          </cell>
          <cell r="L2243" t="str">
            <v>San Alfonso 2141 (Ramón Subercaseaux 3060)</v>
          </cell>
          <cell r="M2243" t="str">
            <v>Estacion Central</v>
          </cell>
          <cell r="N2243" t="str">
            <v>B</v>
          </cell>
        </row>
        <row r="2244">
          <cell r="B2244" t="str">
            <v>VFPL57</v>
          </cell>
          <cell r="C2244" t="str">
            <v>MDN35025020106</v>
          </cell>
          <cell r="D2244" t="str">
            <v>LDYECS316S0044025</v>
          </cell>
          <cell r="E2244" t="str">
            <v>Zhong Tong</v>
          </cell>
          <cell r="F2244" t="str">
            <v>Lck6122evg</v>
          </cell>
          <cell r="G2244" t="str">
            <v>ZHONGTONG</v>
          </cell>
          <cell r="H2244" t="str">
            <v>LCK6122EVG</v>
          </cell>
          <cell r="I2244">
            <v>2025</v>
          </cell>
          <cell r="J2244" t="str">
            <v>B</v>
          </cell>
          <cell r="K2244" t="str">
            <v>CERRILLOS</v>
          </cell>
          <cell r="L2244" t="str">
            <v>Calle Uno 7371</v>
          </cell>
          <cell r="M2244" t="str">
            <v>Cerrillos</v>
          </cell>
          <cell r="N2244" t="str">
            <v>B</v>
          </cell>
        </row>
        <row r="2245">
          <cell r="B2245" t="str">
            <v>VFPL61</v>
          </cell>
          <cell r="C2245" t="str">
            <v>MDN35025020110</v>
          </cell>
          <cell r="D2245" t="str">
            <v>LDYECS317S0044034</v>
          </cell>
          <cell r="E2245" t="str">
            <v>Zhong Tong</v>
          </cell>
          <cell r="F2245" t="str">
            <v>Lck6122evg</v>
          </cell>
          <cell r="G2245" t="str">
            <v>ZHONGTONG</v>
          </cell>
          <cell r="H2245" t="str">
            <v>LCK6122EVG</v>
          </cell>
          <cell r="I2245">
            <v>2025</v>
          </cell>
          <cell r="J2245" t="str">
            <v>B</v>
          </cell>
          <cell r="K2245" t="str">
            <v>CERRILLOS</v>
          </cell>
          <cell r="L2245" t="str">
            <v>Calle Uno 7371</v>
          </cell>
          <cell r="M2245" t="str">
            <v>Cerrillos</v>
          </cell>
          <cell r="N2245" t="str">
            <v>B</v>
          </cell>
        </row>
        <row r="2246">
          <cell r="B2246" t="str">
            <v>VFPL63</v>
          </cell>
          <cell r="C2246" t="str">
            <v>MDN35025020035</v>
          </cell>
          <cell r="D2246" t="str">
            <v>LDYECS319S0044052</v>
          </cell>
          <cell r="E2246" t="str">
            <v>Zhong Tong</v>
          </cell>
          <cell r="F2246" t="str">
            <v>Lck6122evg</v>
          </cell>
          <cell r="G2246" t="str">
            <v>ZHONGTONG</v>
          </cell>
          <cell r="H2246" t="str">
            <v>LCK6122EVG</v>
          </cell>
          <cell r="I2246">
            <v>2025</v>
          </cell>
          <cell r="J2246" t="str">
            <v>B</v>
          </cell>
          <cell r="K2246" t="str">
            <v>CERRILLOS</v>
          </cell>
          <cell r="L2246" t="str">
            <v>Calle Uno 7371</v>
          </cell>
          <cell r="M2246" t="str">
            <v>Cerrillos</v>
          </cell>
          <cell r="N2246" t="str">
            <v>B</v>
          </cell>
        </row>
        <row r="2247">
          <cell r="B2247" t="str">
            <v>VFPL71</v>
          </cell>
          <cell r="C2247" t="str">
            <v>MDN35025020077</v>
          </cell>
          <cell r="D2247" t="str">
            <v>LDYECS312S0044037</v>
          </cell>
          <cell r="E2247" t="str">
            <v>Zhong Tong</v>
          </cell>
          <cell r="F2247" t="str">
            <v>Lck6122evg</v>
          </cell>
          <cell r="G2247" t="str">
            <v>ZHONGTONG</v>
          </cell>
          <cell r="H2247" t="str">
            <v>LCK6122EVG</v>
          </cell>
          <cell r="I2247">
            <v>2025</v>
          </cell>
          <cell r="J2247" t="str">
            <v>B</v>
          </cell>
          <cell r="K2247" t="str">
            <v>CERRILLOS</v>
          </cell>
          <cell r="L2247" t="str">
            <v>Calle Uno 7371</v>
          </cell>
          <cell r="M2247" t="str">
            <v>Cerrillos</v>
          </cell>
          <cell r="N2247" t="str">
            <v>B</v>
          </cell>
        </row>
        <row r="2248">
          <cell r="B2248" t="str">
            <v>VFPL73</v>
          </cell>
          <cell r="C2248" t="str">
            <v>MDN35025020033</v>
          </cell>
          <cell r="D2248" t="str">
            <v>LDYECS318S0044088</v>
          </cell>
          <cell r="E2248" t="str">
            <v>Zhong Tong</v>
          </cell>
          <cell r="F2248" t="str">
            <v>Lck6122evg</v>
          </cell>
          <cell r="G2248" t="str">
            <v>ZHONGTONG</v>
          </cell>
          <cell r="H2248" t="str">
            <v>LCK6122EVG</v>
          </cell>
          <cell r="I2248">
            <v>2025</v>
          </cell>
          <cell r="J2248" t="str">
            <v>B</v>
          </cell>
          <cell r="K2248" t="str">
            <v>PIE ANDINO</v>
          </cell>
          <cell r="L2248" t="str">
            <v>Pie Andino 31 (Pie Andino 383)</v>
          </cell>
          <cell r="M2248" t="str">
            <v>Puente Alto</v>
          </cell>
          <cell r="N2248" t="str">
            <v>B</v>
          </cell>
        </row>
        <row r="2249">
          <cell r="B2249" t="str">
            <v>VFPL74</v>
          </cell>
          <cell r="C2249" t="str">
            <v>MDN35025010021</v>
          </cell>
          <cell r="D2249" t="str">
            <v>LDYECS313S0044113</v>
          </cell>
          <cell r="E2249" t="str">
            <v>Zhong Tong</v>
          </cell>
          <cell r="F2249" t="str">
            <v>Lck6122evg</v>
          </cell>
          <cell r="G2249" t="str">
            <v>ZHONGTONG</v>
          </cell>
          <cell r="H2249" t="str">
            <v>LCK6122EVG</v>
          </cell>
          <cell r="I2249">
            <v>2025</v>
          </cell>
          <cell r="J2249" t="str">
            <v>B</v>
          </cell>
          <cell r="K2249" t="str">
            <v>CERRILLOS</v>
          </cell>
          <cell r="L2249" t="str">
            <v>Calle Uno 7371</v>
          </cell>
          <cell r="M2249" t="str">
            <v>Cerrillos</v>
          </cell>
          <cell r="N2249" t="str">
            <v>B</v>
          </cell>
        </row>
        <row r="2250">
          <cell r="B2250" t="str">
            <v>VFPL81</v>
          </cell>
          <cell r="C2250" t="str">
            <v>MDN35025020120</v>
          </cell>
          <cell r="D2250" t="str">
            <v>LDYECS316S0044011</v>
          </cell>
          <cell r="E2250" t="str">
            <v>Zhong Tong</v>
          </cell>
          <cell r="F2250" t="str">
            <v>Lck6122evg</v>
          </cell>
          <cell r="G2250" t="str">
            <v>ZHONGTONG</v>
          </cell>
          <cell r="H2250" t="str">
            <v>LCK6122EVG</v>
          </cell>
          <cell r="I2250">
            <v>2025</v>
          </cell>
          <cell r="J2250" t="str">
            <v>B</v>
          </cell>
          <cell r="K2250" t="str">
            <v>CERRILLOS</v>
          </cell>
          <cell r="L2250" t="str">
            <v>Calle Uno 7371</v>
          </cell>
          <cell r="M2250" t="str">
            <v>Cerrillos</v>
          </cell>
          <cell r="N2250" t="str">
            <v>B</v>
          </cell>
        </row>
        <row r="2251">
          <cell r="B2251" t="str">
            <v>VFPL87</v>
          </cell>
          <cell r="C2251" t="str">
            <v>MDN35025020101</v>
          </cell>
          <cell r="D2251" t="str">
            <v>LDYECS315S0044047</v>
          </cell>
          <cell r="E2251" t="str">
            <v>Zhong Tong</v>
          </cell>
          <cell r="F2251" t="str">
            <v>Lck6122evg</v>
          </cell>
          <cell r="G2251" t="str">
            <v>ZHONGTONG</v>
          </cell>
          <cell r="H2251" t="str">
            <v>LCK6122EVG</v>
          </cell>
          <cell r="I2251">
            <v>2025</v>
          </cell>
          <cell r="J2251" t="str">
            <v>B</v>
          </cell>
          <cell r="K2251" t="str">
            <v>CERRILLOS</v>
          </cell>
          <cell r="L2251" t="str">
            <v>Calle Uno 7371</v>
          </cell>
          <cell r="M2251" t="str">
            <v>Cerrillos</v>
          </cell>
          <cell r="N2251" t="str">
            <v>B</v>
          </cell>
        </row>
        <row r="2252">
          <cell r="B2252" t="str">
            <v>VFPL88</v>
          </cell>
          <cell r="C2252" t="str">
            <v>MDN35025020071</v>
          </cell>
          <cell r="D2252" t="str">
            <v>LDYECS316S0044039</v>
          </cell>
          <cell r="E2252" t="str">
            <v>Zhong Tong</v>
          </cell>
          <cell r="F2252" t="str">
            <v>Lck6122evg</v>
          </cell>
          <cell r="G2252" t="str">
            <v>ZHONGTONG</v>
          </cell>
          <cell r="H2252" t="str">
            <v>LCK6122EVG</v>
          </cell>
          <cell r="I2252">
            <v>2025</v>
          </cell>
          <cell r="J2252" t="str">
            <v>B</v>
          </cell>
          <cell r="K2252" t="str">
            <v>PIE ANDINO</v>
          </cell>
          <cell r="L2252" t="str">
            <v>Pie Andino 31 (Pie Andino 383)</v>
          </cell>
          <cell r="M2252" t="str">
            <v>Puente Alto</v>
          </cell>
          <cell r="N2252" t="str">
            <v>B</v>
          </cell>
        </row>
        <row r="2253">
          <cell r="B2253" t="str">
            <v>VFPL92</v>
          </cell>
          <cell r="C2253" t="str">
            <v>MDN35025010192</v>
          </cell>
          <cell r="D2253" t="str">
            <v>LDYECS312S0044054</v>
          </cell>
          <cell r="E2253" t="str">
            <v>Zhong Tong</v>
          </cell>
          <cell r="F2253" t="str">
            <v>Lck6122evg</v>
          </cell>
          <cell r="G2253" t="str">
            <v>ZHONGTONG</v>
          </cell>
          <cell r="H2253" t="str">
            <v>LCK6122EVG</v>
          </cell>
          <cell r="I2253">
            <v>2025</v>
          </cell>
          <cell r="J2253" t="str">
            <v>B</v>
          </cell>
          <cell r="K2253" t="str">
            <v>PIE ANDINO</v>
          </cell>
          <cell r="L2253" t="str">
            <v>Pie Andino 31 (Pie Andino 383)</v>
          </cell>
          <cell r="M2253" t="str">
            <v>Puente Alto</v>
          </cell>
          <cell r="N2253" t="str">
            <v>B</v>
          </cell>
        </row>
        <row r="2254">
          <cell r="B2254" t="str">
            <v>VFPP11</v>
          </cell>
          <cell r="C2254" t="str">
            <v>MDN35025010191</v>
          </cell>
          <cell r="D2254" t="str">
            <v>LDYECS316S0044056</v>
          </cell>
          <cell r="E2254" t="str">
            <v>Zhong Tong</v>
          </cell>
          <cell r="F2254" t="str">
            <v>Lck6122evg</v>
          </cell>
          <cell r="G2254" t="str">
            <v>ZHONGTONG</v>
          </cell>
          <cell r="H2254" t="str">
            <v>LCK6122EVG</v>
          </cell>
          <cell r="I2254">
            <v>2025</v>
          </cell>
          <cell r="J2254" t="str">
            <v>B</v>
          </cell>
          <cell r="K2254" t="str">
            <v>PIE ANDINO</v>
          </cell>
          <cell r="L2254" t="str">
            <v>Pie Andino 31 (Pie Andino 383)</v>
          </cell>
          <cell r="M2254" t="str">
            <v>Puente Alto</v>
          </cell>
          <cell r="N2254" t="str">
            <v>B</v>
          </cell>
        </row>
        <row r="2255">
          <cell r="B2255" t="str">
            <v>VFPS39</v>
          </cell>
          <cell r="C2255" t="str">
            <v>MDN35025010217</v>
          </cell>
          <cell r="D2255" t="str">
            <v>LDYECS319S0044083</v>
          </cell>
          <cell r="E2255" t="str">
            <v>Zhong Tong</v>
          </cell>
          <cell r="F2255" t="str">
            <v>Lck6122evg</v>
          </cell>
          <cell r="G2255" t="str">
            <v>ZHONGTONG</v>
          </cell>
          <cell r="H2255" t="str">
            <v>LCK6122EVG</v>
          </cell>
          <cell r="I2255">
            <v>2025</v>
          </cell>
          <cell r="J2255" t="str">
            <v>B</v>
          </cell>
          <cell r="K2255" t="str">
            <v>CERRILLOS</v>
          </cell>
          <cell r="L2255" t="str">
            <v>Calle Uno 7371</v>
          </cell>
          <cell r="M2255" t="str">
            <v>Cerrillos</v>
          </cell>
          <cell r="N2255" t="str">
            <v>B</v>
          </cell>
        </row>
        <row r="2256">
          <cell r="B2256" t="str">
            <v>VFPS47</v>
          </cell>
          <cell r="C2256" t="str">
            <v>MDN35025020132</v>
          </cell>
          <cell r="D2256" t="str">
            <v>LDYECS318S0044057</v>
          </cell>
          <cell r="E2256" t="str">
            <v>Zhong Tong</v>
          </cell>
          <cell r="F2256" t="str">
            <v>Lck6122evg</v>
          </cell>
          <cell r="G2256" t="str">
            <v>ZHONGTONG</v>
          </cell>
          <cell r="H2256" t="str">
            <v>LCK6122EVG</v>
          </cell>
          <cell r="I2256">
            <v>2025</v>
          </cell>
          <cell r="J2256" t="str">
            <v>B</v>
          </cell>
          <cell r="K2256" t="str">
            <v>CERRILLOS</v>
          </cell>
          <cell r="L2256" t="str">
            <v>Calle Uno 7371</v>
          </cell>
          <cell r="M2256" t="str">
            <v>Cerrillos</v>
          </cell>
          <cell r="N2256" t="str">
            <v>B</v>
          </cell>
        </row>
        <row r="2257">
          <cell r="B2257" t="str">
            <v>VFPS48</v>
          </cell>
          <cell r="C2257" t="str">
            <v>MDN35025020073</v>
          </cell>
          <cell r="D2257" t="str">
            <v>LDYECS315S0044050</v>
          </cell>
          <cell r="E2257" t="str">
            <v>Zhong Tong</v>
          </cell>
          <cell r="F2257" t="str">
            <v>Lck6122evg</v>
          </cell>
          <cell r="G2257" t="str">
            <v>ZHONGTONG</v>
          </cell>
          <cell r="H2257" t="str">
            <v>LCK6122EVG</v>
          </cell>
          <cell r="I2257">
            <v>2025</v>
          </cell>
          <cell r="J2257" t="str">
            <v>B</v>
          </cell>
          <cell r="K2257" t="str">
            <v>PIE ANDINO</v>
          </cell>
          <cell r="L2257" t="str">
            <v>Pie Andino 31 (Pie Andino 383)</v>
          </cell>
          <cell r="M2257" t="str">
            <v>Puente Alto</v>
          </cell>
          <cell r="N2257" t="str">
            <v>B</v>
          </cell>
        </row>
        <row r="2258">
          <cell r="B2258" t="str">
            <v>VFPS56</v>
          </cell>
          <cell r="C2258" t="str">
            <v>MDN35025010190</v>
          </cell>
          <cell r="D2258" t="str">
            <v>LDYECS310S0044084</v>
          </cell>
          <cell r="E2258" t="str">
            <v>Zhong Tong</v>
          </cell>
          <cell r="F2258" t="str">
            <v>Lck6122evg</v>
          </cell>
          <cell r="G2258" t="str">
            <v>ZHONGTONG</v>
          </cell>
          <cell r="H2258" t="str">
            <v>LCK6122EVG</v>
          </cell>
          <cell r="I2258">
            <v>2025</v>
          </cell>
          <cell r="J2258" t="str">
            <v>B</v>
          </cell>
          <cell r="K2258" t="str">
            <v>PIE ANDINO</v>
          </cell>
          <cell r="L2258" t="str">
            <v>Pie Andino 31 (Pie Andino 383)</v>
          </cell>
          <cell r="M2258" t="str">
            <v>Puente Alto</v>
          </cell>
          <cell r="N2258" t="str">
            <v>B</v>
          </cell>
        </row>
        <row r="2259">
          <cell r="B2259" t="str">
            <v>VFPS65</v>
          </cell>
          <cell r="C2259" t="str">
            <v>MDN35025020029</v>
          </cell>
          <cell r="D2259" t="str">
            <v>LDYECS311S0044045</v>
          </cell>
          <cell r="E2259" t="str">
            <v>Zhong Tong</v>
          </cell>
          <cell r="F2259" t="str">
            <v>Lck6122evg</v>
          </cell>
          <cell r="G2259" t="str">
            <v>ZHONGTONG</v>
          </cell>
          <cell r="H2259" t="str">
            <v>LCK6122EVG</v>
          </cell>
          <cell r="I2259">
            <v>2025</v>
          </cell>
          <cell r="J2259" t="str">
            <v>B</v>
          </cell>
          <cell r="K2259" t="str">
            <v>CERRILLOS</v>
          </cell>
          <cell r="L2259" t="str">
            <v>Calle Uno 7371</v>
          </cell>
          <cell r="M2259" t="str">
            <v>Cerrillos</v>
          </cell>
          <cell r="N2259" t="str">
            <v>B</v>
          </cell>
        </row>
        <row r="2260">
          <cell r="B2260" t="str">
            <v>VFPS69</v>
          </cell>
          <cell r="C2260" t="str">
            <v>MDN35025010198</v>
          </cell>
          <cell r="D2260" t="str">
            <v>LDYECS314S0044038</v>
          </cell>
          <cell r="E2260" t="str">
            <v>Zhong Tong</v>
          </cell>
          <cell r="F2260" t="str">
            <v>Lck6122evg</v>
          </cell>
          <cell r="G2260" t="str">
            <v>ZHONGTONG</v>
          </cell>
          <cell r="H2260" t="str">
            <v>LCK6122EVG</v>
          </cell>
          <cell r="I2260">
            <v>2025</v>
          </cell>
          <cell r="J2260" t="str">
            <v>B</v>
          </cell>
          <cell r="K2260" t="str">
            <v>CERRILLOS</v>
          </cell>
          <cell r="L2260" t="str">
            <v>Calle Uno 7371</v>
          </cell>
          <cell r="M2260" t="str">
            <v>Cerrillos</v>
          </cell>
          <cell r="N2260" t="str">
            <v>B</v>
          </cell>
        </row>
        <row r="2261">
          <cell r="B2261" t="str">
            <v>VFPS74</v>
          </cell>
          <cell r="C2261" t="str">
            <v>MDN35025020050</v>
          </cell>
          <cell r="D2261" t="str">
            <v>LDYECS311S0044028</v>
          </cell>
          <cell r="E2261" t="str">
            <v>Zhong Tong</v>
          </cell>
          <cell r="F2261" t="str">
            <v>Lck6122evg</v>
          </cell>
          <cell r="G2261" t="str">
            <v>ZHONGTONG</v>
          </cell>
          <cell r="H2261" t="str">
            <v>LCK6122EVG</v>
          </cell>
          <cell r="I2261">
            <v>2025</v>
          </cell>
          <cell r="J2261" t="str">
            <v>B</v>
          </cell>
          <cell r="K2261" t="str">
            <v>PIE ANDINO</v>
          </cell>
          <cell r="L2261" t="str">
            <v>Pie Andino 31 (Pie Andino 383)</v>
          </cell>
          <cell r="M2261" t="str">
            <v>Puente Alto</v>
          </cell>
          <cell r="N2261" t="str">
            <v>B</v>
          </cell>
        </row>
        <row r="2262">
          <cell r="B2262" t="str">
            <v>VFPS78</v>
          </cell>
          <cell r="C2262" t="str">
            <v>MDN35025020099</v>
          </cell>
          <cell r="D2262" t="str">
            <v>LDYECS311S0044031</v>
          </cell>
          <cell r="E2262" t="str">
            <v>Zhong Tong</v>
          </cell>
          <cell r="F2262" t="str">
            <v>Lck6122evg</v>
          </cell>
          <cell r="G2262" t="str">
            <v>ZHONGTONG</v>
          </cell>
          <cell r="H2262" t="str">
            <v>LCK6122EVG</v>
          </cell>
          <cell r="I2262">
            <v>2025</v>
          </cell>
          <cell r="J2262" t="str">
            <v>B</v>
          </cell>
          <cell r="K2262" t="str">
            <v>PIE ANDINO</v>
          </cell>
          <cell r="L2262" t="str">
            <v>Pie Andino 31 (Pie Andino 383)</v>
          </cell>
          <cell r="M2262" t="str">
            <v>Puente Alto</v>
          </cell>
          <cell r="N2262" t="str">
            <v>B</v>
          </cell>
        </row>
        <row r="2263">
          <cell r="B2263" t="str">
            <v>VFPS85</v>
          </cell>
          <cell r="C2263" t="str">
            <v>MDN35025010246</v>
          </cell>
          <cell r="D2263" t="str">
            <v>LDYECS314S0044055</v>
          </cell>
          <cell r="E2263" t="str">
            <v>Zhong Tong</v>
          </cell>
          <cell r="F2263" t="str">
            <v>Lck6122evg</v>
          </cell>
          <cell r="G2263" t="str">
            <v>ZHONGTONG</v>
          </cell>
          <cell r="H2263" t="str">
            <v>LCK6122EVG</v>
          </cell>
          <cell r="I2263">
            <v>2025</v>
          </cell>
          <cell r="J2263" t="str">
            <v>B</v>
          </cell>
          <cell r="K2263" t="str">
            <v>PIE ANDINO</v>
          </cell>
          <cell r="L2263" t="str">
            <v>Pie Andino 31 (Pie Andino 383)</v>
          </cell>
          <cell r="M2263" t="str">
            <v>Puente Alto</v>
          </cell>
          <cell r="N2263" t="str">
            <v>B</v>
          </cell>
        </row>
        <row r="2264">
          <cell r="B2264" t="str">
            <v>VFPS86</v>
          </cell>
          <cell r="C2264" t="str">
            <v>MDN35025020047</v>
          </cell>
          <cell r="D2264" t="str">
            <v>LDYECS310S0044036</v>
          </cell>
          <cell r="E2264" t="str">
            <v>Zhong Tong</v>
          </cell>
          <cell r="F2264" t="str">
            <v>Lck6122evg</v>
          </cell>
          <cell r="G2264" t="str">
            <v>ZHONGTONG</v>
          </cell>
          <cell r="H2264" t="str">
            <v>LCK6122EVG</v>
          </cell>
          <cell r="I2264">
            <v>2025</v>
          </cell>
          <cell r="J2264" t="str">
            <v>B</v>
          </cell>
          <cell r="K2264" t="str">
            <v>PIE ANDINO</v>
          </cell>
          <cell r="L2264" t="str">
            <v>Pie Andino 31 (Pie Andino 383)</v>
          </cell>
          <cell r="M2264" t="str">
            <v>Puente Alto</v>
          </cell>
          <cell r="N2264" t="str">
            <v>B</v>
          </cell>
        </row>
        <row r="2265">
          <cell r="B2265" t="str">
            <v>VFPS87</v>
          </cell>
          <cell r="C2265" t="str">
            <v>MDN35025020114</v>
          </cell>
          <cell r="D2265" t="str">
            <v>LDYECS315S0044033</v>
          </cell>
          <cell r="E2265" t="str">
            <v>Zhong Tong</v>
          </cell>
          <cell r="F2265" t="str">
            <v>Lck6122evg</v>
          </cell>
          <cell r="G2265" t="str">
            <v>ZHONGTONG</v>
          </cell>
          <cell r="H2265" t="str">
            <v>LCK6122EVG</v>
          </cell>
          <cell r="I2265">
            <v>2025</v>
          </cell>
          <cell r="J2265" t="str">
            <v>B</v>
          </cell>
          <cell r="K2265" t="str">
            <v>CERRILLOS</v>
          </cell>
          <cell r="L2265" t="str">
            <v>Calle Uno 7371</v>
          </cell>
          <cell r="M2265" t="str">
            <v>Cerrillos</v>
          </cell>
          <cell r="N2265" t="str">
            <v>B</v>
          </cell>
        </row>
        <row r="2266">
          <cell r="B2266" t="str">
            <v>VFPS89</v>
          </cell>
          <cell r="C2266" t="str">
            <v>MDN35025020031</v>
          </cell>
          <cell r="D2266" t="str">
            <v>LDYECS319S0044049</v>
          </cell>
          <cell r="E2266" t="str">
            <v>Zhong Tong</v>
          </cell>
          <cell r="F2266" t="str">
            <v>Lck6122evg</v>
          </cell>
          <cell r="G2266" t="str">
            <v>ZHONGTONG</v>
          </cell>
          <cell r="H2266" t="str">
            <v>LCK6122EVG</v>
          </cell>
          <cell r="I2266">
            <v>2025</v>
          </cell>
          <cell r="J2266" t="str">
            <v>B</v>
          </cell>
          <cell r="K2266" t="str">
            <v>PIE ANDINO</v>
          </cell>
          <cell r="L2266" t="str">
            <v>Pie Andino 31 (Pie Andino 383)</v>
          </cell>
          <cell r="M2266" t="str">
            <v>Puente Alto</v>
          </cell>
          <cell r="N2266" t="str">
            <v>B</v>
          </cell>
        </row>
        <row r="2267">
          <cell r="B2267" t="str">
            <v>VFPS94</v>
          </cell>
          <cell r="C2267" t="str">
            <v>MDN35025020072</v>
          </cell>
          <cell r="D2267" t="str">
            <v>LDYECS317S0044051</v>
          </cell>
          <cell r="E2267" t="str">
            <v>Zhong Tong</v>
          </cell>
          <cell r="F2267" t="str">
            <v>Lck6122evg</v>
          </cell>
          <cell r="G2267" t="str">
            <v>ZHONGTONG</v>
          </cell>
          <cell r="H2267" t="str">
            <v>LCK6122EVG</v>
          </cell>
          <cell r="I2267">
            <v>2025</v>
          </cell>
          <cell r="J2267" t="str">
            <v>B</v>
          </cell>
          <cell r="K2267" t="str">
            <v>PIE ANDINO</v>
          </cell>
          <cell r="L2267" t="str">
            <v>Pie Andino 31 (Pie Andino 383)</v>
          </cell>
          <cell r="M2267" t="str">
            <v>Puente Alto</v>
          </cell>
          <cell r="N2267" t="str">
            <v>B</v>
          </cell>
        </row>
        <row r="2268">
          <cell r="B2268" t="str">
            <v>VFPS99</v>
          </cell>
          <cell r="C2268" t="str">
            <v>MDN35025020042</v>
          </cell>
          <cell r="D2268" t="str">
            <v>LDYECS315S0044078</v>
          </cell>
          <cell r="E2268" t="str">
            <v>Zhong Tong</v>
          </cell>
          <cell r="F2268" t="str">
            <v>Lck6122evg</v>
          </cell>
          <cell r="G2268" t="str">
            <v>ZHONGTONG</v>
          </cell>
          <cell r="H2268" t="str">
            <v>LCK6122EVG</v>
          </cell>
          <cell r="I2268">
            <v>2025</v>
          </cell>
          <cell r="J2268" t="str">
            <v>B</v>
          </cell>
          <cell r="K2268" t="str">
            <v>PIE ANDINO</v>
          </cell>
          <cell r="L2268" t="str">
            <v>Pie Andino 31 (Pie Andino 383)</v>
          </cell>
          <cell r="M2268" t="str">
            <v>Puente Alto</v>
          </cell>
          <cell r="N2268" t="str">
            <v>B</v>
          </cell>
        </row>
        <row r="2269">
          <cell r="B2269" t="str">
            <v>VFPT23</v>
          </cell>
          <cell r="C2269" t="str">
            <v>MDN35025020105</v>
          </cell>
          <cell r="D2269" t="str">
            <v>LDYECS312S0044040</v>
          </cell>
          <cell r="E2269" t="str">
            <v>Zhong Tong</v>
          </cell>
          <cell r="F2269" t="str">
            <v>Lck6122evg</v>
          </cell>
          <cell r="G2269" t="str">
            <v>ZHONGTONG</v>
          </cell>
          <cell r="H2269" t="str">
            <v>LCK6122EVG</v>
          </cell>
          <cell r="I2269">
            <v>2025</v>
          </cell>
          <cell r="J2269" t="str">
            <v>B</v>
          </cell>
          <cell r="K2269" t="str">
            <v>SAN ALFONSO</v>
          </cell>
          <cell r="L2269" t="str">
            <v>San Alfonso 2141 (Ramón Subercaseaux 3060)</v>
          </cell>
          <cell r="M2269" t="str">
            <v>Estacion Central</v>
          </cell>
          <cell r="N2269" t="str">
            <v>B</v>
          </cell>
        </row>
        <row r="2270">
          <cell r="B2270" t="str">
            <v>VFPT27</v>
          </cell>
          <cell r="C2270" t="str">
            <v>MDN35025020129</v>
          </cell>
          <cell r="D2270" t="str">
            <v>LDYECS319S0044035</v>
          </cell>
          <cell r="E2270" t="str">
            <v>Zhong Tong</v>
          </cell>
          <cell r="F2270" t="str">
            <v>Lck6122evg</v>
          </cell>
          <cell r="G2270" t="str">
            <v>ZHONGTONG</v>
          </cell>
          <cell r="H2270" t="str">
            <v>LCK6122EVG</v>
          </cell>
          <cell r="I2270">
            <v>2025</v>
          </cell>
          <cell r="J2270" t="str">
            <v>B</v>
          </cell>
          <cell r="K2270" t="str">
            <v>SAN ALFONSO</v>
          </cell>
          <cell r="L2270" t="str">
            <v>San Alfonso 2141 (Ramón Subercaseaux 3060)</v>
          </cell>
          <cell r="M2270" t="str">
            <v>Estacion Central</v>
          </cell>
          <cell r="N2270" t="str">
            <v>B</v>
          </cell>
        </row>
        <row r="2271">
          <cell r="B2271" t="str">
            <v>VFPT47</v>
          </cell>
          <cell r="C2271" t="str">
            <v>MDN35025020107</v>
          </cell>
          <cell r="D2271" t="str">
            <v>LDYECS313S0044063</v>
          </cell>
          <cell r="E2271" t="str">
            <v>Zhong Tong</v>
          </cell>
          <cell r="F2271" t="str">
            <v>Lck6122evg</v>
          </cell>
          <cell r="G2271" t="str">
            <v>ZHONGTONG</v>
          </cell>
          <cell r="H2271" t="str">
            <v>LCK6122EVG</v>
          </cell>
          <cell r="I2271">
            <v>2025</v>
          </cell>
          <cell r="J2271" t="str">
            <v>B</v>
          </cell>
          <cell r="K2271" t="str">
            <v>PIE ANDINO</v>
          </cell>
          <cell r="L2271" t="str">
            <v>Pie Andino 31 (Pie Andino 383)</v>
          </cell>
          <cell r="M2271" t="str">
            <v>Puente Alto</v>
          </cell>
          <cell r="N2271" t="str">
            <v>B</v>
          </cell>
        </row>
        <row r="2272">
          <cell r="B2272" t="str">
            <v>VFPT63</v>
          </cell>
          <cell r="C2272" t="str">
            <v>MDN35025010243</v>
          </cell>
          <cell r="D2272" t="str">
            <v>LDYECS310S0044053</v>
          </cell>
          <cell r="E2272" t="str">
            <v>Zhong Tong</v>
          </cell>
          <cell r="F2272" t="str">
            <v>Lck6122evg</v>
          </cell>
          <cell r="G2272" t="str">
            <v>ZHONGTONG</v>
          </cell>
          <cell r="H2272" t="str">
            <v>LCK6122EVG</v>
          </cell>
          <cell r="I2272">
            <v>2025</v>
          </cell>
          <cell r="J2272" t="str">
            <v>B</v>
          </cell>
          <cell r="K2272" t="str">
            <v>PIE ANDINO</v>
          </cell>
          <cell r="L2272" t="str">
            <v>Pie Andino 31 (Pie Andino 383)</v>
          </cell>
          <cell r="M2272" t="str">
            <v>Puente Alto</v>
          </cell>
          <cell r="N2272" t="str">
            <v>B</v>
          </cell>
        </row>
        <row r="2273">
          <cell r="B2273" t="str">
            <v>VFPT64</v>
          </cell>
          <cell r="C2273" t="str">
            <v>MDN35025020034</v>
          </cell>
          <cell r="D2273" t="str">
            <v>LDYECS315S0044064</v>
          </cell>
          <cell r="E2273" t="str">
            <v>Zhong Tong</v>
          </cell>
          <cell r="F2273" t="str">
            <v>Lck6122evg</v>
          </cell>
          <cell r="G2273" t="str">
            <v>ZHONGTONG</v>
          </cell>
          <cell r="H2273" t="str">
            <v>LCK6122EVG</v>
          </cell>
          <cell r="I2273">
            <v>2025</v>
          </cell>
          <cell r="J2273" t="str">
            <v>B</v>
          </cell>
          <cell r="K2273" t="str">
            <v>PIE ANDINO</v>
          </cell>
          <cell r="L2273" t="str">
            <v>Pie Andino 31 (Pie Andino 383)</v>
          </cell>
          <cell r="M2273" t="str">
            <v>Puente Alto</v>
          </cell>
          <cell r="N2273" t="str">
            <v>B</v>
          </cell>
        </row>
        <row r="2274">
          <cell r="B2274" t="str">
            <v>VFPT65</v>
          </cell>
          <cell r="C2274" t="str">
            <v>MDN35025010187</v>
          </cell>
          <cell r="D2274" t="str">
            <v>LDYECS318S0044043</v>
          </cell>
          <cell r="E2274" t="str">
            <v>Zhong Tong</v>
          </cell>
          <cell r="F2274" t="str">
            <v>Lck6122evg</v>
          </cell>
          <cell r="G2274" t="str">
            <v>ZHONGTONG</v>
          </cell>
          <cell r="H2274" t="str">
            <v>LCK6122EVG</v>
          </cell>
          <cell r="I2274">
            <v>2025</v>
          </cell>
          <cell r="J2274" t="str">
            <v>B</v>
          </cell>
          <cell r="K2274" t="str">
            <v>PIE ANDINO</v>
          </cell>
          <cell r="L2274" t="str">
            <v>Pie Andino 31 (Pie Andino 383)</v>
          </cell>
          <cell r="M2274" t="str">
            <v>Puente Alto</v>
          </cell>
          <cell r="N2274" t="str">
            <v>B</v>
          </cell>
        </row>
        <row r="2275">
          <cell r="B2275" t="str">
            <v>VFPV53</v>
          </cell>
          <cell r="C2275" t="str">
            <v>MDN35025010199</v>
          </cell>
          <cell r="D2275" t="str">
            <v>LDYECS316S0044042</v>
          </cell>
          <cell r="E2275" t="str">
            <v>Zhong Tong</v>
          </cell>
          <cell r="F2275" t="str">
            <v>Lck6122evg</v>
          </cell>
          <cell r="G2275" t="str">
            <v>ZHONGTONG</v>
          </cell>
          <cell r="H2275" t="str">
            <v>LCK6122EVG</v>
          </cell>
          <cell r="I2275">
            <v>2025</v>
          </cell>
          <cell r="J2275" t="str">
            <v>B</v>
          </cell>
          <cell r="K2275" t="str">
            <v>PIE ANDINO</v>
          </cell>
          <cell r="L2275" t="str">
            <v>Pie Andino 31 (Pie Andino 383)</v>
          </cell>
          <cell r="M2275" t="str">
            <v>Puente Alto</v>
          </cell>
          <cell r="N2275" t="str">
            <v>B</v>
          </cell>
        </row>
        <row r="2276">
          <cell r="B2276" t="str">
            <v>VFPV63</v>
          </cell>
          <cell r="C2276" t="str">
            <v>MDN35025020089</v>
          </cell>
          <cell r="D2276" t="str">
            <v>LDYECS317S0044048</v>
          </cell>
          <cell r="E2276" t="str">
            <v>Zhong Tong</v>
          </cell>
          <cell r="F2276" t="str">
            <v>Lck6122evg</v>
          </cell>
          <cell r="G2276" t="str">
            <v>ZHONGTONG</v>
          </cell>
          <cell r="H2276" t="str">
            <v>LCK6122EVG</v>
          </cell>
          <cell r="I2276">
            <v>2025</v>
          </cell>
          <cell r="J2276" t="str">
            <v>B</v>
          </cell>
          <cell r="K2276" t="str">
            <v>SAN ALFONSO</v>
          </cell>
          <cell r="L2276" t="str">
            <v>San Alfonso 2141 (Ramón Subercaseaux 3060)</v>
          </cell>
          <cell r="M2276" t="str">
            <v>Estacion Central</v>
          </cell>
          <cell r="N2276" t="str">
            <v>B</v>
          </cell>
        </row>
        <row r="2277">
          <cell r="B2277" t="str">
            <v>VFPV73</v>
          </cell>
          <cell r="C2277" t="str">
            <v>MDN35025020078</v>
          </cell>
          <cell r="D2277" t="str">
            <v>LDYECS311S0044062</v>
          </cell>
          <cell r="E2277" t="str">
            <v>Zhong Tong</v>
          </cell>
          <cell r="F2277" t="str">
            <v>Lck6122evg</v>
          </cell>
          <cell r="G2277" t="str">
            <v>ZHONGTONG</v>
          </cell>
          <cell r="H2277" t="str">
            <v>LCK6122EVG</v>
          </cell>
          <cell r="I2277">
            <v>2025</v>
          </cell>
          <cell r="J2277" t="str">
            <v>B</v>
          </cell>
          <cell r="K2277" t="str">
            <v>SAN ALFONSO</v>
          </cell>
          <cell r="L2277" t="str">
            <v>San Alfonso 2141 (Ramón Subercaseaux 3060)</v>
          </cell>
          <cell r="M2277" t="str">
            <v>Estacion Central</v>
          </cell>
          <cell r="N2277" t="str">
            <v>B</v>
          </cell>
        </row>
        <row r="2278">
          <cell r="B2278" t="str">
            <v>VFPV83</v>
          </cell>
          <cell r="C2278" t="str">
            <v>MDN35025020036</v>
          </cell>
          <cell r="D2278" t="str">
            <v>LDYECS319S0044066</v>
          </cell>
          <cell r="E2278" t="str">
            <v>Zhong Tong</v>
          </cell>
          <cell r="F2278" t="str">
            <v>Lck6122evg</v>
          </cell>
          <cell r="G2278" t="str">
            <v>ZHONGTONG</v>
          </cell>
          <cell r="H2278" t="str">
            <v>LCK6122EVG</v>
          </cell>
          <cell r="I2278">
            <v>2025</v>
          </cell>
          <cell r="J2278" t="str">
            <v>B</v>
          </cell>
          <cell r="K2278" t="str">
            <v>PIE ANDINO</v>
          </cell>
          <cell r="L2278" t="str">
            <v>Pie Andino 31 (Pie Andino 383)</v>
          </cell>
          <cell r="M2278" t="str">
            <v>Puente Alto</v>
          </cell>
          <cell r="N2278" t="str">
            <v>B</v>
          </cell>
        </row>
        <row r="2279">
          <cell r="B2279" t="str">
            <v>VFPV93</v>
          </cell>
          <cell r="C2279" t="str">
            <v>MDN35025020126</v>
          </cell>
          <cell r="D2279" t="str">
            <v>LDYECS318S0044074</v>
          </cell>
          <cell r="E2279" t="str">
            <v>Zhong Tong</v>
          </cell>
          <cell r="F2279" t="str">
            <v>Lck6122evg</v>
          </cell>
          <cell r="G2279" t="str">
            <v>ZHONGTONG</v>
          </cell>
          <cell r="H2279" t="str">
            <v>LCK6122EVG</v>
          </cell>
          <cell r="I2279">
            <v>2025</v>
          </cell>
          <cell r="J2279" t="str">
            <v>B</v>
          </cell>
          <cell r="K2279" t="str">
            <v>PIE ANDINO</v>
          </cell>
          <cell r="L2279" t="str">
            <v>Pie Andino 31 (Pie Andino 383)</v>
          </cell>
          <cell r="M2279" t="str">
            <v>Puente Alto</v>
          </cell>
          <cell r="N2279" t="str">
            <v>B</v>
          </cell>
        </row>
        <row r="2280">
          <cell r="B2280" t="str">
            <v>VFPW13</v>
          </cell>
          <cell r="C2280" t="str">
            <v>MDN35025010041</v>
          </cell>
          <cell r="D2280" t="str">
            <v>LDYECS315S0043819</v>
          </cell>
          <cell r="E2280" t="str">
            <v>Zhong Tong</v>
          </cell>
          <cell r="F2280" t="str">
            <v>Lck6122evg</v>
          </cell>
          <cell r="G2280" t="str">
            <v>ZHONGTONG</v>
          </cell>
          <cell r="H2280" t="str">
            <v>LCK6122EVG</v>
          </cell>
          <cell r="I2280">
            <v>2025</v>
          </cell>
          <cell r="J2280" t="str">
            <v>B</v>
          </cell>
          <cell r="K2280" t="str">
            <v>SAN ALFONSO</v>
          </cell>
          <cell r="L2280" t="str">
            <v>San Alfonso 2141 (Ramón Subercaseaux 3060)</v>
          </cell>
          <cell r="M2280" t="str">
            <v>Estacion Central</v>
          </cell>
          <cell r="N2280" t="str">
            <v>B</v>
          </cell>
        </row>
        <row r="2281">
          <cell r="B2281" t="str">
            <v>VFPW23</v>
          </cell>
          <cell r="C2281" t="str">
            <v>MDN35025020021</v>
          </cell>
          <cell r="D2281" t="str">
            <v>LDYECS316S0044106</v>
          </cell>
          <cell r="E2281" t="str">
            <v>Zhong Tong</v>
          </cell>
          <cell r="F2281" t="str">
            <v>Lck6122evg</v>
          </cell>
          <cell r="G2281" t="str">
            <v>ZHONGTONG</v>
          </cell>
          <cell r="H2281" t="str">
            <v>LCK6122EVG</v>
          </cell>
          <cell r="I2281">
            <v>2025</v>
          </cell>
          <cell r="J2281" t="str">
            <v>B</v>
          </cell>
          <cell r="K2281" t="str">
            <v>SAN ALFONSO</v>
          </cell>
          <cell r="L2281" t="str">
            <v>San Alfonso 2141 (Ramón Subercaseaux 3060)</v>
          </cell>
          <cell r="M2281" t="str">
            <v>Estacion Central</v>
          </cell>
          <cell r="N2281" t="str">
            <v>B</v>
          </cell>
        </row>
        <row r="2282">
          <cell r="B2282" t="str">
            <v>VFPW33</v>
          </cell>
          <cell r="C2282" t="str">
            <v>MDN35025020102</v>
          </cell>
          <cell r="D2282" t="str">
            <v>LDYECS31XS0044044</v>
          </cell>
          <cell r="E2282" t="str">
            <v>Zhong Tong</v>
          </cell>
          <cell r="F2282" t="str">
            <v>Lck6122evg</v>
          </cell>
          <cell r="G2282" t="str">
            <v>ZHONGTONG</v>
          </cell>
          <cell r="H2282" t="str">
            <v>LCK6122EVG</v>
          </cell>
          <cell r="I2282">
            <v>2025</v>
          </cell>
          <cell r="J2282" t="str">
            <v>B</v>
          </cell>
          <cell r="K2282" t="str">
            <v>SAN ALFONSO</v>
          </cell>
          <cell r="L2282" t="str">
            <v>San Alfonso 2141 (Ramón Subercaseaux 3060)</v>
          </cell>
          <cell r="M2282" t="str">
            <v>Estacion Central</v>
          </cell>
          <cell r="N2282" t="str">
            <v>B</v>
          </cell>
        </row>
        <row r="2283">
          <cell r="B2283" t="str">
            <v>VFPW63</v>
          </cell>
          <cell r="C2283" t="str">
            <v>MDN35025020003</v>
          </cell>
          <cell r="D2283" t="str">
            <v>LDYECS314S0044069</v>
          </cell>
          <cell r="E2283" t="str">
            <v>Zhong Tong</v>
          </cell>
          <cell r="F2283" t="str">
            <v>Lck6122evg</v>
          </cell>
          <cell r="G2283" t="str">
            <v>ZHONGTONG</v>
          </cell>
          <cell r="H2283" t="str">
            <v>LCK6122EVG</v>
          </cell>
          <cell r="I2283">
            <v>2025</v>
          </cell>
          <cell r="J2283" t="str">
            <v>B</v>
          </cell>
          <cell r="K2283" t="str">
            <v>PIE ANDINO</v>
          </cell>
          <cell r="L2283" t="str">
            <v>Pie Andino 31 (Pie Andino 383)</v>
          </cell>
          <cell r="M2283" t="str">
            <v>Puente Alto</v>
          </cell>
          <cell r="N2283" t="str">
            <v>B</v>
          </cell>
        </row>
        <row r="2284">
          <cell r="B2284" t="str">
            <v>VFPW73</v>
          </cell>
          <cell r="C2284" t="str">
            <v>MDN35025020091</v>
          </cell>
          <cell r="D2284" t="str">
            <v>LDYECS313S0044046</v>
          </cell>
          <cell r="E2284" t="str">
            <v>Zhong Tong</v>
          </cell>
          <cell r="F2284" t="str">
            <v>Lck6122evg</v>
          </cell>
          <cell r="G2284" t="str">
            <v>ZHONGTONG</v>
          </cell>
          <cell r="H2284" t="str">
            <v>LCK6122EVG</v>
          </cell>
          <cell r="I2284">
            <v>2025</v>
          </cell>
          <cell r="J2284" t="str">
            <v>B</v>
          </cell>
          <cell r="K2284" t="str">
            <v>SAN ALFONSO</v>
          </cell>
          <cell r="L2284" t="str">
            <v>San Alfonso 2141 (Ramón Subercaseaux 3060)</v>
          </cell>
          <cell r="M2284" t="str">
            <v>Estacion Central</v>
          </cell>
          <cell r="N2284" t="str">
            <v>B</v>
          </cell>
        </row>
        <row r="2285">
          <cell r="B2285" t="str">
            <v>VFPX13</v>
          </cell>
          <cell r="C2285" t="str">
            <v>MDN35025020039</v>
          </cell>
          <cell r="D2285" t="str">
            <v>LDYECS312S0044071</v>
          </cell>
          <cell r="E2285" t="str">
            <v>Zhong Tong</v>
          </cell>
          <cell r="F2285" t="str">
            <v>Lck6122evg</v>
          </cell>
          <cell r="G2285" t="str">
            <v>ZHONGTONG</v>
          </cell>
          <cell r="H2285" t="str">
            <v>LCK6122EVG</v>
          </cell>
          <cell r="I2285">
            <v>2025</v>
          </cell>
          <cell r="J2285" t="str">
            <v>B</v>
          </cell>
          <cell r="K2285" t="str">
            <v>SAN ALFONSO</v>
          </cell>
          <cell r="L2285" t="str">
            <v>San Alfonso 2141 (Ramón Subercaseaux 3060)</v>
          </cell>
          <cell r="M2285" t="str">
            <v>Estacion Central</v>
          </cell>
          <cell r="N2285" t="str">
            <v>B</v>
          </cell>
        </row>
        <row r="2286">
          <cell r="B2286" t="str">
            <v>VFPX33</v>
          </cell>
          <cell r="C2286" t="str">
            <v>MDN35025020085</v>
          </cell>
          <cell r="D2286" t="str">
            <v>LDYECS311S0044076</v>
          </cell>
          <cell r="E2286" t="str">
            <v>Zhong Tong</v>
          </cell>
          <cell r="F2286" t="str">
            <v>Lck6122evg</v>
          </cell>
          <cell r="G2286" t="str">
            <v>ZHONGTONG</v>
          </cell>
          <cell r="H2286" t="str">
            <v>LCK6122EVG</v>
          </cell>
          <cell r="I2286">
            <v>2025</v>
          </cell>
          <cell r="J2286" t="str">
            <v>B</v>
          </cell>
          <cell r="K2286" t="str">
            <v>SAN ALFONSO</v>
          </cell>
          <cell r="L2286" t="str">
            <v>San Alfonso 2141 (Ramón Subercaseaux 3060)</v>
          </cell>
          <cell r="M2286" t="str">
            <v>Estacion Central</v>
          </cell>
          <cell r="N2286" t="str">
            <v>B</v>
          </cell>
        </row>
        <row r="2287">
          <cell r="B2287" t="str">
            <v>VFPX53</v>
          </cell>
          <cell r="C2287" t="str">
            <v>MDN35025010194</v>
          </cell>
          <cell r="D2287" t="str">
            <v>LDYECS311S0044059</v>
          </cell>
          <cell r="E2287" t="str">
            <v>Zhong Tong</v>
          </cell>
          <cell r="F2287" t="str">
            <v>Lck6122evg</v>
          </cell>
          <cell r="G2287" t="str">
            <v>ZHONGTONG</v>
          </cell>
          <cell r="H2287" t="str">
            <v>LCK6122EVG</v>
          </cell>
          <cell r="I2287">
            <v>2025</v>
          </cell>
          <cell r="J2287" t="str">
            <v>B</v>
          </cell>
          <cell r="K2287" t="str">
            <v>PIE ANDINO</v>
          </cell>
          <cell r="L2287" t="str">
            <v>Pie Andino 31 (Pie Andino 383)</v>
          </cell>
          <cell r="M2287" t="str">
            <v>Puente Alto</v>
          </cell>
          <cell r="N2287" t="str">
            <v>B</v>
          </cell>
        </row>
        <row r="2288">
          <cell r="B2288" t="str">
            <v>VFPX63</v>
          </cell>
          <cell r="C2288" t="str">
            <v>MDN35025010098</v>
          </cell>
          <cell r="D2288" t="str">
            <v>LDYECS31XS0044111</v>
          </cell>
          <cell r="E2288" t="str">
            <v>Zhong Tong</v>
          </cell>
          <cell r="F2288" t="str">
            <v>Lck6122evg</v>
          </cell>
          <cell r="G2288" t="str">
            <v>ZHONGTONG</v>
          </cell>
          <cell r="H2288" t="str">
            <v>LCK6122EVG</v>
          </cell>
          <cell r="I2288">
            <v>2025</v>
          </cell>
          <cell r="J2288" t="str">
            <v>B</v>
          </cell>
          <cell r="K2288" t="str">
            <v>PIE ANDINO</v>
          </cell>
          <cell r="L2288" t="str">
            <v>Pie Andino 31 (Pie Andino 383)</v>
          </cell>
          <cell r="M2288" t="str">
            <v>Puente Alto</v>
          </cell>
          <cell r="N2288" t="str">
            <v>B</v>
          </cell>
        </row>
        <row r="2289">
          <cell r="B2289" t="str">
            <v>VFPX83</v>
          </cell>
          <cell r="C2289" t="str">
            <v>MDN35025020037</v>
          </cell>
          <cell r="D2289" t="str">
            <v>LDYECS310S0044070</v>
          </cell>
          <cell r="E2289" t="str">
            <v>Zhong Tong</v>
          </cell>
          <cell r="F2289" t="str">
            <v>Lck6122evg</v>
          </cell>
          <cell r="G2289" t="str">
            <v>ZHONGTONG</v>
          </cell>
          <cell r="H2289" t="str">
            <v>LCK6122EVG</v>
          </cell>
          <cell r="I2289">
            <v>2025</v>
          </cell>
          <cell r="J2289" t="str">
            <v>B</v>
          </cell>
          <cell r="K2289" t="str">
            <v>PIE ANDINO</v>
          </cell>
          <cell r="L2289" t="str">
            <v>Pie Andino 31 (Pie Andino 383)</v>
          </cell>
          <cell r="M2289" t="str">
            <v>Puente Alto</v>
          </cell>
          <cell r="N2289" t="str">
            <v>B</v>
          </cell>
        </row>
        <row r="2290">
          <cell r="B2290" t="str">
            <v>VFPX93</v>
          </cell>
          <cell r="C2290" t="str">
            <v>MDN35025020023</v>
          </cell>
          <cell r="D2290" t="str">
            <v>LDYECS310S0044067</v>
          </cell>
          <cell r="E2290" t="str">
            <v>Zhong Tong</v>
          </cell>
          <cell r="F2290" t="str">
            <v>Lck6122evg</v>
          </cell>
          <cell r="G2290" t="str">
            <v>ZHONGTONG</v>
          </cell>
          <cell r="H2290" t="str">
            <v>LCK6122EVG</v>
          </cell>
          <cell r="I2290">
            <v>2025</v>
          </cell>
          <cell r="J2290" t="str">
            <v>B</v>
          </cell>
          <cell r="K2290" t="str">
            <v>PIE ANDINO</v>
          </cell>
          <cell r="L2290" t="str">
            <v>Pie Andino 31 (Pie Andino 383)</v>
          </cell>
          <cell r="M2290" t="str">
            <v>Puente Alto</v>
          </cell>
          <cell r="N2290" t="str">
            <v>B</v>
          </cell>
        </row>
        <row r="2291">
          <cell r="B2291" t="str">
            <v>VFPY13</v>
          </cell>
          <cell r="C2291" t="str">
            <v>MDN35025010218</v>
          </cell>
          <cell r="D2291" t="str">
            <v>LDYECS316S0044087</v>
          </cell>
          <cell r="E2291" t="str">
            <v>Zhong Tong</v>
          </cell>
          <cell r="F2291" t="str">
            <v>Lck6122evg</v>
          </cell>
          <cell r="G2291" t="str">
            <v>ZHONGTONG</v>
          </cell>
          <cell r="H2291" t="str">
            <v>LCK6122EVG</v>
          </cell>
          <cell r="I2291">
            <v>2025</v>
          </cell>
          <cell r="J2291" t="str">
            <v>B</v>
          </cell>
          <cell r="K2291" t="str">
            <v>SAN ALFONSO</v>
          </cell>
          <cell r="L2291" t="str">
            <v>San Alfonso 2141 (Ramón Subercaseaux 3060)</v>
          </cell>
          <cell r="M2291" t="str">
            <v>Estacion Central</v>
          </cell>
          <cell r="N2291" t="str">
            <v>B</v>
          </cell>
        </row>
        <row r="2292">
          <cell r="B2292" t="str">
            <v>VFPY23</v>
          </cell>
          <cell r="C2292" t="str">
            <v>MDN35025020098</v>
          </cell>
          <cell r="D2292" t="str">
            <v>LDYECS315S0044095</v>
          </cell>
          <cell r="E2292" t="str">
            <v>Zhong Tong</v>
          </cell>
          <cell r="F2292" t="str">
            <v>Lck6122evg</v>
          </cell>
          <cell r="G2292" t="str">
            <v>ZHONGTONG</v>
          </cell>
          <cell r="H2292" t="str">
            <v>LCK6122EVG</v>
          </cell>
          <cell r="I2292">
            <v>2025</v>
          </cell>
          <cell r="J2292" t="str">
            <v>B</v>
          </cell>
          <cell r="K2292" t="str">
            <v>PIE ANDINO</v>
          </cell>
          <cell r="L2292" t="str">
            <v>Pie Andino 31 (Pie Andino 383)</v>
          </cell>
          <cell r="M2292" t="str">
            <v>Puente Alto</v>
          </cell>
          <cell r="N2292" t="str">
            <v>B</v>
          </cell>
        </row>
        <row r="2293">
          <cell r="B2293" t="str">
            <v>VFPY33</v>
          </cell>
          <cell r="C2293" t="str">
            <v>MDN35025020038</v>
          </cell>
          <cell r="D2293" t="str">
            <v>LDYECS317S0044065</v>
          </cell>
          <cell r="E2293" t="str">
            <v>Zhong Tong</v>
          </cell>
          <cell r="F2293" t="str">
            <v>Lck6122evg</v>
          </cell>
          <cell r="G2293" t="str">
            <v>ZHONGTONG</v>
          </cell>
          <cell r="H2293" t="str">
            <v>LCK6122EVG</v>
          </cell>
          <cell r="I2293">
            <v>2025</v>
          </cell>
          <cell r="J2293" t="str">
            <v>B</v>
          </cell>
          <cell r="K2293" t="str">
            <v>PIE ANDINO</v>
          </cell>
          <cell r="L2293" t="str">
            <v>Pie Andino 31 (Pie Andino 383)</v>
          </cell>
          <cell r="M2293" t="str">
            <v>Puente Alto</v>
          </cell>
          <cell r="N2293" t="str">
            <v>B</v>
          </cell>
        </row>
        <row r="2294">
          <cell r="B2294" t="str">
            <v>VFPY43</v>
          </cell>
          <cell r="C2294" t="str">
            <v>MDN35025010188</v>
          </cell>
          <cell r="D2294" t="str">
            <v>LDYECS314S0044072</v>
          </cell>
          <cell r="E2294" t="str">
            <v>Zhong Tong</v>
          </cell>
          <cell r="F2294" t="str">
            <v>Lck6122evg</v>
          </cell>
          <cell r="G2294" t="str">
            <v>ZHONGTONG</v>
          </cell>
          <cell r="H2294" t="str">
            <v>LCK6122EVG</v>
          </cell>
          <cell r="I2294">
            <v>2025</v>
          </cell>
          <cell r="J2294" t="str">
            <v>B</v>
          </cell>
          <cell r="K2294" t="str">
            <v>SAN ALFONSO</v>
          </cell>
          <cell r="L2294" t="str">
            <v>San Alfonso 2141 (Ramón Subercaseaux 3060)</v>
          </cell>
          <cell r="M2294" t="str">
            <v>Estacion Central</v>
          </cell>
          <cell r="N2294" t="str">
            <v>B</v>
          </cell>
        </row>
        <row r="2295">
          <cell r="B2295" t="str">
            <v>VFPZ27</v>
          </cell>
          <cell r="C2295" t="str">
            <v>MDN35025010203</v>
          </cell>
          <cell r="D2295" t="str">
            <v>LDYECS311S0044109</v>
          </cell>
          <cell r="E2295" t="str">
            <v>Zhong Tong</v>
          </cell>
          <cell r="F2295" t="str">
            <v>Lck6122evg</v>
          </cell>
          <cell r="G2295" t="str">
            <v>ZHONGTONG</v>
          </cell>
          <cell r="H2295" t="str">
            <v>LCK6122EVG</v>
          </cell>
          <cell r="I2295">
            <v>2025</v>
          </cell>
          <cell r="J2295" t="str">
            <v>B</v>
          </cell>
          <cell r="K2295" t="str">
            <v>SAN ALFONSO</v>
          </cell>
          <cell r="L2295" t="str">
            <v>San Alfonso 2141 (Ramón Subercaseaux 3060)</v>
          </cell>
          <cell r="M2295" t="str">
            <v>Estacion Central</v>
          </cell>
          <cell r="N2295" t="str">
            <v>B</v>
          </cell>
        </row>
        <row r="2296">
          <cell r="B2296" t="str">
            <v>VFPZ38</v>
          </cell>
          <cell r="C2296" t="str">
            <v>MDN35025010193</v>
          </cell>
          <cell r="D2296" t="str">
            <v>LDYECS312S0044068</v>
          </cell>
          <cell r="E2296" t="str">
            <v>Zhong Tong</v>
          </cell>
          <cell r="F2296" t="str">
            <v>Lck6122evg</v>
          </cell>
          <cell r="G2296" t="str">
            <v>ZHONGTONG</v>
          </cell>
          <cell r="H2296" t="str">
            <v>LCK6122EVG</v>
          </cell>
          <cell r="I2296">
            <v>2025</v>
          </cell>
          <cell r="J2296" t="str">
            <v>B</v>
          </cell>
          <cell r="K2296" t="str">
            <v>SAN ALFONSO</v>
          </cell>
          <cell r="L2296" t="str">
            <v>San Alfonso 2141 (Ramón Subercaseaux 3060)</v>
          </cell>
          <cell r="M2296" t="str">
            <v>Estacion Central</v>
          </cell>
          <cell r="N2296" t="str">
            <v>B</v>
          </cell>
        </row>
        <row r="2297">
          <cell r="B2297" t="str">
            <v>VFPZ39</v>
          </cell>
          <cell r="C2297" t="str">
            <v>MDN35025020011</v>
          </cell>
          <cell r="D2297" t="str">
            <v>LDYECS316S0044090</v>
          </cell>
          <cell r="E2297" t="str">
            <v>Zhong Tong</v>
          </cell>
          <cell r="F2297" t="str">
            <v>Lck6122evg</v>
          </cell>
          <cell r="G2297" t="str">
            <v>ZHONGTONG</v>
          </cell>
          <cell r="H2297" t="str">
            <v>LCK6122EVG</v>
          </cell>
          <cell r="I2297">
            <v>2025</v>
          </cell>
          <cell r="J2297" t="str">
            <v>B</v>
          </cell>
          <cell r="K2297" t="str">
            <v>SAN ALFONSO</v>
          </cell>
          <cell r="L2297" t="str">
            <v>San Alfonso 2141 (Ramón Subercaseaux 3060)</v>
          </cell>
          <cell r="M2297" t="str">
            <v>Estacion Central</v>
          </cell>
          <cell r="N2297" t="str">
            <v>B</v>
          </cell>
        </row>
        <row r="2298">
          <cell r="B2298" t="str">
            <v>VFPZ55</v>
          </cell>
          <cell r="C2298" t="str">
            <v>MDN35025010208</v>
          </cell>
          <cell r="D2298" t="str">
            <v>LDYECS317S0044082</v>
          </cell>
          <cell r="E2298" t="str">
            <v>Zhong Tong</v>
          </cell>
          <cell r="F2298" t="str">
            <v>Lck6122evg</v>
          </cell>
          <cell r="G2298" t="str">
            <v>ZHONGTONG</v>
          </cell>
          <cell r="H2298" t="str">
            <v>LCK6122EVG</v>
          </cell>
          <cell r="I2298">
            <v>2025</v>
          </cell>
          <cell r="J2298" t="str">
            <v>B</v>
          </cell>
          <cell r="K2298" t="str">
            <v>SAN ALFONSO</v>
          </cell>
          <cell r="L2298" t="str">
            <v>San Alfonso 2141 (Ramón Subercaseaux 3060)</v>
          </cell>
          <cell r="M2298" t="str">
            <v>Estacion Central</v>
          </cell>
          <cell r="N2298" t="str">
            <v>B</v>
          </cell>
        </row>
        <row r="2299">
          <cell r="B2299" t="str">
            <v>VFPZ56</v>
          </cell>
          <cell r="C2299" t="str">
            <v>MDN35025020043</v>
          </cell>
          <cell r="D2299" t="str">
            <v>LDYECS31XS0044075</v>
          </cell>
          <cell r="E2299" t="str">
            <v>Zhong Tong</v>
          </cell>
          <cell r="F2299" t="str">
            <v>Lck6122evg</v>
          </cell>
          <cell r="G2299" t="str">
            <v>ZHONGTONG</v>
          </cell>
          <cell r="H2299" t="str">
            <v>LCK6122EVG</v>
          </cell>
          <cell r="I2299">
            <v>2025</v>
          </cell>
          <cell r="J2299" t="str">
            <v>B</v>
          </cell>
          <cell r="K2299" t="str">
            <v>PIE ANDINO</v>
          </cell>
          <cell r="L2299" t="str">
            <v>Pie Andino 31 (Pie Andino 383)</v>
          </cell>
          <cell r="M2299" t="str">
            <v>Puente Alto</v>
          </cell>
          <cell r="N2299" t="str">
            <v>B</v>
          </cell>
        </row>
        <row r="2300">
          <cell r="B2300" t="str">
            <v>VFPZ74</v>
          </cell>
          <cell r="C2300" t="str">
            <v>MDN35025020017</v>
          </cell>
          <cell r="D2300" t="str">
            <v>LDYECS312S0044085</v>
          </cell>
          <cell r="E2300" t="str">
            <v>Zhong Tong</v>
          </cell>
          <cell r="F2300" t="str">
            <v>Lck6122evg</v>
          </cell>
          <cell r="G2300" t="str">
            <v>ZHONGTONG</v>
          </cell>
          <cell r="H2300" t="str">
            <v>LCK6122EVG</v>
          </cell>
          <cell r="I2300">
            <v>2025</v>
          </cell>
          <cell r="J2300" t="str">
            <v>B</v>
          </cell>
          <cell r="K2300" t="str">
            <v>PIE ANDINO</v>
          </cell>
          <cell r="L2300" t="str">
            <v>Pie Andino 31 (Pie Andino 383)</v>
          </cell>
          <cell r="M2300" t="str">
            <v>Puente Alto</v>
          </cell>
          <cell r="N2300" t="str">
            <v>B</v>
          </cell>
        </row>
        <row r="2301">
          <cell r="B2301" t="str">
            <v>VFPZ78</v>
          </cell>
          <cell r="C2301" t="str">
            <v>MDN35025020001</v>
          </cell>
          <cell r="D2301" t="str">
            <v>LDYECS313S0044077</v>
          </cell>
          <cell r="E2301" t="str">
            <v>Zhong Tong</v>
          </cell>
          <cell r="F2301" t="str">
            <v>Lck6122evg</v>
          </cell>
          <cell r="G2301" t="str">
            <v>ZHONGTONG</v>
          </cell>
          <cell r="H2301" t="str">
            <v>LCK6122EVG</v>
          </cell>
          <cell r="I2301">
            <v>2025</v>
          </cell>
          <cell r="J2301" t="str">
            <v>B</v>
          </cell>
          <cell r="K2301" t="str">
            <v>PIE ANDINO</v>
          </cell>
          <cell r="L2301" t="str">
            <v>Pie Andino 31 (Pie Andino 383)</v>
          </cell>
          <cell r="M2301" t="str">
            <v>Puente Alto</v>
          </cell>
          <cell r="N2301" t="str">
            <v>B</v>
          </cell>
        </row>
        <row r="2302">
          <cell r="B2302" t="str">
            <v>VFPZ88</v>
          </cell>
          <cell r="C2302" t="str">
            <v>MDN35025010028</v>
          </cell>
          <cell r="D2302" t="str">
            <v>LDYECS311S0044112</v>
          </cell>
          <cell r="E2302" t="str">
            <v>Zhong Tong</v>
          </cell>
          <cell r="F2302" t="str">
            <v>Lck6122evg</v>
          </cell>
          <cell r="G2302" t="str">
            <v>ZHONGTONG</v>
          </cell>
          <cell r="H2302" t="str">
            <v>LCK6122EVG</v>
          </cell>
          <cell r="I2302">
            <v>2025</v>
          </cell>
          <cell r="J2302" t="str">
            <v>B</v>
          </cell>
          <cell r="K2302" t="str">
            <v>SAN ALFONSO</v>
          </cell>
          <cell r="L2302" t="str">
            <v>San Alfonso 2141 (Ramón Subercaseaux 3060)</v>
          </cell>
          <cell r="M2302" t="str">
            <v>Estacion Central</v>
          </cell>
          <cell r="N2302" t="str">
            <v>B</v>
          </cell>
        </row>
        <row r="2303">
          <cell r="B2303" t="str">
            <v>VFPZ89</v>
          </cell>
          <cell r="C2303" t="str">
            <v>MDN35025020032</v>
          </cell>
          <cell r="D2303" t="str">
            <v>LDYECS319S0044102</v>
          </cell>
          <cell r="E2303" t="str">
            <v>Zhong Tong</v>
          </cell>
          <cell r="F2303" t="str">
            <v>Lck6122evg</v>
          </cell>
          <cell r="G2303" t="str">
            <v>ZHONGTONG</v>
          </cell>
          <cell r="H2303" t="str">
            <v>LCK6122EVG</v>
          </cell>
          <cell r="I2303">
            <v>2025</v>
          </cell>
          <cell r="J2303" t="str">
            <v>B</v>
          </cell>
          <cell r="K2303" t="str">
            <v>SAN ALFONSO</v>
          </cell>
          <cell r="L2303" t="str">
            <v>San Alfonso 2141 (Ramón Subercaseaux 3060)</v>
          </cell>
          <cell r="M2303" t="str">
            <v>Estacion Central</v>
          </cell>
          <cell r="N2303" t="str">
            <v>B</v>
          </cell>
        </row>
        <row r="2304">
          <cell r="B2304" t="str">
            <v>VFPZ92</v>
          </cell>
          <cell r="C2304" t="str">
            <v>MDN35025020030</v>
          </cell>
          <cell r="D2304" t="str">
            <v>LDYECS31XS0044089</v>
          </cell>
          <cell r="E2304" t="str">
            <v>Zhong Tong</v>
          </cell>
          <cell r="F2304" t="str">
            <v>Lck6122evg</v>
          </cell>
          <cell r="G2304" t="str">
            <v>ZHONGTONG</v>
          </cell>
          <cell r="H2304" t="str">
            <v>LCK6122EVG</v>
          </cell>
          <cell r="I2304">
            <v>2025</v>
          </cell>
          <cell r="J2304" t="str">
            <v>B</v>
          </cell>
          <cell r="K2304" t="str">
            <v>SAN ALFONSO</v>
          </cell>
          <cell r="L2304" t="str">
            <v>San Alfonso 2141 (Ramón Subercaseaux 3060)</v>
          </cell>
          <cell r="M2304" t="str">
            <v>Estacion Central</v>
          </cell>
          <cell r="N2304" t="str">
            <v>B</v>
          </cell>
        </row>
        <row r="2305">
          <cell r="B2305" t="str">
            <v>VFPZ97</v>
          </cell>
          <cell r="C2305" t="str">
            <v>MDN35025010247</v>
          </cell>
          <cell r="D2305" t="str">
            <v>LDYECS312S0044104</v>
          </cell>
          <cell r="E2305" t="str">
            <v>Zhong Tong</v>
          </cell>
          <cell r="F2305" t="str">
            <v>Lck6122evg</v>
          </cell>
          <cell r="G2305" t="str">
            <v>ZHONGTONG</v>
          </cell>
          <cell r="H2305" t="str">
            <v>LCK6122EVG</v>
          </cell>
          <cell r="I2305">
            <v>2025</v>
          </cell>
          <cell r="J2305" t="str">
            <v>B</v>
          </cell>
          <cell r="K2305" t="str">
            <v>SAN ALFONSO</v>
          </cell>
          <cell r="L2305" t="str">
            <v>San Alfonso 2141 (Ramón Subercaseaux 3060)</v>
          </cell>
          <cell r="M2305" t="str">
            <v>Estacion Central</v>
          </cell>
          <cell r="N2305" t="str">
            <v>B</v>
          </cell>
        </row>
        <row r="2306">
          <cell r="B2306" t="str">
            <v>VFPZ98</v>
          </cell>
          <cell r="C2306" t="str">
            <v>MDN35025010213</v>
          </cell>
          <cell r="D2306" t="str">
            <v>LDYECS315S0044081</v>
          </cell>
          <cell r="E2306" t="str">
            <v>Zhong Tong</v>
          </cell>
          <cell r="F2306" t="str">
            <v>Lck6122evg</v>
          </cell>
          <cell r="G2306" t="str">
            <v>ZHONGTONG</v>
          </cell>
          <cell r="H2306" t="str">
            <v>LCK6122EVG</v>
          </cell>
          <cell r="I2306">
            <v>2025</v>
          </cell>
          <cell r="J2306" t="str">
            <v>B</v>
          </cell>
          <cell r="K2306" t="str">
            <v>SAN ALFONSO</v>
          </cell>
          <cell r="L2306" t="str">
            <v>San Alfonso 2141 (Ramón Subercaseaux 3060)</v>
          </cell>
          <cell r="M2306" t="str">
            <v>Estacion Central</v>
          </cell>
          <cell r="N2306" t="str">
            <v>B</v>
          </cell>
        </row>
        <row r="2307">
          <cell r="B2307" t="str">
            <v>VFRB13</v>
          </cell>
          <cell r="C2307" t="str">
            <v>MDN35025010226</v>
          </cell>
          <cell r="D2307" t="str">
            <v>LDYECS313S0044080</v>
          </cell>
          <cell r="E2307" t="str">
            <v>Zhong Tong</v>
          </cell>
          <cell r="F2307" t="str">
            <v>Lck6122evg</v>
          </cell>
          <cell r="G2307" t="str">
            <v>ZHONGTONG</v>
          </cell>
          <cell r="H2307" t="str">
            <v>LCK6122EVG</v>
          </cell>
          <cell r="I2307">
            <v>2025</v>
          </cell>
          <cell r="J2307" t="str">
            <v>B</v>
          </cell>
          <cell r="K2307" t="str">
            <v>PIE ANDINO</v>
          </cell>
          <cell r="L2307" t="str">
            <v>Pie Andino 31 (Pie Andino 383)</v>
          </cell>
          <cell r="M2307" t="str">
            <v>Puente Alto</v>
          </cell>
          <cell r="N2307" t="str">
            <v>B</v>
          </cell>
        </row>
        <row r="2308">
          <cell r="B2308" t="str">
            <v>VFRB15</v>
          </cell>
          <cell r="C2308" t="str">
            <v>MDN35025010225</v>
          </cell>
          <cell r="D2308" t="str">
            <v>LDYECS317S0044079</v>
          </cell>
          <cell r="E2308" t="str">
            <v>Zhong Tong</v>
          </cell>
          <cell r="F2308" t="str">
            <v>Lck6122evg</v>
          </cell>
          <cell r="G2308" t="str">
            <v>ZHONGTONG</v>
          </cell>
          <cell r="H2308" t="str">
            <v>LCK6122EVG</v>
          </cell>
          <cell r="I2308">
            <v>2025</v>
          </cell>
          <cell r="J2308" t="str">
            <v>B</v>
          </cell>
          <cell r="K2308" t="str">
            <v>SAN ALFONSO</v>
          </cell>
          <cell r="L2308" t="str">
            <v>San Alfonso 2141 (Ramón Subercaseaux 3060)</v>
          </cell>
          <cell r="M2308" t="str">
            <v>Estacion Central</v>
          </cell>
          <cell r="N2308" t="str">
            <v>B</v>
          </cell>
        </row>
        <row r="2309">
          <cell r="B2309" t="str">
            <v>VFRB54</v>
          </cell>
          <cell r="C2309" t="str">
            <v>MDN35025010204</v>
          </cell>
          <cell r="D2309" t="str">
            <v>LDYECS31XS0044108</v>
          </cell>
          <cell r="E2309" t="str">
            <v>Zhong Tong</v>
          </cell>
          <cell r="F2309" t="str">
            <v>Lck6122evg</v>
          </cell>
          <cell r="G2309" t="str">
            <v>ZHONGTONG</v>
          </cell>
          <cell r="H2309" t="str">
            <v>LCK6122EVG</v>
          </cell>
          <cell r="I2309">
            <v>2025</v>
          </cell>
          <cell r="J2309" t="str">
            <v>B</v>
          </cell>
          <cell r="K2309" t="str">
            <v>SAN ALFONSO</v>
          </cell>
          <cell r="L2309" t="str">
            <v>San Alfonso 2141 (Ramón Subercaseaux 3060)</v>
          </cell>
          <cell r="M2309" t="str">
            <v>Estacion Central</v>
          </cell>
          <cell r="N2309" t="str">
            <v>B</v>
          </cell>
        </row>
        <row r="2310">
          <cell r="B2310" t="str">
            <v>VFRB56</v>
          </cell>
          <cell r="C2310" t="str">
            <v>MDN35025020040</v>
          </cell>
          <cell r="D2310" t="str">
            <v>LDYECS314S0044086</v>
          </cell>
          <cell r="E2310" t="str">
            <v>Zhong Tong</v>
          </cell>
          <cell r="F2310" t="str">
            <v>Lck6122evg</v>
          </cell>
          <cell r="G2310" t="str">
            <v>ZHONGTONG</v>
          </cell>
          <cell r="H2310" t="str">
            <v>LCK6122EVG</v>
          </cell>
          <cell r="I2310">
            <v>2025</v>
          </cell>
          <cell r="J2310" t="str">
            <v>B</v>
          </cell>
          <cell r="K2310" t="str">
            <v>PIE ANDINO</v>
          </cell>
          <cell r="L2310" t="str">
            <v>Pie Andino 31 (Pie Andino 383)</v>
          </cell>
          <cell r="M2310" t="str">
            <v>Puente Alto</v>
          </cell>
          <cell r="N2310" t="str">
            <v>B</v>
          </cell>
        </row>
        <row r="2311">
          <cell r="B2311" t="str">
            <v>VFRB63</v>
          </cell>
          <cell r="C2311" t="str">
            <v>MDN35025020018</v>
          </cell>
          <cell r="D2311" t="str">
            <v>LDYECS315S0044100</v>
          </cell>
          <cell r="E2311" t="str">
            <v>Zhong Tong</v>
          </cell>
          <cell r="F2311" t="str">
            <v>Lck6122evg</v>
          </cell>
          <cell r="G2311" t="str">
            <v>ZHONGTONG</v>
          </cell>
          <cell r="H2311" t="str">
            <v>LCK6122EVG</v>
          </cell>
          <cell r="I2311">
            <v>2025</v>
          </cell>
          <cell r="J2311" t="str">
            <v>B</v>
          </cell>
          <cell r="K2311" t="str">
            <v>SAN ALFONSO</v>
          </cell>
          <cell r="L2311" t="str">
            <v>San Alfonso 2141 (Ramón Subercaseaux 3060)</v>
          </cell>
          <cell r="M2311" t="str">
            <v>Estacion Central</v>
          </cell>
          <cell r="N2311" t="str">
            <v>B</v>
          </cell>
        </row>
        <row r="2312">
          <cell r="B2312" t="str">
            <v>VFRB67</v>
          </cell>
          <cell r="C2312" t="str">
            <v>MDN35025010216</v>
          </cell>
          <cell r="D2312" t="str">
            <v>LDYECS318S0044107</v>
          </cell>
          <cell r="E2312" t="str">
            <v>Zhong Tong</v>
          </cell>
          <cell r="F2312" t="str">
            <v>Lck6122evg</v>
          </cell>
          <cell r="G2312" t="str">
            <v>ZHONGTONG</v>
          </cell>
          <cell r="H2312" t="str">
            <v>LCK6122EVG</v>
          </cell>
          <cell r="I2312">
            <v>2025</v>
          </cell>
          <cell r="J2312" t="str">
            <v>B</v>
          </cell>
          <cell r="K2312" t="str">
            <v>SAN ALFONSO</v>
          </cell>
          <cell r="L2312" t="str">
            <v>San Alfonso 2141 (Ramón Subercaseaux 3060)</v>
          </cell>
          <cell r="M2312" t="str">
            <v>Estacion Central</v>
          </cell>
          <cell r="N2312" t="str">
            <v>B</v>
          </cell>
        </row>
        <row r="2313">
          <cell r="B2313" t="str">
            <v>VFRB68</v>
          </cell>
          <cell r="C2313" t="str">
            <v>MDN35025010249</v>
          </cell>
          <cell r="D2313" t="str">
            <v>LDYECS31XS0044092</v>
          </cell>
          <cell r="E2313" t="str">
            <v>Zhong Tong</v>
          </cell>
          <cell r="F2313" t="str">
            <v>Lck6122evg</v>
          </cell>
          <cell r="G2313" t="str">
            <v>ZHONGTONG</v>
          </cell>
          <cell r="H2313" t="str">
            <v>LCK6122EVG</v>
          </cell>
          <cell r="I2313">
            <v>2025</v>
          </cell>
          <cell r="J2313" t="str">
            <v>B</v>
          </cell>
          <cell r="K2313" t="str">
            <v>PIE ANDINO</v>
          </cell>
          <cell r="L2313" t="str">
            <v>Pie Andino 31 (Pie Andino 383)</v>
          </cell>
          <cell r="M2313" t="str">
            <v>Puente Alto</v>
          </cell>
          <cell r="N2313" t="str">
            <v>B</v>
          </cell>
        </row>
        <row r="2314">
          <cell r="B2314" t="str">
            <v>VFRB81</v>
          </cell>
          <cell r="C2314" t="str">
            <v>MDN35025020118</v>
          </cell>
          <cell r="D2314" t="str">
            <v>LDYECS317S0044096</v>
          </cell>
          <cell r="E2314" t="str">
            <v>Zhong Tong</v>
          </cell>
          <cell r="F2314" t="str">
            <v>Lck6122evg</v>
          </cell>
          <cell r="G2314" t="str">
            <v>ZHONGTONG</v>
          </cell>
          <cell r="H2314" t="str">
            <v>LCK6122EVG</v>
          </cell>
          <cell r="I2314">
            <v>2025</v>
          </cell>
          <cell r="J2314" t="str">
            <v>B</v>
          </cell>
          <cell r="K2314" t="str">
            <v>SAN ALFONSO</v>
          </cell>
          <cell r="L2314" t="str">
            <v>San Alfonso 2141 (Ramón Subercaseaux 3060)</v>
          </cell>
          <cell r="M2314" t="str">
            <v>Estacion Central</v>
          </cell>
          <cell r="N2314" t="str">
            <v>B</v>
          </cell>
        </row>
        <row r="2315">
          <cell r="B2315" t="str">
            <v>VFRC75</v>
          </cell>
          <cell r="C2315" t="str">
            <v>MDN35025010242</v>
          </cell>
          <cell r="D2315" t="str">
            <v>LDYECS317S0044101</v>
          </cell>
          <cell r="E2315" t="str">
            <v>Zhong Tong</v>
          </cell>
          <cell r="F2315" t="str">
            <v>Lck6122evg</v>
          </cell>
          <cell r="G2315" t="str">
            <v>ZHONGTONG</v>
          </cell>
          <cell r="H2315" t="str">
            <v>LCK6122EVG</v>
          </cell>
          <cell r="I2315">
            <v>2025</v>
          </cell>
          <cell r="J2315" t="str">
            <v>B</v>
          </cell>
          <cell r="K2315" t="str">
            <v>SAN ALFONSO</v>
          </cell>
          <cell r="L2315" t="str">
            <v>San Alfonso 2141 (Ramón Subercaseaux 3060)</v>
          </cell>
          <cell r="M2315" t="str">
            <v>Estacion Central</v>
          </cell>
          <cell r="N2315" t="str">
            <v>B</v>
          </cell>
        </row>
        <row r="2316">
          <cell r="B2316" t="str">
            <v>VFRD35</v>
          </cell>
          <cell r="C2316" t="str">
            <v>MDN35025020008</v>
          </cell>
          <cell r="D2316" t="str">
            <v>LDYECS310S0044103</v>
          </cell>
          <cell r="E2316" t="str">
            <v>Zhong Tong</v>
          </cell>
          <cell r="F2316" t="str">
            <v>Lck6122evg</v>
          </cell>
          <cell r="G2316" t="str">
            <v>ZHONGTONG</v>
          </cell>
          <cell r="H2316" t="str">
            <v>LCK6122EVG</v>
          </cell>
          <cell r="I2316">
            <v>2025</v>
          </cell>
          <cell r="J2316" t="str">
            <v>B</v>
          </cell>
          <cell r="K2316" t="str">
            <v>PIE ANDINO</v>
          </cell>
          <cell r="L2316" t="str">
            <v>Pie Andino 31 (Pie Andino 383)</v>
          </cell>
          <cell r="M2316" t="str">
            <v>Puente Alto</v>
          </cell>
          <cell r="N2316" t="str">
            <v>B</v>
          </cell>
        </row>
        <row r="2317">
          <cell r="B2317" t="str">
            <v>VFRD45</v>
          </cell>
          <cell r="C2317" t="str">
            <v>MDN35025020020</v>
          </cell>
          <cell r="D2317" t="str">
            <v>LDYECS310S0044098</v>
          </cell>
          <cell r="E2317" t="str">
            <v>Zhong Tong</v>
          </cell>
          <cell r="F2317" t="str">
            <v>Lck6122evg</v>
          </cell>
          <cell r="G2317" t="str">
            <v>ZHONGTONG</v>
          </cell>
          <cell r="H2317" t="str">
            <v>LCK6122EVG</v>
          </cell>
          <cell r="I2317">
            <v>2025</v>
          </cell>
          <cell r="J2317" t="str">
            <v>B</v>
          </cell>
          <cell r="K2317" t="str">
            <v>SAN ALFONSO</v>
          </cell>
          <cell r="L2317" t="str">
            <v>San Alfonso 2141 (Ramón Subercaseaux 3060)</v>
          </cell>
          <cell r="M2317" t="str">
            <v>Estacion Central</v>
          </cell>
          <cell r="N2317" t="str">
            <v>B</v>
          </cell>
        </row>
        <row r="2318">
          <cell r="B2318" t="str">
            <v>VFRD55</v>
          </cell>
          <cell r="C2318" t="str">
            <v>MDN35025010252</v>
          </cell>
          <cell r="D2318" t="str">
            <v>LDYECS311S0044093</v>
          </cell>
          <cell r="E2318" t="str">
            <v>Zhong Tong</v>
          </cell>
          <cell r="F2318" t="str">
            <v>Lck6122evg</v>
          </cell>
          <cell r="G2318" t="str">
            <v>ZHONGTONG</v>
          </cell>
          <cell r="H2318" t="str">
            <v>LCK6122EVG</v>
          </cell>
          <cell r="I2318">
            <v>2025</v>
          </cell>
          <cell r="J2318" t="str">
            <v>B</v>
          </cell>
          <cell r="K2318" t="str">
            <v>PIE ANDINO</v>
          </cell>
          <cell r="L2318" t="str">
            <v>Pie Andino 31 (Pie Andino 383)</v>
          </cell>
          <cell r="M2318" t="str">
            <v>Puente Alto</v>
          </cell>
          <cell r="N2318" t="str">
            <v>B</v>
          </cell>
        </row>
        <row r="2319">
          <cell r="B2319" t="str">
            <v>VFRD65</v>
          </cell>
          <cell r="C2319" t="str">
            <v>MDN35025020014</v>
          </cell>
          <cell r="D2319" t="str">
            <v>LDYECS318S0044091</v>
          </cell>
          <cell r="E2319" t="str">
            <v>Zhong Tong</v>
          </cell>
          <cell r="F2319" t="str">
            <v>Lck6122evg</v>
          </cell>
          <cell r="G2319" t="str">
            <v>ZHONGTONG</v>
          </cell>
          <cell r="H2319" t="str">
            <v>LCK6122EVG</v>
          </cell>
          <cell r="I2319">
            <v>2025</v>
          </cell>
          <cell r="J2319" t="str">
            <v>B</v>
          </cell>
          <cell r="K2319" t="str">
            <v>PIE ANDINO</v>
          </cell>
          <cell r="L2319" t="str">
            <v>Pie Andino 31 (Pie Andino 383)</v>
          </cell>
          <cell r="M2319" t="str">
            <v>Puente Alto</v>
          </cell>
          <cell r="N2319" t="str">
            <v>B</v>
          </cell>
        </row>
        <row r="2320">
          <cell r="B2320" t="str">
            <v>VFRD75</v>
          </cell>
          <cell r="C2320" t="str">
            <v>MDN35025020004</v>
          </cell>
          <cell r="D2320" t="str">
            <v>LDYECS314S0044105</v>
          </cell>
          <cell r="E2320" t="str">
            <v>Zhong Tong</v>
          </cell>
          <cell r="F2320" t="str">
            <v>Lck6122evg</v>
          </cell>
          <cell r="G2320" t="str">
            <v>ZHONGTONG</v>
          </cell>
          <cell r="H2320" t="str">
            <v>LCK6122EVG</v>
          </cell>
          <cell r="I2320">
            <v>2025</v>
          </cell>
          <cell r="J2320" t="str">
            <v>B</v>
          </cell>
          <cell r="K2320" t="str">
            <v>SAN ALFONSO</v>
          </cell>
          <cell r="L2320" t="str">
            <v>San Alfonso 2141 (Ramón Subercaseaux 3060)</v>
          </cell>
          <cell r="M2320" t="str">
            <v>Estacion Central</v>
          </cell>
          <cell r="N2320" t="str">
            <v>B</v>
          </cell>
        </row>
        <row r="2321">
          <cell r="B2321" t="str">
            <v>VFRD85</v>
          </cell>
          <cell r="C2321" t="str">
            <v>MDN35025010245</v>
          </cell>
          <cell r="D2321" t="str">
            <v>LDYECS312S0044099</v>
          </cell>
          <cell r="E2321" t="str">
            <v>Zhong Tong</v>
          </cell>
          <cell r="F2321" t="str">
            <v>Lck6122evg</v>
          </cell>
          <cell r="G2321" t="str">
            <v>ZHONGTONG</v>
          </cell>
          <cell r="H2321" t="str">
            <v>LCK6122EVG</v>
          </cell>
          <cell r="I2321">
            <v>2025</v>
          </cell>
          <cell r="J2321" t="str">
            <v>B</v>
          </cell>
          <cell r="K2321" t="str">
            <v>PIE ANDINO</v>
          </cell>
          <cell r="L2321" t="str">
            <v>Pie Andino 31 (Pie Andino 383)</v>
          </cell>
          <cell r="M2321" t="str">
            <v>Puente Alto</v>
          </cell>
          <cell r="N2321" t="str">
            <v>B</v>
          </cell>
        </row>
        <row r="2322">
          <cell r="B2322" t="str">
            <v>VFRD95</v>
          </cell>
          <cell r="C2322" t="str">
            <v>MDN35025010043</v>
          </cell>
          <cell r="D2322" t="str">
            <v>LDYECS316S0043831</v>
          </cell>
          <cell r="E2322" t="str">
            <v>Zhong Tong</v>
          </cell>
          <cell r="F2322" t="str">
            <v>Lck6122evg</v>
          </cell>
          <cell r="G2322" t="str">
            <v>ZHONGTONG</v>
          </cell>
          <cell r="H2322" t="str">
            <v>LCK6122EVG</v>
          </cell>
          <cell r="I2322">
            <v>2025</v>
          </cell>
          <cell r="J2322" t="str">
            <v>B</v>
          </cell>
          <cell r="K2322" t="str">
            <v>PIE ANDINO</v>
          </cell>
          <cell r="L2322" t="str">
            <v>Pie Andino 31 (Pie Andino 383)</v>
          </cell>
          <cell r="M2322" t="str">
            <v>Puente Alto</v>
          </cell>
          <cell r="N2322" t="str">
            <v>B</v>
          </cell>
        </row>
        <row r="2323">
          <cell r="B2323" t="str">
            <v>VFRF15</v>
          </cell>
          <cell r="C2323" t="str">
            <v>MDN35025010020</v>
          </cell>
          <cell r="D2323" t="str">
            <v>LDYECS31XS0043833</v>
          </cell>
          <cell r="E2323" t="str">
            <v>Zhong Tong</v>
          </cell>
          <cell r="F2323" t="str">
            <v>Lck6122evg</v>
          </cell>
          <cell r="G2323" t="str">
            <v>ZHONGTONG</v>
          </cell>
          <cell r="H2323" t="str">
            <v>LCK6122EVG</v>
          </cell>
          <cell r="I2323">
            <v>2025</v>
          </cell>
          <cell r="J2323" t="str">
            <v>B</v>
          </cell>
          <cell r="K2323" t="str">
            <v>CERRILLOS</v>
          </cell>
          <cell r="L2323" t="str">
            <v>Calle Uno 7371</v>
          </cell>
          <cell r="M2323" t="str">
            <v>Cerrillos</v>
          </cell>
          <cell r="N2323" t="str">
            <v>B</v>
          </cell>
        </row>
        <row r="2324">
          <cell r="B2324" t="str">
            <v>VFRF35</v>
          </cell>
          <cell r="C2324" t="str">
            <v>MDN35025010239</v>
          </cell>
          <cell r="D2324" t="str">
            <v>LDYECS311S0043834</v>
          </cell>
          <cell r="E2324" t="str">
            <v>Zhong Tong</v>
          </cell>
          <cell r="F2324" t="str">
            <v>Lck6122evg</v>
          </cell>
          <cell r="G2324" t="str">
            <v>ZHONGTONG</v>
          </cell>
          <cell r="H2324" t="str">
            <v>LCK6122EVG</v>
          </cell>
          <cell r="I2324">
            <v>2025</v>
          </cell>
          <cell r="J2324" t="str">
            <v>B</v>
          </cell>
          <cell r="K2324" t="str">
            <v>PIE ANDINO</v>
          </cell>
          <cell r="L2324" t="str">
            <v>Pie Andino 31 (Pie Andino 383)</v>
          </cell>
          <cell r="M2324" t="str">
            <v>Puente Alto</v>
          </cell>
          <cell r="N2324" t="str">
            <v>B</v>
          </cell>
        </row>
        <row r="2325">
          <cell r="B2325" t="str">
            <v>VFRF55</v>
          </cell>
          <cell r="C2325" t="str">
            <v>MDN35025010027</v>
          </cell>
          <cell r="D2325" t="str">
            <v>LDYECS314S0043830</v>
          </cell>
          <cell r="E2325" t="str">
            <v>Zhong Tong</v>
          </cell>
          <cell r="F2325" t="str">
            <v>Lck6122evg</v>
          </cell>
          <cell r="G2325" t="str">
            <v>ZHONGTONG</v>
          </cell>
          <cell r="H2325" t="str">
            <v>LCK6122EVG</v>
          </cell>
          <cell r="I2325">
            <v>2025</v>
          </cell>
          <cell r="J2325" t="str">
            <v>B</v>
          </cell>
          <cell r="K2325" t="str">
            <v>CERRILLOS</v>
          </cell>
          <cell r="L2325" t="str">
            <v>Calle Uno 7371</v>
          </cell>
          <cell r="M2325" t="str">
            <v>Cerrillos</v>
          </cell>
          <cell r="N2325" t="str">
            <v>B</v>
          </cell>
        </row>
        <row r="2326">
          <cell r="B2326" t="str">
            <v>VFRF65</v>
          </cell>
          <cell r="C2326" t="str">
            <v>MDN35025010024</v>
          </cell>
          <cell r="D2326" t="str">
            <v>LDYECS319S0043824</v>
          </cell>
          <cell r="E2326" t="str">
            <v>Zhong Tong</v>
          </cell>
          <cell r="F2326" t="str">
            <v>Lck6122evg</v>
          </cell>
          <cell r="G2326" t="str">
            <v>ZHONGTONG</v>
          </cell>
          <cell r="H2326" t="str">
            <v>LCK6122EVG</v>
          </cell>
          <cell r="I2326">
            <v>2025</v>
          </cell>
          <cell r="J2326" t="str">
            <v>B</v>
          </cell>
          <cell r="K2326" t="str">
            <v>PIE ANDINO</v>
          </cell>
          <cell r="L2326" t="str">
            <v>Pie Andino 31 (Pie Andino 383)</v>
          </cell>
          <cell r="M2326" t="str">
            <v>Puente Alto</v>
          </cell>
          <cell r="N2326" t="str">
            <v>B</v>
          </cell>
        </row>
        <row r="2327">
          <cell r="B2327" t="str">
            <v>VFRF75</v>
          </cell>
          <cell r="C2327" t="str">
            <v>MDN35025010042</v>
          </cell>
          <cell r="D2327" t="str">
            <v>LDYECS317S0043823</v>
          </cell>
          <cell r="E2327" t="str">
            <v>Zhong Tong</v>
          </cell>
          <cell r="F2327" t="str">
            <v>Lck6122evg</v>
          </cell>
          <cell r="G2327" t="str">
            <v>ZHONGTONG</v>
          </cell>
          <cell r="H2327" t="str">
            <v>LCK6122EVG</v>
          </cell>
          <cell r="I2327">
            <v>2025</v>
          </cell>
          <cell r="J2327" t="str">
            <v>B</v>
          </cell>
          <cell r="K2327" t="str">
            <v>PIE ANDINO</v>
          </cell>
          <cell r="L2327" t="str">
            <v>Pie Andino 31 (Pie Andino 383)</v>
          </cell>
          <cell r="M2327" t="str">
            <v>Puente Alto</v>
          </cell>
          <cell r="N2327" t="str">
            <v>B</v>
          </cell>
        </row>
        <row r="2328">
          <cell r="B2328" t="str">
            <v>VFRF85</v>
          </cell>
          <cell r="C2328" t="str">
            <v>MDN35025010034</v>
          </cell>
          <cell r="D2328" t="str">
            <v>LDYECS310S0043839</v>
          </cell>
          <cell r="E2328" t="str">
            <v>Zhong Tong</v>
          </cell>
          <cell r="F2328" t="str">
            <v>Lck6122evg</v>
          </cell>
          <cell r="G2328" t="str">
            <v>ZHONGTONG</v>
          </cell>
          <cell r="H2328" t="str">
            <v>LCK6122EVG</v>
          </cell>
          <cell r="I2328">
            <v>2025</v>
          </cell>
          <cell r="J2328" t="str">
            <v>B</v>
          </cell>
          <cell r="K2328" t="str">
            <v>PIE ANDINO</v>
          </cell>
          <cell r="L2328" t="str">
            <v>Pie Andino 31 (Pie Andino 383)</v>
          </cell>
          <cell r="M2328" t="str">
            <v>Puente Alto</v>
          </cell>
          <cell r="N2328" t="str">
            <v>B</v>
          </cell>
        </row>
        <row r="2329">
          <cell r="B2329" t="str">
            <v>VFRF95</v>
          </cell>
          <cell r="C2329" t="str">
            <v>MDN35025020016</v>
          </cell>
          <cell r="D2329" t="str">
            <v>LDYECS311S0043820</v>
          </cell>
          <cell r="E2329" t="str">
            <v>Zhong Tong</v>
          </cell>
          <cell r="F2329" t="str">
            <v>Lck6122evg</v>
          </cell>
          <cell r="G2329" t="str">
            <v>ZHONGTONG</v>
          </cell>
          <cell r="H2329" t="str">
            <v>LCK6122EVG</v>
          </cell>
          <cell r="I2329">
            <v>2025</v>
          </cell>
          <cell r="J2329" t="str">
            <v>B</v>
          </cell>
          <cell r="K2329" t="str">
            <v>PIE ANDINO</v>
          </cell>
          <cell r="L2329" t="str">
            <v>Pie Andino 31 (Pie Andino 383)</v>
          </cell>
          <cell r="M2329" t="str">
            <v>Puente Alto</v>
          </cell>
          <cell r="N2329" t="str">
            <v>B</v>
          </cell>
        </row>
        <row r="2330">
          <cell r="B2330" t="str">
            <v>VFRG15</v>
          </cell>
          <cell r="C2330" t="str">
            <v>MDN35025010090</v>
          </cell>
          <cell r="D2330" t="str">
            <v>LDYECS315S0043822</v>
          </cell>
          <cell r="E2330" t="str">
            <v>Zhong Tong</v>
          </cell>
          <cell r="F2330" t="str">
            <v>Lck6122evg</v>
          </cell>
          <cell r="G2330" t="str">
            <v>ZHONGTONG</v>
          </cell>
          <cell r="H2330" t="str">
            <v>LCK6122EVG</v>
          </cell>
          <cell r="I2330">
            <v>2025</v>
          </cell>
          <cell r="J2330" t="str">
            <v>B</v>
          </cell>
          <cell r="K2330" t="str">
            <v>CERRILLOS</v>
          </cell>
          <cell r="L2330" t="str">
            <v>Calle Uno 7371</v>
          </cell>
          <cell r="M2330" t="str">
            <v>Cerrillos</v>
          </cell>
          <cell r="N2330" t="str">
            <v>B</v>
          </cell>
        </row>
        <row r="2331">
          <cell r="B2331" t="str">
            <v>VFRG25</v>
          </cell>
          <cell r="C2331" t="str">
            <v>MDN35025020041</v>
          </cell>
          <cell r="D2331" t="str">
            <v>LDYECS319S0044097</v>
          </cell>
          <cell r="E2331" t="str">
            <v>Zhong Tong</v>
          </cell>
          <cell r="F2331" t="str">
            <v>Lck6122evg</v>
          </cell>
          <cell r="G2331" t="str">
            <v>ZHONGTONG</v>
          </cell>
          <cell r="H2331" t="str">
            <v>LCK6122EVG</v>
          </cell>
          <cell r="I2331">
            <v>2025</v>
          </cell>
          <cell r="J2331" t="str">
            <v>B</v>
          </cell>
          <cell r="K2331" t="str">
            <v>PIE ANDINO</v>
          </cell>
          <cell r="L2331" t="str">
            <v>Pie Andino 31 (Pie Andino 383)</v>
          </cell>
          <cell r="M2331" t="str">
            <v>Puente Alto</v>
          </cell>
          <cell r="N2331" t="str">
            <v>B</v>
          </cell>
        </row>
        <row r="2332">
          <cell r="B2332" t="str">
            <v>VFRG35</v>
          </cell>
          <cell r="C2332" t="str">
            <v>MDN35025010093</v>
          </cell>
          <cell r="D2332" t="str">
            <v>LDYECS318S0043846</v>
          </cell>
          <cell r="E2332" t="str">
            <v>Zhong Tong</v>
          </cell>
          <cell r="F2332" t="str">
            <v>Lck6122evg</v>
          </cell>
          <cell r="G2332" t="str">
            <v>ZHONGTONG</v>
          </cell>
          <cell r="H2332" t="str">
            <v>LCK6122EVG</v>
          </cell>
          <cell r="I2332">
            <v>2025</v>
          </cell>
          <cell r="J2332" t="str">
            <v>B</v>
          </cell>
          <cell r="K2332" t="str">
            <v>PIE ANDINO</v>
          </cell>
          <cell r="L2332" t="str">
            <v>Pie Andino 31 (Pie Andino 383)</v>
          </cell>
          <cell r="M2332" t="str">
            <v>Puente Alto</v>
          </cell>
          <cell r="N2332" t="str">
            <v>B</v>
          </cell>
        </row>
        <row r="2333">
          <cell r="B2333" t="str">
            <v>VFRG45</v>
          </cell>
          <cell r="C2333" t="str">
            <v>MDN35025010087</v>
          </cell>
          <cell r="D2333" t="str">
            <v>LDYECS318S0043829</v>
          </cell>
          <cell r="E2333" t="str">
            <v>Zhong Tong</v>
          </cell>
          <cell r="F2333" t="str">
            <v>Lck6122evg</v>
          </cell>
          <cell r="G2333" t="str">
            <v>ZHONGTONG</v>
          </cell>
          <cell r="H2333" t="str">
            <v>LCK6122EVG</v>
          </cell>
          <cell r="I2333">
            <v>2025</v>
          </cell>
          <cell r="J2333" t="str">
            <v>B</v>
          </cell>
          <cell r="K2333" t="str">
            <v>PIE ANDINO</v>
          </cell>
          <cell r="L2333" t="str">
            <v>Pie Andino 31 (Pie Andino 383)</v>
          </cell>
          <cell r="M2333" t="str">
            <v>Puente Alto</v>
          </cell>
          <cell r="N2333" t="str">
            <v>B</v>
          </cell>
        </row>
        <row r="2334">
          <cell r="B2334" t="str">
            <v>VGBS15</v>
          </cell>
          <cell r="C2334" t="str">
            <v>MDN35025010031</v>
          </cell>
          <cell r="D2334" t="str">
            <v>LDYECS318S0043832</v>
          </cell>
          <cell r="E2334" t="str">
            <v>Zhong Tong</v>
          </cell>
          <cell r="F2334" t="str">
            <v>Lck6122evg</v>
          </cell>
          <cell r="G2334" t="str">
            <v>ZHONGTONG</v>
          </cell>
          <cell r="H2334" t="str">
            <v>LCK6122EVG</v>
          </cell>
          <cell r="I2334">
            <v>2025</v>
          </cell>
          <cell r="J2334" t="str">
            <v>B</v>
          </cell>
          <cell r="K2334" t="str">
            <v>SAN ALFONSO</v>
          </cell>
          <cell r="L2334" t="str">
            <v>San Alfonso 2141 (Ramón Subercaseaux 3060)</v>
          </cell>
          <cell r="M2334" t="str">
            <v>Estacion Central</v>
          </cell>
          <cell r="N2334" t="str">
            <v>B</v>
          </cell>
        </row>
        <row r="2335">
          <cell r="B2335" t="str">
            <v>VGBV29</v>
          </cell>
          <cell r="C2335" t="str">
            <v>MDN35025010251</v>
          </cell>
          <cell r="D2335" t="str">
            <v>LDYECS314S0043844</v>
          </cell>
          <cell r="E2335" t="str">
            <v>Zhong Tong</v>
          </cell>
          <cell r="F2335" t="str">
            <v>Lck6122evg</v>
          </cell>
          <cell r="G2335" t="str">
            <v>ZHONGTONG</v>
          </cell>
          <cell r="H2335" t="str">
            <v>LCK6122EVG</v>
          </cell>
          <cell r="I2335">
            <v>2025</v>
          </cell>
          <cell r="J2335" t="str">
            <v>B</v>
          </cell>
          <cell r="K2335" t="str">
            <v>SAN ALFONSO</v>
          </cell>
          <cell r="L2335" t="str">
            <v>San Alfonso 2141 (Ramón Subercaseaux 3060)</v>
          </cell>
          <cell r="M2335" t="str">
            <v>Estacion Central</v>
          </cell>
          <cell r="N2335" t="str">
            <v>B</v>
          </cell>
        </row>
        <row r="2336">
          <cell r="B2336" t="str">
            <v>VGBV35</v>
          </cell>
          <cell r="C2336" t="str">
            <v>MDN35025010092</v>
          </cell>
          <cell r="D2336" t="str">
            <v>LDYECS316S0043828</v>
          </cell>
          <cell r="E2336" t="str">
            <v>Zhong Tong</v>
          </cell>
          <cell r="F2336" t="str">
            <v>Lck6122evg</v>
          </cell>
          <cell r="G2336" t="str">
            <v>ZHONGTONG</v>
          </cell>
          <cell r="H2336" t="str">
            <v>LCK6122EVG</v>
          </cell>
          <cell r="I2336">
            <v>2025</v>
          </cell>
          <cell r="J2336" t="str">
            <v>B</v>
          </cell>
          <cell r="K2336" t="str">
            <v>SAN ALFONSO</v>
          </cell>
          <cell r="L2336" t="str">
            <v>San Alfonso 2141 (Ramón Subercaseaux 3060)</v>
          </cell>
          <cell r="M2336" t="str">
            <v>Estacion Central</v>
          </cell>
          <cell r="N2336" t="str">
            <v>B</v>
          </cell>
        </row>
        <row r="2337">
          <cell r="B2337" t="str">
            <v>VGBV36</v>
          </cell>
          <cell r="C2337" t="str">
            <v>MDN35025010241</v>
          </cell>
          <cell r="D2337" t="str">
            <v>LDYECS312S0043843</v>
          </cell>
          <cell r="E2337" t="str">
            <v>Zhong Tong</v>
          </cell>
          <cell r="F2337" t="str">
            <v>Lck6122evg</v>
          </cell>
          <cell r="G2337" t="str">
            <v>ZHONGTONG</v>
          </cell>
          <cell r="H2337" t="str">
            <v>LCK6122EVG</v>
          </cell>
          <cell r="I2337">
            <v>2025</v>
          </cell>
          <cell r="J2337" t="str">
            <v>B</v>
          </cell>
          <cell r="K2337" t="str">
            <v>PIE ANDINO</v>
          </cell>
          <cell r="L2337" t="str">
            <v>Pie Andino 31 (Pie Andino 383)</v>
          </cell>
          <cell r="M2337" t="str">
            <v>Puente Alto</v>
          </cell>
          <cell r="N2337" t="str">
            <v>B</v>
          </cell>
        </row>
        <row r="2338">
          <cell r="B2338" t="str">
            <v>VGBV41</v>
          </cell>
          <cell r="C2338" t="str">
            <v>MDN35025010100</v>
          </cell>
          <cell r="D2338" t="str">
            <v>LDYECS319S0043841</v>
          </cell>
          <cell r="E2338" t="str">
            <v>Zhong Tong</v>
          </cell>
          <cell r="F2338" t="str">
            <v>Lck6122evg</v>
          </cell>
          <cell r="G2338" t="str">
            <v>ZHONGTONG</v>
          </cell>
          <cell r="H2338" t="str">
            <v>LCK6122EVG</v>
          </cell>
          <cell r="I2338">
            <v>2025</v>
          </cell>
          <cell r="J2338" t="str">
            <v>B</v>
          </cell>
          <cell r="K2338" t="str">
            <v>CERRILLOS</v>
          </cell>
          <cell r="L2338" t="str">
            <v>Calle Uno 7371</v>
          </cell>
          <cell r="M2338" t="str">
            <v>Cerrillos</v>
          </cell>
          <cell r="N2338" t="str">
            <v>B</v>
          </cell>
        </row>
        <row r="2339">
          <cell r="B2339" t="str">
            <v>VGBV51</v>
          </cell>
          <cell r="C2339" t="str">
            <v>MDN35025010022</v>
          </cell>
          <cell r="D2339" t="str">
            <v>LDYECS312S0043826</v>
          </cell>
          <cell r="E2339" t="str">
            <v>Zhong Tong</v>
          </cell>
          <cell r="F2339" t="str">
            <v>Lck6122evg</v>
          </cell>
          <cell r="G2339" t="str">
            <v>ZHONGTONG</v>
          </cell>
          <cell r="H2339" t="str">
            <v>LCK6122EVG</v>
          </cell>
          <cell r="I2339">
            <v>2025</v>
          </cell>
          <cell r="J2339" t="str">
            <v>B</v>
          </cell>
          <cell r="K2339" t="str">
            <v>SAN ALFONSO</v>
          </cell>
          <cell r="L2339" t="str">
            <v>San Alfonso 2141 (Ramón Subercaseaux 3060)</v>
          </cell>
          <cell r="M2339" t="str">
            <v>Estacion Central</v>
          </cell>
          <cell r="N2339" t="str">
            <v>B</v>
          </cell>
        </row>
        <row r="2340">
          <cell r="B2340" t="str">
            <v>VGBV55</v>
          </cell>
          <cell r="C2340" t="str">
            <v>MDN35025010032</v>
          </cell>
          <cell r="D2340" t="str">
            <v>LDYECS315S0043836</v>
          </cell>
          <cell r="E2340" t="str">
            <v>Zhong Tong</v>
          </cell>
          <cell r="F2340" t="str">
            <v>Lck6122evg</v>
          </cell>
          <cell r="G2340" t="str">
            <v>ZHONGTONG</v>
          </cell>
          <cell r="H2340" t="str">
            <v>LCK6122EVG</v>
          </cell>
          <cell r="I2340">
            <v>2025</v>
          </cell>
          <cell r="J2340" t="str">
            <v>B</v>
          </cell>
          <cell r="K2340" t="str">
            <v>PIE ANDINO</v>
          </cell>
          <cell r="L2340" t="str">
            <v>Pie Andino 31 (Pie Andino 383)</v>
          </cell>
          <cell r="M2340" t="str">
            <v>Puente Alto</v>
          </cell>
          <cell r="N2340" t="str">
            <v>B</v>
          </cell>
        </row>
        <row r="2341">
          <cell r="B2341" t="str">
            <v>VGBV69</v>
          </cell>
          <cell r="C2341" t="str">
            <v>MDN35025010096</v>
          </cell>
          <cell r="D2341" t="str">
            <v>LDYECS310S0043825</v>
          </cell>
          <cell r="E2341" t="str">
            <v>Zhong Tong</v>
          </cell>
          <cell r="F2341" t="str">
            <v>Lck6122evg</v>
          </cell>
          <cell r="G2341" t="str">
            <v>ZHONGTONG</v>
          </cell>
          <cell r="H2341" t="str">
            <v>LCK6122EVG</v>
          </cell>
          <cell r="I2341">
            <v>2025</v>
          </cell>
          <cell r="J2341" t="str">
            <v>B</v>
          </cell>
          <cell r="K2341" t="str">
            <v>SAN ALFONSO</v>
          </cell>
          <cell r="L2341" t="str">
            <v>San Alfonso 2141 (Ramón Subercaseaux 3060)</v>
          </cell>
          <cell r="M2341" t="str">
            <v>Estacion Central</v>
          </cell>
          <cell r="N2341" t="str">
            <v>B</v>
          </cell>
        </row>
        <row r="2342">
          <cell r="B2342" t="str">
            <v>VGBV79</v>
          </cell>
          <cell r="C2342" t="str">
            <v>MDN35025010133</v>
          </cell>
          <cell r="D2342" t="str">
            <v>LDYECS310S0043842</v>
          </cell>
          <cell r="E2342" t="str">
            <v>Zhong Tong</v>
          </cell>
          <cell r="F2342" t="str">
            <v>Lck6122evg</v>
          </cell>
          <cell r="G2342" t="str">
            <v>ZHONGTONG</v>
          </cell>
          <cell r="H2342" t="str">
            <v>LCK6122EVG</v>
          </cell>
          <cell r="I2342">
            <v>2025</v>
          </cell>
          <cell r="J2342" t="str">
            <v>B</v>
          </cell>
          <cell r="K2342" t="str">
            <v>SAN ALFONSO</v>
          </cell>
          <cell r="L2342" t="str">
            <v>San Alfonso 2141 (Ramón Subercaseaux 3060)</v>
          </cell>
          <cell r="M2342" t="str">
            <v>Estacion Central</v>
          </cell>
          <cell r="N2342" t="str">
            <v>B</v>
          </cell>
        </row>
        <row r="2343">
          <cell r="B2343" t="str">
            <v>VGBV99</v>
          </cell>
          <cell r="C2343" t="str">
            <v>MDN35025020065</v>
          </cell>
          <cell r="D2343" t="str">
            <v>LDYECS317S0043854</v>
          </cell>
          <cell r="E2343" t="str">
            <v>Zhong Tong</v>
          </cell>
          <cell r="F2343" t="str">
            <v>Lck6122evg</v>
          </cell>
          <cell r="G2343" t="str">
            <v>ZHONGTONG</v>
          </cell>
          <cell r="H2343" t="str">
            <v>LCK6122EVG</v>
          </cell>
          <cell r="I2343">
            <v>2025</v>
          </cell>
          <cell r="J2343" t="str">
            <v>B</v>
          </cell>
          <cell r="K2343" t="str">
            <v>PIE ANDINO</v>
          </cell>
          <cell r="L2343" t="str">
            <v>Pie Andino 31 (Pie Andino 383)</v>
          </cell>
          <cell r="M2343" t="str">
            <v>Puente Alto</v>
          </cell>
          <cell r="N2343" t="str">
            <v>B</v>
          </cell>
        </row>
        <row r="2344">
          <cell r="B2344" t="str">
            <v>VGBW19</v>
          </cell>
          <cell r="C2344" t="str">
            <v>MDN35025020066</v>
          </cell>
          <cell r="D2344" t="str">
            <v>LDYECS313S0043849</v>
          </cell>
          <cell r="E2344" t="str">
            <v>Zhong Tong</v>
          </cell>
          <cell r="F2344" t="str">
            <v>Lck6122evg</v>
          </cell>
          <cell r="G2344" t="str">
            <v>ZHONGTONG</v>
          </cell>
          <cell r="H2344" t="str">
            <v>LCK6122EVG</v>
          </cell>
          <cell r="I2344">
            <v>2025</v>
          </cell>
          <cell r="J2344" t="str">
            <v>B</v>
          </cell>
          <cell r="K2344" t="str">
            <v>PIE ANDINO</v>
          </cell>
          <cell r="L2344" t="str">
            <v>Pie Andino 31 (Pie Andino 383)</v>
          </cell>
          <cell r="M2344" t="str">
            <v>Puente Alto</v>
          </cell>
          <cell r="N2344" t="str">
            <v>B</v>
          </cell>
        </row>
        <row r="2345">
          <cell r="B2345" t="str">
            <v>VGBW29</v>
          </cell>
          <cell r="C2345" t="str">
            <v>MDN35025010238</v>
          </cell>
          <cell r="D2345" t="str">
            <v>LDYECS311S0043848</v>
          </cell>
          <cell r="E2345" t="str">
            <v>Zhong Tong</v>
          </cell>
          <cell r="F2345" t="str">
            <v>Lck6122evg</v>
          </cell>
          <cell r="G2345" t="str">
            <v>ZHONGTONG</v>
          </cell>
          <cell r="H2345" t="str">
            <v>LCK6122EVG</v>
          </cell>
          <cell r="I2345">
            <v>2025</v>
          </cell>
          <cell r="J2345" t="str">
            <v>B</v>
          </cell>
          <cell r="K2345" t="str">
            <v>PIE ANDINO</v>
          </cell>
          <cell r="L2345" t="str">
            <v>Pie Andino 31 (Pie Andino 383)</v>
          </cell>
          <cell r="M2345" t="str">
            <v>Puente Alto</v>
          </cell>
          <cell r="N2345" t="str">
            <v>B</v>
          </cell>
        </row>
        <row r="2346">
          <cell r="B2346" t="str">
            <v>VGBW39</v>
          </cell>
          <cell r="C2346" t="str">
            <v>MDN35025010109</v>
          </cell>
          <cell r="D2346" t="str">
            <v>LDYECS31XS0043847</v>
          </cell>
          <cell r="E2346" t="str">
            <v>Zhong Tong</v>
          </cell>
          <cell r="F2346" t="str">
            <v>Lck6122evg</v>
          </cell>
          <cell r="G2346" t="str">
            <v>ZHONGTONG</v>
          </cell>
          <cell r="H2346" t="str">
            <v>LCK6122EVG</v>
          </cell>
          <cell r="I2346">
            <v>2025</v>
          </cell>
          <cell r="J2346" t="str">
            <v>B</v>
          </cell>
          <cell r="K2346" t="str">
            <v>SAN ALFONSO</v>
          </cell>
          <cell r="L2346" t="str">
            <v>San Alfonso 2141 (Ramón Subercaseaux 3060)</v>
          </cell>
          <cell r="M2346" t="str">
            <v>Estacion Central</v>
          </cell>
          <cell r="N2346" t="str">
            <v>B</v>
          </cell>
        </row>
        <row r="2347">
          <cell r="B2347" t="str">
            <v>VGBW48</v>
          </cell>
          <cell r="C2347" t="str">
            <v>MDN35025010035</v>
          </cell>
          <cell r="D2347" t="str">
            <v>LDYECS314S0043827</v>
          </cell>
          <cell r="E2347" t="str">
            <v>Zhong Tong</v>
          </cell>
          <cell r="F2347" t="str">
            <v>Lck6122evg</v>
          </cell>
          <cell r="G2347" t="str">
            <v>ZHONGTONG</v>
          </cell>
          <cell r="H2347" t="str">
            <v>LCK6122EVG</v>
          </cell>
          <cell r="I2347">
            <v>2025</v>
          </cell>
          <cell r="J2347" t="str">
            <v>B</v>
          </cell>
          <cell r="K2347" t="str">
            <v>PIE ANDINO</v>
          </cell>
          <cell r="L2347" t="str">
            <v>Pie Andino 31 (Pie Andino 383)</v>
          </cell>
          <cell r="M2347" t="str">
            <v>Puente Alto</v>
          </cell>
          <cell r="N2347" t="str">
            <v>B</v>
          </cell>
        </row>
        <row r="2348">
          <cell r="B2348" t="str">
            <v>VGBW58</v>
          </cell>
          <cell r="C2348" t="str">
            <v>MDN35025010026</v>
          </cell>
          <cell r="D2348" t="str">
            <v>LDYECS313S0043835</v>
          </cell>
          <cell r="E2348" t="str">
            <v>Zhong Tong</v>
          </cell>
          <cell r="F2348" t="str">
            <v>Lck6122evg</v>
          </cell>
          <cell r="G2348" t="str">
            <v>ZHONGTONG</v>
          </cell>
          <cell r="H2348" t="str">
            <v>LCK6122EVG</v>
          </cell>
          <cell r="I2348">
            <v>2025</v>
          </cell>
          <cell r="J2348" t="str">
            <v>B</v>
          </cell>
          <cell r="K2348" t="str">
            <v>PIE ANDINO</v>
          </cell>
          <cell r="L2348" t="str">
            <v>Pie Andino 31 (Pie Andino 383)</v>
          </cell>
          <cell r="M2348" t="str">
            <v>Puente Alto</v>
          </cell>
          <cell r="N2348" t="str">
            <v>B</v>
          </cell>
        </row>
        <row r="2349">
          <cell r="B2349" t="str">
            <v>VGBW68</v>
          </cell>
          <cell r="C2349" t="str">
            <v>MDN35025020082</v>
          </cell>
          <cell r="D2349" t="str">
            <v>LDYECS315S0043853</v>
          </cell>
          <cell r="E2349" t="str">
            <v>Zhong Tong</v>
          </cell>
          <cell r="F2349" t="str">
            <v>Lck6122evg</v>
          </cell>
          <cell r="G2349" t="str">
            <v>ZHONGTONG</v>
          </cell>
          <cell r="H2349" t="str">
            <v>LCK6122EVG</v>
          </cell>
          <cell r="I2349">
            <v>2025</v>
          </cell>
          <cell r="J2349" t="str">
            <v>B</v>
          </cell>
          <cell r="K2349" t="str">
            <v>CERRILLOS</v>
          </cell>
          <cell r="L2349" t="str">
            <v>Calle Uno 7371</v>
          </cell>
          <cell r="M2349" t="str">
            <v>Cerrillos</v>
          </cell>
          <cell r="N2349" t="str">
            <v>B</v>
          </cell>
        </row>
        <row r="2350">
          <cell r="B2350" t="str">
            <v>VGBW98</v>
          </cell>
          <cell r="C2350" t="str">
            <v>MDN35025010099</v>
          </cell>
          <cell r="D2350" t="str">
            <v>LDYECS317S0043837</v>
          </cell>
          <cell r="E2350" t="str">
            <v>Zhong Tong</v>
          </cell>
          <cell r="F2350" t="str">
            <v>Lck6122evg</v>
          </cell>
          <cell r="G2350" t="str">
            <v>ZHONGTONG</v>
          </cell>
          <cell r="H2350" t="str">
            <v>LCK6122EVG</v>
          </cell>
          <cell r="I2350">
            <v>2025</v>
          </cell>
          <cell r="J2350" t="str">
            <v>B</v>
          </cell>
          <cell r="K2350" t="str">
            <v>SAN ALFONSO</v>
          </cell>
          <cell r="L2350" t="str">
            <v>San Alfonso 2141 (Ramón Subercaseaux 3060)</v>
          </cell>
          <cell r="M2350" t="str">
            <v>Estacion Central</v>
          </cell>
          <cell r="N2350" t="str">
            <v>B</v>
          </cell>
        </row>
        <row r="2351">
          <cell r="B2351" t="str">
            <v>VGBW99</v>
          </cell>
          <cell r="C2351" t="str">
            <v>MDN35025020081</v>
          </cell>
          <cell r="D2351" t="str">
            <v>LDYECS313S0043852</v>
          </cell>
          <cell r="E2351" t="str">
            <v>Zhong Tong</v>
          </cell>
          <cell r="F2351" t="str">
            <v>Lck6122evg</v>
          </cell>
          <cell r="G2351" t="str">
            <v>ZHONGTONG</v>
          </cell>
          <cell r="H2351" t="str">
            <v>LCK6122EVG</v>
          </cell>
          <cell r="I2351">
            <v>2025</v>
          </cell>
          <cell r="J2351" t="str">
            <v>B</v>
          </cell>
          <cell r="K2351" t="str">
            <v>SAN ALFONSO</v>
          </cell>
          <cell r="L2351" t="str">
            <v>San Alfonso 2141 (Ramón Subercaseaux 3060)</v>
          </cell>
          <cell r="M2351" t="str">
            <v>Estacion Central</v>
          </cell>
          <cell r="N2351" t="str">
            <v>B</v>
          </cell>
        </row>
        <row r="2352">
          <cell r="B2352" t="str">
            <v>VGBX29</v>
          </cell>
          <cell r="C2352" t="str">
            <v>MDN35025010250</v>
          </cell>
          <cell r="D2352" t="str">
            <v>LDYECS316S0043845</v>
          </cell>
          <cell r="E2352" t="str">
            <v>Zhong Tong</v>
          </cell>
          <cell r="F2352" t="str">
            <v>Lck6122evg</v>
          </cell>
          <cell r="G2352" t="str">
            <v>ZHONGTONG</v>
          </cell>
          <cell r="H2352" t="str">
            <v>LCK6122EVG</v>
          </cell>
          <cell r="I2352">
            <v>2025</v>
          </cell>
          <cell r="J2352" t="str">
            <v>B</v>
          </cell>
          <cell r="K2352" t="str">
            <v>PIE ANDINO</v>
          </cell>
          <cell r="L2352" t="str">
            <v>Pie Andino 31 (Pie Andino 383)</v>
          </cell>
          <cell r="M2352" t="str">
            <v>Puente Alto</v>
          </cell>
          <cell r="N2352" t="str">
            <v>B</v>
          </cell>
        </row>
        <row r="2353">
          <cell r="B2353" t="str">
            <v>VGBX48</v>
          </cell>
          <cell r="C2353" t="str">
            <v>MDN35025010138</v>
          </cell>
          <cell r="D2353" t="str">
            <v>LDYECS31XS0043850</v>
          </cell>
          <cell r="E2353" t="str">
            <v>Zhong Tong</v>
          </cell>
          <cell r="F2353" t="str">
            <v>Lck6122evg</v>
          </cell>
          <cell r="G2353" t="str">
            <v>ZHONGTONG</v>
          </cell>
          <cell r="H2353" t="str">
            <v>LCK6122EVG</v>
          </cell>
          <cell r="I2353">
            <v>2025</v>
          </cell>
          <cell r="J2353" t="str">
            <v>B</v>
          </cell>
          <cell r="K2353" t="str">
            <v>PIE ANDINO</v>
          </cell>
          <cell r="L2353" t="str">
            <v>Pie Andino 31 (Pie Andino 383)</v>
          </cell>
          <cell r="M2353" t="str">
            <v>Puente Alto</v>
          </cell>
          <cell r="N2353" t="str">
            <v>B</v>
          </cell>
        </row>
        <row r="2354">
          <cell r="B2354" t="str">
            <v>VGBX49</v>
          </cell>
          <cell r="C2354" t="str">
            <v>MDN35025020236</v>
          </cell>
          <cell r="D2354" t="str">
            <v>LDYECS310S0043856</v>
          </cell>
          <cell r="E2354" t="str">
            <v>Zhong Tong</v>
          </cell>
          <cell r="F2354" t="str">
            <v>Lck6122evg</v>
          </cell>
          <cell r="G2354" t="str">
            <v>ZHONGTONG</v>
          </cell>
          <cell r="H2354" t="str">
            <v>LCK6122EVG</v>
          </cell>
          <cell r="I2354">
            <v>2025</v>
          </cell>
          <cell r="J2354" t="str">
            <v>B</v>
          </cell>
          <cell r="K2354" t="str">
            <v>PIE ANDINO</v>
          </cell>
          <cell r="L2354" t="str">
            <v>Pie Andino 31 (Pie Andino 383)</v>
          </cell>
          <cell r="M2354" t="str">
            <v>Puente Alto</v>
          </cell>
          <cell r="N2354" t="str">
            <v>B</v>
          </cell>
        </row>
        <row r="2355">
          <cell r="B2355" t="str">
            <v>VGBX58</v>
          </cell>
          <cell r="C2355" t="str">
            <v>MDN35025010240</v>
          </cell>
          <cell r="D2355" t="str">
            <v>LDYECS317S0043840</v>
          </cell>
          <cell r="E2355" t="str">
            <v>Zhong Tong</v>
          </cell>
          <cell r="F2355" t="str">
            <v>Lck6122evg</v>
          </cell>
          <cell r="G2355" t="str">
            <v>ZHONGTONG</v>
          </cell>
          <cell r="H2355" t="str">
            <v>LCK6122EVG</v>
          </cell>
          <cell r="I2355">
            <v>2025</v>
          </cell>
          <cell r="J2355" t="str">
            <v>B</v>
          </cell>
          <cell r="K2355" t="str">
            <v>PIE ANDINO</v>
          </cell>
          <cell r="L2355" t="str">
            <v>Pie Andino 31 (Pie Andino 383)</v>
          </cell>
          <cell r="M2355" t="str">
            <v>Puente Alto</v>
          </cell>
          <cell r="N2355" t="str">
            <v>B</v>
          </cell>
        </row>
        <row r="2356">
          <cell r="B2356" t="str">
            <v>VGBX59</v>
          </cell>
          <cell r="C2356" t="str">
            <v>MDN35025010141</v>
          </cell>
          <cell r="D2356" t="str">
            <v>LDYECS319S0043855</v>
          </cell>
          <cell r="E2356" t="str">
            <v>Zhong Tong</v>
          </cell>
          <cell r="F2356" t="str">
            <v>Lck6122evg</v>
          </cell>
          <cell r="G2356" t="str">
            <v>ZHONGTONG</v>
          </cell>
          <cell r="H2356" t="str">
            <v>LCK6122EVG</v>
          </cell>
          <cell r="I2356">
            <v>2025</v>
          </cell>
          <cell r="J2356" t="str">
            <v>B</v>
          </cell>
          <cell r="K2356" t="str">
            <v>LOS LIBERTADORES</v>
          </cell>
          <cell r="L2356" t="str">
            <v>Los Liberadores 6450, Lote 4A</v>
          </cell>
          <cell r="M2356" t="str">
            <v>Huechuraba</v>
          </cell>
          <cell r="N2356" t="str">
            <v>B</v>
          </cell>
        </row>
        <row r="2357">
          <cell r="B2357" t="str">
            <v>VGBX78</v>
          </cell>
          <cell r="C2357" t="str">
            <v>MDN35025010088</v>
          </cell>
          <cell r="D2357" t="str">
            <v>LDYECS319S0043838</v>
          </cell>
          <cell r="E2357" t="str">
            <v>Zhong Tong</v>
          </cell>
          <cell r="F2357" t="str">
            <v>Lck6122evg</v>
          </cell>
          <cell r="G2357" t="str">
            <v>ZHONGTONG</v>
          </cell>
          <cell r="H2357" t="str">
            <v>LCK6122EVG</v>
          </cell>
          <cell r="I2357">
            <v>2025</v>
          </cell>
          <cell r="J2357" t="str">
            <v>B</v>
          </cell>
          <cell r="K2357" t="str">
            <v>LOS LIBERTADORES</v>
          </cell>
          <cell r="L2357" t="str">
            <v>Los Liberadores 6450, Lote 4A</v>
          </cell>
          <cell r="M2357" t="str">
            <v>Huechuraba</v>
          </cell>
          <cell r="N2357" t="str">
            <v>B</v>
          </cell>
        </row>
        <row r="2358">
          <cell r="B2358" t="str">
            <v>VGCB39</v>
          </cell>
          <cell r="C2358" t="str">
            <v>MDN35025010137</v>
          </cell>
          <cell r="D2358" t="str">
            <v>LDYECS311S0043851</v>
          </cell>
          <cell r="E2358" t="str">
            <v>Zhong Tong</v>
          </cell>
          <cell r="F2358" t="str">
            <v>Lck6122evg</v>
          </cell>
          <cell r="G2358" t="str">
            <v>ZHONGTONG</v>
          </cell>
          <cell r="H2358" t="str">
            <v>LCK6122EVG</v>
          </cell>
          <cell r="I2358">
            <v>2025</v>
          </cell>
          <cell r="J2358" t="str">
            <v>B</v>
          </cell>
          <cell r="K2358" t="str">
            <v>LOS LIBERTADORES</v>
          </cell>
          <cell r="L2358" t="str">
            <v>Los Liberadores 6450, Lote 4A</v>
          </cell>
          <cell r="M2358" t="str">
            <v>Huechuraba</v>
          </cell>
          <cell r="N2358" t="str">
            <v>B</v>
          </cell>
        </row>
        <row r="2359">
          <cell r="B2359" t="str">
            <v>VGCB59</v>
          </cell>
          <cell r="C2359" t="str">
            <v>MDN35025010142</v>
          </cell>
          <cell r="D2359" t="str">
            <v>LDYECS312S0043857</v>
          </cell>
          <cell r="E2359" t="str">
            <v>Zhong Tong</v>
          </cell>
          <cell r="F2359" t="str">
            <v>Lck6122evg</v>
          </cell>
          <cell r="G2359" t="str">
            <v>ZHONGTONG</v>
          </cell>
          <cell r="H2359" t="str">
            <v>LCK6122EVG</v>
          </cell>
          <cell r="I2359">
            <v>2025</v>
          </cell>
          <cell r="J2359" t="str">
            <v>B</v>
          </cell>
          <cell r="K2359" t="str">
            <v>CERRILLOS</v>
          </cell>
          <cell r="L2359" t="str">
            <v>Calle Uno 7371</v>
          </cell>
          <cell r="M2359" t="str">
            <v>Cerrillos</v>
          </cell>
          <cell r="N2359" t="str">
            <v>B</v>
          </cell>
        </row>
        <row r="2360">
          <cell r="B2360" t="str">
            <v>VGKX42</v>
          </cell>
          <cell r="C2360" t="str">
            <v>MDN35025030025</v>
          </cell>
          <cell r="D2360" t="str">
            <v>LDYECS317S0044373</v>
          </cell>
          <cell r="E2360" t="str">
            <v>Zhong Tong</v>
          </cell>
          <cell r="F2360" t="str">
            <v>Lck6122evg</v>
          </cell>
          <cell r="G2360" t="str">
            <v>ZHONGTONG</v>
          </cell>
          <cell r="H2360" t="str">
            <v>LCK6122EVG</v>
          </cell>
          <cell r="I2360">
            <v>2025</v>
          </cell>
          <cell r="J2360" t="str">
            <v>B</v>
          </cell>
          <cell r="K2360" t="str">
            <v>PIE ANDINO</v>
          </cell>
          <cell r="L2360" t="str">
            <v>Pie Andino 31 (Pie Andino 383)</v>
          </cell>
          <cell r="M2360" t="str">
            <v>Puente Alto</v>
          </cell>
          <cell r="N2360" t="str">
            <v>B</v>
          </cell>
        </row>
        <row r="2361">
          <cell r="B2361" t="str">
            <v>VGKX52</v>
          </cell>
          <cell r="C2361" t="str">
            <v>MDN35025030153</v>
          </cell>
          <cell r="D2361" t="str">
            <v>LDYECS310S0044327</v>
          </cell>
          <cell r="E2361" t="str">
            <v>Zhong Tong</v>
          </cell>
          <cell r="F2361" t="str">
            <v>Lck6122evg</v>
          </cell>
          <cell r="G2361" t="str">
            <v>ZHONGTONG</v>
          </cell>
          <cell r="H2361" t="str">
            <v>LCK6122EVG</v>
          </cell>
          <cell r="I2361">
            <v>2025</v>
          </cell>
          <cell r="J2361" t="str">
            <v>B</v>
          </cell>
          <cell r="K2361" t="str">
            <v>SAN ALFONSO</v>
          </cell>
          <cell r="L2361" t="str">
            <v>San Alfonso 2141 (Ramón Subercaseaux 3060)</v>
          </cell>
          <cell r="M2361" t="str">
            <v>Estacion Central</v>
          </cell>
          <cell r="N2361" t="str">
            <v>B</v>
          </cell>
        </row>
        <row r="2362">
          <cell r="B2362" t="str">
            <v>VGKX62</v>
          </cell>
          <cell r="C2362" t="str">
            <v>MDN35025030021</v>
          </cell>
          <cell r="D2362" t="str">
            <v>LDYECS31XS0044304</v>
          </cell>
          <cell r="E2362" t="str">
            <v>Zhong Tong</v>
          </cell>
          <cell r="F2362" t="str">
            <v>Lck6122evg</v>
          </cell>
          <cell r="G2362" t="str">
            <v>ZHONGTONG</v>
          </cell>
          <cell r="H2362" t="str">
            <v>LCK6122EVG</v>
          </cell>
          <cell r="I2362">
            <v>2025</v>
          </cell>
          <cell r="J2362" t="str">
            <v>B</v>
          </cell>
          <cell r="K2362" t="str">
            <v>CERRILLOS</v>
          </cell>
          <cell r="L2362" t="str">
            <v>Calle Uno 7371</v>
          </cell>
          <cell r="M2362" t="str">
            <v>Cerrillos</v>
          </cell>
          <cell r="N2362" t="str">
            <v>B</v>
          </cell>
        </row>
        <row r="2363">
          <cell r="B2363" t="str">
            <v>VGKX82</v>
          </cell>
          <cell r="C2363" t="str">
            <v>MDN35025030136</v>
          </cell>
          <cell r="D2363" t="str">
            <v>LDYECS315S0044324</v>
          </cell>
          <cell r="E2363" t="str">
            <v>Zhong Tong</v>
          </cell>
          <cell r="F2363" t="str">
            <v>Lck6122evg</v>
          </cell>
          <cell r="G2363" t="str">
            <v>ZHONGTONG</v>
          </cell>
          <cell r="H2363" t="str">
            <v>LCK6122EVG</v>
          </cell>
          <cell r="I2363">
            <v>2025</v>
          </cell>
          <cell r="J2363" t="str">
            <v>B</v>
          </cell>
          <cell r="K2363" t="str">
            <v>PIE ANDINO</v>
          </cell>
          <cell r="L2363" t="str">
            <v>Pie Andino 31 (Pie Andino 383)</v>
          </cell>
          <cell r="M2363" t="str">
            <v>Puente Alto</v>
          </cell>
          <cell r="N2363" t="str">
            <v>B</v>
          </cell>
        </row>
        <row r="2364">
          <cell r="B2364" t="str">
            <v>VGKY12</v>
          </cell>
          <cell r="C2364" t="str">
            <v>MDN35025030073</v>
          </cell>
          <cell r="D2364" t="str">
            <v>LDYECS311S0044305</v>
          </cell>
          <cell r="E2364" t="str">
            <v>Zhong Tong</v>
          </cell>
          <cell r="F2364" t="str">
            <v>Lck6122evg</v>
          </cell>
          <cell r="G2364" t="str">
            <v>ZHONGTONG</v>
          </cell>
          <cell r="H2364" t="str">
            <v>LCK6122EVG</v>
          </cell>
          <cell r="I2364">
            <v>2025</v>
          </cell>
          <cell r="J2364" t="str">
            <v>B</v>
          </cell>
          <cell r="K2364" t="str">
            <v>CERRILLOS</v>
          </cell>
          <cell r="L2364" t="str">
            <v>Calle Uno 7371</v>
          </cell>
          <cell r="M2364" t="str">
            <v>Cerrillos</v>
          </cell>
          <cell r="N2364" t="str">
            <v>B</v>
          </cell>
        </row>
        <row r="2365">
          <cell r="B2365" t="str">
            <v>VGKY22</v>
          </cell>
          <cell r="C2365" t="str">
            <v>MDN35025030018</v>
          </cell>
          <cell r="D2365" t="str">
            <v>LDYECS31XS0044383</v>
          </cell>
          <cell r="E2365" t="str">
            <v>Zhong Tong</v>
          </cell>
          <cell r="F2365" t="str">
            <v>Lck6122evg</v>
          </cell>
          <cell r="G2365" t="str">
            <v>ZHONGTONG</v>
          </cell>
          <cell r="H2365" t="str">
            <v>LCK6122EVG</v>
          </cell>
          <cell r="I2365">
            <v>2025</v>
          </cell>
          <cell r="J2365" t="str">
            <v>B</v>
          </cell>
          <cell r="K2365" t="str">
            <v>PIE ANDINO</v>
          </cell>
          <cell r="L2365" t="str">
            <v>Pie Andino 31 (Pie Andino 383)</v>
          </cell>
          <cell r="M2365" t="str">
            <v>Puente Alto</v>
          </cell>
          <cell r="N2365" t="str">
            <v>B</v>
          </cell>
        </row>
        <row r="2366">
          <cell r="B2366" t="str">
            <v>VGKY42</v>
          </cell>
          <cell r="C2366" t="str">
            <v>MDN35025010127</v>
          </cell>
          <cell r="D2366" t="str">
            <v>LDYECS319S0044388</v>
          </cell>
          <cell r="E2366" t="str">
            <v>Zhong Tong</v>
          </cell>
          <cell r="F2366" t="str">
            <v>Lck6122evg</v>
          </cell>
          <cell r="G2366" t="str">
            <v>ZHONGTONG</v>
          </cell>
          <cell r="H2366" t="str">
            <v>LCK6122EVG</v>
          </cell>
          <cell r="I2366">
            <v>2025</v>
          </cell>
          <cell r="J2366" t="str">
            <v>B</v>
          </cell>
          <cell r="K2366" t="str">
            <v>PIE ANDINO</v>
          </cell>
          <cell r="L2366" t="str">
            <v>Pie Andino 31 (Pie Andino 383)</v>
          </cell>
          <cell r="M2366" t="str">
            <v>Puente Alto</v>
          </cell>
          <cell r="N2366" t="str">
            <v>B</v>
          </cell>
        </row>
        <row r="2367">
          <cell r="B2367" t="str">
            <v>VGKY72</v>
          </cell>
          <cell r="C2367" t="str">
            <v>MDN35025030199</v>
          </cell>
          <cell r="D2367" t="str">
            <v>LDYECS317S0044325</v>
          </cell>
          <cell r="E2367" t="str">
            <v>Zhong Tong</v>
          </cell>
          <cell r="F2367" t="str">
            <v>Lck6122evg</v>
          </cell>
          <cell r="G2367" t="str">
            <v>ZHONGTONG</v>
          </cell>
          <cell r="H2367" t="str">
            <v>LCK6122EVG</v>
          </cell>
          <cell r="I2367">
            <v>2025</v>
          </cell>
          <cell r="J2367" t="str">
            <v>B</v>
          </cell>
          <cell r="K2367" t="str">
            <v>PIE ANDINO</v>
          </cell>
          <cell r="L2367" t="str">
            <v>Pie Andino 31 (Pie Andino 383)</v>
          </cell>
          <cell r="M2367" t="str">
            <v>Puente Alto</v>
          </cell>
          <cell r="N2367" t="str">
            <v>B</v>
          </cell>
        </row>
        <row r="2368">
          <cell r="B2368" t="str">
            <v>VGKY82</v>
          </cell>
          <cell r="C2368" t="str">
            <v>MDN35025030042</v>
          </cell>
          <cell r="D2368" t="str">
            <v>LDYECS318S0044379</v>
          </cell>
          <cell r="E2368" t="str">
            <v>Zhong Tong</v>
          </cell>
          <cell r="F2368" t="str">
            <v>Lck6122evg</v>
          </cell>
          <cell r="G2368" t="str">
            <v>ZHONGTONG</v>
          </cell>
          <cell r="H2368" t="str">
            <v>LCK6122EVG</v>
          </cell>
          <cell r="I2368">
            <v>2025</v>
          </cell>
          <cell r="J2368" t="str">
            <v>B</v>
          </cell>
          <cell r="K2368" t="str">
            <v>PIE ANDINO</v>
          </cell>
          <cell r="L2368" t="str">
            <v>Pie Andino 31 (Pie Andino 383)</v>
          </cell>
          <cell r="M2368" t="str">
            <v>Puente Alto</v>
          </cell>
          <cell r="N2368" t="str">
            <v>B</v>
          </cell>
        </row>
        <row r="2369">
          <cell r="B2369" t="str">
            <v>VGKZ62</v>
          </cell>
          <cell r="C2369" t="str">
            <v>MDN35025030041</v>
          </cell>
          <cell r="D2369" t="str">
            <v>LDYECS313S0044385</v>
          </cell>
          <cell r="E2369" t="str">
            <v>Zhong Tong</v>
          </cell>
          <cell r="F2369" t="str">
            <v>Lck6122evg</v>
          </cell>
          <cell r="G2369" t="str">
            <v>ZHONGTONG</v>
          </cell>
          <cell r="H2369" t="str">
            <v>LCK6122EVG</v>
          </cell>
          <cell r="I2369">
            <v>2025</v>
          </cell>
          <cell r="J2369" t="str">
            <v>B</v>
          </cell>
          <cell r="K2369" t="str">
            <v>PIE ANDINO</v>
          </cell>
          <cell r="L2369" t="str">
            <v>Pie Andino 31 (Pie Andino 383)</v>
          </cell>
          <cell r="M2369" t="str">
            <v>Puente Alto</v>
          </cell>
          <cell r="N2369" t="str">
            <v>B</v>
          </cell>
        </row>
        <row r="2370">
          <cell r="B2370" t="str">
            <v>VGKZ82</v>
          </cell>
          <cell r="C2370" t="str">
            <v>MDN35025030011</v>
          </cell>
          <cell r="D2370" t="str">
            <v>LDYECS311S0044384</v>
          </cell>
          <cell r="E2370" t="str">
            <v>Zhong Tong</v>
          </cell>
          <cell r="F2370" t="str">
            <v>Lck6122evg</v>
          </cell>
          <cell r="G2370" t="str">
            <v>ZHONGTONG</v>
          </cell>
          <cell r="H2370" t="str">
            <v>LCK6122EVG</v>
          </cell>
          <cell r="I2370">
            <v>2025</v>
          </cell>
          <cell r="J2370" t="str">
            <v>B</v>
          </cell>
          <cell r="K2370" t="str">
            <v>PIE ANDINO</v>
          </cell>
          <cell r="L2370" t="str">
            <v>Pie Andino 31 (Pie Andino 383)</v>
          </cell>
          <cell r="M2370" t="str">
            <v>Puente Alto</v>
          </cell>
          <cell r="N2370" t="str">
            <v>B</v>
          </cell>
        </row>
        <row r="2371">
          <cell r="B2371" t="str">
            <v>VGKZ92</v>
          </cell>
          <cell r="C2371" t="str">
            <v>MDN35025030056</v>
          </cell>
          <cell r="D2371" t="str">
            <v>LDYECS313S0044371</v>
          </cell>
          <cell r="E2371" t="str">
            <v>Zhong Tong</v>
          </cell>
          <cell r="F2371" t="str">
            <v>Lck6122evg</v>
          </cell>
          <cell r="G2371" t="str">
            <v>ZHONGTONG</v>
          </cell>
          <cell r="H2371" t="str">
            <v>LCK6122EVG</v>
          </cell>
          <cell r="I2371">
            <v>2025</v>
          </cell>
          <cell r="J2371" t="str">
            <v>B</v>
          </cell>
          <cell r="K2371" t="str">
            <v>PIE ANDINO</v>
          </cell>
          <cell r="L2371" t="str">
            <v>Pie Andino 31 (Pie Andino 383)</v>
          </cell>
          <cell r="M2371" t="str">
            <v>Puente Alto</v>
          </cell>
          <cell r="N2371" t="str">
            <v>B</v>
          </cell>
        </row>
        <row r="2372">
          <cell r="B2372" t="str">
            <v>VGLZ33</v>
          </cell>
          <cell r="C2372" t="str">
            <v>LDYECS834S0045636</v>
          </cell>
          <cell r="D2372" t="str">
            <v>MJJ20025010047</v>
          </cell>
          <cell r="E2372" t="str">
            <v>Zhong Tong</v>
          </cell>
          <cell r="F2372" t="str">
            <v>LCK6850evg</v>
          </cell>
          <cell r="G2372" t="str">
            <v>ZHONGTONG</v>
          </cell>
          <cell r="H2372" t="str">
            <v>LCK6850evg</v>
          </cell>
          <cell r="I2372">
            <v>2025</v>
          </cell>
          <cell r="J2372" t="str">
            <v>A</v>
          </cell>
          <cell r="K2372" t="str">
            <v>CERRILLOS</v>
          </cell>
          <cell r="L2372" t="str">
            <v>Calle Uno 7371</v>
          </cell>
          <cell r="M2372" t="str">
            <v>Cerrillos</v>
          </cell>
          <cell r="N2372" t="str">
            <v>A</v>
          </cell>
        </row>
        <row r="2373">
          <cell r="B2373" t="str">
            <v>VGLZ43</v>
          </cell>
          <cell r="C2373" t="str">
            <v>LDYECS832S0045635</v>
          </cell>
          <cell r="D2373" t="str">
            <v>MJJ20025010001</v>
          </cell>
          <cell r="E2373" t="str">
            <v>Zhong Tong</v>
          </cell>
          <cell r="F2373" t="str">
            <v>LCK6850evg</v>
          </cell>
          <cell r="G2373" t="str">
            <v>ZHONGTONG</v>
          </cell>
          <cell r="H2373" t="str">
            <v>LCK6850evg</v>
          </cell>
          <cell r="I2373">
            <v>2025</v>
          </cell>
          <cell r="J2373" t="str">
            <v>A</v>
          </cell>
          <cell r="K2373" t="str">
            <v>CERRILLOS</v>
          </cell>
          <cell r="L2373" t="str">
            <v>Calle Uno 7371</v>
          </cell>
          <cell r="M2373" t="str">
            <v>Cerrillos</v>
          </cell>
          <cell r="N2373" t="str">
            <v>A</v>
          </cell>
        </row>
        <row r="2374">
          <cell r="B2374" t="str">
            <v>VGRB23</v>
          </cell>
          <cell r="C2374" t="str">
            <v>LDYECS836S0045637</v>
          </cell>
          <cell r="D2374" t="str">
            <v>MJJ20025010040</v>
          </cell>
          <cell r="E2374" t="str">
            <v>Zhong Tong</v>
          </cell>
          <cell r="F2374" t="str">
            <v>LCK6850evg</v>
          </cell>
          <cell r="G2374" t="str">
            <v>ZHONGTONG</v>
          </cell>
          <cell r="H2374" t="str">
            <v>LCK6850evg</v>
          </cell>
          <cell r="I2374">
            <v>2025</v>
          </cell>
          <cell r="J2374" t="str">
            <v>A</v>
          </cell>
          <cell r="K2374" t="str">
            <v>CERRILLOS</v>
          </cell>
          <cell r="L2374" t="str">
            <v>Calle Uno 7371</v>
          </cell>
          <cell r="M2374" t="str">
            <v>Cerrillos</v>
          </cell>
          <cell r="N2374" t="str">
            <v>A</v>
          </cell>
        </row>
        <row r="2375">
          <cell r="B2375" t="str">
            <v>VGRB24</v>
          </cell>
          <cell r="C2375" t="str">
            <v>LDYECS83XS0045611</v>
          </cell>
          <cell r="D2375" t="str">
            <v>MJJ20025010028</v>
          </cell>
          <cell r="E2375" t="str">
            <v>Zhong Tong</v>
          </cell>
          <cell r="F2375" t="str">
            <v>LCK6850evg</v>
          </cell>
          <cell r="G2375" t="str">
            <v>ZHONGTONG</v>
          </cell>
          <cell r="H2375" t="str">
            <v>LCK6850evg</v>
          </cell>
          <cell r="I2375">
            <v>2025</v>
          </cell>
          <cell r="J2375" t="str">
            <v>A</v>
          </cell>
          <cell r="K2375" t="str">
            <v>CERRILLOS</v>
          </cell>
          <cell r="L2375" t="str">
            <v>Calle Uno 7371</v>
          </cell>
          <cell r="M2375" t="str">
            <v>Cerrillos</v>
          </cell>
          <cell r="N2375" t="str">
            <v>A</v>
          </cell>
        </row>
        <row r="2376">
          <cell r="B2376" t="str">
            <v>VGRB33</v>
          </cell>
          <cell r="C2376" t="str">
            <v>LDYECS833S0045630</v>
          </cell>
          <cell r="D2376" t="str">
            <v>MJJ20025010012</v>
          </cell>
          <cell r="E2376" t="str">
            <v>Zhong Tong</v>
          </cell>
          <cell r="F2376" t="str">
            <v>LCK6850evg</v>
          </cell>
          <cell r="G2376" t="str">
            <v>ZHONGTONG</v>
          </cell>
          <cell r="H2376" t="str">
            <v>LCK6850evg</v>
          </cell>
          <cell r="I2376">
            <v>2025</v>
          </cell>
          <cell r="J2376" t="str">
            <v>A</v>
          </cell>
          <cell r="K2376" t="str">
            <v>CERRILLOS</v>
          </cell>
          <cell r="L2376" t="str">
            <v>Calle Uno 7371</v>
          </cell>
          <cell r="M2376" t="str">
            <v>Cerrillos</v>
          </cell>
          <cell r="N2376" t="str">
            <v>A</v>
          </cell>
        </row>
        <row r="2377">
          <cell r="B2377" t="str">
            <v>VGRB63</v>
          </cell>
          <cell r="C2377" t="str">
            <v>LDYECS837S0045632</v>
          </cell>
          <cell r="D2377" t="str">
            <v>MJJ20025010003</v>
          </cell>
          <cell r="E2377" t="str">
            <v>Zhong Tong</v>
          </cell>
          <cell r="F2377" t="str">
            <v>LCK6850evg</v>
          </cell>
          <cell r="G2377" t="str">
            <v>ZHONGTONG</v>
          </cell>
          <cell r="H2377" t="str">
            <v>LCK6850evg</v>
          </cell>
          <cell r="I2377">
            <v>2025</v>
          </cell>
          <cell r="J2377" t="str">
            <v>A</v>
          </cell>
          <cell r="K2377" t="str">
            <v>CERRILLOS</v>
          </cell>
          <cell r="L2377" t="str">
            <v>Calle Uno 7371</v>
          </cell>
          <cell r="M2377" t="str">
            <v>Cerrillos</v>
          </cell>
          <cell r="N2377" t="str">
            <v>A</v>
          </cell>
        </row>
        <row r="2378">
          <cell r="B2378" t="str">
            <v>VGRB73</v>
          </cell>
          <cell r="C2378" t="str">
            <v>LDYECS833S0045627</v>
          </cell>
          <cell r="D2378" t="str">
            <v>MJJ20025010013</v>
          </cell>
          <cell r="E2378" t="str">
            <v>Zhong Tong</v>
          </cell>
          <cell r="F2378" t="str">
            <v>LCK6850evg</v>
          </cell>
          <cell r="G2378" t="str">
            <v>ZHONGTONG</v>
          </cell>
          <cell r="H2378" t="str">
            <v>LCK6850evg</v>
          </cell>
          <cell r="I2378">
            <v>2025</v>
          </cell>
          <cell r="J2378" t="str">
            <v>A</v>
          </cell>
          <cell r="K2378" t="str">
            <v>CERRILLOS</v>
          </cell>
          <cell r="L2378" t="str">
            <v>Calle Uno 7371</v>
          </cell>
          <cell r="M2378" t="str">
            <v>Cerrillos</v>
          </cell>
          <cell r="N2378" t="str">
            <v>A</v>
          </cell>
        </row>
        <row r="2379">
          <cell r="B2379" t="str">
            <v>VGRB93</v>
          </cell>
          <cell r="C2379" t="str">
            <v>LDYECS839S0045633</v>
          </cell>
          <cell r="D2379" t="str">
            <v>MJJ20025010010</v>
          </cell>
          <cell r="E2379" t="str">
            <v>Zhong Tong</v>
          </cell>
          <cell r="F2379" t="str">
            <v>LCK6850evg</v>
          </cell>
          <cell r="G2379" t="str">
            <v>ZHONGTONG</v>
          </cell>
          <cell r="H2379" t="str">
            <v>LCK6850evg</v>
          </cell>
          <cell r="I2379">
            <v>2025</v>
          </cell>
          <cell r="J2379" t="str">
            <v>A</v>
          </cell>
          <cell r="K2379" t="str">
            <v>CERRILLOS</v>
          </cell>
          <cell r="L2379" t="str">
            <v>Calle Uno 7371</v>
          </cell>
          <cell r="M2379" t="str">
            <v>Cerrillos</v>
          </cell>
          <cell r="N2379" t="str">
            <v>A</v>
          </cell>
        </row>
        <row r="2380">
          <cell r="B2380" t="str">
            <v>VGRC13</v>
          </cell>
          <cell r="C2380" t="str">
            <v>LDYECS830S0045648</v>
          </cell>
          <cell r="D2380" t="str">
            <v>MJJ20025010016</v>
          </cell>
          <cell r="E2380" t="str">
            <v>Zhong Tong</v>
          </cell>
          <cell r="F2380" t="str">
            <v>LCK6850evg</v>
          </cell>
          <cell r="G2380" t="str">
            <v>ZHONGTONG</v>
          </cell>
          <cell r="H2380" t="str">
            <v>LCK6850evg</v>
          </cell>
          <cell r="I2380">
            <v>2025</v>
          </cell>
          <cell r="J2380" t="str">
            <v>A</v>
          </cell>
          <cell r="K2380" t="str">
            <v>CERRILLOS</v>
          </cell>
          <cell r="L2380" t="str">
            <v>Calle Uno 7371</v>
          </cell>
          <cell r="M2380" t="str">
            <v>Cerrillos</v>
          </cell>
          <cell r="N2380" t="str">
            <v>A</v>
          </cell>
        </row>
        <row r="2381">
          <cell r="B2381" t="str">
            <v>VGRC23</v>
          </cell>
          <cell r="C2381" t="str">
            <v>LDYECS838S0045624</v>
          </cell>
          <cell r="D2381" t="str">
            <v>MJJ20025010023</v>
          </cell>
          <cell r="E2381" t="str">
            <v>Zhong Tong</v>
          </cell>
          <cell r="F2381" t="str">
            <v>LCK6850evg</v>
          </cell>
          <cell r="G2381" t="str">
            <v>ZHONGTONG</v>
          </cell>
          <cell r="H2381" t="str">
            <v>LCK6850evg</v>
          </cell>
          <cell r="I2381">
            <v>2025</v>
          </cell>
          <cell r="J2381" t="str">
            <v>A</v>
          </cell>
          <cell r="K2381" t="str">
            <v>CERRILLOS</v>
          </cell>
          <cell r="L2381" t="str">
            <v>Calle Uno 7371</v>
          </cell>
          <cell r="M2381" t="str">
            <v>Cerrillos</v>
          </cell>
          <cell r="N2381" t="str">
            <v>A</v>
          </cell>
        </row>
        <row r="2382">
          <cell r="B2382" t="str">
            <v>VGRC33</v>
          </cell>
          <cell r="C2382" t="str">
            <v>LDYECS835S0045631</v>
          </cell>
          <cell r="D2382" t="str">
            <v>MJJ20025010015</v>
          </cell>
          <cell r="E2382" t="str">
            <v>Zhong Tong</v>
          </cell>
          <cell r="F2382" t="str">
            <v>LCK6850evg</v>
          </cell>
          <cell r="G2382" t="str">
            <v>ZHONGTONG</v>
          </cell>
          <cell r="H2382" t="str">
            <v>LCK6850evg</v>
          </cell>
          <cell r="I2382">
            <v>2025</v>
          </cell>
          <cell r="J2382" t="str">
            <v>A</v>
          </cell>
          <cell r="K2382" t="str">
            <v>CERRILLOS</v>
          </cell>
          <cell r="L2382" t="str">
            <v>Calle Uno 7371</v>
          </cell>
          <cell r="M2382" t="str">
            <v>Cerrillos</v>
          </cell>
          <cell r="N2382" t="str">
            <v>A</v>
          </cell>
        </row>
        <row r="2383">
          <cell r="B2383" t="str">
            <v>VGRC43</v>
          </cell>
          <cell r="C2383" t="str">
            <v>LDYECS83XS0045639</v>
          </cell>
          <cell r="D2383" t="str">
            <v>MJJ20025010020</v>
          </cell>
          <cell r="E2383" t="str">
            <v>Zhong Tong</v>
          </cell>
          <cell r="F2383" t="str">
            <v>LCK6850evg</v>
          </cell>
          <cell r="G2383" t="str">
            <v>ZHONGTONG</v>
          </cell>
          <cell r="H2383" t="str">
            <v>LCK6850evg</v>
          </cell>
          <cell r="I2383">
            <v>2025</v>
          </cell>
          <cell r="J2383" t="str">
            <v>A</v>
          </cell>
          <cell r="K2383" t="str">
            <v>CERRILLOS</v>
          </cell>
          <cell r="L2383" t="str">
            <v>Calle Uno 7371</v>
          </cell>
          <cell r="M2383" t="str">
            <v>Cerrillos</v>
          </cell>
          <cell r="N2383" t="str">
            <v>A</v>
          </cell>
        </row>
        <row r="2384">
          <cell r="B2384" t="str">
            <v>VGRC53</v>
          </cell>
          <cell r="C2384" t="str">
            <v>LDYECS831S0045626</v>
          </cell>
          <cell r="D2384" t="str">
            <v>MJJ20025010058</v>
          </cell>
          <cell r="E2384" t="str">
            <v>Zhong Tong</v>
          </cell>
          <cell r="F2384" t="str">
            <v>LCK6850evg</v>
          </cell>
          <cell r="G2384" t="str">
            <v>ZHONGTONG</v>
          </cell>
          <cell r="H2384" t="str">
            <v>LCK6850evg</v>
          </cell>
          <cell r="I2384">
            <v>2025</v>
          </cell>
          <cell r="J2384" t="str">
            <v>A</v>
          </cell>
          <cell r="K2384" t="str">
            <v>CERRILLOS</v>
          </cell>
          <cell r="L2384" t="str">
            <v>Calle Uno 7371</v>
          </cell>
          <cell r="M2384" t="str">
            <v>Cerrillos</v>
          </cell>
          <cell r="N2384" t="str">
            <v>A</v>
          </cell>
        </row>
        <row r="2385">
          <cell r="B2385" t="str">
            <v>VGRC73</v>
          </cell>
          <cell r="C2385" t="str">
            <v>LDYECS833S0045644</v>
          </cell>
          <cell r="D2385" t="str">
            <v>MJJ20025010033</v>
          </cell>
          <cell r="E2385" t="str">
            <v>Zhong Tong</v>
          </cell>
          <cell r="F2385" t="str">
            <v>LCK6850evg</v>
          </cell>
          <cell r="G2385" t="str">
            <v>ZHONGTONG</v>
          </cell>
          <cell r="H2385" t="str">
            <v>LCK6850evg</v>
          </cell>
          <cell r="I2385">
            <v>2025</v>
          </cell>
          <cell r="J2385" t="str">
            <v>A</v>
          </cell>
          <cell r="K2385" t="str">
            <v>CERRILLOS</v>
          </cell>
          <cell r="L2385" t="str">
            <v>Calle Uno 7371</v>
          </cell>
          <cell r="M2385" t="str">
            <v>Cerrillos</v>
          </cell>
          <cell r="N2385" t="str">
            <v>A</v>
          </cell>
        </row>
        <row r="2386">
          <cell r="B2386" t="str">
            <v>VGRC83</v>
          </cell>
          <cell r="C2386" t="str">
            <v>LDYECS837S0045646</v>
          </cell>
          <cell r="D2386" t="str">
            <v>MJJ20025010007</v>
          </cell>
          <cell r="E2386" t="str">
            <v>Zhong Tong</v>
          </cell>
          <cell r="F2386" t="str">
            <v>LCK6850evg</v>
          </cell>
          <cell r="G2386" t="str">
            <v>ZHONGTONG</v>
          </cell>
          <cell r="H2386" t="str">
            <v>LCK6850evg</v>
          </cell>
          <cell r="I2386">
            <v>2025</v>
          </cell>
          <cell r="J2386" t="str">
            <v>A</v>
          </cell>
          <cell r="K2386" t="str">
            <v>CERRILLOS</v>
          </cell>
          <cell r="L2386" t="str">
            <v>Calle Uno 7371</v>
          </cell>
          <cell r="M2386" t="str">
            <v>Cerrillos</v>
          </cell>
          <cell r="N2386" t="str">
            <v>A</v>
          </cell>
        </row>
        <row r="2387">
          <cell r="B2387" t="str">
            <v>VGRC93</v>
          </cell>
          <cell r="C2387" t="str">
            <v>LDYECS836S0045640</v>
          </cell>
          <cell r="D2387" t="str">
            <v>MJJ20025010019</v>
          </cell>
          <cell r="E2387" t="str">
            <v>Zhong Tong</v>
          </cell>
          <cell r="F2387" t="str">
            <v>LCK6850evg</v>
          </cell>
          <cell r="G2387" t="str">
            <v>ZHONGTONG</v>
          </cell>
          <cell r="H2387" t="str">
            <v>LCK6850evg</v>
          </cell>
          <cell r="I2387">
            <v>2025</v>
          </cell>
          <cell r="J2387" t="str">
            <v>A</v>
          </cell>
          <cell r="K2387" t="str">
            <v>CERRILLOS</v>
          </cell>
          <cell r="L2387" t="str">
            <v>Calle Uno 7371</v>
          </cell>
          <cell r="M2387" t="str">
            <v>Cerrillos</v>
          </cell>
          <cell r="N2387" t="str">
            <v>A</v>
          </cell>
        </row>
        <row r="2388">
          <cell r="B2388" t="str">
            <v>VGRD25</v>
          </cell>
          <cell r="C2388" t="str">
            <v>LDYECS83XS0045625</v>
          </cell>
          <cell r="D2388" t="str">
            <v>MJJ20025010014</v>
          </cell>
          <cell r="E2388" t="str">
            <v>Zhong Tong</v>
          </cell>
          <cell r="F2388" t="str">
            <v>LCK6850evg</v>
          </cell>
          <cell r="G2388" t="str">
            <v>ZHONGTONG</v>
          </cell>
          <cell r="H2388" t="str">
            <v>LCK6850evg</v>
          </cell>
          <cell r="I2388">
            <v>2025</v>
          </cell>
          <cell r="J2388" t="str">
            <v>A</v>
          </cell>
          <cell r="K2388" t="str">
            <v>CERRILLOS</v>
          </cell>
          <cell r="L2388" t="str">
            <v>Calle Uno 7371</v>
          </cell>
          <cell r="M2388" t="str">
            <v>Cerrillos</v>
          </cell>
          <cell r="N2388" t="str">
            <v>A</v>
          </cell>
        </row>
        <row r="2389">
          <cell r="B2389" t="str">
            <v>VGRD35</v>
          </cell>
          <cell r="C2389" t="str">
            <v>LDYECS832S0045599</v>
          </cell>
          <cell r="D2389" t="str">
            <v>MJJ20025010048</v>
          </cell>
          <cell r="E2389" t="str">
            <v>Zhong Tong</v>
          </cell>
          <cell r="F2389" t="str">
            <v>LCK6850evg</v>
          </cell>
          <cell r="G2389" t="str">
            <v>ZHONGTONG</v>
          </cell>
          <cell r="H2389" t="str">
            <v>LCK6850evg</v>
          </cell>
          <cell r="I2389">
            <v>2025</v>
          </cell>
          <cell r="J2389" t="str">
            <v>A</v>
          </cell>
          <cell r="K2389" t="str">
            <v>CERRILLOS</v>
          </cell>
          <cell r="L2389" t="str">
            <v>Calle Uno 7371</v>
          </cell>
          <cell r="M2389" t="str">
            <v>Cerrillos</v>
          </cell>
          <cell r="N2389" t="str">
            <v>A</v>
          </cell>
        </row>
        <row r="2390">
          <cell r="B2390" t="str">
            <v>VGRD55</v>
          </cell>
          <cell r="C2390" t="str">
            <v>LDYECS836S0045602</v>
          </cell>
          <cell r="D2390" t="str">
            <v>MJJ20025010046</v>
          </cell>
          <cell r="E2390" t="str">
            <v>Zhong Tong</v>
          </cell>
          <cell r="F2390" t="str">
            <v>LCK6850evg</v>
          </cell>
          <cell r="G2390" t="str">
            <v>ZHONGTONG</v>
          </cell>
          <cell r="H2390" t="str">
            <v>LCK6850evg</v>
          </cell>
          <cell r="I2390">
            <v>2025</v>
          </cell>
          <cell r="J2390" t="str">
            <v>A</v>
          </cell>
          <cell r="K2390" t="str">
            <v>CERRILLOS</v>
          </cell>
          <cell r="L2390" t="str">
            <v>Calle Uno 7371</v>
          </cell>
          <cell r="M2390" t="str">
            <v>Cerrillos</v>
          </cell>
          <cell r="N2390" t="str">
            <v>A</v>
          </cell>
        </row>
        <row r="2391">
          <cell r="B2391" t="str">
            <v>VGRF45</v>
          </cell>
          <cell r="C2391" t="str">
            <v>LDYECS837S0045629</v>
          </cell>
          <cell r="D2391" t="str">
            <v>MJJ20025010011</v>
          </cell>
          <cell r="E2391" t="str">
            <v>Zhong Tong</v>
          </cell>
          <cell r="F2391" t="str">
            <v>LCK6850evg</v>
          </cell>
          <cell r="G2391" t="str">
            <v>ZHONGTONG</v>
          </cell>
          <cell r="H2391" t="str">
            <v>LCK6850evg</v>
          </cell>
          <cell r="I2391">
            <v>2025</v>
          </cell>
          <cell r="J2391" t="str">
            <v>A</v>
          </cell>
          <cell r="K2391" t="str">
            <v>CERRILLOS</v>
          </cell>
          <cell r="L2391" t="str">
            <v>Calle Uno 7371</v>
          </cell>
          <cell r="M2391" t="str">
            <v>Cerrillos</v>
          </cell>
          <cell r="N2391" t="str">
            <v>A</v>
          </cell>
        </row>
        <row r="2392">
          <cell r="B2392" t="str">
            <v>VGRF55</v>
          </cell>
          <cell r="C2392" t="str">
            <v>LDYECS839S0045616</v>
          </cell>
          <cell r="D2392" t="str">
            <v>MJJ20025010037</v>
          </cell>
          <cell r="E2392" t="str">
            <v>Zhong Tong</v>
          </cell>
          <cell r="F2392" t="str">
            <v>LCK6850evg</v>
          </cell>
          <cell r="G2392" t="str">
            <v>ZHONGTONG</v>
          </cell>
          <cell r="H2392" t="str">
            <v>LCK6850evg</v>
          </cell>
          <cell r="I2392">
            <v>2025</v>
          </cell>
          <cell r="J2392" t="str">
            <v>A</v>
          </cell>
          <cell r="K2392" t="str">
            <v>CERRILLOS</v>
          </cell>
          <cell r="L2392" t="str">
            <v>Calle Uno 7371</v>
          </cell>
          <cell r="M2392" t="str">
            <v>Cerrillos</v>
          </cell>
          <cell r="N2392" t="str">
            <v>A</v>
          </cell>
        </row>
        <row r="2393">
          <cell r="B2393" t="str">
            <v>VGRF65</v>
          </cell>
          <cell r="C2393" t="str">
            <v>LDYECS838S0045610</v>
          </cell>
          <cell r="D2393" t="str">
            <v>MJJ20025030024</v>
          </cell>
          <cell r="E2393" t="str">
            <v>Zhong Tong</v>
          </cell>
          <cell r="F2393" t="str">
            <v>LCK6850evg</v>
          </cell>
          <cell r="G2393" t="str">
            <v>ZHONGTONG</v>
          </cell>
          <cell r="H2393" t="str">
            <v>LCK6850evg</v>
          </cell>
          <cell r="I2393">
            <v>2025</v>
          </cell>
          <cell r="J2393" t="str">
            <v>A</v>
          </cell>
          <cell r="K2393" t="str">
            <v>CERRILLOS</v>
          </cell>
          <cell r="L2393" t="str">
            <v>Calle Uno 7371</v>
          </cell>
          <cell r="M2393" t="str">
            <v>Cerrillos</v>
          </cell>
          <cell r="N2393" t="str">
            <v>A</v>
          </cell>
        </row>
        <row r="2394">
          <cell r="B2394" t="str">
            <v>VGRF75</v>
          </cell>
          <cell r="C2394" t="str">
            <v>LDYECS830S0045620</v>
          </cell>
          <cell r="D2394" t="str">
            <v>MJJ20025010025</v>
          </cell>
          <cell r="E2394" t="str">
            <v>Zhong Tong</v>
          </cell>
          <cell r="F2394" t="str">
            <v>LCK6850evg</v>
          </cell>
          <cell r="G2394" t="str">
            <v>ZHONGTONG</v>
          </cell>
          <cell r="H2394" t="str">
            <v>LCK6850evg</v>
          </cell>
          <cell r="I2394">
            <v>2025</v>
          </cell>
          <cell r="J2394" t="str">
            <v>A</v>
          </cell>
          <cell r="K2394" t="str">
            <v>CERRILLOS</v>
          </cell>
          <cell r="L2394" t="str">
            <v>Calle Uno 7371</v>
          </cell>
          <cell r="M2394" t="str">
            <v>Cerrillos</v>
          </cell>
          <cell r="N2394" t="str">
            <v>A</v>
          </cell>
        </row>
        <row r="2395">
          <cell r="B2395" t="str">
            <v>VGRF84</v>
          </cell>
          <cell r="C2395" t="str">
            <v>LDYECS832S0045618</v>
          </cell>
          <cell r="D2395" t="str">
            <v>MJJ20025010030</v>
          </cell>
          <cell r="E2395" t="str">
            <v>Zhong Tong</v>
          </cell>
          <cell r="F2395" t="str">
            <v>LCK6850evg</v>
          </cell>
          <cell r="G2395" t="str">
            <v>ZHONGTONG</v>
          </cell>
          <cell r="H2395" t="str">
            <v>LCK6850evg</v>
          </cell>
          <cell r="I2395">
            <v>2025</v>
          </cell>
          <cell r="J2395" t="str">
            <v>A</v>
          </cell>
          <cell r="K2395" t="str">
            <v>CERRILLOS</v>
          </cell>
          <cell r="L2395" t="str">
            <v>Calle Uno 7371</v>
          </cell>
          <cell r="M2395" t="str">
            <v>Cerrillos</v>
          </cell>
          <cell r="N2395" t="str">
            <v>A</v>
          </cell>
        </row>
        <row r="2396">
          <cell r="B2396" t="str">
            <v>VGRF85</v>
          </cell>
          <cell r="C2396" t="str">
            <v>LDYECS831S0045609</v>
          </cell>
          <cell r="D2396" t="str">
            <v>MJJ20025010029</v>
          </cell>
          <cell r="E2396" t="str">
            <v>Zhong Tong</v>
          </cell>
          <cell r="F2396" t="str">
            <v>LCK6850evg</v>
          </cell>
          <cell r="G2396" t="str">
            <v>ZHONGTONG</v>
          </cell>
          <cell r="H2396" t="str">
            <v>LCK6850evg</v>
          </cell>
          <cell r="I2396">
            <v>2025</v>
          </cell>
          <cell r="J2396" t="str">
            <v>A</v>
          </cell>
          <cell r="K2396" t="str">
            <v>CERRILLOS</v>
          </cell>
          <cell r="L2396" t="str">
            <v>Calle Uno 7371</v>
          </cell>
          <cell r="M2396" t="str">
            <v>Cerrillos</v>
          </cell>
          <cell r="N2396" t="str">
            <v>A</v>
          </cell>
        </row>
        <row r="2397">
          <cell r="B2397" t="str">
            <v>VGRF94</v>
          </cell>
          <cell r="C2397" t="str">
            <v>LDYECS830S0045634</v>
          </cell>
          <cell r="D2397" t="str">
            <v>MJJ20025010004</v>
          </cell>
          <cell r="E2397" t="str">
            <v>Zhong Tong</v>
          </cell>
          <cell r="F2397" t="str">
            <v>LCK6850evg</v>
          </cell>
          <cell r="G2397" t="str">
            <v>ZHONGTONG</v>
          </cell>
          <cell r="H2397" t="str">
            <v>LCK6850evg</v>
          </cell>
          <cell r="I2397">
            <v>2025</v>
          </cell>
          <cell r="J2397" t="str">
            <v>A</v>
          </cell>
          <cell r="K2397" t="str">
            <v>CERRILLOS</v>
          </cell>
          <cell r="L2397" t="str">
            <v>Calle Uno 7371</v>
          </cell>
          <cell r="M2397" t="str">
            <v>Cerrillos</v>
          </cell>
          <cell r="N2397" t="str">
            <v>A</v>
          </cell>
        </row>
        <row r="2398">
          <cell r="B2398" t="str">
            <v>VGRG14</v>
          </cell>
          <cell r="C2398" t="str">
            <v>LDYECS834S0045622</v>
          </cell>
          <cell r="D2398" t="str">
            <v>MJJ20025030025</v>
          </cell>
          <cell r="E2398" t="str">
            <v>Zhong Tong</v>
          </cell>
          <cell r="F2398" t="str">
            <v>LCK6850evg</v>
          </cell>
          <cell r="G2398" t="str">
            <v>ZHONGTONG</v>
          </cell>
          <cell r="H2398" t="str">
            <v>LCK6850evg</v>
          </cell>
          <cell r="I2398">
            <v>2025</v>
          </cell>
          <cell r="J2398" t="str">
            <v>A</v>
          </cell>
          <cell r="K2398" t="str">
            <v>CERRILLOS</v>
          </cell>
          <cell r="L2398" t="str">
            <v>Calle Uno 7371</v>
          </cell>
          <cell r="M2398" t="str">
            <v>Cerrillos</v>
          </cell>
          <cell r="N2398" t="str">
            <v>A</v>
          </cell>
        </row>
        <row r="2399">
          <cell r="B2399" t="str">
            <v>VGRG24</v>
          </cell>
          <cell r="C2399" t="str">
            <v>LDYECS831S0045612</v>
          </cell>
          <cell r="D2399" t="str">
            <v>MJJ20025010043</v>
          </cell>
          <cell r="E2399" t="str">
            <v>Zhong Tong</v>
          </cell>
          <cell r="F2399" t="str">
            <v>LCK6850evg</v>
          </cell>
          <cell r="G2399" t="str">
            <v>ZHONGTONG</v>
          </cell>
          <cell r="H2399" t="str">
            <v>LCK6850evg</v>
          </cell>
          <cell r="I2399">
            <v>2025</v>
          </cell>
          <cell r="J2399" t="str">
            <v>A</v>
          </cell>
          <cell r="K2399" t="str">
            <v>CERRILLOS</v>
          </cell>
          <cell r="L2399" t="str">
            <v>Calle Uno 7371</v>
          </cell>
          <cell r="M2399" t="str">
            <v>Cerrillos</v>
          </cell>
          <cell r="N2399" t="str">
            <v>A</v>
          </cell>
        </row>
        <row r="2400">
          <cell r="B2400" t="str">
            <v>VGRG34</v>
          </cell>
          <cell r="C2400" t="str">
            <v>LDYECS834S0045619</v>
          </cell>
          <cell r="D2400" t="str">
            <v>MJJ2002503018</v>
          </cell>
          <cell r="E2400" t="str">
            <v>Zhong Tong</v>
          </cell>
          <cell r="F2400" t="str">
            <v>LCK6850evg</v>
          </cell>
          <cell r="G2400" t="str">
            <v>ZHONGTONG</v>
          </cell>
          <cell r="H2400" t="str">
            <v>LCK6850evg</v>
          </cell>
          <cell r="I2400">
            <v>2025</v>
          </cell>
          <cell r="J2400" t="str">
            <v>A</v>
          </cell>
          <cell r="K2400" t="str">
            <v>CERRILLOS</v>
          </cell>
          <cell r="L2400" t="str">
            <v>Calle Uno 7371</v>
          </cell>
          <cell r="M2400" t="str">
            <v>Cerrillos</v>
          </cell>
          <cell r="N2400" t="str">
            <v>A</v>
          </cell>
        </row>
        <row r="2401">
          <cell r="B2401" t="str">
            <v>VGRG44</v>
          </cell>
          <cell r="C2401" t="str">
            <v>LDYECS83XS0045608</v>
          </cell>
          <cell r="D2401" t="str">
            <v>MJJ20025030023</v>
          </cell>
          <cell r="E2401" t="str">
            <v>Zhong Tong</v>
          </cell>
          <cell r="F2401" t="str">
            <v>LCK6850evg</v>
          </cell>
          <cell r="G2401" t="str">
            <v>ZHONGTONG</v>
          </cell>
          <cell r="H2401" t="str">
            <v>LCK6850evg</v>
          </cell>
          <cell r="I2401">
            <v>2025</v>
          </cell>
          <cell r="J2401" t="str">
            <v>A</v>
          </cell>
          <cell r="K2401" t="str">
            <v>CERRILLOS</v>
          </cell>
          <cell r="L2401" t="str">
            <v>Calle Uno 7371</v>
          </cell>
          <cell r="M2401" t="str">
            <v>Cerrillos</v>
          </cell>
          <cell r="N2401" t="str">
            <v>A</v>
          </cell>
        </row>
        <row r="2402">
          <cell r="B2402" t="str">
            <v>VGRG45</v>
          </cell>
          <cell r="C2402" t="str">
            <v>LDYECS832S0045649</v>
          </cell>
          <cell r="D2402" t="str">
            <v>MJJ20025010008</v>
          </cell>
          <cell r="E2402" t="str">
            <v>Zhong Tong</v>
          </cell>
          <cell r="F2402" t="str">
            <v>LCK6850evg</v>
          </cell>
          <cell r="G2402" t="str">
            <v>ZHONGTONG</v>
          </cell>
          <cell r="H2402" t="str">
            <v>LCK6850evg</v>
          </cell>
          <cell r="I2402">
            <v>2025</v>
          </cell>
          <cell r="J2402" t="str">
            <v>A</v>
          </cell>
          <cell r="K2402" t="str">
            <v>CERRILLOS</v>
          </cell>
          <cell r="L2402" t="str">
            <v>Calle Uno 7371</v>
          </cell>
          <cell r="M2402" t="str">
            <v>Cerrillos</v>
          </cell>
          <cell r="N2402" t="str">
            <v>A</v>
          </cell>
        </row>
        <row r="2403">
          <cell r="B2403" t="str">
            <v>VGRG54</v>
          </cell>
          <cell r="C2403" t="str">
            <v>LDYECS836S0045623</v>
          </cell>
          <cell r="D2403" t="str">
            <v>MJJ20025010021</v>
          </cell>
          <cell r="E2403" t="str">
            <v>Zhong Tong</v>
          </cell>
          <cell r="F2403" t="str">
            <v>LCK6850evg</v>
          </cell>
          <cell r="G2403" t="str">
            <v>ZHONGTONG</v>
          </cell>
          <cell r="H2403" t="str">
            <v>LCK6850evg</v>
          </cell>
          <cell r="I2403">
            <v>2025</v>
          </cell>
          <cell r="J2403" t="str">
            <v>A</v>
          </cell>
          <cell r="K2403" t="str">
            <v>CERRILLOS</v>
          </cell>
          <cell r="L2403" t="str">
            <v>Calle Uno 7371</v>
          </cell>
          <cell r="M2403" t="str">
            <v>Cerrillos</v>
          </cell>
          <cell r="N2403" t="str">
            <v>A</v>
          </cell>
        </row>
        <row r="2404">
          <cell r="B2404" t="str">
            <v>VJKD70</v>
          </cell>
          <cell r="C2404" t="str">
            <v>LDYECS312S0044409</v>
          </cell>
          <cell r="D2404" t="str">
            <v>MDN35025030111</v>
          </cell>
          <cell r="E2404" t="str">
            <v>Zhong Thong</v>
          </cell>
          <cell r="F2404" t="str">
            <v>Lck6122evg</v>
          </cell>
          <cell r="G2404" t="str">
            <v>Zhong Thong</v>
          </cell>
          <cell r="H2404" t="str">
            <v>Lck6122evg</v>
          </cell>
          <cell r="I2404">
            <v>2026</v>
          </cell>
          <cell r="J2404" t="str">
            <v>B</v>
          </cell>
          <cell r="K2404" t="str">
            <v>Recoleta</v>
          </cell>
          <cell r="N2404" t="str">
            <v>B</v>
          </cell>
        </row>
        <row r="2405">
          <cell r="B2405" t="str">
            <v>VJKD85</v>
          </cell>
          <cell r="C2405" t="str">
            <v>LDYECS313S0044323</v>
          </cell>
          <cell r="D2405" t="str">
            <v>MDN35025030135</v>
          </cell>
          <cell r="E2405" t="str">
            <v>Zhong Thong</v>
          </cell>
          <cell r="F2405" t="str">
            <v>Lck6122evg</v>
          </cell>
          <cell r="G2405" t="str">
            <v>Zhong Thong</v>
          </cell>
          <cell r="H2405" t="str">
            <v>Lck6122evg</v>
          </cell>
          <cell r="I2405">
            <v>2026</v>
          </cell>
          <cell r="J2405" t="str">
            <v>B</v>
          </cell>
          <cell r="K2405" t="str">
            <v>Recoleta</v>
          </cell>
          <cell r="N2405" t="str">
            <v>B</v>
          </cell>
        </row>
        <row r="2406">
          <cell r="B2406" t="str">
            <v>VJKD94</v>
          </cell>
          <cell r="C2406" t="str">
            <v>LDYECS310S0044392</v>
          </cell>
          <cell r="D2406" t="str">
            <v>MDN35025030180</v>
          </cell>
          <cell r="E2406" t="str">
            <v>Zhong Thong</v>
          </cell>
          <cell r="F2406" t="str">
            <v>Lck6122evg</v>
          </cell>
          <cell r="G2406" t="str">
            <v>Zhong Thong</v>
          </cell>
          <cell r="H2406" t="str">
            <v>Lck6122evg</v>
          </cell>
          <cell r="I2406">
            <v>2026</v>
          </cell>
          <cell r="J2406" t="str">
            <v>B</v>
          </cell>
          <cell r="K2406" t="str">
            <v>Recoleta</v>
          </cell>
          <cell r="N2406" t="str">
            <v>B</v>
          </cell>
        </row>
        <row r="2407">
          <cell r="B2407" t="str">
            <v>VJKF29</v>
          </cell>
          <cell r="C2407" t="str">
            <v>LDYECS311S0044398</v>
          </cell>
          <cell r="D2407" t="str">
            <v>MDN35025030205</v>
          </cell>
          <cell r="E2407" t="str">
            <v>Zhong Thong</v>
          </cell>
          <cell r="F2407" t="str">
            <v>Lck6122evg</v>
          </cell>
          <cell r="G2407" t="str">
            <v>Zhong Thong</v>
          </cell>
          <cell r="H2407" t="str">
            <v>Lck6122evg</v>
          </cell>
          <cell r="I2407">
            <v>2026</v>
          </cell>
          <cell r="J2407" t="str">
            <v>B</v>
          </cell>
          <cell r="K2407" t="str">
            <v>Recoleta</v>
          </cell>
          <cell r="N2407" t="str">
            <v>B</v>
          </cell>
        </row>
        <row r="2408">
          <cell r="B2408" t="str">
            <v>VJKF44</v>
          </cell>
          <cell r="C2408" t="str">
            <v>LDYECS317S0044339</v>
          </cell>
          <cell r="D2408" t="str">
            <v>MDN35025030142</v>
          </cell>
          <cell r="E2408" t="str">
            <v>Zhong Thong</v>
          </cell>
          <cell r="F2408" t="str">
            <v>Lck6122evg</v>
          </cell>
          <cell r="G2408" t="str">
            <v>Zhong Thong</v>
          </cell>
          <cell r="H2408" t="str">
            <v>Lck6122evg</v>
          </cell>
          <cell r="I2408">
            <v>2026</v>
          </cell>
          <cell r="J2408" t="str">
            <v>B</v>
          </cell>
          <cell r="K2408" t="str">
            <v>Lo Blanco</v>
          </cell>
          <cell r="N2408" t="str">
            <v>B</v>
          </cell>
        </row>
        <row r="2409">
          <cell r="B2409" t="str">
            <v>VJKF46</v>
          </cell>
          <cell r="C2409" t="str">
            <v>LDYECS312S0044331</v>
          </cell>
          <cell r="D2409" t="str">
            <v>MDN35025030246</v>
          </cell>
          <cell r="E2409" t="str">
            <v>Zhong Thong</v>
          </cell>
          <cell r="F2409" t="str">
            <v>Lck6122evg</v>
          </cell>
          <cell r="G2409" t="str">
            <v>Zhong Thong</v>
          </cell>
          <cell r="H2409" t="str">
            <v>Lck6122evg</v>
          </cell>
          <cell r="I2409">
            <v>2026</v>
          </cell>
          <cell r="J2409" t="str">
            <v>B</v>
          </cell>
          <cell r="K2409" t="str">
            <v>Recoleta</v>
          </cell>
          <cell r="N2409" t="str">
            <v>B</v>
          </cell>
        </row>
        <row r="2410">
          <cell r="B2410" t="str">
            <v>VJKF55</v>
          </cell>
          <cell r="C2410" t="str">
            <v>LDYECS319S0044407</v>
          </cell>
          <cell r="D2410" t="str">
            <v>MDN35025030112</v>
          </cell>
          <cell r="E2410" t="str">
            <v>Zhong Thong</v>
          </cell>
          <cell r="F2410" t="str">
            <v>Lck6122evg</v>
          </cell>
          <cell r="G2410" t="str">
            <v>Zhong Thong</v>
          </cell>
          <cell r="H2410" t="str">
            <v>Lck6122evg</v>
          </cell>
          <cell r="I2410">
            <v>2026</v>
          </cell>
          <cell r="J2410" t="str">
            <v>B</v>
          </cell>
          <cell r="K2410" t="str">
            <v>Recoleta</v>
          </cell>
          <cell r="N2410" t="str">
            <v>B</v>
          </cell>
        </row>
        <row r="2411">
          <cell r="B2411" t="str">
            <v>VJKF61</v>
          </cell>
          <cell r="C2411" t="str">
            <v>LDYECS313S0044340</v>
          </cell>
          <cell r="D2411" t="str">
            <v>MDN35025010149</v>
          </cell>
          <cell r="E2411" t="str">
            <v>Zhong Thong</v>
          </cell>
          <cell r="F2411" t="str">
            <v>Lck6122evg</v>
          </cell>
          <cell r="G2411" t="str">
            <v>Zhong Thong</v>
          </cell>
          <cell r="H2411" t="str">
            <v>Lck6122evg</v>
          </cell>
          <cell r="I2411">
            <v>2026</v>
          </cell>
          <cell r="J2411" t="str">
            <v>B</v>
          </cell>
          <cell r="K2411" t="str">
            <v>Recoleta</v>
          </cell>
          <cell r="N2411" t="str">
            <v>B</v>
          </cell>
        </row>
        <row r="2412">
          <cell r="B2412" t="str">
            <v>VJKF66</v>
          </cell>
          <cell r="C2412" t="str">
            <v>LDYECS314S0044332</v>
          </cell>
          <cell r="D2412" t="str">
            <v>MDN35025030178</v>
          </cell>
          <cell r="E2412" t="str">
            <v>Zhong Thong</v>
          </cell>
          <cell r="F2412" t="str">
            <v>Lck6122evg</v>
          </cell>
          <cell r="G2412" t="str">
            <v>Zhong Thong</v>
          </cell>
          <cell r="H2412" t="str">
            <v>Lck6122evg</v>
          </cell>
          <cell r="I2412">
            <v>2026</v>
          </cell>
          <cell r="J2412" t="str">
            <v>B</v>
          </cell>
          <cell r="K2412" t="str">
            <v>Recoleta</v>
          </cell>
          <cell r="N2412" t="str">
            <v>B</v>
          </cell>
        </row>
        <row r="2413">
          <cell r="B2413" t="str">
            <v>VJKG16</v>
          </cell>
          <cell r="C2413" t="str">
            <v>LDYECS313S0044399</v>
          </cell>
          <cell r="D2413" t="str">
            <v>MDN35025030198</v>
          </cell>
          <cell r="E2413" t="str">
            <v>Zhong Thong</v>
          </cell>
          <cell r="F2413" t="str">
            <v>Lck6122evg</v>
          </cell>
          <cell r="G2413" t="str">
            <v>Zhong Thong</v>
          </cell>
          <cell r="H2413" t="str">
            <v>Lck6122evg</v>
          </cell>
          <cell r="I2413">
            <v>2026</v>
          </cell>
          <cell r="J2413" t="str">
            <v>B</v>
          </cell>
          <cell r="K2413" t="str">
            <v>Recoleta</v>
          </cell>
          <cell r="N2413" t="str">
            <v>B</v>
          </cell>
        </row>
        <row r="2414">
          <cell r="B2414" t="str">
            <v>VJKG25</v>
          </cell>
          <cell r="C2414" t="str">
            <v>LDYECS313S0044337</v>
          </cell>
          <cell r="D2414" t="str">
            <v>MDN350250138</v>
          </cell>
          <cell r="E2414" t="str">
            <v>Zhong Thong</v>
          </cell>
          <cell r="F2414" t="str">
            <v>Lck6122evg</v>
          </cell>
          <cell r="G2414" t="str">
            <v>Zhong Thong</v>
          </cell>
          <cell r="H2414" t="str">
            <v>Lck6122evg</v>
          </cell>
          <cell r="I2414">
            <v>2026</v>
          </cell>
          <cell r="J2414" t="str">
            <v>B</v>
          </cell>
          <cell r="K2414" t="str">
            <v>Recoleta</v>
          </cell>
          <cell r="N2414" t="str">
            <v>B</v>
          </cell>
        </row>
        <row r="2415">
          <cell r="B2415" t="str">
            <v>VJKG36</v>
          </cell>
          <cell r="C2415" t="str">
            <v>LDYECS313S0044404</v>
          </cell>
          <cell r="D2415" t="str">
            <v>MDN35025030001</v>
          </cell>
          <cell r="E2415" t="str">
            <v>Zhong Thong</v>
          </cell>
          <cell r="F2415" t="str">
            <v>Lck6122evg</v>
          </cell>
          <cell r="G2415" t="str">
            <v>Zhong Thong</v>
          </cell>
          <cell r="H2415" t="str">
            <v>Lck6122evg</v>
          </cell>
          <cell r="I2415">
            <v>2026</v>
          </cell>
          <cell r="J2415" t="str">
            <v>B</v>
          </cell>
          <cell r="K2415" t="str">
            <v>Recoleta</v>
          </cell>
          <cell r="N2415" t="str">
            <v>B</v>
          </cell>
        </row>
        <row r="2416">
          <cell r="B2416" t="str">
            <v>VJKG37</v>
          </cell>
          <cell r="C2416" t="str">
            <v>LDYECS310S0044408</v>
          </cell>
          <cell r="D2416" t="str">
            <v>MDN35025020174</v>
          </cell>
          <cell r="E2416" t="str">
            <v>Zhong Thong</v>
          </cell>
          <cell r="F2416" t="str">
            <v>Lck6122evg</v>
          </cell>
          <cell r="G2416" t="str">
            <v>Zhong Thong</v>
          </cell>
          <cell r="H2416" t="str">
            <v>Lck6122evg</v>
          </cell>
          <cell r="I2416">
            <v>2026</v>
          </cell>
          <cell r="J2416" t="str">
            <v>B</v>
          </cell>
          <cell r="K2416" t="str">
            <v>Ducaud</v>
          </cell>
          <cell r="N2416" t="str">
            <v>B</v>
          </cell>
        </row>
        <row r="2417">
          <cell r="B2417" t="str">
            <v>VJKG66</v>
          </cell>
          <cell r="C2417" t="str">
            <v>LDYECS315S0044405</v>
          </cell>
          <cell r="D2417" t="str">
            <v>MDN35025020253</v>
          </cell>
          <cell r="E2417" t="str">
            <v>Zhong Thong</v>
          </cell>
          <cell r="F2417" t="str">
            <v>Lck6122evg</v>
          </cell>
          <cell r="G2417" t="str">
            <v>Zhong Thong</v>
          </cell>
          <cell r="H2417" t="str">
            <v>Lck6122evg</v>
          </cell>
          <cell r="I2417">
            <v>2026</v>
          </cell>
          <cell r="J2417" t="str">
            <v>B</v>
          </cell>
          <cell r="K2417" t="str">
            <v>Ducaud</v>
          </cell>
          <cell r="N2417" t="str">
            <v>B</v>
          </cell>
        </row>
        <row r="2418">
          <cell r="B2418" t="str">
            <v>VJKG75</v>
          </cell>
          <cell r="C2418" t="str">
            <v>LDYECS316S0044414</v>
          </cell>
          <cell r="D2418" t="str">
            <v>MDN35025020075</v>
          </cell>
          <cell r="E2418" t="str">
            <v>Zhong Thong</v>
          </cell>
          <cell r="F2418" t="str">
            <v>Lck6122evg</v>
          </cell>
          <cell r="G2418" t="str">
            <v>Zhong Thong</v>
          </cell>
          <cell r="H2418" t="str">
            <v>Lck6122evg</v>
          </cell>
          <cell r="I2418">
            <v>2026</v>
          </cell>
          <cell r="J2418" t="str">
            <v>B</v>
          </cell>
          <cell r="K2418" t="str">
            <v>Ducaud</v>
          </cell>
          <cell r="N2418" t="str">
            <v>B</v>
          </cell>
        </row>
        <row r="2419">
          <cell r="B2419" t="str">
            <v>VJKG85</v>
          </cell>
          <cell r="C2419" t="str">
            <v>LDYECS313S0044239</v>
          </cell>
          <cell r="D2419" t="str">
            <v>MDN35025020137</v>
          </cell>
          <cell r="E2419" t="str">
            <v>Zhong Thong</v>
          </cell>
          <cell r="F2419" t="str">
            <v>Lck6122evg</v>
          </cell>
          <cell r="G2419" t="str">
            <v>Zhong Thong</v>
          </cell>
          <cell r="H2419" t="str">
            <v>Lck6122evg</v>
          </cell>
          <cell r="I2419">
            <v>2026</v>
          </cell>
          <cell r="J2419" t="str">
            <v>B</v>
          </cell>
          <cell r="K2419" t="str">
            <v>Ducaud</v>
          </cell>
          <cell r="N2419" t="str">
            <v>B</v>
          </cell>
        </row>
        <row r="2420">
          <cell r="B2420" t="str">
            <v>VJKT45</v>
          </cell>
          <cell r="C2420" t="str">
            <v>LDYECS316S0044381</v>
          </cell>
          <cell r="D2420" t="str">
            <v>MDN35025030006</v>
          </cell>
          <cell r="E2420" t="str">
            <v>Zhong Thong</v>
          </cell>
          <cell r="F2420" t="str">
            <v>Lck6122evg</v>
          </cell>
          <cell r="G2420" t="str">
            <v>Zhong Thong</v>
          </cell>
          <cell r="H2420" t="str">
            <v>Lck6122evg</v>
          </cell>
          <cell r="I2420">
            <v>2026</v>
          </cell>
          <cell r="J2420" t="str">
            <v>B</v>
          </cell>
          <cell r="K2420" t="str">
            <v>Ducaud</v>
          </cell>
          <cell r="N2420" t="str">
            <v>B</v>
          </cell>
        </row>
        <row r="2421">
          <cell r="B2421" t="str">
            <v>VJKT55</v>
          </cell>
          <cell r="C2421" t="str">
            <v>LDYECS311S0044319</v>
          </cell>
          <cell r="D2421" t="str">
            <v>MDN35025010158</v>
          </cell>
          <cell r="E2421" t="str">
            <v>Zhong Thong</v>
          </cell>
          <cell r="F2421" t="str">
            <v>Lck6122evg</v>
          </cell>
          <cell r="G2421" t="str">
            <v>Zhong Thong</v>
          </cell>
          <cell r="H2421" t="str">
            <v>Lck6122evg</v>
          </cell>
          <cell r="I2421">
            <v>2026</v>
          </cell>
          <cell r="J2421" t="str">
            <v>B</v>
          </cell>
          <cell r="K2421" t="str">
            <v>Ducaud</v>
          </cell>
          <cell r="N2421" t="str">
            <v>B</v>
          </cell>
        </row>
        <row r="2422">
          <cell r="B2422" t="str">
            <v>VJKT63</v>
          </cell>
          <cell r="C2422" t="str">
            <v>LDYECS318S0044334</v>
          </cell>
          <cell r="D2422" t="str">
            <v>MDN35025030245</v>
          </cell>
          <cell r="E2422" t="str">
            <v>Zhong Thong</v>
          </cell>
          <cell r="F2422" t="str">
            <v>Lck6122evg</v>
          </cell>
          <cell r="G2422" t="str">
            <v>Zhong Thong</v>
          </cell>
          <cell r="H2422" t="str">
            <v>Lck6122evg</v>
          </cell>
          <cell r="I2422">
            <v>2026</v>
          </cell>
          <cell r="J2422" t="str">
            <v>B</v>
          </cell>
          <cell r="K2422" t="str">
            <v>Ducaud</v>
          </cell>
          <cell r="N2422" t="str">
            <v>B</v>
          </cell>
        </row>
        <row r="2423">
          <cell r="B2423" t="str">
            <v>VJKT83</v>
          </cell>
          <cell r="C2423" t="str">
            <v>LDYECS312S0044328</v>
          </cell>
          <cell r="D2423" t="str">
            <v>MDN35025030204</v>
          </cell>
          <cell r="E2423" t="str">
            <v>Zhong Thong</v>
          </cell>
          <cell r="F2423" t="str">
            <v>Lck6122evg</v>
          </cell>
          <cell r="G2423" t="str">
            <v>Zhong Thong</v>
          </cell>
          <cell r="H2423" t="str">
            <v>Lck6122evg</v>
          </cell>
          <cell r="I2423">
            <v>2026</v>
          </cell>
          <cell r="J2423" t="str">
            <v>B</v>
          </cell>
          <cell r="K2423" t="str">
            <v>Recoleta</v>
          </cell>
          <cell r="N2423" t="str">
            <v>B</v>
          </cell>
        </row>
        <row r="2424">
          <cell r="B2424" t="str">
            <v>VJKT92</v>
          </cell>
          <cell r="C2424" t="str">
            <v>LDYECS310S0044389</v>
          </cell>
          <cell r="D2424" t="str">
            <v>MDN35025010119</v>
          </cell>
          <cell r="E2424" t="str">
            <v>Zhong Thong</v>
          </cell>
          <cell r="F2424" t="str">
            <v>Lck6122evg</v>
          </cell>
          <cell r="G2424" t="str">
            <v>Zhong Thong</v>
          </cell>
          <cell r="H2424" t="str">
            <v>Lck6122evg</v>
          </cell>
          <cell r="I2424">
            <v>2026</v>
          </cell>
          <cell r="J2424" t="str">
            <v>B</v>
          </cell>
          <cell r="K2424" t="str">
            <v>Lo Blanco</v>
          </cell>
          <cell r="N2424" t="str">
            <v>B</v>
          </cell>
        </row>
        <row r="2425">
          <cell r="B2425" t="str">
            <v>VJKV14</v>
          </cell>
          <cell r="C2425" t="str">
            <v>LDYECS31XS0044321</v>
          </cell>
          <cell r="D2425" t="str">
            <v>MDN35025010152</v>
          </cell>
          <cell r="E2425" t="str">
            <v>Zhong Thong</v>
          </cell>
          <cell r="F2425" t="str">
            <v>Lck6122evg</v>
          </cell>
          <cell r="G2425" t="str">
            <v>Zhong Thong</v>
          </cell>
          <cell r="H2425" t="str">
            <v>Lck6122evg</v>
          </cell>
          <cell r="I2425">
            <v>2026</v>
          </cell>
          <cell r="J2425" t="str">
            <v>B</v>
          </cell>
          <cell r="K2425" t="str">
            <v>Lo Blanco</v>
          </cell>
          <cell r="N2425" t="str">
            <v>B</v>
          </cell>
        </row>
        <row r="2426">
          <cell r="B2426" t="str">
            <v>VJKV58</v>
          </cell>
          <cell r="C2426" t="str">
            <v>LDYECS318S0044396</v>
          </cell>
          <cell r="D2426" t="str">
            <v>MDN35025010167</v>
          </cell>
          <cell r="E2426" t="str">
            <v>Zhong Thong</v>
          </cell>
          <cell r="F2426" t="str">
            <v>Lck6122evg</v>
          </cell>
          <cell r="G2426" t="str">
            <v>Zhong Thong</v>
          </cell>
          <cell r="H2426" t="str">
            <v>Lck6122evg</v>
          </cell>
          <cell r="I2426">
            <v>2026</v>
          </cell>
          <cell r="J2426" t="str">
            <v>B</v>
          </cell>
          <cell r="K2426" t="str">
            <v>Lo Blanco</v>
          </cell>
          <cell r="N2426" t="str">
            <v>B</v>
          </cell>
        </row>
        <row r="2427">
          <cell r="B2427" t="str">
            <v>VJKV78</v>
          </cell>
          <cell r="C2427" t="str">
            <v>LDYECS315S0044341</v>
          </cell>
          <cell r="D2427" t="str">
            <v>MDN35025030185</v>
          </cell>
          <cell r="E2427" t="str">
            <v>Zhong Thong</v>
          </cell>
          <cell r="F2427" t="str">
            <v>Lck6122evg</v>
          </cell>
          <cell r="G2427" t="str">
            <v>Zhong Thong</v>
          </cell>
          <cell r="H2427" t="str">
            <v>Lck6122evg</v>
          </cell>
          <cell r="I2427">
            <v>2026</v>
          </cell>
          <cell r="J2427" t="str">
            <v>B</v>
          </cell>
          <cell r="K2427" t="str">
            <v>Lo Blanco</v>
          </cell>
          <cell r="N2427" t="str">
            <v>B</v>
          </cell>
        </row>
        <row r="2428">
          <cell r="B2428" t="str">
            <v>VJKV88</v>
          </cell>
          <cell r="C2428" t="str">
            <v>LDYECS316S0044333</v>
          </cell>
          <cell r="D2428" t="str">
            <v>MDN35025030188</v>
          </cell>
          <cell r="E2428" t="str">
            <v>Zhong Thong</v>
          </cell>
          <cell r="F2428" t="str">
            <v>Lck6122evg</v>
          </cell>
          <cell r="G2428" t="str">
            <v>Zhong Thong</v>
          </cell>
          <cell r="H2428" t="str">
            <v>Lck6122evg</v>
          </cell>
          <cell r="I2428">
            <v>2026</v>
          </cell>
          <cell r="J2428" t="str">
            <v>B</v>
          </cell>
          <cell r="K2428" t="str">
            <v>Lo Blanco</v>
          </cell>
          <cell r="N2428" t="str">
            <v>B</v>
          </cell>
        </row>
        <row r="2429">
          <cell r="B2429" t="str">
            <v>VJKW68</v>
          </cell>
          <cell r="C2429" t="str">
            <v>LDYECS311S0044417</v>
          </cell>
          <cell r="D2429" t="str">
            <v>MDN35025030119</v>
          </cell>
          <cell r="E2429" t="str">
            <v>Zhong Thong</v>
          </cell>
          <cell r="F2429" t="str">
            <v>Lck6122evg</v>
          </cell>
          <cell r="G2429" t="str">
            <v>Zhong Thong</v>
          </cell>
          <cell r="H2429" t="str">
            <v>Lck6122evg</v>
          </cell>
          <cell r="I2429">
            <v>2026</v>
          </cell>
          <cell r="J2429" t="str">
            <v>B</v>
          </cell>
          <cell r="K2429" t="str">
            <v>Lo Blanco</v>
          </cell>
          <cell r="N2429" t="str">
            <v>B</v>
          </cell>
        </row>
        <row r="2430">
          <cell r="B2430" t="str">
            <v>VJKX18</v>
          </cell>
          <cell r="C2430" t="str">
            <v>LDYECS31XS0044416</v>
          </cell>
          <cell r="D2430" t="str">
            <v>MDN35025020083</v>
          </cell>
          <cell r="E2430" t="str">
            <v>Zhong Thong</v>
          </cell>
          <cell r="F2430" t="str">
            <v>Lck6122evg</v>
          </cell>
          <cell r="G2430" t="str">
            <v>Zhong Thong</v>
          </cell>
          <cell r="H2430" t="str">
            <v>Lck6122evg</v>
          </cell>
          <cell r="I2430">
            <v>2026</v>
          </cell>
          <cell r="J2430" t="str">
            <v>B</v>
          </cell>
          <cell r="K2430" t="str">
            <v>Lo Blanco</v>
          </cell>
          <cell r="N2430" t="str">
            <v>B</v>
          </cell>
        </row>
        <row r="2431">
          <cell r="B2431" t="str">
            <v>VJKX38</v>
          </cell>
          <cell r="C2431" t="str">
            <v>LDYECS318S0044401</v>
          </cell>
          <cell r="D2431" t="str">
            <v>MDN35025030148</v>
          </cell>
          <cell r="E2431" t="str">
            <v>Zhong Thong</v>
          </cell>
          <cell r="F2431" t="str">
            <v>Lck6122evg</v>
          </cell>
          <cell r="G2431" t="str">
            <v>Zhong Thong</v>
          </cell>
          <cell r="H2431" t="str">
            <v>Lck6122evg</v>
          </cell>
          <cell r="I2431">
            <v>2026</v>
          </cell>
          <cell r="J2431" t="str">
            <v>B</v>
          </cell>
          <cell r="K2431" t="str">
            <v>Lo Blanco</v>
          </cell>
          <cell r="N2431" t="str">
            <v>B</v>
          </cell>
        </row>
        <row r="2432">
          <cell r="B2432" t="str">
            <v>VJKX78</v>
          </cell>
          <cell r="C2432" t="str">
            <v>LDYECS31XS0044402</v>
          </cell>
          <cell r="D2432" t="str">
            <v>MDN35025030252</v>
          </cell>
          <cell r="E2432" t="str">
            <v>Zhong Thong</v>
          </cell>
          <cell r="F2432" t="str">
            <v>Lck6122evg</v>
          </cell>
          <cell r="G2432" t="str">
            <v>Zhong Thong</v>
          </cell>
          <cell r="H2432" t="str">
            <v>Lck6122evg</v>
          </cell>
          <cell r="I2432">
            <v>2026</v>
          </cell>
          <cell r="J2432" t="str">
            <v>B</v>
          </cell>
          <cell r="K2432" t="str">
            <v>Lo Blanco</v>
          </cell>
          <cell r="N2432" t="str">
            <v>B</v>
          </cell>
        </row>
        <row r="2433">
          <cell r="B2433" t="str">
            <v>VJKY18</v>
          </cell>
          <cell r="C2433" t="str">
            <v>LDYECS318S0044415</v>
          </cell>
          <cell r="D2433" t="str">
            <v>MDN35025030034</v>
          </cell>
          <cell r="E2433" t="str">
            <v>Zhong Thong</v>
          </cell>
          <cell r="F2433" t="str">
            <v>Lck6122evg</v>
          </cell>
          <cell r="G2433" t="str">
            <v>Zhong Thong</v>
          </cell>
          <cell r="H2433" t="str">
            <v>Lck6122evg</v>
          </cell>
          <cell r="I2433">
            <v>2026</v>
          </cell>
          <cell r="J2433" t="str">
            <v>B</v>
          </cell>
          <cell r="K2433" t="str">
            <v>Lo Blanco</v>
          </cell>
          <cell r="N2433" t="str">
            <v>B</v>
          </cell>
        </row>
        <row r="2434">
          <cell r="B2434" t="str">
            <v>VJKY58</v>
          </cell>
          <cell r="C2434" t="str">
            <v>LDYECS314S0044413</v>
          </cell>
          <cell r="D2434" t="str">
            <v>MDN35025030256</v>
          </cell>
          <cell r="E2434" t="str">
            <v>Zhong Thong</v>
          </cell>
          <cell r="F2434" t="str">
            <v>Lck6122evg</v>
          </cell>
          <cell r="G2434" t="str">
            <v>Zhong Thong</v>
          </cell>
          <cell r="H2434" t="str">
            <v>Lck6122evg</v>
          </cell>
          <cell r="I2434">
            <v>2026</v>
          </cell>
          <cell r="J2434" t="str">
            <v>B</v>
          </cell>
          <cell r="K2434" t="str">
            <v>Lo Blanco</v>
          </cell>
          <cell r="N2434" t="str">
            <v>B</v>
          </cell>
        </row>
        <row r="2435">
          <cell r="B2435" t="str">
            <v>VJKZ38</v>
          </cell>
          <cell r="C2435" t="str">
            <v>LDYECS312S0044412</v>
          </cell>
          <cell r="D2435" t="str">
            <v>MDN35025020183</v>
          </cell>
          <cell r="E2435" t="str">
            <v>Zhong Thong</v>
          </cell>
          <cell r="F2435" t="str">
            <v>Lck6122evg</v>
          </cell>
          <cell r="G2435" t="str">
            <v>Zhong Thong</v>
          </cell>
          <cell r="H2435" t="str">
            <v>Lck6122evg</v>
          </cell>
          <cell r="I2435">
            <v>2026</v>
          </cell>
          <cell r="J2435" t="str">
            <v>B</v>
          </cell>
          <cell r="K2435" t="str">
            <v>Lo Blanco</v>
          </cell>
          <cell r="N2435" t="str">
            <v>B</v>
          </cell>
        </row>
        <row r="2436">
          <cell r="B2436" t="str">
            <v>VJKZ78</v>
          </cell>
          <cell r="C2436" t="str">
            <v>LDYECS315S0044162</v>
          </cell>
          <cell r="D2436" t="str">
            <v>MDN35025020184</v>
          </cell>
          <cell r="E2436" t="str">
            <v>Zhong Thong</v>
          </cell>
          <cell r="F2436" t="str">
            <v>Lck6122evg</v>
          </cell>
          <cell r="G2436" t="str">
            <v>Zhong Thong</v>
          </cell>
          <cell r="H2436" t="str">
            <v>Lck6122evg</v>
          </cell>
          <cell r="I2436">
            <v>2026</v>
          </cell>
          <cell r="J2436" t="str">
            <v>B</v>
          </cell>
          <cell r="K2436" t="str">
            <v>Lo Blanco</v>
          </cell>
          <cell r="N2436" t="str">
            <v>B</v>
          </cell>
        </row>
        <row r="2437">
          <cell r="B2437" t="str">
            <v>VJLH14</v>
          </cell>
          <cell r="C2437" t="str">
            <v>LDYECS311S0044174</v>
          </cell>
          <cell r="D2437" t="str">
            <v>MDN35025020232</v>
          </cell>
          <cell r="E2437" t="str">
            <v>Zhong Thong</v>
          </cell>
          <cell r="F2437" t="str">
            <v>Lck6122evg</v>
          </cell>
          <cell r="G2437" t="str">
            <v>Zhong Thong</v>
          </cell>
          <cell r="H2437" t="str">
            <v>Lck6122evg</v>
          </cell>
          <cell r="I2437">
            <v>2026</v>
          </cell>
          <cell r="J2437" t="str">
            <v>B</v>
          </cell>
          <cell r="K2437" t="str">
            <v>Ducaud</v>
          </cell>
          <cell r="N2437" t="str">
            <v>B</v>
          </cell>
        </row>
        <row r="2438">
          <cell r="B2438" t="str">
            <v>VJLH24</v>
          </cell>
          <cell r="C2438" t="str">
            <v>LDYECS310S0044179</v>
          </cell>
          <cell r="D2438" t="str">
            <v>MDN35025020240</v>
          </cell>
          <cell r="E2438" t="str">
            <v>Zhong Thong</v>
          </cell>
          <cell r="F2438" t="str">
            <v>Lck6122evg</v>
          </cell>
          <cell r="G2438" t="str">
            <v>Zhong Thong</v>
          </cell>
          <cell r="H2438" t="str">
            <v>Lck6122evg</v>
          </cell>
          <cell r="I2438">
            <v>2026</v>
          </cell>
          <cell r="J2438" t="str">
            <v>B</v>
          </cell>
          <cell r="K2438" t="str">
            <v>Ducaud</v>
          </cell>
          <cell r="N2438" t="str">
            <v>B</v>
          </cell>
        </row>
        <row r="2439">
          <cell r="B2439" t="str">
            <v>VJLH33</v>
          </cell>
          <cell r="C2439" t="str">
            <v>LDYECS316S0044171</v>
          </cell>
          <cell r="D2439" t="str">
            <v>MDN35025020235</v>
          </cell>
          <cell r="E2439" t="str">
            <v>Zhong Thong</v>
          </cell>
          <cell r="F2439" t="str">
            <v>Lck6122evg</v>
          </cell>
          <cell r="G2439" t="str">
            <v>Zhong Thong</v>
          </cell>
          <cell r="H2439" t="str">
            <v>Lck6122evg</v>
          </cell>
          <cell r="I2439">
            <v>2026</v>
          </cell>
          <cell r="J2439" t="str">
            <v>B</v>
          </cell>
          <cell r="K2439" t="str">
            <v>Ducaud</v>
          </cell>
          <cell r="N2439" t="str">
            <v>B</v>
          </cell>
        </row>
        <row r="2440">
          <cell r="B2440" t="str">
            <v>VJWZ74</v>
          </cell>
          <cell r="C2440" t="str">
            <v>LDYECS315S0044226</v>
          </cell>
          <cell r="D2440" t="str">
            <v>MDN35025020140</v>
          </cell>
          <cell r="E2440" t="str">
            <v>Zhong Thong</v>
          </cell>
          <cell r="F2440" t="str">
            <v>Lck6122evg</v>
          </cell>
          <cell r="G2440" t="str">
            <v>Zhong Thong</v>
          </cell>
          <cell r="H2440" t="str">
            <v>Lck6122evg</v>
          </cell>
          <cell r="I2440">
            <v>2026</v>
          </cell>
          <cell r="J2440" t="str">
            <v>B</v>
          </cell>
          <cell r="K2440" t="str">
            <v>Lo Blanco</v>
          </cell>
          <cell r="N2440" t="str">
            <v>B</v>
          </cell>
        </row>
        <row r="2441">
          <cell r="B2441" t="str">
            <v>VJWZ95</v>
          </cell>
          <cell r="C2441" t="str">
            <v>LDYECS311S0044241</v>
          </cell>
          <cell r="D2441" t="str">
            <v>MDN35025020192</v>
          </cell>
          <cell r="E2441" t="str">
            <v>Zhong Thong</v>
          </cell>
          <cell r="F2441" t="str">
            <v>Lck6122evg</v>
          </cell>
          <cell r="G2441" t="str">
            <v>Zhong Thong</v>
          </cell>
          <cell r="H2441" t="str">
            <v>Lck6122evg</v>
          </cell>
          <cell r="I2441">
            <v>2026</v>
          </cell>
          <cell r="J2441" t="str">
            <v>B</v>
          </cell>
          <cell r="K2441" t="str">
            <v>Lo Blanco</v>
          </cell>
          <cell r="N2441" t="str">
            <v>B</v>
          </cell>
        </row>
        <row r="2442">
          <cell r="B2442" t="str">
            <v>VJXB27</v>
          </cell>
          <cell r="C2442" t="str">
            <v>LDYECS310S0044148</v>
          </cell>
          <cell r="D2442" t="str">
            <v>MDN35025030010</v>
          </cell>
          <cell r="E2442" t="str">
            <v>Zhong Thong</v>
          </cell>
          <cell r="F2442" t="str">
            <v>Lck6122evg</v>
          </cell>
          <cell r="G2442" t="str">
            <v>Zhong Thong</v>
          </cell>
          <cell r="H2442" t="str">
            <v>Lck6122evg</v>
          </cell>
          <cell r="I2442">
            <v>2026</v>
          </cell>
          <cell r="J2442" t="str">
            <v>B</v>
          </cell>
          <cell r="K2442" t="str">
            <v>Lo Blanco</v>
          </cell>
          <cell r="N2442" t="str">
            <v>B</v>
          </cell>
        </row>
        <row r="2443">
          <cell r="B2443" t="str">
            <v>VJXB56</v>
          </cell>
          <cell r="C2443" t="str">
            <v>LDYECS315S0044159</v>
          </cell>
          <cell r="D2443" t="str">
            <v>MDN35025020161</v>
          </cell>
          <cell r="E2443" t="str">
            <v>Zhong Thong</v>
          </cell>
          <cell r="F2443" t="str">
            <v>Lck6122evg</v>
          </cell>
          <cell r="G2443" t="str">
            <v>Zhong Thong</v>
          </cell>
          <cell r="H2443" t="str">
            <v>Lck6122evg</v>
          </cell>
          <cell r="I2443">
            <v>2026</v>
          </cell>
          <cell r="J2443" t="str">
            <v>B</v>
          </cell>
          <cell r="K2443" t="str">
            <v>Lo Blanco</v>
          </cell>
          <cell r="N2443" t="str">
            <v>B</v>
          </cell>
        </row>
        <row r="2444">
          <cell r="B2444" t="str">
            <v>VJXB87</v>
          </cell>
          <cell r="C2444" t="str">
            <v>LDYECS310S0044232</v>
          </cell>
          <cell r="D2444" t="str">
            <v>MDN35025030039</v>
          </cell>
          <cell r="E2444" t="str">
            <v>Zhong Thong</v>
          </cell>
          <cell r="F2444" t="str">
            <v>Lck6122evg</v>
          </cell>
          <cell r="G2444" t="str">
            <v>Zhong Thong</v>
          </cell>
          <cell r="H2444" t="str">
            <v>Lck6122evg</v>
          </cell>
          <cell r="I2444">
            <v>2026</v>
          </cell>
          <cell r="J2444" t="str">
            <v>B</v>
          </cell>
          <cell r="K2444" t="str">
            <v>Lo Blanco</v>
          </cell>
          <cell r="N2444" t="str">
            <v>B</v>
          </cell>
        </row>
        <row r="2445">
          <cell r="B2445" t="str">
            <v>VJXC26</v>
          </cell>
          <cell r="C2445" t="str">
            <v>LDYECS311S0044157</v>
          </cell>
          <cell r="D2445" t="str">
            <v>MDN35025020182</v>
          </cell>
          <cell r="E2445" t="str">
            <v>Zhong Thong</v>
          </cell>
          <cell r="F2445" t="str">
            <v>Lck6122evg</v>
          </cell>
          <cell r="G2445" t="str">
            <v>Zhong Thong</v>
          </cell>
          <cell r="H2445" t="str">
            <v>Lck6122evg</v>
          </cell>
          <cell r="I2445">
            <v>2026</v>
          </cell>
          <cell r="J2445" t="str">
            <v>B</v>
          </cell>
          <cell r="K2445" t="str">
            <v>Lo Blanco</v>
          </cell>
          <cell r="N2445" t="str">
            <v>B</v>
          </cell>
        </row>
        <row r="2446">
          <cell r="B2446" t="str">
            <v>VJXC42</v>
          </cell>
          <cell r="C2446" t="str">
            <v>LDYECS319S0044150</v>
          </cell>
          <cell r="D2446" t="str">
            <v>MDN35025030054</v>
          </cell>
          <cell r="E2446" t="str">
            <v>Zhong Thong</v>
          </cell>
          <cell r="F2446" t="str">
            <v>Lck6122evg</v>
          </cell>
          <cell r="G2446" t="str">
            <v>Zhong Thong</v>
          </cell>
          <cell r="H2446" t="str">
            <v>Lck6122evg</v>
          </cell>
          <cell r="I2446">
            <v>2026</v>
          </cell>
          <cell r="J2446" t="str">
            <v>B</v>
          </cell>
          <cell r="K2446" t="str">
            <v>Lo Blanco</v>
          </cell>
          <cell r="N2446" t="str">
            <v>B</v>
          </cell>
        </row>
        <row r="2447">
          <cell r="B2447" t="str">
            <v>VJXC53</v>
          </cell>
          <cell r="C2447" t="str">
            <v>LDYECS319S0044164</v>
          </cell>
          <cell r="D2447" t="str">
            <v>MDN35025020178</v>
          </cell>
          <cell r="E2447" t="str">
            <v>Zhong Thong</v>
          </cell>
          <cell r="F2447" t="str">
            <v>Lck6122evg</v>
          </cell>
          <cell r="G2447" t="str">
            <v>Zhong Thong</v>
          </cell>
          <cell r="H2447" t="str">
            <v>Lck6122evg</v>
          </cell>
          <cell r="I2447">
            <v>2026</v>
          </cell>
          <cell r="J2447" t="str">
            <v>B</v>
          </cell>
          <cell r="K2447" t="str">
            <v>Lo Blanco</v>
          </cell>
          <cell r="N2447" t="str">
            <v>B</v>
          </cell>
        </row>
        <row r="2448">
          <cell r="B2448" t="str">
            <v>VJXC75</v>
          </cell>
          <cell r="C2448" t="str">
            <v>LDTECS314S0044234</v>
          </cell>
          <cell r="D2448" t="str">
            <v>MDN35025020193</v>
          </cell>
          <cell r="E2448" t="str">
            <v>Zhong Thong</v>
          </cell>
          <cell r="F2448" t="str">
            <v>Lck6122evg</v>
          </cell>
          <cell r="G2448" t="str">
            <v>Zhong Thong</v>
          </cell>
          <cell r="H2448" t="str">
            <v>Lck6122evg</v>
          </cell>
          <cell r="I2448">
            <v>2026</v>
          </cell>
          <cell r="J2448" t="str">
            <v>B</v>
          </cell>
          <cell r="K2448" t="str">
            <v>Lo Blanco</v>
          </cell>
          <cell r="N2448" t="str">
            <v>B</v>
          </cell>
        </row>
        <row r="2449">
          <cell r="B2449" t="str">
            <v>VJXC91</v>
          </cell>
          <cell r="C2449" t="str">
            <v>LDYECS31XS0044254</v>
          </cell>
          <cell r="D2449" t="str">
            <v>MDN35025020258</v>
          </cell>
          <cell r="E2449" t="str">
            <v>Zhong Thong</v>
          </cell>
          <cell r="F2449" t="str">
            <v>Lck6122evg</v>
          </cell>
          <cell r="G2449" t="str">
            <v>Zhong Thong</v>
          </cell>
          <cell r="H2449" t="str">
            <v>Lck6122evg</v>
          </cell>
          <cell r="I2449">
            <v>2026</v>
          </cell>
          <cell r="J2449" t="str">
            <v>B</v>
          </cell>
          <cell r="K2449" t="str">
            <v>Lo Blanco</v>
          </cell>
          <cell r="N2449" t="str">
            <v>B</v>
          </cell>
        </row>
        <row r="2450">
          <cell r="B2450" t="str">
            <v>VJXD48</v>
          </cell>
          <cell r="C2450" t="str">
            <v>LDYECS313S0044256</v>
          </cell>
          <cell r="D2450" t="str">
            <v>MDN35025020180</v>
          </cell>
          <cell r="E2450" t="str">
            <v>Zhong Thong</v>
          </cell>
          <cell r="F2450" t="str">
            <v>Lck6122evg</v>
          </cell>
          <cell r="G2450" t="str">
            <v>Zhong Thong</v>
          </cell>
          <cell r="H2450" t="str">
            <v>Lck6122evg</v>
          </cell>
          <cell r="I2450">
            <v>2026</v>
          </cell>
          <cell r="J2450" t="str">
            <v>B</v>
          </cell>
          <cell r="K2450" t="str">
            <v>Ducaud</v>
          </cell>
          <cell r="N2450" t="str">
            <v>B</v>
          </cell>
        </row>
        <row r="2451">
          <cell r="B2451" t="str">
            <v>VJXD86</v>
          </cell>
          <cell r="C2451" t="str">
            <v>LDYECS316S0044252</v>
          </cell>
          <cell r="D2451" t="str">
            <v>MDN35025020172</v>
          </cell>
          <cell r="E2451" t="str">
            <v>Zhong Thong</v>
          </cell>
          <cell r="F2451" t="str">
            <v>Lck6122evg</v>
          </cell>
          <cell r="G2451" t="str">
            <v>Zhong Thong</v>
          </cell>
          <cell r="H2451" t="str">
            <v>Lck6122evg</v>
          </cell>
          <cell r="I2451">
            <v>2026</v>
          </cell>
          <cell r="J2451" t="str">
            <v>B</v>
          </cell>
          <cell r="K2451" t="str">
            <v>Ducaud</v>
          </cell>
          <cell r="N2451" t="str">
            <v>B</v>
          </cell>
        </row>
        <row r="2452">
          <cell r="B2452" t="str">
            <v>VJXH88</v>
          </cell>
          <cell r="C2452" t="str">
            <v>LDYECS318S0044253</v>
          </cell>
          <cell r="D2452" t="str">
            <v>MDN35025010248</v>
          </cell>
          <cell r="E2452" t="str">
            <v>Zhong Thong</v>
          </cell>
          <cell r="F2452" t="str">
            <v>Lck6122evg</v>
          </cell>
          <cell r="G2452" t="str">
            <v>Zhong Thong</v>
          </cell>
          <cell r="H2452" t="str">
            <v>Lck6122evg</v>
          </cell>
          <cell r="I2452">
            <v>2026</v>
          </cell>
          <cell r="J2452" t="str">
            <v>B</v>
          </cell>
          <cell r="K2452" t="str">
            <v>Ducaud</v>
          </cell>
          <cell r="N2452" t="str">
            <v>B</v>
          </cell>
        </row>
        <row r="2453">
          <cell r="B2453" t="str">
            <v>VJXJ27</v>
          </cell>
          <cell r="C2453" t="str">
            <v>LDYECS318S0044186</v>
          </cell>
          <cell r="D2453" t="str">
            <v>MDN35025020159</v>
          </cell>
          <cell r="E2453" t="str">
            <v>Zhong Thong</v>
          </cell>
          <cell r="F2453" t="str">
            <v>Lck6122evg</v>
          </cell>
          <cell r="G2453" t="str">
            <v>Zhong Thong</v>
          </cell>
          <cell r="H2453" t="str">
            <v>Lck6122evg</v>
          </cell>
          <cell r="I2453">
            <v>2026</v>
          </cell>
          <cell r="J2453" t="str">
            <v>B</v>
          </cell>
          <cell r="K2453" t="str">
            <v>Ducaud</v>
          </cell>
          <cell r="N2453" t="str">
            <v>B</v>
          </cell>
        </row>
        <row r="2454">
          <cell r="B2454" t="str">
            <v>VJXJ39</v>
          </cell>
          <cell r="C2454" t="str">
            <v>LDYECS310S0044196</v>
          </cell>
          <cell r="D2454" t="str">
            <v>MDN35025020243</v>
          </cell>
          <cell r="E2454" t="str">
            <v>Zhong Thong</v>
          </cell>
          <cell r="F2454" t="str">
            <v>Lck6122evg</v>
          </cell>
          <cell r="G2454" t="str">
            <v>Zhong Thong</v>
          </cell>
          <cell r="H2454" t="str">
            <v>Lck6122evg</v>
          </cell>
          <cell r="I2454">
            <v>2026</v>
          </cell>
          <cell r="J2454" t="str">
            <v>B</v>
          </cell>
          <cell r="K2454" t="str">
            <v>Ducaud</v>
          </cell>
          <cell r="N2454" t="str">
            <v>B</v>
          </cell>
        </row>
        <row r="2455">
          <cell r="B2455" t="str">
            <v>VJXJ44</v>
          </cell>
          <cell r="C2455" t="str">
            <v>LDYECS317S0044308</v>
          </cell>
          <cell r="D2455" t="str">
            <v>MDN35025010207</v>
          </cell>
          <cell r="E2455" t="str">
            <v>Zhong Thong</v>
          </cell>
          <cell r="F2455" t="str">
            <v>Lck6122evg</v>
          </cell>
          <cell r="G2455" t="str">
            <v>Zhong Thong</v>
          </cell>
          <cell r="H2455" t="str">
            <v>Lck6122evg</v>
          </cell>
          <cell r="I2455">
            <v>2026</v>
          </cell>
          <cell r="J2455" t="str">
            <v>B</v>
          </cell>
          <cell r="K2455" t="str">
            <v>Ducaud</v>
          </cell>
          <cell r="N2455" t="str">
            <v>B</v>
          </cell>
        </row>
        <row r="2456">
          <cell r="B2456" t="str">
            <v>VJXJ46</v>
          </cell>
          <cell r="C2456" t="str">
            <v>LDYECS31XS0044366</v>
          </cell>
          <cell r="D2456" t="str">
            <v>MDN35025010076</v>
          </cell>
          <cell r="E2456" t="str">
            <v>Zhong Thong</v>
          </cell>
          <cell r="F2456" t="str">
            <v>Lck6122evg</v>
          </cell>
          <cell r="G2456" t="str">
            <v>Zhong Thong</v>
          </cell>
          <cell r="H2456" t="str">
            <v>Lck6122evg</v>
          </cell>
          <cell r="I2456">
            <v>2026</v>
          </cell>
          <cell r="J2456" t="str">
            <v>B</v>
          </cell>
          <cell r="K2456" t="str">
            <v>Ducaud</v>
          </cell>
          <cell r="N2456" t="str">
            <v>B</v>
          </cell>
        </row>
        <row r="2457">
          <cell r="B2457" t="str">
            <v>VJXJ94</v>
          </cell>
          <cell r="C2457" t="str">
            <v>LDYECS310S0044411</v>
          </cell>
          <cell r="D2457" t="str">
            <v>MDN35025010155</v>
          </cell>
          <cell r="E2457" t="str">
            <v>Zhong Thong</v>
          </cell>
          <cell r="F2457" t="str">
            <v>Lck6122evg</v>
          </cell>
          <cell r="G2457" t="str">
            <v>Zhong Thong</v>
          </cell>
          <cell r="H2457" t="str">
            <v>Lck6122evg</v>
          </cell>
          <cell r="I2457">
            <v>2026</v>
          </cell>
          <cell r="J2457" t="str">
            <v>B</v>
          </cell>
          <cell r="K2457" t="str">
            <v>Ducaud</v>
          </cell>
          <cell r="N2457" t="str">
            <v>B</v>
          </cell>
        </row>
        <row r="2458">
          <cell r="B2458" t="str">
            <v>VJXK14</v>
          </cell>
          <cell r="C2458" t="str">
            <v>LDYECS318S0044382</v>
          </cell>
          <cell r="D2458" t="str">
            <v>MDN35025030032</v>
          </cell>
          <cell r="E2458" t="str">
            <v>Zhong Thong</v>
          </cell>
          <cell r="F2458" t="str">
            <v>Lck6122evg</v>
          </cell>
          <cell r="G2458" t="str">
            <v>Zhong Thong</v>
          </cell>
          <cell r="H2458" t="str">
            <v>Lck6122evg</v>
          </cell>
          <cell r="I2458">
            <v>2026</v>
          </cell>
          <cell r="J2458" t="str">
            <v>B</v>
          </cell>
          <cell r="K2458" t="str">
            <v>Ducaud</v>
          </cell>
          <cell r="N2458" t="str">
            <v>B</v>
          </cell>
        </row>
        <row r="2459">
          <cell r="B2459" t="str">
            <v>VJXK15</v>
          </cell>
          <cell r="C2459" t="str">
            <v>LDYECS316S0044316</v>
          </cell>
          <cell r="D2459" t="str">
            <v>MDN35025030023</v>
          </cell>
          <cell r="E2459" t="str">
            <v>Zhong Thong</v>
          </cell>
          <cell r="F2459" t="str">
            <v>Lck6122evg</v>
          </cell>
          <cell r="G2459" t="str">
            <v>Zhong Thong</v>
          </cell>
          <cell r="H2459" t="str">
            <v>Lck6122evg</v>
          </cell>
          <cell r="I2459">
            <v>2026</v>
          </cell>
          <cell r="J2459" t="str">
            <v>B</v>
          </cell>
          <cell r="K2459" t="str">
            <v>Ducaud</v>
          </cell>
          <cell r="N2459" t="str">
            <v>B</v>
          </cell>
        </row>
        <row r="2460">
          <cell r="B2460" t="str">
            <v>VJYH63</v>
          </cell>
          <cell r="C2460" t="str">
            <v>LDYECS316S0044168</v>
          </cell>
          <cell r="D2460" t="str">
            <v>MDN35025020215</v>
          </cell>
          <cell r="E2460" t="str">
            <v>Zhong Thong</v>
          </cell>
          <cell r="F2460" t="str">
            <v>Lck6122evg</v>
          </cell>
          <cell r="G2460" t="str">
            <v>Zhong Thong</v>
          </cell>
          <cell r="H2460" t="str">
            <v>Lck6122evg</v>
          </cell>
          <cell r="I2460">
            <v>2026</v>
          </cell>
          <cell r="J2460" t="str">
            <v>B</v>
          </cell>
          <cell r="K2460" t="str">
            <v>Lo Blanco</v>
          </cell>
          <cell r="N2460" t="str">
            <v>B</v>
          </cell>
        </row>
        <row r="2461">
          <cell r="B2461" t="str">
            <v>VJYJ15</v>
          </cell>
          <cell r="C2461" t="str">
            <v>LDYECS311S0044160</v>
          </cell>
          <cell r="D2461" t="str">
            <v>MDN35025020177</v>
          </cell>
          <cell r="E2461" t="str">
            <v>Zhong Thong</v>
          </cell>
          <cell r="F2461" t="str">
            <v>Lck6122evg</v>
          </cell>
          <cell r="G2461" t="str">
            <v>Zhong Thong</v>
          </cell>
          <cell r="H2461" t="str">
            <v>Lck6122evg</v>
          </cell>
          <cell r="I2461">
            <v>2026</v>
          </cell>
          <cell r="J2461" t="str">
            <v>B</v>
          </cell>
          <cell r="K2461" t="str">
            <v>Lo Blanco</v>
          </cell>
          <cell r="N2461" t="str">
            <v>B</v>
          </cell>
        </row>
        <row r="2462">
          <cell r="B2462" t="str">
            <v>VJYJ22</v>
          </cell>
          <cell r="C2462" t="str">
            <v>LDYECS310S0044277</v>
          </cell>
          <cell r="D2462" t="str">
            <v>MDN35025020175</v>
          </cell>
          <cell r="E2462" t="str">
            <v>Zhong Thong</v>
          </cell>
          <cell r="F2462" t="str">
            <v>Lck6122evg</v>
          </cell>
          <cell r="G2462" t="str">
            <v>Zhong Thong</v>
          </cell>
          <cell r="H2462" t="str">
            <v>Lck6122evg</v>
          </cell>
          <cell r="I2462">
            <v>2026</v>
          </cell>
          <cell r="J2462" t="str">
            <v>B</v>
          </cell>
          <cell r="K2462" t="str">
            <v>Ducaud</v>
          </cell>
          <cell r="N2462" t="str">
            <v>B</v>
          </cell>
        </row>
        <row r="2463">
          <cell r="B2463" t="str">
            <v>VJYJ35</v>
          </cell>
          <cell r="C2463" t="str">
            <v>LDYECS312S0044166</v>
          </cell>
          <cell r="D2463" t="str">
            <v>MDN35025020222</v>
          </cell>
          <cell r="E2463" t="str">
            <v>Zhong Thong</v>
          </cell>
          <cell r="F2463" t="str">
            <v>Lck6122evg</v>
          </cell>
          <cell r="G2463" t="str">
            <v>Zhong Thong</v>
          </cell>
          <cell r="H2463" t="str">
            <v>Lck6122evg</v>
          </cell>
          <cell r="I2463">
            <v>2026</v>
          </cell>
          <cell r="J2463" t="str">
            <v>B</v>
          </cell>
          <cell r="K2463" t="str">
            <v>Lo Blanco</v>
          </cell>
          <cell r="N2463" t="str">
            <v>B</v>
          </cell>
        </row>
        <row r="2464">
          <cell r="B2464" t="str">
            <v>VJYJ37</v>
          </cell>
          <cell r="C2464" t="str">
            <v>LDYECS314S0044217</v>
          </cell>
          <cell r="D2464" t="str">
            <v>MDN35025010179</v>
          </cell>
          <cell r="E2464" t="str">
            <v>Zhong Thong</v>
          </cell>
          <cell r="F2464" t="str">
            <v>Lck6122evg</v>
          </cell>
          <cell r="G2464" t="str">
            <v>Zhong Thong</v>
          </cell>
          <cell r="H2464" t="str">
            <v>Lck6122evg</v>
          </cell>
          <cell r="I2464">
            <v>2026</v>
          </cell>
          <cell r="J2464" t="str">
            <v>B</v>
          </cell>
          <cell r="K2464" t="str">
            <v>Ducaud</v>
          </cell>
          <cell r="N2464" t="str">
            <v>B</v>
          </cell>
        </row>
        <row r="2465">
          <cell r="B2465" t="str">
            <v>VJYJ44</v>
          </cell>
          <cell r="C2465" t="str">
            <v>LDYECS313S0044273</v>
          </cell>
          <cell r="D2465" t="str">
            <v>MDN5025020155</v>
          </cell>
          <cell r="E2465" t="str">
            <v>Zhong Thong</v>
          </cell>
          <cell r="F2465" t="str">
            <v>Lck6122evg</v>
          </cell>
          <cell r="G2465" t="str">
            <v>Zhong Thong</v>
          </cell>
          <cell r="H2465" t="str">
            <v>Lck6122evg</v>
          </cell>
          <cell r="I2465">
            <v>2026</v>
          </cell>
          <cell r="J2465" t="str">
            <v>B</v>
          </cell>
          <cell r="K2465" t="str">
            <v>Ducaud</v>
          </cell>
          <cell r="N2465" t="str">
            <v>B</v>
          </cell>
        </row>
        <row r="2466">
          <cell r="B2466" t="str">
            <v>VJYJ46</v>
          </cell>
          <cell r="C2466" t="str">
            <v>LDYECS317S0044213</v>
          </cell>
          <cell r="D2466" t="str">
            <v>MDN35025030110</v>
          </cell>
          <cell r="E2466" t="str">
            <v>Zhong Thong</v>
          </cell>
          <cell r="F2466" t="str">
            <v>Lck6122evg</v>
          </cell>
          <cell r="G2466" t="str">
            <v>Zhong Thong</v>
          </cell>
          <cell r="H2466" t="str">
            <v>Lck6122evg</v>
          </cell>
          <cell r="I2466">
            <v>2026</v>
          </cell>
          <cell r="J2466" t="str">
            <v>B</v>
          </cell>
          <cell r="K2466" t="str">
            <v>Ducaud</v>
          </cell>
          <cell r="N2466" t="str">
            <v>B</v>
          </cell>
        </row>
        <row r="2467">
          <cell r="B2467" t="str">
            <v>VJYJ68</v>
          </cell>
          <cell r="C2467" t="str">
            <v>LDYECS311S0044210</v>
          </cell>
          <cell r="D2467" t="str">
            <v>MDN35025030109</v>
          </cell>
          <cell r="E2467" t="str">
            <v>Zhong Thong</v>
          </cell>
          <cell r="F2467" t="str">
            <v>Lck6122evg</v>
          </cell>
          <cell r="G2467" t="str">
            <v>Zhong Thong</v>
          </cell>
          <cell r="H2467" t="str">
            <v>Lck6122evg</v>
          </cell>
          <cell r="I2467">
            <v>2026</v>
          </cell>
          <cell r="J2467" t="str">
            <v>B</v>
          </cell>
          <cell r="K2467" t="str">
            <v>Ducaud</v>
          </cell>
          <cell r="N2467" t="str">
            <v>B</v>
          </cell>
        </row>
        <row r="2468">
          <cell r="B2468" t="str">
            <v>VJYJ75</v>
          </cell>
          <cell r="C2468" t="str">
            <v>LDYECS31XS0044285</v>
          </cell>
          <cell r="D2468" t="str">
            <v>MDN35025020245</v>
          </cell>
          <cell r="E2468" t="str">
            <v>Zhong Thong</v>
          </cell>
          <cell r="F2468" t="str">
            <v>Lck6122evg</v>
          </cell>
          <cell r="G2468" t="str">
            <v>Zhong Thong</v>
          </cell>
          <cell r="H2468" t="str">
            <v>Lck6122evg</v>
          </cell>
          <cell r="I2468">
            <v>2026</v>
          </cell>
          <cell r="J2468" t="str">
            <v>B</v>
          </cell>
          <cell r="K2468" t="str">
            <v>Ducaud</v>
          </cell>
          <cell r="N2468" t="str">
            <v>B</v>
          </cell>
        </row>
        <row r="2469">
          <cell r="B2469" t="str">
            <v>VJYJ84</v>
          </cell>
          <cell r="C2469" t="str">
            <v>LDYECS316S0044218</v>
          </cell>
          <cell r="D2469" t="str">
            <v>MDN35025010180</v>
          </cell>
          <cell r="E2469" t="str">
            <v>Zhong Thong</v>
          </cell>
          <cell r="F2469" t="str">
            <v>Lck6122evg</v>
          </cell>
          <cell r="G2469" t="str">
            <v>Zhong Thong</v>
          </cell>
          <cell r="H2469" t="str">
            <v>Lck6122evg</v>
          </cell>
          <cell r="I2469">
            <v>2026</v>
          </cell>
          <cell r="J2469" t="str">
            <v>B</v>
          </cell>
          <cell r="K2469" t="str">
            <v>Ducaud</v>
          </cell>
          <cell r="N2469" t="str">
            <v>B</v>
          </cell>
        </row>
        <row r="2470">
          <cell r="B2470" t="str">
            <v>VJYK73</v>
          </cell>
          <cell r="C2470" t="str">
            <v>LDYECS315S0044291</v>
          </cell>
          <cell r="D2470" t="str">
            <v>MDN35025010116</v>
          </cell>
          <cell r="E2470" t="str">
            <v>Zhong Thong</v>
          </cell>
          <cell r="F2470" t="str">
            <v>Lck6122evg</v>
          </cell>
          <cell r="G2470" t="str">
            <v>Zhong Thong</v>
          </cell>
          <cell r="H2470" t="str">
            <v>Lck6122evg</v>
          </cell>
          <cell r="I2470">
            <v>2026</v>
          </cell>
          <cell r="J2470" t="str">
            <v>B</v>
          </cell>
          <cell r="K2470" t="str">
            <v>Ducaud</v>
          </cell>
          <cell r="N2470" t="str">
            <v>B</v>
          </cell>
        </row>
        <row r="2471">
          <cell r="B2471" t="str">
            <v>VJYK82</v>
          </cell>
          <cell r="C2471" t="str">
            <v>LDYECS31XS0044335</v>
          </cell>
          <cell r="D2471" t="str">
            <v>MDN35025030151</v>
          </cell>
          <cell r="E2471" t="str">
            <v>Zhong Thong</v>
          </cell>
          <cell r="F2471" t="str">
            <v>Lck6122evg</v>
          </cell>
          <cell r="G2471" t="str">
            <v>Zhong Thong</v>
          </cell>
          <cell r="H2471" t="str">
            <v>Lck6122evg</v>
          </cell>
          <cell r="I2471">
            <v>2026</v>
          </cell>
          <cell r="J2471" t="str">
            <v>B</v>
          </cell>
          <cell r="K2471" t="str">
            <v>Ducaud</v>
          </cell>
          <cell r="N2471" t="str">
            <v>B</v>
          </cell>
        </row>
        <row r="2472">
          <cell r="B2472" t="str">
            <v>VJYK83</v>
          </cell>
          <cell r="C2472" t="str">
            <v>LDYECS317S0044342</v>
          </cell>
          <cell r="D2472" t="str">
            <v>MDN35025010144</v>
          </cell>
          <cell r="E2472" t="str">
            <v>Zhong Thong</v>
          </cell>
          <cell r="F2472" t="str">
            <v>Lck6122evg</v>
          </cell>
          <cell r="G2472" t="str">
            <v>Zhong Thong</v>
          </cell>
          <cell r="H2472" t="str">
            <v>Lck6122evg</v>
          </cell>
          <cell r="I2472">
            <v>2026</v>
          </cell>
          <cell r="J2472" t="str">
            <v>B</v>
          </cell>
          <cell r="K2472" t="str">
            <v>Ducaud</v>
          </cell>
          <cell r="N2472" t="str">
            <v>B</v>
          </cell>
        </row>
        <row r="2473">
          <cell r="B2473" t="str">
            <v>VJYK86</v>
          </cell>
          <cell r="C2473" t="str">
            <v>LDYECS313S0044368</v>
          </cell>
          <cell r="D2473" t="str">
            <v>MDN35025010047</v>
          </cell>
          <cell r="E2473" t="str">
            <v>Zhong Thong</v>
          </cell>
          <cell r="F2473" t="str">
            <v>Lck6122evg</v>
          </cell>
          <cell r="G2473" t="str">
            <v>Zhong Thong</v>
          </cell>
          <cell r="H2473" t="str">
            <v>Lck6122evg</v>
          </cell>
          <cell r="I2473">
            <v>2026</v>
          </cell>
          <cell r="J2473" t="str">
            <v>B</v>
          </cell>
          <cell r="K2473" t="str">
            <v>Ducaud</v>
          </cell>
          <cell r="N2473" t="str">
            <v>B</v>
          </cell>
        </row>
        <row r="2474">
          <cell r="B2474" t="str">
            <v>VJYK89</v>
          </cell>
          <cell r="C2474" t="str">
            <v>LDYECS316S0044364</v>
          </cell>
          <cell r="D2474" t="str">
            <v>MDN35025030062</v>
          </cell>
          <cell r="E2474" t="str">
            <v>Zhong Thong</v>
          </cell>
          <cell r="F2474" t="str">
            <v>Lck6122evg</v>
          </cell>
          <cell r="G2474" t="str">
            <v>Zhong Thong</v>
          </cell>
          <cell r="H2474" t="str">
            <v>Lck6122evg</v>
          </cell>
          <cell r="I2474">
            <v>2026</v>
          </cell>
          <cell r="J2474" t="str">
            <v>B</v>
          </cell>
          <cell r="K2474" t="str">
            <v>Ducaud</v>
          </cell>
          <cell r="N2474" t="str">
            <v>B</v>
          </cell>
        </row>
        <row r="2475">
          <cell r="B2475" t="str">
            <v>VJYK91</v>
          </cell>
          <cell r="C2475" t="str">
            <v>LDYECS312S0044295</v>
          </cell>
          <cell r="D2475" t="str">
            <v>MDN35025020211</v>
          </cell>
          <cell r="E2475" t="str">
            <v>Zhong Thong</v>
          </cell>
          <cell r="F2475" t="str">
            <v>Lck6122evg</v>
          </cell>
          <cell r="G2475" t="str">
            <v>Zhong Thong</v>
          </cell>
          <cell r="H2475" t="str">
            <v>Lck6122evg</v>
          </cell>
          <cell r="I2475">
            <v>2026</v>
          </cell>
          <cell r="J2475" t="str">
            <v>B</v>
          </cell>
          <cell r="K2475" t="str">
            <v>Ducaud</v>
          </cell>
          <cell r="N2475" t="str">
            <v>B</v>
          </cell>
        </row>
        <row r="2476">
          <cell r="B2476" t="str">
            <v>VJYK95</v>
          </cell>
          <cell r="C2476" t="str">
            <v>LDYECS312S0044362</v>
          </cell>
          <cell r="D2476" t="str">
            <v>MDN35025010110</v>
          </cell>
          <cell r="E2476" t="str">
            <v>Zhong Thong</v>
          </cell>
          <cell r="F2476" t="str">
            <v>Lck6122evg</v>
          </cell>
          <cell r="G2476" t="str">
            <v>Zhong Thong</v>
          </cell>
          <cell r="H2476" t="str">
            <v>Lck6122evg</v>
          </cell>
          <cell r="I2476">
            <v>2026</v>
          </cell>
          <cell r="J2476" t="str">
            <v>B</v>
          </cell>
          <cell r="K2476" t="str">
            <v>Ducaud</v>
          </cell>
          <cell r="N2476" t="str">
            <v>B</v>
          </cell>
        </row>
        <row r="2477">
          <cell r="B2477" t="str">
            <v>VJYK97</v>
          </cell>
          <cell r="C2477" t="str">
            <v>LDYECS314S0044380</v>
          </cell>
          <cell r="D2477" t="str">
            <v>MDN35025030033</v>
          </cell>
          <cell r="E2477" t="str">
            <v>Zhong Thong</v>
          </cell>
          <cell r="F2477" t="str">
            <v>Lck6122evg</v>
          </cell>
          <cell r="G2477" t="str">
            <v>Zhong Thong</v>
          </cell>
          <cell r="H2477" t="str">
            <v>Lck6122evg</v>
          </cell>
          <cell r="I2477">
            <v>2026</v>
          </cell>
          <cell r="J2477" t="str">
            <v>B</v>
          </cell>
          <cell r="K2477" t="str">
            <v>Ducaud</v>
          </cell>
          <cell r="N2477" t="str">
            <v>B</v>
          </cell>
        </row>
        <row r="2478">
          <cell r="B2478" t="str">
            <v>VJYK98</v>
          </cell>
          <cell r="C2478" t="str">
            <v>LDYECS312S0044300</v>
          </cell>
          <cell r="D2478" t="str">
            <v>MDN350025010178</v>
          </cell>
          <cell r="E2478" t="str">
            <v>Zhong Thong</v>
          </cell>
          <cell r="F2478" t="str">
            <v>Lck6122evg</v>
          </cell>
          <cell r="G2478" t="str">
            <v>Zhong Thong</v>
          </cell>
          <cell r="H2478" t="str">
            <v>Lck6122evg</v>
          </cell>
          <cell r="I2478">
            <v>2026</v>
          </cell>
          <cell r="J2478" t="str">
            <v>B</v>
          </cell>
          <cell r="K2478" t="str">
            <v>Ducaud</v>
          </cell>
          <cell r="N2478" t="str">
            <v>B</v>
          </cell>
        </row>
        <row r="2479">
          <cell r="B2479" t="str">
            <v>VJYL12</v>
          </cell>
          <cell r="C2479" t="str">
            <v>LDYECS313S0044290</v>
          </cell>
          <cell r="D2479" t="str">
            <v>MDN35025020214</v>
          </cell>
          <cell r="E2479" t="str">
            <v>Zhong Thong</v>
          </cell>
          <cell r="F2479" t="str">
            <v>Lck6122evg</v>
          </cell>
          <cell r="G2479" t="str">
            <v>Zhong Thong</v>
          </cell>
          <cell r="H2479" t="str">
            <v>Lck6122evg</v>
          </cell>
          <cell r="I2479">
            <v>2026</v>
          </cell>
          <cell r="J2479" t="str">
            <v>B</v>
          </cell>
          <cell r="K2479" t="str">
            <v>Ducaud</v>
          </cell>
          <cell r="N2479" t="str">
            <v>B</v>
          </cell>
        </row>
        <row r="2480">
          <cell r="B2480" t="str">
            <v>VJYL17</v>
          </cell>
          <cell r="C2480" t="str">
            <v>LDYECS317S0044356</v>
          </cell>
          <cell r="D2480" t="str">
            <v>MDN35025010073</v>
          </cell>
          <cell r="E2480" t="str">
            <v>Zhong Thong</v>
          </cell>
          <cell r="F2480" t="str">
            <v>Lck6122evg</v>
          </cell>
          <cell r="G2480" t="str">
            <v>Zhong Thong</v>
          </cell>
          <cell r="H2480" t="str">
            <v>Lck6122evg</v>
          </cell>
          <cell r="I2480">
            <v>2026</v>
          </cell>
          <cell r="J2480" t="str">
            <v>B</v>
          </cell>
          <cell r="K2480" t="str">
            <v>Ducaud</v>
          </cell>
          <cell r="N2480" t="str">
            <v>B</v>
          </cell>
        </row>
        <row r="2481">
          <cell r="B2481" t="str">
            <v>VJZB37</v>
          </cell>
          <cell r="C2481" t="str">
            <v>LDYECS31XS0044139</v>
          </cell>
          <cell r="D2481" t="str">
            <v>MDN35025030088</v>
          </cell>
          <cell r="E2481" t="str">
            <v>Zhong Thong</v>
          </cell>
          <cell r="F2481" t="str">
            <v>Lck6122evg</v>
          </cell>
          <cell r="G2481" t="str">
            <v>Zhong Thong</v>
          </cell>
          <cell r="H2481" t="str">
            <v>Lck6122evg</v>
          </cell>
          <cell r="I2481">
            <v>2026</v>
          </cell>
          <cell r="J2481" t="str">
            <v>B</v>
          </cell>
          <cell r="K2481" t="str">
            <v>Lo Blanco</v>
          </cell>
          <cell r="N2481" t="str">
            <v>B</v>
          </cell>
        </row>
        <row r="2482">
          <cell r="B2482" t="str">
            <v>VJZB47</v>
          </cell>
          <cell r="C2482" t="str">
            <v>LDYECS315S0044145</v>
          </cell>
          <cell r="D2482" t="str">
            <v>MDN35025030096</v>
          </cell>
          <cell r="E2482" t="str">
            <v>Zhong Thong</v>
          </cell>
          <cell r="F2482" t="str">
            <v>Lck6122evg</v>
          </cell>
          <cell r="G2482" t="str">
            <v>Zhong Thong</v>
          </cell>
          <cell r="H2482" t="str">
            <v>Lck6122evg</v>
          </cell>
          <cell r="I2482">
            <v>2026</v>
          </cell>
          <cell r="J2482" t="str">
            <v>B</v>
          </cell>
          <cell r="K2482" t="str">
            <v>Lo Blanco</v>
          </cell>
          <cell r="N2482" t="str">
            <v>B</v>
          </cell>
        </row>
        <row r="2483">
          <cell r="B2483" t="str">
            <v>VJZB57</v>
          </cell>
          <cell r="C2483" t="str">
            <v>LDYECS316S0044140</v>
          </cell>
          <cell r="D2483" t="str">
            <v>MDN35025030038</v>
          </cell>
          <cell r="E2483" t="str">
            <v>Zhong Thong</v>
          </cell>
          <cell r="F2483" t="str">
            <v>Lck6122evg</v>
          </cell>
          <cell r="G2483" t="str">
            <v>Zhong Thong</v>
          </cell>
          <cell r="H2483" t="str">
            <v>Lck6122evg</v>
          </cell>
          <cell r="I2483">
            <v>2026</v>
          </cell>
          <cell r="J2483" t="str">
            <v>B</v>
          </cell>
          <cell r="K2483" t="str">
            <v>Lo Blanco</v>
          </cell>
          <cell r="N2483" t="str">
            <v>B</v>
          </cell>
        </row>
        <row r="2484">
          <cell r="B2484" t="str">
            <v>VJZB67</v>
          </cell>
          <cell r="C2484" t="str">
            <v>LDYECS317S0044230</v>
          </cell>
          <cell r="D2484" t="str">
            <v>MDN35025020272</v>
          </cell>
          <cell r="E2484" t="str">
            <v>Zhong Thong</v>
          </cell>
          <cell r="F2484" t="str">
            <v>Lck6122evg</v>
          </cell>
          <cell r="G2484" t="str">
            <v>Zhong Thong</v>
          </cell>
          <cell r="H2484" t="str">
            <v>Lck6122evg</v>
          </cell>
          <cell r="I2484">
            <v>2026</v>
          </cell>
          <cell r="J2484" t="str">
            <v>B</v>
          </cell>
          <cell r="K2484" t="str">
            <v>Lo Blanco</v>
          </cell>
          <cell r="N2484" t="str">
            <v>B</v>
          </cell>
        </row>
        <row r="2485">
          <cell r="B2485" t="str">
            <v>VJZB77</v>
          </cell>
          <cell r="C2485" t="str">
            <v>LDYECS317S0044227</v>
          </cell>
          <cell r="D2485" t="str">
            <v>MDN35025020261</v>
          </cell>
          <cell r="E2485" t="str">
            <v>Zhong Thong</v>
          </cell>
          <cell r="F2485" t="str">
            <v>Lck6122evg</v>
          </cell>
          <cell r="G2485" t="str">
            <v>Zhong Thong</v>
          </cell>
          <cell r="H2485" t="str">
            <v>Lck6122evg</v>
          </cell>
          <cell r="I2485">
            <v>2026</v>
          </cell>
          <cell r="J2485" t="str">
            <v>B</v>
          </cell>
          <cell r="K2485" t="str">
            <v>Lo Blanco</v>
          </cell>
          <cell r="N2485" t="str">
            <v>B</v>
          </cell>
        </row>
        <row r="2486">
          <cell r="B2486" t="str">
            <v>VJZB87</v>
          </cell>
          <cell r="C2486" t="str">
            <v>LDYECS315S0044288</v>
          </cell>
          <cell r="D2486" t="str">
            <v>MDN35025020208</v>
          </cell>
          <cell r="E2486" t="str">
            <v>Zhong Thong</v>
          </cell>
          <cell r="F2486" t="str">
            <v>Lck6122evg</v>
          </cell>
          <cell r="G2486" t="str">
            <v>Zhong Thong</v>
          </cell>
          <cell r="H2486" t="str">
            <v>Lck6122evg</v>
          </cell>
          <cell r="I2486">
            <v>2026</v>
          </cell>
          <cell r="J2486" t="str">
            <v>B</v>
          </cell>
          <cell r="K2486" t="str">
            <v>Ducaud</v>
          </cell>
          <cell r="N2486" t="str">
            <v>B</v>
          </cell>
        </row>
        <row r="2487">
          <cell r="B2487" t="str">
            <v>VJZB97</v>
          </cell>
          <cell r="C2487" t="str">
            <v>LDYECS313S0044192</v>
          </cell>
          <cell r="D2487" t="str">
            <v>MDN35025020256</v>
          </cell>
          <cell r="E2487" t="str">
            <v>Zhong Thong</v>
          </cell>
          <cell r="F2487" t="str">
            <v>Lck6122evg</v>
          </cell>
          <cell r="G2487" t="str">
            <v>Zhong Thong</v>
          </cell>
          <cell r="H2487" t="str">
            <v>Lck6122evg</v>
          </cell>
          <cell r="I2487">
            <v>2026</v>
          </cell>
          <cell r="J2487" t="str">
            <v>B</v>
          </cell>
          <cell r="K2487" t="str">
            <v>Ducaud</v>
          </cell>
          <cell r="N2487" t="str">
            <v>B</v>
          </cell>
        </row>
        <row r="2488">
          <cell r="B2488" t="str">
            <v>VJZC57</v>
          </cell>
          <cell r="C2488" t="str">
            <v>LDYECS315S0044193</v>
          </cell>
          <cell r="D2488" t="str">
            <v>MDN35025020248</v>
          </cell>
          <cell r="E2488" t="str">
            <v>Zhong Thong</v>
          </cell>
          <cell r="F2488" t="str">
            <v>Lck6122evg</v>
          </cell>
          <cell r="G2488" t="str">
            <v>Zhong Thong</v>
          </cell>
          <cell r="H2488" t="str">
            <v>Lck6122evg</v>
          </cell>
          <cell r="I2488">
            <v>2026</v>
          </cell>
          <cell r="J2488" t="str">
            <v>B</v>
          </cell>
          <cell r="K2488" t="str">
            <v>Ducaud</v>
          </cell>
          <cell r="N2488" t="str">
            <v>B</v>
          </cell>
        </row>
        <row r="2489">
          <cell r="B2489" t="str">
            <v>VJZH87</v>
          </cell>
          <cell r="C2489" t="str">
            <v>LDYECS31XS0044271</v>
          </cell>
          <cell r="D2489" t="str">
            <v>MDN35025020210</v>
          </cell>
          <cell r="E2489" t="str">
            <v>Zhong Thong</v>
          </cell>
          <cell r="F2489" t="str">
            <v>Lck6122evg</v>
          </cell>
          <cell r="G2489" t="str">
            <v>Zhong Thong</v>
          </cell>
          <cell r="H2489" t="str">
            <v>Lck6122evg</v>
          </cell>
          <cell r="I2489">
            <v>2026</v>
          </cell>
          <cell r="J2489" t="str">
            <v>B</v>
          </cell>
          <cell r="K2489" t="str">
            <v>Ducaud</v>
          </cell>
          <cell r="N2489" t="str">
            <v>B</v>
          </cell>
        </row>
        <row r="2490">
          <cell r="B2490" t="str">
            <v>VJZH97</v>
          </cell>
          <cell r="C2490" t="str">
            <v>LDYECS31XS0044268</v>
          </cell>
          <cell r="D2490" t="str">
            <v>MDN3502520269</v>
          </cell>
          <cell r="E2490" t="str">
            <v>Zhong Thong</v>
          </cell>
          <cell r="F2490" t="str">
            <v>Lck6122evg</v>
          </cell>
          <cell r="G2490" t="str">
            <v>Zhong Thong</v>
          </cell>
          <cell r="H2490" t="str">
            <v>Lck6122evg</v>
          </cell>
          <cell r="I2490">
            <v>2026</v>
          </cell>
          <cell r="J2490" t="str">
            <v>B</v>
          </cell>
          <cell r="K2490" t="str">
            <v>Ducaud</v>
          </cell>
          <cell r="N2490" t="str">
            <v>B</v>
          </cell>
        </row>
        <row r="2491">
          <cell r="B2491" t="str">
            <v>VJZJ56</v>
          </cell>
          <cell r="C2491" t="str">
            <v>LDYECS319S0044262</v>
          </cell>
          <cell r="D2491" t="str">
            <v>MDN35025020247</v>
          </cell>
          <cell r="E2491" t="str">
            <v>Zhong Thong</v>
          </cell>
          <cell r="F2491" t="str">
            <v>Lck6122evg</v>
          </cell>
          <cell r="G2491" t="str">
            <v>Zhong Thong</v>
          </cell>
          <cell r="H2491" t="str">
            <v>Lck6122evg</v>
          </cell>
          <cell r="I2491">
            <v>2026</v>
          </cell>
          <cell r="J2491" t="str">
            <v>B</v>
          </cell>
          <cell r="K2491" t="str">
            <v>Ducaud</v>
          </cell>
          <cell r="N2491" t="str">
            <v>B</v>
          </cell>
        </row>
        <row r="2492">
          <cell r="B2492" t="str">
            <v>VJZJ66</v>
          </cell>
          <cell r="C2492" t="str">
            <v>LDYECS311S0044269</v>
          </cell>
          <cell r="D2492" t="str">
            <v>MDN35025020266</v>
          </cell>
          <cell r="E2492" t="str">
            <v>Zhong Thong</v>
          </cell>
          <cell r="F2492" t="str">
            <v>Lck6122evg</v>
          </cell>
          <cell r="G2492" t="str">
            <v>Zhong Thong</v>
          </cell>
          <cell r="H2492" t="str">
            <v>Lck6122evg</v>
          </cell>
          <cell r="I2492">
            <v>2026</v>
          </cell>
          <cell r="J2492" t="str">
            <v>B</v>
          </cell>
          <cell r="K2492" t="str">
            <v>Ducaud</v>
          </cell>
          <cell r="N2492" t="str">
            <v>B</v>
          </cell>
        </row>
        <row r="2493">
          <cell r="B2493" t="str">
            <v>VKFW93</v>
          </cell>
          <cell r="C2493" t="str">
            <v>LDYECS311S0044272</v>
          </cell>
          <cell r="D2493" t="str">
            <v>MDN35025020270</v>
          </cell>
          <cell r="E2493" t="str">
            <v>Zhong Thong</v>
          </cell>
          <cell r="F2493" t="str">
            <v>Lck6122evg</v>
          </cell>
          <cell r="G2493" t="str">
            <v>Zhong Thong</v>
          </cell>
          <cell r="H2493" t="str">
            <v>Lck6122evg</v>
          </cell>
          <cell r="I2493">
            <v>2026</v>
          </cell>
          <cell r="J2493" t="str">
            <v>B</v>
          </cell>
          <cell r="K2493" t="str">
            <v>Ducaud</v>
          </cell>
          <cell r="N2493" t="str">
            <v>B</v>
          </cell>
        </row>
        <row r="2494">
          <cell r="B2494" t="str">
            <v>VKFX13</v>
          </cell>
          <cell r="C2494" t="str">
            <v>LDYECS317S0044258</v>
          </cell>
          <cell r="D2494" t="str">
            <v>MDN35025020200</v>
          </cell>
          <cell r="E2494" t="str">
            <v>Zhong Thong</v>
          </cell>
          <cell r="F2494" t="str">
            <v>Lck6122evg</v>
          </cell>
          <cell r="G2494" t="str">
            <v>Zhong Thong</v>
          </cell>
          <cell r="H2494" t="str">
            <v>Lck6122evg</v>
          </cell>
          <cell r="I2494">
            <v>2026</v>
          </cell>
          <cell r="J2494" t="str">
            <v>B</v>
          </cell>
          <cell r="K2494" t="str">
            <v>Ducaud</v>
          </cell>
          <cell r="N2494" t="str">
            <v>B</v>
          </cell>
        </row>
        <row r="2495">
          <cell r="B2495" t="str">
            <v>VKFX33</v>
          </cell>
          <cell r="C2495" t="str">
            <v>LDYECS315S0044274</v>
          </cell>
          <cell r="D2495" t="str">
            <v>LDM35025020202</v>
          </cell>
          <cell r="E2495" t="str">
            <v>Zhong Thong</v>
          </cell>
          <cell r="F2495" t="str">
            <v>Lck6122evg</v>
          </cell>
          <cell r="G2495" t="str">
            <v>Zhong Thong</v>
          </cell>
          <cell r="H2495" t="str">
            <v>Lck6122evg</v>
          </cell>
          <cell r="I2495">
            <v>2026</v>
          </cell>
          <cell r="J2495" t="str">
            <v>B</v>
          </cell>
          <cell r="K2495" t="str">
            <v>Ducaud</v>
          </cell>
          <cell r="N2495" t="str">
            <v>B</v>
          </cell>
        </row>
        <row r="2496">
          <cell r="B2496" t="str">
            <v>VKFX63</v>
          </cell>
          <cell r="C2496" t="str">
            <v>LDYECS314S0044279</v>
          </cell>
          <cell r="D2496" t="str">
            <v>MDN35025020206</v>
          </cell>
          <cell r="E2496" t="str">
            <v>Zhong Thong</v>
          </cell>
          <cell r="F2496" t="str">
            <v>Lck6122evg</v>
          </cell>
          <cell r="G2496" t="str">
            <v>Zhong Thong</v>
          </cell>
          <cell r="H2496" t="str">
            <v>Lck6122evg</v>
          </cell>
          <cell r="I2496">
            <v>2026</v>
          </cell>
          <cell r="J2496" t="str">
            <v>B</v>
          </cell>
          <cell r="K2496" t="str">
            <v>Ducaud</v>
          </cell>
          <cell r="N2496" t="str">
            <v>B</v>
          </cell>
        </row>
        <row r="2497">
          <cell r="B2497" t="str">
            <v>VKFX73</v>
          </cell>
          <cell r="C2497" t="str">
            <v>LDYECS316S0044204</v>
          </cell>
          <cell r="D2497" t="str">
            <v>MDN35025020198</v>
          </cell>
          <cell r="E2497" t="str">
            <v>Zhong Thong</v>
          </cell>
          <cell r="F2497" t="str">
            <v>Lck6122evg</v>
          </cell>
          <cell r="G2497" t="str">
            <v>Zhong Thong</v>
          </cell>
          <cell r="H2497" t="str">
            <v>Lck6122evg</v>
          </cell>
          <cell r="I2497">
            <v>2026</v>
          </cell>
          <cell r="J2497" t="str">
            <v>B</v>
          </cell>
          <cell r="K2497" t="str">
            <v>Ducaud</v>
          </cell>
          <cell r="N2497" t="str">
            <v>B</v>
          </cell>
        </row>
        <row r="2498">
          <cell r="B2498" t="str">
            <v>VKFX93</v>
          </cell>
          <cell r="C2498" t="str">
            <v>LDYECS312S0044359</v>
          </cell>
          <cell r="D2498" t="str">
            <v>MDN35025020203</v>
          </cell>
          <cell r="E2498" t="str">
            <v>Zhong Thong</v>
          </cell>
          <cell r="F2498" t="str">
            <v>Lck6122evg</v>
          </cell>
          <cell r="G2498" t="str">
            <v>Zhong Thong</v>
          </cell>
          <cell r="H2498" t="str">
            <v>Lck6122evg</v>
          </cell>
          <cell r="I2498">
            <v>2026</v>
          </cell>
          <cell r="J2498" t="str">
            <v>B</v>
          </cell>
          <cell r="K2498" t="str">
            <v>Ducaud</v>
          </cell>
          <cell r="N2498" t="str">
            <v>B</v>
          </cell>
        </row>
        <row r="2499">
          <cell r="B2499" t="str">
            <v>VKFZ33</v>
          </cell>
          <cell r="C2499" t="str">
            <v>LDYECS314S0044363</v>
          </cell>
          <cell r="D2499" t="str">
            <v>MDN35025010121</v>
          </cell>
          <cell r="E2499" t="str">
            <v>Zhong Thong</v>
          </cell>
          <cell r="F2499" t="str">
            <v>Lck6122evg</v>
          </cell>
          <cell r="G2499" t="str">
            <v>Zhong Thong</v>
          </cell>
          <cell r="H2499" t="str">
            <v>Lck6122evg</v>
          </cell>
          <cell r="I2499">
            <v>2026</v>
          </cell>
          <cell r="J2499" t="str">
            <v>B</v>
          </cell>
          <cell r="K2499" t="str">
            <v>Ducaud</v>
          </cell>
          <cell r="N2499" t="str">
            <v>B</v>
          </cell>
        </row>
        <row r="2500">
          <cell r="B2500" t="str">
            <v>VKFZ53</v>
          </cell>
          <cell r="C2500" t="str">
            <v>LDYECS315S0044307</v>
          </cell>
          <cell r="D2500" t="str">
            <v>MDN35025030028</v>
          </cell>
          <cell r="E2500" t="str">
            <v>Zhong Thong</v>
          </cell>
          <cell r="F2500" t="str">
            <v>Lck6122evg</v>
          </cell>
          <cell r="G2500" t="str">
            <v>Zhong Thong</v>
          </cell>
          <cell r="H2500" t="str">
            <v>Lck6122evg</v>
          </cell>
          <cell r="I2500">
            <v>2026</v>
          </cell>
          <cell r="J2500" t="str">
            <v>B</v>
          </cell>
          <cell r="K2500" t="str">
            <v>Ducaud</v>
          </cell>
          <cell r="N2500" t="str">
            <v>B</v>
          </cell>
        </row>
        <row r="2501">
          <cell r="B2501" t="str">
            <v>VKFZ93</v>
          </cell>
          <cell r="C2501" t="str">
            <v>LDYECS317S0044311</v>
          </cell>
          <cell r="D2501" t="str">
            <v>MDN35025030043</v>
          </cell>
          <cell r="E2501" t="str">
            <v>Zhong Thong</v>
          </cell>
          <cell r="F2501" t="str">
            <v>Lck6122evg</v>
          </cell>
          <cell r="G2501" t="str">
            <v>Zhong Thong</v>
          </cell>
          <cell r="H2501" t="str">
            <v>Lck6122evg</v>
          </cell>
          <cell r="I2501">
            <v>2026</v>
          </cell>
          <cell r="J2501" t="str">
            <v>B</v>
          </cell>
          <cell r="K2501" t="str">
            <v>Ducaud</v>
          </cell>
          <cell r="N2501" t="str">
            <v>B</v>
          </cell>
        </row>
        <row r="2502">
          <cell r="B2502" t="str">
            <v>VKGB43</v>
          </cell>
          <cell r="C2502" t="str">
            <v>LDYECS31XS44318</v>
          </cell>
          <cell r="D2502" t="str">
            <v>MDN35025010176</v>
          </cell>
          <cell r="E2502" t="str">
            <v>Zhong Thong</v>
          </cell>
          <cell r="F2502" t="str">
            <v>Lck6122evg</v>
          </cell>
          <cell r="G2502" t="str">
            <v>Zhong Thong</v>
          </cell>
          <cell r="H2502" t="str">
            <v>Lck6122evg</v>
          </cell>
          <cell r="I2502">
            <v>2026</v>
          </cell>
          <cell r="J2502" t="str">
            <v>B</v>
          </cell>
          <cell r="K2502" t="str">
            <v>Ducaud</v>
          </cell>
          <cell r="N2502" t="str">
            <v>B</v>
          </cell>
        </row>
        <row r="2503">
          <cell r="B2503" t="str">
            <v>VKGB83</v>
          </cell>
          <cell r="C2503" t="str">
            <v>LDYECS312S0044314</v>
          </cell>
          <cell r="D2503" t="str">
            <v>MDN35025030094</v>
          </cell>
          <cell r="E2503" t="str">
            <v>Zhong Thong</v>
          </cell>
          <cell r="F2503" t="str">
            <v>Lck6122evg</v>
          </cell>
          <cell r="G2503" t="str">
            <v>Zhong Thong</v>
          </cell>
          <cell r="H2503" t="str">
            <v>Lck6122evg</v>
          </cell>
          <cell r="I2503">
            <v>2026</v>
          </cell>
          <cell r="J2503" t="str">
            <v>B</v>
          </cell>
          <cell r="K2503" t="str">
            <v>Ducaud</v>
          </cell>
          <cell r="N2503" t="str">
            <v>B</v>
          </cell>
        </row>
        <row r="2504">
          <cell r="B2504" t="str">
            <v>VKGC23</v>
          </cell>
          <cell r="C2504" t="str">
            <v>LDYECS319S0044391</v>
          </cell>
          <cell r="D2504" t="str">
            <v>MDN35025010114</v>
          </cell>
          <cell r="E2504" t="str">
            <v>Zhong Thong</v>
          </cell>
          <cell r="F2504" t="str">
            <v>Lck6122evg</v>
          </cell>
          <cell r="G2504" t="str">
            <v>Zhong Thong</v>
          </cell>
          <cell r="H2504" t="str">
            <v>Lck6122evg</v>
          </cell>
          <cell r="I2504">
            <v>2026</v>
          </cell>
          <cell r="J2504" t="str">
            <v>B</v>
          </cell>
          <cell r="K2504" t="str">
            <v>Ducaud</v>
          </cell>
          <cell r="N2504" t="str">
            <v>B</v>
          </cell>
        </row>
        <row r="2505">
          <cell r="B2505" t="str">
            <v>VKGC63</v>
          </cell>
          <cell r="C2505" t="str">
            <v>LDYECS317S0044387</v>
          </cell>
          <cell r="D2505" t="str">
            <v>MDN35025010083</v>
          </cell>
          <cell r="E2505" t="str">
            <v>Zhong Thong</v>
          </cell>
          <cell r="F2505" t="str">
            <v>Lck6122evg</v>
          </cell>
          <cell r="G2505" t="str">
            <v>Zhong Thong</v>
          </cell>
          <cell r="H2505" t="str">
            <v>Lck6122evg</v>
          </cell>
          <cell r="I2505">
            <v>2026</v>
          </cell>
          <cell r="J2505" t="str">
            <v>B</v>
          </cell>
          <cell r="K2505" t="str">
            <v>Ducaud</v>
          </cell>
          <cell r="N2505" t="str">
            <v>B</v>
          </cell>
        </row>
        <row r="2506">
          <cell r="B2506" t="str">
            <v>VKGC73</v>
          </cell>
          <cell r="C2506" t="str">
            <v>LDYECS314S0044315</v>
          </cell>
          <cell r="D2506" t="str">
            <v>MDN35025010082</v>
          </cell>
          <cell r="E2506" t="str">
            <v>Zhong Thong</v>
          </cell>
          <cell r="F2506" t="str">
            <v>Lck6122evg</v>
          </cell>
          <cell r="G2506" t="str">
            <v>Zhong Thong</v>
          </cell>
          <cell r="H2506" t="str">
            <v>Lck6122evg</v>
          </cell>
          <cell r="I2506">
            <v>2026</v>
          </cell>
          <cell r="J2506" t="str">
            <v>B</v>
          </cell>
          <cell r="K2506" t="str">
            <v>Ducaud</v>
          </cell>
          <cell r="N2506" t="str">
            <v>B</v>
          </cell>
        </row>
        <row r="2507">
          <cell r="B2507" t="str">
            <v>VKGD33</v>
          </cell>
          <cell r="C2507" t="str">
            <v>LDYECS312S0044393</v>
          </cell>
          <cell r="D2507" t="str">
            <v>MDN35025030149</v>
          </cell>
          <cell r="E2507" t="str">
            <v>Zhong Thong</v>
          </cell>
          <cell r="F2507" t="str">
            <v>Lck6122evg</v>
          </cell>
          <cell r="G2507" t="str">
            <v>Zhong Thong</v>
          </cell>
          <cell r="H2507" t="str">
            <v>Lck6122evg</v>
          </cell>
          <cell r="I2507">
            <v>2026</v>
          </cell>
          <cell r="J2507" t="str">
            <v>B</v>
          </cell>
          <cell r="K2507" t="str">
            <v>Ducaud</v>
          </cell>
          <cell r="N2507" t="str">
            <v>B</v>
          </cell>
        </row>
        <row r="2508">
          <cell r="B2508" t="str">
            <v>VKGD43</v>
          </cell>
          <cell r="C2508" t="str">
            <v>MDYECS315S0044386</v>
          </cell>
          <cell r="D2508" t="str">
            <v>MDN35025010084</v>
          </cell>
          <cell r="E2508" t="str">
            <v>Zhong Thong</v>
          </cell>
          <cell r="F2508" t="str">
            <v>Lck6122evg</v>
          </cell>
          <cell r="G2508" t="str">
            <v>Zhong Thong</v>
          </cell>
          <cell r="H2508" t="str">
            <v>Lck6122evg</v>
          </cell>
          <cell r="I2508">
            <v>2026</v>
          </cell>
          <cell r="J2508" t="str">
            <v>B</v>
          </cell>
          <cell r="K2508" t="str">
            <v>Ducaud</v>
          </cell>
          <cell r="N2508" t="str">
            <v>B</v>
          </cell>
        </row>
        <row r="2509">
          <cell r="B2509" t="str">
            <v>VKGF93</v>
          </cell>
          <cell r="C2509" t="str">
            <v>LDYECS318S0044320</v>
          </cell>
          <cell r="D2509" t="str">
            <v>MDN35025010160</v>
          </cell>
          <cell r="E2509" t="str">
            <v>Zhong Thong</v>
          </cell>
          <cell r="F2509" t="str">
            <v>Lck6122evg</v>
          </cell>
          <cell r="G2509" t="str">
            <v>Zhong Thong</v>
          </cell>
          <cell r="H2509" t="str">
            <v>Lck6122evg</v>
          </cell>
          <cell r="I2509">
            <v>2026</v>
          </cell>
          <cell r="J2509" t="str">
            <v>B</v>
          </cell>
          <cell r="K2509" t="str">
            <v>Ducaud</v>
          </cell>
          <cell r="N2509" t="str">
            <v>B</v>
          </cell>
        </row>
        <row r="2510">
          <cell r="B2510" t="str">
            <v>VKGG13</v>
          </cell>
          <cell r="C2510" t="str">
            <v>LDYECS316S0044395</v>
          </cell>
          <cell r="D2510" t="str">
            <v>MDN35025010172</v>
          </cell>
          <cell r="E2510" t="str">
            <v>Zhong Thong</v>
          </cell>
          <cell r="F2510" t="str">
            <v>Lck6122evg</v>
          </cell>
          <cell r="G2510" t="str">
            <v>Zhong Thong</v>
          </cell>
          <cell r="H2510" t="str">
            <v>Lck6122evg</v>
          </cell>
          <cell r="I2510">
            <v>2026</v>
          </cell>
          <cell r="J2510" t="str">
            <v>B</v>
          </cell>
          <cell r="K2510" t="str">
            <v>Ducaud</v>
          </cell>
          <cell r="N2510" t="str">
            <v>B</v>
          </cell>
        </row>
        <row r="2511">
          <cell r="B2511" t="str">
            <v>VKGG23</v>
          </cell>
          <cell r="C2511" t="str">
            <v>LDYECS314S0044329</v>
          </cell>
          <cell r="D2511" t="str">
            <v>MDN35025010145</v>
          </cell>
          <cell r="E2511" t="str">
            <v>Zhong Thong</v>
          </cell>
          <cell r="F2511" t="str">
            <v>Lck6122evg</v>
          </cell>
          <cell r="G2511" t="str">
            <v>Zhong Thong</v>
          </cell>
          <cell r="H2511" t="str">
            <v>Lck6122evg</v>
          </cell>
          <cell r="I2511">
            <v>2026</v>
          </cell>
          <cell r="J2511" t="str">
            <v>B</v>
          </cell>
          <cell r="K2511" t="str">
            <v>Ducaud</v>
          </cell>
          <cell r="N2511" t="str">
            <v>B</v>
          </cell>
        </row>
        <row r="2512">
          <cell r="B2512" t="str">
            <v>VKGG33</v>
          </cell>
          <cell r="C2512" t="str">
            <v>LDYECS319S0044326</v>
          </cell>
          <cell r="D2512" t="str">
            <v>MDN35025030181</v>
          </cell>
          <cell r="E2512" t="str">
            <v>Zhong Thong</v>
          </cell>
          <cell r="F2512" t="str">
            <v>Lck6122evg</v>
          </cell>
          <cell r="G2512" t="str">
            <v>Zhong Thong</v>
          </cell>
          <cell r="H2512" t="str">
            <v>Lck6122evg</v>
          </cell>
          <cell r="I2512">
            <v>2026</v>
          </cell>
          <cell r="J2512" t="str">
            <v>B</v>
          </cell>
          <cell r="K2512" t="str">
            <v>Ducaud</v>
          </cell>
          <cell r="N2512" t="str">
            <v>B</v>
          </cell>
        </row>
        <row r="2513">
          <cell r="B2513" t="str">
            <v>VKGG53</v>
          </cell>
          <cell r="C2513" t="str">
            <v>LDYECS310S0044330</v>
          </cell>
          <cell r="D2513" t="str">
            <v>MDN35025030253</v>
          </cell>
          <cell r="E2513" t="str">
            <v>Zhong Thong</v>
          </cell>
          <cell r="F2513" t="str">
            <v>Lck6122evg</v>
          </cell>
          <cell r="G2513" t="str">
            <v>Zhong Thong</v>
          </cell>
          <cell r="H2513" t="str">
            <v>Lck6122evg</v>
          </cell>
          <cell r="I2513">
            <v>2026</v>
          </cell>
          <cell r="J2513" t="str">
            <v>B</v>
          </cell>
          <cell r="K2513" t="str">
            <v>Ducaud</v>
          </cell>
          <cell r="N2513" t="str">
            <v>B</v>
          </cell>
        </row>
        <row r="2514">
          <cell r="B2514" t="str">
            <v>VKGG73</v>
          </cell>
          <cell r="C2514" t="str">
            <v>LDYECS319S0044410</v>
          </cell>
          <cell r="D2514" t="str">
            <v>MDN35025030046</v>
          </cell>
          <cell r="E2514" t="str">
            <v>Zhong Thong</v>
          </cell>
          <cell r="F2514" t="str">
            <v>Lck6122evg</v>
          </cell>
          <cell r="G2514" t="str">
            <v>Zhong Thong</v>
          </cell>
          <cell r="H2514" t="str">
            <v>Lck6122evg</v>
          </cell>
          <cell r="I2514">
            <v>2026</v>
          </cell>
          <cell r="J2514" t="str">
            <v>B</v>
          </cell>
          <cell r="K2514" t="str">
            <v>Ducaud</v>
          </cell>
          <cell r="N2514" t="str">
            <v>B</v>
          </cell>
        </row>
        <row r="2515">
          <cell r="B2515" t="str">
            <v>VKGG83</v>
          </cell>
          <cell r="C2515" t="str">
            <v>LDYECS31XS0044397</v>
          </cell>
          <cell r="D2515" t="str">
            <v>MDN35025030184</v>
          </cell>
          <cell r="E2515" t="str">
            <v>Zhong Thong</v>
          </cell>
          <cell r="F2515" t="str">
            <v>Lck6122evg</v>
          </cell>
          <cell r="G2515" t="str">
            <v>Zhong Thong</v>
          </cell>
          <cell r="H2515" t="str">
            <v>Lck6122evg</v>
          </cell>
          <cell r="I2515">
            <v>2026</v>
          </cell>
          <cell r="J2515" t="str">
            <v>B</v>
          </cell>
          <cell r="K2515" t="str">
            <v>Ducaud</v>
          </cell>
          <cell r="N2515" t="str">
            <v>B</v>
          </cell>
        </row>
        <row r="2516">
          <cell r="B2516" t="str">
            <v>VKGG93</v>
          </cell>
          <cell r="C2516" t="str">
            <v>LDYECS316S0044400</v>
          </cell>
          <cell r="D2516" t="str">
            <v>MDN35025030146</v>
          </cell>
          <cell r="E2516" t="str">
            <v>Zhong Thong</v>
          </cell>
          <cell r="F2516" t="str">
            <v>Lck6122evg</v>
          </cell>
          <cell r="G2516" t="str">
            <v>Zhong Thong</v>
          </cell>
          <cell r="H2516" t="str">
            <v>Lck6122evg</v>
          </cell>
          <cell r="I2516">
            <v>2026</v>
          </cell>
          <cell r="J2516" t="str">
            <v>B</v>
          </cell>
          <cell r="K2516" t="str">
            <v>Ducaud</v>
          </cell>
          <cell r="N2516" t="str">
            <v>B</v>
          </cell>
        </row>
        <row r="2517">
          <cell r="B2517" t="str">
            <v>VKGH13</v>
          </cell>
          <cell r="C2517" t="str">
            <v>LDYECS311S0044336</v>
          </cell>
          <cell r="D2517" t="str">
            <v>MDN35025030152</v>
          </cell>
          <cell r="E2517" t="str">
            <v>Zhong Thong</v>
          </cell>
          <cell r="F2517" t="str">
            <v>Lck6122evg</v>
          </cell>
          <cell r="G2517" t="str">
            <v>Zhong Thong</v>
          </cell>
          <cell r="H2517" t="str">
            <v>Lck6122evg</v>
          </cell>
          <cell r="I2517">
            <v>2026</v>
          </cell>
          <cell r="J2517" t="str">
            <v>B</v>
          </cell>
          <cell r="K2517" t="str">
            <v>Ducaud</v>
          </cell>
          <cell r="N2517" t="str">
            <v>B</v>
          </cell>
        </row>
        <row r="2518">
          <cell r="B2518" t="str">
            <v>VKGH23</v>
          </cell>
          <cell r="C2518" t="str">
            <v>LDYECS315S0044338</v>
          </cell>
          <cell r="D2518" t="str">
            <v>MDN35025010150</v>
          </cell>
          <cell r="E2518" t="str">
            <v>Zhong Thong</v>
          </cell>
          <cell r="F2518" t="str">
            <v>Lck6122evg</v>
          </cell>
          <cell r="G2518" t="str">
            <v>Zhong Thong</v>
          </cell>
          <cell r="H2518" t="str">
            <v>Lck6122evg</v>
          </cell>
          <cell r="I2518">
            <v>2026</v>
          </cell>
          <cell r="J2518" t="str">
            <v>B</v>
          </cell>
          <cell r="K2518" t="str">
            <v>Ducaud</v>
          </cell>
          <cell r="N2518" t="str">
            <v>B</v>
          </cell>
        </row>
        <row r="2519">
          <cell r="B2519" t="str">
            <v>VKGH33</v>
          </cell>
          <cell r="C2519" t="str">
            <v>LDYECS311S0044403</v>
          </cell>
          <cell r="D2519" t="str">
            <v>MDN35025030154</v>
          </cell>
          <cell r="E2519" t="str">
            <v>Zhong Thong</v>
          </cell>
          <cell r="F2519" t="str">
            <v>Lck6122evg</v>
          </cell>
          <cell r="G2519" t="str">
            <v>Zhong Thong</v>
          </cell>
          <cell r="H2519" t="str">
            <v>Lck6122evg</v>
          </cell>
          <cell r="I2519">
            <v>2026</v>
          </cell>
          <cell r="J2519" t="str">
            <v>B</v>
          </cell>
          <cell r="K2519" t="str">
            <v>Ducaud</v>
          </cell>
          <cell r="N2519" t="str">
            <v>B</v>
          </cell>
        </row>
        <row r="2520">
          <cell r="B2520" t="str">
            <v>VKGL84</v>
          </cell>
          <cell r="C2520" t="str">
            <v>LDYECS319S0044309</v>
          </cell>
          <cell r="D2520" t="str">
            <v>MDN35025030008</v>
          </cell>
          <cell r="E2520" t="str">
            <v>Zhong Thong</v>
          </cell>
          <cell r="F2520" t="str">
            <v>Lck6122evg</v>
          </cell>
          <cell r="G2520" t="str">
            <v>Zhong Thong</v>
          </cell>
          <cell r="H2520" t="str">
            <v>Lck6122evg</v>
          </cell>
          <cell r="I2520">
            <v>2026</v>
          </cell>
          <cell r="J2520" t="str">
            <v>B</v>
          </cell>
          <cell r="K2520" t="str">
            <v>Ducaud</v>
          </cell>
          <cell r="N2520" t="str">
            <v>B</v>
          </cell>
        </row>
        <row r="2521">
          <cell r="B2521" t="str">
            <v>VKGP35</v>
          </cell>
          <cell r="C2521" t="str">
            <v>LDYECS31XS0044190</v>
          </cell>
          <cell r="D2521" t="str">
            <v>MDN35025020179</v>
          </cell>
          <cell r="E2521" t="str">
            <v>Zhong Thong</v>
          </cell>
          <cell r="F2521" t="str">
            <v>Lck6122evg</v>
          </cell>
          <cell r="G2521" t="str">
            <v>Zhong Thong</v>
          </cell>
          <cell r="H2521" t="str">
            <v>Lck6122evg</v>
          </cell>
          <cell r="I2521">
            <v>2026</v>
          </cell>
          <cell r="J2521" t="str">
            <v>B</v>
          </cell>
          <cell r="K2521" t="str">
            <v>Ducaud</v>
          </cell>
          <cell r="N2521" t="str">
            <v>B</v>
          </cell>
        </row>
        <row r="2522">
          <cell r="B2522" t="str">
            <v>VKGP45</v>
          </cell>
          <cell r="C2522" t="str">
            <v>LDYECS312S0044264</v>
          </cell>
          <cell r="D2522" t="str">
            <v>MDN35025030090</v>
          </cell>
          <cell r="E2522" t="str">
            <v>Zhong Thong</v>
          </cell>
          <cell r="F2522" t="str">
            <v>Lck6122evg</v>
          </cell>
          <cell r="G2522" t="str">
            <v>Zhong Thong</v>
          </cell>
          <cell r="H2522" t="str">
            <v>Lck6122evg</v>
          </cell>
          <cell r="I2522">
            <v>2026</v>
          </cell>
          <cell r="J2522" t="str">
            <v>B</v>
          </cell>
          <cell r="K2522" t="str">
            <v>Ducaud</v>
          </cell>
          <cell r="N2522" t="str">
            <v>B</v>
          </cell>
        </row>
        <row r="2523">
          <cell r="B2523" t="str">
            <v>VKGP55</v>
          </cell>
          <cell r="C2523" t="str">
            <v>LDYECS315S0044355</v>
          </cell>
          <cell r="D2523" t="str">
            <v>MDN35025010086</v>
          </cell>
          <cell r="E2523" t="str">
            <v>Zhong Thong</v>
          </cell>
          <cell r="F2523" t="str">
            <v>Lck6122evg</v>
          </cell>
          <cell r="G2523" t="str">
            <v>Zhong Thong</v>
          </cell>
          <cell r="H2523" t="str">
            <v>Lck6122evg</v>
          </cell>
          <cell r="I2523">
            <v>2026</v>
          </cell>
          <cell r="J2523" t="str">
            <v>B</v>
          </cell>
          <cell r="K2523" t="str">
            <v>Ducaud</v>
          </cell>
          <cell r="N2523" t="str">
            <v>B</v>
          </cell>
        </row>
        <row r="2524">
          <cell r="B2524" t="str">
            <v>VKGP75</v>
          </cell>
          <cell r="C2524" t="str">
            <v>LDYECS311S0044367</v>
          </cell>
          <cell r="D2524" t="str">
            <v>MDN35025010046</v>
          </cell>
          <cell r="E2524" t="str">
            <v>Zhong Thong</v>
          </cell>
          <cell r="F2524" t="str">
            <v>Lck6122evg</v>
          </cell>
          <cell r="G2524" t="str">
            <v>Zhong Thong</v>
          </cell>
          <cell r="H2524" t="str">
            <v>Lck6122evg</v>
          </cell>
          <cell r="I2524">
            <v>2026</v>
          </cell>
          <cell r="J2524" t="str">
            <v>B</v>
          </cell>
          <cell r="K2524" t="str">
            <v>Ducaud</v>
          </cell>
          <cell r="N2524" t="str">
            <v>B</v>
          </cell>
        </row>
        <row r="2525">
          <cell r="B2525" t="str">
            <v>VLBP23</v>
          </cell>
          <cell r="C2525" t="str">
            <v>LDYECS311S0045762</v>
          </cell>
          <cell r="D2525" t="str">
            <v>MDN35025030168</v>
          </cell>
          <cell r="E2525" t="str">
            <v>Zhong Thong</v>
          </cell>
          <cell r="F2525" t="str">
            <v>Lck6122evg</v>
          </cell>
          <cell r="G2525" t="str">
            <v>Zhong Thong</v>
          </cell>
          <cell r="H2525" t="str">
            <v>Lck6122evg</v>
          </cell>
          <cell r="I2525">
            <v>2026</v>
          </cell>
          <cell r="J2525" t="str">
            <v>B</v>
          </cell>
          <cell r="K2525" t="str">
            <v>Ducaud</v>
          </cell>
          <cell r="N2525" t="str">
            <v>B</v>
          </cell>
        </row>
        <row r="2526">
          <cell r="B2526" t="str">
            <v>VLBP73</v>
          </cell>
          <cell r="C2526" t="str">
            <v>LDYECS318S0045760</v>
          </cell>
          <cell r="D2526" t="str">
            <v>MDN35025030276</v>
          </cell>
          <cell r="E2526" t="str">
            <v>Zhong Thong</v>
          </cell>
          <cell r="F2526" t="str">
            <v>Lck6122evg</v>
          </cell>
          <cell r="G2526" t="str">
            <v>Zhong Thong</v>
          </cell>
          <cell r="H2526" t="str">
            <v>Lck6122evg</v>
          </cell>
          <cell r="I2526">
            <v>2026</v>
          </cell>
          <cell r="J2526" t="str">
            <v>B</v>
          </cell>
          <cell r="K2526" t="str">
            <v>Ducaud</v>
          </cell>
          <cell r="N2526" t="str">
            <v>B</v>
          </cell>
        </row>
        <row r="2527">
          <cell r="B2527" t="str">
            <v>VLBZ78</v>
          </cell>
          <cell r="C2527" t="str">
            <v>LDYECS313S0045763</v>
          </cell>
          <cell r="D2527" t="str">
            <v>MDN35025030156</v>
          </cell>
          <cell r="E2527" t="str">
            <v>Zhong Thong</v>
          </cell>
          <cell r="F2527" t="str">
            <v>Lck6122evg</v>
          </cell>
          <cell r="G2527" t="str">
            <v>Zhong Thong</v>
          </cell>
          <cell r="H2527" t="str">
            <v>Lck6122evg</v>
          </cell>
          <cell r="I2527">
            <v>2026</v>
          </cell>
          <cell r="J2527" t="str">
            <v>B</v>
          </cell>
          <cell r="K2527" t="str">
            <v>Ducaud</v>
          </cell>
          <cell r="N2527" t="str">
            <v>B</v>
          </cell>
        </row>
        <row r="2528">
          <cell r="B2528" t="str">
            <v>VLBZ96</v>
          </cell>
          <cell r="C2528" t="str">
            <v>LDYECS314S0044394</v>
          </cell>
          <cell r="D2528" t="str">
            <v>MDN35025030249</v>
          </cell>
          <cell r="E2528" t="str">
            <v>Zhong Thong</v>
          </cell>
          <cell r="F2528" t="str">
            <v>Lck6122evg</v>
          </cell>
          <cell r="G2528" t="str">
            <v>Zhong Thong</v>
          </cell>
          <cell r="H2528" t="str">
            <v>Lck6122evg</v>
          </cell>
          <cell r="I2528">
            <v>2026</v>
          </cell>
          <cell r="J2528" t="str">
            <v>B</v>
          </cell>
          <cell r="K2528" t="str">
            <v>Ducaud</v>
          </cell>
          <cell r="N2528" t="str">
            <v>B</v>
          </cell>
        </row>
        <row r="2529">
          <cell r="B2529" t="str">
            <v>VLCB26</v>
          </cell>
          <cell r="C2529" t="str">
            <v>LDYECS315S0044257</v>
          </cell>
          <cell r="D2529" t="str">
            <v>MDN35025020147</v>
          </cell>
          <cell r="E2529" t="str">
            <v>Zhong Thong</v>
          </cell>
          <cell r="F2529" t="str">
            <v>Lck6122evg</v>
          </cell>
          <cell r="G2529" t="str">
            <v>Zhong Thong</v>
          </cell>
          <cell r="H2529" t="str">
            <v>Lck6122evg</v>
          </cell>
          <cell r="I2529">
            <v>2026</v>
          </cell>
          <cell r="J2529" t="str">
            <v>B</v>
          </cell>
          <cell r="K2529" t="str">
            <v>Ducaud</v>
          </cell>
          <cell r="N2529" t="str">
            <v>B</v>
          </cell>
        </row>
        <row r="2530">
          <cell r="B2530" t="str">
            <v>VLCB56</v>
          </cell>
          <cell r="C2530" t="str">
            <v>LDYECS31XS0045758</v>
          </cell>
          <cell r="D2530" t="str">
            <v>MDN35025030172</v>
          </cell>
          <cell r="E2530" t="str">
            <v>Zhong Thong</v>
          </cell>
          <cell r="F2530" t="str">
            <v>Lck6122evg</v>
          </cell>
          <cell r="G2530" t="str">
            <v>Zhong Thong</v>
          </cell>
          <cell r="H2530" t="str">
            <v>Lck6122evg</v>
          </cell>
          <cell r="I2530">
            <v>2026</v>
          </cell>
          <cell r="J2530" t="str">
            <v>B</v>
          </cell>
          <cell r="K2530" t="str">
            <v>Ducaud</v>
          </cell>
          <cell r="N2530" t="str">
            <v>B</v>
          </cell>
        </row>
        <row r="2531">
          <cell r="B2531" t="str">
            <v>VLCC16</v>
          </cell>
          <cell r="C2531" t="str">
            <v>LDYECS311S0045857</v>
          </cell>
          <cell r="D2531" t="str">
            <v>MDN35025030292</v>
          </cell>
          <cell r="E2531" t="str">
            <v>Zhong Thong</v>
          </cell>
          <cell r="F2531" t="str">
            <v>Lck6122evg</v>
          </cell>
          <cell r="G2531" t="str">
            <v>Zhong Thong</v>
          </cell>
          <cell r="H2531" t="str">
            <v>Lck6122evg</v>
          </cell>
          <cell r="I2531">
            <v>2026</v>
          </cell>
          <cell r="J2531" t="str">
            <v>B</v>
          </cell>
          <cell r="K2531" t="str">
            <v>Ducaud</v>
          </cell>
          <cell r="N2531" t="str">
            <v>B</v>
          </cell>
        </row>
        <row r="2532">
          <cell r="B2532" t="str">
            <v>VLCC36</v>
          </cell>
          <cell r="C2532" t="str">
            <v>LDYECS315S0045764</v>
          </cell>
          <cell r="D2532" t="str">
            <v>MDN35025030157</v>
          </cell>
          <cell r="E2532" t="str">
            <v>Zhong Thong</v>
          </cell>
          <cell r="F2532" t="str">
            <v>Lck6122evg</v>
          </cell>
          <cell r="G2532" t="str">
            <v>Zhong Thong</v>
          </cell>
          <cell r="H2532" t="str">
            <v>Lck6122evg</v>
          </cell>
          <cell r="I2532">
            <v>2026</v>
          </cell>
          <cell r="J2532" t="str">
            <v>B</v>
          </cell>
          <cell r="K2532" t="str">
            <v>Ducaud</v>
          </cell>
          <cell r="N2532" t="str">
            <v>B</v>
          </cell>
        </row>
        <row r="2533">
          <cell r="B2533" t="str">
            <v>VLCD56</v>
          </cell>
          <cell r="C2533" t="str">
            <v>LDYECS315S0045862</v>
          </cell>
          <cell r="D2533" t="str">
            <v>MDN35025030216</v>
          </cell>
          <cell r="E2533" t="str">
            <v>Zhong Thong</v>
          </cell>
          <cell r="F2533" t="str">
            <v>Lck6122evg</v>
          </cell>
          <cell r="G2533" t="str">
            <v>Zhong Thong</v>
          </cell>
          <cell r="H2533" t="str">
            <v>Lck6122evg</v>
          </cell>
          <cell r="I2533">
            <v>2026</v>
          </cell>
          <cell r="J2533" t="str">
            <v>B</v>
          </cell>
          <cell r="K2533" t="str">
            <v>Ducaud</v>
          </cell>
          <cell r="N2533" t="str">
            <v>B</v>
          </cell>
        </row>
        <row r="2534">
          <cell r="B2534" t="str">
            <v>VLCD65</v>
          </cell>
          <cell r="C2534" t="str">
            <v>LDYECS318S0044155</v>
          </cell>
          <cell r="D2534" t="str">
            <v>MDN35025020268</v>
          </cell>
          <cell r="E2534" t="str">
            <v>Zhong Thong</v>
          </cell>
          <cell r="F2534" t="str">
            <v>Lck6122evg</v>
          </cell>
          <cell r="G2534" t="str">
            <v>Zhong Thong</v>
          </cell>
          <cell r="H2534" t="str">
            <v>Lck6122evg</v>
          </cell>
          <cell r="I2534">
            <v>2026</v>
          </cell>
          <cell r="J2534" t="str">
            <v>B</v>
          </cell>
          <cell r="K2534" t="str">
            <v>Ducaud</v>
          </cell>
          <cell r="N2534" t="str">
            <v>B</v>
          </cell>
        </row>
        <row r="2535">
          <cell r="B2535" t="str">
            <v>VLCF18</v>
          </cell>
          <cell r="C2535" t="str">
            <v>LDYECS315S0045781</v>
          </cell>
          <cell r="D2535" t="str">
            <v>MDN35025030229</v>
          </cell>
          <cell r="E2535" t="str">
            <v>Zhong Thong</v>
          </cell>
          <cell r="F2535" t="str">
            <v>Lck6122evg</v>
          </cell>
          <cell r="G2535" t="str">
            <v>Zhong Thong</v>
          </cell>
          <cell r="H2535" t="str">
            <v>Lck6122evg</v>
          </cell>
          <cell r="I2535">
            <v>2026</v>
          </cell>
          <cell r="J2535" t="str">
            <v>B</v>
          </cell>
          <cell r="K2535" t="str">
            <v>Ducaud</v>
          </cell>
          <cell r="N2535" t="str">
            <v>B</v>
          </cell>
        </row>
        <row r="2536">
          <cell r="B2536" t="str">
            <v>VLCF76</v>
          </cell>
          <cell r="C2536" t="str">
            <v>LDYECS317S0045765</v>
          </cell>
          <cell r="D2536" t="str">
            <v>MDN35025030272</v>
          </cell>
          <cell r="E2536" t="str">
            <v>Zhong Thong</v>
          </cell>
          <cell r="F2536" t="str">
            <v>Lck6122evg</v>
          </cell>
          <cell r="G2536" t="str">
            <v>Zhong Thong</v>
          </cell>
          <cell r="H2536" t="str">
            <v>Lck6122evg</v>
          </cell>
          <cell r="I2536">
            <v>2026</v>
          </cell>
          <cell r="J2536" t="str">
            <v>B</v>
          </cell>
          <cell r="K2536" t="str">
            <v>Ducaud</v>
          </cell>
          <cell r="N2536" t="str">
            <v>B</v>
          </cell>
        </row>
        <row r="2537">
          <cell r="B2537" t="str">
            <v>VLCG67</v>
          </cell>
          <cell r="C2537" t="str">
            <v>LDYECS319S0045752</v>
          </cell>
          <cell r="D2537" t="str">
            <v>MDN35025030131</v>
          </cell>
          <cell r="E2537" t="str">
            <v>Zhong Thong</v>
          </cell>
          <cell r="F2537" t="str">
            <v>Lck6122evg</v>
          </cell>
          <cell r="G2537" t="str">
            <v>Zhong Thong</v>
          </cell>
          <cell r="H2537" t="str">
            <v>Lck6122evg</v>
          </cell>
          <cell r="I2537">
            <v>2026</v>
          </cell>
          <cell r="J2537" t="str">
            <v>B</v>
          </cell>
          <cell r="K2537" t="str">
            <v>Ducaud</v>
          </cell>
          <cell r="N2537" t="str">
            <v>B</v>
          </cell>
        </row>
        <row r="2538">
          <cell r="B2538" t="str">
            <v>VLCK37</v>
          </cell>
          <cell r="C2538" t="str">
            <v>LDYECS313S0045861</v>
          </cell>
          <cell r="D2538" t="str">
            <v>MDN35025030174</v>
          </cell>
          <cell r="E2538" t="str">
            <v>Zhong Thong</v>
          </cell>
          <cell r="F2538" t="str">
            <v>Lck6122evg</v>
          </cell>
          <cell r="G2538" t="str">
            <v>Zhong Thong</v>
          </cell>
          <cell r="H2538" t="str">
            <v>Lck6122evg</v>
          </cell>
          <cell r="I2538">
            <v>2026</v>
          </cell>
          <cell r="J2538" t="str">
            <v>B</v>
          </cell>
          <cell r="K2538" t="str">
            <v>Ducaud</v>
          </cell>
          <cell r="N2538" t="str">
            <v>B</v>
          </cell>
        </row>
        <row r="2539">
          <cell r="B2539" t="str">
            <v>VLCK77</v>
          </cell>
          <cell r="C2539" t="str">
            <v>LDYECS316S0045773</v>
          </cell>
          <cell r="D2539" t="str">
            <v>MDN35025030170</v>
          </cell>
          <cell r="E2539" t="str">
            <v>Zhong Thong</v>
          </cell>
          <cell r="F2539" t="str">
            <v>Lck6122evg</v>
          </cell>
          <cell r="G2539" t="str">
            <v>Zhong Thong</v>
          </cell>
          <cell r="H2539" t="str">
            <v>Lck6122evg</v>
          </cell>
          <cell r="I2539">
            <v>2026</v>
          </cell>
          <cell r="J2539" t="str">
            <v>B</v>
          </cell>
          <cell r="K2539" t="str">
            <v>Ducaud</v>
          </cell>
          <cell r="N2539" t="str">
            <v>B</v>
          </cell>
        </row>
        <row r="2540">
          <cell r="B2540" t="str">
            <v>VLFG56</v>
          </cell>
          <cell r="C2540" t="str">
            <v>LDYECS312S0045771</v>
          </cell>
          <cell r="D2540" t="str">
            <v>MDN35025030182</v>
          </cell>
          <cell r="E2540" t="str">
            <v>Zhong Thong</v>
          </cell>
          <cell r="F2540" t="str">
            <v>Lck6122evg</v>
          </cell>
          <cell r="G2540" t="str">
            <v>Zhong Thong</v>
          </cell>
          <cell r="H2540" t="str">
            <v>Lck6122evg</v>
          </cell>
          <cell r="I2540">
            <v>2026</v>
          </cell>
          <cell r="J2540" t="str">
            <v>B</v>
          </cell>
          <cell r="K2540" t="str">
            <v>Ducaud</v>
          </cell>
          <cell r="N2540" t="str">
            <v>B</v>
          </cell>
        </row>
        <row r="2541">
          <cell r="B2541" t="str">
            <v>VLFG69</v>
          </cell>
          <cell r="C2541" t="str">
            <v>LDYECS314S0045870</v>
          </cell>
          <cell r="D2541" t="str">
            <v>MDN35025030202</v>
          </cell>
          <cell r="E2541" t="str">
            <v>Zhong Thong</v>
          </cell>
          <cell r="F2541" t="str">
            <v>Lck6122evg</v>
          </cell>
          <cell r="G2541" t="str">
            <v>Zhong Thong</v>
          </cell>
          <cell r="H2541" t="str">
            <v>Lck6122evg</v>
          </cell>
          <cell r="I2541">
            <v>2026</v>
          </cell>
          <cell r="J2541" t="str">
            <v>B</v>
          </cell>
          <cell r="K2541" t="str">
            <v>Ducaud</v>
          </cell>
          <cell r="N2541" t="str">
            <v>B</v>
          </cell>
        </row>
        <row r="2542">
          <cell r="B2542" t="str">
            <v>VLFG78</v>
          </cell>
          <cell r="C2542" t="str">
            <v>LDYECS312S0045866</v>
          </cell>
          <cell r="D2542" t="str">
            <v>MDN35025030296</v>
          </cell>
          <cell r="E2542" t="str">
            <v>Zhong Thong</v>
          </cell>
          <cell r="F2542" t="str">
            <v>Lck6122evg</v>
          </cell>
          <cell r="G2542" t="str">
            <v>Zhong Thong</v>
          </cell>
          <cell r="H2542" t="str">
            <v>Lck6122evg</v>
          </cell>
          <cell r="I2542">
            <v>2026</v>
          </cell>
          <cell r="J2542" t="str">
            <v>B</v>
          </cell>
          <cell r="K2542" t="str">
            <v>Ducaud</v>
          </cell>
          <cell r="N2542" t="str">
            <v>B</v>
          </cell>
        </row>
        <row r="2543">
          <cell r="B2543" t="str">
            <v>VLFG89</v>
          </cell>
          <cell r="C2543" t="str">
            <v>LDYECS314S0045867</v>
          </cell>
          <cell r="D2543" t="str">
            <v>MDN35025030263</v>
          </cell>
          <cell r="E2543" t="str">
            <v>Zhong Thong</v>
          </cell>
          <cell r="F2543" t="str">
            <v>Lck6122evg</v>
          </cell>
          <cell r="G2543" t="str">
            <v>Zhong Thong</v>
          </cell>
          <cell r="H2543" t="str">
            <v>Lck6122evg</v>
          </cell>
          <cell r="I2543">
            <v>2026</v>
          </cell>
          <cell r="J2543" t="str">
            <v>B</v>
          </cell>
          <cell r="K2543" t="str">
            <v>Ducaud</v>
          </cell>
          <cell r="N2543" t="str">
            <v>B</v>
          </cell>
        </row>
        <row r="2544">
          <cell r="B2544" t="str">
            <v>VLFH16</v>
          </cell>
          <cell r="C2544" t="str">
            <v>LDYECS318S0045872</v>
          </cell>
          <cell r="D2544" t="str">
            <v>MDN35025030208</v>
          </cell>
          <cell r="E2544" t="str">
            <v>Zhong Thong</v>
          </cell>
          <cell r="F2544" t="str">
            <v>Lck6122evg</v>
          </cell>
          <cell r="G2544" t="str">
            <v>Zhong Thong</v>
          </cell>
          <cell r="H2544" t="str">
            <v>Lck6122evg</v>
          </cell>
          <cell r="I2544">
            <v>2026</v>
          </cell>
          <cell r="J2544" t="str">
            <v>B</v>
          </cell>
          <cell r="K2544" t="str">
            <v>Ducaud</v>
          </cell>
          <cell r="N2544" t="str">
            <v>B</v>
          </cell>
        </row>
        <row r="2545">
          <cell r="B2545" t="str">
            <v>VLFH46</v>
          </cell>
          <cell r="C2545" t="str">
            <v>LDYECS310S0045770</v>
          </cell>
          <cell r="D2545" t="str">
            <v>MDN35025030277</v>
          </cell>
          <cell r="E2545" t="str">
            <v>Zhong Thong</v>
          </cell>
          <cell r="F2545" t="str">
            <v>Lck6122evg</v>
          </cell>
          <cell r="G2545" t="str">
            <v>Zhong Thong</v>
          </cell>
          <cell r="H2545" t="str">
            <v>Lck6122evg</v>
          </cell>
          <cell r="I2545">
            <v>2026</v>
          </cell>
          <cell r="J2545" t="str">
            <v>B</v>
          </cell>
          <cell r="K2545" t="str">
            <v>Ducaud</v>
          </cell>
          <cell r="N2545" t="str">
            <v>B</v>
          </cell>
        </row>
        <row r="2546">
          <cell r="B2546" t="str">
            <v>VLFH48</v>
          </cell>
          <cell r="C2546" t="str">
            <v>LDYECS31XS0045713</v>
          </cell>
          <cell r="D2546" t="str">
            <v>MDN35025030118</v>
          </cell>
          <cell r="E2546" t="str">
            <v>Zhong Thong</v>
          </cell>
          <cell r="F2546" t="str">
            <v>Lck6122evg</v>
          </cell>
          <cell r="G2546" t="str">
            <v>Zhong Thong</v>
          </cell>
          <cell r="H2546" t="str">
            <v>Lck6122evg</v>
          </cell>
          <cell r="I2546">
            <v>2026</v>
          </cell>
          <cell r="J2546" t="str">
            <v>B</v>
          </cell>
          <cell r="K2546" t="str">
            <v>Las Acacias</v>
          </cell>
          <cell r="N2546" t="str">
            <v>B</v>
          </cell>
        </row>
        <row r="2547">
          <cell r="B2547" t="str">
            <v>VLFH56</v>
          </cell>
          <cell r="C2547" t="str">
            <v>LDYECS31XS0045808</v>
          </cell>
          <cell r="D2547" t="str">
            <v>MDN35025030192</v>
          </cell>
          <cell r="E2547" t="str">
            <v>Zhong Thong</v>
          </cell>
          <cell r="F2547" t="str">
            <v>Lck6122evg</v>
          </cell>
          <cell r="G2547" t="str">
            <v>Zhong Thong</v>
          </cell>
          <cell r="H2547" t="str">
            <v>Lck6122evg</v>
          </cell>
          <cell r="I2547">
            <v>2026</v>
          </cell>
          <cell r="J2547" t="str">
            <v>B</v>
          </cell>
          <cell r="K2547" t="str">
            <v>Las Acacias</v>
          </cell>
          <cell r="N2547" t="str">
            <v>B</v>
          </cell>
        </row>
        <row r="2548">
          <cell r="B2548" t="str">
            <v>VLFH63</v>
          </cell>
          <cell r="C2548" t="str">
            <v>8LDYECS314S004578</v>
          </cell>
          <cell r="D2548" t="str">
            <v>MDN35025030194</v>
          </cell>
          <cell r="E2548" t="str">
            <v>Zhong Thong</v>
          </cell>
          <cell r="F2548" t="str">
            <v>Lck6122evg</v>
          </cell>
          <cell r="G2548" t="str">
            <v>Zhong Thong</v>
          </cell>
          <cell r="H2548" t="str">
            <v>Lck6122evg</v>
          </cell>
          <cell r="I2548">
            <v>2026</v>
          </cell>
          <cell r="J2548" t="str">
            <v>B</v>
          </cell>
          <cell r="K2548" t="str">
            <v>Las Acacias</v>
          </cell>
          <cell r="N2548" t="str">
            <v>B</v>
          </cell>
        </row>
        <row r="2549">
          <cell r="B2549" t="str">
            <v>VLFJ57</v>
          </cell>
          <cell r="C2549" t="str">
            <v>LDYECS310S0045705</v>
          </cell>
          <cell r="D2549" t="str">
            <v>MDN35025030236</v>
          </cell>
          <cell r="E2549" t="str">
            <v>Zhong Thong</v>
          </cell>
          <cell r="F2549" t="str">
            <v>Lck6122evg</v>
          </cell>
          <cell r="G2549" t="str">
            <v>Zhong Thong</v>
          </cell>
          <cell r="H2549" t="str">
            <v>Lck6122evg</v>
          </cell>
          <cell r="I2549">
            <v>2026</v>
          </cell>
          <cell r="J2549" t="str">
            <v>B</v>
          </cell>
          <cell r="K2549" t="str">
            <v>Las Acacias</v>
          </cell>
          <cell r="N2549" t="str">
            <v>B</v>
          </cell>
        </row>
        <row r="2550">
          <cell r="B2550" t="str">
            <v>VLFJ62</v>
          </cell>
          <cell r="C2550" t="str">
            <v>LDYECS318S0045774</v>
          </cell>
          <cell r="D2550" t="str">
            <v>MDN35025030173</v>
          </cell>
          <cell r="E2550" t="str">
            <v>Zhong Thong</v>
          </cell>
          <cell r="F2550" t="str">
            <v>Lck6122evg</v>
          </cell>
          <cell r="G2550" t="str">
            <v>Zhong Thong</v>
          </cell>
          <cell r="H2550" t="str">
            <v>Lck6122evg</v>
          </cell>
          <cell r="I2550">
            <v>2026</v>
          </cell>
          <cell r="J2550" t="str">
            <v>B</v>
          </cell>
          <cell r="K2550" t="str">
            <v>Las Acacias</v>
          </cell>
          <cell r="N2550" t="str">
            <v>B</v>
          </cell>
        </row>
        <row r="2551">
          <cell r="B2551" t="str">
            <v>VLFJ65</v>
          </cell>
          <cell r="C2551" t="str">
            <v>LDYECS310S0045784</v>
          </cell>
          <cell r="D2551" t="str">
            <v>MDN35025030197</v>
          </cell>
          <cell r="E2551" t="str">
            <v>Zhong Thong</v>
          </cell>
          <cell r="F2551" t="str">
            <v>Lck6122evg</v>
          </cell>
          <cell r="G2551" t="str">
            <v>Zhong Thong</v>
          </cell>
          <cell r="H2551" t="str">
            <v>Lck6122evg</v>
          </cell>
          <cell r="I2551">
            <v>2026</v>
          </cell>
          <cell r="J2551" t="str">
            <v>B</v>
          </cell>
          <cell r="K2551" t="str">
            <v>Las Acacias</v>
          </cell>
          <cell r="N2551" t="str">
            <v>B</v>
          </cell>
        </row>
        <row r="2552">
          <cell r="B2552" t="str">
            <v>VLFJ82</v>
          </cell>
          <cell r="C2552" t="str">
            <v>LDYECS311S0045700</v>
          </cell>
          <cell r="D2552" t="str">
            <v>MDN35025030297</v>
          </cell>
          <cell r="E2552" t="str">
            <v>Zhong Thong</v>
          </cell>
          <cell r="F2552" t="str">
            <v>Lck6122evg</v>
          </cell>
          <cell r="G2552" t="str">
            <v>Zhong Thong</v>
          </cell>
          <cell r="H2552" t="str">
            <v>Lck6122evg</v>
          </cell>
          <cell r="I2552">
            <v>2026</v>
          </cell>
          <cell r="J2552" t="str">
            <v>B</v>
          </cell>
          <cell r="K2552" t="str">
            <v>Las Acacias</v>
          </cell>
          <cell r="N2552" t="str">
            <v>B</v>
          </cell>
        </row>
        <row r="2553">
          <cell r="B2553" t="str">
            <v>VLFJ85</v>
          </cell>
          <cell r="C2553" t="str">
            <v>LDYECS316S0045871</v>
          </cell>
          <cell r="D2553" t="str">
            <v>MDN35025030288</v>
          </cell>
          <cell r="E2553" t="str">
            <v>Zhong Thong</v>
          </cell>
          <cell r="F2553" t="str">
            <v>Lck6122evg</v>
          </cell>
          <cell r="G2553" t="str">
            <v>Zhong Thong</v>
          </cell>
          <cell r="H2553" t="str">
            <v>Lck6122evg</v>
          </cell>
          <cell r="I2553">
            <v>2026</v>
          </cell>
          <cell r="J2553" t="str">
            <v>B</v>
          </cell>
          <cell r="K2553" t="str">
            <v>Las Acacias</v>
          </cell>
          <cell r="N2553" t="str">
            <v>B</v>
          </cell>
        </row>
        <row r="2554">
          <cell r="B2554" t="str">
            <v>VLLY27</v>
          </cell>
          <cell r="C2554" t="str">
            <v>LDYECS312S0045768</v>
          </cell>
          <cell r="D2554" t="str">
            <v>MDN35025030284</v>
          </cell>
          <cell r="E2554" t="str">
            <v>Zhong Thong</v>
          </cell>
          <cell r="F2554" t="str">
            <v>Lck6122evg</v>
          </cell>
          <cell r="G2554" t="str">
            <v>Zhong Thong</v>
          </cell>
          <cell r="H2554" t="str">
            <v>Lck6122evg</v>
          </cell>
          <cell r="I2554">
            <v>2026</v>
          </cell>
          <cell r="J2554" t="str">
            <v>B</v>
          </cell>
          <cell r="K2554" t="str">
            <v>Las Acacias</v>
          </cell>
          <cell r="N2554" t="str">
            <v>B</v>
          </cell>
        </row>
        <row r="2555">
          <cell r="B2555" t="str">
            <v>VLPD24</v>
          </cell>
          <cell r="C2555" t="str">
            <v>LDYECS311S0045874</v>
          </cell>
          <cell r="D2555" t="str">
            <v>MDN35025030278</v>
          </cell>
          <cell r="E2555" t="str">
            <v>Zhong Thong</v>
          </cell>
          <cell r="F2555" t="str">
            <v>Lck6122evg</v>
          </cell>
          <cell r="G2555" t="str">
            <v>Zhong Thong</v>
          </cell>
          <cell r="H2555" t="str">
            <v>Lck6122evg</v>
          </cell>
          <cell r="I2555">
            <v>2026</v>
          </cell>
          <cell r="J2555" t="str">
            <v>B</v>
          </cell>
          <cell r="K2555" t="str">
            <v>Las Acacias</v>
          </cell>
          <cell r="N2555" t="str">
            <v>B</v>
          </cell>
        </row>
        <row r="2556">
          <cell r="B2556" t="str">
            <v>VLRS46</v>
          </cell>
          <cell r="C2556" t="str">
            <v>LDYECS311S0045759</v>
          </cell>
          <cell r="D2556" t="str">
            <v>MDN35025030145</v>
          </cell>
          <cell r="E2556" t="str">
            <v>Zhong Thong</v>
          </cell>
          <cell r="F2556" t="str">
            <v>Lck6122evg</v>
          </cell>
          <cell r="G2556" t="str">
            <v>Zhong Thong</v>
          </cell>
          <cell r="H2556" t="str">
            <v>Lck6122evg</v>
          </cell>
          <cell r="I2556">
            <v>2026</v>
          </cell>
          <cell r="J2556" t="str">
            <v>B</v>
          </cell>
          <cell r="K2556" t="str">
            <v>Las Acacias</v>
          </cell>
          <cell r="N2556" t="str">
            <v>B</v>
          </cell>
        </row>
        <row r="2557">
          <cell r="B2557" t="str">
            <v>VLSD60</v>
          </cell>
          <cell r="C2557" t="str">
            <v>LDYECS839S0045647</v>
          </cell>
          <cell r="D2557" t="str">
            <v>MJJ20025010022</v>
          </cell>
          <cell r="E2557" t="str">
            <v>Zhong Thong</v>
          </cell>
          <cell r="F2557" t="str">
            <v>Lck6850evg</v>
          </cell>
          <cell r="G2557" t="str">
            <v>Zhong Thong</v>
          </cell>
          <cell r="H2557" t="str">
            <v>Lck6850evg</v>
          </cell>
          <cell r="I2557">
            <v>2026</v>
          </cell>
          <cell r="J2557" t="str">
            <v>A</v>
          </cell>
          <cell r="K2557" t="str">
            <v>Las Acacias</v>
          </cell>
          <cell r="N2557" t="str">
            <v>A</v>
          </cell>
        </row>
        <row r="2558">
          <cell r="B2558" t="str">
            <v>VLSD66</v>
          </cell>
          <cell r="C2558" t="str">
            <v>LDYECS83XS0045642</v>
          </cell>
          <cell r="D2558" t="str">
            <v>MJJ20025010017</v>
          </cell>
          <cell r="E2558" t="str">
            <v>Zhong Thong</v>
          </cell>
          <cell r="F2558" t="str">
            <v>Lck6850evg</v>
          </cell>
          <cell r="G2558" t="str">
            <v>Zhong Thong</v>
          </cell>
          <cell r="H2558" t="str">
            <v>Lck6850evg</v>
          </cell>
          <cell r="I2558">
            <v>2026</v>
          </cell>
          <cell r="J2558" t="str">
            <v>A</v>
          </cell>
          <cell r="K2558" t="str">
            <v>Las Acacias</v>
          </cell>
          <cell r="N2558" t="str">
            <v>A</v>
          </cell>
        </row>
        <row r="2559">
          <cell r="B2559" t="str">
            <v>VLSD67</v>
          </cell>
          <cell r="C2559" t="str">
            <v>LDYECS835S0045645</v>
          </cell>
          <cell r="D2559" t="str">
            <v>MJJ20025010002</v>
          </cell>
          <cell r="E2559" t="str">
            <v>Zhong Thong</v>
          </cell>
          <cell r="F2559" t="str">
            <v>Lck6850evg</v>
          </cell>
          <cell r="G2559" t="str">
            <v>Zhong Thong</v>
          </cell>
          <cell r="H2559" t="str">
            <v>Lck6850evg</v>
          </cell>
          <cell r="I2559">
            <v>2026</v>
          </cell>
          <cell r="J2559" t="str">
            <v>A</v>
          </cell>
          <cell r="K2559" t="str">
            <v>Las Acacias</v>
          </cell>
          <cell r="N2559" t="str">
            <v>A</v>
          </cell>
        </row>
        <row r="2560">
          <cell r="B2560" t="str">
            <v>VLSD68</v>
          </cell>
          <cell r="C2560" t="str">
            <v>LDYECS838S0045638</v>
          </cell>
          <cell r="D2560" t="str">
            <v>MJJ20025010018</v>
          </cell>
          <cell r="E2560" t="str">
            <v>Zhong Thong</v>
          </cell>
          <cell r="F2560" t="str">
            <v>Lck6850evg</v>
          </cell>
          <cell r="G2560" t="str">
            <v>Zhong Thong</v>
          </cell>
          <cell r="H2560" t="str">
            <v>Lck6850evg</v>
          </cell>
          <cell r="I2560">
            <v>2026</v>
          </cell>
          <cell r="J2560" t="str">
            <v>A</v>
          </cell>
          <cell r="K2560" t="str">
            <v>Las Acacias</v>
          </cell>
          <cell r="N2560" t="str">
            <v>A</v>
          </cell>
        </row>
        <row r="2561">
          <cell r="B2561" t="str">
            <v>VLSD70</v>
          </cell>
          <cell r="C2561" t="str">
            <v>LDYECS838S0045641</v>
          </cell>
          <cell r="D2561" t="str">
            <v>MJJ20025010006</v>
          </cell>
          <cell r="E2561" t="str">
            <v>Zhong Thong</v>
          </cell>
          <cell r="F2561" t="str">
            <v>Lck6850evg</v>
          </cell>
          <cell r="G2561" t="str">
            <v>Zhong Thong</v>
          </cell>
          <cell r="H2561" t="str">
            <v>Lck6850evg</v>
          </cell>
          <cell r="I2561">
            <v>2026</v>
          </cell>
          <cell r="J2561" t="str">
            <v>A</v>
          </cell>
          <cell r="K2561" t="str">
            <v>Las Acacias</v>
          </cell>
          <cell r="N2561" t="str">
            <v>A</v>
          </cell>
        </row>
        <row r="2562">
          <cell r="B2562" t="str">
            <v>VLSD77</v>
          </cell>
          <cell r="C2562" t="str">
            <v>LDYECS831S0045643</v>
          </cell>
          <cell r="D2562" t="str">
            <v>MJJ20025010055</v>
          </cell>
          <cell r="E2562" t="str">
            <v>Zhong Thong</v>
          </cell>
          <cell r="F2562" t="str">
            <v>Lck6850evg</v>
          </cell>
          <cell r="G2562" t="str">
            <v>Zhong Thong</v>
          </cell>
          <cell r="H2562" t="str">
            <v>Lck6850evg</v>
          </cell>
          <cell r="I2562">
            <v>2026</v>
          </cell>
          <cell r="J2562" t="str">
            <v>A</v>
          </cell>
          <cell r="K2562" t="str">
            <v>Las Acacias</v>
          </cell>
          <cell r="N2562" t="str">
            <v>A</v>
          </cell>
        </row>
        <row r="2563">
          <cell r="B2563" t="str">
            <v>VLSJ88</v>
          </cell>
          <cell r="C2563" t="str">
            <v>LDYECS835S0044527</v>
          </cell>
          <cell r="D2563" t="str">
            <v>MJJ20025010038</v>
          </cell>
          <cell r="E2563" t="str">
            <v>Zhong Thong</v>
          </cell>
          <cell r="F2563" t="str">
            <v>Lck6850evg</v>
          </cell>
          <cell r="G2563" t="str">
            <v>Zhong Thong</v>
          </cell>
          <cell r="H2563" t="str">
            <v>Lck6850evg</v>
          </cell>
          <cell r="I2563">
            <v>2026</v>
          </cell>
          <cell r="J2563" t="str">
            <v>A</v>
          </cell>
          <cell r="K2563" t="str">
            <v>Las Acacias</v>
          </cell>
          <cell r="N2563" t="str">
            <v>A</v>
          </cell>
        </row>
        <row r="2564">
          <cell r="B2564" t="str">
            <v>VLSK17</v>
          </cell>
          <cell r="C2564" t="str">
            <v>LDYECS837S0044528</v>
          </cell>
          <cell r="D2564" t="str">
            <v>MJJ20025010031</v>
          </cell>
          <cell r="E2564" t="str">
            <v>Zhong Thong</v>
          </cell>
          <cell r="F2564" t="str">
            <v>Lck6850evg</v>
          </cell>
          <cell r="G2564" t="str">
            <v>Zhong Thong</v>
          </cell>
          <cell r="H2564" t="str">
            <v>Lck6850evg</v>
          </cell>
          <cell r="I2564">
            <v>2026</v>
          </cell>
          <cell r="J2564" t="str">
            <v>A</v>
          </cell>
          <cell r="K2564" t="str">
            <v>Las Acacias</v>
          </cell>
          <cell r="N2564" t="str">
            <v>A</v>
          </cell>
        </row>
        <row r="2565">
          <cell r="B2565" t="str">
            <v>VLSK18</v>
          </cell>
          <cell r="C2565" t="str">
            <v>LDYECS835S0045614</v>
          </cell>
          <cell r="D2565" t="str">
            <v>MJJ20025010009</v>
          </cell>
          <cell r="E2565" t="str">
            <v>Zhong Thong</v>
          </cell>
          <cell r="F2565" t="str">
            <v>Lck6850evg</v>
          </cell>
          <cell r="G2565" t="str">
            <v>Zhong Thong</v>
          </cell>
          <cell r="H2565" t="str">
            <v>Lck6850evg</v>
          </cell>
          <cell r="I2565">
            <v>2026</v>
          </cell>
          <cell r="J2565" t="str">
            <v>A</v>
          </cell>
          <cell r="K2565" t="str">
            <v>Las Acacias</v>
          </cell>
          <cell r="N2565" t="str">
            <v>A</v>
          </cell>
        </row>
        <row r="2566">
          <cell r="B2566" t="str">
            <v>VLSK19</v>
          </cell>
          <cell r="C2566" t="str">
            <v>LDYECS319S0045797</v>
          </cell>
          <cell r="D2566" t="str">
            <v>MDN35025030308</v>
          </cell>
          <cell r="E2566" t="str">
            <v>Zhong Thong</v>
          </cell>
          <cell r="F2566" t="str">
            <v>Lck6122evg</v>
          </cell>
          <cell r="G2566" t="str">
            <v>Zhong Thong</v>
          </cell>
          <cell r="H2566" t="str">
            <v>Lck6122evg</v>
          </cell>
          <cell r="I2566">
            <v>2026</v>
          </cell>
          <cell r="J2566" t="str">
            <v>B</v>
          </cell>
          <cell r="K2566" t="str">
            <v>Las Acacias</v>
          </cell>
          <cell r="N2566" t="str">
            <v>B</v>
          </cell>
        </row>
        <row r="2567">
          <cell r="B2567" t="str">
            <v>VLSK23</v>
          </cell>
          <cell r="C2567" t="str">
            <v>LDYECS315S0045800</v>
          </cell>
          <cell r="D2567" t="str">
            <v>MDN35025030258</v>
          </cell>
          <cell r="E2567" t="str">
            <v>Zhong Thong</v>
          </cell>
          <cell r="F2567" t="str">
            <v>Lck6122evg</v>
          </cell>
          <cell r="G2567" t="str">
            <v>Zhong Thong</v>
          </cell>
          <cell r="H2567" t="str">
            <v>Lck6122evg</v>
          </cell>
          <cell r="I2567">
            <v>2026</v>
          </cell>
          <cell r="J2567" t="str">
            <v>B</v>
          </cell>
          <cell r="K2567" t="str">
            <v>Las Acacias</v>
          </cell>
          <cell r="N2567" t="str">
            <v>B</v>
          </cell>
        </row>
        <row r="2568">
          <cell r="B2568" t="str">
            <v>VLSK25</v>
          </cell>
          <cell r="C2568" t="str">
            <v>LDYECS315S0045795</v>
          </cell>
          <cell r="D2568" t="str">
            <v>MDN35025030264</v>
          </cell>
          <cell r="E2568" t="str">
            <v>Zhong Thong</v>
          </cell>
          <cell r="F2568" t="str">
            <v>Lck6122evg</v>
          </cell>
          <cell r="G2568" t="str">
            <v>Zhong Thong</v>
          </cell>
          <cell r="H2568" t="str">
            <v>Lck6122evg</v>
          </cell>
          <cell r="I2568">
            <v>2026</v>
          </cell>
          <cell r="J2568" t="str">
            <v>B</v>
          </cell>
          <cell r="K2568" t="str">
            <v>Las Acacias</v>
          </cell>
          <cell r="N2568" t="str">
            <v>B</v>
          </cell>
        </row>
        <row r="2569">
          <cell r="B2569" t="str">
            <v>VLSK26</v>
          </cell>
          <cell r="C2569" t="str">
            <v>LDYECS310S0045722</v>
          </cell>
          <cell r="D2569" t="str">
            <v>MDN35025030123</v>
          </cell>
          <cell r="E2569" t="str">
            <v>Zhong Thong</v>
          </cell>
          <cell r="F2569" t="str">
            <v>Lck6122evg</v>
          </cell>
          <cell r="G2569" t="str">
            <v>Zhong Thong</v>
          </cell>
          <cell r="H2569" t="str">
            <v>Lck6122evg</v>
          </cell>
          <cell r="I2569">
            <v>2026</v>
          </cell>
          <cell r="J2569" t="str">
            <v>B</v>
          </cell>
          <cell r="K2569" t="str">
            <v>Las Acacias</v>
          </cell>
          <cell r="N2569" t="str">
            <v>B</v>
          </cell>
        </row>
        <row r="2570">
          <cell r="B2570" t="str">
            <v>VLSK29</v>
          </cell>
          <cell r="C2570" t="str">
            <v>LDYECS310S0045798</v>
          </cell>
          <cell r="D2570" t="str">
            <v>MDN35025030250</v>
          </cell>
          <cell r="E2570" t="str">
            <v>Zhong Thong</v>
          </cell>
          <cell r="F2570" t="str">
            <v>Lck6122evg</v>
          </cell>
          <cell r="G2570" t="str">
            <v>Zhong Thong</v>
          </cell>
          <cell r="H2570" t="str">
            <v>Lck6122evg</v>
          </cell>
          <cell r="I2570">
            <v>2026</v>
          </cell>
          <cell r="J2570" t="str">
            <v>B</v>
          </cell>
          <cell r="K2570" t="str">
            <v>Las Acacias</v>
          </cell>
          <cell r="N2570" t="str">
            <v>B</v>
          </cell>
        </row>
        <row r="2571">
          <cell r="B2571" t="str">
            <v>VLSK30</v>
          </cell>
          <cell r="C2571" t="str">
            <v>LDYECS313S0045813</v>
          </cell>
          <cell r="D2571" t="str">
            <v>MDN35025030268</v>
          </cell>
          <cell r="E2571" t="str">
            <v>Zhong Thong</v>
          </cell>
          <cell r="F2571" t="str">
            <v>Lck6122evg</v>
          </cell>
          <cell r="G2571" t="str">
            <v>Zhong Thong</v>
          </cell>
          <cell r="H2571" t="str">
            <v>Lck6122evg</v>
          </cell>
          <cell r="I2571">
            <v>2026</v>
          </cell>
          <cell r="J2571" t="str">
            <v>B</v>
          </cell>
          <cell r="K2571" t="str">
            <v>Las Acacias</v>
          </cell>
          <cell r="N2571" t="str">
            <v>B</v>
          </cell>
        </row>
        <row r="2572">
          <cell r="B2572" t="str">
            <v>VLSK39</v>
          </cell>
          <cell r="C2572" t="str">
            <v>LDYECS315S0045814</v>
          </cell>
          <cell r="D2572" t="str">
            <v>MDN35025030040</v>
          </cell>
          <cell r="E2572" t="str">
            <v>Zhong Thong</v>
          </cell>
          <cell r="F2572" t="str">
            <v>Lck6122evg</v>
          </cell>
          <cell r="G2572" t="str">
            <v>Zhong Thong</v>
          </cell>
          <cell r="H2572" t="str">
            <v>Lck6122evg</v>
          </cell>
          <cell r="I2572">
            <v>2026</v>
          </cell>
          <cell r="J2572" t="str">
            <v>B</v>
          </cell>
          <cell r="K2572" t="str">
            <v>Las Acacias</v>
          </cell>
          <cell r="N2572" t="str">
            <v>B</v>
          </cell>
        </row>
        <row r="2573">
          <cell r="B2573" t="str">
            <v>VLSK44</v>
          </cell>
          <cell r="C2573" t="str">
            <v>LDYECS317S0045779</v>
          </cell>
          <cell r="D2573" t="str">
            <v>MDN35025030160</v>
          </cell>
          <cell r="E2573" t="str">
            <v>Zhong Thong</v>
          </cell>
          <cell r="F2573" t="str">
            <v>Lck6122evg</v>
          </cell>
          <cell r="G2573" t="str">
            <v>Zhong Thong</v>
          </cell>
          <cell r="H2573" t="str">
            <v>Lck6122evg</v>
          </cell>
          <cell r="I2573">
            <v>2026</v>
          </cell>
          <cell r="J2573" t="str">
            <v>B</v>
          </cell>
          <cell r="K2573" t="str">
            <v>Las Acacias</v>
          </cell>
          <cell r="N2573" t="str">
            <v>B</v>
          </cell>
        </row>
        <row r="2574">
          <cell r="B2574" t="str">
            <v>VLSK46</v>
          </cell>
          <cell r="C2574" t="str">
            <v>LDYECS311S0045809</v>
          </cell>
          <cell r="D2574" t="str">
            <v>MDN35025030257</v>
          </cell>
          <cell r="E2574" t="str">
            <v>Zhong Thong</v>
          </cell>
          <cell r="F2574" t="str">
            <v>Lck6122evg</v>
          </cell>
          <cell r="G2574" t="str">
            <v>Zhong Thong</v>
          </cell>
          <cell r="H2574" t="str">
            <v>Lck6122evg</v>
          </cell>
          <cell r="I2574">
            <v>2026</v>
          </cell>
          <cell r="J2574" t="str">
            <v>B</v>
          </cell>
          <cell r="K2574" t="str">
            <v>Las Acacias</v>
          </cell>
          <cell r="N2574" t="str">
            <v>B</v>
          </cell>
        </row>
        <row r="2575">
          <cell r="B2575" t="str">
            <v>VLSK53</v>
          </cell>
          <cell r="C2575" t="str">
            <v>LDYECS314S0045724</v>
          </cell>
          <cell r="D2575" t="str">
            <v>MDN35025030060</v>
          </cell>
          <cell r="E2575" t="str">
            <v>Zhong Thong</v>
          </cell>
          <cell r="F2575" t="str">
            <v>Lck6122evg</v>
          </cell>
          <cell r="G2575" t="str">
            <v>Zhong Thong</v>
          </cell>
          <cell r="H2575" t="str">
            <v>Lck6122evg</v>
          </cell>
          <cell r="I2575">
            <v>2026</v>
          </cell>
          <cell r="J2575" t="str">
            <v>B</v>
          </cell>
          <cell r="K2575" t="str">
            <v>Las Acacias</v>
          </cell>
          <cell r="N2575" t="str">
            <v>B</v>
          </cell>
        </row>
        <row r="2576">
          <cell r="B2576" t="str">
            <v>VLSK64</v>
          </cell>
          <cell r="C2576" t="str">
            <v>LDYECS318S0045810</v>
          </cell>
          <cell r="D2576" t="str">
            <v>MDN35025030195</v>
          </cell>
          <cell r="E2576" t="str">
            <v>Zhong Thong</v>
          </cell>
          <cell r="F2576" t="str">
            <v>Lck6122evg</v>
          </cell>
          <cell r="G2576" t="str">
            <v>Zhong Thong</v>
          </cell>
          <cell r="H2576" t="str">
            <v>Lck6122evg</v>
          </cell>
          <cell r="I2576">
            <v>2026</v>
          </cell>
          <cell r="J2576" t="str">
            <v>B</v>
          </cell>
          <cell r="K2576" t="str">
            <v>Las Acacias</v>
          </cell>
          <cell r="N2576" t="str">
            <v>B</v>
          </cell>
        </row>
        <row r="2577">
          <cell r="B2577" t="str">
            <v>VLSK70</v>
          </cell>
          <cell r="C2577" t="str">
            <v>LDYECS31XS0045727</v>
          </cell>
          <cell r="D2577" t="str">
            <v>MDN35025030224</v>
          </cell>
          <cell r="E2577" t="str">
            <v>Zhong Thong</v>
          </cell>
          <cell r="F2577" t="str">
            <v>Lck6122evg</v>
          </cell>
          <cell r="G2577" t="str">
            <v>Zhong Thong</v>
          </cell>
          <cell r="H2577" t="str">
            <v>Lck6122evg</v>
          </cell>
          <cell r="I2577">
            <v>2026</v>
          </cell>
          <cell r="J2577" t="str">
            <v>B</v>
          </cell>
          <cell r="K2577" t="str">
            <v>Las Acacias</v>
          </cell>
          <cell r="N2577" t="str">
            <v>B</v>
          </cell>
        </row>
        <row r="2578">
          <cell r="B2578" t="str">
            <v>VLSK77</v>
          </cell>
          <cell r="C2578" t="str">
            <v>LDYECS31XS0045811</v>
          </cell>
          <cell r="D2578" t="str">
            <v>MDN35025030077</v>
          </cell>
          <cell r="E2578" t="str">
            <v>Zhong Thong</v>
          </cell>
          <cell r="F2578" t="str">
            <v>Lck6122evg</v>
          </cell>
          <cell r="G2578" t="str">
            <v>Zhong Thong</v>
          </cell>
          <cell r="H2578" t="str">
            <v>Lck6122evg</v>
          </cell>
          <cell r="I2578">
            <v>2026</v>
          </cell>
          <cell r="J2578" t="str">
            <v>B</v>
          </cell>
          <cell r="K2578" t="str">
            <v>Las Acacias</v>
          </cell>
          <cell r="N2578" t="str">
            <v>B</v>
          </cell>
        </row>
        <row r="2579">
          <cell r="B2579" t="str">
            <v>VLSK86</v>
          </cell>
          <cell r="C2579" t="str">
            <v>LDYECS314S0045819</v>
          </cell>
          <cell r="D2579" t="str">
            <v>MDN35025030081</v>
          </cell>
          <cell r="E2579" t="str">
            <v>Zhong Thong</v>
          </cell>
          <cell r="F2579" t="str">
            <v>Lck6122evg</v>
          </cell>
          <cell r="G2579" t="str">
            <v>Zhong Thong</v>
          </cell>
          <cell r="H2579" t="str">
            <v>Lck6122evg</v>
          </cell>
          <cell r="I2579">
            <v>2026</v>
          </cell>
          <cell r="J2579" t="str">
            <v>B</v>
          </cell>
          <cell r="K2579" t="str">
            <v>Las Acacias</v>
          </cell>
          <cell r="N2579" t="str">
            <v>B</v>
          </cell>
        </row>
        <row r="2580">
          <cell r="B2580" t="str">
            <v>VLSK93</v>
          </cell>
          <cell r="C2580" t="str">
            <v>LDYECS311S0045728</v>
          </cell>
          <cell r="D2580" t="str">
            <v>MDN35025030126</v>
          </cell>
          <cell r="E2580" t="str">
            <v>Zhong Thong</v>
          </cell>
          <cell r="F2580" t="str">
            <v>Lck6122evg</v>
          </cell>
          <cell r="G2580" t="str">
            <v>Zhong Thong</v>
          </cell>
          <cell r="H2580" t="str">
            <v>Lck6122evg</v>
          </cell>
          <cell r="I2580">
            <v>2026</v>
          </cell>
          <cell r="J2580" t="str">
            <v>B</v>
          </cell>
          <cell r="K2580" t="str">
            <v>Las Acacias</v>
          </cell>
          <cell r="N2580" t="str">
            <v>B</v>
          </cell>
        </row>
        <row r="2581">
          <cell r="B2581" t="str">
            <v>VLSK95</v>
          </cell>
          <cell r="C2581" t="str">
            <v>LDYECS316S0045840</v>
          </cell>
          <cell r="D2581" t="str">
            <v>MDN35025030254</v>
          </cell>
          <cell r="E2581" t="str">
            <v>Zhong Thong</v>
          </cell>
          <cell r="F2581" t="str">
            <v>Lck6122evg</v>
          </cell>
          <cell r="G2581" t="str">
            <v>Zhong Thong</v>
          </cell>
          <cell r="H2581" t="str">
            <v>Lck6122evg</v>
          </cell>
          <cell r="I2581">
            <v>2026</v>
          </cell>
          <cell r="J2581" t="str">
            <v>B</v>
          </cell>
          <cell r="K2581" t="str">
            <v>Las Acacias</v>
          </cell>
          <cell r="N2581" t="str">
            <v>B</v>
          </cell>
        </row>
        <row r="2582">
          <cell r="B2582" t="str">
            <v>VLSK99</v>
          </cell>
          <cell r="C2582" t="str">
            <v>LDYECS314S0045822</v>
          </cell>
          <cell r="D2582" t="str">
            <v>MDN35025030089</v>
          </cell>
          <cell r="E2582" t="str">
            <v>Zhong Thong</v>
          </cell>
          <cell r="F2582" t="str">
            <v>Lck6122evg</v>
          </cell>
          <cell r="G2582" t="str">
            <v>Zhong Thong</v>
          </cell>
          <cell r="H2582" t="str">
            <v>Lck6122evg</v>
          </cell>
          <cell r="I2582">
            <v>2026</v>
          </cell>
          <cell r="J2582" t="str">
            <v>B</v>
          </cell>
          <cell r="K2582" t="str">
            <v>Las Acacias</v>
          </cell>
          <cell r="N2582" t="str">
            <v>B</v>
          </cell>
        </row>
        <row r="2583">
          <cell r="B2583" t="str">
            <v>VLSL10</v>
          </cell>
          <cell r="C2583" t="str">
            <v>LDYECS315S0045828</v>
          </cell>
          <cell r="D2583" t="str">
            <v>MDN35025030269</v>
          </cell>
          <cell r="E2583" t="str">
            <v>Zhong Thong</v>
          </cell>
          <cell r="F2583" t="str">
            <v>Lck6122evg</v>
          </cell>
          <cell r="G2583" t="str">
            <v>Zhong Thong</v>
          </cell>
          <cell r="H2583" t="str">
            <v>Lck6122evg</v>
          </cell>
          <cell r="I2583">
            <v>2026</v>
          </cell>
          <cell r="J2583" t="str">
            <v>B</v>
          </cell>
          <cell r="K2583" t="str">
            <v>Las Acacias</v>
          </cell>
          <cell r="N2583" t="str">
            <v>B</v>
          </cell>
        </row>
        <row r="2584">
          <cell r="B2584" t="str">
            <v>VLSL16</v>
          </cell>
          <cell r="C2584" t="str">
            <v>LDYECS31XS0045825</v>
          </cell>
          <cell r="D2584" t="str">
            <v>MDN35025030210</v>
          </cell>
          <cell r="E2584" t="str">
            <v>Zhong Thong</v>
          </cell>
          <cell r="F2584" t="str">
            <v>Lck6122evg</v>
          </cell>
          <cell r="G2584" t="str">
            <v>Zhong Thong</v>
          </cell>
          <cell r="H2584" t="str">
            <v>Lck6122evg</v>
          </cell>
          <cell r="I2584">
            <v>2026</v>
          </cell>
          <cell r="J2584" t="str">
            <v>B</v>
          </cell>
          <cell r="K2584" t="str">
            <v>Las Acacias</v>
          </cell>
          <cell r="N2584" t="str">
            <v>B</v>
          </cell>
        </row>
        <row r="2585">
          <cell r="B2585" t="str">
            <v>VLSL25</v>
          </cell>
          <cell r="C2585" t="str">
            <v>LDYECS317S0045734</v>
          </cell>
          <cell r="D2585" t="str">
            <v>MDN35025030214</v>
          </cell>
          <cell r="E2585" t="str">
            <v>Zhong Thong</v>
          </cell>
          <cell r="F2585" t="str">
            <v>Lck6122evg</v>
          </cell>
          <cell r="G2585" t="str">
            <v>Zhong Thong</v>
          </cell>
          <cell r="H2585" t="str">
            <v>Lck6122evg</v>
          </cell>
          <cell r="I2585">
            <v>2026</v>
          </cell>
          <cell r="J2585" t="str">
            <v>B</v>
          </cell>
          <cell r="K2585" t="str">
            <v>Las Acacias</v>
          </cell>
          <cell r="N2585" t="str">
            <v>B</v>
          </cell>
        </row>
        <row r="2586">
          <cell r="B2586" t="str">
            <v>VLSS34</v>
          </cell>
          <cell r="C2586" t="str">
            <v>LDYECS311S0045731</v>
          </cell>
          <cell r="D2586" t="str">
            <v>MDN35025030130</v>
          </cell>
          <cell r="E2586" t="str">
            <v>Zhong Thong</v>
          </cell>
          <cell r="F2586" t="str">
            <v>Lck6122evg</v>
          </cell>
          <cell r="G2586" t="str">
            <v>Zhong Thong</v>
          </cell>
          <cell r="H2586" t="str">
            <v>Lck6122evg</v>
          </cell>
          <cell r="I2586">
            <v>2026</v>
          </cell>
          <cell r="J2586" t="str">
            <v>B</v>
          </cell>
          <cell r="K2586" t="str">
            <v>Las Acacias</v>
          </cell>
          <cell r="N2586" t="str">
            <v>B</v>
          </cell>
        </row>
        <row r="2587">
          <cell r="B2587" t="str">
            <v>VLSS37</v>
          </cell>
          <cell r="C2587" t="str">
            <v>LDYECS312S0045835</v>
          </cell>
          <cell r="D2587" t="str">
            <v>MDN35025030316</v>
          </cell>
          <cell r="E2587" t="str">
            <v>Zhong Thong</v>
          </cell>
          <cell r="F2587" t="str">
            <v>Lck6122evg</v>
          </cell>
          <cell r="G2587" t="str">
            <v>Zhong Thong</v>
          </cell>
          <cell r="H2587" t="str">
            <v>Lck6122evg</v>
          </cell>
          <cell r="I2587">
            <v>2026</v>
          </cell>
          <cell r="J2587" t="str">
            <v>B</v>
          </cell>
          <cell r="K2587" t="str">
            <v>Las Acacias</v>
          </cell>
          <cell r="N2587" t="str">
            <v>B</v>
          </cell>
        </row>
        <row r="2588">
          <cell r="B2588" t="str">
            <v>VLSS45</v>
          </cell>
          <cell r="C2588" t="str">
            <v>LDYECS314S0045738</v>
          </cell>
          <cell r="D2588" t="str">
            <v>MDN35025030247</v>
          </cell>
          <cell r="E2588" t="str">
            <v>Zhong Thong</v>
          </cell>
          <cell r="F2588" t="str">
            <v>Lck6122evg</v>
          </cell>
          <cell r="G2588" t="str">
            <v>Zhong Thong</v>
          </cell>
          <cell r="H2588" t="str">
            <v>Lck6122evg</v>
          </cell>
          <cell r="I2588">
            <v>2026</v>
          </cell>
          <cell r="J2588" t="str">
            <v>B</v>
          </cell>
          <cell r="K2588" t="str">
            <v>Las Acacias</v>
          </cell>
          <cell r="N2588" t="str">
            <v>B</v>
          </cell>
        </row>
        <row r="2589">
          <cell r="B2589" t="str">
            <v>VLSS69</v>
          </cell>
          <cell r="C2589" t="str">
            <v>LDYECS318S0045824</v>
          </cell>
          <cell r="D2589" t="str">
            <v>MDN35025030189</v>
          </cell>
          <cell r="E2589" t="str">
            <v>Zhong Thong</v>
          </cell>
          <cell r="F2589" t="str">
            <v>Lck6122evg</v>
          </cell>
          <cell r="G2589" t="str">
            <v>Zhong Thong</v>
          </cell>
          <cell r="H2589" t="str">
            <v>Lck6122evg</v>
          </cell>
          <cell r="I2589">
            <v>2026</v>
          </cell>
          <cell r="J2589" t="str">
            <v>B</v>
          </cell>
          <cell r="K2589" t="str">
            <v>Las Acacias</v>
          </cell>
          <cell r="N2589" t="str">
            <v>B</v>
          </cell>
        </row>
        <row r="2590">
          <cell r="B2590" t="str">
            <v>VLSS88</v>
          </cell>
          <cell r="C2590" t="str">
            <v>LDYECS310S0045851</v>
          </cell>
          <cell r="D2590" t="str">
            <v>MDN35025030193</v>
          </cell>
          <cell r="E2590" t="str">
            <v>Zhong Thong</v>
          </cell>
          <cell r="F2590" t="str">
            <v>Lck6122evg</v>
          </cell>
          <cell r="G2590" t="str">
            <v>Zhong Thong</v>
          </cell>
          <cell r="H2590" t="str">
            <v>Lck6122evg</v>
          </cell>
          <cell r="I2590">
            <v>2026</v>
          </cell>
          <cell r="J2590" t="str">
            <v>B</v>
          </cell>
          <cell r="K2590" t="str">
            <v>Las Acacias</v>
          </cell>
          <cell r="N2590" t="str">
            <v>B</v>
          </cell>
        </row>
        <row r="2591">
          <cell r="B2591" t="str">
            <v>VLST15</v>
          </cell>
          <cell r="C2591" t="str">
            <v>LDYECS319S0045850</v>
          </cell>
          <cell r="D2591" t="str">
            <v>MDN35025030244</v>
          </cell>
          <cell r="E2591" t="str">
            <v>Zhong Thong</v>
          </cell>
          <cell r="F2591" t="str">
            <v>Lck6122evg</v>
          </cell>
          <cell r="G2591" t="str">
            <v>Zhong Thong</v>
          </cell>
          <cell r="H2591" t="str">
            <v>Lck6122evg</v>
          </cell>
          <cell r="I2591">
            <v>2026</v>
          </cell>
          <cell r="J2591" t="str">
            <v>B</v>
          </cell>
          <cell r="K2591" t="str">
            <v>Las Acacias</v>
          </cell>
          <cell r="N2591" t="str">
            <v>B</v>
          </cell>
        </row>
        <row r="2592">
          <cell r="B2592" t="str">
            <v>VLST23</v>
          </cell>
          <cell r="C2592" t="str">
            <v>LDYECS318S0045841</v>
          </cell>
          <cell r="D2592" t="str">
            <v>MDN35025030300</v>
          </cell>
          <cell r="E2592" t="str">
            <v>Zhong Thong</v>
          </cell>
          <cell r="F2592" t="str">
            <v>Lck6122evg</v>
          </cell>
          <cell r="G2592" t="str">
            <v>Zhong Thong</v>
          </cell>
          <cell r="H2592" t="str">
            <v>Lck6122evg</v>
          </cell>
          <cell r="I2592">
            <v>2026</v>
          </cell>
          <cell r="J2592" t="str">
            <v>B</v>
          </cell>
          <cell r="K2592" t="str">
            <v>Las Acacias</v>
          </cell>
          <cell r="N2592" t="str">
            <v>B</v>
          </cell>
        </row>
        <row r="2593">
          <cell r="B2593" t="str">
            <v>VLST92</v>
          </cell>
          <cell r="C2593" t="str">
            <v>LDYECS318S0045838</v>
          </cell>
          <cell r="D2593" t="str">
            <v>MDN35025030084</v>
          </cell>
          <cell r="E2593" t="str">
            <v>Zhong Thong</v>
          </cell>
          <cell r="F2593" t="str">
            <v>Lck6122evg</v>
          </cell>
          <cell r="G2593" t="str">
            <v>Zhong Thong</v>
          </cell>
          <cell r="H2593" t="str">
            <v>Lck6122evg</v>
          </cell>
          <cell r="I2593">
            <v>2026</v>
          </cell>
          <cell r="J2593" t="str">
            <v>B</v>
          </cell>
          <cell r="K2593" t="str">
            <v>Las Acacias</v>
          </cell>
          <cell r="N2593" t="str">
            <v>B</v>
          </cell>
        </row>
        <row r="2594">
          <cell r="B2594" t="str">
            <v>VLSV15</v>
          </cell>
          <cell r="C2594" t="str">
            <v>LDYECS31XS0045744</v>
          </cell>
          <cell r="D2594" t="str">
            <v>MDN35025030099</v>
          </cell>
          <cell r="E2594" t="str">
            <v>Zhong Thong</v>
          </cell>
          <cell r="F2594" t="str">
            <v>Lck6122evg</v>
          </cell>
          <cell r="G2594" t="str">
            <v>Zhong Thong</v>
          </cell>
          <cell r="H2594" t="str">
            <v>Lck6122evg</v>
          </cell>
          <cell r="I2594">
            <v>2026</v>
          </cell>
          <cell r="J2594" t="str">
            <v>B</v>
          </cell>
          <cell r="K2594" t="str">
            <v>Las Acacias</v>
          </cell>
          <cell r="N2594" t="str">
            <v>B</v>
          </cell>
        </row>
        <row r="2595">
          <cell r="B2595" t="str">
            <v>VLSV32</v>
          </cell>
          <cell r="C2595" t="str">
            <v>LDYECS311S0045843</v>
          </cell>
          <cell r="D2595" t="str">
            <v>MDN35025030281</v>
          </cell>
          <cell r="E2595" t="str">
            <v>Zhong Thong</v>
          </cell>
          <cell r="F2595" t="str">
            <v>Lck6122evg</v>
          </cell>
          <cell r="G2595" t="str">
            <v>Zhong Thong</v>
          </cell>
          <cell r="H2595" t="str">
            <v>Lck6122evg</v>
          </cell>
          <cell r="I2595">
            <v>2026</v>
          </cell>
          <cell r="J2595" t="str">
            <v>B</v>
          </cell>
          <cell r="K2595" t="str">
            <v>Las Acacias</v>
          </cell>
          <cell r="N2595" t="str">
            <v>B</v>
          </cell>
        </row>
        <row r="2596">
          <cell r="B2596" t="str">
            <v>VLSW32</v>
          </cell>
          <cell r="C2596" t="str">
            <v>LDYECS31XS0045887</v>
          </cell>
          <cell r="D2596" t="str">
            <v>MDN35025010014</v>
          </cell>
          <cell r="E2596" t="str">
            <v>Zhong Thong</v>
          </cell>
          <cell r="F2596" t="str">
            <v>Lck6122evg</v>
          </cell>
          <cell r="G2596" t="str">
            <v>Zhong Thong</v>
          </cell>
          <cell r="H2596" t="str">
            <v>Lck6122evg</v>
          </cell>
          <cell r="I2596">
            <v>2026</v>
          </cell>
          <cell r="J2596" t="str">
            <v>B</v>
          </cell>
          <cell r="K2596" t="str">
            <v>Las Acacias</v>
          </cell>
          <cell r="N2596" t="str">
            <v>B</v>
          </cell>
        </row>
        <row r="2597">
          <cell r="B2597" t="str">
            <v>VLSY93</v>
          </cell>
          <cell r="C2597" t="str">
            <v>LDYECS314S0045755</v>
          </cell>
          <cell r="D2597" t="str">
            <v>MDN35025030243</v>
          </cell>
          <cell r="E2597" t="str">
            <v>Zhong Thong</v>
          </cell>
          <cell r="F2597" t="str">
            <v>Lck6122evg</v>
          </cell>
          <cell r="G2597" t="str">
            <v>Zhong Thong</v>
          </cell>
          <cell r="H2597" t="str">
            <v>Lck6122evg</v>
          </cell>
          <cell r="I2597">
            <v>2026</v>
          </cell>
          <cell r="J2597" t="str">
            <v>B</v>
          </cell>
          <cell r="K2597" t="str">
            <v>Las Acacias</v>
          </cell>
          <cell r="N2597" t="str">
            <v>B</v>
          </cell>
        </row>
        <row r="2598">
          <cell r="B2598" t="str">
            <v>VLSY95</v>
          </cell>
          <cell r="C2598" t="str">
            <v>LDYECS319S0045847</v>
          </cell>
          <cell r="D2598" t="str">
            <v>MDN35025030242</v>
          </cell>
          <cell r="E2598" t="str">
            <v>Zhong Thong</v>
          </cell>
          <cell r="F2598" t="str">
            <v>Lck6122evg</v>
          </cell>
          <cell r="G2598" t="str">
            <v>Zhong Thong</v>
          </cell>
          <cell r="H2598" t="str">
            <v>Lck6122evg</v>
          </cell>
          <cell r="I2598">
            <v>2026</v>
          </cell>
          <cell r="J2598" t="str">
            <v>B</v>
          </cell>
          <cell r="K2598" t="str">
            <v>Las Acacias</v>
          </cell>
          <cell r="N2598" t="str">
            <v>B</v>
          </cell>
        </row>
        <row r="2599">
          <cell r="B2599" t="str">
            <v>VLSY96</v>
          </cell>
          <cell r="C2599" t="str">
            <v>LDYECS316S0045854</v>
          </cell>
          <cell r="D2599" t="str">
            <v>MDN35025030125</v>
          </cell>
          <cell r="E2599" t="str">
            <v>Zhong Thong</v>
          </cell>
          <cell r="F2599" t="str">
            <v>Lck6122evg</v>
          </cell>
          <cell r="G2599" t="str">
            <v>Zhong Thong</v>
          </cell>
          <cell r="H2599" t="str">
            <v>Lck6122evg</v>
          </cell>
          <cell r="I2599">
            <v>2026</v>
          </cell>
          <cell r="J2599" t="str">
            <v>B</v>
          </cell>
          <cell r="K2599" t="str">
            <v>Las Acacias</v>
          </cell>
          <cell r="N2599" t="str">
            <v>B</v>
          </cell>
        </row>
        <row r="2600">
          <cell r="B2600" t="str">
            <v>VLSY97</v>
          </cell>
          <cell r="C2600" t="str">
            <v>LDYECS318S0045757</v>
          </cell>
          <cell r="D2600" t="str">
            <v>MDN35025030175</v>
          </cell>
          <cell r="E2600" t="str">
            <v>Zhong Thong</v>
          </cell>
          <cell r="F2600" t="str">
            <v>Lck6122evg</v>
          </cell>
          <cell r="G2600" t="str">
            <v>Zhong Thong</v>
          </cell>
          <cell r="H2600" t="str">
            <v>Lck6122evg</v>
          </cell>
          <cell r="I2600">
            <v>2026</v>
          </cell>
          <cell r="J2600" t="str">
            <v>B</v>
          </cell>
          <cell r="K2600" t="str">
            <v>Las Acacias</v>
          </cell>
          <cell r="N2600" t="str">
            <v>B</v>
          </cell>
        </row>
        <row r="2601">
          <cell r="B2601" t="str">
            <v>VLSY98</v>
          </cell>
          <cell r="C2601" t="str">
            <v>LDYECS31XS0045856</v>
          </cell>
          <cell r="D2601" t="str">
            <v>MDN35025030127</v>
          </cell>
          <cell r="E2601" t="str">
            <v>Zhong Thong</v>
          </cell>
          <cell r="F2601" t="str">
            <v>Lck6122evg</v>
          </cell>
          <cell r="G2601" t="str">
            <v>Zhong Thong</v>
          </cell>
          <cell r="H2601" t="str">
            <v>Lck6122evg</v>
          </cell>
          <cell r="I2601">
            <v>2026</v>
          </cell>
          <cell r="J2601" t="str">
            <v>B</v>
          </cell>
          <cell r="K2601" t="str">
            <v>Las Acacias</v>
          </cell>
          <cell r="N2601" t="str">
            <v>B</v>
          </cell>
        </row>
        <row r="2602">
          <cell r="B2602" t="str">
            <v>VLSZ15</v>
          </cell>
          <cell r="C2602" t="str">
            <v>LDYECS312S0045849</v>
          </cell>
          <cell r="D2602" t="str">
            <v>MDN35025030294</v>
          </cell>
          <cell r="E2602" t="str">
            <v>Zhong Thong</v>
          </cell>
          <cell r="F2602" t="str">
            <v>Lck6122evg</v>
          </cell>
          <cell r="G2602" t="str">
            <v>Zhong Thong</v>
          </cell>
          <cell r="H2602" t="str">
            <v>Lck6122evg</v>
          </cell>
          <cell r="I2602">
            <v>2026</v>
          </cell>
          <cell r="J2602" t="str">
            <v>B</v>
          </cell>
          <cell r="K2602" t="str">
            <v>Las Acacias</v>
          </cell>
          <cell r="N2602" t="str">
            <v>B</v>
          </cell>
        </row>
        <row r="2603">
          <cell r="B2603" t="str">
            <v>VLSZ16</v>
          </cell>
          <cell r="C2603" t="str">
            <v>LDYECS312S0045754</v>
          </cell>
          <cell r="D2603" t="str">
            <v>MDN35025030177</v>
          </cell>
          <cell r="E2603" t="str">
            <v>Zhong Thong</v>
          </cell>
          <cell r="F2603" t="str">
            <v>Lck6122evg</v>
          </cell>
          <cell r="G2603" t="str">
            <v>Zhong Thong</v>
          </cell>
          <cell r="H2603" t="str">
            <v>Lck6122evg</v>
          </cell>
          <cell r="I2603">
            <v>2026</v>
          </cell>
          <cell r="J2603" t="str">
            <v>B</v>
          </cell>
          <cell r="K2603" t="str">
            <v>Las Acacias</v>
          </cell>
          <cell r="N2603" t="str">
            <v>B</v>
          </cell>
        </row>
        <row r="2604">
          <cell r="B2604" t="str">
            <v>VLSZ23</v>
          </cell>
          <cell r="C2604" t="str">
            <v>LDYECS310S0045865</v>
          </cell>
          <cell r="D2604" t="str">
            <v>MDN35025030267</v>
          </cell>
          <cell r="E2604" t="str">
            <v>Zhong Thong</v>
          </cell>
          <cell r="F2604" t="str">
            <v>Lck6122evg</v>
          </cell>
          <cell r="G2604" t="str">
            <v>Zhong Thong</v>
          </cell>
          <cell r="H2604" t="str">
            <v>Lck6122evg</v>
          </cell>
          <cell r="I2604">
            <v>2026</v>
          </cell>
          <cell r="J2604" t="str">
            <v>B</v>
          </cell>
          <cell r="K2604" t="str">
            <v>Las Acacias</v>
          </cell>
          <cell r="N2604" t="str">
            <v>B</v>
          </cell>
        </row>
        <row r="2605">
          <cell r="B2605" t="str">
            <v>FLXZ95</v>
          </cell>
          <cell r="C2605" t="str">
            <v>LC9LC30F5JALA6109</v>
          </cell>
          <cell r="D2605" t="str">
            <v>G174J60001</v>
          </cell>
          <cell r="E2605" t="str">
            <v>KING LONG</v>
          </cell>
          <cell r="F2605" t="str">
            <v>XMQ 6127</v>
          </cell>
          <cell r="G2605" t="str">
            <v>KING LONG</v>
          </cell>
          <cell r="H2605" t="str">
            <v>XMQ 6127G E TECH</v>
          </cell>
          <cell r="I2605">
            <v>2019</v>
          </cell>
          <cell r="J2605" t="str">
            <v>B</v>
          </cell>
          <cell r="K2605" t="str">
            <v>Recoleta</v>
          </cell>
          <cell r="N2605" t="str">
            <v>B</v>
          </cell>
        </row>
        <row r="2606">
          <cell r="B2606" t="str">
            <v>GCBC24</v>
          </cell>
          <cell r="C2606" t="str">
            <v>YV3T7U52XKA195288</v>
          </cell>
          <cell r="D2606">
            <v>482342</v>
          </cell>
          <cell r="E2606" t="str">
            <v>VOLVO</v>
          </cell>
          <cell r="F2606" t="str">
            <v>B8R</v>
          </cell>
          <cell r="G2606" t="str">
            <v>MARCOPOLO</v>
          </cell>
          <cell r="H2606" t="str">
            <v>TORINO</v>
          </cell>
          <cell r="I2606">
            <v>2019</v>
          </cell>
          <cell r="J2606" t="str">
            <v>BPAL</v>
          </cell>
          <cell r="K2606" t="str">
            <v>Santa Rosa</v>
          </cell>
          <cell r="N2606" t="str">
            <v>B</v>
          </cell>
        </row>
        <row r="2607">
          <cell r="B2607" t="str">
            <v>GCBC25</v>
          </cell>
          <cell r="C2607" t="str">
            <v>YV3T7U520KA195591</v>
          </cell>
          <cell r="D2607">
            <v>483878</v>
          </cell>
          <cell r="E2607" t="str">
            <v>VOLVO</v>
          </cell>
          <cell r="F2607" t="str">
            <v>B8R</v>
          </cell>
          <cell r="G2607" t="str">
            <v>MARCOPOLO</v>
          </cell>
          <cell r="H2607" t="str">
            <v>TORINO</v>
          </cell>
          <cell r="I2607">
            <v>2019</v>
          </cell>
          <cell r="J2607" t="str">
            <v>BPAL</v>
          </cell>
          <cell r="K2607" t="str">
            <v>Recoleta</v>
          </cell>
          <cell r="N2607" t="str">
            <v>B</v>
          </cell>
        </row>
        <row r="2608">
          <cell r="B2608" t="str">
            <v>GCBC26</v>
          </cell>
          <cell r="C2608" t="str">
            <v>YV3T7U529KA195640</v>
          </cell>
          <cell r="D2608">
            <v>479849</v>
          </cell>
          <cell r="E2608" t="str">
            <v>VOLVO</v>
          </cell>
          <cell r="F2608" t="str">
            <v>B8R</v>
          </cell>
          <cell r="G2608" t="str">
            <v>MARCOPOLO</v>
          </cell>
          <cell r="H2608" t="str">
            <v>TORINO</v>
          </cell>
          <cell r="I2608">
            <v>2019</v>
          </cell>
          <cell r="J2608" t="str">
            <v>BPAL</v>
          </cell>
          <cell r="K2608" t="str">
            <v>Recoleta</v>
          </cell>
          <cell r="N2608" t="str">
            <v>B</v>
          </cell>
        </row>
        <row r="2609">
          <cell r="B2609" t="str">
            <v>GCBC27</v>
          </cell>
          <cell r="C2609" t="str">
            <v>YV3T7U526KA195689</v>
          </cell>
          <cell r="D2609">
            <v>484541</v>
          </cell>
          <cell r="E2609" t="str">
            <v>VOLVO</v>
          </cell>
          <cell r="F2609" t="str">
            <v>B8R</v>
          </cell>
          <cell r="G2609" t="str">
            <v>MARCOPOLO</v>
          </cell>
          <cell r="H2609" t="str">
            <v>TORINO</v>
          </cell>
          <cell r="I2609">
            <v>2019</v>
          </cell>
          <cell r="J2609" t="str">
            <v>BPAL</v>
          </cell>
          <cell r="K2609" t="str">
            <v>Recoleta</v>
          </cell>
          <cell r="N2609" t="str">
            <v>B</v>
          </cell>
        </row>
        <row r="2610">
          <cell r="B2610" t="str">
            <v>GCBC28</v>
          </cell>
          <cell r="C2610" t="str">
            <v>YV3T7U528KA195189</v>
          </cell>
          <cell r="D2610">
            <v>481662</v>
          </cell>
          <cell r="E2610" t="str">
            <v>VOLVO</v>
          </cell>
          <cell r="F2610" t="str">
            <v>B8R</v>
          </cell>
          <cell r="G2610" t="str">
            <v>MARCOPOLO</v>
          </cell>
          <cell r="H2610" t="str">
            <v>TORINO</v>
          </cell>
          <cell r="I2610">
            <v>2019</v>
          </cell>
          <cell r="J2610" t="str">
            <v>BPAL</v>
          </cell>
          <cell r="K2610" t="str">
            <v>Santa Rosa</v>
          </cell>
          <cell r="N2610" t="str">
            <v>B</v>
          </cell>
        </row>
        <row r="2611">
          <cell r="B2611" t="str">
            <v>GCBC29</v>
          </cell>
          <cell r="C2611" t="str">
            <v>YV3T7U527KA195149</v>
          </cell>
          <cell r="D2611">
            <v>478253</v>
          </cell>
          <cell r="E2611" t="str">
            <v>VOLVO</v>
          </cell>
          <cell r="F2611" t="str">
            <v>B8R</v>
          </cell>
          <cell r="G2611" t="str">
            <v>MARCOPOLO</v>
          </cell>
          <cell r="H2611" t="str">
            <v>TORINO</v>
          </cell>
          <cell r="I2611">
            <v>2019</v>
          </cell>
          <cell r="J2611" t="str">
            <v>BPAL</v>
          </cell>
          <cell r="K2611" t="str">
            <v>Santa Rosa</v>
          </cell>
          <cell r="N2611" t="str">
            <v>B</v>
          </cell>
        </row>
        <row r="2612">
          <cell r="B2612" t="str">
            <v>GCBC30</v>
          </cell>
          <cell r="C2612" t="str">
            <v>YV3T7U528KA195354</v>
          </cell>
          <cell r="D2612">
            <v>482584</v>
          </cell>
          <cell r="E2612" t="str">
            <v>VOLVO</v>
          </cell>
          <cell r="F2612" t="str">
            <v>B8R</v>
          </cell>
          <cell r="G2612" t="str">
            <v>MARCOPOLO</v>
          </cell>
          <cell r="H2612" t="str">
            <v>TORINO</v>
          </cell>
          <cell r="I2612">
            <v>2019</v>
          </cell>
          <cell r="J2612" t="str">
            <v>BPAL</v>
          </cell>
          <cell r="K2612" t="str">
            <v>Santa Rosa</v>
          </cell>
          <cell r="N2612" t="str">
            <v>B</v>
          </cell>
        </row>
        <row r="2613">
          <cell r="B2613" t="str">
            <v>GCBC31</v>
          </cell>
          <cell r="C2613" t="str">
            <v>YV3T7U525KA195358</v>
          </cell>
          <cell r="D2613">
            <v>482487</v>
          </cell>
          <cell r="E2613" t="str">
            <v>VOLVO</v>
          </cell>
          <cell r="F2613" t="str">
            <v>B8R</v>
          </cell>
          <cell r="G2613" t="str">
            <v>MARCOPOLO</v>
          </cell>
          <cell r="H2613" t="str">
            <v>TORINO</v>
          </cell>
          <cell r="I2613">
            <v>2019</v>
          </cell>
          <cell r="J2613" t="str">
            <v>BPAL</v>
          </cell>
          <cell r="K2613" t="str">
            <v>Santa Rosa</v>
          </cell>
          <cell r="N2613" t="str">
            <v>B</v>
          </cell>
        </row>
        <row r="2614">
          <cell r="B2614" t="str">
            <v>GCBC33</v>
          </cell>
          <cell r="C2614" t="str">
            <v>YV3T7U529KA195573</v>
          </cell>
          <cell r="D2614">
            <v>483422</v>
          </cell>
          <cell r="E2614" t="str">
            <v>VOLVO</v>
          </cell>
          <cell r="F2614" t="str">
            <v>B8R</v>
          </cell>
          <cell r="G2614" t="str">
            <v>MARCOPOLO</v>
          </cell>
          <cell r="H2614" t="str">
            <v>TORINO</v>
          </cell>
          <cell r="I2614">
            <v>2019</v>
          </cell>
          <cell r="J2614" t="str">
            <v>BPAL</v>
          </cell>
          <cell r="K2614" t="str">
            <v>Recoleta</v>
          </cell>
          <cell r="N2614" t="str">
            <v>B</v>
          </cell>
        </row>
        <row r="2615">
          <cell r="B2615" t="str">
            <v>GCBC34</v>
          </cell>
          <cell r="C2615" t="str">
            <v>YV3T7U526KA195711</v>
          </cell>
          <cell r="D2615">
            <v>484639</v>
          </cell>
          <cell r="E2615" t="str">
            <v>VOLVO</v>
          </cell>
          <cell r="F2615" t="str">
            <v>B8R</v>
          </cell>
          <cell r="G2615" t="str">
            <v>MARCOPOLO</v>
          </cell>
          <cell r="H2615" t="str">
            <v>TORINO</v>
          </cell>
          <cell r="I2615">
            <v>2019</v>
          </cell>
          <cell r="J2615" t="str">
            <v>BPAL</v>
          </cell>
          <cell r="K2615" t="str">
            <v>Recoleta</v>
          </cell>
          <cell r="N2615" t="str">
            <v>B</v>
          </cell>
        </row>
        <row r="2616">
          <cell r="B2616" t="str">
            <v>GCBC35</v>
          </cell>
          <cell r="C2616" t="str">
            <v>YV3T7U522KA195687</v>
          </cell>
          <cell r="D2616">
            <v>484547</v>
          </cell>
          <cell r="E2616" t="str">
            <v>VOLVO</v>
          </cell>
          <cell r="F2616" t="str">
            <v>B8R</v>
          </cell>
          <cell r="G2616" t="str">
            <v>MARCOPOLO</v>
          </cell>
          <cell r="H2616" t="str">
            <v>TORINO</v>
          </cell>
          <cell r="I2616">
            <v>2019</v>
          </cell>
          <cell r="J2616" t="str">
            <v>BPAL</v>
          </cell>
          <cell r="K2616" t="str">
            <v>Recoleta</v>
          </cell>
          <cell r="N2616" t="str">
            <v>B</v>
          </cell>
        </row>
        <row r="2617">
          <cell r="B2617" t="str">
            <v>GCBF43</v>
          </cell>
          <cell r="C2617" t="str">
            <v>YV3T7U520LA200970</v>
          </cell>
          <cell r="D2617">
            <v>506294</v>
          </cell>
          <cell r="E2617" t="str">
            <v>VOLVO</v>
          </cell>
          <cell r="F2617" t="str">
            <v>B8RLEA</v>
          </cell>
          <cell r="G2617" t="str">
            <v>MARCOPOLO</v>
          </cell>
          <cell r="H2617" t="str">
            <v>GRAN VIALE</v>
          </cell>
          <cell r="I2617">
            <v>2020</v>
          </cell>
          <cell r="J2617" t="str">
            <v>C</v>
          </cell>
          <cell r="K2617" t="str">
            <v>Recoleta</v>
          </cell>
          <cell r="N2617" t="str">
            <v>C</v>
          </cell>
        </row>
        <row r="2618">
          <cell r="B2618" t="str">
            <v>GCBF44</v>
          </cell>
          <cell r="C2618" t="str">
            <v>YV3T7U524LA200874</v>
          </cell>
          <cell r="D2618">
            <v>505924</v>
          </cell>
          <cell r="E2618" t="str">
            <v>VOLVO</v>
          </cell>
          <cell r="F2618" t="str">
            <v>B8RLEA</v>
          </cell>
          <cell r="G2618" t="str">
            <v>MARCOPOLO</v>
          </cell>
          <cell r="H2618" t="str">
            <v>GRAN VIALE</v>
          </cell>
          <cell r="I2618">
            <v>2020</v>
          </cell>
          <cell r="J2618" t="str">
            <v>C</v>
          </cell>
          <cell r="K2618" t="str">
            <v>Recoleta</v>
          </cell>
          <cell r="N2618" t="str">
            <v>C</v>
          </cell>
        </row>
        <row r="2619">
          <cell r="B2619" t="str">
            <v>GCBF45</v>
          </cell>
          <cell r="C2619" t="str">
            <v>YV3T7U526LA200875</v>
          </cell>
          <cell r="D2619">
            <v>505881</v>
          </cell>
          <cell r="E2619" t="str">
            <v>VOLVO</v>
          </cell>
          <cell r="F2619" t="str">
            <v>B8RLEA</v>
          </cell>
          <cell r="G2619" t="str">
            <v>MARCOPOLO</v>
          </cell>
          <cell r="H2619" t="str">
            <v>GRAN VIALE</v>
          </cell>
          <cell r="I2619">
            <v>2020</v>
          </cell>
          <cell r="J2619" t="str">
            <v>C</v>
          </cell>
          <cell r="K2619" t="str">
            <v>Lo Blanco</v>
          </cell>
          <cell r="N2619" t="str">
            <v>C</v>
          </cell>
        </row>
        <row r="2620">
          <cell r="B2620" t="str">
            <v>GCBF46</v>
          </cell>
          <cell r="C2620" t="str">
            <v>YV3T7U528LA200876</v>
          </cell>
          <cell r="D2620">
            <v>505895</v>
          </cell>
          <cell r="E2620" t="str">
            <v>VOLVO</v>
          </cell>
          <cell r="F2620" t="str">
            <v>B8RLEA</v>
          </cell>
          <cell r="G2620" t="str">
            <v>MARCOPOLO</v>
          </cell>
          <cell r="H2620" t="str">
            <v>GRAN VIALE</v>
          </cell>
          <cell r="I2620">
            <v>2020</v>
          </cell>
          <cell r="J2620" t="str">
            <v>C</v>
          </cell>
          <cell r="K2620" t="str">
            <v>Recoleta</v>
          </cell>
          <cell r="N2620" t="str">
            <v>C</v>
          </cell>
        </row>
        <row r="2621">
          <cell r="B2621" t="str">
            <v>GCBF47</v>
          </cell>
          <cell r="C2621" t="str">
            <v>YV3T7U520LA200886</v>
          </cell>
          <cell r="D2621">
            <v>506176</v>
          </cell>
          <cell r="E2621" t="str">
            <v>VOLVO</v>
          </cell>
          <cell r="F2621" t="str">
            <v>B8RLEA</v>
          </cell>
          <cell r="G2621" t="str">
            <v>MARCOPOLO</v>
          </cell>
          <cell r="H2621" t="str">
            <v>GRAN VIALE</v>
          </cell>
          <cell r="I2621">
            <v>2020</v>
          </cell>
          <cell r="J2621" t="str">
            <v>C</v>
          </cell>
          <cell r="K2621" t="str">
            <v>Recoleta</v>
          </cell>
          <cell r="N2621" t="str">
            <v>C</v>
          </cell>
        </row>
        <row r="2622">
          <cell r="B2622" t="str">
            <v>GCBF48</v>
          </cell>
          <cell r="C2622" t="str">
            <v>YV3T7U522LA200887</v>
          </cell>
          <cell r="D2622">
            <v>506197</v>
          </cell>
          <cell r="E2622" t="str">
            <v>VOLVO</v>
          </cell>
          <cell r="F2622" t="str">
            <v>B8RLEA</v>
          </cell>
          <cell r="G2622" t="str">
            <v>MARCOPOLO</v>
          </cell>
          <cell r="H2622" t="str">
            <v>GRAN VIALE</v>
          </cell>
          <cell r="I2622">
            <v>2020</v>
          </cell>
          <cell r="J2622" t="str">
            <v>C</v>
          </cell>
          <cell r="K2622" t="str">
            <v>Recoleta</v>
          </cell>
          <cell r="N2622" t="str">
            <v>C</v>
          </cell>
        </row>
        <row r="2623">
          <cell r="B2623" t="str">
            <v>GCBF49</v>
          </cell>
          <cell r="C2623" t="str">
            <v>YV3T7U526LA200925</v>
          </cell>
          <cell r="D2623">
            <v>506187</v>
          </cell>
          <cell r="E2623" t="str">
            <v>VOLVO</v>
          </cell>
          <cell r="F2623" t="str">
            <v>B8RLEA</v>
          </cell>
          <cell r="G2623" t="str">
            <v>MARCOPOLO</v>
          </cell>
          <cell r="H2623" t="str">
            <v>GRAN VIALE</v>
          </cell>
          <cell r="I2623">
            <v>2020</v>
          </cell>
          <cell r="J2623" t="str">
            <v>C</v>
          </cell>
          <cell r="K2623" t="str">
            <v>Recoleta</v>
          </cell>
          <cell r="N2623" t="str">
            <v>C</v>
          </cell>
        </row>
        <row r="2624">
          <cell r="B2624" t="str">
            <v>GCBF50</v>
          </cell>
          <cell r="C2624" t="str">
            <v>YV3T7U527LA200934</v>
          </cell>
          <cell r="D2624">
            <v>506345</v>
          </cell>
          <cell r="E2624" t="str">
            <v>VOLVO</v>
          </cell>
          <cell r="F2624" t="str">
            <v>B8RLEA</v>
          </cell>
          <cell r="G2624" t="str">
            <v>MARCOPOLO</v>
          </cell>
          <cell r="H2624" t="str">
            <v>GRAN VIALE</v>
          </cell>
          <cell r="I2624">
            <v>2020</v>
          </cell>
          <cell r="J2624" t="str">
            <v>C</v>
          </cell>
          <cell r="K2624" t="str">
            <v>Recoleta</v>
          </cell>
          <cell r="N2624" t="str">
            <v>C</v>
          </cell>
        </row>
        <row r="2625">
          <cell r="B2625" t="str">
            <v>GCBF51</v>
          </cell>
          <cell r="C2625" t="str">
            <v>YV3T7U529LA200935</v>
          </cell>
          <cell r="D2625">
            <v>506403</v>
          </cell>
          <cell r="E2625" t="str">
            <v>VOLVO</v>
          </cell>
          <cell r="F2625" t="str">
            <v>B8RLEA</v>
          </cell>
          <cell r="G2625" t="str">
            <v>MARCOPOLO</v>
          </cell>
          <cell r="H2625" t="str">
            <v>GRAN VIALE</v>
          </cell>
          <cell r="I2625">
            <v>2020</v>
          </cell>
          <cell r="J2625" t="str">
            <v>C</v>
          </cell>
          <cell r="K2625" t="str">
            <v>Recoleta</v>
          </cell>
          <cell r="N2625" t="str">
            <v>C</v>
          </cell>
        </row>
        <row r="2626">
          <cell r="B2626" t="str">
            <v>GCBF52</v>
          </cell>
          <cell r="C2626" t="str">
            <v>YV3T7U520LA200936</v>
          </cell>
          <cell r="D2626">
            <v>506358</v>
          </cell>
          <cell r="E2626" t="str">
            <v>VOLVO</v>
          </cell>
          <cell r="F2626" t="str">
            <v>B8RLEA</v>
          </cell>
          <cell r="G2626" t="str">
            <v>MARCOPOLO</v>
          </cell>
          <cell r="H2626" t="str">
            <v>GRAN VIALE</v>
          </cell>
          <cell r="I2626">
            <v>2020</v>
          </cell>
          <cell r="J2626" t="str">
            <v>C</v>
          </cell>
          <cell r="K2626" t="str">
            <v>Recoleta</v>
          </cell>
          <cell r="N2626" t="str">
            <v>C</v>
          </cell>
        </row>
        <row r="2627">
          <cell r="B2627" t="str">
            <v>GCBF53</v>
          </cell>
          <cell r="C2627" t="str">
            <v>YV3T7U524LA200969</v>
          </cell>
          <cell r="D2627">
            <v>506311</v>
          </cell>
          <cell r="E2627" t="str">
            <v>VOLVO</v>
          </cell>
          <cell r="F2627" t="str">
            <v>B8RLEA</v>
          </cell>
          <cell r="G2627" t="str">
            <v>MARCOPOLO</v>
          </cell>
          <cell r="H2627" t="str">
            <v>GRAN VIALE</v>
          </cell>
          <cell r="I2627">
            <v>2020</v>
          </cell>
          <cell r="J2627" t="str">
            <v>C</v>
          </cell>
          <cell r="K2627" t="str">
            <v>Recoleta</v>
          </cell>
          <cell r="N2627" t="str">
            <v>C</v>
          </cell>
        </row>
        <row r="2628">
          <cell r="B2628" t="str">
            <v>LXWT82</v>
          </cell>
          <cell r="C2628" t="str">
            <v>YV3T7U524LA200924</v>
          </cell>
          <cell r="D2628">
            <v>506179</v>
          </cell>
          <cell r="E2628" t="str">
            <v>VOLVO</v>
          </cell>
          <cell r="F2628" t="str">
            <v>B8RLEA</v>
          </cell>
          <cell r="G2628" t="str">
            <v>MARCOPOLO</v>
          </cell>
          <cell r="H2628" t="str">
            <v>GRAN VIALE</v>
          </cell>
          <cell r="I2628">
            <v>2020</v>
          </cell>
          <cell r="J2628" t="str">
            <v>C</v>
          </cell>
          <cell r="K2628" t="str">
            <v>Recoleta</v>
          </cell>
          <cell r="N2628" t="str">
            <v>C</v>
          </cell>
        </row>
        <row r="2629">
          <cell r="B2629" t="str">
            <v>LXWT83</v>
          </cell>
          <cell r="C2629" t="str">
            <v>YV3T7U522LA200873</v>
          </cell>
          <cell r="D2629">
            <v>505882</v>
          </cell>
          <cell r="E2629" t="str">
            <v>VOLVO</v>
          </cell>
          <cell r="F2629" t="str">
            <v>B8RLEA</v>
          </cell>
          <cell r="G2629" t="str">
            <v>MARCOPOLO</v>
          </cell>
          <cell r="H2629" t="str">
            <v>GRAN VIALE</v>
          </cell>
          <cell r="I2629">
            <v>2020</v>
          </cell>
          <cell r="J2629" t="str">
            <v>C</v>
          </cell>
          <cell r="K2629" t="str">
            <v>Recoleta</v>
          </cell>
          <cell r="N2629" t="str">
            <v>C</v>
          </cell>
        </row>
        <row r="2630">
          <cell r="B2630" t="str">
            <v>LXWT84</v>
          </cell>
          <cell r="C2630" t="str">
            <v>YV3T7U520LA198721</v>
          </cell>
          <cell r="D2630">
            <v>500916</v>
          </cell>
          <cell r="E2630" t="str">
            <v>VOLVO</v>
          </cell>
          <cell r="F2630" t="str">
            <v>B8RLEA</v>
          </cell>
          <cell r="G2630" t="str">
            <v>MARCOPOLO</v>
          </cell>
          <cell r="H2630" t="str">
            <v>GRAN VIALE</v>
          </cell>
          <cell r="I2630">
            <v>2020</v>
          </cell>
          <cell r="J2630" t="str">
            <v>C</v>
          </cell>
          <cell r="K2630" t="str">
            <v>Lo Blanco</v>
          </cell>
          <cell r="N2630" t="str">
            <v>C</v>
          </cell>
        </row>
        <row r="2631">
          <cell r="B2631" t="str">
            <v>LXWT85</v>
          </cell>
          <cell r="C2631" t="str">
            <v>YV3T7U52XLA200832</v>
          </cell>
          <cell r="D2631">
            <v>505962</v>
          </cell>
          <cell r="E2631" t="str">
            <v>VOLVO</v>
          </cell>
          <cell r="F2631" t="str">
            <v>B8RLEA</v>
          </cell>
          <cell r="G2631" t="str">
            <v>MARCOPOLO</v>
          </cell>
          <cell r="H2631" t="str">
            <v>GRAN VIALE</v>
          </cell>
          <cell r="I2631">
            <v>2020</v>
          </cell>
          <cell r="J2631" t="str">
            <v>C</v>
          </cell>
          <cell r="K2631" t="str">
            <v>Recoleta</v>
          </cell>
          <cell r="N2631" t="str">
            <v>C</v>
          </cell>
        </row>
        <row r="2632">
          <cell r="B2632" t="str">
            <v>LXWT86</v>
          </cell>
          <cell r="C2632" t="str">
            <v>YV3T7U52XLA200863</v>
          </cell>
          <cell r="D2632">
            <v>505947</v>
          </cell>
          <cell r="E2632" t="str">
            <v>VOLVO</v>
          </cell>
          <cell r="F2632" t="str">
            <v>B8RLEA</v>
          </cell>
          <cell r="G2632" t="str">
            <v>MARCOPOLO</v>
          </cell>
          <cell r="H2632" t="str">
            <v>GRAN VIALE</v>
          </cell>
          <cell r="I2632">
            <v>2020</v>
          </cell>
          <cell r="J2632" t="str">
            <v>C</v>
          </cell>
          <cell r="K2632" t="str">
            <v>Recoleta</v>
          </cell>
          <cell r="N2632" t="str">
            <v>C</v>
          </cell>
        </row>
        <row r="2633">
          <cell r="B2633" t="str">
            <v>LXWT87</v>
          </cell>
          <cell r="C2633" t="str">
            <v>YV3T7U528LA200831</v>
          </cell>
          <cell r="D2633">
            <v>505956</v>
          </cell>
          <cell r="E2633" t="str">
            <v>VOLVO</v>
          </cell>
          <cell r="F2633" t="str">
            <v>B8RLEA</v>
          </cell>
          <cell r="G2633" t="str">
            <v>MARCOPOLO</v>
          </cell>
          <cell r="H2633" t="str">
            <v>GRAN VIALE</v>
          </cell>
          <cell r="I2633">
            <v>2020</v>
          </cell>
          <cell r="J2633" t="str">
            <v>C</v>
          </cell>
          <cell r="K2633" t="str">
            <v>Recoleta</v>
          </cell>
          <cell r="N2633" t="str">
            <v>C</v>
          </cell>
        </row>
        <row r="2634">
          <cell r="B2634" t="str">
            <v>LXWT88</v>
          </cell>
          <cell r="C2634" t="str">
            <v>YV3T7U528LA200862</v>
          </cell>
          <cell r="D2634">
            <v>505976</v>
          </cell>
          <cell r="E2634" t="str">
            <v>VOLVO</v>
          </cell>
          <cell r="F2634" t="str">
            <v>B8RLEA</v>
          </cell>
          <cell r="G2634" t="str">
            <v>MARCOPOLO</v>
          </cell>
          <cell r="H2634" t="str">
            <v>GRAN VIALE</v>
          </cell>
          <cell r="I2634">
            <v>2020</v>
          </cell>
          <cell r="J2634" t="str">
            <v>C</v>
          </cell>
          <cell r="K2634" t="str">
            <v>Recoleta</v>
          </cell>
          <cell r="N2634" t="str">
            <v>C</v>
          </cell>
        </row>
        <row r="2635">
          <cell r="B2635" t="str">
            <v>LXWT89</v>
          </cell>
          <cell r="C2635" t="str">
            <v>YV3T7U521LA201271</v>
          </cell>
          <cell r="D2635">
            <v>507683</v>
          </cell>
          <cell r="E2635" t="str">
            <v>VOLVO</v>
          </cell>
          <cell r="F2635" t="str">
            <v>B8RLEA</v>
          </cell>
          <cell r="G2635" t="str">
            <v>MARCOPOLO</v>
          </cell>
          <cell r="H2635" t="str">
            <v>GRAN VIALE</v>
          </cell>
          <cell r="I2635">
            <v>2020</v>
          </cell>
          <cell r="J2635" t="str">
            <v>C</v>
          </cell>
          <cell r="K2635" t="str">
            <v>Lo Blanco</v>
          </cell>
          <cell r="N2635" t="str">
            <v>C</v>
          </cell>
        </row>
        <row r="2636">
          <cell r="B2636" t="str">
            <v>LXWT90</v>
          </cell>
          <cell r="C2636" t="str">
            <v>YV3T7U525LA201208</v>
          </cell>
          <cell r="D2636">
            <v>507344</v>
          </cell>
          <cell r="E2636" t="str">
            <v>VOLVO</v>
          </cell>
          <cell r="F2636" t="str">
            <v>B8RLEA</v>
          </cell>
          <cell r="G2636" t="str">
            <v>MARCOPOLO</v>
          </cell>
          <cell r="H2636" t="str">
            <v>GRAN VIALE</v>
          </cell>
          <cell r="I2636">
            <v>2020</v>
          </cell>
          <cell r="J2636" t="str">
            <v>C</v>
          </cell>
          <cell r="K2636" t="str">
            <v>Lo Blanco</v>
          </cell>
          <cell r="N2636" t="str">
            <v>C</v>
          </cell>
        </row>
        <row r="2637">
          <cell r="B2637" t="str">
            <v>LXWT91</v>
          </cell>
          <cell r="C2637" t="str">
            <v>YV3T7U524LA200888</v>
          </cell>
          <cell r="D2637">
            <v>506177</v>
          </cell>
          <cell r="E2637" t="str">
            <v>VOLVO</v>
          </cell>
          <cell r="F2637" t="str">
            <v>B8RLEA</v>
          </cell>
          <cell r="G2637" t="str">
            <v>MARCOPOLO</v>
          </cell>
          <cell r="H2637" t="str">
            <v>GRAN VIALE</v>
          </cell>
          <cell r="I2637">
            <v>2020</v>
          </cell>
          <cell r="J2637" t="str">
            <v>C</v>
          </cell>
          <cell r="K2637" t="str">
            <v>Recoleta</v>
          </cell>
          <cell r="N2637" t="str">
            <v>C</v>
          </cell>
        </row>
        <row r="2638">
          <cell r="B2638" t="str">
            <v>LXWT92</v>
          </cell>
          <cell r="C2638" t="str">
            <v>YV3T7U522LA200923</v>
          </cell>
          <cell r="D2638">
            <v>506195</v>
          </cell>
          <cell r="E2638" t="str">
            <v>VOLVO</v>
          </cell>
          <cell r="F2638" t="str">
            <v>B8RLEA</v>
          </cell>
          <cell r="G2638" t="str">
            <v>MARCOPOLO</v>
          </cell>
          <cell r="H2638" t="str">
            <v>GRAN VIALE</v>
          </cell>
          <cell r="I2638">
            <v>2020</v>
          </cell>
          <cell r="J2638" t="str">
            <v>C</v>
          </cell>
          <cell r="K2638" t="str">
            <v>Lo Blanco</v>
          </cell>
          <cell r="N2638" t="str">
            <v>C</v>
          </cell>
        </row>
        <row r="2639">
          <cell r="B2639" t="str">
            <v>LXWT93</v>
          </cell>
          <cell r="C2639" t="str">
            <v>YV3T7U525LA201211</v>
          </cell>
          <cell r="D2639">
            <v>507350</v>
          </cell>
          <cell r="E2639" t="str">
            <v>VOLVO</v>
          </cell>
          <cell r="F2639" t="str">
            <v>B8RLEA</v>
          </cell>
          <cell r="G2639" t="str">
            <v>MARCOPOLO</v>
          </cell>
          <cell r="H2639" t="str">
            <v>GRAN VIALE</v>
          </cell>
          <cell r="I2639">
            <v>2020</v>
          </cell>
          <cell r="J2639" t="str">
            <v>C</v>
          </cell>
          <cell r="K2639" t="str">
            <v>Lo Blanco</v>
          </cell>
          <cell r="N2639" t="str">
            <v>C</v>
          </cell>
        </row>
        <row r="2640">
          <cell r="B2640" t="str">
            <v>LXWT94</v>
          </cell>
          <cell r="C2640" t="str">
            <v>YV3T7U52XLA201317</v>
          </cell>
          <cell r="D2640">
            <v>507672</v>
          </cell>
          <cell r="E2640" t="str">
            <v>VOLVO</v>
          </cell>
          <cell r="F2640" t="str">
            <v>B8RLEA</v>
          </cell>
          <cell r="G2640" t="str">
            <v>MARCOPOLO</v>
          </cell>
          <cell r="H2640" t="str">
            <v>GRAN VIALE</v>
          </cell>
          <cell r="I2640">
            <v>2020</v>
          </cell>
          <cell r="J2640" t="str">
            <v>C</v>
          </cell>
          <cell r="K2640" t="str">
            <v>Lo Blanco</v>
          </cell>
          <cell r="N2640" t="str">
            <v>C</v>
          </cell>
        </row>
        <row r="2641">
          <cell r="B2641" t="str">
            <v>LXWT95</v>
          </cell>
          <cell r="C2641" t="str">
            <v>YV3T7U523LA201269</v>
          </cell>
          <cell r="D2641">
            <v>507437</v>
          </cell>
          <cell r="E2641" t="str">
            <v>VOLVO</v>
          </cell>
          <cell r="F2641" t="str">
            <v>B8RLEA</v>
          </cell>
          <cell r="G2641" t="str">
            <v>MARCOPOLO</v>
          </cell>
          <cell r="H2641" t="str">
            <v>GRAN VIALE</v>
          </cell>
          <cell r="I2641">
            <v>2020</v>
          </cell>
          <cell r="J2641" t="str">
            <v>C</v>
          </cell>
          <cell r="K2641" t="str">
            <v>Lo Blanco</v>
          </cell>
          <cell r="N2641" t="str">
            <v>C</v>
          </cell>
        </row>
        <row r="2642">
          <cell r="B2642" t="str">
            <v>LXWT96</v>
          </cell>
          <cell r="C2642" t="str">
            <v>YV3T7U528LA201252</v>
          </cell>
          <cell r="D2642">
            <v>506904</v>
          </cell>
          <cell r="E2642" t="str">
            <v>VOLVO</v>
          </cell>
          <cell r="F2642" t="str">
            <v>B8RLEA</v>
          </cell>
          <cell r="G2642" t="str">
            <v>MARCOPOLO</v>
          </cell>
          <cell r="H2642" t="str">
            <v>GRAN VIALE</v>
          </cell>
          <cell r="I2642">
            <v>2020</v>
          </cell>
          <cell r="J2642" t="str">
            <v>C</v>
          </cell>
          <cell r="K2642" t="str">
            <v>Lo Blanco</v>
          </cell>
          <cell r="N2642" t="str">
            <v>C</v>
          </cell>
        </row>
        <row r="2643">
          <cell r="B2643" t="str">
            <v>LXWT97</v>
          </cell>
          <cell r="C2643" t="str">
            <v>YV3T7U523LA201210</v>
          </cell>
          <cell r="D2643">
            <v>507372</v>
          </cell>
          <cell r="E2643" t="str">
            <v>VOLVO</v>
          </cell>
          <cell r="F2643" t="str">
            <v>B8RLEA</v>
          </cell>
          <cell r="G2643" t="str">
            <v>MARCOPOLO</v>
          </cell>
          <cell r="H2643" t="str">
            <v>GRAN VIALE</v>
          </cell>
          <cell r="I2643">
            <v>2020</v>
          </cell>
          <cell r="J2643" t="str">
            <v>C</v>
          </cell>
          <cell r="K2643" t="str">
            <v>Lo Blanco</v>
          </cell>
          <cell r="N2643" t="str">
            <v>C</v>
          </cell>
        </row>
        <row r="2644">
          <cell r="B2644" t="str">
            <v>LXWT98</v>
          </cell>
          <cell r="C2644" t="str">
            <v>YV3T7U522LA201182</v>
          </cell>
          <cell r="D2644">
            <v>506843</v>
          </cell>
          <cell r="E2644" t="str">
            <v>VOLVO</v>
          </cell>
          <cell r="F2644" t="str">
            <v>B8RLEA</v>
          </cell>
          <cell r="G2644" t="str">
            <v>MARCOPOLO</v>
          </cell>
          <cell r="H2644" t="str">
            <v>GRAN VIALE</v>
          </cell>
          <cell r="I2644">
            <v>2020</v>
          </cell>
          <cell r="J2644" t="str">
            <v>C</v>
          </cell>
          <cell r="K2644" t="str">
            <v>Lo Blanco</v>
          </cell>
          <cell r="N2644" t="str">
            <v>C</v>
          </cell>
        </row>
        <row r="2645">
          <cell r="B2645" t="str">
            <v>LXWT99</v>
          </cell>
          <cell r="C2645" t="str">
            <v>YV3T7U527LA201212</v>
          </cell>
          <cell r="D2645">
            <v>507397</v>
          </cell>
          <cell r="E2645" t="str">
            <v>VOLVO</v>
          </cell>
          <cell r="F2645" t="str">
            <v>B8RLEA</v>
          </cell>
          <cell r="G2645" t="str">
            <v>MARCOPOLO</v>
          </cell>
          <cell r="H2645" t="str">
            <v>GRAN VIALE</v>
          </cell>
          <cell r="I2645">
            <v>2020</v>
          </cell>
          <cell r="J2645" t="str">
            <v>C</v>
          </cell>
          <cell r="K2645" t="str">
            <v>Lo Blanco</v>
          </cell>
          <cell r="N2645" t="str">
            <v>C</v>
          </cell>
        </row>
        <row r="2646">
          <cell r="B2646" t="str">
            <v>LZPG10</v>
          </cell>
          <cell r="C2646" t="str">
            <v>YV3T7U521LA201254</v>
          </cell>
          <cell r="D2646">
            <v>507451</v>
          </cell>
          <cell r="E2646" t="str">
            <v>VOLVO</v>
          </cell>
          <cell r="F2646" t="str">
            <v>B8RLEA</v>
          </cell>
          <cell r="G2646" t="str">
            <v>MARCOPOLO</v>
          </cell>
          <cell r="H2646" t="str">
            <v>GRAN VIALE</v>
          </cell>
          <cell r="I2646">
            <v>2020</v>
          </cell>
          <cell r="J2646" t="str">
            <v>C</v>
          </cell>
          <cell r="K2646" t="str">
            <v>Lo Blanco</v>
          </cell>
          <cell r="N2646" t="str">
            <v>C</v>
          </cell>
        </row>
        <row r="2647">
          <cell r="B2647" t="str">
            <v>LZPG11</v>
          </cell>
          <cell r="C2647" t="str">
            <v>YV3T7U523LA201255</v>
          </cell>
          <cell r="D2647">
            <v>507423</v>
          </cell>
          <cell r="E2647" t="str">
            <v>VOLVO</v>
          </cell>
          <cell r="F2647" t="str">
            <v>B8RLEA</v>
          </cell>
          <cell r="G2647" t="str">
            <v>MARCOPOLO</v>
          </cell>
          <cell r="H2647" t="str">
            <v>GRAN VIALE</v>
          </cell>
          <cell r="I2647">
            <v>2020</v>
          </cell>
          <cell r="J2647" t="str">
            <v>C</v>
          </cell>
          <cell r="K2647" t="str">
            <v>Lo Blanco</v>
          </cell>
          <cell r="N2647" t="str">
            <v>C</v>
          </cell>
        </row>
        <row r="2648">
          <cell r="B2648" t="str">
            <v>LZPG12</v>
          </cell>
          <cell r="C2648" t="str">
            <v>YV3T7U527LA201257</v>
          </cell>
          <cell r="D2648">
            <v>507427</v>
          </cell>
          <cell r="E2648" t="str">
            <v>VOLVO</v>
          </cell>
          <cell r="F2648" t="str">
            <v>B8RLEA</v>
          </cell>
          <cell r="G2648" t="str">
            <v>MARCOPOLO</v>
          </cell>
          <cell r="H2648" t="str">
            <v>GRAN VIALE</v>
          </cell>
          <cell r="I2648">
            <v>2020</v>
          </cell>
          <cell r="J2648" t="str">
            <v>C</v>
          </cell>
          <cell r="K2648" t="str">
            <v>Lo Blanco</v>
          </cell>
          <cell r="N2648" t="str">
            <v>C</v>
          </cell>
        </row>
        <row r="2649">
          <cell r="B2649" t="str">
            <v>LZPG13</v>
          </cell>
          <cell r="C2649" t="str">
            <v>YV3T7U520LA198718</v>
          </cell>
          <cell r="D2649">
            <v>499868</v>
          </cell>
          <cell r="E2649" t="str">
            <v>VOLVO</v>
          </cell>
          <cell r="F2649" t="str">
            <v>B8RLEA</v>
          </cell>
          <cell r="G2649" t="str">
            <v>MARCOPOLO</v>
          </cell>
          <cell r="H2649" t="str">
            <v>GRAN VIALE</v>
          </cell>
          <cell r="I2649">
            <v>2020</v>
          </cell>
          <cell r="J2649" t="str">
            <v>C</v>
          </cell>
          <cell r="K2649" t="str">
            <v>Lo Blanco</v>
          </cell>
          <cell r="N2649" t="str">
            <v>C</v>
          </cell>
        </row>
        <row r="2650">
          <cell r="B2650" t="str">
            <v>LZPG14</v>
          </cell>
          <cell r="C2650" t="str">
            <v>YV3T7U522LA198719</v>
          </cell>
          <cell r="D2650">
            <v>499801</v>
          </cell>
          <cell r="E2650" t="str">
            <v>VOLVO</v>
          </cell>
          <cell r="F2650" t="str">
            <v>B8RLEA</v>
          </cell>
          <cell r="G2650" t="str">
            <v>MARCOPOLO</v>
          </cell>
          <cell r="H2650" t="str">
            <v>GRAN VIALE</v>
          </cell>
          <cell r="I2650">
            <v>2020</v>
          </cell>
          <cell r="J2650" t="str">
            <v>C</v>
          </cell>
          <cell r="K2650" t="str">
            <v>Lo Blanco</v>
          </cell>
          <cell r="N2650" t="str">
            <v>C</v>
          </cell>
        </row>
        <row r="2651">
          <cell r="B2651" t="str">
            <v>LZPG15</v>
          </cell>
          <cell r="C2651" t="str">
            <v>YV3T7U52XLA200989</v>
          </cell>
          <cell r="D2651">
            <v>506525</v>
          </cell>
          <cell r="E2651" t="str">
            <v>VOLVO</v>
          </cell>
          <cell r="F2651" t="str">
            <v>B8RLEA</v>
          </cell>
          <cell r="G2651" t="str">
            <v>MARCOPOLO</v>
          </cell>
          <cell r="H2651" t="str">
            <v>GRAN VIALE</v>
          </cell>
          <cell r="I2651">
            <v>2020</v>
          </cell>
          <cell r="J2651" t="str">
            <v>C</v>
          </cell>
          <cell r="K2651" t="str">
            <v>Recoleta</v>
          </cell>
          <cell r="N2651" t="str">
            <v>C</v>
          </cell>
        </row>
        <row r="2652">
          <cell r="B2652" t="str">
            <v>LZPG16</v>
          </cell>
          <cell r="C2652" t="str">
            <v>YV3T7U529LA198717</v>
          </cell>
          <cell r="D2652">
            <v>501057</v>
          </cell>
          <cell r="E2652" t="str">
            <v>VOLVO</v>
          </cell>
          <cell r="F2652" t="str">
            <v>B8RLEA</v>
          </cell>
          <cell r="G2652" t="str">
            <v>MARCOPOLO</v>
          </cell>
          <cell r="H2652" t="str">
            <v>GRAN VIALE</v>
          </cell>
          <cell r="I2652">
            <v>2020</v>
          </cell>
          <cell r="J2652" t="str">
            <v>C</v>
          </cell>
          <cell r="K2652" t="str">
            <v>Recoleta</v>
          </cell>
          <cell r="N2652" t="str">
            <v>C</v>
          </cell>
        </row>
        <row r="2653">
          <cell r="B2653" t="str">
            <v>LZPG17</v>
          </cell>
          <cell r="C2653" t="str">
            <v>YV3T7U529LA198720</v>
          </cell>
          <cell r="D2653">
            <v>500912</v>
          </cell>
          <cell r="E2653" t="str">
            <v>VOLVO</v>
          </cell>
          <cell r="F2653" t="str">
            <v>B8RLEA</v>
          </cell>
          <cell r="G2653" t="str">
            <v>MARCOPOLO</v>
          </cell>
          <cell r="H2653" t="str">
            <v>GRAN VIALE</v>
          </cell>
          <cell r="I2653">
            <v>2020</v>
          </cell>
          <cell r="J2653" t="str">
            <v>C</v>
          </cell>
          <cell r="K2653" t="str">
            <v>Lo Blanco</v>
          </cell>
          <cell r="N2653" t="str">
            <v>C</v>
          </cell>
        </row>
        <row r="2654">
          <cell r="B2654" t="str">
            <v>LZPG18</v>
          </cell>
          <cell r="C2654" t="str">
            <v>YV3T7U525LA201256</v>
          </cell>
          <cell r="D2654">
            <v>507442</v>
          </cell>
          <cell r="E2654" t="str">
            <v>VOLVO</v>
          </cell>
          <cell r="F2654" t="str">
            <v>B8RLEA</v>
          </cell>
          <cell r="G2654" t="str">
            <v>MARCOPOLO</v>
          </cell>
          <cell r="H2654" t="str">
            <v>GRAN VIALE</v>
          </cell>
          <cell r="I2654">
            <v>2020</v>
          </cell>
          <cell r="J2654" t="str">
            <v>C</v>
          </cell>
          <cell r="K2654" t="str">
            <v>Lo Blanco</v>
          </cell>
          <cell r="N2654" t="str">
            <v>C</v>
          </cell>
        </row>
        <row r="2655">
          <cell r="B2655" t="str">
            <v>LZPG19</v>
          </cell>
          <cell r="C2655" t="str">
            <v>YV3T7U528LA200988</v>
          </cell>
          <cell r="D2655">
            <v>506479</v>
          </cell>
          <cell r="E2655" t="str">
            <v>VOLVO</v>
          </cell>
          <cell r="F2655" t="str">
            <v>B8RLEA</v>
          </cell>
          <cell r="G2655" t="str">
            <v>MARCOPOLO</v>
          </cell>
          <cell r="H2655" t="str">
            <v>GRAN VIALE</v>
          </cell>
          <cell r="I2655">
            <v>2020</v>
          </cell>
          <cell r="J2655" t="str">
            <v>C</v>
          </cell>
          <cell r="K2655" t="str">
            <v>Lo Blanco</v>
          </cell>
          <cell r="N2655" t="str">
            <v>C</v>
          </cell>
        </row>
        <row r="2656">
          <cell r="B2656" t="str">
            <v>LZPG20</v>
          </cell>
          <cell r="C2656" t="str">
            <v>YV3T7U525LA201032</v>
          </cell>
          <cell r="D2656">
            <v>506651</v>
          </cell>
          <cell r="E2656" t="str">
            <v>VOLVO</v>
          </cell>
          <cell r="F2656" t="str">
            <v>B8RLEA</v>
          </cell>
          <cell r="G2656" t="str">
            <v>MARCOPOLO</v>
          </cell>
          <cell r="H2656" t="str">
            <v>GRAN VIALE</v>
          </cell>
          <cell r="I2656">
            <v>2020</v>
          </cell>
          <cell r="J2656" t="str">
            <v>C</v>
          </cell>
          <cell r="K2656" t="str">
            <v>Lo Blanco</v>
          </cell>
          <cell r="N2656" t="str">
            <v>C</v>
          </cell>
        </row>
        <row r="2657">
          <cell r="B2657" t="str">
            <v>LZPG21</v>
          </cell>
          <cell r="C2657" t="str">
            <v>YV3T7U528LA201266</v>
          </cell>
          <cell r="D2657">
            <v>507458</v>
          </cell>
          <cell r="E2657" t="str">
            <v>VOLVO</v>
          </cell>
          <cell r="F2657" t="str">
            <v>B8RLEA</v>
          </cell>
          <cell r="G2657" t="str">
            <v>MARCOPOLO</v>
          </cell>
          <cell r="H2657" t="str">
            <v>GRAN VIALE</v>
          </cell>
          <cell r="I2657">
            <v>2020</v>
          </cell>
          <cell r="J2657" t="str">
            <v>C</v>
          </cell>
          <cell r="K2657" t="str">
            <v>Lo Blanco</v>
          </cell>
          <cell r="N2657" t="str">
            <v>C</v>
          </cell>
        </row>
        <row r="2658">
          <cell r="B2658" t="str">
            <v>LZPG22</v>
          </cell>
          <cell r="C2658" t="str">
            <v>YV3T7U523LA201272</v>
          </cell>
          <cell r="D2658">
            <v>507661</v>
          </cell>
          <cell r="E2658" t="str">
            <v>VOLVO</v>
          </cell>
          <cell r="F2658" t="str">
            <v>B8RLEA</v>
          </cell>
          <cell r="G2658" t="str">
            <v>MARCOPOLO</v>
          </cell>
          <cell r="H2658" t="str">
            <v>GRAN VIALE</v>
          </cell>
          <cell r="I2658">
            <v>2020</v>
          </cell>
          <cell r="J2658" t="str">
            <v>C</v>
          </cell>
          <cell r="K2658" t="str">
            <v>Lo Blanco</v>
          </cell>
          <cell r="N2658" t="str">
            <v>C</v>
          </cell>
        </row>
        <row r="2659">
          <cell r="B2659" t="str">
            <v>LZPG23</v>
          </cell>
          <cell r="C2659" t="str">
            <v>YV3T7U526LA200990</v>
          </cell>
          <cell r="D2659">
            <v>506530</v>
          </cell>
          <cell r="E2659" t="str">
            <v>VOLVO</v>
          </cell>
          <cell r="F2659" t="str">
            <v>B8RLEA</v>
          </cell>
          <cell r="G2659" t="str">
            <v>MARCOPOLO</v>
          </cell>
          <cell r="H2659" t="str">
            <v>GRAN VIALE</v>
          </cell>
          <cell r="I2659">
            <v>2020</v>
          </cell>
          <cell r="J2659" t="str">
            <v>C</v>
          </cell>
          <cell r="K2659" t="str">
            <v>Recoleta</v>
          </cell>
          <cell r="N2659" t="str">
            <v>C</v>
          </cell>
        </row>
        <row r="2660">
          <cell r="B2660" t="str">
            <v>LZPG24</v>
          </cell>
          <cell r="C2660" t="str">
            <v>YV3T7U528LA200991</v>
          </cell>
          <cell r="D2660">
            <v>506543</v>
          </cell>
          <cell r="E2660" t="str">
            <v>VOLVO</v>
          </cell>
          <cell r="F2660" t="str">
            <v>B8RLEA</v>
          </cell>
          <cell r="G2660" t="str">
            <v>MARCOPOLO</v>
          </cell>
          <cell r="H2660" t="str">
            <v>GRAN VIALE</v>
          </cell>
          <cell r="I2660">
            <v>2020</v>
          </cell>
          <cell r="J2660" t="str">
            <v>C</v>
          </cell>
          <cell r="K2660" t="str">
            <v>Lo Blanco</v>
          </cell>
          <cell r="N2660" t="str">
            <v>C</v>
          </cell>
        </row>
        <row r="2661">
          <cell r="B2661" t="str">
            <v>LZPG25</v>
          </cell>
          <cell r="C2661" t="str">
            <v>YV3T7U52XLA201267</v>
          </cell>
          <cell r="D2661">
            <v>507419</v>
          </cell>
          <cell r="E2661" t="str">
            <v>VOLVO</v>
          </cell>
          <cell r="F2661" t="str">
            <v>B8RLEA</v>
          </cell>
          <cell r="G2661" t="str">
            <v>MARCOPOLO</v>
          </cell>
          <cell r="H2661" t="str">
            <v>GRAN VIALE</v>
          </cell>
          <cell r="I2661">
            <v>2020</v>
          </cell>
          <cell r="J2661" t="str">
            <v>C</v>
          </cell>
          <cell r="K2661" t="str">
            <v>Lo Blanco</v>
          </cell>
          <cell r="N2661" t="str">
            <v>C</v>
          </cell>
        </row>
        <row r="2662">
          <cell r="B2662" t="str">
            <v>LZPG26</v>
          </cell>
          <cell r="C2662" t="str">
            <v>YV3T7U521LA201268</v>
          </cell>
          <cell r="D2662">
            <v>507446</v>
          </cell>
          <cell r="E2662" t="str">
            <v>VOLVO</v>
          </cell>
          <cell r="F2662" t="str">
            <v>B8RLEA</v>
          </cell>
          <cell r="G2662" t="str">
            <v>MARCOPOLO</v>
          </cell>
          <cell r="H2662" t="str">
            <v>GRAN VIALE</v>
          </cell>
          <cell r="I2662">
            <v>2020</v>
          </cell>
          <cell r="J2662" t="str">
            <v>C</v>
          </cell>
          <cell r="K2662" t="str">
            <v>Lo Blanco</v>
          </cell>
          <cell r="N2662" t="str">
            <v>C</v>
          </cell>
        </row>
        <row r="2663">
          <cell r="B2663" t="str">
            <v>LZPG27</v>
          </cell>
          <cell r="C2663" t="str">
            <v>YV3T7U520LA200922</v>
          </cell>
          <cell r="D2663">
            <v>506223</v>
          </cell>
          <cell r="E2663" t="str">
            <v>VOLVO</v>
          </cell>
          <cell r="F2663" t="str">
            <v>B8RLEA</v>
          </cell>
          <cell r="G2663" t="str">
            <v>MARCOPOLO</v>
          </cell>
          <cell r="H2663" t="str">
            <v>GRAN VIALE</v>
          </cell>
          <cell r="I2663">
            <v>2020</v>
          </cell>
          <cell r="J2663" t="str">
            <v>C</v>
          </cell>
          <cell r="K2663" t="str">
            <v>Lo Blanco</v>
          </cell>
          <cell r="N2663" t="str">
            <v>C</v>
          </cell>
        </row>
        <row r="2664">
          <cell r="B2664" t="str">
            <v>LZPR78</v>
          </cell>
          <cell r="C2664" t="str">
            <v>YV3T7U52XLA201253</v>
          </cell>
          <cell r="D2664">
            <v>507455</v>
          </cell>
          <cell r="E2664" t="str">
            <v>VOLVO</v>
          </cell>
          <cell r="F2664" t="str">
            <v>B8RLEA</v>
          </cell>
          <cell r="G2664" t="str">
            <v>MARCOPOLO</v>
          </cell>
          <cell r="H2664" t="str">
            <v>GRAN VIALE</v>
          </cell>
          <cell r="I2664">
            <v>2020</v>
          </cell>
          <cell r="J2664" t="str">
            <v>C</v>
          </cell>
          <cell r="K2664" t="str">
            <v>Recoleta</v>
          </cell>
          <cell r="N2664" t="str">
            <v>C</v>
          </cell>
        </row>
        <row r="2665">
          <cell r="B2665" t="str">
            <v>LZPR79</v>
          </cell>
          <cell r="C2665" t="str">
            <v>YV3T7U521LA201044</v>
          </cell>
          <cell r="D2665">
            <v>506662</v>
          </cell>
          <cell r="E2665" t="str">
            <v>VOLVO</v>
          </cell>
          <cell r="F2665" t="str">
            <v>B8RLEA</v>
          </cell>
          <cell r="G2665" t="str">
            <v>MARCOPOLO</v>
          </cell>
          <cell r="H2665" t="str">
            <v>GRAN VIALE</v>
          </cell>
          <cell r="I2665">
            <v>2020</v>
          </cell>
          <cell r="J2665" t="str">
            <v>C</v>
          </cell>
          <cell r="K2665" t="str">
            <v>Recoleta</v>
          </cell>
          <cell r="N2665" t="str">
            <v>C</v>
          </cell>
        </row>
        <row r="2666">
          <cell r="B2666" t="str">
            <v>LZPR80</v>
          </cell>
          <cell r="C2666" t="str">
            <v>YV3T7U528LA201171</v>
          </cell>
          <cell r="D2666">
            <v>507173</v>
          </cell>
          <cell r="E2666" t="str">
            <v>VOLVO</v>
          </cell>
          <cell r="F2666" t="str">
            <v>B8RLEA</v>
          </cell>
          <cell r="G2666" t="str">
            <v>MARCOPOLO</v>
          </cell>
          <cell r="H2666" t="str">
            <v>GRAN VIALE</v>
          </cell>
          <cell r="I2666">
            <v>2020</v>
          </cell>
          <cell r="J2666" t="str">
            <v>C</v>
          </cell>
          <cell r="K2666" t="str">
            <v>Recoleta</v>
          </cell>
          <cell r="N2666" t="str">
            <v>C</v>
          </cell>
        </row>
        <row r="2667">
          <cell r="B2667" t="str">
            <v>LZPR81</v>
          </cell>
          <cell r="C2667" t="str">
            <v>YV3T7U526LA201167</v>
          </cell>
          <cell r="D2667">
            <v>507153</v>
          </cell>
          <cell r="E2667" t="str">
            <v>VOLVO</v>
          </cell>
          <cell r="F2667" t="str">
            <v>B8RLEA</v>
          </cell>
          <cell r="G2667" t="str">
            <v>MARCOPOLO</v>
          </cell>
          <cell r="H2667" t="str">
            <v>GRAN VIALE</v>
          </cell>
          <cell r="I2667">
            <v>2020</v>
          </cell>
          <cell r="J2667" t="str">
            <v>C</v>
          </cell>
          <cell r="K2667" t="str">
            <v>Recoleta</v>
          </cell>
          <cell r="N2667" t="str">
            <v>C</v>
          </cell>
        </row>
        <row r="2668">
          <cell r="B2668" t="str">
            <v>LZPR82</v>
          </cell>
          <cell r="C2668" t="str">
            <v>YV3T7U528LA201168</v>
          </cell>
          <cell r="D2668">
            <v>507167</v>
          </cell>
          <cell r="E2668" t="str">
            <v>VOLVO</v>
          </cell>
          <cell r="F2668" t="str">
            <v>B8RLEA</v>
          </cell>
          <cell r="G2668" t="str">
            <v>MARCOPOLO</v>
          </cell>
          <cell r="H2668" t="str">
            <v>GRAN VIALE</v>
          </cell>
          <cell r="I2668">
            <v>2020</v>
          </cell>
          <cell r="J2668" t="str">
            <v>C</v>
          </cell>
          <cell r="K2668" t="str">
            <v>Recoleta</v>
          </cell>
          <cell r="N2668" t="str">
            <v>C</v>
          </cell>
        </row>
        <row r="2669">
          <cell r="B2669" t="str">
            <v>LZPR83</v>
          </cell>
          <cell r="C2669" t="str">
            <v>YV3T7U525LA201144</v>
          </cell>
          <cell r="D2669">
            <v>507082</v>
          </cell>
          <cell r="E2669" t="str">
            <v>VOLVO</v>
          </cell>
          <cell r="F2669" t="str">
            <v>B8RLEA</v>
          </cell>
          <cell r="G2669" t="str">
            <v>MARCOPOLO</v>
          </cell>
          <cell r="H2669" t="str">
            <v>GRAN VIALE</v>
          </cell>
          <cell r="I2669">
            <v>2020</v>
          </cell>
          <cell r="J2669" t="str">
            <v>C</v>
          </cell>
          <cell r="K2669" t="str">
            <v>Recoleta</v>
          </cell>
          <cell r="N2669" t="str">
            <v>C</v>
          </cell>
        </row>
        <row r="2670">
          <cell r="B2670" t="str">
            <v>LZPR84</v>
          </cell>
          <cell r="C2670" t="str">
            <v>YV3T7U520LA201035</v>
          </cell>
          <cell r="D2670">
            <v>506645</v>
          </cell>
          <cell r="E2670" t="str">
            <v>VOLVO</v>
          </cell>
          <cell r="F2670" t="str">
            <v>B8RLEA</v>
          </cell>
          <cell r="G2670" t="str">
            <v>MARCOPOLO</v>
          </cell>
          <cell r="H2670" t="str">
            <v>GRAN VIALE</v>
          </cell>
          <cell r="I2670">
            <v>2020</v>
          </cell>
          <cell r="J2670" t="str">
            <v>C</v>
          </cell>
          <cell r="K2670" t="str">
            <v>Recoleta</v>
          </cell>
          <cell r="N2670" t="str">
            <v>C</v>
          </cell>
        </row>
        <row r="2671">
          <cell r="B2671" t="str">
            <v>LZPR85</v>
          </cell>
          <cell r="C2671" t="str">
            <v>YV3T7U527LA201209</v>
          </cell>
          <cell r="D2671">
            <v>507402</v>
          </cell>
          <cell r="E2671" t="str">
            <v>VOLVO</v>
          </cell>
          <cell r="F2671" t="str">
            <v>B8RLEA</v>
          </cell>
          <cell r="G2671" t="str">
            <v>MARCOPOLO</v>
          </cell>
          <cell r="H2671" t="str">
            <v>GRAN VIALE</v>
          </cell>
          <cell r="I2671">
            <v>2020</v>
          </cell>
          <cell r="J2671" t="str">
            <v>C</v>
          </cell>
          <cell r="K2671" t="str">
            <v>Recoleta</v>
          </cell>
          <cell r="N2671" t="str">
            <v>C</v>
          </cell>
        </row>
        <row r="2672">
          <cell r="B2672" t="str">
            <v>LZPR86</v>
          </cell>
          <cell r="C2672" t="str">
            <v>YV3T7U52XLA201186</v>
          </cell>
          <cell r="D2672">
            <v>507277</v>
          </cell>
          <cell r="E2672" t="str">
            <v>VOLVO</v>
          </cell>
          <cell r="F2672" t="str">
            <v>B8RLEA</v>
          </cell>
          <cell r="G2672" t="str">
            <v>MARCOPOLO</v>
          </cell>
          <cell r="H2672" t="str">
            <v>GRAN VIALE</v>
          </cell>
          <cell r="I2672">
            <v>2020</v>
          </cell>
          <cell r="J2672" t="str">
            <v>C</v>
          </cell>
          <cell r="K2672" t="str">
            <v>Recoleta</v>
          </cell>
          <cell r="N2672" t="str">
            <v>C</v>
          </cell>
        </row>
        <row r="2673">
          <cell r="B2673" t="str">
            <v>LZPR87</v>
          </cell>
          <cell r="C2673" t="str">
            <v>YV3T7U528LA201185</v>
          </cell>
          <cell r="D2673">
            <v>506865</v>
          </cell>
          <cell r="E2673" t="str">
            <v>VOLVO</v>
          </cell>
          <cell r="F2673" t="str">
            <v>B8RLEA</v>
          </cell>
          <cell r="G2673" t="str">
            <v>MARCOPOLO</v>
          </cell>
          <cell r="H2673" t="str">
            <v>GRAN VIALE</v>
          </cell>
          <cell r="I2673">
            <v>2020</v>
          </cell>
          <cell r="J2673" t="str">
            <v>C</v>
          </cell>
          <cell r="K2673" t="str">
            <v>Recoleta</v>
          </cell>
          <cell r="N2673" t="str">
            <v>C</v>
          </cell>
        </row>
        <row r="2674">
          <cell r="B2674" t="str">
            <v>LZPR88</v>
          </cell>
          <cell r="C2674" t="str">
            <v>YV3T7U523LA201059</v>
          </cell>
          <cell r="D2674">
            <v>506732</v>
          </cell>
          <cell r="E2674" t="str">
            <v>VOLVO</v>
          </cell>
          <cell r="F2674" t="str">
            <v>B8RLEA</v>
          </cell>
          <cell r="G2674" t="str">
            <v>MARCOPOLO</v>
          </cell>
          <cell r="H2674" t="str">
            <v>GRAN VIALE</v>
          </cell>
          <cell r="I2674">
            <v>2020</v>
          </cell>
          <cell r="J2674" t="str">
            <v>C</v>
          </cell>
          <cell r="K2674" t="str">
            <v>Recoleta</v>
          </cell>
          <cell r="N2674" t="str">
            <v>C</v>
          </cell>
        </row>
        <row r="2675">
          <cell r="B2675" t="str">
            <v>LZPR89</v>
          </cell>
          <cell r="C2675" t="str">
            <v>YV3T7U527LA201033</v>
          </cell>
          <cell r="D2675">
            <v>506661</v>
          </cell>
          <cell r="E2675" t="str">
            <v>VOLVO</v>
          </cell>
          <cell r="F2675" t="str">
            <v>B8RLEA</v>
          </cell>
          <cell r="G2675" t="str">
            <v>MARCOPOLO</v>
          </cell>
          <cell r="H2675" t="str">
            <v>GRAN VIALE</v>
          </cell>
          <cell r="I2675">
            <v>2020</v>
          </cell>
          <cell r="J2675" t="str">
            <v>C</v>
          </cell>
          <cell r="K2675" t="str">
            <v>Recoleta</v>
          </cell>
          <cell r="N2675" t="str">
            <v>C</v>
          </cell>
        </row>
        <row r="2676">
          <cell r="B2676" t="str">
            <v>LZPR90</v>
          </cell>
          <cell r="C2676" t="str">
            <v>YV3T7U52XLA200992</v>
          </cell>
          <cell r="D2676">
            <v>506598</v>
          </cell>
          <cell r="E2676" t="str">
            <v>VOLVO</v>
          </cell>
          <cell r="F2676" t="str">
            <v>B8RLEA</v>
          </cell>
          <cell r="G2676" t="str">
            <v>MARCOPOLO</v>
          </cell>
          <cell r="H2676" t="str">
            <v>GRAN VIALE</v>
          </cell>
          <cell r="I2676">
            <v>2020</v>
          </cell>
          <cell r="J2676" t="str">
            <v>C</v>
          </cell>
          <cell r="K2676" t="str">
            <v>Recoleta</v>
          </cell>
          <cell r="N2676" t="str">
            <v>C</v>
          </cell>
        </row>
        <row r="2677">
          <cell r="B2677" t="str">
            <v>LZPR92</v>
          </cell>
          <cell r="C2677" t="str">
            <v>YV3T7U522LA200971</v>
          </cell>
          <cell r="D2677">
            <v>506305</v>
          </cell>
          <cell r="E2677" t="str">
            <v>VOLVO</v>
          </cell>
          <cell r="F2677" t="str">
            <v>B8RLEA</v>
          </cell>
          <cell r="G2677" t="str">
            <v>MARCOPOLO</v>
          </cell>
          <cell r="H2677" t="str">
            <v>GRAN VIALE</v>
          </cell>
          <cell r="I2677">
            <v>2020</v>
          </cell>
          <cell r="J2677" t="str">
            <v>C</v>
          </cell>
          <cell r="K2677" t="str">
            <v>Recoleta</v>
          </cell>
          <cell r="N2677" t="str">
            <v>C</v>
          </cell>
        </row>
        <row r="2678">
          <cell r="B2678" t="str">
            <v>LZPR93</v>
          </cell>
          <cell r="C2678" t="str">
            <v>YV3T7U525LA201046</v>
          </cell>
          <cell r="D2678">
            <v>506647</v>
          </cell>
          <cell r="E2678" t="str">
            <v>VOLVO</v>
          </cell>
          <cell r="F2678" t="str">
            <v>B8RLEA</v>
          </cell>
          <cell r="G2678" t="str">
            <v>MARCOPOLO</v>
          </cell>
          <cell r="H2678" t="str">
            <v>GRAN VIALE</v>
          </cell>
          <cell r="I2678">
            <v>2020</v>
          </cell>
          <cell r="J2678" t="str">
            <v>C</v>
          </cell>
          <cell r="K2678" t="str">
            <v>Recoleta</v>
          </cell>
          <cell r="N2678" t="str">
            <v>C</v>
          </cell>
        </row>
        <row r="2679">
          <cell r="B2679" t="str">
            <v>LZPR94</v>
          </cell>
          <cell r="C2679" t="str">
            <v>YV3T7U521LA201156</v>
          </cell>
          <cell r="D2679">
            <v>507078</v>
          </cell>
          <cell r="E2679" t="str">
            <v>VOLVO</v>
          </cell>
          <cell r="F2679" t="str">
            <v>B8RLEA</v>
          </cell>
          <cell r="G2679" t="str">
            <v>MARCOPOLO</v>
          </cell>
          <cell r="H2679" t="str">
            <v>GRAN VIALE</v>
          </cell>
          <cell r="I2679">
            <v>2020</v>
          </cell>
          <cell r="J2679" t="str">
            <v>C</v>
          </cell>
          <cell r="K2679" t="str">
            <v>Recoleta</v>
          </cell>
          <cell r="N2679" t="str">
            <v>C</v>
          </cell>
        </row>
        <row r="2680">
          <cell r="B2680" t="str">
            <v>LZPR95</v>
          </cell>
          <cell r="C2680" t="str">
            <v>YV3T7U521LA201058</v>
          </cell>
          <cell r="D2680">
            <v>506749</v>
          </cell>
          <cell r="E2680" t="str">
            <v>VOLVO</v>
          </cell>
          <cell r="F2680" t="str">
            <v>B8RLEA</v>
          </cell>
          <cell r="G2680" t="str">
            <v>MARCOPOLO</v>
          </cell>
          <cell r="H2680" t="str">
            <v>GRAN VIALE</v>
          </cell>
          <cell r="I2680">
            <v>2020</v>
          </cell>
          <cell r="J2680" t="str">
            <v>C</v>
          </cell>
          <cell r="K2680" t="str">
            <v>Recoleta</v>
          </cell>
          <cell r="N2680" t="str">
            <v>C</v>
          </cell>
        </row>
        <row r="2681">
          <cell r="B2681" t="str">
            <v>LZPR96</v>
          </cell>
          <cell r="C2681" t="str">
            <v>YV3T7U528LA201073</v>
          </cell>
          <cell r="D2681">
            <v>507040</v>
          </cell>
          <cell r="E2681" t="str">
            <v>VOLVO</v>
          </cell>
          <cell r="F2681" t="str">
            <v>B8RLEA</v>
          </cell>
          <cell r="G2681" t="str">
            <v>MARCOPOLO</v>
          </cell>
          <cell r="H2681" t="str">
            <v>GRAN VIALE</v>
          </cell>
          <cell r="I2681">
            <v>2020</v>
          </cell>
          <cell r="J2681" t="str">
            <v>C</v>
          </cell>
          <cell r="K2681" t="str">
            <v>Recoleta</v>
          </cell>
          <cell r="N2681" t="str">
            <v>C</v>
          </cell>
        </row>
        <row r="2682">
          <cell r="B2682" t="str">
            <v>LZPR97</v>
          </cell>
          <cell r="C2682" t="str">
            <v>YV3T7U524LA201071</v>
          </cell>
          <cell r="D2682">
            <v>506999</v>
          </cell>
          <cell r="E2682" t="str">
            <v>VOLVO</v>
          </cell>
          <cell r="F2682" t="str">
            <v>B8RLEA</v>
          </cell>
          <cell r="G2682" t="str">
            <v>MARCOPOLO</v>
          </cell>
          <cell r="H2682" t="str">
            <v>GRAN VIALE</v>
          </cell>
          <cell r="I2682">
            <v>2020</v>
          </cell>
          <cell r="J2682" t="str">
            <v>C</v>
          </cell>
          <cell r="K2682" t="str">
            <v>Recoleta</v>
          </cell>
          <cell r="N2682" t="str">
            <v>C</v>
          </cell>
        </row>
        <row r="2683">
          <cell r="B2683" t="str">
            <v>LZPR98</v>
          </cell>
          <cell r="C2683" t="str">
            <v>YV3T7U529LA201048</v>
          </cell>
          <cell r="D2683">
            <v>506686</v>
          </cell>
          <cell r="E2683" t="str">
            <v>VOLVO</v>
          </cell>
          <cell r="F2683" t="str">
            <v>B8RLEA</v>
          </cell>
          <cell r="G2683" t="str">
            <v>MARCOPOLO</v>
          </cell>
          <cell r="H2683" t="str">
            <v>GRAN VIALE</v>
          </cell>
          <cell r="I2683">
            <v>2020</v>
          </cell>
          <cell r="J2683" t="str">
            <v>C</v>
          </cell>
          <cell r="K2683" t="str">
            <v>Recoleta</v>
          </cell>
          <cell r="N2683" t="str">
            <v>C</v>
          </cell>
        </row>
        <row r="2684">
          <cell r="B2684" t="str">
            <v>LZPR99</v>
          </cell>
          <cell r="C2684" t="str">
            <v>YV3T7U52XLA201155</v>
          </cell>
          <cell r="D2684">
            <v>507117</v>
          </cell>
          <cell r="E2684" t="str">
            <v>VOLVO</v>
          </cell>
          <cell r="F2684" t="str">
            <v>B8RLEA</v>
          </cell>
          <cell r="G2684" t="str">
            <v>MARCOPOLO</v>
          </cell>
          <cell r="H2684" t="str">
            <v>GRAN VIALE</v>
          </cell>
          <cell r="I2684">
            <v>2020</v>
          </cell>
          <cell r="J2684" t="str">
            <v>C</v>
          </cell>
          <cell r="K2684" t="str">
            <v>Recoleta</v>
          </cell>
          <cell r="N2684" t="str">
            <v>C</v>
          </cell>
        </row>
        <row r="2685">
          <cell r="B2685" t="str">
            <v>LZPS10</v>
          </cell>
          <cell r="C2685" t="str">
            <v>YV3T7U527LA201100</v>
          </cell>
          <cell r="D2685">
            <v>507055</v>
          </cell>
          <cell r="E2685" t="str">
            <v>VOLVO</v>
          </cell>
          <cell r="F2685" t="str">
            <v>B8RLEA</v>
          </cell>
          <cell r="G2685" t="str">
            <v>MARCOPOLO</v>
          </cell>
          <cell r="H2685" t="str">
            <v>GRAN VIALE</v>
          </cell>
          <cell r="I2685">
            <v>2020</v>
          </cell>
          <cell r="J2685" t="str">
            <v>C</v>
          </cell>
          <cell r="K2685" t="str">
            <v>Recoleta</v>
          </cell>
          <cell r="N2685" t="str">
            <v>C</v>
          </cell>
        </row>
        <row r="2686">
          <cell r="B2686" t="str">
            <v>LZPS11</v>
          </cell>
          <cell r="C2686" t="str">
            <v>YV3T7U521LA201142</v>
          </cell>
          <cell r="D2686">
            <v>507102</v>
          </cell>
          <cell r="E2686" t="str">
            <v>VOLVO</v>
          </cell>
          <cell r="F2686" t="str">
            <v>B8RLEA</v>
          </cell>
          <cell r="G2686" t="str">
            <v>MARCOPOLO</v>
          </cell>
          <cell r="H2686" t="str">
            <v>GRAN VIALE</v>
          </cell>
          <cell r="I2686">
            <v>2020</v>
          </cell>
          <cell r="J2686" t="str">
            <v>C</v>
          </cell>
          <cell r="K2686" t="str">
            <v>Recoleta</v>
          </cell>
          <cell r="N2686" t="str">
            <v>C</v>
          </cell>
        </row>
        <row r="2687">
          <cell r="B2687" t="str">
            <v>LZPS12</v>
          </cell>
          <cell r="C2687" t="str">
            <v>YV3T7U52XLA201141</v>
          </cell>
          <cell r="D2687">
            <v>507075</v>
          </cell>
          <cell r="E2687" t="str">
            <v>VOLVO</v>
          </cell>
          <cell r="F2687" t="str">
            <v>B8RLEA</v>
          </cell>
          <cell r="G2687" t="str">
            <v>MARCOPOLO</v>
          </cell>
          <cell r="H2687" t="str">
            <v>GRAN VIALE</v>
          </cell>
          <cell r="I2687">
            <v>2020</v>
          </cell>
          <cell r="J2687" t="str">
            <v>C</v>
          </cell>
          <cell r="K2687" t="str">
            <v>Recoleta</v>
          </cell>
          <cell r="N2687" t="str">
            <v>C</v>
          </cell>
        </row>
        <row r="2688">
          <cell r="B2688" t="str">
            <v>LZPS13</v>
          </cell>
          <cell r="C2688" t="str">
            <v>YV3T7U526LA201153</v>
          </cell>
          <cell r="D2688">
            <v>507106</v>
          </cell>
          <cell r="E2688" t="str">
            <v>VOLVO</v>
          </cell>
          <cell r="F2688" t="str">
            <v>B8RLEA</v>
          </cell>
          <cell r="G2688" t="str">
            <v>MARCOPOLO</v>
          </cell>
          <cell r="H2688" t="str">
            <v>GRAN VIALE</v>
          </cell>
          <cell r="I2688">
            <v>2020</v>
          </cell>
          <cell r="J2688" t="str">
            <v>C</v>
          </cell>
          <cell r="K2688" t="str">
            <v>Recoleta</v>
          </cell>
          <cell r="N2688" t="str">
            <v>C</v>
          </cell>
        </row>
        <row r="2689">
          <cell r="B2689" t="str">
            <v>LZPS14</v>
          </cell>
          <cell r="C2689" t="str">
            <v>YV3T7U529LA201034</v>
          </cell>
          <cell r="D2689">
            <v>506644</v>
          </cell>
          <cell r="E2689" t="str">
            <v>VOLVO</v>
          </cell>
          <cell r="F2689" t="str">
            <v>B8RLEA</v>
          </cell>
          <cell r="G2689" t="str">
            <v>MARCOPOLO</v>
          </cell>
          <cell r="H2689" t="str">
            <v>GRAN VIALE</v>
          </cell>
          <cell r="I2689">
            <v>2020</v>
          </cell>
          <cell r="J2689" t="str">
            <v>C</v>
          </cell>
          <cell r="K2689" t="str">
            <v>Recoleta</v>
          </cell>
          <cell r="N2689" t="str">
            <v>C</v>
          </cell>
        </row>
        <row r="2690">
          <cell r="B2690" t="str">
            <v>LZPS15</v>
          </cell>
          <cell r="C2690" t="str">
            <v>YV3T7U523LA201045</v>
          </cell>
          <cell r="D2690">
            <v>506671</v>
          </cell>
          <cell r="E2690" t="str">
            <v>VOLVO</v>
          </cell>
          <cell r="F2690" t="str">
            <v>B8RLEA</v>
          </cell>
          <cell r="G2690" t="str">
            <v>MARCOPOLO</v>
          </cell>
          <cell r="H2690" t="str">
            <v>GRAN VIALE</v>
          </cell>
          <cell r="I2690">
            <v>2020</v>
          </cell>
          <cell r="J2690" t="str">
            <v>C</v>
          </cell>
          <cell r="K2690" t="str">
            <v>Recoleta</v>
          </cell>
          <cell r="N2690" t="str">
            <v>C</v>
          </cell>
        </row>
        <row r="2691">
          <cell r="B2691" t="str">
            <v>LZPS16</v>
          </cell>
          <cell r="C2691" t="str">
            <v>YV3T7U52XLA201074</v>
          </cell>
          <cell r="D2691">
            <v>507033</v>
          </cell>
          <cell r="E2691" t="str">
            <v>VOLVO</v>
          </cell>
          <cell r="F2691" t="str">
            <v>B8RLEA</v>
          </cell>
          <cell r="G2691" t="str">
            <v>MARCOPOLO</v>
          </cell>
          <cell r="H2691" t="str">
            <v>GRAN VIALE</v>
          </cell>
          <cell r="I2691">
            <v>2020</v>
          </cell>
          <cell r="J2691" t="str">
            <v>C</v>
          </cell>
          <cell r="K2691" t="str">
            <v>Recoleta</v>
          </cell>
          <cell r="N2691" t="str">
            <v>C</v>
          </cell>
        </row>
        <row r="2692">
          <cell r="B2692" t="str">
            <v>LZPS17</v>
          </cell>
          <cell r="C2692" t="str">
            <v>YV3T7U526LA201072</v>
          </cell>
          <cell r="D2692">
            <v>506988</v>
          </cell>
          <cell r="E2692" t="str">
            <v>VOLVO</v>
          </cell>
          <cell r="F2692" t="str">
            <v>B8RLEA</v>
          </cell>
          <cell r="G2692" t="str">
            <v>MARCOPOLO</v>
          </cell>
          <cell r="H2692" t="str">
            <v>GRAN VIALE</v>
          </cell>
          <cell r="I2692">
            <v>2020</v>
          </cell>
          <cell r="J2692" t="str">
            <v>C</v>
          </cell>
          <cell r="K2692" t="str">
            <v>Recoleta</v>
          </cell>
          <cell r="N2692" t="str">
            <v>C</v>
          </cell>
        </row>
        <row r="2693">
          <cell r="B2693" t="str">
            <v>LZPS18</v>
          </cell>
          <cell r="C2693" t="str">
            <v>YV3T7U520LA201181</v>
          </cell>
          <cell r="D2693">
            <v>506841</v>
          </cell>
          <cell r="E2693" t="str">
            <v>VOLVO</v>
          </cell>
          <cell r="F2693" t="str">
            <v>B8RLEA</v>
          </cell>
          <cell r="G2693" t="str">
            <v>MARCOPOLO</v>
          </cell>
          <cell r="H2693" t="str">
            <v>GRAN VIALE</v>
          </cell>
          <cell r="I2693">
            <v>2020</v>
          </cell>
          <cell r="J2693" t="str">
            <v>C</v>
          </cell>
          <cell r="K2693" t="str">
            <v>Santa Rosa</v>
          </cell>
          <cell r="N2693" t="str">
            <v>C</v>
          </cell>
        </row>
        <row r="2694">
          <cell r="B2694" t="str">
            <v>LZPS19</v>
          </cell>
          <cell r="C2694" t="str">
            <v>YV3T7U522LA201098</v>
          </cell>
          <cell r="D2694">
            <v>507058</v>
          </cell>
          <cell r="E2694" t="str">
            <v>VOLVO</v>
          </cell>
          <cell r="F2694" t="str">
            <v>B8RLEA</v>
          </cell>
          <cell r="G2694" t="str">
            <v>MARCOPOLO</v>
          </cell>
          <cell r="H2694" t="str">
            <v>GRAN VIALE</v>
          </cell>
          <cell r="I2694">
            <v>2020</v>
          </cell>
          <cell r="J2694" t="str">
            <v>C</v>
          </cell>
          <cell r="K2694" t="str">
            <v>Recoleta</v>
          </cell>
          <cell r="N2694" t="str">
            <v>C</v>
          </cell>
        </row>
        <row r="2695">
          <cell r="B2695" t="str">
            <v>LZPS20</v>
          </cell>
          <cell r="C2695" t="str">
            <v>YV3T7U52XLA201060</v>
          </cell>
          <cell r="D2695">
            <v>506731</v>
          </cell>
          <cell r="E2695" t="str">
            <v>VOLVO</v>
          </cell>
          <cell r="F2695" t="str">
            <v>B8RLEA</v>
          </cell>
          <cell r="G2695" t="str">
            <v>MARCOPOLO</v>
          </cell>
          <cell r="H2695" t="str">
            <v>GRAN VIALE</v>
          </cell>
          <cell r="I2695">
            <v>2020</v>
          </cell>
          <cell r="J2695" t="str">
            <v>C</v>
          </cell>
          <cell r="K2695" t="str">
            <v>Santa Rosa</v>
          </cell>
          <cell r="N2695" t="str">
            <v>C</v>
          </cell>
        </row>
        <row r="2696">
          <cell r="B2696" t="str">
            <v>LZPS21</v>
          </cell>
          <cell r="C2696" t="str">
            <v>YV3T7U523LA201143</v>
          </cell>
          <cell r="D2696">
            <v>507121</v>
          </cell>
          <cell r="E2696" t="str">
            <v>VOLVO</v>
          </cell>
          <cell r="F2696" t="str">
            <v>B8RLEA</v>
          </cell>
          <cell r="G2696" t="str">
            <v>MARCOPOLO</v>
          </cell>
          <cell r="H2696" t="str">
            <v>GRAN VIALE</v>
          </cell>
          <cell r="I2696">
            <v>2020</v>
          </cell>
          <cell r="J2696" t="str">
            <v>C</v>
          </cell>
          <cell r="K2696" t="str">
            <v>Recoleta</v>
          </cell>
          <cell r="N2696" t="str">
            <v>C</v>
          </cell>
        </row>
        <row r="2697">
          <cell r="B2697" t="str">
            <v>LZPS22</v>
          </cell>
          <cell r="C2697" t="str">
            <v>YV3T7U52XLA201169</v>
          </cell>
          <cell r="D2697">
            <v>507144</v>
          </cell>
          <cell r="E2697" t="str">
            <v>VOLVO</v>
          </cell>
          <cell r="F2697" t="str">
            <v>B8RLEA</v>
          </cell>
          <cell r="G2697" t="str">
            <v>MARCOPOLO</v>
          </cell>
          <cell r="H2697" t="str">
            <v>GRAN VIALE</v>
          </cell>
          <cell r="I2697">
            <v>2020</v>
          </cell>
          <cell r="J2697" t="str">
            <v>C</v>
          </cell>
          <cell r="K2697" t="str">
            <v>Santa Rosa</v>
          </cell>
          <cell r="N2697" t="str">
            <v>C</v>
          </cell>
        </row>
        <row r="2698">
          <cell r="B2698" t="str">
            <v>LZPS23</v>
          </cell>
          <cell r="C2698" t="str">
            <v>YV3T7U524LA201099</v>
          </cell>
          <cell r="D2698">
            <v>507047</v>
          </cell>
          <cell r="E2698" t="str">
            <v>VOLVO</v>
          </cell>
          <cell r="F2698" t="str">
            <v>B8RLEA</v>
          </cell>
          <cell r="G2698" t="str">
            <v>MARCOPOLO</v>
          </cell>
          <cell r="H2698" t="str">
            <v>GRAN VIALE</v>
          </cell>
          <cell r="I2698">
            <v>2020</v>
          </cell>
          <cell r="J2698" t="str">
            <v>C</v>
          </cell>
          <cell r="K2698" t="str">
            <v>Recoleta</v>
          </cell>
          <cell r="N2698" t="str">
            <v>C</v>
          </cell>
        </row>
        <row r="2699">
          <cell r="B2699" t="str">
            <v>LZPS24</v>
          </cell>
          <cell r="C2699" t="str">
            <v>YV3T7U52XLA201270</v>
          </cell>
          <cell r="D2699">
            <v>507680</v>
          </cell>
          <cell r="E2699" t="str">
            <v>VOLVO</v>
          </cell>
          <cell r="F2699" t="str">
            <v>B8RLEA</v>
          </cell>
          <cell r="G2699" t="str">
            <v>MARCOPOLO</v>
          </cell>
          <cell r="H2699" t="str">
            <v>GRAN VIALE</v>
          </cell>
          <cell r="I2699">
            <v>2020</v>
          </cell>
          <cell r="J2699" t="str">
            <v>C</v>
          </cell>
          <cell r="K2699" t="str">
            <v>Santa Rosa</v>
          </cell>
          <cell r="N2699" t="str">
            <v>C</v>
          </cell>
        </row>
        <row r="2700">
          <cell r="B2700" t="str">
            <v>LZPS25</v>
          </cell>
          <cell r="C2700" t="str">
            <v>YV3T7U521LA201061</v>
          </cell>
          <cell r="D2700">
            <v>506696</v>
          </cell>
          <cell r="E2700" t="str">
            <v>VOLVO</v>
          </cell>
          <cell r="F2700" t="str">
            <v>B8RLEA</v>
          </cell>
          <cell r="G2700" t="str">
            <v>MARCOPOLO</v>
          </cell>
          <cell r="H2700" t="str">
            <v>GRAN VIALE</v>
          </cell>
          <cell r="I2700">
            <v>2020</v>
          </cell>
          <cell r="J2700" t="str">
            <v>C</v>
          </cell>
          <cell r="K2700" t="str">
            <v>Recoleta</v>
          </cell>
          <cell r="N2700" t="str">
            <v>C</v>
          </cell>
        </row>
        <row r="2701">
          <cell r="B2701" t="str">
            <v>LZPT38</v>
          </cell>
          <cell r="C2701" t="str">
            <v>YV3T7U526LA201184</v>
          </cell>
          <cell r="D2701">
            <v>506823</v>
          </cell>
          <cell r="E2701" t="str">
            <v>VOLVO</v>
          </cell>
          <cell r="F2701" t="str">
            <v>B8RLEA</v>
          </cell>
          <cell r="G2701" t="str">
            <v>MARCOPOLO</v>
          </cell>
          <cell r="H2701" t="str">
            <v>GRAN VIALE</v>
          </cell>
          <cell r="I2701">
            <v>2020</v>
          </cell>
          <cell r="J2701" t="str">
            <v>C</v>
          </cell>
          <cell r="K2701" t="str">
            <v>Santa Rosa</v>
          </cell>
          <cell r="N2701" t="str">
            <v>C</v>
          </cell>
        </row>
        <row r="2702">
          <cell r="B2702" t="str">
            <v>LZPT39</v>
          </cell>
          <cell r="C2702" t="str">
            <v>YV3T7U524LA201183</v>
          </cell>
          <cell r="D2702">
            <v>506866</v>
          </cell>
          <cell r="E2702" t="str">
            <v>VOLVO</v>
          </cell>
          <cell r="F2702" t="str">
            <v>B8RLEA</v>
          </cell>
          <cell r="G2702" t="str">
            <v>MARCOPOLO</v>
          </cell>
          <cell r="H2702" t="str">
            <v>GRAN VIALE</v>
          </cell>
          <cell r="I2702">
            <v>2020</v>
          </cell>
          <cell r="J2702" t="str">
            <v>C</v>
          </cell>
          <cell r="K2702" t="str">
            <v>Santa Rosa</v>
          </cell>
          <cell r="N2702" t="str">
            <v>C</v>
          </cell>
        </row>
        <row r="2703">
          <cell r="B2703" t="str">
            <v>LZPT40</v>
          </cell>
          <cell r="C2703" t="str">
            <v>YV3T7U523LA201157</v>
          </cell>
          <cell r="D2703">
            <v>507134</v>
          </cell>
          <cell r="E2703" t="str">
            <v>VOLVO</v>
          </cell>
          <cell r="F2703" t="str">
            <v>B8RLEA</v>
          </cell>
          <cell r="G2703" t="str">
            <v>MARCOPOLO</v>
          </cell>
          <cell r="H2703" t="str">
            <v>GRAN VIALE</v>
          </cell>
          <cell r="I2703">
            <v>2020</v>
          </cell>
          <cell r="J2703" t="str">
            <v>C</v>
          </cell>
          <cell r="K2703" t="str">
            <v>Santa Rosa</v>
          </cell>
          <cell r="N2703" t="str">
            <v>C</v>
          </cell>
        </row>
        <row r="2704">
          <cell r="B2704" t="str">
            <v>LZPT41</v>
          </cell>
          <cell r="C2704" t="str">
            <v>YV3T7U526LA201170</v>
          </cell>
          <cell r="D2704">
            <v>507160</v>
          </cell>
          <cell r="E2704" t="str">
            <v>VOLVO</v>
          </cell>
          <cell r="F2704" t="str">
            <v>B8RLEA</v>
          </cell>
          <cell r="G2704" t="str">
            <v>MARCOPOLO</v>
          </cell>
          <cell r="H2704" t="str">
            <v>GRAN VIALE</v>
          </cell>
          <cell r="I2704">
            <v>2020</v>
          </cell>
          <cell r="J2704" t="str">
            <v>C</v>
          </cell>
          <cell r="K2704" t="str">
            <v>Santa Rosa</v>
          </cell>
          <cell r="N2704" t="str">
            <v>C</v>
          </cell>
        </row>
        <row r="2705">
          <cell r="B2705" t="str">
            <v>LZPT42</v>
          </cell>
          <cell r="C2705" t="str">
            <v>YV3T7U528LA201140</v>
          </cell>
          <cell r="D2705">
            <v>507108</v>
          </cell>
          <cell r="E2705" t="str">
            <v>VOLVO</v>
          </cell>
          <cell r="F2705" t="str">
            <v>B8RLEA</v>
          </cell>
          <cell r="G2705" t="str">
            <v>MARCOPOLO</v>
          </cell>
          <cell r="H2705" t="str">
            <v>GRAN VIALE</v>
          </cell>
          <cell r="I2705">
            <v>2020</v>
          </cell>
          <cell r="J2705" t="str">
            <v>C</v>
          </cell>
          <cell r="K2705" t="str">
            <v>Santa Rosa</v>
          </cell>
          <cell r="N2705" t="str">
            <v>C</v>
          </cell>
        </row>
        <row r="2706">
          <cell r="B2706" t="str">
            <v>LZPT43</v>
          </cell>
          <cell r="C2706" t="str">
            <v>YV3T7U521LA201075</v>
          </cell>
          <cell r="D2706">
            <v>507057</v>
          </cell>
          <cell r="E2706" t="str">
            <v>VOLVO</v>
          </cell>
          <cell r="F2706" t="str">
            <v>B8RLEA</v>
          </cell>
          <cell r="G2706" t="str">
            <v>MARCOPOLO</v>
          </cell>
          <cell r="H2706" t="str">
            <v>GRAN VIALE</v>
          </cell>
          <cell r="I2706">
            <v>2020</v>
          </cell>
          <cell r="J2706" t="str">
            <v>C</v>
          </cell>
          <cell r="K2706" t="str">
            <v>Recoleta</v>
          </cell>
          <cell r="N2706" t="str">
            <v>C</v>
          </cell>
        </row>
        <row r="2707">
          <cell r="B2707" t="str">
            <v>LZPT44</v>
          </cell>
          <cell r="C2707" t="str">
            <v>YV3T7U529LA201101</v>
          </cell>
          <cell r="D2707">
            <v>507062</v>
          </cell>
          <cell r="E2707" t="str">
            <v>VOLVO</v>
          </cell>
          <cell r="F2707" t="str">
            <v>B8RLEA</v>
          </cell>
          <cell r="G2707" t="str">
            <v>MARCOPOLO</v>
          </cell>
          <cell r="H2707" t="str">
            <v>GRAN VIALE</v>
          </cell>
          <cell r="I2707">
            <v>2020</v>
          </cell>
          <cell r="J2707" t="str">
            <v>C</v>
          </cell>
          <cell r="K2707" t="str">
            <v>Recoleta</v>
          </cell>
          <cell r="N2707" t="str">
            <v>C</v>
          </cell>
        </row>
        <row r="2708">
          <cell r="B2708" t="str">
            <v>LZPT45</v>
          </cell>
          <cell r="C2708" t="str">
            <v>YV3T7U526LA201850</v>
          </cell>
          <cell r="D2708">
            <v>507971</v>
          </cell>
          <cell r="E2708" t="str">
            <v>VOLVO</v>
          </cell>
          <cell r="F2708" t="str">
            <v>B8RLEA</v>
          </cell>
          <cell r="G2708" t="str">
            <v>MARCOPOLO</v>
          </cell>
          <cell r="H2708" t="str">
            <v>GRAN VIALE</v>
          </cell>
          <cell r="I2708">
            <v>2020</v>
          </cell>
          <cell r="J2708" t="str">
            <v>C</v>
          </cell>
          <cell r="K2708" t="str">
            <v>Santa Rosa</v>
          </cell>
          <cell r="N2708" t="str">
            <v>C</v>
          </cell>
        </row>
        <row r="2709">
          <cell r="B2709" t="str">
            <v>LZPT46</v>
          </cell>
          <cell r="C2709" t="str">
            <v>YV3T7U527LA201713</v>
          </cell>
          <cell r="D2709">
            <v>508481</v>
          </cell>
          <cell r="E2709" t="str">
            <v>VOLVO</v>
          </cell>
          <cell r="F2709" t="str">
            <v>B8RLEA</v>
          </cell>
          <cell r="G2709" t="str">
            <v>MARCOPOLO</v>
          </cell>
          <cell r="H2709" t="str">
            <v>GRAN VIALE</v>
          </cell>
          <cell r="I2709">
            <v>2020</v>
          </cell>
          <cell r="J2709" t="str">
            <v>C</v>
          </cell>
          <cell r="K2709" t="str">
            <v>Recoleta</v>
          </cell>
          <cell r="N2709" t="str">
            <v>C</v>
          </cell>
        </row>
        <row r="2710">
          <cell r="B2710" t="str">
            <v>LZPT47</v>
          </cell>
          <cell r="C2710" t="str">
            <v>YV3T7U524LA201801</v>
          </cell>
          <cell r="D2710">
            <v>509156</v>
          </cell>
          <cell r="E2710" t="str">
            <v>VOLVO</v>
          </cell>
          <cell r="F2710" t="str">
            <v>B8RLEA</v>
          </cell>
          <cell r="G2710" t="str">
            <v>MARCOPOLO</v>
          </cell>
          <cell r="H2710" t="str">
            <v>GRAN VIALE</v>
          </cell>
          <cell r="I2710">
            <v>2020</v>
          </cell>
          <cell r="J2710" t="str">
            <v>C</v>
          </cell>
          <cell r="K2710" t="str">
            <v>Recoleta</v>
          </cell>
          <cell r="N2710" t="str">
            <v>C</v>
          </cell>
        </row>
        <row r="2711">
          <cell r="B2711" t="str">
            <v>LZPT48</v>
          </cell>
          <cell r="C2711" t="str">
            <v>YV3T7U529LA201812</v>
          </cell>
          <cell r="D2711">
            <v>509224</v>
          </cell>
          <cell r="E2711" t="str">
            <v>VOLVO</v>
          </cell>
          <cell r="F2711" t="str">
            <v>B8RLEA</v>
          </cell>
          <cell r="G2711" t="str">
            <v>MARCOPOLO</v>
          </cell>
          <cell r="H2711" t="str">
            <v>GRAN VIALE</v>
          </cell>
          <cell r="I2711">
            <v>2020</v>
          </cell>
          <cell r="J2711" t="str">
            <v>C</v>
          </cell>
          <cell r="K2711" t="str">
            <v>Recoleta</v>
          </cell>
          <cell r="N2711" t="str">
            <v>C</v>
          </cell>
        </row>
        <row r="2712">
          <cell r="B2712" t="str">
            <v>LZPT49</v>
          </cell>
          <cell r="C2712" t="str">
            <v>YV3T7U520LA201813</v>
          </cell>
          <cell r="D2712">
            <v>509231</v>
          </cell>
          <cell r="E2712" t="str">
            <v>VOLVO</v>
          </cell>
          <cell r="F2712" t="str">
            <v>B8RLEA</v>
          </cell>
          <cell r="G2712" t="str">
            <v>MARCOPOLO</v>
          </cell>
          <cell r="H2712" t="str">
            <v>GRAN VIALE</v>
          </cell>
          <cell r="I2712">
            <v>2020</v>
          </cell>
          <cell r="J2712" t="str">
            <v>C</v>
          </cell>
          <cell r="K2712" t="str">
            <v>Santa Rosa</v>
          </cell>
          <cell r="N2712" t="str">
            <v>C</v>
          </cell>
        </row>
        <row r="2713">
          <cell r="B2713" t="str">
            <v>LZPT50</v>
          </cell>
          <cell r="C2713" t="str">
            <v>YV3T7U522LA201814</v>
          </cell>
          <cell r="D2713">
            <v>509235</v>
          </cell>
          <cell r="E2713" t="str">
            <v>VOLVO</v>
          </cell>
          <cell r="F2713" t="str">
            <v>B8RLEA</v>
          </cell>
          <cell r="G2713" t="str">
            <v>MARCOPOLO</v>
          </cell>
          <cell r="H2713" t="str">
            <v>GRAN VIALE</v>
          </cell>
          <cell r="I2713">
            <v>2020</v>
          </cell>
          <cell r="J2713" t="str">
            <v>C</v>
          </cell>
          <cell r="K2713" t="str">
            <v>Recoleta</v>
          </cell>
          <cell r="N2713" t="str">
            <v>C</v>
          </cell>
        </row>
        <row r="2714">
          <cell r="B2714" t="str">
            <v>LZPT51</v>
          </cell>
          <cell r="C2714" t="str">
            <v>YV3T7U52XLA201849</v>
          </cell>
          <cell r="D2714">
            <v>507983</v>
          </cell>
          <cell r="E2714" t="str">
            <v>VOLVO</v>
          </cell>
          <cell r="F2714" t="str">
            <v>B8RLEA</v>
          </cell>
          <cell r="G2714" t="str">
            <v>MARCOPOLO</v>
          </cell>
          <cell r="H2714" t="str">
            <v>GRAN VIALE</v>
          </cell>
          <cell r="I2714">
            <v>2020</v>
          </cell>
          <cell r="J2714" t="str">
            <v>C</v>
          </cell>
          <cell r="K2714" t="str">
            <v>Santa Rosa</v>
          </cell>
          <cell r="N2714" t="str">
            <v>C</v>
          </cell>
        </row>
        <row r="2715">
          <cell r="B2715" t="str">
            <v>LZPT52</v>
          </cell>
          <cell r="C2715" t="str">
            <v>YV3T7U527LA201811</v>
          </cell>
          <cell r="D2715">
            <v>509204</v>
          </cell>
          <cell r="E2715" t="str">
            <v>VOLVO</v>
          </cell>
          <cell r="F2715" t="str">
            <v>B8RLEA</v>
          </cell>
          <cell r="G2715" t="str">
            <v>MARCOPOLO</v>
          </cell>
          <cell r="H2715" t="str">
            <v>GRAN VIALE</v>
          </cell>
          <cell r="I2715">
            <v>2020</v>
          </cell>
          <cell r="J2715" t="str">
            <v>C</v>
          </cell>
          <cell r="K2715" t="str">
            <v>Recoleta</v>
          </cell>
          <cell r="N2715" t="str">
            <v>C</v>
          </cell>
        </row>
        <row r="2716">
          <cell r="B2716" t="str">
            <v>LZPT53</v>
          </cell>
          <cell r="C2716" t="str">
            <v>YV3T7U526LA201475</v>
          </cell>
          <cell r="D2716">
            <v>507876</v>
          </cell>
          <cell r="E2716" t="str">
            <v>VOLVO</v>
          </cell>
          <cell r="F2716" t="str">
            <v>B8RLEA</v>
          </cell>
          <cell r="G2716" t="str">
            <v>MARCOPOLO</v>
          </cell>
          <cell r="H2716" t="str">
            <v>GRAN VIALE</v>
          </cell>
          <cell r="I2716">
            <v>2020</v>
          </cell>
          <cell r="J2716" t="str">
            <v>C</v>
          </cell>
          <cell r="K2716" t="str">
            <v>Santa Rosa</v>
          </cell>
          <cell r="N2716" t="str">
            <v>C</v>
          </cell>
        </row>
        <row r="2717">
          <cell r="B2717" t="str">
            <v>LZPT54</v>
          </cell>
          <cell r="C2717" t="str">
            <v>YV3T7U525LA201404</v>
          </cell>
          <cell r="D2717">
            <v>507532</v>
          </cell>
          <cell r="E2717" t="str">
            <v>VOLVO</v>
          </cell>
          <cell r="F2717" t="str">
            <v>B8RLEA</v>
          </cell>
          <cell r="G2717" t="str">
            <v>MARCOPOLO</v>
          </cell>
          <cell r="H2717" t="str">
            <v>GRAN VIALE</v>
          </cell>
          <cell r="I2717">
            <v>2020</v>
          </cell>
          <cell r="J2717" t="str">
            <v>C</v>
          </cell>
          <cell r="K2717" t="str">
            <v>Santa Rosa</v>
          </cell>
          <cell r="N2717" t="str">
            <v>C</v>
          </cell>
        </row>
        <row r="2718">
          <cell r="B2718" t="str">
            <v>LZPT55</v>
          </cell>
          <cell r="C2718" t="str">
            <v>YV3T7U524LA201460</v>
          </cell>
          <cell r="D2718">
            <v>508062</v>
          </cell>
          <cell r="E2718" t="str">
            <v>VOLVO</v>
          </cell>
          <cell r="F2718" t="str">
            <v>B8RLEA</v>
          </cell>
          <cell r="G2718" t="str">
            <v>MARCOPOLO</v>
          </cell>
          <cell r="H2718" t="str">
            <v>GRAN VIALE</v>
          </cell>
          <cell r="I2718">
            <v>2020</v>
          </cell>
          <cell r="J2718" t="str">
            <v>C</v>
          </cell>
          <cell r="K2718" t="str">
            <v>Santa Rosa</v>
          </cell>
          <cell r="N2718" t="str">
            <v>C</v>
          </cell>
        </row>
        <row r="2719">
          <cell r="B2719" t="str">
            <v>LZPT56</v>
          </cell>
          <cell r="C2719" t="str">
            <v>YV3T7U526LA201346</v>
          </cell>
          <cell r="D2719">
            <v>507705</v>
          </cell>
          <cell r="E2719" t="str">
            <v>VOLVO</v>
          </cell>
          <cell r="F2719" t="str">
            <v>B8RLEA</v>
          </cell>
          <cell r="G2719" t="str">
            <v>MARCOPOLO</v>
          </cell>
          <cell r="H2719" t="str">
            <v>GRAN VIALE</v>
          </cell>
          <cell r="I2719">
            <v>2020</v>
          </cell>
          <cell r="J2719" t="str">
            <v>C</v>
          </cell>
          <cell r="K2719" t="str">
            <v>Santa Rosa</v>
          </cell>
          <cell r="N2719" t="str">
            <v>C</v>
          </cell>
        </row>
        <row r="2720">
          <cell r="B2720" t="str">
            <v>LZPT57</v>
          </cell>
          <cell r="C2720" t="str">
            <v>YV3T7U520LA201388</v>
          </cell>
          <cell r="D2720">
            <v>507636</v>
          </cell>
          <cell r="E2720" t="str">
            <v>VOLVO</v>
          </cell>
          <cell r="F2720" t="str">
            <v>B8RLEA</v>
          </cell>
          <cell r="G2720" t="str">
            <v>MARCOPOLO</v>
          </cell>
          <cell r="H2720" t="str">
            <v>GRAN VIALE</v>
          </cell>
          <cell r="I2720">
            <v>2020</v>
          </cell>
          <cell r="J2720" t="str">
            <v>C</v>
          </cell>
          <cell r="K2720" t="str">
            <v>Santa Rosa</v>
          </cell>
          <cell r="N2720" t="str">
            <v>C</v>
          </cell>
        </row>
        <row r="2721">
          <cell r="B2721" t="str">
            <v>LZPT58</v>
          </cell>
          <cell r="C2721" t="str">
            <v>YV3T7U528LA201459</v>
          </cell>
          <cell r="D2721">
            <v>508054</v>
          </cell>
          <cell r="E2721" t="str">
            <v>VOLVO</v>
          </cell>
          <cell r="F2721" t="str">
            <v>B8RLEA</v>
          </cell>
          <cell r="G2721" t="str">
            <v>MARCOPOLO</v>
          </cell>
          <cell r="H2721" t="str">
            <v>GRAN VIALE</v>
          </cell>
          <cell r="I2721">
            <v>2020</v>
          </cell>
          <cell r="J2721" t="str">
            <v>C</v>
          </cell>
          <cell r="K2721" t="str">
            <v>Santa Rosa</v>
          </cell>
          <cell r="N2721" t="str">
            <v>C</v>
          </cell>
        </row>
        <row r="2722">
          <cell r="B2722" t="str">
            <v>LZPT59</v>
          </cell>
          <cell r="C2722" t="str">
            <v>YV3T7U522LA201456</v>
          </cell>
          <cell r="D2722">
            <v>508070</v>
          </cell>
          <cell r="E2722" t="str">
            <v>VOLVO</v>
          </cell>
          <cell r="F2722" t="str">
            <v>B8RLEA</v>
          </cell>
          <cell r="G2722" t="str">
            <v>MARCOPOLO</v>
          </cell>
          <cell r="H2722" t="str">
            <v>GRAN VIALE</v>
          </cell>
          <cell r="I2722">
            <v>2020</v>
          </cell>
          <cell r="J2722" t="str">
            <v>C</v>
          </cell>
          <cell r="K2722" t="str">
            <v>Santa Rosa</v>
          </cell>
          <cell r="N2722" t="str">
            <v>C</v>
          </cell>
        </row>
        <row r="2723">
          <cell r="B2723" t="str">
            <v>LZPT60</v>
          </cell>
          <cell r="C2723" t="str">
            <v>YV3T7U522LA201408</v>
          </cell>
          <cell r="D2723">
            <v>507800</v>
          </cell>
          <cell r="E2723" t="str">
            <v>VOLVO</v>
          </cell>
          <cell r="F2723" t="str">
            <v>B8RLEA</v>
          </cell>
          <cell r="G2723" t="str">
            <v>MARCOPOLO</v>
          </cell>
          <cell r="H2723" t="str">
            <v>GRAN VIALE</v>
          </cell>
          <cell r="I2723">
            <v>2020</v>
          </cell>
          <cell r="J2723" t="str">
            <v>C</v>
          </cell>
          <cell r="K2723" t="str">
            <v>Santa Rosa</v>
          </cell>
          <cell r="N2723" t="str">
            <v>C</v>
          </cell>
        </row>
        <row r="2724">
          <cell r="B2724" t="str">
            <v>LZPT61</v>
          </cell>
          <cell r="C2724" t="str">
            <v>YV3T7U520LA201472</v>
          </cell>
          <cell r="D2724">
            <v>508092</v>
          </cell>
          <cell r="E2724" t="str">
            <v>VOLVO</v>
          </cell>
          <cell r="F2724" t="str">
            <v>B8RLEA</v>
          </cell>
          <cell r="G2724" t="str">
            <v>MARCOPOLO</v>
          </cell>
          <cell r="H2724" t="str">
            <v>GRAN VIALE</v>
          </cell>
          <cell r="I2724">
            <v>2020</v>
          </cell>
          <cell r="J2724" t="str">
            <v>C</v>
          </cell>
          <cell r="K2724" t="str">
            <v>Santa Rosa</v>
          </cell>
          <cell r="N2724" t="str">
            <v>C</v>
          </cell>
        </row>
        <row r="2725">
          <cell r="B2725" t="str">
            <v>LZPT62</v>
          </cell>
          <cell r="C2725" t="str">
            <v>YV3T7U524LA201474</v>
          </cell>
          <cell r="D2725">
            <v>507827</v>
          </cell>
          <cell r="E2725" t="str">
            <v>VOLVO</v>
          </cell>
          <cell r="F2725" t="str">
            <v>B8RLEA</v>
          </cell>
          <cell r="G2725" t="str">
            <v>MARCOPOLO</v>
          </cell>
          <cell r="H2725" t="str">
            <v>GRAN VIALE</v>
          </cell>
          <cell r="I2725">
            <v>2020</v>
          </cell>
          <cell r="J2725" t="str">
            <v>C</v>
          </cell>
          <cell r="K2725" t="str">
            <v>Santa Rosa</v>
          </cell>
          <cell r="N2725" t="str">
            <v>C</v>
          </cell>
        </row>
        <row r="2726">
          <cell r="B2726" t="str">
            <v>LZPT63</v>
          </cell>
          <cell r="C2726" t="str">
            <v>YV3T7U526LA201458</v>
          </cell>
          <cell r="D2726">
            <v>508067</v>
          </cell>
          <cell r="E2726" t="str">
            <v>VOLVO</v>
          </cell>
          <cell r="F2726" t="str">
            <v>B8RLEA</v>
          </cell>
          <cell r="G2726" t="str">
            <v>MARCOPOLO</v>
          </cell>
          <cell r="H2726" t="str">
            <v>GRAN VIALE</v>
          </cell>
          <cell r="I2726">
            <v>2020</v>
          </cell>
          <cell r="J2726" t="str">
            <v>C</v>
          </cell>
          <cell r="K2726" t="str">
            <v>Santa Rosa</v>
          </cell>
          <cell r="N2726" t="str">
            <v>C</v>
          </cell>
        </row>
        <row r="2727">
          <cell r="B2727" t="str">
            <v>LZPT64</v>
          </cell>
          <cell r="C2727" t="str">
            <v>YV3T7U522LA201473</v>
          </cell>
          <cell r="D2727">
            <v>507830</v>
          </cell>
          <cell r="E2727" t="str">
            <v>VOLVO</v>
          </cell>
          <cell r="F2727" t="str">
            <v>B8RLEA</v>
          </cell>
          <cell r="G2727" t="str">
            <v>MARCOPOLO</v>
          </cell>
          <cell r="H2727" t="str">
            <v>GRAN VIALE</v>
          </cell>
          <cell r="I2727">
            <v>2020</v>
          </cell>
          <cell r="J2727" t="str">
            <v>C</v>
          </cell>
          <cell r="K2727" t="str">
            <v>Santa Rosa</v>
          </cell>
          <cell r="N2727" t="str">
            <v>C</v>
          </cell>
        </row>
        <row r="2728">
          <cell r="B2728" t="str">
            <v>LZPT65</v>
          </cell>
          <cell r="C2728" t="str">
            <v>YV3T7U521LA201495</v>
          </cell>
          <cell r="D2728">
            <v>507813</v>
          </cell>
          <cell r="E2728" t="str">
            <v>VOLVO</v>
          </cell>
          <cell r="F2728" t="str">
            <v>B8RLEA</v>
          </cell>
          <cell r="G2728" t="str">
            <v>MARCOPOLO</v>
          </cell>
          <cell r="H2728" t="str">
            <v>GRAN VIALE</v>
          </cell>
          <cell r="I2728">
            <v>2020</v>
          </cell>
          <cell r="J2728" t="str">
            <v>C</v>
          </cell>
          <cell r="K2728" t="str">
            <v>Santa Rosa</v>
          </cell>
          <cell r="N2728" t="str">
            <v>C</v>
          </cell>
        </row>
        <row r="2729">
          <cell r="B2729" t="str">
            <v>LZPT66</v>
          </cell>
          <cell r="C2729" t="str">
            <v>YV3T7U525LA201497</v>
          </cell>
          <cell r="D2729">
            <v>507862</v>
          </cell>
          <cell r="E2729" t="str">
            <v>VOLVO</v>
          </cell>
          <cell r="F2729" t="str">
            <v>B8RLEA</v>
          </cell>
          <cell r="G2729" t="str">
            <v>MARCOPOLO</v>
          </cell>
          <cell r="H2729" t="str">
            <v>GRAN VIALE</v>
          </cell>
          <cell r="I2729">
            <v>2020</v>
          </cell>
          <cell r="J2729" t="str">
            <v>C</v>
          </cell>
          <cell r="K2729" t="str">
            <v>Santa Rosa</v>
          </cell>
          <cell r="N2729" t="str">
            <v>C</v>
          </cell>
        </row>
        <row r="2730">
          <cell r="B2730" t="str">
            <v>LZPT67</v>
          </cell>
          <cell r="C2730" t="str">
            <v>YV3T7U52XLA201320</v>
          </cell>
          <cell r="D2730">
            <v>507688</v>
          </cell>
          <cell r="E2730" t="str">
            <v>VOLVO</v>
          </cell>
          <cell r="F2730" t="str">
            <v>B8RLEA</v>
          </cell>
          <cell r="G2730" t="str">
            <v>MARCOPOLO</v>
          </cell>
          <cell r="H2730" t="str">
            <v>GRAN VIALE</v>
          </cell>
          <cell r="I2730">
            <v>2020</v>
          </cell>
          <cell r="J2730" t="str">
            <v>C</v>
          </cell>
          <cell r="K2730" t="str">
            <v>Santa Rosa</v>
          </cell>
          <cell r="N2730" t="str">
            <v>C</v>
          </cell>
        </row>
        <row r="2731">
          <cell r="B2731" t="str">
            <v>LZPT69</v>
          </cell>
          <cell r="C2731" t="str">
            <v>YV3T7U521LA201402</v>
          </cell>
          <cell r="D2731">
            <v>507514</v>
          </cell>
          <cell r="E2731" t="str">
            <v>VOLVO</v>
          </cell>
          <cell r="F2731" t="str">
            <v>B8RLEA</v>
          </cell>
          <cell r="G2731" t="str">
            <v>MARCOPOLO</v>
          </cell>
          <cell r="H2731" t="str">
            <v>GRAN VIALE</v>
          </cell>
          <cell r="I2731">
            <v>2020</v>
          </cell>
          <cell r="J2731" t="str">
            <v>C</v>
          </cell>
          <cell r="K2731" t="str">
            <v>Santa Rosa</v>
          </cell>
          <cell r="N2731" t="str">
            <v>C</v>
          </cell>
        </row>
        <row r="2732">
          <cell r="B2732" t="str">
            <v>LZPT70</v>
          </cell>
          <cell r="C2732" t="str">
            <v>YV3T7U526LA201461</v>
          </cell>
          <cell r="D2732">
            <v>508059</v>
          </cell>
          <cell r="E2732" t="str">
            <v>VOLVO</v>
          </cell>
          <cell r="F2732" t="str">
            <v>B8RLEA</v>
          </cell>
          <cell r="G2732" t="str">
            <v>MARCOPOLO</v>
          </cell>
          <cell r="H2732" t="str">
            <v>GRAN VIALE</v>
          </cell>
          <cell r="I2732">
            <v>2020</v>
          </cell>
          <cell r="J2732" t="str">
            <v>C</v>
          </cell>
          <cell r="K2732" t="str">
            <v>Santa Rosa</v>
          </cell>
          <cell r="N2732" t="str">
            <v>C</v>
          </cell>
        </row>
        <row r="2733">
          <cell r="B2733" t="str">
            <v>LZPT71</v>
          </cell>
          <cell r="C2733" t="str">
            <v>YV3T7U522LA201392</v>
          </cell>
          <cell r="D2733">
            <v>507493</v>
          </cell>
          <cell r="E2733" t="str">
            <v>VOLVO</v>
          </cell>
          <cell r="F2733" t="str">
            <v>B8RLEA</v>
          </cell>
          <cell r="G2733" t="str">
            <v>MARCOPOLO</v>
          </cell>
          <cell r="H2733" t="str">
            <v>GRAN VIALE</v>
          </cell>
          <cell r="I2733">
            <v>2020</v>
          </cell>
          <cell r="J2733" t="str">
            <v>C</v>
          </cell>
          <cell r="K2733" t="str">
            <v>Santa Rosa</v>
          </cell>
          <cell r="N2733" t="str">
            <v>C</v>
          </cell>
        </row>
        <row r="2734">
          <cell r="B2734" t="str">
            <v>LZPT72</v>
          </cell>
          <cell r="C2734" t="str">
            <v>YV3T7U524LA201457</v>
          </cell>
          <cell r="D2734">
            <v>508050</v>
          </cell>
          <cell r="E2734" t="str">
            <v>VOLVO</v>
          </cell>
          <cell r="F2734" t="str">
            <v>B8RLEA</v>
          </cell>
          <cell r="G2734" t="str">
            <v>MARCOPOLO</v>
          </cell>
          <cell r="H2734" t="str">
            <v>GRAN VIALE</v>
          </cell>
          <cell r="I2734">
            <v>2020</v>
          </cell>
          <cell r="J2734" t="str">
            <v>C</v>
          </cell>
          <cell r="K2734" t="str">
            <v>Santa Rosa</v>
          </cell>
          <cell r="N2734" t="str">
            <v>C</v>
          </cell>
        </row>
        <row r="2735">
          <cell r="B2735" t="str">
            <v>LZPT73</v>
          </cell>
          <cell r="C2735" t="str">
            <v>YV3T7U522LA201389</v>
          </cell>
          <cell r="D2735">
            <v>507531</v>
          </cell>
          <cell r="E2735" t="str">
            <v>VOLVO</v>
          </cell>
          <cell r="F2735" t="str">
            <v>B8RLEA</v>
          </cell>
          <cell r="G2735" t="str">
            <v>MARCOPOLO</v>
          </cell>
          <cell r="H2735" t="str">
            <v>GRAN VIALE</v>
          </cell>
          <cell r="I2735">
            <v>2020</v>
          </cell>
          <cell r="J2735" t="str">
            <v>C</v>
          </cell>
          <cell r="K2735" t="str">
            <v>Santa Rosa</v>
          </cell>
          <cell r="N2735" t="str">
            <v>C</v>
          </cell>
        </row>
        <row r="2736">
          <cell r="B2736" t="str">
            <v>LZPT74</v>
          </cell>
          <cell r="C2736" t="str">
            <v>YV3T7U524LA201345</v>
          </cell>
          <cell r="D2736">
            <v>507748</v>
          </cell>
          <cell r="E2736" t="str">
            <v>VOLVO</v>
          </cell>
          <cell r="F2736" t="str">
            <v>B8RLEA</v>
          </cell>
          <cell r="G2736" t="str">
            <v>MARCOPOLO</v>
          </cell>
          <cell r="H2736" t="str">
            <v>GRAN VIALE</v>
          </cell>
          <cell r="I2736">
            <v>2020</v>
          </cell>
          <cell r="J2736" t="str">
            <v>C</v>
          </cell>
          <cell r="K2736" t="str">
            <v>Santa Rosa</v>
          </cell>
          <cell r="N2736" t="str">
            <v>C</v>
          </cell>
        </row>
        <row r="2737">
          <cell r="B2737" t="str">
            <v>LZPT75</v>
          </cell>
          <cell r="C2737" t="str">
            <v>YV3T7U529LA201471</v>
          </cell>
          <cell r="D2737">
            <v>508084</v>
          </cell>
          <cell r="E2737" t="str">
            <v>VOLVO</v>
          </cell>
          <cell r="F2737" t="str">
            <v>B8RLEA</v>
          </cell>
          <cell r="G2737" t="str">
            <v>MARCOPOLO</v>
          </cell>
          <cell r="H2737" t="str">
            <v>GRAN VIALE</v>
          </cell>
          <cell r="I2737">
            <v>2020</v>
          </cell>
          <cell r="J2737" t="str">
            <v>C</v>
          </cell>
          <cell r="K2737" t="str">
            <v>Santa Rosa</v>
          </cell>
          <cell r="N2737" t="str">
            <v>C</v>
          </cell>
        </row>
        <row r="2738">
          <cell r="B2738" t="str">
            <v>LZPT76</v>
          </cell>
          <cell r="C2738" t="str">
            <v>YV3T7U529LA201406</v>
          </cell>
          <cell r="D2738">
            <v>507795</v>
          </cell>
          <cell r="E2738" t="str">
            <v>VOLVO</v>
          </cell>
          <cell r="F2738" t="str">
            <v>B8RLEA</v>
          </cell>
          <cell r="G2738" t="str">
            <v>MARCOPOLO</v>
          </cell>
          <cell r="H2738" t="str">
            <v>GRAN VIALE</v>
          </cell>
          <cell r="I2738">
            <v>2020</v>
          </cell>
          <cell r="J2738" t="str">
            <v>C</v>
          </cell>
          <cell r="K2738" t="str">
            <v>Santa Rosa</v>
          </cell>
          <cell r="N2738" t="str">
            <v>C</v>
          </cell>
        </row>
        <row r="2739">
          <cell r="B2739" t="str">
            <v>LZPT77</v>
          </cell>
          <cell r="C2739" t="str">
            <v>YV3T7U524LA201393</v>
          </cell>
          <cell r="D2739">
            <v>507522</v>
          </cell>
          <cell r="E2739" t="str">
            <v>VOLVO</v>
          </cell>
          <cell r="F2739" t="str">
            <v>B8RLEA</v>
          </cell>
          <cell r="G2739" t="str">
            <v>MARCOPOLO</v>
          </cell>
          <cell r="H2739" t="str">
            <v>GRAN VIALE</v>
          </cell>
          <cell r="I2739">
            <v>2020</v>
          </cell>
          <cell r="J2739" t="str">
            <v>C</v>
          </cell>
          <cell r="K2739" t="str">
            <v>Santa Rosa</v>
          </cell>
          <cell r="N2739" t="str">
            <v>C</v>
          </cell>
        </row>
        <row r="2740">
          <cell r="B2740" t="str">
            <v>LZPV98</v>
          </cell>
          <cell r="C2740" t="str">
            <v>YV3T7U527LA201047</v>
          </cell>
          <cell r="D2740">
            <v>506628</v>
          </cell>
          <cell r="E2740" t="str">
            <v>VOLVO</v>
          </cell>
          <cell r="F2740" t="str">
            <v>B8RLEA</v>
          </cell>
          <cell r="G2740" t="str">
            <v>MARCOPOLO</v>
          </cell>
          <cell r="H2740" t="str">
            <v>GRAN VIALE</v>
          </cell>
          <cell r="I2740">
            <v>2020</v>
          </cell>
          <cell r="J2740" t="str">
            <v>C</v>
          </cell>
          <cell r="K2740" t="str">
            <v>Recoleta</v>
          </cell>
          <cell r="N2740" t="str">
            <v>C</v>
          </cell>
        </row>
        <row r="2741">
          <cell r="B2741" t="str">
            <v>LZPV99</v>
          </cell>
          <cell r="C2741" t="str">
            <v>YV3T7U528LA201347</v>
          </cell>
          <cell r="D2741">
            <v>507710</v>
          </cell>
          <cell r="E2741" t="str">
            <v>VOLVO</v>
          </cell>
          <cell r="F2741" t="str">
            <v>B8RLEA</v>
          </cell>
          <cell r="G2741" t="str">
            <v>MARCOPOLO</v>
          </cell>
          <cell r="H2741" t="str">
            <v>GRAN VIALE</v>
          </cell>
          <cell r="I2741">
            <v>2020</v>
          </cell>
          <cell r="J2741" t="str">
            <v>C</v>
          </cell>
          <cell r="K2741" t="str">
            <v>Santa Rosa</v>
          </cell>
          <cell r="N2741" t="str">
            <v>C</v>
          </cell>
        </row>
        <row r="2742">
          <cell r="B2742" t="str">
            <v>LZPW10</v>
          </cell>
          <cell r="C2742" t="str">
            <v>YV3T7U529LA201390</v>
          </cell>
          <cell r="D2742">
            <v>507489</v>
          </cell>
          <cell r="E2742" t="str">
            <v>VOLVO</v>
          </cell>
          <cell r="F2742" t="str">
            <v>B8RLEA</v>
          </cell>
          <cell r="G2742" t="str">
            <v>MARCOPOLO</v>
          </cell>
          <cell r="H2742" t="str">
            <v>GRAN VIALE</v>
          </cell>
          <cell r="I2742">
            <v>2020</v>
          </cell>
          <cell r="J2742" t="str">
            <v>C</v>
          </cell>
          <cell r="K2742" t="str">
            <v>Santa Rosa</v>
          </cell>
          <cell r="N2742" t="str">
            <v>C</v>
          </cell>
        </row>
        <row r="2743">
          <cell r="B2743" t="str">
            <v>LZPW11</v>
          </cell>
          <cell r="C2743" t="str">
            <v>YV3T7U520LA201407</v>
          </cell>
          <cell r="D2743">
            <v>507762</v>
          </cell>
          <cell r="E2743" t="str">
            <v>VOLVO</v>
          </cell>
          <cell r="F2743" t="str">
            <v>B8RLEA</v>
          </cell>
          <cell r="G2743" t="str">
            <v>MARCOPOLO</v>
          </cell>
          <cell r="H2743" t="str">
            <v>GRAN VIALE</v>
          </cell>
          <cell r="I2743">
            <v>2020</v>
          </cell>
          <cell r="J2743" t="str">
            <v>C</v>
          </cell>
          <cell r="K2743" t="str">
            <v>Santa Rosa</v>
          </cell>
          <cell r="N2743" t="str">
            <v>C</v>
          </cell>
        </row>
        <row r="2744">
          <cell r="B2744" t="str">
            <v>LZPW12</v>
          </cell>
          <cell r="C2744" t="str">
            <v>YV3T7U523LA201496</v>
          </cell>
          <cell r="D2744">
            <v>507817</v>
          </cell>
          <cell r="E2744" t="str">
            <v>VOLVO</v>
          </cell>
          <cell r="F2744" t="str">
            <v>B8RLEA</v>
          </cell>
          <cell r="G2744" t="str">
            <v>MARCOPOLO</v>
          </cell>
          <cell r="H2744" t="str">
            <v>GRAN VIALE</v>
          </cell>
          <cell r="I2744">
            <v>2020</v>
          </cell>
          <cell r="J2744" t="str">
            <v>C</v>
          </cell>
          <cell r="K2744" t="str">
            <v>Santa Rosa</v>
          </cell>
          <cell r="N2744" t="str">
            <v>C</v>
          </cell>
        </row>
        <row r="2745">
          <cell r="B2745" t="str">
            <v>LZPW13</v>
          </cell>
          <cell r="C2745" t="str">
            <v>YV3T7U526LA201816</v>
          </cell>
          <cell r="D2745">
            <v>509236</v>
          </cell>
          <cell r="E2745" t="str">
            <v>VOLVO</v>
          </cell>
          <cell r="F2745" t="str">
            <v>B8RLEA</v>
          </cell>
          <cell r="G2745" t="str">
            <v>MARCOPOLO</v>
          </cell>
          <cell r="H2745" t="str">
            <v>GRAN VIALE</v>
          </cell>
          <cell r="I2745">
            <v>2020</v>
          </cell>
          <cell r="J2745" t="str">
            <v>C</v>
          </cell>
          <cell r="K2745" t="str">
            <v>Santa Rosa</v>
          </cell>
          <cell r="N2745" t="str">
            <v>C</v>
          </cell>
        </row>
        <row r="2746">
          <cell r="B2746" t="str">
            <v>LZPW14</v>
          </cell>
          <cell r="C2746" t="str">
            <v>YV3T7U528LA201154</v>
          </cell>
          <cell r="D2746">
            <v>507070</v>
          </cell>
          <cell r="E2746" t="str">
            <v>VOLVO</v>
          </cell>
          <cell r="F2746" t="str">
            <v>B8RLEA</v>
          </cell>
          <cell r="G2746" t="str">
            <v>MARCOPOLO</v>
          </cell>
          <cell r="H2746" t="str">
            <v>GRAN VIALE</v>
          </cell>
          <cell r="I2746">
            <v>2020</v>
          </cell>
          <cell r="J2746" t="str">
            <v>C</v>
          </cell>
          <cell r="K2746" t="str">
            <v>Recoleta</v>
          </cell>
          <cell r="N2746" t="str">
            <v>C</v>
          </cell>
        </row>
        <row r="2747">
          <cell r="B2747" t="str">
            <v>LZPW15</v>
          </cell>
          <cell r="C2747" t="str">
            <v>YV3T7U521LA201318</v>
          </cell>
          <cell r="D2747">
            <v>507658</v>
          </cell>
          <cell r="E2747" t="str">
            <v>VOLVO</v>
          </cell>
          <cell r="F2747" t="str">
            <v>B8RLEA</v>
          </cell>
          <cell r="G2747" t="str">
            <v>MARCOPOLO</v>
          </cell>
          <cell r="H2747" t="str">
            <v>GRAN VIALE</v>
          </cell>
          <cell r="I2747">
            <v>2020</v>
          </cell>
          <cell r="J2747" t="str">
            <v>C</v>
          </cell>
          <cell r="K2747" t="str">
            <v>Santa Rosa</v>
          </cell>
          <cell r="N2747" t="str">
            <v>C</v>
          </cell>
        </row>
        <row r="2748">
          <cell r="B2748" t="str">
            <v>LZPW16</v>
          </cell>
          <cell r="C2748" t="str">
            <v>YV3T7U523LA201319</v>
          </cell>
          <cell r="D2748">
            <v>507679</v>
          </cell>
          <cell r="E2748" t="str">
            <v>VOLVO</v>
          </cell>
          <cell r="F2748" t="str">
            <v>B8RLEA</v>
          </cell>
          <cell r="G2748" t="str">
            <v>MARCOPOLO</v>
          </cell>
          <cell r="H2748" t="str">
            <v>GRAN VIALE</v>
          </cell>
          <cell r="I2748">
            <v>2020</v>
          </cell>
          <cell r="J2748" t="str">
            <v>C</v>
          </cell>
          <cell r="K2748" t="str">
            <v>Santa Rosa</v>
          </cell>
          <cell r="N2748" t="str">
            <v>C</v>
          </cell>
        </row>
        <row r="2749">
          <cell r="B2749" t="str">
            <v>LZPW17</v>
          </cell>
          <cell r="C2749" t="str">
            <v>YV3T7U521LA201321</v>
          </cell>
          <cell r="D2749">
            <v>507655</v>
          </cell>
          <cell r="E2749" t="str">
            <v>VOLVO</v>
          </cell>
          <cell r="F2749" t="str">
            <v>B8RLEA</v>
          </cell>
          <cell r="G2749" t="str">
            <v>MARCOPOLO</v>
          </cell>
          <cell r="H2749" t="str">
            <v>GRAN VIALE</v>
          </cell>
          <cell r="I2749">
            <v>2020</v>
          </cell>
          <cell r="J2749" t="str">
            <v>C</v>
          </cell>
          <cell r="K2749" t="str">
            <v>Santa Rosa</v>
          </cell>
          <cell r="N2749" t="str">
            <v>C</v>
          </cell>
        </row>
        <row r="2750">
          <cell r="B2750" t="str">
            <v>LZPW18</v>
          </cell>
          <cell r="C2750" t="str">
            <v>YV3T7U52XLA201348</v>
          </cell>
          <cell r="D2750">
            <v>507719</v>
          </cell>
          <cell r="E2750" t="str">
            <v>VOLVO</v>
          </cell>
          <cell r="F2750" t="str">
            <v>B8RLEA</v>
          </cell>
          <cell r="G2750" t="str">
            <v>MARCOPOLO</v>
          </cell>
          <cell r="H2750" t="str">
            <v>GRAN VIALE</v>
          </cell>
          <cell r="I2750">
            <v>2020</v>
          </cell>
          <cell r="J2750" t="str">
            <v>C</v>
          </cell>
          <cell r="K2750" t="str">
            <v>Santa Rosa</v>
          </cell>
          <cell r="N2750" t="str">
            <v>C</v>
          </cell>
        </row>
        <row r="2751">
          <cell r="B2751" t="str">
            <v>LZPW19</v>
          </cell>
          <cell r="C2751" t="str">
            <v>YV3T7U527LA201405</v>
          </cell>
          <cell r="D2751">
            <v>507775</v>
          </cell>
          <cell r="E2751" t="str">
            <v>VOLVO</v>
          </cell>
          <cell r="F2751" t="str">
            <v>B8RLEA</v>
          </cell>
          <cell r="G2751" t="str">
            <v>MARCOPOLO</v>
          </cell>
          <cell r="H2751" t="str">
            <v>GRAN VIALE</v>
          </cell>
          <cell r="I2751">
            <v>2020</v>
          </cell>
          <cell r="J2751" t="str">
            <v>C</v>
          </cell>
          <cell r="K2751" t="str">
            <v>Santa Rosa</v>
          </cell>
          <cell r="N2751" t="str">
            <v>C</v>
          </cell>
        </row>
        <row r="2752">
          <cell r="B2752" t="str">
            <v>LZPW20</v>
          </cell>
          <cell r="C2752" t="str">
            <v>YV3T7U521LA198727</v>
          </cell>
          <cell r="D2752">
            <v>508214</v>
          </cell>
          <cell r="E2752" t="str">
            <v>VOLVO</v>
          </cell>
          <cell r="F2752" t="str">
            <v>B8RLEA</v>
          </cell>
          <cell r="G2752" t="str">
            <v>MARCOPOLO</v>
          </cell>
          <cell r="H2752" t="str">
            <v>GRAN VIALE</v>
          </cell>
          <cell r="I2752">
            <v>2020</v>
          </cell>
          <cell r="J2752" t="str">
            <v>C</v>
          </cell>
          <cell r="K2752" t="str">
            <v>Santa Rosa</v>
          </cell>
          <cell r="N2752" t="str">
            <v>C</v>
          </cell>
        </row>
        <row r="2753">
          <cell r="B2753" t="str">
            <v>LZPW21</v>
          </cell>
          <cell r="C2753" t="str">
            <v>YV3T7U528LA201669</v>
          </cell>
          <cell r="D2753">
            <v>508621</v>
          </cell>
          <cell r="E2753" t="str">
            <v>VOLVO</v>
          </cell>
          <cell r="F2753" t="str">
            <v>B8RLEA</v>
          </cell>
          <cell r="G2753" t="str">
            <v>MARCOPOLO</v>
          </cell>
          <cell r="H2753" t="str">
            <v>GRAN VIALE</v>
          </cell>
          <cell r="I2753">
            <v>2020</v>
          </cell>
          <cell r="J2753" t="str">
            <v>C</v>
          </cell>
          <cell r="K2753" t="str">
            <v>Santa Rosa</v>
          </cell>
          <cell r="N2753" t="str">
            <v>C</v>
          </cell>
        </row>
        <row r="2754">
          <cell r="B2754" t="str">
            <v>LZPW22</v>
          </cell>
          <cell r="C2754" t="str">
            <v>YV3T7U520LA201391</v>
          </cell>
          <cell r="D2754">
            <v>507509</v>
          </cell>
          <cell r="E2754" t="str">
            <v>VOLVO</v>
          </cell>
          <cell r="F2754" t="str">
            <v>B8RLEA</v>
          </cell>
          <cell r="G2754" t="str">
            <v>MARCOPOLO</v>
          </cell>
          <cell r="H2754" t="str">
            <v>GRAN VIALE</v>
          </cell>
          <cell r="I2754">
            <v>2020</v>
          </cell>
          <cell r="J2754" t="str">
            <v>C</v>
          </cell>
          <cell r="K2754" t="str">
            <v>Santa Rosa</v>
          </cell>
          <cell r="N2754" t="str">
            <v>C</v>
          </cell>
        </row>
        <row r="2755">
          <cell r="B2755" t="str">
            <v>LZRB82</v>
          </cell>
          <cell r="C2755" t="str">
            <v>YV3T7U520LA201097</v>
          </cell>
          <cell r="D2755">
            <v>507017</v>
          </cell>
          <cell r="E2755" t="str">
            <v>VOLVO</v>
          </cell>
          <cell r="F2755" t="str">
            <v>B8RLEA</v>
          </cell>
          <cell r="G2755" t="str">
            <v>MARCOPOLO</v>
          </cell>
          <cell r="H2755" t="str">
            <v>GRAN VIALE</v>
          </cell>
          <cell r="I2755">
            <v>2020</v>
          </cell>
          <cell r="J2755" t="str">
            <v>C</v>
          </cell>
          <cell r="K2755" t="str">
            <v>Recoleta</v>
          </cell>
          <cell r="N2755" t="str">
            <v>C</v>
          </cell>
        </row>
        <row r="2756">
          <cell r="B2756" t="str">
            <v>LZRB83</v>
          </cell>
          <cell r="C2756" t="str">
            <v>YV3T7U528LA201476</v>
          </cell>
          <cell r="D2756">
            <v>507871</v>
          </cell>
          <cell r="E2756" t="str">
            <v>VOLVO</v>
          </cell>
          <cell r="F2756" t="str">
            <v>B8RLEA</v>
          </cell>
          <cell r="G2756" t="str">
            <v>MARCOPOLO</v>
          </cell>
          <cell r="H2756" t="str">
            <v>GRAN VIALE</v>
          </cell>
          <cell r="I2756">
            <v>2020</v>
          </cell>
          <cell r="J2756" t="str">
            <v>C</v>
          </cell>
          <cell r="K2756" t="str">
            <v>Santa Rosa</v>
          </cell>
          <cell r="N2756" t="str">
            <v>C</v>
          </cell>
        </row>
        <row r="2757">
          <cell r="B2757" t="str">
            <v>LZRB84</v>
          </cell>
          <cell r="C2757" t="str">
            <v>YV3T7U524LA201815</v>
          </cell>
          <cell r="D2757">
            <v>509217</v>
          </cell>
          <cell r="E2757" t="str">
            <v>VOLVO</v>
          </cell>
          <cell r="F2757" t="str">
            <v>B8RLEA</v>
          </cell>
          <cell r="G2757" t="str">
            <v>MARCOPOLO</v>
          </cell>
          <cell r="H2757" t="str">
            <v>GRAN VIALE</v>
          </cell>
          <cell r="I2757">
            <v>2020</v>
          </cell>
          <cell r="J2757" t="str">
            <v>C</v>
          </cell>
          <cell r="K2757" t="str">
            <v>Santa Rosa</v>
          </cell>
          <cell r="N2757" t="str">
            <v>C</v>
          </cell>
        </row>
        <row r="2758">
          <cell r="B2758" t="str">
            <v>LZRB85</v>
          </cell>
          <cell r="C2758" t="str">
            <v>YV3T7U522LA201666</v>
          </cell>
          <cell r="D2758">
            <v>508593</v>
          </cell>
          <cell r="E2758" t="str">
            <v>VOLVO</v>
          </cell>
          <cell r="F2758" t="str">
            <v>B8RLEA</v>
          </cell>
          <cell r="G2758" t="str">
            <v>MARCOPOLO</v>
          </cell>
          <cell r="H2758" t="str">
            <v>GRAN VIALE</v>
          </cell>
          <cell r="I2758">
            <v>2020</v>
          </cell>
          <cell r="J2758" t="str">
            <v>C</v>
          </cell>
          <cell r="K2758" t="str">
            <v>Santa Rosa</v>
          </cell>
          <cell r="N2758" t="str">
            <v>C</v>
          </cell>
        </row>
        <row r="2759">
          <cell r="B2759" t="str">
            <v>LZRB86</v>
          </cell>
          <cell r="C2759" t="str">
            <v>YV3T7U529LA201924</v>
          </cell>
          <cell r="D2759">
            <v>509325</v>
          </cell>
          <cell r="E2759" t="str">
            <v>VOLVO</v>
          </cell>
          <cell r="F2759" t="str">
            <v>B8RLEA</v>
          </cell>
          <cell r="G2759" t="str">
            <v>MARCOPOLO</v>
          </cell>
          <cell r="H2759" t="str">
            <v>GRAN VIALE</v>
          </cell>
          <cell r="I2759">
            <v>2020</v>
          </cell>
          <cell r="J2759" t="str">
            <v>C</v>
          </cell>
          <cell r="K2759" t="str">
            <v>Santa Rosa</v>
          </cell>
          <cell r="N2759" t="str">
            <v>C</v>
          </cell>
        </row>
        <row r="2760">
          <cell r="B2760" t="str">
            <v>LZRB87</v>
          </cell>
          <cell r="C2760" t="str">
            <v>YV3T7U521LA201903</v>
          </cell>
          <cell r="D2760">
            <v>509608</v>
          </cell>
          <cell r="E2760" t="str">
            <v>VOLVO</v>
          </cell>
          <cell r="F2760" t="str">
            <v>B8RLEA</v>
          </cell>
          <cell r="G2760" t="str">
            <v>MARCOPOLO</v>
          </cell>
          <cell r="H2760" t="str">
            <v>GRAN VIALE</v>
          </cell>
          <cell r="I2760">
            <v>2020</v>
          </cell>
          <cell r="J2760" t="str">
            <v>C</v>
          </cell>
          <cell r="K2760" t="str">
            <v>Santa Rosa</v>
          </cell>
          <cell r="N2760" t="str">
            <v>C</v>
          </cell>
        </row>
        <row r="2761">
          <cell r="B2761" t="str">
            <v>LZRB88</v>
          </cell>
          <cell r="C2761" t="str">
            <v>YV3T7U523LA201921</v>
          </cell>
          <cell r="D2761">
            <v>509543</v>
          </cell>
          <cell r="E2761" t="str">
            <v>VOLVO</v>
          </cell>
          <cell r="F2761" t="str">
            <v>B8RLEA</v>
          </cell>
          <cell r="G2761" t="str">
            <v>MARCOPOLO</v>
          </cell>
          <cell r="H2761" t="str">
            <v>GRAN VIALE</v>
          </cell>
          <cell r="I2761">
            <v>2020</v>
          </cell>
          <cell r="J2761" t="str">
            <v>C</v>
          </cell>
          <cell r="K2761" t="str">
            <v>Santa Rosa</v>
          </cell>
          <cell r="N2761" t="str">
            <v>C</v>
          </cell>
        </row>
        <row r="2762">
          <cell r="B2762" t="str">
            <v>SFVZ29</v>
          </cell>
          <cell r="C2762" t="str">
            <v>LVCB4L4DXMM003870</v>
          </cell>
          <cell r="D2762" t="str">
            <v>M221100546</v>
          </cell>
          <cell r="E2762" t="str">
            <v>FOTON</v>
          </cell>
          <cell r="F2762" t="str">
            <v>EBUS U12 SC</v>
          </cell>
          <cell r="G2762" t="str">
            <v>FOTON</v>
          </cell>
          <cell r="H2762" t="str">
            <v>EBUS U12 SC</v>
          </cell>
          <cell r="I2762">
            <v>2022</v>
          </cell>
          <cell r="J2762" t="str">
            <v>B</v>
          </cell>
          <cell r="K2762" t="str">
            <v>Ducaud</v>
          </cell>
          <cell r="N2762" t="str">
            <v>B</v>
          </cell>
        </row>
        <row r="2763">
          <cell r="B2763" t="str">
            <v>SFVZ39</v>
          </cell>
          <cell r="C2763" t="str">
            <v>LVCB4L4D5MM003646</v>
          </cell>
          <cell r="D2763" t="str">
            <v>M221100541</v>
          </cell>
          <cell r="E2763" t="str">
            <v>FOTON</v>
          </cell>
          <cell r="F2763" t="str">
            <v>EBUS U12 SC</v>
          </cell>
          <cell r="G2763" t="str">
            <v>FOTON</v>
          </cell>
          <cell r="H2763" t="str">
            <v>EBUS U12 SC</v>
          </cell>
          <cell r="I2763">
            <v>2022</v>
          </cell>
          <cell r="J2763" t="str">
            <v>B</v>
          </cell>
          <cell r="K2763" t="str">
            <v>Ducaud</v>
          </cell>
          <cell r="N2763" t="str">
            <v>B</v>
          </cell>
        </row>
        <row r="2764">
          <cell r="B2764" t="str">
            <v>SFVZ40</v>
          </cell>
          <cell r="C2764" t="str">
            <v>LVCB4L4D3MM003872</v>
          </cell>
          <cell r="D2764" t="str">
            <v>M221100304</v>
          </cell>
          <cell r="E2764" t="str">
            <v>FOTON</v>
          </cell>
          <cell r="F2764" t="str">
            <v>EBUS U12 SC</v>
          </cell>
          <cell r="G2764" t="str">
            <v>FOTON</v>
          </cell>
          <cell r="H2764" t="str">
            <v>EBUS U12 SC</v>
          </cell>
          <cell r="I2764">
            <v>2022</v>
          </cell>
          <cell r="J2764" t="str">
            <v>B</v>
          </cell>
          <cell r="K2764" t="str">
            <v>Santa Rosa</v>
          </cell>
          <cell r="N2764" t="str">
            <v>B</v>
          </cell>
        </row>
        <row r="2765">
          <cell r="B2765" t="str">
            <v>SFVZ44</v>
          </cell>
          <cell r="C2765" t="str">
            <v>LVCB4L4D9MM003875</v>
          </cell>
          <cell r="D2765" t="str">
            <v>M221100438</v>
          </cell>
          <cell r="E2765" t="str">
            <v>FOTON</v>
          </cell>
          <cell r="F2765" t="str">
            <v>EBUS U12 SC</v>
          </cell>
          <cell r="G2765" t="str">
            <v>FOTON</v>
          </cell>
          <cell r="H2765" t="str">
            <v>EBUS U12 SC</v>
          </cell>
          <cell r="I2765">
            <v>2022</v>
          </cell>
          <cell r="J2765" t="str">
            <v>B</v>
          </cell>
          <cell r="K2765" t="str">
            <v>Santa Rosa</v>
          </cell>
          <cell r="N2765" t="str">
            <v>B</v>
          </cell>
        </row>
        <row r="2766">
          <cell r="B2766" t="str">
            <v>SFVZ49</v>
          </cell>
          <cell r="C2766" t="str">
            <v>LVCB4L4D0MM003876</v>
          </cell>
          <cell r="D2766" t="str">
            <v>M221100544</v>
          </cell>
          <cell r="E2766" t="str">
            <v>FOTON</v>
          </cell>
          <cell r="F2766" t="str">
            <v>EBUS U12 SC</v>
          </cell>
          <cell r="G2766" t="str">
            <v>FOTON</v>
          </cell>
          <cell r="H2766" t="str">
            <v>EBUS U12 SC</v>
          </cell>
          <cell r="I2766">
            <v>2022</v>
          </cell>
          <cell r="J2766" t="str">
            <v>B</v>
          </cell>
          <cell r="K2766" t="str">
            <v>Santa Rosa</v>
          </cell>
          <cell r="N2766" t="str">
            <v>B</v>
          </cell>
        </row>
        <row r="2767">
          <cell r="B2767" t="str">
            <v>SFVZ56</v>
          </cell>
          <cell r="C2767" t="str">
            <v>LVCB4L4D2MM003877</v>
          </cell>
          <cell r="D2767" t="str">
            <v>M221100558</v>
          </cell>
          <cell r="E2767" t="str">
            <v>FOTON</v>
          </cell>
          <cell r="F2767" t="str">
            <v>EBUS U12 SC</v>
          </cell>
          <cell r="G2767" t="str">
            <v>FOTON</v>
          </cell>
          <cell r="H2767" t="str">
            <v>EBUS U12 SC</v>
          </cell>
          <cell r="I2767">
            <v>2022</v>
          </cell>
          <cell r="J2767" t="str">
            <v>B</v>
          </cell>
          <cell r="K2767" t="str">
            <v>Santa Rosa</v>
          </cell>
          <cell r="N2767" t="str">
            <v>B</v>
          </cell>
        </row>
        <row r="2768">
          <cell r="B2768" t="str">
            <v>SFVZ60</v>
          </cell>
          <cell r="C2768" t="str">
            <v>LVCB4L4D6MM003879</v>
          </cell>
          <cell r="D2768" t="str">
            <v>M221110022</v>
          </cell>
          <cell r="E2768" t="str">
            <v>FOTON</v>
          </cell>
          <cell r="F2768" t="str">
            <v>EBUS U12 SC</v>
          </cell>
          <cell r="G2768" t="str">
            <v>FOTON</v>
          </cell>
          <cell r="H2768" t="str">
            <v>EBUS U12 SC</v>
          </cell>
          <cell r="I2768">
            <v>2022</v>
          </cell>
          <cell r="J2768" t="str">
            <v>B</v>
          </cell>
          <cell r="K2768" t="str">
            <v>Lo Blanco</v>
          </cell>
          <cell r="N2768" t="str">
            <v>B</v>
          </cell>
        </row>
        <row r="2769">
          <cell r="B2769" t="str">
            <v>SFVZ63</v>
          </cell>
          <cell r="C2769" t="str">
            <v>LVCB4L4D2MM003880</v>
          </cell>
          <cell r="D2769" t="str">
            <v>M221100408</v>
          </cell>
          <cell r="E2769" t="str">
            <v>FOTON</v>
          </cell>
          <cell r="F2769" t="str">
            <v>EBUS U12 SC</v>
          </cell>
          <cell r="G2769" t="str">
            <v>FOTON</v>
          </cell>
          <cell r="H2769" t="str">
            <v>EBUS U12 SC</v>
          </cell>
          <cell r="I2769">
            <v>2022</v>
          </cell>
          <cell r="J2769" t="str">
            <v>B</v>
          </cell>
          <cell r="K2769" t="str">
            <v>Santa Rosa</v>
          </cell>
          <cell r="N2769" t="str">
            <v>B</v>
          </cell>
        </row>
        <row r="2770">
          <cell r="B2770" t="str">
            <v>SFVZ67</v>
          </cell>
          <cell r="C2770" t="str">
            <v>LVCB4L4D4MM003881</v>
          </cell>
          <cell r="D2770" t="str">
            <v>M221110108</v>
          </cell>
          <cell r="E2770" t="str">
            <v>FOTON</v>
          </cell>
          <cell r="F2770" t="str">
            <v>EBUS U12 SC</v>
          </cell>
          <cell r="G2770" t="str">
            <v>FOTON</v>
          </cell>
          <cell r="H2770" t="str">
            <v>EBUS U12 SC</v>
          </cell>
          <cell r="I2770">
            <v>2022</v>
          </cell>
          <cell r="J2770" t="str">
            <v>B</v>
          </cell>
          <cell r="K2770" t="str">
            <v>Santa Rosa</v>
          </cell>
          <cell r="N2770" t="str">
            <v>B</v>
          </cell>
        </row>
        <row r="2771">
          <cell r="B2771" t="str">
            <v>SFVZ70</v>
          </cell>
          <cell r="C2771" t="str">
            <v>LVCB4L4D6MM003882</v>
          </cell>
          <cell r="D2771" t="str">
            <v>M221100437</v>
          </cell>
          <cell r="E2771" t="str">
            <v>FOTON</v>
          </cell>
          <cell r="F2771" t="str">
            <v>EBUS U12 SC</v>
          </cell>
          <cell r="G2771" t="str">
            <v>FOTON</v>
          </cell>
          <cell r="H2771" t="str">
            <v>EBUS U12 SC</v>
          </cell>
          <cell r="I2771">
            <v>2022</v>
          </cell>
          <cell r="J2771" t="str">
            <v>B</v>
          </cell>
          <cell r="K2771" t="str">
            <v>Santa Rosa</v>
          </cell>
          <cell r="N2771" t="str">
            <v>B</v>
          </cell>
        </row>
        <row r="2772">
          <cell r="B2772" t="str">
            <v>SFVZ80</v>
          </cell>
          <cell r="C2772" t="str">
            <v>LVCB4L4D8MM003883</v>
          </cell>
          <cell r="D2772" t="str">
            <v>M221100477</v>
          </cell>
          <cell r="E2772" t="str">
            <v>FOTON</v>
          </cell>
          <cell r="F2772" t="str">
            <v>EBUS U12 SC</v>
          </cell>
          <cell r="G2772" t="str">
            <v>FOTON</v>
          </cell>
          <cell r="H2772" t="str">
            <v>EBUS U12 SC</v>
          </cell>
          <cell r="I2772">
            <v>2022</v>
          </cell>
          <cell r="J2772" t="str">
            <v>B</v>
          </cell>
          <cell r="K2772" t="str">
            <v>Santa Rosa</v>
          </cell>
          <cell r="N2772" t="str">
            <v>B</v>
          </cell>
        </row>
        <row r="2773">
          <cell r="B2773" t="str">
            <v>SFVZ81</v>
          </cell>
          <cell r="C2773" t="str">
            <v>LVCB4L4D1MM003885</v>
          </cell>
          <cell r="D2773" t="str">
            <v>M221100475</v>
          </cell>
          <cell r="E2773" t="str">
            <v>FOTON</v>
          </cell>
          <cell r="F2773" t="str">
            <v>EBUS U12 SC</v>
          </cell>
          <cell r="G2773" t="str">
            <v>FOTON</v>
          </cell>
          <cell r="H2773" t="str">
            <v>EBUS U12 SC</v>
          </cell>
          <cell r="I2773">
            <v>2022</v>
          </cell>
          <cell r="J2773" t="str">
            <v>B</v>
          </cell>
          <cell r="K2773" t="str">
            <v>Santa Rosa</v>
          </cell>
          <cell r="N2773" t="str">
            <v>B</v>
          </cell>
        </row>
        <row r="2774">
          <cell r="B2774" t="str">
            <v>SFVZ85</v>
          </cell>
          <cell r="C2774" t="str">
            <v>LVCB4L4D3MM003886</v>
          </cell>
          <cell r="D2774" t="str">
            <v>M221100543</v>
          </cell>
          <cell r="E2774" t="str">
            <v>FOTON</v>
          </cell>
          <cell r="F2774" t="str">
            <v>EBUS U12 SC</v>
          </cell>
          <cell r="G2774" t="str">
            <v>FOTON</v>
          </cell>
          <cell r="H2774" t="str">
            <v>EBUS U12 SC</v>
          </cell>
          <cell r="I2774">
            <v>2022</v>
          </cell>
          <cell r="J2774" t="str">
            <v>B</v>
          </cell>
          <cell r="K2774" t="str">
            <v>Santa Rosa</v>
          </cell>
          <cell r="N2774" t="str">
            <v>B</v>
          </cell>
        </row>
        <row r="2775">
          <cell r="B2775" t="str">
            <v>SFVZ86</v>
          </cell>
          <cell r="C2775" t="str">
            <v>LVCB4L4D5MM003887</v>
          </cell>
          <cell r="D2775" t="str">
            <v>M221110021</v>
          </cell>
          <cell r="E2775" t="str">
            <v>FOTON</v>
          </cell>
          <cell r="F2775" t="str">
            <v>EBUS U12 SC</v>
          </cell>
          <cell r="G2775" t="str">
            <v>FOTON</v>
          </cell>
          <cell r="H2775" t="str">
            <v>EBUS U12 SC</v>
          </cell>
          <cell r="I2775">
            <v>2022</v>
          </cell>
          <cell r="J2775" t="str">
            <v>B</v>
          </cell>
          <cell r="K2775" t="str">
            <v>Santa Rosa</v>
          </cell>
          <cell r="N2775" t="str">
            <v>B</v>
          </cell>
        </row>
        <row r="2776">
          <cell r="B2776" t="str">
            <v>SFVZ87</v>
          </cell>
          <cell r="C2776" t="str">
            <v>LVCB4L4D7MM003888</v>
          </cell>
          <cell r="D2776" t="str">
            <v>M221100297</v>
          </cell>
          <cell r="E2776" t="str">
            <v>FOTON</v>
          </cell>
          <cell r="F2776" t="str">
            <v>EBUS U12 SC</v>
          </cell>
          <cell r="G2776" t="str">
            <v>FOTON</v>
          </cell>
          <cell r="H2776" t="str">
            <v>EBUS U12 SC</v>
          </cell>
          <cell r="I2776">
            <v>2022</v>
          </cell>
          <cell r="J2776" t="str">
            <v>B</v>
          </cell>
          <cell r="K2776" t="str">
            <v>Lo Blanco</v>
          </cell>
          <cell r="N2776" t="str">
            <v>B</v>
          </cell>
        </row>
        <row r="2777">
          <cell r="B2777" t="str">
            <v>SFVZ94</v>
          </cell>
          <cell r="C2777" t="str">
            <v>LVCB4L4D9MM003889</v>
          </cell>
          <cell r="D2777" t="str">
            <v>M221100396</v>
          </cell>
          <cell r="E2777" t="str">
            <v>FOTON</v>
          </cell>
          <cell r="F2777" t="str">
            <v>EBUS U12 SC</v>
          </cell>
          <cell r="G2777" t="str">
            <v>FOTON</v>
          </cell>
          <cell r="H2777" t="str">
            <v>EBUS U12 SC</v>
          </cell>
          <cell r="I2777">
            <v>2022</v>
          </cell>
          <cell r="J2777" t="str">
            <v>B</v>
          </cell>
          <cell r="K2777" t="str">
            <v>Recoleta</v>
          </cell>
          <cell r="N2777" t="str">
            <v>B</v>
          </cell>
        </row>
        <row r="2778">
          <cell r="B2778" t="str">
            <v>SFVZ96</v>
          </cell>
          <cell r="C2778" t="str">
            <v>LVCB4L4D5MM003890</v>
          </cell>
          <cell r="D2778" t="str">
            <v>M221100305</v>
          </cell>
          <cell r="E2778" t="str">
            <v>FOTON</v>
          </cell>
          <cell r="F2778" t="str">
            <v>EBUS U12 SC</v>
          </cell>
          <cell r="G2778" t="str">
            <v>FOTON</v>
          </cell>
          <cell r="H2778" t="str">
            <v>EBUS U12 SC</v>
          </cell>
          <cell r="I2778">
            <v>2022</v>
          </cell>
          <cell r="J2778" t="str">
            <v>B</v>
          </cell>
          <cell r="K2778" t="str">
            <v>Santa Rosa</v>
          </cell>
          <cell r="N2778" t="str">
            <v>B</v>
          </cell>
        </row>
        <row r="2779">
          <cell r="B2779" t="str">
            <v>SFWB10</v>
          </cell>
          <cell r="C2779" t="str">
            <v>LVCB4L4D9MM003892</v>
          </cell>
          <cell r="D2779" t="str">
            <v>M221110101</v>
          </cell>
          <cell r="E2779" t="str">
            <v>FOTON</v>
          </cell>
          <cell r="F2779" t="str">
            <v>EBUS U12 SC</v>
          </cell>
          <cell r="G2779" t="str">
            <v>FOTON</v>
          </cell>
          <cell r="H2779" t="str">
            <v>EBUS U12 SC</v>
          </cell>
          <cell r="I2779">
            <v>2022</v>
          </cell>
          <cell r="J2779" t="str">
            <v>B</v>
          </cell>
          <cell r="K2779" t="str">
            <v>Recoleta</v>
          </cell>
          <cell r="N2779" t="str">
            <v>B</v>
          </cell>
        </row>
        <row r="2780">
          <cell r="B2780" t="str">
            <v>SFWB14</v>
          </cell>
          <cell r="C2780" t="str">
            <v>LVCB4L4D0MM003893</v>
          </cell>
          <cell r="D2780" t="str">
            <v>M221100547</v>
          </cell>
          <cell r="E2780" t="str">
            <v>FOTON</v>
          </cell>
          <cell r="F2780" t="str">
            <v>EBUS U12 SC</v>
          </cell>
          <cell r="G2780" t="str">
            <v>FOTON</v>
          </cell>
          <cell r="H2780" t="str">
            <v>EBUS U12 SC</v>
          </cell>
          <cell r="I2780">
            <v>2022</v>
          </cell>
          <cell r="J2780" t="str">
            <v>B</v>
          </cell>
          <cell r="K2780" t="str">
            <v>Santa Rosa</v>
          </cell>
          <cell r="N2780" t="str">
            <v>B</v>
          </cell>
        </row>
        <row r="2781">
          <cell r="B2781" t="str">
            <v>SFWB16</v>
          </cell>
          <cell r="C2781" t="str">
            <v>LVCB4L4D4MM003895</v>
          </cell>
          <cell r="D2781" t="str">
            <v>M221100515</v>
          </cell>
          <cell r="E2781" t="str">
            <v>FOTON</v>
          </cell>
          <cell r="F2781" t="str">
            <v>EBUS U12 SC</v>
          </cell>
          <cell r="G2781" t="str">
            <v>FOTON</v>
          </cell>
          <cell r="H2781" t="str">
            <v>EBUS U12 SC</v>
          </cell>
          <cell r="I2781">
            <v>2022</v>
          </cell>
          <cell r="J2781" t="str">
            <v>B</v>
          </cell>
          <cell r="K2781" t="str">
            <v>Recoleta</v>
          </cell>
          <cell r="N2781" t="str">
            <v>B</v>
          </cell>
        </row>
        <row r="2782">
          <cell r="B2782" t="str">
            <v>SFWB21</v>
          </cell>
          <cell r="C2782" t="str">
            <v>LVCB4L4DXMM003898</v>
          </cell>
          <cell r="D2782" t="str">
            <v>M221110024</v>
          </cell>
          <cell r="E2782" t="str">
            <v>FOTON</v>
          </cell>
          <cell r="F2782" t="str">
            <v>EBUS U12 SC</v>
          </cell>
          <cell r="G2782" t="str">
            <v>FOTON</v>
          </cell>
          <cell r="H2782" t="str">
            <v>EBUS U12 SC</v>
          </cell>
          <cell r="I2782">
            <v>2022</v>
          </cell>
          <cell r="J2782" t="str">
            <v>B</v>
          </cell>
          <cell r="K2782" t="str">
            <v>Santa Rosa</v>
          </cell>
          <cell r="N2782" t="str">
            <v>B</v>
          </cell>
        </row>
        <row r="2783">
          <cell r="B2783" t="str">
            <v>SFWB24</v>
          </cell>
          <cell r="C2783" t="str">
            <v>LVCB4L4D1MM003899</v>
          </cell>
          <cell r="D2783" t="str">
            <v>M221100443</v>
          </cell>
          <cell r="E2783" t="str">
            <v>FOTON</v>
          </cell>
          <cell r="F2783" t="str">
            <v>EBUS U12 SC</v>
          </cell>
          <cell r="G2783" t="str">
            <v>FOTON</v>
          </cell>
          <cell r="H2783" t="str">
            <v>EBUS U12 SC</v>
          </cell>
          <cell r="I2783">
            <v>2022</v>
          </cell>
          <cell r="J2783" t="str">
            <v>B</v>
          </cell>
          <cell r="K2783" t="str">
            <v>Santa Rosa</v>
          </cell>
          <cell r="N2783" t="str">
            <v>B</v>
          </cell>
        </row>
        <row r="2784">
          <cell r="B2784" t="str">
            <v>SFWB28</v>
          </cell>
          <cell r="C2784" t="str">
            <v>LVCB4L4D8MM003902</v>
          </cell>
          <cell r="D2784" t="str">
            <v>M221100309</v>
          </cell>
          <cell r="E2784" t="str">
            <v>FOTON</v>
          </cell>
          <cell r="F2784" t="str">
            <v>EBUS U12 SC</v>
          </cell>
          <cell r="G2784" t="str">
            <v>FOTON</v>
          </cell>
          <cell r="H2784" t="str">
            <v>EBUS U12 SC</v>
          </cell>
          <cell r="I2784">
            <v>2022</v>
          </cell>
          <cell r="J2784" t="str">
            <v>B</v>
          </cell>
          <cell r="K2784" t="str">
            <v>Santa Rosa</v>
          </cell>
          <cell r="N2784" t="str">
            <v>B</v>
          </cell>
        </row>
        <row r="2785">
          <cell r="B2785" t="str">
            <v>SFWB29</v>
          </cell>
          <cell r="C2785" t="str">
            <v>LVCB4L4DXMM003903</v>
          </cell>
          <cell r="D2785" t="str">
            <v>M221110578</v>
          </cell>
          <cell r="E2785" t="str">
            <v>FOTON</v>
          </cell>
          <cell r="F2785" t="str">
            <v>EBUS U12 SC</v>
          </cell>
          <cell r="G2785" t="str">
            <v>FOTON</v>
          </cell>
          <cell r="H2785" t="str">
            <v>EBUS U12 SC</v>
          </cell>
          <cell r="I2785">
            <v>2022</v>
          </cell>
          <cell r="J2785" t="str">
            <v>B</v>
          </cell>
          <cell r="K2785" t="str">
            <v>Santa Rosa</v>
          </cell>
          <cell r="N2785" t="str">
            <v>B</v>
          </cell>
        </row>
        <row r="2786">
          <cell r="B2786" t="str">
            <v>SFWB31</v>
          </cell>
          <cell r="C2786" t="str">
            <v>LVCB4L4D3MM003905</v>
          </cell>
          <cell r="D2786" t="str">
            <v>M221100400</v>
          </cell>
          <cell r="E2786" t="str">
            <v>FOTON</v>
          </cell>
          <cell r="F2786" t="str">
            <v>EBUS U12 SC</v>
          </cell>
          <cell r="G2786" t="str">
            <v>FOTON</v>
          </cell>
          <cell r="H2786" t="str">
            <v>EBUS U12 SC</v>
          </cell>
          <cell r="I2786">
            <v>2022</v>
          </cell>
          <cell r="J2786" t="str">
            <v>B</v>
          </cell>
          <cell r="K2786" t="str">
            <v>Recoleta</v>
          </cell>
          <cell r="N2786" t="str">
            <v>B</v>
          </cell>
        </row>
        <row r="2787">
          <cell r="B2787" t="str">
            <v>SFWB33</v>
          </cell>
          <cell r="C2787" t="str">
            <v>LVCB4L4D5MM003906</v>
          </cell>
          <cell r="D2787" t="str">
            <v>M221100516</v>
          </cell>
          <cell r="E2787" t="str">
            <v>FOTON</v>
          </cell>
          <cell r="F2787" t="str">
            <v>EBUS U12 SC</v>
          </cell>
          <cell r="G2787" t="str">
            <v>FOTON</v>
          </cell>
          <cell r="H2787" t="str">
            <v>EBUS U12 SC</v>
          </cell>
          <cell r="I2787">
            <v>2022</v>
          </cell>
          <cell r="J2787" t="str">
            <v>B</v>
          </cell>
          <cell r="K2787" t="str">
            <v>Santa Rosa</v>
          </cell>
          <cell r="N2787" t="str">
            <v>B</v>
          </cell>
        </row>
        <row r="2788">
          <cell r="B2788" t="str">
            <v>SFWB35</v>
          </cell>
          <cell r="C2788" t="str">
            <v>LVCB4L4D7MM003907</v>
          </cell>
          <cell r="D2788" t="str">
            <v>M221100306</v>
          </cell>
          <cell r="E2788" t="str">
            <v>FOTON</v>
          </cell>
          <cell r="F2788" t="str">
            <v>EBUS U12 SC</v>
          </cell>
          <cell r="G2788" t="str">
            <v>FOTON</v>
          </cell>
          <cell r="H2788" t="str">
            <v>EBUS U12 SC</v>
          </cell>
          <cell r="I2788">
            <v>2022</v>
          </cell>
          <cell r="J2788" t="str">
            <v>B</v>
          </cell>
          <cell r="K2788" t="str">
            <v>Recoleta</v>
          </cell>
          <cell r="N2788" t="str">
            <v>B</v>
          </cell>
        </row>
        <row r="2789">
          <cell r="B2789" t="str">
            <v>SFWB42</v>
          </cell>
          <cell r="C2789" t="str">
            <v>LVCB4L4D0MM003909</v>
          </cell>
          <cell r="D2789" t="str">
            <v>M221110025</v>
          </cell>
          <cell r="E2789" t="str">
            <v>FOTON</v>
          </cell>
          <cell r="F2789" t="str">
            <v>EBUS U12 SC</v>
          </cell>
          <cell r="G2789" t="str">
            <v>FOTON</v>
          </cell>
          <cell r="H2789" t="str">
            <v>EBUS U12 SC</v>
          </cell>
          <cell r="I2789">
            <v>2022</v>
          </cell>
          <cell r="J2789" t="str">
            <v>B</v>
          </cell>
          <cell r="K2789" t="str">
            <v>Santa Rosa</v>
          </cell>
          <cell r="N2789" t="str">
            <v>B</v>
          </cell>
        </row>
        <row r="2790">
          <cell r="B2790" t="str">
            <v>SFWB44</v>
          </cell>
          <cell r="C2790" t="str">
            <v>LVCB4L4D9MM003911</v>
          </cell>
          <cell r="D2790" t="str">
            <v>M221100549</v>
          </cell>
          <cell r="E2790" t="str">
            <v>FOTON</v>
          </cell>
          <cell r="F2790" t="str">
            <v>EBUS U12 SC</v>
          </cell>
          <cell r="G2790" t="str">
            <v>FOTON</v>
          </cell>
          <cell r="H2790" t="str">
            <v>EBUS U12 SC</v>
          </cell>
          <cell r="I2790">
            <v>2022</v>
          </cell>
          <cell r="J2790" t="str">
            <v>B</v>
          </cell>
          <cell r="K2790" t="str">
            <v>Santa Rosa</v>
          </cell>
          <cell r="N2790" t="str">
            <v>B</v>
          </cell>
        </row>
        <row r="2791">
          <cell r="B2791" t="str">
            <v>SFWB46</v>
          </cell>
          <cell r="C2791" t="str">
            <v>LVCB4L4D3MM003631</v>
          </cell>
          <cell r="D2791" t="str">
            <v>M221100523</v>
          </cell>
          <cell r="E2791" t="str">
            <v>FOTON</v>
          </cell>
          <cell r="F2791" t="str">
            <v>EBUS U12 SC</v>
          </cell>
          <cell r="G2791" t="str">
            <v>FOTON</v>
          </cell>
          <cell r="H2791" t="str">
            <v>EBUS U12 SC</v>
          </cell>
          <cell r="I2791">
            <v>2022</v>
          </cell>
          <cell r="J2791" t="str">
            <v>B</v>
          </cell>
          <cell r="K2791" t="str">
            <v>Santa Rosa</v>
          </cell>
          <cell r="N2791" t="str">
            <v>B</v>
          </cell>
        </row>
        <row r="2792">
          <cell r="B2792" t="str">
            <v>SFWB48</v>
          </cell>
          <cell r="C2792" t="str">
            <v>LVCB4L4D8MM003916</v>
          </cell>
          <cell r="D2792" t="str">
            <v>M221100441</v>
          </cell>
          <cell r="E2792" t="str">
            <v>FOTON</v>
          </cell>
          <cell r="F2792" t="str">
            <v>EBUS U12 SC</v>
          </cell>
          <cell r="G2792" t="str">
            <v>FOTON</v>
          </cell>
          <cell r="H2792" t="str">
            <v>EBUS U12 SC</v>
          </cell>
          <cell r="I2792">
            <v>2022</v>
          </cell>
          <cell r="J2792" t="str">
            <v>B</v>
          </cell>
          <cell r="K2792" t="str">
            <v>Santa Rosa</v>
          </cell>
          <cell r="N2792" t="str">
            <v>B</v>
          </cell>
        </row>
        <row r="2793">
          <cell r="B2793" t="str">
            <v>SFWB50</v>
          </cell>
          <cell r="C2793" t="str">
            <v>LVCB4L4D3MM003919</v>
          </cell>
          <cell r="D2793" t="str">
            <v>M221110656</v>
          </cell>
          <cell r="E2793" t="str">
            <v>FOTON</v>
          </cell>
          <cell r="F2793" t="str">
            <v>EBUS U12 SC</v>
          </cell>
          <cell r="G2793" t="str">
            <v>FOTON</v>
          </cell>
          <cell r="H2793" t="str">
            <v>EBUS U12 SC</v>
          </cell>
          <cell r="I2793">
            <v>2022</v>
          </cell>
          <cell r="J2793" t="str">
            <v>B</v>
          </cell>
          <cell r="K2793" t="str">
            <v>Recoleta</v>
          </cell>
          <cell r="N2793" t="str">
            <v>B</v>
          </cell>
        </row>
        <row r="2794">
          <cell r="B2794" t="str">
            <v>SFWB51</v>
          </cell>
          <cell r="C2794" t="str">
            <v>LVCB4L4D1MM003921</v>
          </cell>
          <cell r="D2794" t="str">
            <v>M221100522</v>
          </cell>
          <cell r="E2794" t="str">
            <v>FOTON</v>
          </cell>
          <cell r="F2794" t="str">
            <v>EBUS U12 SC</v>
          </cell>
          <cell r="G2794" t="str">
            <v>FOTON</v>
          </cell>
          <cell r="H2794" t="str">
            <v>EBUS U12 SC</v>
          </cell>
          <cell r="I2794">
            <v>2022</v>
          </cell>
          <cell r="J2794" t="str">
            <v>B</v>
          </cell>
          <cell r="K2794" t="str">
            <v>Santa Rosa</v>
          </cell>
          <cell r="N2794" t="str">
            <v>B</v>
          </cell>
        </row>
        <row r="2795">
          <cell r="B2795" t="str">
            <v>SFWB58</v>
          </cell>
          <cell r="C2795" t="str">
            <v>LVCB4L4D3MM003922</v>
          </cell>
          <cell r="D2795" t="str">
            <v>M221100487</v>
          </cell>
          <cell r="E2795" t="str">
            <v>FOTON</v>
          </cell>
          <cell r="F2795" t="str">
            <v>EBUS U12 SC</v>
          </cell>
          <cell r="G2795" t="str">
            <v>FOTON</v>
          </cell>
          <cell r="H2795" t="str">
            <v>EBUS U12 SC</v>
          </cell>
          <cell r="I2795">
            <v>2022</v>
          </cell>
          <cell r="J2795" t="str">
            <v>B</v>
          </cell>
          <cell r="K2795" t="str">
            <v>Recoleta</v>
          </cell>
          <cell r="N2795" t="str">
            <v>B</v>
          </cell>
        </row>
        <row r="2796">
          <cell r="B2796" t="str">
            <v>SFWB61</v>
          </cell>
          <cell r="C2796" t="str">
            <v>LVCB4L4D2MM003927</v>
          </cell>
          <cell r="D2796" t="str">
            <v>M221100560</v>
          </cell>
          <cell r="E2796" t="str">
            <v>FOTON</v>
          </cell>
          <cell r="F2796" t="str">
            <v>EBUS U12 SC</v>
          </cell>
          <cell r="G2796" t="str">
            <v>FOTON</v>
          </cell>
          <cell r="H2796" t="str">
            <v>EBUS U12 SC</v>
          </cell>
          <cell r="I2796">
            <v>2022</v>
          </cell>
          <cell r="J2796" t="str">
            <v>B</v>
          </cell>
          <cell r="K2796" t="str">
            <v>Santa Rosa</v>
          </cell>
          <cell r="N2796" t="str">
            <v>B</v>
          </cell>
        </row>
        <row r="2797">
          <cell r="B2797" t="str">
            <v>SFWB64</v>
          </cell>
          <cell r="C2797" t="str">
            <v>LVCB4L4D4MM003928</v>
          </cell>
          <cell r="D2797" t="str">
            <v>M221110528</v>
          </cell>
          <cell r="E2797" t="str">
            <v>FOTON</v>
          </cell>
          <cell r="F2797" t="str">
            <v>EBUS U12 SC</v>
          </cell>
          <cell r="G2797" t="str">
            <v>FOTON</v>
          </cell>
          <cell r="H2797" t="str">
            <v>EBUS U12 SC</v>
          </cell>
          <cell r="I2797">
            <v>2022</v>
          </cell>
          <cell r="J2797" t="str">
            <v>B</v>
          </cell>
          <cell r="K2797" t="str">
            <v>Santa Rosa</v>
          </cell>
          <cell r="N2797" t="str">
            <v>B</v>
          </cell>
        </row>
        <row r="2798">
          <cell r="B2798" t="str">
            <v>SFWB68</v>
          </cell>
          <cell r="C2798" t="str">
            <v>LVCB4L4D6MM003929</v>
          </cell>
          <cell r="D2798" t="str">
            <v>M221100439</v>
          </cell>
          <cell r="E2798" t="str">
            <v>FOTON</v>
          </cell>
          <cell r="F2798" t="str">
            <v>EBUS U12 SC</v>
          </cell>
          <cell r="G2798" t="str">
            <v>FOTON</v>
          </cell>
          <cell r="H2798" t="str">
            <v>EBUS U12 SC</v>
          </cell>
          <cell r="I2798">
            <v>2022</v>
          </cell>
          <cell r="J2798" t="str">
            <v>B</v>
          </cell>
          <cell r="K2798" t="str">
            <v>Recoleta</v>
          </cell>
          <cell r="N2798" t="str">
            <v>B</v>
          </cell>
        </row>
        <row r="2799">
          <cell r="B2799" t="str">
            <v>SFWB72</v>
          </cell>
          <cell r="C2799" t="str">
            <v>LVCB4L4D2MM003930</v>
          </cell>
          <cell r="D2799" t="str">
            <v>M221100374</v>
          </cell>
          <cell r="E2799" t="str">
            <v>FOTON</v>
          </cell>
          <cell r="F2799" t="str">
            <v>EBUS U12 SC</v>
          </cell>
          <cell r="G2799" t="str">
            <v>FOTON</v>
          </cell>
          <cell r="H2799" t="str">
            <v>EBUS U12 SC</v>
          </cell>
          <cell r="I2799">
            <v>2022</v>
          </cell>
          <cell r="J2799" t="str">
            <v>B</v>
          </cell>
          <cell r="K2799" t="str">
            <v>Santa Rosa</v>
          </cell>
          <cell r="N2799" t="str">
            <v>B</v>
          </cell>
        </row>
        <row r="2800">
          <cell r="B2800" t="str">
            <v>SFWB73</v>
          </cell>
          <cell r="C2800" t="str">
            <v>LVCB4L4D4MM003931</v>
          </cell>
          <cell r="D2800" t="str">
            <v>M221100407</v>
          </cell>
          <cell r="E2800" t="str">
            <v>FOTON</v>
          </cell>
          <cell r="F2800" t="str">
            <v>EBUS U12 SC</v>
          </cell>
          <cell r="G2800" t="str">
            <v>FOTON</v>
          </cell>
          <cell r="H2800" t="str">
            <v>EBUS U12 SC</v>
          </cell>
          <cell r="I2800">
            <v>2022</v>
          </cell>
          <cell r="J2800" t="str">
            <v>B</v>
          </cell>
          <cell r="K2800" t="str">
            <v>Santa Rosa</v>
          </cell>
          <cell r="N2800" t="str">
            <v>B</v>
          </cell>
        </row>
        <row r="2801">
          <cell r="B2801" t="str">
            <v>SFWB75</v>
          </cell>
          <cell r="C2801" t="str">
            <v>LVCB4L4D8MM003933</v>
          </cell>
          <cell r="D2801" t="str">
            <v>M221110652</v>
          </cell>
          <cell r="E2801" t="str">
            <v>FOTON</v>
          </cell>
          <cell r="F2801" t="str">
            <v>EBUS U12 SC</v>
          </cell>
          <cell r="G2801" t="str">
            <v>FOTON</v>
          </cell>
          <cell r="H2801" t="str">
            <v>EBUS U12 SC</v>
          </cell>
          <cell r="I2801">
            <v>2022</v>
          </cell>
          <cell r="J2801" t="str">
            <v>B</v>
          </cell>
          <cell r="K2801" t="str">
            <v>Santa Rosa</v>
          </cell>
          <cell r="N2801" t="str">
            <v>B</v>
          </cell>
        </row>
        <row r="2802">
          <cell r="B2802" t="str">
            <v>SFWB76</v>
          </cell>
          <cell r="C2802" t="str">
            <v>LVCB4L4D3MM003936</v>
          </cell>
          <cell r="D2802" t="str">
            <v>M221110487</v>
          </cell>
          <cell r="E2802" t="str">
            <v>FOTON</v>
          </cell>
          <cell r="F2802" t="str">
            <v>EBUS U12 SC</v>
          </cell>
          <cell r="G2802" t="str">
            <v>FOTON</v>
          </cell>
          <cell r="H2802" t="str">
            <v>EBUS U12 SC</v>
          </cell>
          <cell r="I2802">
            <v>2022</v>
          </cell>
          <cell r="J2802" t="str">
            <v>B</v>
          </cell>
          <cell r="K2802" t="str">
            <v>Santa Rosa</v>
          </cell>
          <cell r="N2802" t="str">
            <v>B</v>
          </cell>
        </row>
        <row r="2803">
          <cell r="B2803" t="str">
            <v>SFWB77</v>
          </cell>
          <cell r="C2803" t="str">
            <v>LVCB4L4D5MM003937</v>
          </cell>
          <cell r="D2803" t="str">
            <v>M221120003</v>
          </cell>
          <cell r="E2803" t="str">
            <v>FOTON</v>
          </cell>
          <cell r="F2803" t="str">
            <v>EBUS U12 SC</v>
          </cell>
          <cell r="G2803" t="str">
            <v>FOTON</v>
          </cell>
          <cell r="H2803" t="str">
            <v>EBUS U12 SC</v>
          </cell>
          <cell r="I2803">
            <v>2022</v>
          </cell>
          <cell r="J2803" t="str">
            <v>B</v>
          </cell>
          <cell r="K2803" t="str">
            <v>Santa Rosa</v>
          </cell>
          <cell r="N2803" t="str">
            <v>B</v>
          </cell>
        </row>
        <row r="2804">
          <cell r="B2804" t="str">
            <v>SFWB82</v>
          </cell>
          <cell r="C2804" t="str">
            <v>LVCB4L4D7MM003938</v>
          </cell>
          <cell r="D2804" t="str">
            <v>M221100406</v>
          </cell>
          <cell r="E2804" t="str">
            <v>FOTON</v>
          </cell>
          <cell r="F2804" t="str">
            <v>EBUS U12 SC</v>
          </cell>
          <cell r="G2804" t="str">
            <v>FOTON</v>
          </cell>
          <cell r="H2804" t="str">
            <v>EBUS U12 SC</v>
          </cell>
          <cell r="I2804">
            <v>2022</v>
          </cell>
          <cell r="J2804" t="str">
            <v>B</v>
          </cell>
          <cell r="K2804" t="str">
            <v>Santa Rosa</v>
          </cell>
          <cell r="N2804" t="str">
            <v>B</v>
          </cell>
        </row>
        <row r="2805">
          <cell r="B2805" t="str">
            <v>SFWB84</v>
          </cell>
          <cell r="C2805" t="str">
            <v>LVCB4L4D9MM003939</v>
          </cell>
          <cell r="D2805" t="str">
            <v>M221100435</v>
          </cell>
          <cell r="E2805" t="str">
            <v>FOTON</v>
          </cell>
          <cell r="F2805" t="str">
            <v>EBUS U12 SC</v>
          </cell>
          <cell r="G2805" t="str">
            <v>FOTON</v>
          </cell>
          <cell r="H2805" t="str">
            <v>EBUS U12 SC</v>
          </cell>
          <cell r="I2805">
            <v>2022</v>
          </cell>
          <cell r="J2805" t="str">
            <v>B</v>
          </cell>
          <cell r="K2805" t="str">
            <v>Recoleta</v>
          </cell>
          <cell r="N2805" t="str">
            <v>B</v>
          </cell>
        </row>
        <row r="2806">
          <cell r="B2806" t="str">
            <v>SFWB85</v>
          </cell>
          <cell r="C2806" t="str">
            <v>LVCB4L4D5MM003940</v>
          </cell>
          <cell r="D2806" t="str">
            <v>M221100409</v>
          </cell>
          <cell r="E2806" t="str">
            <v>FOTON</v>
          </cell>
          <cell r="F2806" t="str">
            <v>EBUS U12 SC</v>
          </cell>
          <cell r="G2806" t="str">
            <v>FOTON</v>
          </cell>
          <cell r="H2806" t="str">
            <v>EBUS U12 SC</v>
          </cell>
          <cell r="I2806">
            <v>2022</v>
          </cell>
          <cell r="J2806" t="str">
            <v>B</v>
          </cell>
          <cell r="K2806" t="str">
            <v>Santa Rosa</v>
          </cell>
          <cell r="N2806" t="str">
            <v>B</v>
          </cell>
        </row>
        <row r="2807">
          <cell r="B2807" t="str">
            <v>SFWB87</v>
          </cell>
          <cell r="C2807" t="str">
            <v>LVCB4L4D7MM003941</v>
          </cell>
          <cell r="D2807" t="str">
            <v>M221110529</v>
          </cell>
          <cell r="E2807" t="str">
            <v>FOTON</v>
          </cell>
          <cell r="F2807" t="str">
            <v>EBUS U12 SC</v>
          </cell>
          <cell r="G2807" t="str">
            <v>FOTON</v>
          </cell>
          <cell r="H2807" t="str">
            <v>EBUS U12 SC</v>
          </cell>
          <cell r="I2807">
            <v>2022</v>
          </cell>
          <cell r="J2807" t="str">
            <v>B</v>
          </cell>
          <cell r="K2807" t="str">
            <v>Santa Rosa</v>
          </cell>
          <cell r="N2807" t="str">
            <v>B</v>
          </cell>
        </row>
        <row r="2808">
          <cell r="B2808" t="str">
            <v>SFWB89</v>
          </cell>
          <cell r="C2808" t="str">
            <v>LVCB4L4D0MM003943</v>
          </cell>
          <cell r="D2808" t="str">
            <v>M221100548</v>
          </cell>
          <cell r="E2808" t="str">
            <v>FOTON</v>
          </cell>
          <cell r="F2808" t="str">
            <v>EBUS U12 SC</v>
          </cell>
          <cell r="G2808" t="str">
            <v>FOTON</v>
          </cell>
          <cell r="H2808" t="str">
            <v>EBUS U12 SC</v>
          </cell>
          <cell r="I2808">
            <v>2022</v>
          </cell>
          <cell r="J2808" t="str">
            <v>B</v>
          </cell>
          <cell r="K2808" t="str">
            <v>Recoleta</v>
          </cell>
          <cell r="N2808" t="str">
            <v>B</v>
          </cell>
        </row>
        <row r="2809">
          <cell r="B2809" t="str">
            <v>SFWB90</v>
          </cell>
          <cell r="C2809" t="str">
            <v>LVCB4L4D8MM003947</v>
          </cell>
          <cell r="D2809" t="str">
            <v>M221110648</v>
          </cell>
          <cell r="E2809" t="str">
            <v>FOTON</v>
          </cell>
          <cell r="F2809" t="str">
            <v>EBUS U12 SC</v>
          </cell>
          <cell r="G2809" t="str">
            <v>FOTON</v>
          </cell>
          <cell r="H2809" t="str">
            <v>EBUS U12 SC</v>
          </cell>
          <cell r="I2809">
            <v>2022</v>
          </cell>
          <cell r="J2809" t="str">
            <v>B</v>
          </cell>
          <cell r="K2809" t="str">
            <v>Santa Rosa</v>
          </cell>
          <cell r="N2809" t="str">
            <v>B</v>
          </cell>
        </row>
        <row r="2810">
          <cell r="B2810" t="str">
            <v>SFWB95</v>
          </cell>
          <cell r="C2810" t="str">
            <v>LVCB4L4D8MM003950</v>
          </cell>
          <cell r="D2810" t="str">
            <v>M221100399</v>
          </cell>
          <cell r="E2810" t="str">
            <v>FOTON</v>
          </cell>
          <cell r="F2810" t="str">
            <v>EBUS U12 SC</v>
          </cell>
          <cell r="G2810" t="str">
            <v>FOTON</v>
          </cell>
          <cell r="H2810" t="str">
            <v>EBUS U12 SC</v>
          </cell>
          <cell r="I2810">
            <v>2022</v>
          </cell>
          <cell r="J2810" t="str">
            <v>B</v>
          </cell>
          <cell r="K2810" t="str">
            <v>Santa Rosa</v>
          </cell>
          <cell r="N2810" t="str">
            <v>B</v>
          </cell>
        </row>
        <row r="2811">
          <cell r="B2811" t="str">
            <v>SFWB96</v>
          </cell>
          <cell r="C2811" t="str">
            <v>LVCB4L4DXMM003951</v>
          </cell>
          <cell r="D2811" t="str">
            <v>M221110650</v>
          </cell>
          <cell r="E2811" t="str">
            <v>FOTON</v>
          </cell>
          <cell r="F2811" t="str">
            <v>EBUS U12 SC</v>
          </cell>
          <cell r="G2811" t="str">
            <v>FOTON</v>
          </cell>
          <cell r="H2811" t="str">
            <v>EBUS U12 SC</v>
          </cell>
          <cell r="I2811">
            <v>2022</v>
          </cell>
          <cell r="J2811" t="str">
            <v>B</v>
          </cell>
          <cell r="K2811" t="str">
            <v>Santa Rosa</v>
          </cell>
          <cell r="N2811" t="str">
            <v>B</v>
          </cell>
        </row>
        <row r="2812">
          <cell r="B2812" t="str">
            <v>SFWB98</v>
          </cell>
          <cell r="C2812" t="str">
            <v>LVCB4L4D1MM003952</v>
          </cell>
          <cell r="D2812" t="str">
            <v>M221100302</v>
          </cell>
          <cell r="E2812" t="str">
            <v>FOTON</v>
          </cell>
          <cell r="F2812" t="str">
            <v>EBUS U12 SC</v>
          </cell>
          <cell r="G2812" t="str">
            <v>FOTON</v>
          </cell>
          <cell r="H2812" t="str">
            <v>EBUS U12 SC</v>
          </cell>
          <cell r="I2812">
            <v>2022</v>
          </cell>
          <cell r="J2812" t="str">
            <v>B</v>
          </cell>
          <cell r="K2812" t="str">
            <v>Santa Rosa</v>
          </cell>
          <cell r="N2812" t="str">
            <v>B</v>
          </cell>
        </row>
        <row r="2813">
          <cell r="B2813" t="str">
            <v>SFWZ10</v>
          </cell>
          <cell r="C2813" t="str">
            <v>LVCB4L4D3MM003953</v>
          </cell>
          <cell r="D2813" t="str">
            <v>M221100373</v>
          </cell>
          <cell r="E2813" t="str">
            <v>FOTON</v>
          </cell>
          <cell r="F2813" t="str">
            <v>EBUS U12 SC</v>
          </cell>
          <cell r="G2813" t="str">
            <v>FOTON</v>
          </cell>
          <cell r="H2813" t="str">
            <v>EBUS U12 SC</v>
          </cell>
          <cell r="I2813">
            <v>2022</v>
          </cell>
          <cell r="J2813" t="str">
            <v>B</v>
          </cell>
          <cell r="K2813" t="str">
            <v>Santa Rosa</v>
          </cell>
          <cell r="N2813" t="str">
            <v>B</v>
          </cell>
        </row>
        <row r="2814">
          <cell r="B2814" t="str">
            <v>SFWZ13</v>
          </cell>
          <cell r="C2814" t="str">
            <v>LVCB4L4D7MM003955</v>
          </cell>
          <cell r="D2814" t="str">
            <v>M221100404</v>
          </cell>
          <cell r="E2814" t="str">
            <v>FOTON</v>
          </cell>
          <cell r="F2814" t="str">
            <v>EBUS U12 SC</v>
          </cell>
          <cell r="G2814" t="str">
            <v>FOTON</v>
          </cell>
          <cell r="H2814" t="str">
            <v>EBUS U12 SC</v>
          </cell>
          <cell r="I2814">
            <v>2022</v>
          </cell>
          <cell r="J2814" t="str">
            <v>B</v>
          </cell>
          <cell r="K2814" t="str">
            <v>Santa Rosa</v>
          </cell>
          <cell r="N2814" t="str">
            <v>B</v>
          </cell>
        </row>
        <row r="2815">
          <cell r="B2815" t="str">
            <v>SFWZ14</v>
          </cell>
          <cell r="C2815" t="str">
            <v>LVCB4L4D2MM003958</v>
          </cell>
          <cell r="D2815" t="str">
            <v>M221100512</v>
          </cell>
          <cell r="E2815" t="str">
            <v>FOTON</v>
          </cell>
          <cell r="F2815" t="str">
            <v>EBUS U12 SC</v>
          </cell>
          <cell r="G2815" t="str">
            <v>FOTON</v>
          </cell>
          <cell r="H2815" t="str">
            <v>EBUS U12 SC</v>
          </cell>
          <cell r="I2815">
            <v>2022</v>
          </cell>
          <cell r="J2815" t="str">
            <v>B</v>
          </cell>
          <cell r="K2815" t="str">
            <v>Santa Rosa</v>
          </cell>
          <cell r="N2815" t="str">
            <v>B</v>
          </cell>
        </row>
        <row r="2816">
          <cell r="B2816" t="str">
            <v>SFWZ16</v>
          </cell>
          <cell r="C2816" t="str">
            <v>LVCB4L4D0MM003960</v>
          </cell>
          <cell r="D2816" t="str">
            <v>M221110581</v>
          </cell>
          <cell r="E2816" t="str">
            <v>FOTON</v>
          </cell>
          <cell r="F2816" t="str">
            <v>EBUS U12 SC</v>
          </cell>
          <cell r="G2816" t="str">
            <v>FOTON</v>
          </cell>
          <cell r="H2816" t="str">
            <v>EBUS U12 SC</v>
          </cell>
          <cell r="I2816">
            <v>2022</v>
          </cell>
          <cell r="J2816" t="str">
            <v>B</v>
          </cell>
          <cell r="K2816" t="str">
            <v>Recoleta</v>
          </cell>
          <cell r="N2816" t="str">
            <v>B</v>
          </cell>
        </row>
        <row r="2817">
          <cell r="B2817" t="str">
            <v>SFWZ17</v>
          </cell>
          <cell r="C2817" t="str">
            <v>LVCB4L4D2MM003961</v>
          </cell>
          <cell r="D2817" t="str">
            <v>M221100478</v>
          </cell>
          <cell r="E2817" t="str">
            <v>FOTON</v>
          </cell>
          <cell r="F2817" t="str">
            <v>EBUS U12 SC</v>
          </cell>
          <cell r="G2817" t="str">
            <v>FOTON</v>
          </cell>
          <cell r="H2817" t="str">
            <v>EBUS U12 SC</v>
          </cell>
          <cell r="I2817">
            <v>2022</v>
          </cell>
          <cell r="J2817" t="str">
            <v>B</v>
          </cell>
          <cell r="K2817" t="str">
            <v>Recoleta</v>
          </cell>
          <cell r="N2817" t="str">
            <v>B</v>
          </cell>
        </row>
        <row r="2818">
          <cell r="B2818" t="str">
            <v>SFWZ18</v>
          </cell>
          <cell r="C2818" t="str">
            <v>LVCB4L4D4MM003962</v>
          </cell>
          <cell r="D2818" t="str">
            <v>M221100440</v>
          </cell>
          <cell r="E2818" t="str">
            <v>FOTON</v>
          </cell>
          <cell r="F2818" t="str">
            <v>EBUS U12 SC</v>
          </cell>
          <cell r="G2818" t="str">
            <v>FOTON</v>
          </cell>
          <cell r="H2818" t="str">
            <v>EBUS U12 SC</v>
          </cell>
          <cell r="I2818">
            <v>2022</v>
          </cell>
          <cell r="J2818" t="str">
            <v>B</v>
          </cell>
          <cell r="K2818" t="str">
            <v>Santa Rosa</v>
          </cell>
          <cell r="N2818" t="str">
            <v>B</v>
          </cell>
        </row>
        <row r="2819">
          <cell r="B2819" t="str">
            <v>SFWZ20</v>
          </cell>
          <cell r="C2819" t="str">
            <v>LVCB4L4D3MM003967</v>
          </cell>
          <cell r="D2819" t="str">
            <v>M221110579</v>
          </cell>
          <cell r="E2819" t="str">
            <v>FOTON</v>
          </cell>
          <cell r="F2819" t="str">
            <v>EBUS U12 SC</v>
          </cell>
          <cell r="G2819" t="str">
            <v>FOTON</v>
          </cell>
          <cell r="H2819" t="str">
            <v>EBUS U12 SC</v>
          </cell>
          <cell r="I2819">
            <v>2022</v>
          </cell>
          <cell r="J2819" t="str">
            <v>B</v>
          </cell>
          <cell r="K2819" t="str">
            <v>Santa Rosa</v>
          </cell>
          <cell r="N2819" t="str">
            <v>B</v>
          </cell>
        </row>
        <row r="2820">
          <cell r="B2820" t="str">
            <v>SFWZ21</v>
          </cell>
          <cell r="C2820" t="str">
            <v>LVCB4L4D5MM003968</v>
          </cell>
          <cell r="D2820" t="str">
            <v>M221110110</v>
          </cell>
          <cell r="E2820" t="str">
            <v>FOTON</v>
          </cell>
          <cell r="F2820" t="str">
            <v>EBUS U12 SC</v>
          </cell>
          <cell r="G2820" t="str">
            <v>FOTON</v>
          </cell>
          <cell r="H2820" t="str">
            <v>EBUS U12 SC</v>
          </cell>
          <cell r="I2820">
            <v>2022</v>
          </cell>
          <cell r="J2820" t="str">
            <v>B</v>
          </cell>
          <cell r="K2820" t="str">
            <v>Santa Rosa</v>
          </cell>
          <cell r="N2820" t="str">
            <v>B</v>
          </cell>
        </row>
        <row r="2821">
          <cell r="B2821" t="str">
            <v>SFWZ23</v>
          </cell>
          <cell r="C2821" t="str">
            <v>LVCB4L4D7MM003969</v>
          </cell>
          <cell r="D2821" t="str">
            <v>M221100513</v>
          </cell>
          <cell r="E2821" t="str">
            <v>FOTON</v>
          </cell>
          <cell r="F2821" t="str">
            <v>EBUS U12 SC</v>
          </cell>
          <cell r="G2821" t="str">
            <v>FOTON</v>
          </cell>
          <cell r="H2821" t="str">
            <v>EBUS U12 SC</v>
          </cell>
          <cell r="I2821">
            <v>2022</v>
          </cell>
          <cell r="J2821" t="str">
            <v>B</v>
          </cell>
          <cell r="K2821" t="str">
            <v>Santa Rosa</v>
          </cell>
          <cell r="N2821" t="str">
            <v>B</v>
          </cell>
        </row>
        <row r="2822">
          <cell r="B2822" t="str">
            <v>SFWZ25</v>
          </cell>
          <cell r="C2822" t="str">
            <v>LVCB4L4D3MM003970</v>
          </cell>
          <cell r="D2822" t="str">
            <v>M221110654</v>
          </cell>
          <cell r="E2822" t="str">
            <v>FOTON</v>
          </cell>
          <cell r="F2822" t="str">
            <v>EBUS U12 SC</v>
          </cell>
          <cell r="G2822" t="str">
            <v>FOTON</v>
          </cell>
          <cell r="H2822" t="str">
            <v>EBUS U12 SC</v>
          </cell>
          <cell r="I2822">
            <v>2022</v>
          </cell>
          <cell r="J2822" t="str">
            <v>B</v>
          </cell>
          <cell r="K2822" t="str">
            <v>Santa Rosa</v>
          </cell>
          <cell r="N2822" t="str">
            <v>B</v>
          </cell>
        </row>
        <row r="2823">
          <cell r="B2823" t="str">
            <v>SFWZ26</v>
          </cell>
          <cell r="C2823" t="str">
            <v>LVCB4L4D5MM003971</v>
          </cell>
          <cell r="D2823" t="str">
            <v>M221100476</v>
          </cell>
          <cell r="E2823" t="str">
            <v>FOTON</v>
          </cell>
          <cell r="F2823" t="str">
            <v>EBUS U12 SC</v>
          </cell>
          <cell r="G2823" t="str">
            <v>FOTON</v>
          </cell>
          <cell r="H2823" t="str">
            <v>EBUS U12 SC</v>
          </cell>
          <cell r="I2823">
            <v>2022</v>
          </cell>
          <cell r="J2823" t="str">
            <v>B</v>
          </cell>
          <cell r="K2823" t="str">
            <v>Santa Rosa</v>
          </cell>
          <cell r="N2823" t="str">
            <v>B</v>
          </cell>
        </row>
        <row r="2824">
          <cell r="B2824" t="str">
            <v>SFWZ27</v>
          </cell>
          <cell r="C2824" t="str">
            <v>LVCB4L4D9MM003973</v>
          </cell>
          <cell r="D2824" t="str">
            <v>M221100410</v>
          </cell>
          <cell r="E2824" t="str">
            <v>FOTON</v>
          </cell>
          <cell r="F2824" t="str">
            <v>EBUS U12 SC</v>
          </cell>
          <cell r="G2824" t="str">
            <v>FOTON</v>
          </cell>
          <cell r="H2824" t="str">
            <v>EBUS U12 SC</v>
          </cell>
          <cell r="I2824">
            <v>2022</v>
          </cell>
          <cell r="J2824" t="str">
            <v>B</v>
          </cell>
          <cell r="K2824" t="str">
            <v>Recoleta</v>
          </cell>
          <cell r="N2824" t="str">
            <v>B</v>
          </cell>
        </row>
        <row r="2825">
          <cell r="B2825" t="str">
            <v>SFWZ29</v>
          </cell>
          <cell r="C2825" t="str">
            <v>LVCB4L4D4MM003976</v>
          </cell>
          <cell r="D2825" t="str">
            <v>M221120001</v>
          </cell>
          <cell r="E2825" t="str">
            <v>FOTON</v>
          </cell>
          <cell r="F2825" t="str">
            <v>EBUS U12 SC</v>
          </cell>
          <cell r="G2825" t="str">
            <v>FOTON</v>
          </cell>
          <cell r="H2825" t="str">
            <v>EBUS U12 SC</v>
          </cell>
          <cell r="I2825">
            <v>2022</v>
          </cell>
          <cell r="J2825" t="str">
            <v>B</v>
          </cell>
          <cell r="K2825" t="str">
            <v>Recoleta</v>
          </cell>
          <cell r="N2825" t="str">
            <v>B</v>
          </cell>
        </row>
        <row r="2826">
          <cell r="B2826" t="str">
            <v>SFWZ31</v>
          </cell>
          <cell r="C2826" t="str">
            <v>LVCB4L4D6MM003977</v>
          </cell>
          <cell r="D2826" t="str">
            <v>M221110536</v>
          </cell>
          <cell r="E2826" t="str">
            <v>FOTON</v>
          </cell>
          <cell r="F2826" t="str">
            <v>EBUS U12 SC</v>
          </cell>
          <cell r="G2826" t="str">
            <v>FOTON</v>
          </cell>
          <cell r="H2826" t="str">
            <v>EBUS U12 SC</v>
          </cell>
          <cell r="I2826">
            <v>2022</v>
          </cell>
          <cell r="J2826" t="str">
            <v>B</v>
          </cell>
          <cell r="K2826" t="str">
            <v>Recoleta</v>
          </cell>
          <cell r="N2826" t="str">
            <v>B</v>
          </cell>
        </row>
        <row r="2827">
          <cell r="B2827" t="str">
            <v>SFWZ32</v>
          </cell>
          <cell r="C2827" t="str">
            <v>LVCB4L4DXMM003979</v>
          </cell>
          <cell r="D2827" t="str">
            <v>M221110535</v>
          </cell>
          <cell r="E2827" t="str">
            <v>FOTON</v>
          </cell>
          <cell r="F2827" t="str">
            <v>EBUS U12 SC</v>
          </cell>
          <cell r="G2827" t="str">
            <v>FOTON</v>
          </cell>
          <cell r="H2827" t="str">
            <v>EBUS U12 SC</v>
          </cell>
          <cell r="I2827">
            <v>2022</v>
          </cell>
          <cell r="J2827" t="str">
            <v>B</v>
          </cell>
          <cell r="K2827" t="str">
            <v>Santa Rosa</v>
          </cell>
          <cell r="N2827" t="str">
            <v>B</v>
          </cell>
        </row>
        <row r="2828">
          <cell r="B2828" t="str">
            <v>SFWZ33</v>
          </cell>
          <cell r="C2828" t="str">
            <v>LVCB4L4D8MM003981</v>
          </cell>
          <cell r="D2828" t="str">
            <v>M221100514</v>
          </cell>
          <cell r="E2828" t="str">
            <v>FOTON</v>
          </cell>
          <cell r="F2828" t="str">
            <v>EBUS U12 SC</v>
          </cell>
          <cell r="G2828" t="str">
            <v>FOTON</v>
          </cell>
          <cell r="H2828" t="str">
            <v>EBUS U12 SC</v>
          </cell>
          <cell r="I2828">
            <v>2022</v>
          </cell>
          <cell r="J2828" t="str">
            <v>B</v>
          </cell>
          <cell r="K2828" t="str">
            <v>Recoleta</v>
          </cell>
          <cell r="N2828" t="str">
            <v>B</v>
          </cell>
        </row>
        <row r="2829">
          <cell r="B2829" t="str">
            <v>SFWZ34</v>
          </cell>
          <cell r="C2829" t="str">
            <v>LVCB4L4DXMM003982</v>
          </cell>
          <cell r="D2829" t="str">
            <v>M221110115</v>
          </cell>
          <cell r="E2829" t="str">
            <v>FOTON</v>
          </cell>
          <cell r="F2829" t="str">
            <v>EBUS U12 SC</v>
          </cell>
          <cell r="G2829" t="str">
            <v>FOTON</v>
          </cell>
          <cell r="H2829" t="str">
            <v>EBUS U12 SC</v>
          </cell>
          <cell r="I2829">
            <v>2022</v>
          </cell>
          <cell r="J2829" t="str">
            <v>B</v>
          </cell>
          <cell r="K2829" t="str">
            <v>Santa Rosa</v>
          </cell>
          <cell r="N2829" t="str">
            <v>B</v>
          </cell>
        </row>
        <row r="2830">
          <cell r="B2830" t="str">
            <v>SFWZ36</v>
          </cell>
          <cell r="C2830" t="str">
            <v>LVCB4L4D5MM003985</v>
          </cell>
          <cell r="D2830" t="str">
            <v>M221100525</v>
          </cell>
          <cell r="E2830" t="str">
            <v>FOTON</v>
          </cell>
          <cell r="F2830" t="str">
            <v>EBUS U12 SC</v>
          </cell>
          <cell r="G2830" t="str">
            <v>FOTON</v>
          </cell>
          <cell r="H2830" t="str">
            <v>EBUS U12 SC</v>
          </cell>
          <cell r="I2830">
            <v>2022</v>
          </cell>
          <cell r="J2830" t="str">
            <v>B</v>
          </cell>
          <cell r="K2830" t="str">
            <v>Santa Rosa</v>
          </cell>
          <cell r="N2830" t="str">
            <v>B</v>
          </cell>
        </row>
        <row r="2831">
          <cell r="B2831" t="str">
            <v>SFWZ37</v>
          </cell>
          <cell r="C2831" t="str">
            <v>LVCB4L4D8NM002640</v>
          </cell>
          <cell r="D2831" t="str">
            <v>M221100490</v>
          </cell>
          <cell r="E2831" t="str">
            <v>FOTON</v>
          </cell>
          <cell r="F2831" t="str">
            <v>EBUS U12 SC</v>
          </cell>
          <cell r="G2831" t="str">
            <v>FOTON</v>
          </cell>
          <cell r="H2831" t="str">
            <v>EBUS U12 SC</v>
          </cell>
          <cell r="I2831">
            <v>2022</v>
          </cell>
          <cell r="J2831" t="str">
            <v>B</v>
          </cell>
          <cell r="K2831" t="str">
            <v>Recoleta</v>
          </cell>
          <cell r="N2831" t="str">
            <v>B</v>
          </cell>
        </row>
        <row r="2832">
          <cell r="B2832" t="str">
            <v>SFWZ38</v>
          </cell>
          <cell r="C2832" t="str">
            <v>LVCB4L4D7MM003986</v>
          </cell>
          <cell r="D2832" t="str">
            <v>M221120002</v>
          </cell>
          <cell r="E2832" t="str">
            <v>FOTON</v>
          </cell>
          <cell r="F2832" t="str">
            <v>EBUS U12 SC</v>
          </cell>
          <cell r="G2832" t="str">
            <v>FOTON</v>
          </cell>
          <cell r="H2832" t="str">
            <v>EBUS U12 SC</v>
          </cell>
          <cell r="I2832">
            <v>2022</v>
          </cell>
          <cell r="J2832" t="str">
            <v>B</v>
          </cell>
          <cell r="K2832" t="str">
            <v>Santa Rosa</v>
          </cell>
          <cell r="N2832" t="str">
            <v>B</v>
          </cell>
        </row>
        <row r="2833">
          <cell r="B2833" t="str">
            <v>SFWZ39</v>
          </cell>
          <cell r="C2833" t="str">
            <v>LVCB4L4D9MM003987</v>
          </cell>
          <cell r="D2833" t="str">
            <v>M221110655</v>
          </cell>
          <cell r="E2833" t="str">
            <v>FOTON</v>
          </cell>
          <cell r="F2833" t="str">
            <v>EBUS U12 SC</v>
          </cell>
          <cell r="G2833" t="str">
            <v>FOTON</v>
          </cell>
          <cell r="H2833" t="str">
            <v>EBUS U12 SC</v>
          </cell>
          <cell r="I2833">
            <v>2022</v>
          </cell>
          <cell r="J2833" t="str">
            <v>B</v>
          </cell>
          <cell r="K2833" t="str">
            <v>Recoleta</v>
          </cell>
          <cell r="N2833" t="str">
            <v>B</v>
          </cell>
        </row>
        <row r="2834">
          <cell r="B2834" t="str">
            <v>SFWZ40</v>
          </cell>
          <cell r="C2834" t="str">
            <v>LVCB4L4D7NM002631</v>
          </cell>
          <cell r="D2834" t="str">
            <v>M221110657</v>
          </cell>
          <cell r="E2834" t="str">
            <v>FOTON</v>
          </cell>
          <cell r="F2834" t="str">
            <v>EBUS U12 SC</v>
          </cell>
          <cell r="G2834" t="str">
            <v>FOTON</v>
          </cell>
          <cell r="H2834" t="str">
            <v>EBUS U12 SC</v>
          </cell>
          <cell r="I2834">
            <v>2022</v>
          </cell>
          <cell r="J2834" t="str">
            <v>B</v>
          </cell>
          <cell r="K2834" t="str">
            <v>Santa Rosa</v>
          </cell>
          <cell r="N2834" t="str">
            <v>B</v>
          </cell>
        </row>
        <row r="2835">
          <cell r="B2835" t="str">
            <v>SFWZ42</v>
          </cell>
          <cell r="C2835" t="str">
            <v>LVCB4L4D9NM002632</v>
          </cell>
          <cell r="D2835" t="str">
            <v>M221100550</v>
          </cell>
          <cell r="E2835" t="str">
            <v>FOTON</v>
          </cell>
          <cell r="F2835" t="str">
            <v>EBUS U12 SC</v>
          </cell>
          <cell r="G2835" t="str">
            <v>FOTON</v>
          </cell>
          <cell r="H2835" t="str">
            <v>EBUS U12 SC</v>
          </cell>
          <cell r="I2835">
            <v>2022</v>
          </cell>
          <cell r="J2835" t="str">
            <v>B</v>
          </cell>
          <cell r="K2835" t="str">
            <v>Recoleta</v>
          </cell>
          <cell r="N2835" t="str">
            <v>B</v>
          </cell>
        </row>
        <row r="2836">
          <cell r="B2836" t="str">
            <v>SFWZ45</v>
          </cell>
          <cell r="C2836" t="str">
            <v>LVCB4L4D0NM002633</v>
          </cell>
          <cell r="D2836" t="str">
            <v>M221110538</v>
          </cell>
          <cell r="E2836" t="str">
            <v>FOTON</v>
          </cell>
          <cell r="F2836" t="str">
            <v>EBUS U12 SC</v>
          </cell>
          <cell r="G2836" t="str">
            <v>FOTON</v>
          </cell>
          <cell r="H2836" t="str">
            <v>EBUS U12 SC</v>
          </cell>
          <cell r="I2836">
            <v>2022</v>
          </cell>
          <cell r="J2836" t="str">
            <v>B</v>
          </cell>
          <cell r="K2836" t="str">
            <v>Santa Rosa</v>
          </cell>
          <cell r="N2836" t="str">
            <v>B</v>
          </cell>
        </row>
        <row r="2837">
          <cell r="B2837" t="str">
            <v>SFWZ48</v>
          </cell>
          <cell r="C2837" t="str">
            <v>LVCB4L4D4NM002635</v>
          </cell>
          <cell r="D2837" t="str">
            <v>M221110653</v>
          </cell>
          <cell r="E2837" t="str">
            <v>FOTON</v>
          </cell>
          <cell r="F2837" t="str">
            <v>EBUS U12 SC</v>
          </cell>
          <cell r="G2837" t="str">
            <v>FOTON</v>
          </cell>
          <cell r="H2837" t="str">
            <v>EBUS U12 SC</v>
          </cell>
          <cell r="I2837">
            <v>2022</v>
          </cell>
          <cell r="J2837" t="str">
            <v>B</v>
          </cell>
          <cell r="K2837" t="str">
            <v>Recoleta</v>
          </cell>
          <cell r="N2837" t="str">
            <v>B</v>
          </cell>
        </row>
        <row r="2838">
          <cell r="B2838" t="str">
            <v>SFWZ49</v>
          </cell>
          <cell r="C2838" t="str">
            <v>LVCB4L4D6NM002636</v>
          </cell>
          <cell r="D2838" t="str">
            <v>M221110109</v>
          </cell>
          <cell r="E2838" t="str">
            <v>FOTON</v>
          </cell>
          <cell r="F2838" t="str">
            <v>EBUS U12 SC</v>
          </cell>
          <cell r="G2838" t="str">
            <v>FOTON</v>
          </cell>
          <cell r="H2838" t="str">
            <v>EBUS U12 SC</v>
          </cell>
          <cell r="I2838">
            <v>2022</v>
          </cell>
          <cell r="J2838" t="str">
            <v>B</v>
          </cell>
          <cell r="K2838" t="str">
            <v>Recoleta</v>
          </cell>
          <cell r="N2838" t="str">
            <v>B</v>
          </cell>
        </row>
        <row r="2839">
          <cell r="B2839" t="str">
            <v>SFWZ50</v>
          </cell>
          <cell r="C2839" t="str">
            <v>LVCB4L4D8NM002637</v>
          </cell>
          <cell r="D2839" t="str">
            <v>M221100545</v>
          </cell>
          <cell r="E2839" t="str">
            <v>FOTON</v>
          </cell>
          <cell r="F2839" t="str">
            <v>EBUS U12 SC</v>
          </cell>
          <cell r="G2839" t="str">
            <v>FOTON</v>
          </cell>
          <cell r="H2839" t="str">
            <v>EBUS U12 SC</v>
          </cell>
          <cell r="I2839">
            <v>2022</v>
          </cell>
          <cell r="J2839" t="str">
            <v>B</v>
          </cell>
          <cell r="K2839" t="str">
            <v>Recoleta</v>
          </cell>
          <cell r="N2839" t="str">
            <v>B</v>
          </cell>
        </row>
        <row r="2840">
          <cell r="B2840" t="str">
            <v>SFWZ52</v>
          </cell>
          <cell r="C2840" t="str">
            <v>LVCB4L4DXNM002638</v>
          </cell>
          <cell r="D2840" t="str">
            <v>M221110095</v>
          </cell>
          <cell r="E2840" t="str">
            <v>FOTON</v>
          </cell>
          <cell r="F2840" t="str">
            <v>EBUS U12 SC</v>
          </cell>
          <cell r="G2840" t="str">
            <v>FOTON</v>
          </cell>
          <cell r="H2840" t="str">
            <v>EBUS U12 SC</v>
          </cell>
          <cell r="I2840">
            <v>2022</v>
          </cell>
          <cell r="J2840" t="str">
            <v>B</v>
          </cell>
          <cell r="K2840" t="str">
            <v>Recoleta</v>
          </cell>
          <cell r="N2840" t="str">
            <v>B</v>
          </cell>
        </row>
        <row r="2841">
          <cell r="B2841" t="str">
            <v>SFWZ53</v>
          </cell>
          <cell r="C2841" t="str">
            <v>LVCB4L4D1NM002639</v>
          </cell>
          <cell r="D2841" t="str">
            <v>M221110580</v>
          </cell>
          <cell r="E2841" t="str">
            <v>FOTON</v>
          </cell>
          <cell r="F2841" t="str">
            <v>EBUS U12 SC</v>
          </cell>
          <cell r="G2841" t="str">
            <v>FOTON</v>
          </cell>
          <cell r="H2841" t="str">
            <v>EBUS U12 SC</v>
          </cell>
          <cell r="I2841">
            <v>2022</v>
          </cell>
          <cell r="J2841" t="str">
            <v>B</v>
          </cell>
          <cell r="K2841" t="str">
            <v>Recoleta</v>
          </cell>
          <cell r="N2841" t="str">
            <v>B</v>
          </cell>
        </row>
        <row r="2842">
          <cell r="B2842" t="str">
            <v>SFWZ54</v>
          </cell>
          <cell r="C2842" t="str">
            <v>LVCB4L4DXNM002641</v>
          </cell>
          <cell r="D2842" t="str">
            <v>M221100298</v>
          </cell>
          <cell r="E2842" t="str">
            <v>FOTON</v>
          </cell>
          <cell r="F2842" t="str">
            <v>EBUS U12 SC</v>
          </cell>
          <cell r="G2842" t="str">
            <v>FOTON</v>
          </cell>
          <cell r="H2842" t="str">
            <v>EBUS U12 SC</v>
          </cell>
          <cell r="I2842">
            <v>2022</v>
          </cell>
          <cell r="J2842" t="str">
            <v>B</v>
          </cell>
          <cell r="K2842" t="str">
            <v>Recoleta</v>
          </cell>
          <cell r="N2842" t="str">
            <v>B</v>
          </cell>
        </row>
        <row r="2843">
          <cell r="B2843" t="str">
            <v>SFWZ55</v>
          </cell>
          <cell r="C2843" t="str">
            <v>LVCB4L4D1NM002642</v>
          </cell>
          <cell r="D2843" t="str">
            <v>M221100436</v>
          </cell>
          <cell r="E2843" t="str">
            <v>FOTON</v>
          </cell>
          <cell r="F2843" t="str">
            <v>EBUS U12 SC</v>
          </cell>
          <cell r="G2843" t="str">
            <v>FOTON</v>
          </cell>
          <cell r="H2843" t="str">
            <v>EBUS U12 SC</v>
          </cell>
          <cell r="I2843">
            <v>2022</v>
          </cell>
          <cell r="J2843" t="str">
            <v>B</v>
          </cell>
          <cell r="K2843" t="str">
            <v>Recoleta</v>
          </cell>
          <cell r="N2843" t="str">
            <v>B</v>
          </cell>
        </row>
        <row r="2844">
          <cell r="B2844" t="str">
            <v>SFWZ56</v>
          </cell>
          <cell r="C2844" t="str">
            <v>LVCB4L4D3NM002643</v>
          </cell>
          <cell r="D2844" t="str">
            <v>M221100488</v>
          </cell>
          <cell r="E2844" t="str">
            <v>FOTON</v>
          </cell>
          <cell r="F2844" t="str">
            <v>EBUS U12 SC</v>
          </cell>
          <cell r="G2844" t="str">
            <v>FOTON</v>
          </cell>
          <cell r="H2844" t="str">
            <v>EBUS U12 SC</v>
          </cell>
          <cell r="I2844">
            <v>2022</v>
          </cell>
          <cell r="J2844" t="str">
            <v>B</v>
          </cell>
          <cell r="K2844" t="str">
            <v>Recoleta</v>
          </cell>
          <cell r="N2844" t="str">
            <v>B</v>
          </cell>
        </row>
        <row r="2845">
          <cell r="B2845" t="str">
            <v>SFWZ58</v>
          </cell>
          <cell r="C2845" t="str">
            <v>LVCB4L4D7NM002645</v>
          </cell>
          <cell r="D2845" t="str">
            <v>M221100401</v>
          </cell>
          <cell r="E2845" t="str">
            <v>FOTON</v>
          </cell>
          <cell r="F2845" t="str">
            <v>EBUS U12 SC</v>
          </cell>
          <cell r="G2845" t="str">
            <v>FOTON</v>
          </cell>
          <cell r="H2845" t="str">
            <v>EBUS U12 SC</v>
          </cell>
          <cell r="I2845">
            <v>2022</v>
          </cell>
          <cell r="J2845" t="str">
            <v>B</v>
          </cell>
          <cell r="K2845" t="str">
            <v>Santa Rosa</v>
          </cell>
          <cell r="N2845" t="str">
            <v>B</v>
          </cell>
        </row>
        <row r="2846">
          <cell r="B2846" t="str">
            <v>SFWZ59</v>
          </cell>
          <cell r="C2846" t="str">
            <v>LVCB4L4D9NM002646</v>
          </cell>
          <cell r="D2846" t="str">
            <v>M221110103</v>
          </cell>
          <cell r="E2846" t="str">
            <v>FOTON</v>
          </cell>
          <cell r="F2846" t="str">
            <v>EBUS U12 SC</v>
          </cell>
          <cell r="G2846" t="str">
            <v>FOTON</v>
          </cell>
          <cell r="H2846" t="str">
            <v>EBUS U12 SC</v>
          </cell>
          <cell r="I2846">
            <v>2022</v>
          </cell>
          <cell r="J2846" t="str">
            <v>B</v>
          </cell>
          <cell r="K2846" t="str">
            <v>Recoleta</v>
          </cell>
          <cell r="N2846" t="str">
            <v>B</v>
          </cell>
        </row>
        <row r="2847">
          <cell r="B2847" t="str">
            <v>SFWZ61</v>
          </cell>
          <cell r="C2847" t="str">
            <v>LVCB4L4D0NM002647</v>
          </cell>
          <cell r="D2847" t="str">
            <v>M221100524</v>
          </cell>
          <cell r="E2847" t="str">
            <v>FOTON</v>
          </cell>
          <cell r="F2847" t="str">
            <v>EBUS U12 SC</v>
          </cell>
          <cell r="G2847" t="str">
            <v>FOTON</v>
          </cell>
          <cell r="H2847" t="str">
            <v>EBUS U12 SC</v>
          </cell>
          <cell r="I2847">
            <v>2022</v>
          </cell>
          <cell r="J2847" t="str">
            <v>B</v>
          </cell>
          <cell r="K2847" t="str">
            <v>Recoleta</v>
          </cell>
          <cell r="N2847" t="str">
            <v>B</v>
          </cell>
        </row>
        <row r="2848">
          <cell r="B2848" t="str">
            <v>SFWZ62</v>
          </cell>
          <cell r="C2848" t="str">
            <v>LVCB4L4D2NM002648</v>
          </cell>
          <cell r="D2848" t="str">
            <v>M221100442</v>
          </cell>
          <cell r="E2848" t="str">
            <v>FOTON</v>
          </cell>
          <cell r="F2848" t="str">
            <v>EBUS U12 SC</v>
          </cell>
          <cell r="G2848" t="str">
            <v>FOTON</v>
          </cell>
          <cell r="H2848" t="str">
            <v>EBUS U12 SC</v>
          </cell>
          <cell r="I2848">
            <v>2022</v>
          </cell>
          <cell r="J2848" t="str">
            <v>B</v>
          </cell>
          <cell r="K2848" t="str">
            <v>Recoleta</v>
          </cell>
          <cell r="N2848" t="str">
            <v>B</v>
          </cell>
        </row>
        <row r="2849">
          <cell r="B2849" t="str">
            <v>SFWZ63</v>
          </cell>
          <cell r="C2849" t="str">
            <v>LVCB4L4D4NM002649</v>
          </cell>
          <cell r="D2849" t="str">
            <v>M221100412</v>
          </cell>
          <cell r="E2849" t="str">
            <v>FOTON</v>
          </cell>
          <cell r="F2849" t="str">
            <v>EBUS U12 SC</v>
          </cell>
          <cell r="G2849" t="str">
            <v>FOTON</v>
          </cell>
          <cell r="H2849" t="str">
            <v>EBUS U12 SC</v>
          </cell>
          <cell r="I2849">
            <v>2022</v>
          </cell>
          <cell r="J2849" t="str">
            <v>B</v>
          </cell>
          <cell r="K2849" t="str">
            <v>Santa Rosa</v>
          </cell>
          <cell r="N2849" t="str">
            <v>B</v>
          </cell>
        </row>
        <row r="2850">
          <cell r="B2850" t="str">
            <v>SFWZ64</v>
          </cell>
          <cell r="C2850" t="str">
            <v>LVCB4L4D0NM002650</v>
          </cell>
          <cell r="D2850" t="str">
            <v>M221110537</v>
          </cell>
          <cell r="E2850" t="str">
            <v>FOTON</v>
          </cell>
          <cell r="F2850" t="str">
            <v>EBUS U12 SC</v>
          </cell>
          <cell r="G2850" t="str">
            <v>FOTON</v>
          </cell>
          <cell r="H2850" t="str">
            <v>EBUS U12 SC</v>
          </cell>
          <cell r="I2850">
            <v>2022</v>
          </cell>
          <cell r="J2850" t="str">
            <v>B</v>
          </cell>
          <cell r="K2850" t="str">
            <v>Recoleta</v>
          </cell>
          <cell r="N2850" t="str">
            <v>B</v>
          </cell>
        </row>
        <row r="2851">
          <cell r="B2851" t="str">
            <v>SFWZ65</v>
          </cell>
          <cell r="C2851" t="str">
            <v>LVCB4L4D2NM002651</v>
          </cell>
          <cell r="D2851" t="str">
            <v>M221100486</v>
          </cell>
          <cell r="E2851" t="str">
            <v>FOTON</v>
          </cell>
          <cell r="F2851" t="str">
            <v>EBUS U12 SC</v>
          </cell>
          <cell r="G2851" t="str">
            <v>FOTON</v>
          </cell>
          <cell r="H2851" t="str">
            <v>EBUS U12 SC</v>
          </cell>
          <cell r="I2851">
            <v>2022</v>
          </cell>
          <cell r="J2851" t="str">
            <v>B</v>
          </cell>
          <cell r="K2851" t="str">
            <v>Recoleta</v>
          </cell>
          <cell r="N2851" t="str">
            <v>B</v>
          </cell>
        </row>
        <row r="2852">
          <cell r="B2852" t="str">
            <v>SFWZ66</v>
          </cell>
          <cell r="C2852" t="str">
            <v>LVCB4L4D4NM002652</v>
          </cell>
          <cell r="D2852" t="str">
            <v>M221110530</v>
          </cell>
          <cell r="E2852" t="str">
            <v>FOTON</v>
          </cell>
          <cell r="F2852" t="str">
            <v>EBUS U12 SC</v>
          </cell>
          <cell r="G2852" t="str">
            <v>FOTON</v>
          </cell>
          <cell r="H2852" t="str">
            <v>EBUS U12 SC</v>
          </cell>
          <cell r="I2852">
            <v>2022</v>
          </cell>
          <cell r="J2852" t="str">
            <v>B</v>
          </cell>
          <cell r="K2852" t="str">
            <v>Recoleta</v>
          </cell>
          <cell r="N2852" t="str">
            <v>B</v>
          </cell>
        </row>
        <row r="2853">
          <cell r="B2853" t="str">
            <v>SFWZ67</v>
          </cell>
          <cell r="C2853" t="str">
            <v>LVCB4L4D6NM002653</v>
          </cell>
          <cell r="D2853" t="str">
            <v>M221100474</v>
          </cell>
          <cell r="E2853" t="str">
            <v>FOTON</v>
          </cell>
          <cell r="F2853" t="str">
            <v>EBUS U12 SC</v>
          </cell>
          <cell r="G2853" t="str">
            <v>FOTON</v>
          </cell>
          <cell r="H2853" t="str">
            <v>EBUS U12 SC</v>
          </cell>
          <cell r="I2853">
            <v>2022</v>
          </cell>
          <cell r="J2853" t="str">
            <v>B</v>
          </cell>
          <cell r="K2853" t="str">
            <v>Santa Rosa</v>
          </cell>
          <cell r="N2853" t="str">
            <v>B</v>
          </cell>
        </row>
        <row r="2854">
          <cell r="B2854" t="str">
            <v>SFWZ68</v>
          </cell>
          <cell r="C2854" t="str">
            <v>LVCB4L4DXNM002655</v>
          </cell>
          <cell r="D2854" t="str">
            <v>M221100411</v>
          </cell>
          <cell r="E2854" t="str">
            <v>FOTON</v>
          </cell>
          <cell r="F2854" t="str">
            <v>EBUS U12 SC</v>
          </cell>
          <cell r="G2854" t="str">
            <v>FOTON</v>
          </cell>
          <cell r="H2854" t="str">
            <v>EBUS U12 SC</v>
          </cell>
          <cell r="I2854">
            <v>2022</v>
          </cell>
          <cell r="J2854" t="str">
            <v>B</v>
          </cell>
          <cell r="K2854" t="str">
            <v>Santa Rosa</v>
          </cell>
          <cell r="N2854" t="str">
            <v>B</v>
          </cell>
        </row>
        <row r="2855">
          <cell r="B2855" t="str">
            <v>SFWZ69</v>
          </cell>
          <cell r="C2855" t="str">
            <v>LVCB4L4D1NM002656</v>
          </cell>
          <cell r="D2855" t="str">
            <v>M221100301</v>
          </cell>
          <cell r="E2855" t="str">
            <v>FOTON</v>
          </cell>
          <cell r="F2855" t="str">
            <v>EBUS U12 SC</v>
          </cell>
          <cell r="G2855" t="str">
            <v>FOTON</v>
          </cell>
          <cell r="H2855" t="str">
            <v>EBUS U12 SC</v>
          </cell>
          <cell r="I2855">
            <v>2022</v>
          </cell>
          <cell r="J2855" t="str">
            <v>B</v>
          </cell>
          <cell r="K2855" t="str">
            <v>Recoleta</v>
          </cell>
          <cell r="N2855" t="str">
            <v>B</v>
          </cell>
        </row>
        <row r="2856">
          <cell r="B2856" t="str">
            <v>SFWZ70</v>
          </cell>
          <cell r="C2856" t="str">
            <v>LVCB4L4D3NM002657</v>
          </cell>
          <cell r="D2856" t="str">
            <v>M221110532</v>
          </cell>
          <cell r="E2856" t="str">
            <v>FOTON</v>
          </cell>
          <cell r="F2856" t="str">
            <v>EBUS U12 SC</v>
          </cell>
          <cell r="G2856" t="str">
            <v>FOTON</v>
          </cell>
          <cell r="H2856" t="str">
            <v>EBUS U12 SC</v>
          </cell>
          <cell r="I2856">
            <v>2022</v>
          </cell>
          <cell r="J2856" t="str">
            <v>B</v>
          </cell>
          <cell r="K2856" t="str">
            <v>Santa Rosa</v>
          </cell>
          <cell r="N2856" t="str">
            <v>B</v>
          </cell>
        </row>
        <row r="2857">
          <cell r="B2857" t="str">
            <v>SFWZ73</v>
          </cell>
          <cell r="C2857" t="str">
            <v>LVCB4L4D5NM002658</v>
          </cell>
          <cell r="D2857" t="str">
            <v>M221100527</v>
          </cell>
          <cell r="E2857" t="str">
            <v>FOTON</v>
          </cell>
          <cell r="F2857" t="str">
            <v>EBUS U12 SC</v>
          </cell>
          <cell r="G2857" t="str">
            <v>FOTON</v>
          </cell>
          <cell r="H2857" t="str">
            <v>EBUS U12 SC</v>
          </cell>
          <cell r="I2857">
            <v>2022</v>
          </cell>
          <cell r="J2857" t="str">
            <v>B</v>
          </cell>
          <cell r="K2857" t="str">
            <v>Recoleta</v>
          </cell>
          <cell r="N2857" t="str">
            <v>B</v>
          </cell>
        </row>
        <row r="2858">
          <cell r="B2858" t="str">
            <v>SFWZ74</v>
          </cell>
          <cell r="C2858" t="str">
            <v>LVCB4L4D7NM002659</v>
          </cell>
          <cell r="D2858" t="str">
            <v>M221100403</v>
          </cell>
          <cell r="E2858" t="str">
            <v>FOTON</v>
          </cell>
          <cell r="F2858" t="str">
            <v>EBUS U12 SC</v>
          </cell>
          <cell r="G2858" t="str">
            <v>FOTON</v>
          </cell>
          <cell r="H2858" t="str">
            <v>EBUS U12 SC</v>
          </cell>
          <cell r="I2858">
            <v>2022</v>
          </cell>
          <cell r="J2858" t="str">
            <v>B</v>
          </cell>
          <cell r="K2858" t="str">
            <v>Santa Rosa</v>
          </cell>
          <cell r="N2858" t="str">
            <v>B</v>
          </cell>
        </row>
        <row r="2859">
          <cell r="B2859" t="str">
            <v>SFWZ75</v>
          </cell>
          <cell r="C2859" t="str">
            <v>LVCB4L4D3NM002660</v>
          </cell>
          <cell r="D2859" t="str">
            <v>M221100542</v>
          </cell>
          <cell r="E2859" t="str">
            <v>FOTON</v>
          </cell>
          <cell r="F2859" t="str">
            <v>EBUS U12 SC</v>
          </cell>
          <cell r="G2859" t="str">
            <v>FOTON</v>
          </cell>
          <cell r="H2859" t="str">
            <v>EBUS U12 SC</v>
          </cell>
          <cell r="I2859">
            <v>2022</v>
          </cell>
          <cell r="J2859" t="str">
            <v>B</v>
          </cell>
          <cell r="K2859" t="str">
            <v>Santa Rosa</v>
          </cell>
          <cell r="N2859" t="str">
            <v>B</v>
          </cell>
        </row>
        <row r="2860">
          <cell r="B2860" t="str">
            <v>SFWZ76</v>
          </cell>
          <cell r="C2860" t="str">
            <v>LVCB4L4D5NM002661</v>
          </cell>
          <cell r="D2860" t="str">
            <v>M221110527</v>
          </cell>
          <cell r="E2860" t="str">
            <v>FOTON</v>
          </cell>
          <cell r="F2860" t="str">
            <v>EBUS U12 SC</v>
          </cell>
          <cell r="G2860" t="str">
            <v>FOTON</v>
          </cell>
          <cell r="H2860" t="str">
            <v>EBUS U12 SC</v>
          </cell>
          <cell r="I2860">
            <v>2022</v>
          </cell>
          <cell r="J2860" t="str">
            <v>B</v>
          </cell>
          <cell r="K2860" t="str">
            <v>Santa Rosa</v>
          </cell>
          <cell r="N2860" t="str">
            <v>B</v>
          </cell>
        </row>
        <row r="2861">
          <cell r="B2861" t="str">
            <v>SFWZ77</v>
          </cell>
          <cell r="C2861" t="str">
            <v>LVCB4L4D7NM002662</v>
          </cell>
          <cell r="D2861" t="str">
            <v>M221100402</v>
          </cell>
          <cell r="E2861" t="str">
            <v>FOTON</v>
          </cell>
          <cell r="F2861" t="str">
            <v>EBUS U12 SC</v>
          </cell>
          <cell r="G2861" t="str">
            <v>FOTON</v>
          </cell>
          <cell r="H2861" t="str">
            <v>EBUS U12 SC</v>
          </cell>
          <cell r="I2861">
            <v>2022</v>
          </cell>
          <cell r="J2861" t="str">
            <v>B</v>
          </cell>
          <cell r="K2861" t="str">
            <v>Santa Rosa</v>
          </cell>
          <cell r="N2861" t="str">
            <v>B</v>
          </cell>
        </row>
        <row r="2862">
          <cell r="B2862" t="str">
            <v>SFWZ78</v>
          </cell>
          <cell r="C2862" t="str">
            <v>LVCB4L4D9NM002663</v>
          </cell>
          <cell r="D2862" t="str">
            <v>M221110019</v>
          </cell>
          <cell r="E2862" t="str">
            <v>FOTON</v>
          </cell>
          <cell r="F2862" t="str">
            <v>EBUS U12 SC</v>
          </cell>
          <cell r="G2862" t="str">
            <v>FOTON</v>
          </cell>
          <cell r="H2862" t="str">
            <v>EBUS U12 SC</v>
          </cell>
          <cell r="I2862">
            <v>2022</v>
          </cell>
          <cell r="J2862" t="str">
            <v>B</v>
          </cell>
          <cell r="K2862" t="str">
            <v>Santa Rosa</v>
          </cell>
          <cell r="N2862" t="str">
            <v>B</v>
          </cell>
        </row>
        <row r="2863">
          <cell r="B2863" t="str">
            <v>SFWZ80</v>
          </cell>
          <cell r="C2863" t="str">
            <v>LVCB4L4D2NM002665</v>
          </cell>
          <cell r="D2863" t="str">
            <v>M221100489</v>
          </cell>
          <cell r="E2863" t="str">
            <v>FOTON</v>
          </cell>
          <cell r="F2863" t="str">
            <v>EBUS U12 SC</v>
          </cell>
          <cell r="G2863" t="str">
            <v>FOTON</v>
          </cell>
          <cell r="H2863" t="str">
            <v>EBUS U12 SC</v>
          </cell>
          <cell r="I2863">
            <v>2022</v>
          </cell>
          <cell r="J2863" t="str">
            <v>B</v>
          </cell>
          <cell r="K2863" t="str">
            <v>Recoleta</v>
          </cell>
          <cell r="N2863" t="str">
            <v>B</v>
          </cell>
        </row>
        <row r="2864">
          <cell r="B2864" t="str">
            <v>SFWZ81</v>
          </cell>
          <cell r="C2864" t="str">
            <v>LVCB4L4D4NM002666</v>
          </cell>
          <cell r="D2864" t="str">
            <v>M221110651</v>
          </cell>
          <cell r="E2864" t="str">
            <v>FOTON</v>
          </cell>
          <cell r="F2864" t="str">
            <v>EBUS U12 SC</v>
          </cell>
          <cell r="G2864" t="str">
            <v>FOTON</v>
          </cell>
          <cell r="H2864" t="str">
            <v>EBUS U12 SC</v>
          </cell>
          <cell r="I2864">
            <v>2022</v>
          </cell>
          <cell r="J2864" t="str">
            <v>B</v>
          </cell>
          <cell r="K2864" t="str">
            <v>Recoleta</v>
          </cell>
          <cell r="N2864" t="str">
            <v>B</v>
          </cell>
        </row>
        <row r="2865">
          <cell r="B2865" t="str">
            <v>SFWZ82</v>
          </cell>
          <cell r="C2865" t="str">
            <v>LVCB4L4D6NM002667</v>
          </cell>
          <cell r="D2865" t="str">
            <v>M221100405</v>
          </cell>
          <cell r="E2865" t="str">
            <v>FOTON</v>
          </cell>
          <cell r="F2865" t="str">
            <v>EBUS U12 SC</v>
          </cell>
          <cell r="G2865" t="str">
            <v>FOTON</v>
          </cell>
          <cell r="H2865" t="str">
            <v>EBUS U12 SC</v>
          </cell>
          <cell r="I2865">
            <v>2022</v>
          </cell>
          <cell r="J2865" t="str">
            <v>B</v>
          </cell>
          <cell r="K2865" t="str">
            <v>Recoleta</v>
          </cell>
          <cell r="N2865" t="str">
            <v>B</v>
          </cell>
        </row>
        <row r="2866">
          <cell r="B2866" t="str">
            <v>SFWZ83</v>
          </cell>
          <cell r="C2866" t="str">
            <v>LVCB4L4D8NM002668</v>
          </cell>
          <cell r="D2866" t="str">
            <v>M221100526</v>
          </cell>
          <cell r="E2866" t="str">
            <v>FOTON</v>
          </cell>
          <cell r="F2866" t="str">
            <v>EBUS U12 SC</v>
          </cell>
          <cell r="G2866" t="str">
            <v>FOTON</v>
          </cell>
          <cell r="H2866" t="str">
            <v>EBUS U12 SC</v>
          </cell>
          <cell r="I2866">
            <v>2022</v>
          </cell>
          <cell r="J2866" t="str">
            <v>B</v>
          </cell>
          <cell r="K2866" t="str">
            <v>Recoleta</v>
          </cell>
          <cell r="N2866" t="str">
            <v>B</v>
          </cell>
        </row>
        <row r="2867">
          <cell r="B2867" t="str">
            <v>SFWZ85</v>
          </cell>
          <cell r="C2867" t="str">
            <v>LVCB4L4DXNM002669</v>
          </cell>
          <cell r="D2867" t="str">
            <v>M221110534</v>
          </cell>
          <cell r="E2867" t="str">
            <v>FOTON</v>
          </cell>
          <cell r="F2867" t="str">
            <v>EBUS U12 SC</v>
          </cell>
          <cell r="G2867" t="str">
            <v>FOTON</v>
          </cell>
          <cell r="H2867" t="str">
            <v>EBUS U12 SC</v>
          </cell>
          <cell r="I2867">
            <v>2022</v>
          </cell>
          <cell r="J2867" t="str">
            <v>B</v>
          </cell>
          <cell r="K2867" t="str">
            <v>Santa Rosa</v>
          </cell>
          <cell r="N2867" t="str">
            <v>B</v>
          </cell>
        </row>
        <row r="2868">
          <cell r="B2868" t="str">
            <v>SXKV97</v>
          </cell>
          <cell r="C2868" t="str">
            <v>YV3T7U520RA212108</v>
          </cell>
          <cell r="D2868">
            <v>593521</v>
          </cell>
          <cell r="E2868" t="str">
            <v>VOLVO</v>
          </cell>
          <cell r="F2868" t="str">
            <v>B8RLEA</v>
          </cell>
          <cell r="G2868" t="str">
            <v>MARCOPOLO</v>
          </cell>
          <cell r="H2868" t="str">
            <v>GRAN VIALE</v>
          </cell>
          <cell r="I2868">
            <v>2023</v>
          </cell>
          <cell r="J2868" t="str">
            <v>C</v>
          </cell>
          <cell r="K2868" t="str">
            <v>Santa Rosa</v>
          </cell>
          <cell r="N2868" t="str">
            <v>C</v>
          </cell>
        </row>
        <row r="2869">
          <cell r="B2869" t="str">
            <v>SXKV98</v>
          </cell>
          <cell r="C2869" t="str">
            <v>YV3T7U522RA212112</v>
          </cell>
          <cell r="D2869">
            <v>593751</v>
          </cell>
          <cell r="E2869" t="str">
            <v>VOLVO</v>
          </cell>
          <cell r="F2869" t="str">
            <v>B8RLEA</v>
          </cell>
          <cell r="G2869" t="str">
            <v>MARCOPOLO</v>
          </cell>
          <cell r="H2869" t="str">
            <v>GRAN VIALE</v>
          </cell>
          <cell r="I2869">
            <v>2023</v>
          </cell>
          <cell r="J2869" t="str">
            <v>C</v>
          </cell>
          <cell r="K2869" t="str">
            <v>Santa Rosa</v>
          </cell>
          <cell r="N2869" t="str">
            <v>C</v>
          </cell>
        </row>
        <row r="2870">
          <cell r="B2870" t="str">
            <v>SXKV99</v>
          </cell>
          <cell r="C2870" t="str">
            <v>YV3T7U525RA212217</v>
          </cell>
          <cell r="D2870">
            <v>595002</v>
          </cell>
          <cell r="E2870" t="str">
            <v>VOLVO</v>
          </cell>
          <cell r="F2870" t="str">
            <v>B8RLEA</v>
          </cell>
          <cell r="G2870" t="str">
            <v>MARCOPOLO</v>
          </cell>
          <cell r="H2870" t="str">
            <v>GRAN VIALE</v>
          </cell>
          <cell r="I2870">
            <v>2023</v>
          </cell>
          <cell r="J2870" t="str">
            <v>C</v>
          </cell>
          <cell r="K2870" t="str">
            <v>Santa Rosa</v>
          </cell>
          <cell r="N2870" t="str">
            <v>C</v>
          </cell>
        </row>
        <row r="2871">
          <cell r="B2871" t="str">
            <v>TBZB24</v>
          </cell>
          <cell r="C2871" t="str">
            <v>YV3T7U523RA212314</v>
          </cell>
          <cell r="D2871">
            <v>598537</v>
          </cell>
          <cell r="E2871" t="str">
            <v>VOLVO</v>
          </cell>
          <cell r="F2871" t="str">
            <v>B8RLEA</v>
          </cell>
          <cell r="G2871" t="str">
            <v>MARCOPOLO</v>
          </cell>
          <cell r="H2871" t="str">
            <v>GRAN VIALE</v>
          </cell>
          <cell r="I2871">
            <v>2023</v>
          </cell>
          <cell r="J2871" t="str">
            <v>C</v>
          </cell>
          <cell r="K2871" t="str">
            <v>Santa Rosa</v>
          </cell>
          <cell r="N2871" t="str">
            <v>C</v>
          </cell>
        </row>
        <row r="2872">
          <cell r="B2872" t="str">
            <v>VLSZ25</v>
          </cell>
          <cell r="C2872" t="str">
            <v>LDYECS315S0045859</v>
          </cell>
          <cell r="D2872" t="str">
            <v>MDN35025030200</v>
          </cell>
          <cell r="E2872" t="str">
            <v>Zhong Thong</v>
          </cell>
          <cell r="F2872" t="str">
            <v>Lck6122evg</v>
          </cell>
          <cell r="G2872" t="str">
            <v>Zhong Thong</v>
          </cell>
          <cell r="H2872" t="str">
            <v>Lck6122evg</v>
          </cell>
          <cell r="I2872">
            <v>2026</v>
          </cell>
          <cell r="J2872" t="str">
            <v>B</v>
          </cell>
          <cell r="K2872" t="str">
            <v>Las Acacias</v>
          </cell>
          <cell r="N2872" t="str">
            <v>B</v>
          </cell>
        </row>
        <row r="2873">
          <cell r="B2873" t="str">
            <v>VLSZ26</v>
          </cell>
          <cell r="C2873" t="str">
            <v>LDYECS313S0045858</v>
          </cell>
          <cell r="D2873" t="str">
            <v>MDN35025030201</v>
          </cell>
          <cell r="E2873" t="str">
            <v>Zhong Thong</v>
          </cell>
          <cell r="F2873" t="str">
            <v>Lck6122evg</v>
          </cell>
          <cell r="G2873" t="str">
            <v>Zhong Thong</v>
          </cell>
          <cell r="H2873" t="str">
            <v>Lck6122evg</v>
          </cell>
          <cell r="I2873">
            <v>2026</v>
          </cell>
          <cell r="J2873" t="str">
            <v>B</v>
          </cell>
          <cell r="K2873" t="str">
            <v>Las Acacias</v>
          </cell>
          <cell r="N2873" t="str">
            <v>B</v>
          </cell>
        </row>
        <row r="2874">
          <cell r="B2874" t="str">
            <v>VLSZ46</v>
          </cell>
          <cell r="C2874" t="str">
            <v>LDYECS313S0045777</v>
          </cell>
          <cell r="D2874" t="str">
            <v>MDN35025030141</v>
          </cell>
          <cell r="E2874" t="str">
            <v>Zhong Thong</v>
          </cell>
          <cell r="F2874" t="str">
            <v>Lck6122evg</v>
          </cell>
          <cell r="G2874" t="str">
            <v>Zhong Thong</v>
          </cell>
          <cell r="H2874" t="str">
            <v>Lck6122evg</v>
          </cell>
          <cell r="I2874">
            <v>2026</v>
          </cell>
          <cell r="J2874" t="str">
            <v>B</v>
          </cell>
          <cell r="K2874" t="str">
            <v>Las Acacias</v>
          </cell>
          <cell r="N2874" t="str">
            <v>B</v>
          </cell>
        </row>
        <row r="2875">
          <cell r="B2875" t="str">
            <v>VLSZ52</v>
          </cell>
          <cell r="C2875" t="str">
            <v>LDYECS314S0045772</v>
          </cell>
          <cell r="D2875" t="str">
            <v>MDN35025030143</v>
          </cell>
          <cell r="E2875" t="str">
            <v>Zhong Thong</v>
          </cell>
          <cell r="F2875" t="str">
            <v>Lck6122evg</v>
          </cell>
          <cell r="G2875" t="str">
            <v>Zhong Thong</v>
          </cell>
          <cell r="H2875" t="str">
            <v>Lck6122evg</v>
          </cell>
          <cell r="I2875">
            <v>2026</v>
          </cell>
          <cell r="J2875" t="str">
            <v>B</v>
          </cell>
          <cell r="K2875" t="str">
            <v>Las Acacias</v>
          </cell>
          <cell r="N2875" t="str">
            <v>B</v>
          </cell>
        </row>
        <row r="2876">
          <cell r="B2876" t="str">
            <v>VLSZ54</v>
          </cell>
          <cell r="C2876" t="str">
            <v>LDYECS318S0045869</v>
          </cell>
          <cell r="D2876" t="str">
            <v>MDN35025030203</v>
          </cell>
          <cell r="E2876" t="str">
            <v>Zhong Thong</v>
          </cell>
          <cell r="F2876" t="str">
            <v>Lck6122evg</v>
          </cell>
          <cell r="G2876" t="str">
            <v>Zhong Thong</v>
          </cell>
          <cell r="H2876" t="str">
            <v>Lck6122evg</v>
          </cell>
          <cell r="I2876">
            <v>2026</v>
          </cell>
          <cell r="J2876" t="str">
            <v>B</v>
          </cell>
          <cell r="K2876" t="str">
            <v>Las Acacias</v>
          </cell>
          <cell r="N2876" t="str">
            <v>B</v>
          </cell>
        </row>
        <row r="2877">
          <cell r="B2877" t="str">
            <v>VLSZ65</v>
          </cell>
          <cell r="C2877" t="str">
            <v>LDYECS311S0045860</v>
          </cell>
          <cell r="D2877" t="str">
            <v>MDN35025030275</v>
          </cell>
          <cell r="E2877" t="str">
            <v>Zhong Thong</v>
          </cell>
          <cell r="F2877" t="str">
            <v>Lck6122evg</v>
          </cell>
          <cell r="G2877" t="str">
            <v>Zhong Thong</v>
          </cell>
          <cell r="H2877" t="str">
            <v>Lck6122evg</v>
          </cell>
          <cell r="I2877">
            <v>2026</v>
          </cell>
          <cell r="J2877" t="str">
            <v>B</v>
          </cell>
          <cell r="K2877" t="str">
            <v>Las Acacias</v>
          </cell>
          <cell r="N2877" t="str">
            <v>B</v>
          </cell>
        </row>
        <row r="2878">
          <cell r="B2878" t="str">
            <v>VLSZ68</v>
          </cell>
          <cell r="C2878" t="str">
            <v>LDYECS316S0045868</v>
          </cell>
          <cell r="D2878" t="str">
            <v>MDN35025030262</v>
          </cell>
          <cell r="E2878" t="str">
            <v>Zhong Thong</v>
          </cell>
          <cell r="F2878" t="str">
            <v>Lck6122evg</v>
          </cell>
          <cell r="G2878" t="str">
            <v>Zhong Thong</v>
          </cell>
          <cell r="H2878" t="str">
            <v>Lck6122evg</v>
          </cell>
          <cell r="I2878">
            <v>2026</v>
          </cell>
          <cell r="J2878" t="str">
            <v>B</v>
          </cell>
          <cell r="K2878" t="str">
            <v>Las Acacias</v>
          </cell>
          <cell r="N2878" t="str">
            <v>B</v>
          </cell>
        </row>
        <row r="2879">
          <cell r="B2879" t="str">
            <v>VLSZ75</v>
          </cell>
          <cell r="C2879" t="str">
            <v>LDYECS312S0045785</v>
          </cell>
          <cell r="D2879" t="str">
            <v>MDN35025030159</v>
          </cell>
          <cell r="E2879" t="str">
            <v>Zhong Thong</v>
          </cell>
          <cell r="F2879" t="str">
            <v>Lck6122evg</v>
          </cell>
          <cell r="G2879" t="str">
            <v>Zhong Thong</v>
          </cell>
          <cell r="H2879" t="str">
            <v>Lck6122evg</v>
          </cell>
          <cell r="I2879">
            <v>2026</v>
          </cell>
          <cell r="J2879" t="str">
            <v>B</v>
          </cell>
          <cell r="K2879" t="str">
            <v>Las Acacias</v>
          </cell>
          <cell r="N2879" t="str">
            <v>B</v>
          </cell>
        </row>
        <row r="2880">
          <cell r="B2880" t="str">
            <v>VLTB15</v>
          </cell>
          <cell r="C2880" t="str">
            <v>LDYECS31XS0045873</v>
          </cell>
          <cell r="D2880" t="str">
            <v>MDN35025030290</v>
          </cell>
          <cell r="E2880" t="str">
            <v>Zhong Thong</v>
          </cell>
          <cell r="F2880" t="str">
            <v>Lck6122evg</v>
          </cell>
          <cell r="G2880" t="str">
            <v>Zhong Thong</v>
          </cell>
          <cell r="H2880" t="str">
            <v>Lck6122evg</v>
          </cell>
          <cell r="I2880">
            <v>2026</v>
          </cell>
          <cell r="J2880" t="str">
            <v>B</v>
          </cell>
          <cell r="K2880" t="str">
            <v>Las Acacias</v>
          </cell>
          <cell r="N2880" t="str">
            <v>B</v>
          </cell>
        </row>
        <row r="2881">
          <cell r="B2881" t="str">
            <v>VLTB35</v>
          </cell>
          <cell r="C2881" t="str">
            <v>LDYECS319S0045783</v>
          </cell>
          <cell r="D2881" t="str">
            <v>MDN35025030314</v>
          </cell>
          <cell r="E2881" t="str">
            <v>Zhong Thong</v>
          </cell>
          <cell r="F2881" t="str">
            <v>Lck6122evg</v>
          </cell>
          <cell r="G2881" t="str">
            <v>Zhong Thong</v>
          </cell>
          <cell r="H2881" t="str">
            <v>Lck6122evg</v>
          </cell>
          <cell r="I2881">
            <v>2026</v>
          </cell>
          <cell r="J2881" t="str">
            <v>B</v>
          </cell>
          <cell r="K2881" t="str">
            <v>Las Acacias</v>
          </cell>
          <cell r="N2881" t="str">
            <v>B</v>
          </cell>
        </row>
        <row r="2882">
          <cell r="B2882" t="str">
            <v>VLTB43</v>
          </cell>
          <cell r="C2882" t="str">
            <v>LDYECS315S0045778</v>
          </cell>
          <cell r="D2882" t="str">
            <v>MDN35025030280</v>
          </cell>
          <cell r="E2882" t="str">
            <v>Zhong Thong</v>
          </cell>
          <cell r="F2882" t="str">
            <v>Lck6122evg</v>
          </cell>
          <cell r="G2882" t="str">
            <v>Zhong Thong</v>
          </cell>
          <cell r="H2882" t="str">
            <v>Lck6122evg</v>
          </cell>
          <cell r="I2882">
            <v>2026</v>
          </cell>
          <cell r="J2882" t="str">
            <v>B</v>
          </cell>
          <cell r="K2882" t="str">
            <v>Las Acacias</v>
          </cell>
          <cell r="N2882" t="str">
            <v>B</v>
          </cell>
        </row>
        <row r="2883">
          <cell r="B2883" t="str">
            <v>VLTB85</v>
          </cell>
          <cell r="C2883" t="str">
            <v>LDYECS316S0045787</v>
          </cell>
          <cell r="D2883" t="str">
            <v>MDN35025030176</v>
          </cell>
          <cell r="E2883" t="str">
            <v>Zhong Thong</v>
          </cell>
          <cell r="F2883" t="str">
            <v>Lck6122evg</v>
          </cell>
          <cell r="G2883" t="str">
            <v>Zhong Thong</v>
          </cell>
          <cell r="H2883" t="str">
            <v>Lck6122evg</v>
          </cell>
          <cell r="I2883">
            <v>2026</v>
          </cell>
          <cell r="J2883" t="str">
            <v>B</v>
          </cell>
          <cell r="K2883" t="str">
            <v>Las Acacias</v>
          </cell>
          <cell r="N2883" t="str">
            <v>B</v>
          </cell>
        </row>
        <row r="2884">
          <cell r="B2884" t="str">
            <v>VLTB93</v>
          </cell>
          <cell r="C2884" t="str">
            <v>LDYECS313S0045780</v>
          </cell>
          <cell r="D2884" t="str">
            <v>MDN35025030190</v>
          </cell>
          <cell r="E2884" t="str">
            <v>Zhong Thong</v>
          </cell>
          <cell r="F2884" t="str">
            <v>Lck6122evg</v>
          </cell>
          <cell r="G2884" t="str">
            <v>Zhong Thong</v>
          </cell>
          <cell r="H2884" t="str">
            <v>Lck6122evg</v>
          </cell>
          <cell r="I2884">
            <v>2026</v>
          </cell>
          <cell r="J2884" t="str">
            <v>B</v>
          </cell>
          <cell r="K2884" t="str">
            <v>Las Acacias</v>
          </cell>
          <cell r="N2884" t="str">
            <v>B</v>
          </cell>
        </row>
        <row r="2885">
          <cell r="B2885" t="str">
            <v>VLTB94</v>
          </cell>
          <cell r="C2885" t="str">
            <v>LDYECS311S0045776</v>
          </cell>
          <cell r="D2885" t="str">
            <v>MDN35025030167</v>
          </cell>
          <cell r="E2885" t="str">
            <v>Zhong Thong</v>
          </cell>
          <cell r="F2885" t="str">
            <v>Lck6122evg</v>
          </cell>
          <cell r="G2885" t="str">
            <v>Zhong Thong</v>
          </cell>
          <cell r="H2885" t="str">
            <v>Lck6122evg</v>
          </cell>
          <cell r="I2885">
            <v>2026</v>
          </cell>
          <cell r="J2885" t="str">
            <v>B</v>
          </cell>
          <cell r="K2885" t="str">
            <v>Las Acacias</v>
          </cell>
          <cell r="N2885" t="str">
            <v>B</v>
          </cell>
        </row>
        <row r="2886">
          <cell r="B2886" t="str">
            <v>VLTC16</v>
          </cell>
          <cell r="C2886" t="str">
            <v>LDYECS317S0045782</v>
          </cell>
          <cell r="D2886" t="str">
            <v>MDN35025030212</v>
          </cell>
          <cell r="E2886" t="str">
            <v>Zhong Thong</v>
          </cell>
          <cell r="F2886" t="str">
            <v>Lck6122evg</v>
          </cell>
          <cell r="G2886" t="str">
            <v>Zhong Thong</v>
          </cell>
          <cell r="H2886" t="str">
            <v>Lck6122evg</v>
          </cell>
          <cell r="I2886">
            <v>2026</v>
          </cell>
          <cell r="J2886" t="str">
            <v>B</v>
          </cell>
          <cell r="K2886" t="str">
            <v>Las Acacias</v>
          </cell>
          <cell r="N2886" t="str">
            <v>B</v>
          </cell>
        </row>
        <row r="2887">
          <cell r="B2887" t="str">
            <v>VLTC17</v>
          </cell>
          <cell r="C2887" t="str">
            <v>LDYECS316S0045885</v>
          </cell>
          <cell r="D2887" t="str">
            <v>MDN35025030187</v>
          </cell>
          <cell r="E2887" t="str">
            <v>Zhong Thong</v>
          </cell>
          <cell r="F2887" t="str">
            <v>Lck6122evg</v>
          </cell>
          <cell r="G2887" t="str">
            <v>Zhong Thong</v>
          </cell>
          <cell r="H2887" t="str">
            <v>Lck6122evg</v>
          </cell>
          <cell r="I2887">
            <v>2026</v>
          </cell>
          <cell r="J2887" t="str">
            <v>B</v>
          </cell>
          <cell r="K2887" t="str">
            <v>Las Acacias</v>
          </cell>
          <cell r="N2887" t="str">
            <v>B</v>
          </cell>
        </row>
        <row r="2888">
          <cell r="B2888" t="str">
            <v>VLTC21</v>
          </cell>
          <cell r="C2888" t="str">
            <v>LDYECS311S0045745</v>
          </cell>
          <cell r="D2888" t="str">
            <v>MDN35025030007</v>
          </cell>
          <cell r="E2888" t="str">
            <v>Zhong Thong</v>
          </cell>
          <cell r="F2888" t="str">
            <v>Lck6122evg</v>
          </cell>
          <cell r="G2888" t="str">
            <v>Zhong Thong</v>
          </cell>
          <cell r="H2888" t="str">
            <v>Lck6122evg</v>
          </cell>
          <cell r="I2888">
            <v>2026</v>
          </cell>
          <cell r="J2888" t="str">
            <v>B</v>
          </cell>
          <cell r="K2888" t="str">
            <v>Las Acacias</v>
          </cell>
          <cell r="N2888" t="str">
            <v>B</v>
          </cell>
        </row>
        <row r="2889">
          <cell r="B2889" t="str">
            <v>VLTC23</v>
          </cell>
          <cell r="C2889" t="str">
            <v>LDYECS31XS0045789</v>
          </cell>
          <cell r="D2889" t="str">
            <v>MDN35025030164</v>
          </cell>
          <cell r="E2889" t="str">
            <v>Zhong Thong</v>
          </cell>
          <cell r="F2889" t="str">
            <v>Lck6122evg</v>
          </cell>
          <cell r="G2889" t="str">
            <v>Zhong Thong</v>
          </cell>
          <cell r="H2889" t="str">
            <v>Lck6122evg</v>
          </cell>
          <cell r="I2889">
            <v>2026</v>
          </cell>
          <cell r="J2889" t="str">
            <v>B</v>
          </cell>
          <cell r="K2889" t="str">
            <v>Las Acacias</v>
          </cell>
          <cell r="N2889" t="str">
            <v>B</v>
          </cell>
        </row>
        <row r="2890">
          <cell r="B2890" t="str">
            <v>VLTC32</v>
          </cell>
          <cell r="C2890" t="str">
            <v>LDYECS311S0045888</v>
          </cell>
          <cell r="D2890" t="str">
            <v>MDN35025010010</v>
          </cell>
          <cell r="E2890" t="str">
            <v>Zhong Thong</v>
          </cell>
          <cell r="F2890" t="str">
            <v>Lck6122evg</v>
          </cell>
          <cell r="G2890" t="str">
            <v>Zhong Thong</v>
          </cell>
          <cell r="H2890" t="str">
            <v>Lck6122evg</v>
          </cell>
          <cell r="I2890">
            <v>2026</v>
          </cell>
          <cell r="J2890" t="str">
            <v>B</v>
          </cell>
          <cell r="K2890" t="str">
            <v>Las Acacias</v>
          </cell>
          <cell r="N2890" t="str">
            <v>B</v>
          </cell>
        </row>
        <row r="2891">
          <cell r="B2891" t="str">
            <v>VLTC33</v>
          </cell>
          <cell r="C2891" t="str">
            <v>LDYECS312S0045883</v>
          </cell>
          <cell r="D2891" t="str">
            <v>MDN35025010007</v>
          </cell>
          <cell r="E2891" t="str">
            <v>Zhong Thong</v>
          </cell>
          <cell r="F2891" t="str">
            <v>Lck6122evg</v>
          </cell>
          <cell r="G2891" t="str">
            <v>Zhong Thong</v>
          </cell>
          <cell r="H2891" t="str">
            <v>Lck6122evg</v>
          </cell>
          <cell r="I2891">
            <v>2026</v>
          </cell>
          <cell r="J2891" t="str">
            <v>B</v>
          </cell>
          <cell r="K2891" t="str">
            <v>Las Acacias</v>
          </cell>
          <cell r="N2891" t="str">
            <v>B</v>
          </cell>
        </row>
        <row r="2892">
          <cell r="B2892" t="str">
            <v>VLTC34</v>
          </cell>
          <cell r="C2892" t="str">
            <v>LDYECS315S0045876</v>
          </cell>
          <cell r="D2892" t="str">
            <v>MDN35025030057</v>
          </cell>
          <cell r="E2892" t="str">
            <v>Zhong Thong</v>
          </cell>
          <cell r="F2892" t="str">
            <v>Lck6122evg</v>
          </cell>
          <cell r="G2892" t="str">
            <v>Zhong Thong</v>
          </cell>
          <cell r="H2892" t="str">
            <v>Lck6122evg</v>
          </cell>
          <cell r="I2892">
            <v>2026</v>
          </cell>
          <cell r="J2892" t="str">
            <v>B</v>
          </cell>
          <cell r="K2892" t="str">
            <v>Las Acacias</v>
          </cell>
          <cell r="N2892" t="str">
            <v>B</v>
          </cell>
        </row>
        <row r="2893">
          <cell r="B2893" t="str">
            <v>VLTC35</v>
          </cell>
          <cell r="C2893" t="str">
            <v>LDYECS319S0045881</v>
          </cell>
          <cell r="D2893" t="str">
            <v>MDN35025030161</v>
          </cell>
          <cell r="E2893" t="str">
            <v>Zhong Thong</v>
          </cell>
          <cell r="F2893" t="str">
            <v>Lck6122evg</v>
          </cell>
          <cell r="G2893" t="str">
            <v>Zhong Thong</v>
          </cell>
          <cell r="H2893" t="str">
            <v>Lck6122evg</v>
          </cell>
          <cell r="I2893">
            <v>2026</v>
          </cell>
          <cell r="J2893" t="str">
            <v>B</v>
          </cell>
          <cell r="K2893" t="str">
            <v>Las Acacias</v>
          </cell>
          <cell r="N2893" t="str">
            <v>B</v>
          </cell>
        </row>
        <row r="2894">
          <cell r="B2894" t="str">
            <v>VLTC36</v>
          </cell>
          <cell r="C2894" t="str">
            <v>LDYECS318S0045788</v>
          </cell>
          <cell r="D2894" t="str">
            <v>MDN35025030139</v>
          </cell>
          <cell r="E2894" t="str">
            <v>Zhong Thong</v>
          </cell>
          <cell r="F2894" t="str">
            <v>Lck6122evg</v>
          </cell>
          <cell r="G2894" t="str">
            <v>Zhong Thong</v>
          </cell>
          <cell r="H2894" t="str">
            <v>Lck6122evg</v>
          </cell>
          <cell r="I2894">
            <v>2026</v>
          </cell>
          <cell r="J2894" t="str">
            <v>B</v>
          </cell>
          <cell r="K2894" t="str">
            <v>Las Acacias</v>
          </cell>
          <cell r="N2894" t="str">
            <v>B</v>
          </cell>
        </row>
        <row r="2895">
          <cell r="B2895" t="str">
            <v>VLTC37</v>
          </cell>
          <cell r="C2895" t="str">
            <v>LDYECS317S0045877</v>
          </cell>
          <cell r="D2895" t="str">
            <v>MDN35025030162</v>
          </cell>
          <cell r="E2895" t="str">
            <v>Zhong Thong</v>
          </cell>
          <cell r="F2895" t="str">
            <v>Lck6122evg</v>
          </cell>
          <cell r="G2895" t="str">
            <v>Zhong Thong</v>
          </cell>
          <cell r="H2895" t="str">
            <v>Lck6122evg</v>
          </cell>
          <cell r="I2895">
            <v>2026</v>
          </cell>
          <cell r="J2895" t="str">
            <v>B</v>
          </cell>
          <cell r="K2895" t="str">
            <v>Las Acacias</v>
          </cell>
          <cell r="N2895" t="str">
            <v>B</v>
          </cell>
        </row>
        <row r="2896">
          <cell r="B2896" t="str">
            <v>VLTC43</v>
          </cell>
          <cell r="C2896" t="str">
            <v>LDYECS313S0045875</v>
          </cell>
          <cell r="D2896" t="str">
            <v>MDN35025030129</v>
          </cell>
          <cell r="E2896" t="str">
            <v>Zhong Thong</v>
          </cell>
          <cell r="F2896" t="str">
            <v>Lck6122evg</v>
          </cell>
          <cell r="G2896" t="str">
            <v>Zhong Thong</v>
          </cell>
          <cell r="H2896" t="str">
            <v>Lck6122evg</v>
          </cell>
          <cell r="I2896">
            <v>2026</v>
          </cell>
          <cell r="J2896" t="str">
            <v>B</v>
          </cell>
          <cell r="K2896" t="str">
            <v>Las Acacias</v>
          </cell>
          <cell r="N2896" t="str">
            <v>B</v>
          </cell>
        </row>
        <row r="2897">
          <cell r="B2897" t="str">
            <v>VLTC44</v>
          </cell>
          <cell r="C2897" t="str">
            <v>LDYECS314S0045884</v>
          </cell>
          <cell r="D2897" t="str">
            <v>MDN35025030150</v>
          </cell>
          <cell r="E2897" t="str">
            <v>Zhong Thong</v>
          </cell>
          <cell r="F2897" t="str">
            <v>Lck6122evg</v>
          </cell>
          <cell r="G2897" t="str">
            <v>Zhong Thong</v>
          </cell>
          <cell r="H2897" t="str">
            <v>Lck6122evg</v>
          </cell>
          <cell r="I2897">
            <v>2026</v>
          </cell>
          <cell r="J2897" t="str">
            <v>B</v>
          </cell>
          <cell r="K2897" t="str">
            <v>Las Acacias</v>
          </cell>
          <cell r="N2897" t="str">
            <v>B</v>
          </cell>
        </row>
        <row r="2898">
          <cell r="B2898" t="str">
            <v>VLTC45</v>
          </cell>
          <cell r="C2898" t="str">
            <v>LDYECS310S0045879</v>
          </cell>
          <cell r="D2898" t="str">
            <v>MDN35025030061</v>
          </cell>
          <cell r="E2898" t="str">
            <v>Zhong Thong</v>
          </cell>
          <cell r="F2898" t="str">
            <v>Lck6122evg</v>
          </cell>
          <cell r="G2898" t="str">
            <v>Zhong Thong</v>
          </cell>
          <cell r="H2898" t="str">
            <v>Lck6122evg</v>
          </cell>
          <cell r="I2898">
            <v>2026</v>
          </cell>
          <cell r="J2898" t="str">
            <v>B</v>
          </cell>
          <cell r="K2898" t="str">
            <v>Las Acacias</v>
          </cell>
          <cell r="N2898" t="str">
            <v>B</v>
          </cell>
        </row>
        <row r="2899">
          <cell r="B2899" t="str">
            <v>VLTC53</v>
          </cell>
          <cell r="C2899" t="str">
            <v>LDYECS317S0045880</v>
          </cell>
          <cell r="D2899" t="str">
            <v>MDN35025030304</v>
          </cell>
          <cell r="E2899" t="str">
            <v>Zhong Thong</v>
          </cell>
          <cell r="F2899" t="str">
            <v>Lck6122evg</v>
          </cell>
          <cell r="G2899" t="str">
            <v>Zhong Thong</v>
          </cell>
          <cell r="H2899" t="str">
            <v>Lck6122evg</v>
          </cell>
          <cell r="I2899">
            <v>2026</v>
          </cell>
          <cell r="J2899" t="str">
            <v>B</v>
          </cell>
          <cell r="K2899" t="str">
            <v>Las Acacias</v>
          </cell>
          <cell r="N2899" t="str">
            <v>B</v>
          </cell>
        </row>
        <row r="2900">
          <cell r="B2900" t="str">
            <v>VLTC62</v>
          </cell>
          <cell r="C2900" t="str">
            <v>LDYECS319S0045878</v>
          </cell>
          <cell r="D2900" t="str">
            <v>MDN35025030083</v>
          </cell>
          <cell r="E2900" t="str">
            <v>Zhong Thong</v>
          </cell>
          <cell r="F2900" t="str">
            <v>Lck6122evg</v>
          </cell>
          <cell r="G2900" t="str">
            <v>Zhong Thong</v>
          </cell>
          <cell r="H2900" t="str">
            <v>Lck6122evg</v>
          </cell>
          <cell r="I2900">
            <v>2026</v>
          </cell>
          <cell r="J2900" t="str">
            <v>B</v>
          </cell>
          <cell r="K2900" t="str">
            <v>Las Acacias</v>
          </cell>
          <cell r="N2900" t="str">
            <v>B</v>
          </cell>
        </row>
        <row r="2901">
          <cell r="B2901" t="str">
            <v>VLTC92</v>
          </cell>
          <cell r="C2901" t="str">
            <v>LDYECS310S0045882</v>
          </cell>
          <cell r="D2901" t="str">
            <v>MDN35025030289</v>
          </cell>
          <cell r="E2901" t="str">
            <v>Zhong Thong</v>
          </cell>
          <cell r="F2901" t="str">
            <v>Lck6122evg</v>
          </cell>
          <cell r="G2901" t="str">
            <v>Zhong Thong</v>
          </cell>
          <cell r="H2901" t="str">
            <v>Lck6122evg</v>
          </cell>
          <cell r="I2901">
            <v>2026</v>
          </cell>
          <cell r="J2901" t="str">
            <v>B</v>
          </cell>
          <cell r="K2901" t="str">
            <v>Las Acacias</v>
          </cell>
          <cell r="N2901" t="str">
            <v>B</v>
          </cell>
        </row>
        <row r="2902">
          <cell r="B2902" t="str">
            <v>VPBC75</v>
          </cell>
          <cell r="C2902" t="str">
            <v>LDYECS316S0045899</v>
          </cell>
          <cell r="D2902" t="str">
            <v>MDN35025030166</v>
          </cell>
          <cell r="E2902" t="str">
            <v>Zhong Thong</v>
          </cell>
          <cell r="F2902" t="str">
            <v>Lck6122evg</v>
          </cell>
          <cell r="G2902" t="str">
            <v>Zhong Thong</v>
          </cell>
          <cell r="H2902" t="str">
            <v>Lck6122evg</v>
          </cell>
          <cell r="I2902">
            <v>2026</v>
          </cell>
          <cell r="J2902" t="str">
            <v>B</v>
          </cell>
          <cell r="K2902" t="str">
            <v>Las Acacias</v>
          </cell>
          <cell r="N2902" t="str">
            <v>B</v>
          </cell>
        </row>
        <row r="2903">
          <cell r="B2903" t="str">
            <v>VPBD15</v>
          </cell>
          <cell r="C2903" t="str">
            <v>LDYECS311S0045891</v>
          </cell>
          <cell r="D2903" t="str">
            <v>MDN35025030095</v>
          </cell>
          <cell r="E2903" t="str">
            <v>Zhong Thong</v>
          </cell>
          <cell r="F2903" t="str">
            <v>Lck6122evg</v>
          </cell>
          <cell r="G2903" t="str">
            <v>Zhong Thong</v>
          </cell>
          <cell r="H2903" t="str">
            <v>Lck6122evg</v>
          </cell>
          <cell r="I2903">
            <v>2026</v>
          </cell>
          <cell r="J2903" t="str">
            <v>B</v>
          </cell>
          <cell r="K2903" t="str">
            <v>Las Acacias</v>
          </cell>
          <cell r="N2903" t="str">
            <v>B</v>
          </cell>
        </row>
        <row r="2904">
          <cell r="B2904" t="str">
            <v>VPBD25</v>
          </cell>
          <cell r="C2904" t="str">
            <v>LDYECS312S0045897</v>
          </cell>
          <cell r="D2904" t="str">
            <v>MDN35025030274</v>
          </cell>
          <cell r="E2904" t="str">
            <v>Zhong Thong</v>
          </cell>
          <cell r="F2904" t="str">
            <v>Lck6122evg</v>
          </cell>
          <cell r="G2904" t="str">
            <v>Zhong Thong</v>
          </cell>
          <cell r="H2904" t="str">
            <v>Lck6122evg</v>
          </cell>
          <cell r="I2904">
            <v>2026</v>
          </cell>
          <cell r="J2904" t="str">
            <v>B</v>
          </cell>
          <cell r="K2904" t="str">
            <v>Las Acacias</v>
          </cell>
          <cell r="N2904" t="str">
            <v>B</v>
          </cell>
        </row>
        <row r="2905">
          <cell r="B2905" t="str">
            <v>VPBD64</v>
          </cell>
          <cell r="C2905" t="str">
            <v>LDYECS313S0045892</v>
          </cell>
          <cell r="D2905" t="str">
            <v>MDN35025010003</v>
          </cell>
          <cell r="E2905" t="str">
            <v>Zhong Thong</v>
          </cell>
          <cell r="F2905" t="str">
            <v>Lck6122evg</v>
          </cell>
          <cell r="G2905" t="str">
            <v>Zhong Thong</v>
          </cell>
          <cell r="H2905" t="str">
            <v>Lck6122evg</v>
          </cell>
          <cell r="I2905">
            <v>2026</v>
          </cell>
          <cell r="J2905" t="str">
            <v>B</v>
          </cell>
          <cell r="K2905" t="str">
            <v>Las Acacias</v>
          </cell>
          <cell r="N2905" t="str">
            <v>B</v>
          </cell>
        </row>
        <row r="2906">
          <cell r="B2906" t="str">
            <v>VPBD84</v>
          </cell>
          <cell r="C2906" t="str">
            <v>LDYECS319S0045900</v>
          </cell>
          <cell r="D2906" t="str">
            <v>MDN35025030309</v>
          </cell>
          <cell r="E2906" t="str">
            <v>Zhong Thong</v>
          </cell>
          <cell r="F2906" t="str">
            <v>Lck6122evg</v>
          </cell>
          <cell r="G2906" t="str">
            <v>Zhong Thong</v>
          </cell>
          <cell r="H2906" t="str">
            <v>Lck6122evg</v>
          </cell>
          <cell r="I2906">
            <v>2026</v>
          </cell>
          <cell r="J2906" t="str">
            <v>B</v>
          </cell>
          <cell r="K2906" t="str">
            <v>Las Acacias</v>
          </cell>
          <cell r="N2906" t="str">
            <v>B</v>
          </cell>
        </row>
        <row r="2907">
          <cell r="B2907" t="str">
            <v>VPBF11</v>
          </cell>
          <cell r="C2907" t="str">
            <v>LDYECS310S0045901</v>
          </cell>
          <cell r="D2907" t="str">
            <v>MDN35025030140</v>
          </cell>
          <cell r="E2907" t="str">
            <v>Zhong Thong</v>
          </cell>
          <cell r="F2907" t="str">
            <v>Lck6122evg</v>
          </cell>
          <cell r="G2907" t="str">
            <v>Zhong Thong</v>
          </cell>
          <cell r="H2907" t="str">
            <v>Lck6122evg</v>
          </cell>
          <cell r="I2907">
            <v>2026</v>
          </cell>
          <cell r="J2907" t="str">
            <v>B</v>
          </cell>
          <cell r="K2907" t="str">
            <v>Las Acacias</v>
          </cell>
          <cell r="N2907" t="str">
            <v>B</v>
          </cell>
        </row>
        <row r="2908">
          <cell r="B2908" t="str">
            <v>VPBF13</v>
          </cell>
          <cell r="C2908" t="str">
            <v>LDYECS317S0045894</v>
          </cell>
          <cell r="D2908" t="str">
            <v>MDN35025010015</v>
          </cell>
          <cell r="E2908" t="str">
            <v>Zhong Thong</v>
          </cell>
          <cell r="F2908" t="str">
            <v>Lck6122evg</v>
          </cell>
          <cell r="G2908" t="str">
            <v>Zhong Thong</v>
          </cell>
          <cell r="H2908" t="str">
            <v>Lck6122evg</v>
          </cell>
          <cell r="I2908">
            <v>2026</v>
          </cell>
          <cell r="J2908" t="str">
            <v>B</v>
          </cell>
          <cell r="K2908" t="str">
            <v>Las Acacias</v>
          </cell>
          <cell r="N2908" t="str">
            <v>B</v>
          </cell>
        </row>
        <row r="2909">
          <cell r="B2909" t="str">
            <v>VPBF14</v>
          </cell>
          <cell r="C2909" t="str">
            <v>LDYECS310S0045896</v>
          </cell>
          <cell r="D2909" t="str">
            <v>MDN35025030169</v>
          </cell>
          <cell r="E2909" t="str">
            <v>Zhong Thong</v>
          </cell>
          <cell r="F2909" t="str">
            <v>Lck6122evg</v>
          </cell>
          <cell r="G2909" t="str">
            <v>Zhong Thong</v>
          </cell>
          <cell r="H2909" t="str">
            <v>Lck6122evg</v>
          </cell>
          <cell r="I2909">
            <v>2026</v>
          </cell>
          <cell r="J2909" t="str">
            <v>B</v>
          </cell>
          <cell r="K2909" t="str">
            <v>Las Acacias</v>
          </cell>
          <cell r="N2909" t="str">
            <v>B</v>
          </cell>
        </row>
        <row r="2910">
          <cell r="B2910" t="str">
            <v>VPBF41</v>
          </cell>
          <cell r="C2910" t="str">
            <v>LDYECS319S0045895</v>
          </cell>
          <cell r="D2910" t="str">
            <v>MDN35025030282</v>
          </cell>
          <cell r="E2910" t="str">
            <v>Zhong Thong</v>
          </cell>
          <cell r="F2910" t="str">
            <v>Lck6122evg</v>
          </cell>
          <cell r="G2910" t="str">
            <v>Zhong Thong</v>
          </cell>
          <cell r="H2910" t="str">
            <v>Lck6122evg</v>
          </cell>
          <cell r="I2910">
            <v>2026</v>
          </cell>
          <cell r="J2910" t="str">
            <v>B</v>
          </cell>
          <cell r="K2910" t="str">
            <v>Las Acacias</v>
          </cell>
          <cell r="N2910" t="str">
            <v>B</v>
          </cell>
        </row>
        <row r="2911">
          <cell r="B2911" t="str">
            <v>VPBF51</v>
          </cell>
          <cell r="C2911" t="str">
            <v>LDYECS313S0045889</v>
          </cell>
          <cell r="D2911" t="str">
            <v>MDN35025010009</v>
          </cell>
          <cell r="E2911" t="str">
            <v>Zhong Thong</v>
          </cell>
          <cell r="F2911" t="str">
            <v>Lck6122evg</v>
          </cell>
          <cell r="G2911" t="str">
            <v>Zhong Thong</v>
          </cell>
          <cell r="H2911" t="str">
            <v>Lck6122evg</v>
          </cell>
          <cell r="I2911">
            <v>2026</v>
          </cell>
          <cell r="J2911" t="str">
            <v>B</v>
          </cell>
          <cell r="K2911" t="str">
            <v>Las Acacias</v>
          </cell>
          <cell r="N2911" t="str">
            <v>B</v>
          </cell>
        </row>
        <row r="2912">
          <cell r="B2912" t="str">
            <v>VPBF63</v>
          </cell>
          <cell r="C2912" t="str">
            <v>LDYECS314S0045898</v>
          </cell>
          <cell r="D2912" t="str">
            <v>MDN35025030165</v>
          </cell>
          <cell r="E2912" t="str">
            <v>Zhong Thong</v>
          </cell>
          <cell r="F2912" t="str">
            <v>Lck6122evg</v>
          </cell>
          <cell r="G2912" t="str">
            <v>Zhong Thong</v>
          </cell>
          <cell r="H2912" t="str">
            <v>Lck6122evg</v>
          </cell>
          <cell r="I2912">
            <v>2026</v>
          </cell>
          <cell r="J2912" t="str">
            <v>B</v>
          </cell>
          <cell r="K2912" t="str">
            <v>Las Acacias</v>
          </cell>
          <cell r="N2912" t="str">
            <v>B</v>
          </cell>
        </row>
        <row r="2913">
          <cell r="B2913" t="str">
            <v>VPBF71</v>
          </cell>
          <cell r="C2913" t="str">
            <v>LDYECS318S0045886</v>
          </cell>
          <cell r="D2913" t="str">
            <v>MDN35025010011</v>
          </cell>
          <cell r="E2913" t="str">
            <v>Zhong Thong</v>
          </cell>
          <cell r="F2913" t="str">
            <v>Lck6122evg</v>
          </cell>
          <cell r="G2913" t="str">
            <v>Zhong Thong</v>
          </cell>
          <cell r="H2913" t="str">
            <v>Lck6122evg</v>
          </cell>
          <cell r="I2913">
            <v>2026</v>
          </cell>
          <cell r="J2913" t="str">
            <v>B</v>
          </cell>
          <cell r="K2913" t="str">
            <v>Las Acacias</v>
          </cell>
          <cell r="N2913" t="str">
            <v>B</v>
          </cell>
        </row>
        <row r="2914">
          <cell r="B2914" t="str">
            <v>VPBF93</v>
          </cell>
          <cell r="C2914" t="str">
            <v>LDYECS310S0040231</v>
          </cell>
          <cell r="D2914" t="str">
            <v>MDN35024090002</v>
          </cell>
          <cell r="E2914" t="str">
            <v>Zhong Thong</v>
          </cell>
          <cell r="F2914" t="str">
            <v>Lck6122evg</v>
          </cell>
          <cell r="G2914" t="str">
            <v>Zhong Thong</v>
          </cell>
          <cell r="H2914" t="str">
            <v>Lck6122evg</v>
          </cell>
          <cell r="I2914">
            <v>2026</v>
          </cell>
          <cell r="J2914" t="str">
            <v>B</v>
          </cell>
          <cell r="K2914" t="str">
            <v>Las Acacias</v>
          </cell>
          <cell r="N2914" t="str">
            <v>B</v>
          </cell>
        </row>
        <row r="2915">
          <cell r="B2915" t="str">
            <v>VPBG88</v>
          </cell>
          <cell r="C2915" t="str">
            <v>LDYECS315S0045893</v>
          </cell>
          <cell r="D2915" t="str">
            <v>MDN35025010002</v>
          </cell>
          <cell r="E2915" t="str">
            <v>Zhong Thong</v>
          </cell>
          <cell r="F2915" t="str">
            <v>Lck6122evg</v>
          </cell>
          <cell r="G2915" t="str">
            <v>Zhong Thong</v>
          </cell>
          <cell r="H2915" t="str">
            <v>Lck6122evg</v>
          </cell>
          <cell r="I2915">
            <v>2026</v>
          </cell>
          <cell r="J2915" t="str">
            <v>B</v>
          </cell>
          <cell r="K2915" t="str">
            <v>Las Acacias</v>
          </cell>
          <cell r="N2915" t="str">
            <v>B</v>
          </cell>
        </row>
        <row r="2916">
          <cell r="B2916" t="str">
            <v>VPBK91</v>
          </cell>
          <cell r="C2916" t="str">
            <v>LDYECS31XS0045890</v>
          </cell>
          <cell r="D2916" t="str">
            <v>MDN35025030147</v>
          </cell>
          <cell r="E2916" t="str">
            <v>Zhong Thong</v>
          </cell>
          <cell r="F2916" t="str">
            <v>Lck6122evg</v>
          </cell>
          <cell r="G2916" t="str">
            <v>Zhong Thong</v>
          </cell>
          <cell r="H2916" t="str">
            <v>Lck6122evg</v>
          </cell>
          <cell r="I2916">
            <v>2026</v>
          </cell>
          <cell r="J2916" t="str">
            <v>B</v>
          </cell>
          <cell r="K2916" t="str">
            <v>Las Acacias</v>
          </cell>
          <cell r="N2916" t="str">
            <v>B</v>
          </cell>
        </row>
        <row r="2917">
          <cell r="B2917" t="str">
            <v>Forma</v>
          </cell>
          <cell r="C2917" t="str">
            <v>N° Chasis</v>
          </cell>
          <cell r="D2917" t="str">
            <v>N Motor</v>
          </cell>
          <cell r="E2917" t="str">
            <v>Marca chasis</v>
          </cell>
          <cell r="F2917" t="str">
            <v>Modelo Chasis</v>
          </cell>
          <cell r="G2917" t="str">
            <v>Marca Carrocería</v>
          </cell>
          <cell r="H2917" t="str">
            <v>Modelo Carrocería</v>
          </cell>
          <cell r="I2917" t="str">
            <v>Año</v>
          </cell>
          <cell r="J2917" t="str">
            <v>Tipo de Bus</v>
          </cell>
          <cell r="K2917" t="str">
            <v>Nombre Terminal Asignado</v>
          </cell>
          <cell r="L2917" t="str">
            <v xml:space="preserve">Dirección Terminal </v>
          </cell>
          <cell r="M2917" t="str">
            <v xml:space="preserve">Comuna </v>
          </cell>
        </row>
        <row r="2918">
          <cell r="B2918" t="str">
            <v>GCBB-15|</v>
          </cell>
          <cell r="C2918" t="str">
            <v>De Baja</v>
          </cell>
          <cell r="D2918" t="str">
            <v>De Baja</v>
          </cell>
          <cell r="E2918" t="str">
            <v>De Baja</v>
          </cell>
          <cell r="F2918" t="str">
            <v>De Baja</v>
          </cell>
          <cell r="G2918" t="str">
            <v>De Baja</v>
          </cell>
          <cell r="H2918" t="str">
            <v>De Baja</v>
          </cell>
          <cell r="I2918" t="str">
            <v>De Baja</v>
          </cell>
          <cell r="J2918" t="str">
            <v>De Baja</v>
          </cell>
          <cell r="K2918" t="str">
            <v>De Baja</v>
          </cell>
          <cell r="L2918" t="str">
            <v>De Baja</v>
          </cell>
          <cell r="M2918" t="str">
            <v>De Baja</v>
          </cell>
        </row>
        <row r="2919">
          <cell r="B2919" t="str">
            <v>1000 / FLXZ-94|</v>
          </cell>
          <cell r="C2919" t="str">
            <v>D8478292K2PL</v>
          </cell>
          <cell r="D2919" t="str">
            <v>YV3T7U524KA195142</v>
          </cell>
          <cell r="E2919" t="str">
            <v>Volvo</v>
          </cell>
          <cell r="F2919" t="str">
            <v>B8R</v>
          </cell>
          <cell r="G2919" t="str">
            <v>MARCOPOLO</v>
          </cell>
          <cell r="H2919" t="str">
            <v>TORINO</v>
          </cell>
          <cell r="I2919">
            <v>2019</v>
          </cell>
          <cell r="J2919" t="str">
            <v>B2PAL</v>
          </cell>
          <cell r="K2919" t="str">
            <v>LOS LIBERTADORES</v>
          </cell>
          <cell r="L2919" t="str">
            <v>Los Liberadores 6450, Lote 4A</v>
          </cell>
          <cell r="M2919" t="str">
            <v>Huechuraba</v>
          </cell>
          <cell r="N2919" t="str">
            <v>B</v>
          </cell>
        </row>
        <row r="2920">
          <cell r="B2920" t="str">
            <v>1096 / GCBB-13|</v>
          </cell>
          <cell r="C2920" t="str">
            <v>D8482685K2PL</v>
          </cell>
          <cell r="D2920" t="str">
            <v>YV3T7U521KA195230</v>
          </cell>
          <cell r="E2920" t="str">
            <v>Volvo</v>
          </cell>
          <cell r="F2920" t="str">
            <v>B8R</v>
          </cell>
          <cell r="G2920" t="str">
            <v>MARCOPOLO</v>
          </cell>
          <cell r="H2920" t="str">
            <v>TORINO</v>
          </cell>
          <cell r="I2920">
            <v>2019</v>
          </cell>
          <cell r="J2920" t="str">
            <v>B2PAL</v>
          </cell>
          <cell r="K2920" t="str">
            <v>LOS LIBERTADORES</v>
          </cell>
          <cell r="L2920" t="str">
            <v>Los Liberadores 6450, Lote 4A</v>
          </cell>
          <cell r="M2920" t="str">
            <v>Huechuraba</v>
          </cell>
          <cell r="N2920" t="str">
            <v>B</v>
          </cell>
        </row>
        <row r="2921">
          <cell r="B2921" t="str">
            <v>1002 / GCBC-16|</v>
          </cell>
          <cell r="C2921" t="str">
            <v>D8483833K2PL</v>
          </cell>
          <cell r="D2921" t="str">
            <v>YV3T7U520KA195641</v>
          </cell>
          <cell r="E2921" t="str">
            <v>Volvo</v>
          </cell>
          <cell r="F2921" t="str">
            <v>B8R</v>
          </cell>
          <cell r="G2921" t="str">
            <v>MARCOPOLO</v>
          </cell>
          <cell r="H2921" t="str">
            <v>TORINO</v>
          </cell>
          <cell r="I2921">
            <v>2019</v>
          </cell>
          <cell r="J2921" t="str">
            <v>B2PAL</v>
          </cell>
          <cell r="K2921" t="str">
            <v>LOS LIBERTADORES</v>
          </cell>
          <cell r="L2921" t="str">
            <v>Los Liberadores 6450, Lote 4A</v>
          </cell>
          <cell r="M2921" t="str">
            <v>Huechuraba</v>
          </cell>
          <cell r="N2921" t="str">
            <v>B</v>
          </cell>
        </row>
        <row r="2922">
          <cell r="B2922" t="str">
            <v>1003 / GCBC-17|</v>
          </cell>
          <cell r="C2922" t="str">
            <v>D8483530K2PL</v>
          </cell>
          <cell r="D2922" t="str">
            <v>YV3T7U522KA195642</v>
          </cell>
          <cell r="E2922" t="str">
            <v>Volvo</v>
          </cell>
          <cell r="F2922" t="str">
            <v>B8R</v>
          </cell>
          <cell r="G2922" t="str">
            <v>MARCOPOLO</v>
          </cell>
          <cell r="H2922" t="str">
            <v>TORINO</v>
          </cell>
          <cell r="I2922">
            <v>2019</v>
          </cell>
          <cell r="J2922" t="str">
            <v>B2PAL</v>
          </cell>
          <cell r="K2922" t="str">
            <v>LOS LIBERTADORES</v>
          </cell>
          <cell r="L2922" t="str">
            <v>Los Liberadores 6450, Lote 4A</v>
          </cell>
          <cell r="M2922" t="str">
            <v>Huechuraba</v>
          </cell>
          <cell r="N2922" t="str">
            <v>B</v>
          </cell>
        </row>
        <row r="2923">
          <cell r="B2923" t="str">
            <v>1004 / GCBC-18|</v>
          </cell>
          <cell r="C2923" t="str">
            <v>D8483789K2PL</v>
          </cell>
          <cell r="D2923" t="str">
            <v>YV3T7U524KA195643</v>
          </cell>
          <cell r="E2923" t="str">
            <v>Volvo</v>
          </cell>
          <cell r="F2923" t="str">
            <v>B8R</v>
          </cell>
          <cell r="G2923" t="str">
            <v>MARCOPOLO</v>
          </cell>
          <cell r="H2923" t="str">
            <v>TORINO</v>
          </cell>
          <cell r="I2923">
            <v>2019</v>
          </cell>
          <cell r="J2923" t="str">
            <v>B2PAL</v>
          </cell>
          <cell r="K2923" t="str">
            <v>SAN JOSE</v>
          </cell>
          <cell r="L2923" t="str">
            <v>San José 030 (José Besa 669)</v>
          </cell>
          <cell r="M2923" t="str">
            <v>San Bernardo</v>
          </cell>
          <cell r="N2923" t="str">
            <v>B</v>
          </cell>
        </row>
        <row r="2924">
          <cell r="B2924" t="str">
            <v>1005 / GCBC-19|</v>
          </cell>
          <cell r="C2924" t="str">
            <v>D8484480K2PL</v>
          </cell>
          <cell r="D2924" t="str">
            <v>YV3T7U524KA195688</v>
          </cell>
          <cell r="E2924" t="str">
            <v>Volvo</v>
          </cell>
          <cell r="F2924" t="str">
            <v>B8R</v>
          </cell>
          <cell r="G2924" t="str">
            <v>MARCOPOLO</v>
          </cell>
          <cell r="H2924" t="str">
            <v>TORINO</v>
          </cell>
          <cell r="I2924">
            <v>2019</v>
          </cell>
          <cell r="J2924" t="str">
            <v>B2PAL</v>
          </cell>
          <cell r="K2924" t="str">
            <v>SAN JOSE</v>
          </cell>
          <cell r="L2924" t="str">
            <v>San José 030 (José Besa 669)</v>
          </cell>
          <cell r="M2924" t="str">
            <v>San Bernardo</v>
          </cell>
          <cell r="N2924" t="str">
            <v>B</v>
          </cell>
        </row>
        <row r="2925">
          <cell r="B2925" t="str">
            <v>1006 / GCBC-20|</v>
          </cell>
          <cell r="C2925" t="str">
            <v>D8484637K2PL</v>
          </cell>
          <cell r="D2925" t="str">
            <v>YV3T7U528KA195712</v>
          </cell>
          <cell r="E2925" t="str">
            <v>Volvo</v>
          </cell>
          <cell r="F2925" t="str">
            <v>B8R</v>
          </cell>
          <cell r="G2925" t="str">
            <v>MARCOPOLO</v>
          </cell>
          <cell r="H2925" t="str">
            <v>TORINO</v>
          </cell>
          <cell r="I2925">
            <v>2019</v>
          </cell>
          <cell r="J2925" t="str">
            <v>B2PAL</v>
          </cell>
          <cell r="K2925" t="str">
            <v>SAN JOSE</v>
          </cell>
          <cell r="L2925" t="str">
            <v>San José 030 (José Besa 669)</v>
          </cell>
          <cell r="M2925" t="str">
            <v>San Bernardo</v>
          </cell>
          <cell r="N2925" t="str">
            <v>B</v>
          </cell>
        </row>
        <row r="2926">
          <cell r="B2926" t="str">
            <v>1007 / GCBC-21|</v>
          </cell>
          <cell r="C2926" t="str">
            <v>D8484676K2PL</v>
          </cell>
          <cell r="D2926" t="str">
            <v>YV3T7U52XKA195713</v>
          </cell>
          <cell r="E2926" t="str">
            <v>Volvo</v>
          </cell>
          <cell r="F2926" t="str">
            <v>B8R</v>
          </cell>
          <cell r="G2926" t="str">
            <v>MARCOPOLO</v>
          </cell>
          <cell r="H2926" t="str">
            <v>TORINO</v>
          </cell>
          <cell r="I2926">
            <v>2019</v>
          </cell>
          <cell r="J2926" t="str">
            <v>B2PAL</v>
          </cell>
          <cell r="K2926" t="str">
            <v>LOS LIBERTADORES</v>
          </cell>
          <cell r="L2926" t="str">
            <v>Los Liberadores 6450, Lote 4A</v>
          </cell>
          <cell r="M2926" t="str">
            <v>Huechuraba</v>
          </cell>
          <cell r="N2926" t="str">
            <v>B</v>
          </cell>
        </row>
        <row r="2927">
          <cell r="B2927" t="str">
            <v>1008 / GCBC-22|</v>
          </cell>
          <cell r="C2927" t="str">
            <v>D8484733K2PL</v>
          </cell>
          <cell r="D2927" t="str">
            <v>YV3T7U526KA195742</v>
          </cell>
          <cell r="E2927" t="str">
            <v>Volvo</v>
          </cell>
          <cell r="F2927" t="str">
            <v>B8R</v>
          </cell>
          <cell r="G2927" t="str">
            <v>MARCOPOLO</v>
          </cell>
          <cell r="H2927" t="str">
            <v>TORINO</v>
          </cell>
          <cell r="I2927">
            <v>2019</v>
          </cell>
          <cell r="J2927" t="str">
            <v>B2PAL</v>
          </cell>
          <cell r="K2927" t="str">
            <v>LOS LIBERTADORES</v>
          </cell>
          <cell r="L2927" t="str">
            <v>Los Liberadores 6450, Lote 4A</v>
          </cell>
          <cell r="M2927" t="str">
            <v>Huechuraba</v>
          </cell>
          <cell r="N2927" t="str">
            <v>B</v>
          </cell>
        </row>
        <row r="2928">
          <cell r="B2928" t="str">
            <v>1009 / GCBC-23|</v>
          </cell>
          <cell r="C2928" t="str">
            <v>D8481621K2PL</v>
          </cell>
          <cell r="D2928" t="str">
            <v>YV3T7U528KA195175</v>
          </cell>
          <cell r="E2928" t="str">
            <v>Volvo</v>
          </cell>
          <cell r="F2928" t="str">
            <v>B8R</v>
          </cell>
          <cell r="G2928" t="str">
            <v>MARCOPOLO</v>
          </cell>
          <cell r="H2928" t="str">
            <v>TORINO</v>
          </cell>
          <cell r="I2928">
            <v>2019</v>
          </cell>
          <cell r="J2928" t="str">
            <v>B2PAL</v>
          </cell>
          <cell r="K2928" t="str">
            <v>LOS LIBERTADORES</v>
          </cell>
          <cell r="L2928" t="str">
            <v>Los Liberadores 6450, Lote 4A</v>
          </cell>
          <cell r="M2928" t="str">
            <v>Huechuraba</v>
          </cell>
          <cell r="N2928" t="str">
            <v>B</v>
          </cell>
        </row>
        <row r="2929">
          <cell r="B2929" t="str">
            <v>1010 / GCBB-16|</v>
          </cell>
          <cell r="C2929" t="str">
            <v>D8482769K2PL</v>
          </cell>
          <cell r="D2929" t="str">
            <v>YV3T7U522KA195303</v>
          </cell>
          <cell r="E2929" t="str">
            <v>Volvo</v>
          </cell>
          <cell r="F2929" t="str">
            <v>B8R</v>
          </cell>
          <cell r="G2929" t="str">
            <v>MARCOPOLO</v>
          </cell>
          <cell r="H2929" t="str">
            <v>TORINO</v>
          </cell>
          <cell r="I2929">
            <v>2019</v>
          </cell>
          <cell r="J2929" t="str">
            <v>B2PAL</v>
          </cell>
          <cell r="K2929" t="str">
            <v>LOS LIBERTADORES</v>
          </cell>
          <cell r="L2929" t="str">
            <v>Los Liberadores 6450, Lote 4A</v>
          </cell>
          <cell r="M2929" t="str">
            <v>Huechuraba</v>
          </cell>
          <cell r="N2929" t="str">
            <v>B</v>
          </cell>
        </row>
        <row r="2930">
          <cell r="B2930" t="str">
            <v>1011 / GCBB-17|</v>
          </cell>
          <cell r="C2930" t="str">
            <v>D8478205K2PL</v>
          </cell>
          <cell r="D2930" t="str">
            <v>YV3T7U520KA195140</v>
          </cell>
          <cell r="E2930" t="str">
            <v>Volvo</v>
          </cell>
          <cell r="F2930" t="str">
            <v>B8R</v>
          </cell>
          <cell r="G2930" t="str">
            <v>MARCOPOLO</v>
          </cell>
          <cell r="H2930" t="str">
            <v>TORINO</v>
          </cell>
          <cell r="I2930">
            <v>2019</v>
          </cell>
          <cell r="J2930" t="str">
            <v>B2PAL</v>
          </cell>
          <cell r="K2930" t="str">
            <v>LOS LIBERTADORES</v>
          </cell>
          <cell r="L2930" t="str">
            <v>Los Liberadores 6450, Lote 4A</v>
          </cell>
          <cell r="M2930" t="str">
            <v>Huechuraba</v>
          </cell>
          <cell r="N2930" t="str">
            <v>B</v>
          </cell>
        </row>
        <row r="2931">
          <cell r="B2931" t="str">
            <v>1012 / GCBB-18|</v>
          </cell>
          <cell r="C2931" t="str">
            <v>D8481556K2PL</v>
          </cell>
          <cell r="D2931" t="str">
            <v>YV3T7U521KA195177</v>
          </cell>
          <cell r="E2931" t="str">
            <v>Volvo</v>
          </cell>
          <cell r="F2931" t="str">
            <v>B8R</v>
          </cell>
          <cell r="G2931" t="str">
            <v>MARCOPOLO</v>
          </cell>
          <cell r="H2931" t="str">
            <v>TORINO</v>
          </cell>
          <cell r="I2931">
            <v>2019</v>
          </cell>
          <cell r="J2931" t="str">
            <v>B2PAL</v>
          </cell>
          <cell r="K2931" t="str">
            <v>SAN JOSE</v>
          </cell>
          <cell r="L2931" t="str">
            <v>San José 030 (José Besa 669)</v>
          </cell>
          <cell r="M2931" t="str">
            <v>San Bernardo</v>
          </cell>
          <cell r="N2931" t="str">
            <v>B</v>
          </cell>
        </row>
        <row r="2932">
          <cell r="B2932" t="str">
            <v>1013 / GCBB-19|</v>
          </cell>
          <cell r="C2932" t="str">
            <v>D8482482K2PL</v>
          </cell>
          <cell r="D2932" t="str">
            <v>YV3T7U523KA195326</v>
          </cell>
          <cell r="E2932" t="str">
            <v>Volvo</v>
          </cell>
          <cell r="F2932" t="str">
            <v>B8R</v>
          </cell>
          <cell r="G2932" t="str">
            <v>MARCOPOLO</v>
          </cell>
          <cell r="H2932" t="str">
            <v>TORINO</v>
          </cell>
          <cell r="I2932">
            <v>2019</v>
          </cell>
          <cell r="J2932" t="str">
            <v>B2PAL</v>
          </cell>
          <cell r="K2932" t="str">
            <v>LOS LIBERTADORES</v>
          </cell>
          <cell r="L2932" t="str">
            <v>Los Liberadores 6450, Lote 4A</v>
          </cell>
          <cell r="M2932" t="str">
            <v>Huechuraba</v>
          </cell>
          <cell r="N2932" t="str">
            <v>B</v>
          </cell>
        </row>
        <row r="2933">
          <cell r="B2933" t="str">
            <v>1014 / GCBB-20|</v>
          </cell>
          <cell r="C2933" t="str">
            <v>D8482478K2PL</v>
          </cell>
          <cell r="D2933" t="str">
            <v>YV3T7U525KA195327</v>
          </cell>
          <cell r="E2933" t="str">
            <v>Volvo</v>
          </cell>
          <cell r="F2933" t="str">
            <v>B8R</v>
          </cell>
          <cell r="G2933" t="str">
            <v>MARCOPOLO</v>
          </cell>
          <cell r="H2933" t="str">
            <v>TORINO</v>
          </cell>
          <cell r="I2933">
            <v>2019</v>
          </cell>
          <cell r="J2933" t="str">
            <v>B2PAL</v>
          </cell>
          <cell r="K2933" t="str">
            <v>LOS LIBERTADORES</v>
          </cell>
          <cell r="L2933" t="str">
            <v>Los Liberadores 6450, Lote 4A</v>
          </cell>
          <cell r="M2933" t="str">
            <v>Huechuraba</v>
          </cell>
          <cell r="N2933" t="str">
            <v>B</v>
          </cell>
        </row>
        <row r="2934">
          <cell r="B2934" t="str">
            <v>1015 / GCBB-21|</v>
          </cell>
          <cell r="C2934" t="str">
            <v>D8482400K2PL</v>
          </cell>
          <cell r="D2934" t="str">
            <v>YV3T7U527KA195328</v>
          </cell>
          <cell r="E2934" t="str">
            <v>Volvo</v>
          </cell>
          <cell r="F2934" t="str">
            <v>B8R</v>
          </cell>
          <cell r="G2934" t="str">
            <v>MARCOPOLO</v>
          </cell>
          <cell r="H2934" t="str">
            <v>TORINO</v>
          </cell>
          <cell r="I2934">
            <v>2019</v>
          </cell>
          <cell r="J2934" t="str">
            <v>B2PAL</v>
          </cell>
          <cell r="K2934" t="str">
            <v>LOS LIBERTADORES</v>
          </cell>
          <cell r="L2934" t="str">
            <v>Los Liberadores 6450, Lote 4A</v>
          </cell>
          <cell r="M2934" t="str">
            <v>Huechuraba</v>
          </cell>
          <cell r="N2934" t="str">
            <v>B</v>
          </cell>
        </row>
        <row r="2935">
          <cell r="B2935" t="str">
            <v>1016 / GCBB-22|</v>
          </cell>
          <cell r="C2935" t="str">
            <v>D8482554K2PL</v>
          </cell>
          <cell r="D2935" t="str">
            <v>YV3T7U520KA195350</v>
          </cell>
          <cell r="E2935" t="str">
            <v>Volvo</v>
          </cell>
          <cell r="F2935" t="str">
            <v>B8R</v>
          </cell>
          <cell r="G2935" t="str">
            <v>MARCOPOLO</v>
          </cell>
          <cell r="H2935" t="str">
            <v>TORINO</v>
          </cell>
          <cell r="I2935">
            <v>2019</v>
          </cell>
          <cell r="J2935" t="str">
            <v>B2PAL</v>
          </cell>
          <cell r="K2935" t="str">
            <v>LOS LIBERTADORES</v>
          </cell>
          <cell r="L2935" t="str">
            <v>Los Liberadores 6450, Lote 4A</v>
          </cell>
          <cell r="M2935" t="str">
            <v>Huechuraba</v>
          </cell>
          <cell r="N2935" t="str">
            <v>B</v>
          </cell>
        </row>
        <row r="2936">
          <cell r="B2936" t="str">
            <v>1017 / GCBB-23|</v>
          </cell>
          <cell r="C2936" t="str">
            <v>D8482519K2PL</v>
          </cell>
          <cell r="D2936" t="str">
            <v>YV3T7U522KA195351</v>
          </cell>
          <cell r="E2936" t="str">
            <v>Volvo</v>
          </cell>
          <cell r="F2936" t="str">
            <v>B8R</v>
          </cell>
          <cell r="G2936" t="str">
            <v>MARCOPOLO</v>
          </cell>
          <cell r="H2936" t="str">
            <v>TORINO</v>
          </cell>
          <cell r="I2936">
            <v>2019</v>
          </cell>
          <cell r="J2936" t="str">
            <v>B2PAL</v>
          </cell>
          <cell r="K2936" t="str">
            <v>LOS LIBERTADORES</v>
          </cell>
          <cell r="L2936" t="str">
            <v>Los Liberadores 6450, Lote 4A</v>
          </cell>
          <cell r="M2936" t="str">
            <v>Huechuraba</v>
          </cell>
          <cell r="N2936" t="str">
            <v>B</v>
          </cell>
        </row>
        <row r="2937">
          <cell r="B2937" t="str">
            <v>1018 / GCBB-24|</v>
          </cell>
          <cell r="C2937" t="str">
            <v>D8482509K2PL</v>
          </cell>
          <cell r="D2937" t="str">
            <v>YV3T7U524KA195352</v>
          </cell>
          <cell r="E2937" t="str">
            <v>Volvo</v>
          </cell>
          <cell r="F2937" t="str">
            <v>B8R</v>
          </cell>
          <cell r="G2937" t="str">
            <v>MARCOPOLO</v>
          </cell>
          <cell r="H2937" t="str">
            <v>TORINO</v>
          </cell>
          <cell r="I2937">
            <v>2019</v>
          </cell>
          <cell r="J2937" t="str">
            <v>B2PAL</v>
          </cell>
          <cell r="K2937" t="str">
            <v>LOS LIBERTADORES</v>
          </cell>
          <cell r="L2937" t="str">
            <v>Los Liberadores 6450, Lote 4A</v>
          </cell>
          <cell r="M2937" t="str">
            <v>Huechuraba</v>
          </cell>
          <cell r="N2937" t="str">
            <v>B</v>
          </cell>
        </row>
        <row r="2938">
          <cell r="B2938" t="str">
            <v>1019 / FLXZ-96|</v>
          </cell>
          <cell r="C2938" t="str">
            <v>D8478282K2PL</v>
          </cell>
          <cell r="D2938" t="str">
            <v>YV3T7U526KA195143</v>
          </cell>
          <cell r="E2938" t="str">
            <v>Volvo</v>
          </cell>
          <cell r="F2938" t="str">
            <v>B8R</v>
          </cell>
          <cell r="G2938" t="str">
            <v>MARCOPOLO</v>
          </cell>
          <cell r="H2938" t="str">
            <v>TORINO</v>
          </cell>
          <cell r="I2938">
            <v>2019</v>
          </cell>
          <cell r="J2938" t="str">
            <v>B2PAL</v>
          </cell>
          <cell r="K2938" t="str">
            <v>LOS LIBERTADORES</v>
          </cell>
          <cell r="L2938" t="str">
            <v>Los Liberadores 6450, Lote 4A</v>
          </cell>
          <cell r="M2938" t="str">
            <v>Huechuraba</v>
          </cell>
          <cell r="N2938" t="str">
            <v>B</v>
          </cell>
        </row>
        <row r="2939">
          <cell r="B2939" t="str">
            <v>1020 / GCBB-25|</v>
          </cell>
          <cell r="C2939" t="str">
            <v>D8482576K2PL</v>
          </cell>
          <cell r="D2939" t="str">
            <v>YV3T7U523KA195357</v>
          </cell>
          <cell r="E2939" t="str">
            <v>Volvo</v>
          </cell>
          <cell r="F2939" t="str">
            <v>B8R</v>
          </cell>
          <cell r="G2939" t="str">
            <v>MARCOPOLO</v>
          </cell>
          <cell r="H2939" t="str">
            <v>TORINO</v>
          </cell>
          <cell r="I2939">
            <v>2019</v>
          </cell>
          <cell r="J2939" t="str">
            <v>B2PAL</v>
          </cell>
          <cell r="K2939" t="str">
            <v>LOS LIBERTADORES</v>
          </cell>
          <cell r="L2939" t="str">
            <v>Los Liberadores 6450, Lote 4A</v>
          </cell>
          <cell r="M2939" t="str">
            <v>Huechuraba</v>
          </cell>
          <cell r="N2939" t="str">
            <v>B</v>
          </cell>
        </row>
        <row r="2940">
          <cell r="B2940" t="str">
            <v>1021 / GCBB-26|</v>
          </cell>
          <cell r="C2940" t="str">
            <v>D8482502K2PL</v>
          </cell>
          <cell r="D2940" t="str">
            <v>YV3T7U523KA195360</v>
          </cell>
          <cell r="E2940" t="str">
            <v>Volvo</v>
          </cell>
          <cell r="F2940" t="str">
            <v>B8R</v>
          </cell>
          <cell r="G2940" t="str">
            <v>MARCOPOLO</v>
          </cell>
          <cell r="H2940" t="str">
            <v>TORINO</v>
          </cell>
          <cell r="I2940">
            <v>2019</v>
          </cell>
          <cell r="J2940" t="str">
            <v>B2PAL</v>
          </cell>
          <cell r="K2940" t="str">
            <v>LOS LIBERTADORES</v>
          </cell>
          <cell r="L2940" t="str">
            <v>Los Liberadores 6450, Lote 4A</v>
          </cell>
          <cell r="M2940" t="str">
            <v>Huechuraba</v>
          </cell>
          <cell r="N2940" t="str">
            <v>B</v>
          </cell>
        </row>
        <row r="2941">
          <cell r="B2941" t="str">
            <v>1022 / GCBB-27|</v>
          </cell>
          <cell r="C2941" t="str">
            <v>D8482597K2PL</v>
          </cell>
          <cell r="D2941" t="str">
            <v>YV3T7U525KA195361</v>
          </cell>
          <cell r="E2941" t="str">
            <v>Volvo</v>
          </cell>
          <cell r="F2941" t="str">
            <v>B8R</v>
          </cell>
          <cell r="G2941" t="str">
            <v>MARCOPOLO</v>
          </cell>
          <cell r="H2941" t="str">
            <v>TORINO</v>
          </cell>
          <cell r="I2941">
            <v>2019</v>
          </cell>
          <cell r="J2941" t="str">
            <v>B2PAL</v>
          </cell>
          <cell r="K2941" t="str">
            <v>LOS LIBERTADORES</v>
          </cell>
          <cell r="L2941" t="str">
            <v>Los Liberadores 6450, Lote 4A</v>
          </cell>
          <cell r="M2941" t="str">
            <v>Huechuraba</v>
          </cell>
          <cell r="N2941" t="str">
            <v>B</v>
          </cell>
        </row>
        <row r="2942">
          <cell r="B2942" t="str">
            <v>1023 / GCBB-28|</v>
          </cell>
          <cell r="C2942" t="str">
            <v>D8481798K2PL</v>
          </cell>
          <cell r="D2942" t="str">
            <v>YV3T7U527KA195460</v>
          </cell>
          <cell r="E2942" t="str">
            <v>Volvo</v>
          </cell>
          <cell r="F2942" t="str">
            <v>B8R</v>
          </cell>
          <cell r="G2942" t="str">
            <v>MARCOPOLO</v>
          </cell>
          <cell r="H2942" t="str">
            <v>TORINO</v>
          </cell>
          <cell r="I2942">
            <v>2019</v>
          </cell>
          <cell r="J2942" t="str">
            <v>B2PAL</v>
          </cell>
          <cell r="K2942" t="str">
            <v>LOS LIBERTADORES</v>
          </cell>
          <cell r="L2942" t="str">
            <v>Los Liberadores 6450, Lote 4A</v>
          </cell>
          <cell r="M2942" t="str">
            <v>Huechuraba</v>
          </cell>
          <cell r="N2942" t="str">
            <v>B</v>
          </cell>
        </row>
        <row r="2943">
          <cell r="B2943" t="str">
            <v>1024 / GCBB-29|</v>
          </cell>
          <cell r="C2943" t="str">
            <v>D8481794K2PL</v>
          </cell>
          <cell r="D2943" t="str">
            <v>YV3T7U529KA195461</v>
          </cell>
          <cell r="E2943" t="str">
            <v>Volvo</v>
          </cell>
          <cell r="F2943" t="str">
            <v>B8R</v>
          </cell>
          <cell r="G2943" t="str">
            <v>MARCOPOLO</v>
          </cell>
          <cell r="H2943" t="str">
            <v>TORINO</v>
          </cell>
          <cell r="I2943">
            <v>2019</v>
          </cell>
          <cell r="J2943" t="str">
            <v>B2PAL</v>
          </cell>
          <cell r="K2943" t="str">
            <v>LOS LIBERTADORES</v>
          </cell>
          <cell r="L2943" t="str">
            <v>Los Liberadores 6450, Lote 4A</v>
          </cell>
          <cell r="M2943" t="str">
            <v>Huechuraba</v>
          </cell>
          <cell r="N2943" t="str">
            <v>B</v>
          </cell>
        </row>
        <row r="2944">
          <cell r="B2944" t="str">
            <v>1025 / GCBB-30|</v>
          </cell>
          <cell r="C2944" t="str">
            <v>D8483045K2PL</v>
          </cell>
          <cell r="D2944" t="str">
            <v>YV3T7U520KA195462</v>
          </cell>
          <cell r="E2944" t="str">
            <v>Volvo</v>
          </cell>
          <cell r="F2944" t="str">
            <v>B8R</v>
          </cell>
          <cell r="G2944" t="str">
            <v>MARCOPOLO</v>
          </cell>
          <cell r="H2944" t="str">
            <v>TORINO</v>
          </cell>
          <cell r="I2944">
            <v>2019</v>
          </cell>
          <cell r="J2944" t="str">
            <v>B2PAL</v>
          </cell>
          <cell r="K2944" t="str">
            <v>LOS LIBERTADORES</v>
          </cell>
          <cell r="L2944" t="str">
            <v>Los Liberadores 6450, Lote 4A</v>
          </cell>
          <cell r="M2944" t="str">
            <v>Huechuraba</v>
          </cell>
          <cell r="N2944" t="str">
            <v>B</v>
          </cell>
        </row>
        <row r="2945">
          <cell r="B2945" t="str">
            <v>1026 / GCBB-31|</v>
          </cell>
          <cell r="C2945" t="str">
            <v>D8483063K2PL</v>
          </cell>
          <cell r="D2945" t="str">
            <v>YV3T7U522KA195463</v>
          </cell>
          <cell r="E2945" t="str">
            <v>Volvo</v>
          </cell>
          <cell r="F2945" t="str">
            <v>B8R</v>
          </cell>
          <cell r="G2945" t="str">
            <v>MARCOPOLO</v>
          </cell>
          <cell r="H2945" t="str">
            <v>TORINO</v>
          </cell>
          <cell r="I2945">
            <v>2019</v>
          </cell>
          <cell r="J2945" t="str">
            <v>B2PAL</v>
          </cell>
          <cell r="K2945" t="str">
            <v>LOS LIBERTADORES</v>
          </cell>
          <cell r="L2945" t="str">
            <v>Los Liberadores 6450, Lote 4A</v>
          </cell>
          <cell r="M2945" t="str">
            <v>Huechuraba</v>
          </cell>
          <cell r="N2945" t="str">
            <v>B</v>
          </cell>
        </row>
        <row r="2946">
          <cell r="B2946" t="str">
            <v>1027 / GCBB-32|</v>
          </cell>
          <cell r="C2946" t="str">
            <v>D8483109K2PL</v>
          </cell>
          <cell r="D2946" t="str">
            <v>YV3T7U523KA195486</v>
          </cell>
          <cell r="E2946" t="str">
            <v>Volvo</v>
          </cell>
          <cell r="F2946" t="str">
            <v>B8R</v>
          </cell>
          <cell r="G2946" t="str">
            <v>MARCOPOLO</v>
          </cell>
          <cell r="H2946" t="str">
            <v>TORINO</v>
          </cell>
          <cell r="I2946">
            <v>2019</v>
          </cell>
          <cell r="J2946" t="str">
            <v>B2PAL</v>
          </cell>
          <cell r="K2946" t="str">
            <v>LOS LIBERTADORES</v>
          </cell>
          <cell r="L2946" t="str">
            <v>Los Liberadores 6450, Lote 4A</v>
          </cell>
          <cell r="M2946" t="str">
            <v>Huechuraba</v>
          </cell>
          <cell r="N2946" t="str">
            <v>B</v>
          </cell>
        </row>
        <row r="2947">
          <cell r="B2947" t="str">
            <v>GCBC-33|</v>
          </cell>
          <cell r="C2947" t="str">
            <v>D8483197K2PL</v>
          </cell>
          <cell r="D2947" t="str">
            <v>YV3T7U526KA195532</v>
          </cell>
          <cell r="E2947" t="str">
            <v>Volvo</v>
          </cell>
          <cell r="F2947" t="str">
            <v>B8R</v>
          </cell>
          <cell r="G2947" t="str">
            <v>MARCOPOLO</v>
          </cell>
          <cell r="H2947" t="str">
            <v>TORINO</v>
          </cell>
          <cell r="I2947">
            <v>2019</v>
          </cell>
          <cell r="J2947" t="str">
            <v>B2PAL</v>
          </cell>
          <cell r="K2947" t="str">
            <v>LOS LIBERTADORES</v>
          </cell>
          <cell r="L2947" t="str">
            <v>Los Liberadores 6450, Lote 4A</v>
          </cell>
          <cell r="M2947" t="str">
            <v>Huechuraba</v>
          </cell>
          <cell r="N2947" t="str">
            <v>B</v>
          </cell>
        </row>
        <row r="2948">
          <cell r="B2948" t="str">
            <v>1029 / GCBB-34|</v>
          </cell>
          <cell r="C2948" t="str">
            <v>D8483194K2PL</v>
          </cell>
          <cell r="D2948" t="str">
            <v>YV3T7U528KA195533</v>
          </cell>
          <cell r="E2948" t="str">
            <v>Volvo</v>
          </cell>
          <cell r="F2948" t="str">
            <v>B8R</v>
          </cell>
          <cell r="G2948" t="str">
            <v>MARCOPOLO</v>
          </cell>
          <cell r="H2948" t="str">
            <v>TORINO</v>
          </cell>
          <cell r="I2948">
            <v>2019</v>
          </cell>
          <cell r="J2948" t="str">
            <v>B2PAL</v>
          </cell>
          <cell r="K2948" t="str">
            <v>LOS LIBERTADORES</v>
          </cell>
          <cell r="L2948" t="str">
            <v>Los Liberadores 6450, Lote 4A</v>
          </cell>
          <cell r="M2948" t="str">
            <v>Huechuraba</v>
          </cell>
          <cell r="N2948" t="str">
            <v>B</v>
          </cell>
        </row>
        <row r="2949">
          <cell r="B2949" t="str">
            <v>1030 / FLXZ-97|</v>
          </cell>
          <cell r="C2949" t="str">
            <v>D8478297K2PL</v>
          </cell>
          <cell r="D2949" t="str">
            <v>YV3T7U528KA195144</v>
          </cell>
          <cell r="E2949" t="str">
            <v>Volvo</v>
          </cell>
          <cell r="F2949" t="str">
            <v>B8R</v>
          </cell>
          <cell r="G2949" t="str">
            <v>MARCOPOLO</v>
          </cell>
          <cell r="H2949" t="str">
            <v>TORINO</v>
          </cell>
          <cell r="I2949">
            <v>2019</v>
          </cell>
          <cell r="J2949" t="str">
            <v>B2PAL</v>
          </cell>
          <cell r="K2949" t="str">
            <v>LOS LIBERTADORES</v>
          </cell>
          <cell r="L2949" t="str">
            <v>Los Liberadores 6450, Lote 4A</v>
          </cell>
          <cell r="M2949" t="str">
            <v>Huechuraba</v>
          </cell>
          <cell r="N2949" t="str">
            <v>B</v>
          </cell>
        </row>
        <row r="2950">
          <cell r="B2950" t="str">
            <v>1031 / GCBB-35|</v>
          </cell>
          <cell r="C2950" t="str">
            <v>D8483221K2PL</v>
          </cell>
          <cell r="D2950" t="str">
            <v>YV3T7U521KA195535</v>
          </cell>
          <cell r="E2950" t="str">
            <v>Volvo</v>
          </cell>
          <cell r="F2950" t="str">
            <v>B8R</v>
          </cell>
          <cell r="G2950" t="str">
            <v>MARCOPOLO</v>
          </cell>
          <cell r="H2950" t="str">
            <v>TORINO</v>
          </cell>
          <cell r="I2950">
            <v>2019</v>
          </cell>
          <cell r="J2950" t="str">
            <v>B2PAL</v>
          </cell>
          <cell r="K2950" t="str">
            <v>LOS LIBERTADORES</v>
          </cell>
          <cell r="L2950" t="str">
            <v>Los Liberadores 6450, Lote 4A</v>
          </cell>
          <cell r="M2950" t="str">
            <v>Huechuraba</v>
          </cell>
          <cell r="N2950" t="str">
            <v>B</v>
          </cell>
        </row>
        <row r="2951">
          <cell r="B2951" t="str">
            <v>1032 / GCBB-36|</v>
          </cell>
          <cell r="C2951" t="str">
            <v>D89303077</v>
          </cell>
          <cell r="D2951" t="str">
            <v>YV3T7U523KA195553</v>
          </cell>
          <cell r="E2951" t="str">
            <v>Volvo</v>
          </cell>
          <cell r="F2951" t="str">
            <v>B8R</v>
          </cell>
          <cell r="G2951" t="str">
            <v>MARCOPOLO</v>
          </cell>
          <cell r="H2951" t="str">
            <v>TORINO</v>
          </cell>
          <cell r="I2951">
            <v>2019</v>
          </cell>
          <cell r="J2951" t="str">
            <v>B2PAL</v>
          </cell>
          <cell r="K2951" t="str">
            <v>LOS LIBERTADORES</v>
          </cell>
          <cell r="L2951" t="str">
            <v>Los Liberadores 6450, Lote 4A</v>
          </cell>
          <cell r="M2951" t="str">
            <v>Huechuraba</v>
          </cell>
          <cell r="N2951" t="str">
            <v>B</v>
          </cell>
        </row>
        <row r="2952">
          <cell r="B2952" t="str">
            <v>1033 / GCBB-37|</v>
          </cell>
          <cell r="C2952" t="str">
            <v>D8483453K2PL</v>
          </cell>
          <cell r="D2952" t="str">
            <v>YV3T7U527KA195572</v>
          </cell>
          <cell r="E2952" t="str">
            <v>Volvo</v>
          </cell>
          <cell r="F2952" t="str">
            <v>B8R</v>
          </cell>
          <cell r="G2952" t="str">
            <v>MARCOPOLO</v>
          </cell>
          <cell r="H2952" t="str">
            <v>TORINO</v>
          </cell>
          <cell r="I2952">
            <v>2019</v>
          </cell>
          <cell r="J2952" t="str">
            <v>B2PAL</v>
          </cell>
          <cell r="K2952" t="str">
            <v>LOS LIBERTADORES</v>
          </cell>
          <cell r="L2952" t="str">
            <v>Los Liberadores 6450, Lote 4A</v>
          </cell>
          <cell r="M2952" t="str">
            <v>Huechuraba</v>
          </cell>
          <cell r="N2952" t="str">
            <v>B</v>
          </cell>
        </row>
        <row r="2953">
          <cell r="B2953" t="str">
            <v>1034 / GCBB-38|</v>
          </cell>
          <cell r="C2953" t="str">
            <v>D8483890K2PL</v>
          </cell>
          <cell r="D2953" t="str">
            <v>YV3T7U520KA195574</v>
          </cell>
          <cell r="E2953" t="str">
            <v>Volvo</v>
          </cell>
          <cell r="F2953" t="str">
            <v>B8R</v>
          </cell>
          <cell r="G2953" t="str">
            <v>MARCOPOLO</v>
          </cell>
          <cell r="H2953" t="str">
            <v>TORINO</v>
          </cell>
          <cell r="I2953">
            <v>2019</v>
          </cell>
          <cell r="J2953" t="str">
            <v>B2PAL</v>
          </cell>
          <cell r="K2953" t="str">
            <v>LOS LIBERTADORES</v>
          </cell>
          <cell r="L2953" t="str">
            <v>Los Liberadores 6450, Lote 4A</v>
          </cell>
          <cell r="M2953" t="str">
            <v>Huechuraba</v>
          </cell>
          <cell r="N2953" t="str">
            <v>B</v>
          </cell>
        </row>
        <row r="2954">
          <cell r="B2954" t="str">
            <v>1035 / GCBB-39|</v>
          </cell>
          <cell r="C2954" t="str">
            <v>D8478276K2PL</v>
          </cell>
          <cell r="D2954" t="str">
            <v>YV3T7U522KA195141</v>
          </cell>
          <cell r="E2954" t="str">
            <v>Volvo</v>
          </cell>
          <cell r="F2954" t="str">
            <v>B8R</v>
          </cell>
          <cell r="G2954" t="str">
            <v>MARCOPOLO</v>
          </cell>
          <cell r="H2954" t="str">
            <v>TORINO</v>
          </cell>
          <cell r="I2954">
            <v>2019</v>
          </cell>
          <cell r="J2954" t="str">
            <v>B2PAL</v>
          </cell>
          <cell r="K2954" t="str">
            <v>LOS LIBERTADORES</v>
          </cell>
          <cell r="L2954" t="str">
            <v>Los Liberadores 6450, Lote 4A</v>
          </cell>
          <cell r="M2954" t="str">
            <v>Huechuraba</v>
          </cell>
          <cell r="N2954" t="str">
            <v>B</v>
          </cell>
        </row>
        <row r="2955">
          <cell r="B2955" t="str">
            <v>1036 / GCBB-40|</v>
          </cell>
          <cell r="C2955" t="str">
            <v>D8481604K2PL</v>
          </cell>
          <cell r="D2955" t="str">
            <v>YV3T7U52XKA195145</v>
          </cell>
          <cell r="E2955" t="str">
            <v>Volvo</v>
          </cell>
          <cell r="F2955" t="str">
            <v>B8R</v>
          </cell>
          <cell r="G2955" t="str">
            <v>MARCOPOLO</v>
          </cell>
          <cell r="H2955" t="str">
            <v>TORINO</v>
          </cell>
          <cell r="I2955">
            <v>2019</v>
          </cell>
          <cell r="J2955" t="str">
            <v>B2PAL</v>
          </cell>
          <cell r="K2955" t="str">
            <v>LOS LIBERTADORES</v>
          </cell>
          <cell r="L2955" t="str">
            <v>Los Liberadores 6450, Lote 4A</v>
          </cell>
          <cell r="M2955" t="str">
            <v>Huechuraba</v>
          </cell>
          <cell r="N2955" t="str">
            <v>B</v>
          </cell>
        </row>
        <row r="2956">
          <cell r="B2956" t="str">
            <v>1037 / GCBB-41|</v>
          </cell>
          <cell r="C2956" t="str">
            <v>D8481609K2PL</v>
          </cell>
          <cell r="D2956" t="str">
            <v>YV3T7U521KA195146</v>
          </cell>
          <cell r="E2956" t="str">
            <v>Volvo</v>
          </cell>
          <cell r="F2956" t="str">
            <v>B8R</v>
          </cell>
          <cell r="G2956" t="str">
            <v>MARCOPOLO</v>
          </cell>
          <cell r="H2956" t="str">
            <v>TORINO</v>
          </cell>
          <cell r="I2956">
            <v>2019</v>
          </cell>
          <cell r="J2956" t="str">
            <v>B2PAL</v>
          </cell>
          <cell r="K2956" t="str">
            <v>LOS LIBERTADORES</v>
          </cell>
          <cell r="L2956" t="str">
            <v>Los Liberadores 6450, Lote 4A</v>
          </cell>
          <cell r="M2956" t="str">
            <v>Huechuraba</v>
          </cell>
          <cell r="N2956" t="str">
            <v>B</v>
          </cell>
        </row>
        <row r="2957">
          <cell r="B2957" t="str">
            <v>1038 / GCBB-42|</v>
          </cell>
          <cell r="C2957" t="str">
            <v>D8478221K2PL</v>
          </cell>
          <cell r="D2957" t="str">
            <v>YV3T7U523KA195147</v>
          </cell>
          <cell r="E2957" t="str">
            <v>Volvo</v>
          </cell>
          <cell r="F2957" t="str">
            <v>B8R</v>
          </cell>
          <cell r="G2957" t="str">
            <v>MARCOPOLO</v>
          </cell>
          <cell r="H2957" t="str">
            <v>TORINO</v>
          </cell>
          <cell r="I2957">
            <v>2019</v>
          </cell>
          <cell r="J2957" t="str">
            <v>B2PAL</v>
          </cell>
          <cell r="K2957" t="str">
            <v>LOS LIBERTADORES</v>
          </cell>
          <cell r="L2957" t="str">
            <v>Los Liberadores 6450, Lote 4A</v>
          </cell>
          <cell r="M2957" t="str">
            <v>Huechuraba</v>
          </cell>
          <cell r="N2957" t="str">
            <v>B</v>
          </cell>
        </row>
        <row r="2958">
          <cell r="B2958" t="str">
            <v>1039 / GCBB-43|</v>
          </cell>
          <cell r="C2958" t="str">
            <v>D8478290K2PL</v>
          </cell>
          <cell r="D2958" t="str">
            <v>YV3T7U525KA195148</v>
          </cell>
          <cell r="E2958" t="str">
            <v>Volvo</v>
          </cell>
          <cell r="F2958" t="str">
            <v>B8R</v>
          </cell>
          <cell r="G2958" t="str">
            <v>MARCOPOLO</v>
          </cell>
          <cell r="H2958" t="str">
            <v>TORINO</v>
          </cell>
          <cell r="I2958">
            <v>2019</v>
          </cell>
          <cell r="J2958" t="str">
            <v>B2PAL</v>
          </cell>
          <cell r="K2958" t="str">
            <v>LOS LIBERTADORES</v>
          </cell>
          <cell r="L2958" t="str">
            <v>Los Liberadores 6450, Lote 4A</v>
          </cell>
          <cell r="M2958" t="str">
            <v>Huechuraba</v>
          </cell>
          <cell r="N2958" t="str">
            <v>B</v>
          </cell>
        </row>
        <row r="2959">
          <cell r="B2959" t="str">
            <v>1040 / GCBB-44|</v>
          </cell>
          <cell r="C2959" t="str">
            <v>D8481517K2PL</v>
          </cell>
          <cell r="D2959" t="str">
            <v>YV3T7U520KA195171</v>
          </cell>
          <cell r="E2959" t="str">
            <v>Volvo</v>
          </cell>
          <cell r="F2959" t="str">
            <v>B8R</v>
          </cell>
          <cell r="G2959" t="str">
            <v>MARCOPOLO</v>
          </cell>
          <cell r="H2959" t="str">
            <v>TORINO</v>
          </cell>
          <cell r="I2959">
            <v>2019</v>
          </cell>
          <cell r="J2959" t="str">
            <v>B2PAL</v>
          </cell>
          <cell r="K2959" t="str">
            <v>LOS LIBERTADORES</v>
          </cell>
          <cell r="L2959" t="str">
            <v>Los Liberadores 6450, Lote 4A</v>
          </cell>
          <cell r="M2959" t="str">
            <v>Huechuraba</v>
          </cell>
          <cell r="N2959" t="str">
            <v>B</v>
          </cell>
        </row>
        <row r="2960">
          <cell r="B2960" t="str">
            <v>1041 / FLXZ-98|</v>
          </cell>
          <cell r="C2960" t="str">
            <v>D8481625K2PL</v>
          </cell>
          <cell r="D2960" t="str">
            <v>YV3T7U526KA195174</v>
          </cell>
          <cell r="E2960" t="str">
            <v>Volvo</v>
          </cell>
          <cell r="F2960" t="str">
            <v>B8R</v>
          </cell>
          <cell r="G2960" t="str">
            <v>MARCOPOLO</v>
          </cell>
          <cell r="H2960" t="str">
            <v>TORINO</v>
          </cell>
          <cell r="I2960">
            <v>2019</v>
          </cell>
          <cell r="J2960" t="str">
            <v>B2PAL</v>
          </cell>
          <cell r="K2960" t="str">
            <v>LOS LIBERTADORES</v>
          </cell>
          <cell r="L2960" t="str">
            <v>Los Liberadores 6450, Lote 4A</v>
          </cell>
          <cell r="M2960" t="str">
            <v>Huechuraba</v>
          </cell>
          <cell r="N2960" t="str">
            <v>B</v>
          </cell>
        </row>
        <row r="2961">
          <cell r="B2961" t="str">
            <v>1042 / GCBB-45|</v>
          </cell>
          <cell r="C2961" t="str">
            <v>D8481615K2PL</v>
          </cell>
          <cell r="D2961" t="str">
            <v>YV3T7U524KA195173</v>
          </cell>
          <cell r="E2961" t="str">
            <v>Volvo</v>
          </cell>
          <cell r="F2961" t="str">
            <v>B8R</v>
          </cell>
          <cell r="G2961" t="str">
            <v>MARCOPOLO</v>
          </cell>
          <cell r="H2961" t="str">
            <v>TORINO</v>
          </cell>
          <cell r="I2961">
            <v>2019</v>
          </cell>
          <cell r="J2961" t="str">
            <v>B2PAL</v>
          </cell>
          <cell r="K2961" t="str">
            <v>LOS LIBERTADORES</v>
          </cell>
          <cell r="L2961" t="str">
            <v>Los Liberadores 6450, Lote 4A</v>
          </cell>
          <cell r="M2961" t="str">
            <v>Huechuraba</v>
          </cell>
          <cell r="N2961" t="str">
            <v>B</v>
          </cell>
        </row>
        <row r="2962">
          <cell r="B2962" t="str">
            <v>1043 / GCBB-46|</v>
          </cell>
          <cell r="C2962" t="str">
            <v>D8481618K2PL</v>
          </cell>
          <cell r="D2962" t="str">
            <v>YV3T7U52XKA195176</v>
          </cell>
          <cell r="E2962" t="str">
            <v>Volvo</v>
          </cell>
          <cell r="F2962" t="str">
            <v>B8R</v>
          </cell>
          <cell r="G2962" t="str">
            <v>MARCOPOLO</v>
          </cell>
          <cell r="H2962" t="str">
            <v>TORINO</v>
          </cell>
          <cell r="I2962">
            <v>2019</v>
          </cell>
          <cell r="J2962" t="str">
            <v>B2PAL</v>
          </cell>
          <cell r="K2962" t="str">
            <v>LOS LIBERTADORES</v>
          </cell>
          <cell r="L2962" t="str">
            <v>Los Liberadores 6450, Lote 4A</v>
          </cell>
          <cell r="M2962" t="str">
            <v>Huechuraba</v>
          </cell>
          <cell r="N2962" t="str">
            <v>B</v>
          </cell>
        </row>
        <row r="2963">
          <cell r="B2963" t="str">
            <v>1044 / GCBB-47|</v>
          </cell>
          <cell r="C2963" t="str">
            <v>D8481639K2PL</v>
          </cell>
          <cell r="D2963" t="str">
            <v>YV3T7U523KA195178</v>
          </cell>
          <cell r="E2963" t="str">
            <v>Volvo</v>
          </cell>
          <cell r="F2963" t="str">
            <v>B8R</v>
          </cell>
          <cell r="G2963" t="str">
            <v>MARCOPOLO</v>
          </cell>
          <cell r="H2963" t="str">
            <v>TORINO</v>
          </cell>
          <cell r="I2963">
            <v>2019</v>
          </cell>
          <cell r="J2963" t="str">
            <v>B2PAL</v>
          </cell>
          <cell r="K2963" t="str">
            <v>LOS LIBERTADORES</v>
          </cell>
          <cell r="L2963" t="str">
            <v>Los Liberadores 6450, Lote 4A</v>
          </cell>
          <cell r="M2963" t="str">
            <v>Huechuraba</v>
          </cell>
          <cell r="N2963" t="str">
            <v>B</v>
          </cell>
        </row>
        <row r="2964">
          <cell r="B2964" t="str">
            <v>1045 / GCBB-48|</v>
          </cell>
          <cell r="C2964" t="str">
            <v>D8481597K2PL</v>
          </cell>
          <cell r="D2964" t="str">
            <v>YV3T7U523KA195181</v>
          </cell>
          <cell r="E2964" t="str">
            <v>Volvo</v>
          </cell>
          <cell r="F2964" t="str">
            <v>B8R</v>
          </cell>
          <cell r="G2964" t="str">
            <v>MARCOPOLO</v>
          </cell>
          <cell r="H2964" t="str">
            <v>TORINO</v>
          </cell>
          <cell r="I2964">
            <v>2019</v>
          </cell>
          <cell r="J2964" t="str">
            <v>B2PAL</v>
          </cell>
          <cell r="K2964" t="str">
            <v>LOS LIBERTADORES</v>
          </cell>
          <cell r="L2964" t="str">
            <v>Los Liberadores 6450, Lote 4A</v>
          </cell>
          <cell r="M2964" t="str">
            <v>Huechuraba</v>
          </cell>
          <cell r="N2964" t="str">
            <v>B</v>
          </cell>
        </row>
        <row r="2965">
          <cell r="B2965" t="str">
            <v>1046 / GCBB-49|</v>
          </cell>
          <cell r="C2965" t="str">
            <v>D8481673K2PL</v>
          </cell>
          <cell r="D2965" t="str">
            <v>YV3T7U524KA195190</v>
          </cell>
          <cell r="E2965" t="str">
            <v>Volvo</v>
          </cell>
          <cell r="F2965" t="str">
            <v>B8R</v>
          </cell>
          <cell r="G2965" t="str">
            <v>MARCOPOLO</v>
          </cell>
          <cell r="H2965" t="str">
            <v>TORINO</v>
          </cell>
          <cell r="I2965">
            <v>2019</v>
          </cell>
          <cell r="J2965" t="str">
            <v>B2PAL</v>
          </cell>
          <cell r="K2965" t="str">
            <v>LOS LIBERTADORES</v>
          </cell>
          <cell r="L2965" t="str">
            <v>Los Liberadores 6450, Lote 4A</v>
          </cell>
          <cell r="M2965" t="str">
            <v>Huechuraba</v>
          </cell>
          <cell r="N2965" t="str">
            <v>B</v>
          </cell>
        </row>
        <row r="2966">
          <cell r="B2966" t="str">
            <v>1047 / GCBB-50|</v>
          </cell>
          <cell r="C2966" t="str">
            <v>D8481885K2PL</v>
          </cell>
          <cell r="D2966" t="str">
            <v>YV3T7U526KA195191</v>
          </cell>
          <cell r="E2966" t="str">
            <v>Volvo</v>
          </cell>
          <cell r="F2966" t="str">
            <v>B8R</v>
          </cell>
          <cell r="G2966" t="str">
            <v>MARCOPOLO</v>
          </cell>
          <cell r="H2966" t="str">
            <v>TORINO</v>
          </cell>
          <cell r="I2966">
            <v>2019</v>
          </cell>
          <cell r="J2966" t="str">
            <v>B2PAL</v>
          </cell>
          <cell r="K2966" t="str">
            <v>LOS LIBERTADORES</v>
          </cell>
          <cell r="L2966" t="str">
            <v>Los Liberadores 6450, Lote 4A</v>
          </cell>
          <cell r="M2966" t="str">
            <v>Huechuraba</v>
          </cell>
          <cell r="N2966" t="str">
            <v>B</v>
          </cell>
        </row>
        <row r="2967">
          <cell r="B2967" t="str">
            <v>1048 / GCBB-51|</v>
          </cell>
          <cell r="C2967" t="str">
            <v>D8481866K2PL</v>
          </cell>
          <cell r="D2967" t="str">
            <v>YV3T7U528KA195192</v>
          </cell>
          <cell r="E2967" t="str">
            <v>Volvo</v>
          </cell>
          <cell r="F2967" t="str">
            <v>B8R</v>
          </cell>
          <cell r="G2967" t="str">
            <v>MARCOPOLO</v>
          </cell>
          <cell r="H2967" t="str">
            <v>TORINO</v>
          </cell>
          <cell r="I2967">
            <v>2019</v>
          </cell>
          <cell r="J2967" t="str">
            <v>B2PAL</v>
          </cell>
          <cell r="K2967" t="str">
            <v>LOS LIBERTADORES</v>
          </cell>
          <cell r="L2967" t="str">
            <v>Los Liberadores 6450, Lote 4A</v>
          </cell>
          <cell r="M2967" t="str">
            <v>Huechuraba</v>
          </cell>
          <cell r="N2967" t="str">
            <v>B</v>
          </cell>
        </row>
        <row r="2968">
          <cell r="B2968" t="str">
            <v>1049 / GCBB-52|</v>
          </cell>
          <cell r="C2968" t="str">
            <v>D8481887K2PL</v>
          </cell>
          <cell r="D2968" t="str">
            <v>YV3T7U52XKA195193</v>
          </cell>
          <cell r="E2968" t="str">
            <v>Volvo</v>
          </cell>
          <cell r="F2968" t="str">
            <v>B8R</v>
          </cell>
          <cell r="G2968" t="str">
            <v>MARCOPOLO</v>
          </cell>
          <cell r="H2968" t="str">
            <v>TORINO</v>
          </cell>
          <cell r="I2968">
            <v>2019</v>
          </cell>
          <cell r="J2968" t="str">
            <v>B2PAL</v>
          </cell>
          <cell r="K2968" t="str">
            <v>LOS LIBERTADORES</v>
          </cell>
          <cell r="L2968" t="str">
            <v>Los Liberadores 6450, Lote 4A</v>
          </cell>
          <cell r="M2968" t="str">
            <v>Huechuraba</v>
          </cell>
          <cell r="N2968" t="str">
            <v>B</v>
          </cell>
        </row>
        <row r="2969">
          <cell r="B2969" t="str">
            <v>1050 / GCBB-53|</v>
          </cell>
          <cell r="C2969" t="str">
            <v>D8481478K2PL</v>
          </cell>
          <cell r="D2969" t="str">
            <v>YV3T7U527KA195197</v>
          </cell>
          <cell r="E2969" t="str">
            <v>Volvo</v>
          </cell>
          <cell r="F2969" t="str">
            <v>B8R</v>
          </cell>
          <cell r="G2969" t="str">
            <v>MARCOPOLO</v>
          </cell>
          <cell r="H2969" t="str">
            <v>TORINO</v>
          </cell>
          <cell r="I2969">
            <v>2019</v>
          </cell>
          <cell r="J2969" t="str">
            <v>B2PAL</v>
          </cell>
          <cell r="K2969" t="str">
            <v>LOS LIBERTADORES</v>
          </cell>
          <cell r="L2969" t="str">
            <v>Los Liberadores 6450, Lote 4A</v>
          </cell>
          <cell r="M2969" t="str">
            <v>Huechuraba</v>
          </cell>
          <cell r="N2969" t="str">
            <v>B</v>
          </cell>
        </row>
        <row r="2970">
          <cell r="B2970" t="str">
            <v>1051 / GCBB-54|</v>
          </cell>
          <cell r="C2970" t="str">
            <v>D8481635K2PL</v>
          </cell>
          <cell r="D2970" t="str">
            <v>YV3T7U529KA195198</v>
          </cell>
          <cell r="E2970" t="str">
            <v>Volvo</v>
          </cell>
          <cell r="F2970" t="str">
            <v>B8R</v>
          </cell>
          <cell r="G2970" t="str">
            <v>MARCOPOLO</v>
          </cell>
          <cell r="H2970" t="str">
            <v>TORINO</v>
          </cell>
          <cell r="I2970">
            <v>2019</v>
          </cell>
          <cell r="J2970" t="str">
            <v>B2PAL</v>
          </cell>
          <cell r="K2970" t="str">
            <v>LOS LIBERTADORES</v>
          </cell>
          <cell r="L2970" t="str">
            <v>Los Liberadores 6450, Lote 4A</v>
          </cell>
          <cell r="M2970" t="str">
            <v>Huechuraba</v>
          </cell>
          <cell r="N2970" t="str">
            <v>B</v>
          </cell>
        </row>
        <row r="2971">
          <cell r="B2971" t="str">
            <v>1052 / FLXZ-99|</v>
          </cell>
          <cell r="C2971" t="str">
            <v>D8481607K2PL</v>
          </cell>
          <cell r="D2971" t="str">
            <v>YV3T7U521KA195180</v>
          </cell>
          <cell r="E2971" t="str">
            <v>Volvo</v>
          </cell>
          <cell r="F2971" t="str">
            <v>B8R</v>
          </cell>
          <cell r="G2971" t="str">
            <v>MARCOPOLO</v>
          </cell>
          <cell r="H2971" t="str">
            <v>TORINO</v>
          </cell>
          <cell r="I2971">
            <v>2019</v>
          </cell>
          <cell r="J2971" t="str">
            <v>B2PAL</v>
          </cell>
          <cell r="K2971" t="str">
            <v>LOS LIBERTADORES</v>
          </cell>
          <cell r="L2971" t="str">
            <v>Los Liberadores 6450, Lote 4A</v>
          </cell>
          <cell r="M2971" t="str">
            <v>Huechuraba</v>
          </cell>
          <cell r="N2971" t="str">
            <v>B</v>
          </cell>
        </row>
        <row r="2972">
          <cell r="B2972" t="str">
            <v>1053 / GCBB-55|</v>
          </cell>
          <cell r="C2972" t="str">
            <v>D8481488K2PL</v>
          </cell>
          <cell r="D2972" t="str">
            <v>YV3T7U525KA195229</v>
          </cell>
          <cell r="E2972" t="str">
            <v>Volvo</v>
          </cell>
          <cell r="F2972" t="str">
            <v>B8R</v>
          </cell>
          <cell r="G2972" t="str">
            <v>MARCOPOLO</v>
          </cell>
          <cell r="H2972" t="str">
            <v>TORINO</v>
          </cell>
          <cell r="I2972">
            <v>2019</v>
          </cell>
          <cell r="J2972" t="str">
            <v>B2PAL</v>
          </cell>
          <cell r="K2972" t="str">
            <v>LOS LIBERTADORES</v>
          </cell>
          <cell r="L2972" t="str">
            <v>Los Liberadores 6450, Lote 4A</v>
          </cell>
          <cell r="M2972" t="str">
            <v>Huechuraba</v>
          </cell>
          <cell r="N2972" t="str">
            <v>B</v>
          </cell>
        </row>
        <row r="2973">
          <cell r="B2973" t="str">
            <v>1054 / GCBB-56|</v>
          </cell>
          <cell r="C2973" t="str">
            <v>D8482670K2PL</v>
          </cell>
          <cell r="D2973" t="str">
            <v>YV3T7U523KA195231</v>
          </cell>
          <cell r="E2973" t="str">
            <v>Volvo</v>
          </cell>
          <cell r="F2973" t="str">
            <v>B8R</v>
          </cell>
          <cell r="G2973" t="str">
            <v>MARCOPOLO</v>
          </cell>
          <cell r="H2973" t="str">
            <v>TORINO</v>
          </cell>
          <cell r="I2973">
            <v>2019</v>
          </cell>
          <cell r="J2973" t="str">
            <v>B2PAL</v>
          </cell>
          <cell r="K2973" t="str">
            <v>LOS LIBERTADORES</v>
          </cell>
          <cell r="L2973" t="str">
            <v>Los Liberadores 6450, Lote 4A</v>
          </cell>
          <cell r="M2973" t="str">
            <v>Huechuraba</v>
          </cell>
          <cell r="N2973" t="str">
            <v>B</v>
          </cell>
        </row>
        <row r="2974">
          <cell r="B2974" t="str">
            <v>1055 / GCBB-57|</v>
          </cell>
          <cell r="C2974" t="str">
            <v>D8481984K2PL</v>
          </cell>
          <cell r="D2974" t="str">
            <v>YV3T7U524KA195268</v>
          </cell>
          <cell r="E2974" t="str">
            <v>Volvo</v>
          </cell>
          <cell r="F2974" t="str">
            <v>B8R</v>
          </cell>
          <cell r="G2974" t="str">
            <v>MARCOPOLO</v>
          </cell>
          <cell r="H2974" t="str">
            <v>TORINO</v>
          </cell>
          <cell r="I2974">
            <v>2019</v>
          </cell>
          <cell r="J2974" t="str">
            <v>B2PAL</v>
          </cell>
          <cell r="K2974" t="str">
            <v>LOS LIBERTADORES</v>
          </cell>
          <cell r="L2974" t="str">
            <v>Los Liberadores 6450, Lote 4A</v>
          </cell>
          <cell r="M2974" t="str">
            <v>Huechuraba</v>
          </cell>
          <cell r="N2974" t="str">
            <v>B</v>
          </cell>
        </row>
        <row r="2975">
          <cell r="B2975" t="str">
            <v>1056 / GCBB-58|</v>
          </cell>
          <cell r="C2975" t="str">
            <v>D8481907K2PL</v>
          </cell>
          <cell r="D2975" t="str">
            <v>YV3T7U526KA195269</v>
          </cell>
          <cell r="E2975" t="str">
            <v>Volvo</v>
          </cell>
          <cell r="F2975" t="str">
            <v>B8R</v>
          </cell>
          <cell r="G2975" t="str">
            <v>MARCOPOLO</v>
          </cell>
          <cell r="H2975" t="str">
            <v>TORINO</v>
          </cell>
          <cell r="I2975">
            <v>2019</v>
          </cell>
          <cell r="J2975" t="str">
            <v>B2PAL</v>
          </cell>
          <cell r="K2975" t="str">
            <v>LOS LIBERTADORES</v>
          </cell>
          <cell r="L2975" t="str">
            <v>Los Liberadores 6450, Lote 4A</v>
          </cell>
          <cell r="M2975" t="str">
            <v>Huechuraba</v>
          </cell>
          <cell r="N2975" t="str">
            <v>B</v>
          </cell>
        </row>
        <row r="2976">
          <cell r="B2976" t="str">
            <v>1057 / GCBB-59|</v>
          </cell>
          <cell r="C2976" t="str">
            <v>D8481955K2PL</v>
          </cell>
          <cell r="D2976" t="str">
            <v>YV3T7U522KA195270</v>
          </cell>
          <cell r="E2976" t="str">
            <v>Volvo</v>
          </cell>
          <cell r="F2976" t="str">
            <v>B8R</v>
          </cell>
          <cell r="G2976" t="str">
            <v>MARCOPOLO</v>
          </cell>
          <cell r="H2976" t="str">
            <v>TORINO</v>
          </cell>
          <cell r="I2976">
            <v>2019</v>
          </cell>
          <cell r="J2976" t="str">
            <v>B2PAL</v>
          </cell>
          <cell r="K2976" t="str">
            <v>LOS LIBERTADORES</v>
          </cell>
          <cell r="L2976" t="str">
            <v>Los Liberadores 6450, Lote 4A</v>
          </cell>
          <cell r="M2976" t="str">
            <v>Huechuraba</v>
          </cell>
          <cell r="N2976" t="str">
            <v>B</v>
          </cell>
        </row>
        <row r="2977">
          <cell r="B2977" t="str">
            <v>1058 / GCBB-60|</v>
          </cell>
          <cell r="C2977" t="str">
            <v>D8482733K2PL</v>
          </cell>
          <cell r="D2977" t="str">
            <v>YV3T7U524KA195299</v>
          </cell>
          <cell r="E2977" t="str">
            <v>Volvo</v>
          </cell>
          <cell r="F2977" t="str">
            <v>B8R</v>
          </cell>
          <cell r="G2977" t="str">
            <v>MARCOPOLO</v>
          </cell>
          <cell r="H2977" t="str">
            <v>TORINO</v>
          </cell>
          <cell r="I2977">
            <v>2019</v>
          </cell>
          <cell r="J2977" t="str">
            <v>B2PAL</v>
          </cell>
          <cell r="K2977" t="str">
            <v>LOS LIBERTADORES</v>
          </cell>
          <cell r="L2977" t="str">
            <v>Los Liberadores 6450, Lote 4A</v>
          </cell>
          <cell r="M2977" t="str">
            <v>Huechuraba</v>
          </cell>
          <cell r="N2977" t="str">
            <v>B</v>
          </cell>
        </row>
        <row r="2978">
          <cell r="B2978" t="str">
            <v>1059 / GCBB-61|</v>
          </cell>
          <cell r="C2978" t="str">
            <v>D8482727K2PL</v>
          </cell>
          <cell r="D2978" t="str">
            <v>YV3T7U527KA195300</v>
          </cell>
          <cell r="E2978" t="str">
            <v>Volvo</v>
          </cell>
          <cell r="F2978" t="str">
            <v>B8R</v>
          </cell>
          <cell r="G2978" t="str">
            <v>MARCOPOLO</v>
          </cell>
          <cell r="H2978" t="str">
            <v>TORINO</v>
          </cell>
          <cell r="I2978">
            <v>2019</v>
          </cell>
          <cell r="J2978" t="str">
            <v>B2PAL</v>
          </cell>
          <cell r="K2978" t="str">
            <v>LOS LIBERTADORES</v>
          </cell>
          <cell r="L2978" t="str">
            <v>Los Liberadores 6450, Lote 4A</v>
          </cell>
          <cell r="M2978" t="str">
            <v>Huechuraba</v>
          </cell>
          <cell r="N2978" t="str">
            <v>B</v>
          </cell>
        </row>
        <row r="2979">
          <cell r="B2979" t="str">
            <v>1060 / GCBB-62|</v>
          </cell>
          <cell r="C2979" t="str">
            <v>D8482362K2PL</v>
          </cell>
          <cell r="D2979" t="str">
            <v>YV3T7U526KA195286</v>
          </cell>
          <cell r="E2979" t="str">
            <v>Volvo</v>
          </cell>
          <cell r="F2979" t="str">
            <v>B8R</v>
          </cell>
          <cell r="G2979" t="str">
            <v>MARCOPOLO</v>
          </cell>
          <cell r="H2979" t="str">
            <v>TORINO</v>
          </cell>
          <cell r="I2979">
            <v>2019</v>
          </cell>
          <cell r="J2979" t="str">
            <v>B2PAL</v>
          </cell>
          <cell r="K2979" t="str">
            <v>LOS LIBERTADORES</v>
          </cell>
          <cell r="L2979" t="str">
            <v>Los Liberadores 6450, Lote 4A</v>
          </cell>
          <cell r="M2979" t="str">
            <v>Huechuraba</v>
          </cell>
          <cell r="N2979" t="str">
            <v>B</v>
          </cell>
        </row>
        <row r="2980">
          <cell r="B2980" t="str">
            <v>1061 / GCBB-63|</v>
          </cell>
          <cell r="C2980" t="str">
            <v>D8482765K2PL</v>
          </cell>
          <cell r="D2980" t="str">
            <v>YV3T7U520KA195302</v>
          </cell>
          <cell r="E2980" t="str">
            <v>Volvo</v>
          </cell>
          <cell r="F2980" t="str">
            <v>B8R</v>
          </cell>
          <cell r="G2980" t="str">
            <v>MARCOPOLO</v>
          </cell>
          <cell r="H2980" t="str">
            <v>TORINO</v>
          </cell>
          <cell r="I2980">
            <v>2019</v>
          </cell>
          <cell r="J2980" t="str">
            <v>B2PAL</v>
          </cell>
          <cell r="K2980" t="str">
            <v>LOS LIBERTADORES</v>
          </cell>
          <cell r="L2980" t="str">
            <v>Los Liberadores 6450, Lote 4A</v>
          </cell>
          <cell r="M2980" t="str">
            <v>Huechuraba</v>
          </cell>
          <cell r="N2980" t="str">
            <v>B</v>
          </cell>
        </row>
        <row r="2981">
          <cell r="B2981" t="str">
            <v>1062 / GCBB-64|</v>
          </cell>
          <cell r="C2981" t="str">
            <v>D8482772K2PL</v>
          </cell>
          <cell r="D2981" t="str">
            <v>YV3T7U526KA195305</v>
          </cell>
          <cell r="E2981" t="str">
            <v>Volvo</v>
          </cell>
          <cell r="F2981" t="str">
            <v>B8R</v>
          </cell>
          <cell r="G2981" t="str">
            <v>MARCOPOLO</v>
          </cell>
          <cell r="H2981" t="str">
            <v>TORINO</v>
          </cell>
          <cell r="I2981">
            <v>2019</v>
          </cell>
          <cell r="J2981" t="str">
            <v>B2PAL</v>
          </cell>
          <cell r="K2981" t="str">
            <v>LOS LIBERTADORES</v>
          </cell>
          <cell r="L2981" t="str">
            <v>Los Liberadores 6450, Lote 4A</v>
          </cell>
          <cell r="M2981" t="str">
            <v>Huechuraba</v>
          </cell>
          <cell r="N2981" t="str">
            <v>B</v>
          </cell>
        </row>
        <row r="2982">
          <cell r="B2982" t="str">
            <v>1063 / GCBB-10|</v>
          </cell>
          <cell r="C2982" t="str">
            <v>D8481853K2PL</v>
          </cell>
          <cell r="D2982" t="str">
            <v>YV3T7U523KA195195</v>
          </cell>
          <cell r="E2982" t="str">
            <v>Volvo</v>
          </cell>
          <cell r="F2982" t="str">
            <v>B8R</v>
          </cell>
          <cell r="G2982" t="str">
            <v>MARCOPOLO</v>
          </cell>
          <cell r="H2982" t="str">
            <v>TORINO</v>
          </cell>
          <cell r="I2982">
            <v>2019</v>
          </cell>
          <cell r="J2982" t="str">
            <v>B2PAL</v>
          </cell>
          <cell r="K2982" t="str">
            <v>LOS LIBERTADORES</v>
          </cell>
          <cell r="L2982" t="str">
            <v>Los Liberadores 6450, Lote 4A</v>
          </cell>
          <cell r="M2982" t="str">
            <v>Huechuraba</v>
          </cell>
          <cell r="N2982" t="str">
            <v>B</v>
          </cell>
        </row>
        <row r="2983">
          <cell r="B2983" t="str">
            <v>1064 / GCBB-65|</v>
          </cell>
          <cell r="C2983" t="str">
            <v>D8482473K2PL</v>
          </cell>
          <cell r="D2983" t="str">
            <v>YV3T7U520KA195316</v>
          </cell>
          <cell r="E2983" t="str">
            <v>Volvo</v>
          </cell>
          <cell r="F2983" t="str">
            <v>B8R</v>
          </cell>
          <cell r="G2983" t="str">
            <v>MARCOPOLO</v>
          </cell>
          <cell r="H2983" t="str">
            <v>TORINO</v>
          </cell>
          <cell r="I2983">
            <v>2019</v>
          </cell>
          <cell r="J2983" t="str">
            <v>B2PAL</v>
          </cell>
          <cell r="K2983" t="str">
            <v>LOS LIBERTADORES</v>
          </cell>
          <cell r="L2983" t="str">
            <v>Los Liberadores 6450, Lote 4A</v>
          </cell>
          <cell r="M2983" t="str">
            <v>Huechuraba</v>
          </cell>
          <cell r="N2983" t="str">
            <v>B</v>
          </cell>
        </row>
        <row r="2984">
          <cell r="B2984" t="str">
            <v>1065 / GCBB-66|</v>
          </cell>
          <cell r="C2984" t="str">
            <v>D8484011K2PL</v>
          </cell>
          <cell r="D2984" t="str">
            <v>YV3T7U522KA195592</v>
          </cell>
          <cell r="E2984" t="str">
            <v>Volvo</v>
          </cell>
          <cell r="F2984" t="str">
            <v>B8R</v>
          </cell>
          <cell r="G2984" t="str">
            <v>MARCOPOLO</v>
          </cell>
          <cell r="H2984" t="str">
            <v>TORINO</v>
          </cell>
          <cell r="I2984">
            <v>2019</v>
          </cell>
          <cell r="J2984" t="str">
            <v>B2PAL</v>
          </cell>
          <cell r="K2984" t="str">
            <v>LOS LIBERTADORES</v>
          </cell>
          <cell r="L2984" t="str">
            <v>Los Liberadores 6450, Lote 4A</v>
          </cell>
          <cell r="M2984" t="str">
            <v>Huechuraba</v>
          </cell>
          <cell r="N2984" t="str">
            <v>B</v>
          </cell>
        </row>
        <row r="2985">
          <cell r="B2985" t="str">
            <v>1066 / GCBB-67|</v>
          </cell>
          <cell r="C2985" t="str">
            <v>D8483863K2PL</v>
          </cell>
          <cell r="D2985" t="str">
            <v>YV3T7U526KA195594</v>
          </cell>
          <cell r="E2985" t="str">
            <v>Volvo</v>
          </cell>
          <cell r="F2985" t="str">
            <v>B8R</v>
          </cell>
          <cell r="G2985" t="str">
            <v>MARCOPOLO</v>
          </cell>
          <cell r="H2985" t="str">
            <v>TORINO</v>
          </cell>
          <cell r="I2985">
            <v>2019</v>
          </cell>
          <cell r="J2985" t="str">
            <v>B2PAL</v>
          </cell>
          <cell r="K2985" t="str">
            <v>LOS LIBERTADORES</v>
          </cell>
          <cell r="L2985" t="str">
            <v>Los Liberadores 6450, Lote 4A</v>
          </cell>
          <cell r="M2985" t="str">
            <v>Huechuraba</v>
          </cell>
          <cell r="N2985" t="str">
            <v>B</v>
          </cell>
        </row>
        <row r="2986">
          <cell r="B2986" t="str">
            <v>1067 / GCBB-68|</v>
          </cell>
          <cell r="C2986" t="str">
            <v>D8452415K2PL</v>
          </cell>
          <cell r="D2986" t="str">
            <v>YV3T7U529JA189190</v>
          </cell>
          <cell r="E2986" t="str">
            <v>Volvo</v>
          </cell>
          <cell r="F2986" t="str">
            <v>B8R</v>
          </cell>
          <cell r="G2986" t="str">
            <v>MARCOPOLO</v>
          </cell>
          <cell r="H2986" t="str">
            <v>TORINO</v>
          </cell>
          <cell r="I2986">
            <v>2019</v>
          </cell>
          <cell r="J2986" t="str">
            <v>B2PAL</v>
          </cell>
          <cell r="K2986" t="str">
            <v>SAN JOSE</v>
          </cell>
          <cell r="L2986" t="str">
            <v>San José 030 (José Besa 669)</v>
          </cell>
          <cell r="M2986" t="str">
            <v>San Bernardo</v>
          </cell>
          <cell r="N2986" t="str">
            <v>B</v>
          </cell>
        </row>
        <row r="2987">
          <cell r="B2987" t="str">
            <v>1068 / GCBB-69|</v>
          </cell>
          <cell r="C2987" t="str">
            <v>D8481542K2PL</v>
          </cell>
          <cell r="D2987" t="str">
            <v>YV3T7U522KA195172</v>
          </cell>
          <cell r="E2987" t="str">
            <v>Volvo</v>
          </cell>
          <cell r="F2987" t="str">
            <v>B8R</v>
          </cell>
          <cell r="G2987" t="str">
            <v>MARCOPOLO</v>
          </cell>
          <cell r="H2987" t="str">
            <v>TORINO</v>
          </cell>
          <cell r="I2987">
            <v>2019</v>
          </cell>
          <cell r="J2987" t="str">
            <v>B2PAL</v>
          </cell>
          <cell r="K2987" t="str">
            <v>LOS LIBERTADORES</v>
          </cell>
          <cell r="L2987" t="str">
            <v>Los Liberadores 6450, Lote 4A</v>
          </cell>
          <cell r="M2987" t="str">
            <v>Huechuraba</v>
          </cell>
          <cell r="N2987" t="str">
            <v>B</v>
          </cell>
        </row>
        <row r="2988">
          <cell r="B2988" t="str">
            <v>1069 / GCBB-70|</v>
          </cell>
          <cell r="C2988" t="str">
            <v>D8482361K2PL</v>
          </cell>
          <cell r="D2988" t="str">
            <v>YV3T7U528KA195287</v>
          </cell>
          <cell r="E2988" t="str">
            <v>Volvo</v>
          </cell>
          <cell r="F2988" t="str">
            <v>B8R</v>
          </cell>
          <cell r="G2988" t="str">
            <v>MARCOPOLO</v>
          </cell>
          <cell r="H2988" t="str">
            <v>TORINO</v>
          </cell>
          <cell r="I2988">
            <v>2019</v>
          </cell>
          <cell r="J2988" t="str">
            <v>B2PAL</v>
          </cell>
          <cell r="K2988" t="str">
            <v>LOS LIBERTADORES</v>
          </cell>
          <cell r="L2988" t="str">
            <v>Los Liberadores 6450, Lote 4A</v>
          </cell>
          <cell r="M2988" t="str">
            <v>Huechuraba</v>
          </cell>
          <cell r="N2988" t="str">
            <v>B</v>
          </cell>
        </row>
        <row r="2989">
          <cell r="B2989" t="str">
            <v>1070 / GCBB-71|</v>
          </cell>
          <cell r="C2989" t="str">
            <v>D8482775K2PL</v>
          </cell>
          <cell r="D2989" t="str">
            <v>YV3T7U528KA195306</v>
          </cell>
          <cell r="E2989" t="str">
            <v>Volvo</v>
          </cell>
          <cell r="F2989" t="str">
            <v>B8R</v>
          </cell>
          <cell r="G2989" t="str">
            <v>MARCOPOLO</v>
          </cell>
          <cell r="H2989" t="str">
            <v>TORINO</v>
          </cell>
          <cell r="I2989">
            <v>2019</v>
          </cell>
          <cell r="J2989" t="str">
            <v>B2PAL</v>
          </cell>
          <cell r="K2989" t="str">
            <v>LOS LIBERTADORES</v>
          </cell>
          <cell r="L2989" t="str">
            <v>Los Liberadores 6450, Lote 4A</v>
          </cell>
          <cell r="M2989" t="str">
            <v>Huechuraba</v>
          </cell>
          <cell r="N2989" t="str">
            <v>B</v>
          </cell>
        </row>
        <row r="2990">
          <cell r="B2990" t="str">
            <v>1071 / GCBB-72|</v>
          </cell>
          <cell r="C2990" t="str">
            <v>D8482721K2PL</v>
          </cell>
          <cell r="D2990" t="str">
            <v>YV3T7U52XKA195307</v>
          </cell>
          <cell r="E2990" t="str">
            <v>Volvo</v>
          </cell>
          <cell r="F2990" t="str">
            <v>B8R</v>
          </cell>
          <cell r="G2990" t="str">
            <v>MARCOPOLO</v>
          </cell>
          <cell r="H2990" t="str">
            <v>TORINO</v>
          </cell>
          <cell r="I2990">
            <v>2019</v>
          </cell>
          <cell r="J2990" t="str">
            <v>B2PAL</v>
          </cell>
          <cell r="K2990" t="str">
            <v>LOS LIBERTADORES</v>
          </cell>
          <cell r="L2990" t="str">
            <v>Los Liberadores 6450, Lote 4A</v>
          </cell>
          <cell r="M2990" t="str">
            <v>Huechuraba</v>
          </cell>
          <cell r="N2990" t="str">
            <v>B</v>
          </cell>
        </row>
        <row r="2991">
          <cell r="B2991" t="str">
            <v>1072 / GCBB-73|</v>
          </cell>
          <cell r="C2991" t="str">
            <v>D8482748K2PL</v>
          </cell>
          <cell r="D2991" t="str">
            <v>YV3T7U521KA195308</v>
          </cell>
          <cell r="E2991" t="str">
            <v>Volvo</v>
          </cell>
          <cell r="F2991" t="str">
            <v>B8R</v>
          </cell>
          <cell r="G2991" t="str">
            <v>MARCOPOLO</v>
          </cell>
          <cell r="H2991" t="str">
            <v>TORINO</v>
          </cell>
          <cell r="I2991">
            <v>2019</v>
          </cell>
          <cell r="J2991" t="str">
            <v>B2PAL</v>
          </cell>
          <cell r="K2991" t="str">
            <v>SAN JOSE</v>
          </cell>
          <cell r="L2991" t="str">
            <v>San José 030 (José Besa 669)</v>
          </cell>
          <cell r="M2991" t="str">
            <v>San Bernardo</v>
          </cell>
          <cell r="N2991" t="str">
            <v>B</v>
          </cell>
        </row>
        <row r="2992">
          <cell r="B2992" t="str">
            <v>1073 / GCBB-74|</v>
          </cell>
          <cell r="C2992" t="str">
            <v>D8482485K2PL</v>
          </cell>
          <cell r="D2992" t="str">
            <v>YV3T7U522KA195317</v>
          </cell>
          <cell r="E2992" t="str">
            <v>Volvo</v>
          </cell>
          <cell r="F2992" t="str">
            <v>B8R</v>
          </cell>
          <cell r="G2992" t="str">
            <v>MARCOPOLO</v>
          </cell>
          <cell r="H2992" t="str">
            <v>TORINO</v>
          </cell>
          <cell r="I2992">
            <v>2019</v>
          </cell>
          <cell r="J2992" t="str">
            <v>B2PAL</v>
          </cell>
          <cell r="K2992" t="str">
            <v>LOS LIBERTADORES</v>
          </cell>
          <cell r="L2992" t="str">
            <v>Los Liberadores 6450, Lote 4A</v>
          </cell>
          <cell r="M2992" t="str">
            <v>Huechuraba</v>
          </cell>
          <cell r="N2992" t="str">
            <v>B</v>
          </cell>
        </row>
        <row r="2993">
          <cell r="B2993" t="str">
            <v>1074 / GCBB-11|</v>
          </cell>
          <cell r="C2993" t="str">
            <v>D8481452K2PL</v>
          </cell>
          <cell r="D2993" t="str">
            <v>YV3T7U525KA195196</v>
          </cell>
          <cell r="E2993" t="str">
            <v>Volvo</v>
          </cell>
          <cell r="F2993" t="str">
            <v>B8R</v>
          </cell>
          <cell r="G2993" t="str">
            <v>MARCOPOLO</v>
          </cell>
          <cell r="H2993" t="str">
            <v>TORINO</v>
          </cell>
          <cell r="I2993">
            <v>2019</v>
          </cell>
          <cell r="J2993" t="str">
            <v>B2PAL</v>
          </cell>
          <cell r="K2993" t="str">
            <v>LOS LIBERTADORES</v>
          </cell>
          <cell r="L2993" t="str">
            <v>Los Liberadores 6450, Lote 4A</v>
          </cell>
          <cell r="M2993" t="str">
            <v>Huechuraba</v>
          </cell>
          <cell r="N2993" t="str">
            <v>B</v>
          </cell>
        </row>
        <row r="2994">
          <cell r="B2994" t="str">
            <v>1075 / GCBB-75|</v>
          </cell>
          <cell r="C2994" t="str">
            <v>D8482455K2PL</v>
          </cell>
          <cell r="D2994" t="str">
            <v>YV3T7U524KA195318</v>
          </cell>
          <cell r="E2994" t="str">
            <v>Volvo</v>
          </cell>
          <cell r="F2994" t="str">
            <v>B8R</v>
          </cell>
          <cell r="G2994" t="str">
            <v>MARCOPOLO</v>
          </cell>
          <cell r="H2994" t="str">
            <v>TORINO</v>
          </cell>
          <cell r="I2994">
            <v>2019</v>
          </cell>
          <cell r="J2994" t="str">
            <v>B2PAL</v>
          </cell>
          <cell r="K2994" t="str">
            <v>LOS LIBERTADORES</v>
          </cell>
          <cell r="L2994" t="str">
            <v>Los Liberadores 6450, Lote 4A</v>
          </cell>
          <cell r="M2994" t="str">
            <v>Huechuraba</v>
          </cell>
          <cell r="N2994" t="str">
            <v>B</v>
          </cell>
        </row>
        <row r="2995">
          <cell r="B2995" t="str">
            <v>1076 / GCBB-76|</v>
          </cell>
          <cell r="C2995" t="str">
            <v>D8482471K2PL</v>
          </cell>
          <cell r="D2995" t="str">
            <v>YV3T7U526KA195319</v>
          </cell>
          <cell r="E2995" t="str">
            <v>Volvo</v>
          </cell>
          <cell r="F2995" t="str">
            <v>B8R</v>
          </cell>
          <cell r="G2995" t="str">
            <v>MARCOPOLO</v>
          </cell>
          <cell r="H2995" t="str">
            <v>TORINO</v>
          </cell>
          <cell r="I2995">
            <v>2019</v>
          </cell>
          <cell r="J2995" t="str">
            <v>B2PAL</v>
          </cell>
          <cell r="K2995" t="str">
            <v>SAN JOSE</v>
          </cell>
          <cell r="L2995" t="str">
            <v>San José 030 (José Besa 669)</v>
          </cell>
          <cell r="M2995" t="str">
            <v>San Bernardo</v>
          </cell>
          <cell r="N2995" t="str">
            <v>B</v>
          </cell>
        </row>
        <row r="2996">
          <cell r="B2996" t="str">
            <v>1077 / GCBB-77|</v>
          </cell>
          <cell r="C2996" t="str">
            <v>D8482458K2PL</v>
          </cell>
          <cell r="D2996" t="str">
            <v>YV3T7U522KA195320</v>
          </cell>
          <cell r="E2996" t="str">
            <v>Volvo</v>
          </cell>
          <cell r="F2996" t="str">
            <v>B8R</v>
          </cell>
          <cell r="G2996" t="str">
            <v>MARCOPOLO</v>
          </cell>
          <cell r="H2996" t="str">
            <v>TORINO</v>
          </cell>
          <cell r="I2996">
            <v>2019</v>
          </cell>
          <cell r="J2996" t="str">
            <v>B2PAL</v>
          </cell>
          <cell r="K2996" t="str">
            <v>LOS LIBERTADORES</v>
          </cell>
          <cell r="L2996" t="str">
            <v>Los Liberadores 6450, Lote 4A</v>
          </cell>
          <cell r="M2996" t="str">
            <v>Huechuraba</v>
          </cell>
          <cell r="N2996" t="str">
            <v>B</v>
          </cell>
        </row>
        <row r="2997">
          <cell r="B2997" t="str">
            <v>1078 / GCBB-78|</v>
          </cell>
          <cell r="C2997" t="str">
            <v>D8482397K2PL</v>
          </cell>
          <cell r="D2997" t="str">
            <v>YV3T7U524KA195321</v>
          </cell>
          <cell r="E2997" t="str">
            <v>Volvo</v>
          </cell>
          <cell r="F2997" t="str">
            <v>B8R</v>
          </cell>
          <cell r="G2997" t="str">
            <v>MARCOPOLO</v>
          </cell>
          <cell r="H2997" t="str">
            <v>TORINO</v>
          </cell>
          <cell r="I2997">
            <v>2019</v>
          </cell>
          <cell r="J2997" t="str">
            <v>B2PAL</v>
          </cell>
          <cell r="K2997" t="str">
            <v>LOS LIBERTADORES</v>
          </cell>
          <cell r="L2997" t="str">
            <v>Los Liberadores 6450, Lote 4A</v>
          </cell>
          <cell r="M2997" t="str">
            <v>Huechuraba</v>
          </cell>
          <cell r="N2997" t="str">
            <v>B</v>
          </cell>
        </row>
        <row r="2998">
          <cell r="B2998" t="str">
            <v>1079 / GCBB-79|</v>
          </cell>
          <cell r="C2998" t="str">
            <v>D8482405K2PL</v>
          </cell>
          <cell r="D2998" t="str">
            <v>YV3T7U526KA195322</v>
          </cell>
          <cell r="E2998" t="str">
            <v>Volvo</v>
          </cell>
          <cell r="F2998" t="str">
            <v>B8R</v>
          </cell>
          <cell r="G2998" t="str">
            <v>MARCOPOLO</v>
          </cell>
          <cell r="H2998" t="str">
            <v>TORINO</v>
          </cell>
          <cell r="I2998">
            <v>2019</v>
          </cell>
          <cell r="J2998" t="str">
            <v>B2PAL</v>
          </cell>
          <cell r="K2998" t="str">
            <v>SAN JOSE</v>
          </cell>
          <cell r="L2998" t="str">
            <v>San José 030 (José Besa 669)</v>
          </cell>
          <cell r="M2998" t="str">
            <v>San Bernardo</v>
          </cell>
          <cell r="N2998" t="str">
            <v>B</v>
          </cell>
        </row>
        <row r="2999">
          <cell r="B2999" t="str">
            <v>1080 / GCBB-80|</v>
          </cell>
          <cell r="C2999" t="str">
            <v>D8482402K2PL</v>
          </cell>
          <cell r="D2999" t="str">
            <v>YV3T7U528KA195323</v>
          </cell>
          <cell r="E2999" t="str">
            <v>Volvo</v>
          </cell>
          <cell r="F2999" t="str">
            <v>B8R</v>
          </cell>
          <cell r="G2999" t="str">
            <v>MARCOPOLO</v>
          </cell>
          <cell r="H2999" t="str">
            <v>TORINO</v>
          </cell>
          <cell r="I2999">
            <v>2019</v>
          </cell>
          <cell r="J2999" t="str">
            <v>B2PAL</v>
          </cell>
          <cell r="K2999" t="str">
            <v>SAN JOSE</v>
          </cell>
          <cell r="L2999" t="str">
            <v>San José 030 (José Besa 669)</v>
          </cell>
          <cell r="M2999" t="str">
            <v>San Bernardo</v>
          </cell>
          <cell r="N2999" t="str">
            <v>B</v>
          </cell>
        </row>
        <row r="3000">
          <cell r="B3000" t="str">
            <v>1081 / GCBB-81|</v>
          </cell>
          <cell r="C3000" t="str">
            <v>D8482422K2PL</v>
          </cell>
          <cell r="D3000" t="str">
            <v>YV3T7U521KA195325</v>
          </cell>
          <cell r="E3000" t="str">
            <v>Volvo</v>
          </cell>
          <cell r="F3000" t="str">
            <v>B8R</v>
          </cell>
          <cell r="G3000" t="str">
            <v>MARCOPOLO</v>
          </cell>
          <cell r="H3000" t="str">
            <v>TORINO</v>
          </cell>
          <cell r="I3000">
            <v>2019</v>
          </cell>
          <cell r="J3000" t="str">
            <v>B2PAL</v>
          </cell>
          <cell r="K3000" t="str">
            <v>SAN JOSE</v>
          </cell>
          <cell r="L3000" t="str">
            <v>San José 030 (José Besa 669)</v>
          </cell>
          <cell r="M3000" t="str">
            <v>San Bernardo</v>
          </cell>
          <cell r="N3000" t="str">
            <v>B</v>
          </cell>
        </row>
        <row r="3001">
          <cell r="B3001" t="str">
            <v>1082 / GCBB-82|</v>
          </cell>
          <cell r="C3001" t="str">
            <v>D8482534K2PL</v>
          </cell>
          <cell r="D3001" t="str">
            <v>YV3T7U527KA195359</v>
          </cell>
          <cell r="E3001" t="str">
            <v>Volvo</v>
          </cell>
          <cell r="F3001" t="str">
            <v>B8R</v>
          </cell>
          <cell r="G3001" t="str">
            <v>MARCOPOLO</v>
          </cell>
          <cell r="H3001" t="str">
            <v>TORINO</v>
          </cell>
          <cell r="I3001">
            <v>2019</v>
          </cell>
          <cell r="J3001" t="str">
            <v>B2PAL</v>
          </cell>
          <cell r="K3001" t="str">
            <v>SAN JOSE</v>
          </cell>
          <cell r="L3001" t="str">
            <v>San José 030 (José Besa 669)</v>
          </cell>
          <cell r="M3001" t="str">
            <v>San Bernardo</v>
          </cell>
          <cell r="N3001" t="str">
            <v>B</v>
          </cell>
        </row>
        <row r="3002">
          <cell r="B3002" t="str">
            <v>1083 / GCBB-83|</v>
          </cell>
          <cell r="C3002" t="str">
            <v>D8482872K2PL</v>
          </cell>
          <cell r="D3002" t="str">
            <v>YV3T7U52XKA195405</v>
          </cell>
          <cell r="E3002" t="str">
            <v>Volvo</v>
          </cell>
          <cell r="F3002" t="str">
            <v>B8R</v>
          </cell>
          <cell r="G3002" t="str">
            <v>MARCOPOLO</v>
          </cell>
          <cell r="H3002" t="str">
            <v>TORINO</v>
          </cell>
          <cell r="I3002">
            <v>2019</v>
          </cell>
          <cell r="J3002" t="str">
            <v>B2PAL</v>
          </cell>
          <cell r="K3002" t="str">
            <v>LOS LIBERTADORES</v>
          </cell>
          <cell r="L3002" t="str">
            <v>Los Liberadores 6450, Lote 4A</v>
          </cell>
          <cell r="M3002" t="str">
            <v>Huechuraba</v>
          </cell>
          <cell r="N3002" t="str">
            <v>B</v>
          </cell>
        </row>
        <row r="3003">
          <cell r="B3003" t="str">
            <v>1084 / GCBB-84|</v>
          </cell>
          <cell r="C3003" t="str">
            <v>D8482892K2PL</v>
          </cell>
          <cell r="D3003" t="str">
            <v>YV3T7U521KA195406</v>
          </cell>
          <cell r="E3003" t="str">
            <v>Volvo</v>
          </cell>
          <cell r="F3003" t="str">
            <v>B8R</v>
          </cell>
          <cell r="G3003" t="str">
            <v>MARCOPOLO</v>
          </cell>
          <cell r="H3003" t="str">
            <v>TORINO</v>
          </cell>
          <cell r="I3003">
            <v>2019</v>
          </cell>
          <cell r="J3003" t="str">
            <v>B2PAL</v>
          </cell>
          <cell r="K3003" t="str">
            <v>SAN JOSE</v>
          </cell>
          <cell r="L3003" t="str">
            <v>San José 030 (José Besa 669)</v>
          </cell>
          <cell r="M3003" t="str">
            <v>San Bernardo</v>
          </cell>
          <cell r="N3003" t="str">
            <v>B</v>
          </cell>
        </row>
        <row r="3004">
          <cell r="B3004" t="str">
            <v>1085 / GCBB-12|</v>
          </cell>
          <cell r="C3004" t="str">
            <v>D8481676K2PL</v>
          </cell>
          <cell r="D3004" t="str">
            <v>YV3T7U520KA195199</v>
          </cell>
          <cell r="E3004" t="str">
            <v>Volvo</v>
          </cell>
          <cell r="F3004" t="str">
            <v>B8R</v>
          </cell>
          <cell r="G3004" t="str">
            <v>MARCOPOLO</v>
          </cell>
          <cell r="H3004" t="str">
            <v>TORINO</v>
          </cell>
          <cell r="I3004">
            <v>2019</v>
          </cell>
          <cell r="J3004" t="str">
            <v>B2PAL</v>
          </cell>
          <cell r="K3004" t="str">
            <v>LOS LIBERTADORES</v>
          </cell>
          <cell r="L3004" t="str">
            <v>Los Liberadores 6450, Lote 4A</v>
          </cell>
          <cell r="M3004" t="str">
            <v>Huechuraba</v>
          </cell>
          <cell r="N3004" t="str">
            <v>B</v>
          </cell>
        </row>
        <row r="3005">
          <cell r="B3005" t="str">
            <v>1086 / GCBB-85|</v>
          </cell>
          <cell r="C3005" t="str">
            <v>D8481773K2PL</v>
          </cell>
          <cell r="D3005" t="str">
            <v>YV3T7U522KA195429</v>
          </cell>
          <cell r="E3005" t="str">
            <v>Volvo</v>
          </cell>
          <cell r="F3005" t="str">
            <v>B8R</v>
          </cell>
          <cell r="G3005" t="str">
            <v>MARCOPOLO</v>
          </cell>
          <cell r="H3005" t="str">
            <v>TORINO</v>
          </cell>
          <cell r="I3005">
            <v>2019</v>
          </cell>
          <cell r="J3005" t="str">
            <v>B2PAL</v>
          </cell>
          <cell r="K3005" t="str">
            <v>LOS LIBERTADORES</v>
          </cell>
          <cell r="L3005" t="str">
            <v>Los Liberadores 6450, Lote 4A</v>
          </cell>
          <cell r="M3005" t="str">
            <v>Huechuraba</v>
          </cell>
          <cell r="N3005" t="str">
            <v>B</v>
          </cell>
        </row>
        <row r="3006">
          <cell r="B3006" t="str">
            <v>1087 / GCBB-86|</v>
          </cell>
          <cell r="C3006" t="str">
            <v>D8483496K2PL</v>
          </cell>
          <cell r="D3006" t="str">
            <v>YV3T7U52XKA195551</v>
          </cell>
          <cell r="E3006" t="str">
            <v>Volvo</v>
          </cell>
          <cell r="F3006" t="str">
            <v>B8R</v>
          </cell>
          <cell r="G3006" t="str">
            <v>MARCOPOLO</v>
          </cell>
          <cell r="H3006" t="str">
            <v>TORINO</v>
          </cell>
          <cell r="I3006">
            <v>2019</v>
          </cell>
          <cell r="J3006" t="str">
            <v>B2PAL</v>
          </cell>
          <cell r="K3006" t="str">
            <v>SAN JOSE</v>
          </cell>
          <cell r="L3006" t="str">
            <v>San José 030 (José Besa 669)</v>
          </cell>
          <cell r="M3006" t="str">
            <v>San Bernardo</v>
          </cell>
          <cell r="N3006" t="str">
            <v>B</v>
          </cell>
        </row>
        <row r="3007">
          <cell r="B3007" t="str">
            <v>1088 / GCBB-87|</v>
          </cell>
          <cell r="C3007" t="str">
            <v>D8483527K2PL</v>
          </cell>
          <cell r="D3007" t="str">
            <v>YV3T7U521KA195552</v>
          </cell>
          <cell r="E3007" t="str">
            <v>Volvo</v>
          </cell>
          <cell r="F3007" t="str">
            <v>B8R</v>
          </cell>
          <cell r="G3007" t="str">
            <v>MARCOPOLO</v>
          </cell>
          <cell r="H3007" t="str">
            <v>TORINO</v>
          </cell>
          <cell r="I3007">
            <v>2019</v>
          </cell>
          <cell r="J3007" t="str">
            <v>B2PAL</v>
          </cell>
          <cell r="K3007" t="str">
            <v>SAN JOSE</v>
          </cell>
          <cell r="L3007" t="str">
            <v>San José 030 (José Besa 669)</v>
          </cell>
          <cell r="M3007" t="str">
            <v>San Bernardo</v>
          </cell>
          <cell r="N3007" t="str">
            <v>B</v>
          </cell>
        </row>
        <row r="3008">
          <cell r="B3008" t="str">
            <v>1089 / GCBB-88|</v>
          </cell>
          <cell r="C3008" t="str">
            <v>D8483438K2PL</v>
          </cell>
          <cell r="D3008" t="str">
            <v>YV3T7U525KA195554</v>
          </cell>
          <cell r="E3008" t="str">
            <v>Volvo</v>
          </cell>
          <cell r="F3008" t="str">
            <v>B8R</v>
          </cell>
          <cell r="G3008" t="str">
            <v>MARCOPOLO</v>
          </cell>
          <cell r="H3008" t="str">
            <v>TORINO</v>
          </cell>
          <cell r="I3008">
            <v>2019</v>
          </cell>
          <cell r="J3008" t="str">
            <v>B2PAL</v>
          </cell>
          <cell r="K3008" t="str">
            <v>SAN JOSE</v>
          </cell>
          <cell r="L3008" t="str">
            <v>San José 030 (José Besa 669)</v>
          </cell>
          <cell r="M3008" t="str">
            <v>San Bernardo</v>
          </cell>
          <cell r="N3008" t="str">
            <v>B</v>
          </cell>
        </row>
        <row r="3009">
          <cell r="B3009" t="str">
            <v>1090 / GCBB-89|</v>
          </cell>
          <cell r="C3009" t="str">
            <v>D8484688K2PL</v>
          </cell>
          <cell r="D3009" t="str">
            <v>YV3T7U521KA195714</v>
          </cell>
          <cell r="E3009" t="str">
            <v>Volvo</v>
          </cell>
          <cell r="F3009" t="str">
            <v>B8R</v>
          </cell>
          <cell r="G3009" t="str">
            <v>MARCOPOLO</v>
          </cell>
          <cell r="H3009" t="str">
            <v>TORINO</v>
          </cell>
          <cell r="I3009">
            <v>2019</v>
          </cell>
          <cell r="J3009" t="str">
            <v>B2PAL</v>
          </cell>
          <cell r="K3009" t="str">
            <v>SAN JOSE</v>
          </cell>
          <cell r="L3009" t="str">
            <v>San José 030 (José Besa 669)</v>
          </cell>
          <cell r="M3009" t="str">
            <v>San Bernardo</v>
          </cell>
          <cell r="N3009" t="str">
            <v>B</v>
          </cell>
        </row>
        <row r="3010">
          <cell r="B3010" t="str">
            <v>1091 / GCBB-91|</v>
          </cell>
          <cell r="C3010" t="str">
            <v>D8482515K2PL</v>
          </cell>
          <cell r="D3010" t="str">
            <v>YV3T7U524KA195349</v>
          </cell>
          <cell r="E3010" t="str">
            <v>Volvo</v>
          </cell>
          <cell r="F3010" t="str">
            <v>B8R</v>
          </cell>
          <cell r="G3010" t="str">
            <v>MARCOPOLO</v>
          </cell>
          <cell r="H3010" t="str">
            <v>TORINO</v>
          </cell>
          <cell r="I3010">
            <v>2019</v>
          </cell>
          <cell r="J3010" t="str">
            <v>B2PAL</v>
          </cell>
          <cell r="K3010" t="str">
            <v>LOS LIBERTADORES</v>
          </cell>
          <cell r="L3010" t="str">
            <v>Los Liberadores 6450, Lote 4A</v>
          </cell>
          <cell r="M3010" t="str">
            <v>Huechuraba</v>
          </cell>
          <cell r="N3010" t="str">
            <v>B</v>
          </cell>
        </row>
        <row r="3011">
          <cell r="B3011" t="str">
            <v>1092 / GCBB-92|</v>
          </cell>
          <cell r="C3011" t="str">
            <v>D8482526K2PL</v>
          </cell>
          <cell r="D3011" t="str">
            <v>YV3T7U526KA195353</v>
          </cell>
          <cell r="E3011" t="str">
            <v>Volvo</v>
          </cell>
          <cell r="F3011" t="str">
            <v>B8R</v>
          </cell>
          <cell r="G3011" t="str">
            <v>MARCOPOLO</v>
          </cell>
          <cell r="H3011" t="str">
            <v>TORINO</v>
          </cell>
          <cell r="I3011">
            <v>2019</v>
          </cell>
          <cell r="J3011" t="str">
            <v>B2PAL</v>
          </cell>
          <cell r="K3011" t="str">
            <v>SAN JOSE</v>
          </cell>
          <cell r="L3011" t="str">
            <v>San José 030 (José Besa 669)</v>
          </cell>
          <cell r="M3011" t="str">
            <v>San Bernardo</v>
          </cell>
          <cell r="N3011" t="str">
            <v>B</v>
          </cell>
        </row>
        <row r="3012">
          <cell r="B3012" t="str">
            <v>1093 / GCBB-93|</v>
          </cell>
          <cell r="C3012" t="str">
            <v>D8482598K2PL</v>
          </cell>
          <cell r="D3012" t="str">
            <v>YV3T7U52XKA195355</v>
          </cell>
          <cell r="E3012" t="str">
            <v>Volvo</v>
          </cell>
          <cell r="F3012" t="str">
            <v>B8R</v>
          </cell>
          <cell r="G3012" t="str">
            <v>MARCOPOLO</v>
          </cell>
          <cell r="H3012" t="str">
            <v>TORINO</v>
          </cell>
          <cell r="I3012">
            <v>2019</v>
          </cell>
          <cell r="J3012" t="str">
            <v>B2PAL</v>
          </cell>
          <cell r="K3012" t="str">
            <v>SAN JOSE</v>
          </cell>
          <cell r="L3012" t="str">
            <v>San José 030 (José Besa 669)</v>
          </cell>
          <cell r="M3012" t="str">
            <v>San Bernardo</v>
          </cell>
          <cell r="N3012" t="str">
            <v>B</v>
          </cell>
        </row>
        <row r="3013">
          <cell r="B3013" t="str">
            <v>1094 / GCBB-94|</v>
          </cell>
          <cell r="C3013" t="str">
            <v>D8483001K2PL</v>
          </cell>
          <cell r="D3013" t="str">
            <v>YV3T7U526KA195403</v>
          </cell>
          <cell r="E3013" t="str">
            <v>Volvo</v>
          </cell>
          <cell r="F3013" t="str">
            <v>B8R</v>
          </cell>
          <cell r="G3013" t="str">
            <v>MARCOPOLO</v>
          </cell>
          <cell r="H3013" t="str">
            <v>TORINO</v>
          </cell>
          <cell r="I3013">
            <v>2019</v>
          </cell>
          <cell r="J3013" t="str">
            <v>B2PAL</v>
          </cell>
          <cell r="K3013" t="str">
            <v>LOS LIBERTADORES</v>
          </cell>
          <cell r="L3013" t="str">
            <v>Los Liberadores 6450, Lote 4A</v>
          </cell>
          <cell r="M3013" t="str">
            <v>Huechuraba</v>
          </cell>
          <cell r="N3013" t="str">
            <v>B</v>
          </cell>
        </row>
        <row r="3014">
          <cell r="B3014" t="str">
            <v>1095 / GCBB-95|</v>
          </cell>
          <cell r="C3014" t="str">
            <v>D8483444K2PL</v>
          </cell>
          <cell r="D3014" t="str">
            <v>YV3T7U528KA195404</v>
          </cell>
          <cell r="E3014" t="str">
            <v>Volvo</v>
          </cell>
          <cell r="F3014" t="str">
            <v>B8R</v>
          </cell>
          <cell r="G3014" t="str">
            <v>MARCOPOLO</v>
          </cell>
          <cell r="H3014" t="str">
            <v>TORINO</v>
          </cell>
          <cell r="I3014">
            <v>2019</v>
          </cell>
          <cell r="J3014" t="str">
            <v>B2PAL</v>
          </cell>
          <cell r="K3014" t="str">
            <v>SAN JOSE</v>
          </cell>
          <cell r="L3014" t="str">
            <v>San José 030 (José Besa 669)</v>
          </cell>
          <cell r="M3014" t="str">
            <v>San Bernardo</v>
          </cell>
          <cell r="N3014" t="str">
            <v>B</v>
          </cell>
        </row>
        <row r="3015">
          <cell r="B3015" t="str">
            <v>1096 / GCBB-13|</v>
          </cell>
          <cell r="C3015" t="str">
            <v>D8481462K2PL</v>
          </cell>
          <cell r="D3015" t="str">
            <v>YV3T7U523KA195200</v>
          </cell>
          <cell r="E3015" t="str">
            <v>Volvo</v>
          </cell>
          <cell r="F3015" t="str">
            <v>B8R</v>
          </cell>
          <cell r="G3015" t="str">
            <v>MARCOPOLO</v>
          </cell>
          <cell r="H3015" t="str">
            <v>TORINO</v>
          </cell>
          <cell r="I3015">
            <v>2019</v>
          </cell>
          <cell r="J3015" t="str">
            <v>B2PAL</v>
          </cell>
          <cell r="K3015" t="str">
            <v>LOS LIBERTADORES</v>
          </cell>
          <cell r="L3015" t="str">
            <v>Los Liberadores 6450, Lote 4A</v>
          </cell>
          <cell r="M3015" t="str">
            <v>Huechuraba</v>
          </cell>
          <cell r="N3015" t="str">
            <v>B</v>
          </cell>
        </row>
        <row r="3016">
          <cell r="B3016" t="str">
            <v>1097 / GCBB-96|</v>
          </cell>
          <cell r="C3016" t="str">
            <v>D8481807K2PL</v>
          </cell>
          <cell r="D3016" t="str">
            <v>YV3T7U520KA195428</v>
          </cell>
          <cell r="E3016" t="str">
            <v>Volvo</v>
          </cell>
          <cell r="F3016" t="str">
            <v>B8R</v>
          </cell>
          <cell r="G3016" t="str">
            <v>MARCOPOLO</v>
          </cell>
          <cell r="H3016" t="str">
            <v>TORINO</v>
          </cell>
          <cell r="I3016">
            <v>2019</v>
          </cell>
          <cell r="J3016" t="str">
            <v>B2PAL</v>
          </cell>
          <cell r="K3016" t="str">
            <v>SAN JOSE</v>
          </cell>
          <cell r="L3016" t="str">
            <v>San José 030 (José Besa 669)</v>
          </cell>
          <cell r="M3016" t="str">
            <v>San Bernardo</v>
          </cell>
          <cell r="N3016" t="str">
            <v>B</v>
          </cell>
        </row>
        <row r="3017">
          <cell r="B3017" t="str">
            <v>1098 / GCBB-97|</v>
          </cell>
          <cell r="C3017" t="str">
            <v>D8481802K2PL</v>
          </cell>
          <cell r="D3017" t="str">
            <v>YV3T7U529KA195430</v>
          </cell>
          <cell r="E3017" t="str">
            <v>Volvo</v>
          </cell>
          <cell r="F3017" t="str">
            <v>B8R</v>
          </cell>
          <cell r="G3017" t="str">
            <v>MARCOPOLO</v>
          </cell>
          <cell r="H3017" t="str">
            <v>TORINO</v>
          </cell>
          <cell r="I3017">
            <v>2019</v>
          </cell>
          <cell r="J3017" t="str">
            <v>B2PAL</v>
          </cell>
          <cell r="K3017" t="str">
            <v>SAN JOSE</v>
          </cell>
          <cell r="L3017" t="str">
            <v>San José 030 (José Besa 669)</v>
          </cell>
          <cell r="M3017" t="str">
            <v>San Bernardo</v>
          </cell>
          <cell r="N3017" t="str">
            <v>B</v>
          </cell>
        </row>
        <row r="3018">
          <cell r="B3018" t="str">
            <v>1099 / GCBB-98|</v>
          </cell>
          <cell r="C3018" t="str">
            <v>D8481788K2PL</v>
          </cell>
          <cell r="D3018" t="str">
            <v>YV3T7U520KA195431</v>
          </cell>
          <cell r="E3018" t="str">
            <v>Volvo</v>
          </cell>
          <cell r="F3018" t="str">
            <v>B8R</v>
          </cell>
          <cell r="G3018" t="str">
            <v>MARCOPOLO</v>
          </cell>
          <cell r="H3018" t="str">
            <v>TORINO</v>
          </cell>
          <cell r="I3018">
            <v>2019</v>
          </cell>
          <cell r="J3018" t="str">
            <v>B2PAL</v>
          </cell>
          <cell r="K3018" t="str">
            <v>SAN JOSE</v>
          </cell>
          <cell r="L3018" t="str">
            <v>San José 030 (José Besa 669)</v>
          </cell>
          <cell r="M3018" t="str">
            <v>San Bernardo</v>
          </cell>
          <cell r="N3018" t="str">
            <v>B</v>
          </cell>
        </row>
        <row r="3019">
          <cell r="B3019" t="str">
            <v>1028 / GCBB-33|</v>
          </cell>
          <cell r="C3019" t="str">
            <v>D8483123K2PL</v>
          </cell>
          <cell r="D3019" t="str">
            <v>YV3T7U525KA195487</v>
          </cell>
          <cell r="E3019" t="str">
            <v>Volvo</v>
          </cell>
          <cell r="F3019" t="str">
            <v>B8R</v>
          </cell>
          <cell r="G3019" t="str">
            <v>MARCOPOLO</v>
          </cell>
          <cell r="H3019" t="str">
            <v>TORINO</v>
          </cell>
          <cell r="I3019">
            <v>2019</v>
          </cell>
          <cell r="J3019" t="str">
            <v>B2PAL</v>
          </cell>
          <cell r="K3019" t="str">
            <v>SAN JOSE</v>
          </cell>
          <cell r="L3019" t="str">
            <v>San José 030 (José Besa 669)</v>
          </cell>
          <cell r="M3019" t="str">
            <v>San Bernardo</v>
          </cell>
          <cell r="N3019" t="str">
            <v>B</v>
          </cell>
        </row>
        <row r="3020">
          <cell r="B3020" t="str">
            <v>1101 / GCBC-10|</v>
          </cell>
          <cell r="C3020" t="str">
            <v>D8483090K2PL</v>
          </cell>
          <cell r="D3020" t="str">
            <v>YV3T7U527KA195488</v>
          </cell>
          <cell r="E3020" t="str">
            <v>Volvo</v>
          </cell>
          <cell r="F3020" t="str">
            <v>B8R</v>
          </cell>
          <cell r="G3020" t="str">
            <v>MARCOPOLO</v>
          </cell>
          <cell r="H3020" t="str">
            <v>TORINO</v>
          </cell>
          <cell r="I3020">
            <v>2019</v>
          </cell>
          <cell r="J3020" t="str">
            <v>B2PAL</v>
          </cell>
          <cell r="K3020" t="str">
            <v>SAN JOSE</v>
          </cell>
          <cell r="L3020" t="str">
            <v>San José 030 (José Besa 669)</v>
          </cell>
          <cell r="M3020" t="str">
            <v>San Bernardo</v>
          </cell>
          <cell r="N3020" t="str">
            <v>B</v>
          </cell>
        </row>
        <row r="3021">
          <cell r="B3021" t="str">
            <v>1102 / GCBC-11|</v>
          </cell>
          <cell r="C3021" t="str">
            <v>D8483468K2PL</v>
          </cell>
          <cell r="D3021" t="str">
            <v>YV3T7U525KA195571</v>
          </cell>
          <cell r="E3021" t="str">
            <v>Volvo</v>
          </cell>
          <cell r="F3021" t="str">
            <v>B8R</v>
          </cell>
          <cell r="G3021" t="str">
            <v>MARCOPOLO</v>
          </cell>
          <cell r="H3021" t="str">
            <v>TORINO</v>
          </cell>
          <cell r="I3021">
            <v>2019</v>
          </cell>
          <cell r="J3021" t="str">
            <v>B2PAL</v>
          </cell>
          <cell r="K3021" t="str">
            <v>SAN JOSE</v>
          </cell>
          <cell r="L3021" t="str">
            <v>San José 030 (José Besa 669)</v>
          </cell>
          <cell r="M3021" t="str">
            <v>San Bernardo</v>
          </cell>
          <cell r="N3021" t="str">
            <v>B</v>
          </cell>
        </row>
        <row r="3022">
          <cell r="B3022" t="str">
            <v>1103 / GCBC-12|</v>
          </cell>
          <cell r="C3022" t="str">
            <v>D8483819K2PL</v>
          </cell>
          <cell r="D3022" t="str">
            <v>YV3T7U520KA195686</v>
          </cell>
          <cell r="E3022" t="str">
            <v>Volvo</v>
          </cell>
          <cell r="F3022" t="str">
            <v>B8R</v>
          </cell>
          <cell r="G3022" t="str">
            <v>MARCOPOLO</v>
          </cell>
          <cell r="H3022" t="str">
            <v>TORINO</v>
          </cell>
          <cell r="I3022">
            <v>2019</v>
          </cell>
          <cell r="J3022" t="str">
            <v>B2PAL</v>
          </cell>
          <cell r="K3022" t="str">
            <v>SAN JOSE</v>
          </cell>
          <cell r="L3022" t="str">
            <v>San José 030 (José Besa 669)</v>
          </cell>
          <cell r="M3022" t="str">
            <v>San Bernardo</v>
          </cell>
          <cell r="N3022" t="str">
            <v>B</v>
          </cell>
        </row>
        <row r="3023">
          <cell r="B3023" t="str">
            <v>1104 / GCBC-13|</v>
          </cell>
          <cell r="C3023" t="str">
            <v>D8481869K2PL</v>
          </cell>
          <cell r="D3023" t="str">
            <v>YV3T7U521KA195194</v>
          </cell>
          <cell r="E3023" t="str">
            <v>Volvo</v>
          </cell>
          <cell r="F3023" t="str">
            <v>B8R</v>
          </cell>
          <cell r="G3023" t="str">
            <v>MARCOPOLO</v>
          </cell>
          <cell r="H3023" t="str">
            <v>TORINO</v>
          </cell>
          <cell r="I3023">
            <v>2019</v>
          </cell>
          <cell r="J3023" t="str">
            <v>B2PAL</v>
          </cell>
          <cell r="K3023" t="str">
            <v>SAN JOSE</v>
          </cell>
          <cell r="L3023" t="str">
            <v>San José 030 (José Besa 669)</v>
          </cell>
          <cell r="M3023" t="str">
            <v>San Bernardo</v>
          </cell>
          <cell r="N3023" t="str">
            <v>B</v>
          </cell>
        </row>
        <row r="3024">
          <cell r="B3024" t="str">
            <v>1105 / GCBC-14|</v>
          </cell>
          <cell r="C3024" t="str">
            <v>D8483079K2PL</v>
          </cell>
          <cell r="D3024" t="str">
            <v>YV3T7U529KA195489</v>
          </cell>
          <cell r="E3024" t="str">
            <v>Volvo</v>
          </cell>
          <cell r="F3024" t="str">
            <v>B8R</v>
          </cell>
          <cell r="G3024" t="str">
            <v>MARCOPOLO</v>
          </cell>
          <cell r="H3024" t="str">
            <v>TORINO</v>
          </cell>
          <cell r="I3024">
            <v>2019</v>
          </cell>
          <cell r="J3024" t="str">
            <v>B2PAL</v>
          </cell>
          <cell r="K3024" t="str">
            <v>SAN JOSE</v>
          </cell>
          <cell r="L3024" t="str">
            <v>San José 030 (José Besa 669)</v>
          </cell>
          <cell r="M3024" t="str">
            <v>San Bernardo</v>
          </cell>
          <cell r="N3024" t="str">
            <v>B</v>
          </cell>
        </row>
        <row r="3025">
          <cell r="B3025" t="str">
            <v>1106 / GCBC-15|</v>
          </cell>
          <cell r="C3025" t="str">
            <v>D8483914K2PL</v>
          </cell>
          <cell r="D3025" t="str">
            <v>YV3T7U524KA195593</v>
          </cell>
          <cell r="E3025" t="str">
            <v>Volvo</v>
          </cell>
          <cell r="F3025" t="str">
            <v>B8R</v>
          </cell>
          <cell r="G3025" t="str">
            <v>MARCOPOLO</v>
          </cell>
          <cell r="H3025" t="str">
            <v>TORINO</v>
          </cell>
          <cell r="I3025">
            <v>2019</v>
          </cell>
          <cell r="J3025" t="str">
            <v>B2PAL</v>
          </cell>
          <cell r="K3025" t="str">
            <v>SAN JOSE</v>
          </cell>
          <cell r="L3025" t="str">
            <v>San José 030 (José Besa 669)</v>
          </cell>
          <cell r="M3025" t="str">
            <v>San Bernardo</v>
          </cell>
          <cell r="N3025" t="str">
            <v>B</v>
          </cell>
        </row>
        <row r="3026">
          <cell r="B3026" t="str">
            <v>1107 / VFHJ-88|</v>
          </cell>
          <cell r="C3026" t="str">
            <v>LDYECS31XS0043931</v>
          </cell>
          <cell r="D3026" t="str">
            <v>MDN35025010058</v>
          </cell>
          <cell r="E3026" t="str">
            <v>Zhong Tong</v>
          </cell>
          <cell r="F3026" t="str">
            <v>Lck6122evg</v>
          </cell>
          <cell r="G3026" t="str">
            <v>ZHONGTONG</v>
          </cell>
          <cell r="H3026" t="str">
            <v>LCK6122EVG</v>
          </cell>
          <cell r="I3026">
            <v>2025</v>
          </cell>
          <cell r="J3026" t="str">
            <v>B</v>
          </cell>
          <cell r="K3026" t="str">
            <v>SAN JOSE</v>
          </cell>
          <cell r="L3026" t="str">
            <v>San José 030 (José Besa 669)</v>
          </cell>
          <cell r="M3026" t="str">
            <v>San Bernardo</v>
          </cell>
          <cell r="N3026" t="str">
            <v>B</v>
          </cell>
        </row>
        <row r="3027">
          <cell r="B3027" t="str">
            <v>1108 / VFHL-33|</v>
          </cell>
          <cell r="C3027" t="str">
            <v>LDYECS315S0043917</v>
          </cell>
          <cell r="D3027" t="str">
            <v>MDN35025010105</v>
          </cell>
          <cell r="E3027" t="str">
            <v>Zhong Tong</v>
          </cell>
          <cell r="F3027" t="str">
            <v>Lck6122evg</v>
          </cell>
          <cell r="G3027" t="str">
            <v>ZHONGTONG</v>
          </cell>
          <cell r="H3027" t="str">
            <v>LCK6122EVG</v>
          </cell>
          <cell r="I3027">
            <v>2025</v>
          </cell>
          <cell r="J3027" t="str">
            <v>B</v>
          </cell>
          <cell r="K3027" t="str">
            <v>SAN JOSE</v>
          </cell>
          <cell r="L3027" t="str">
            <v>San José 030 (José Besa 669)</v>
          </cell>
          <cell r="M3027" t="str">
            <v>San Bernardo</v>
          </cell>
          <cell r="N3027" t="str">
            <v>B</v>
          </cell>
        </row>
        <row r="3028">
          <cell r="B3028" t="str">
            <v>1109 / VFHL-39|</v>
          </cell>
          <cell r="C3028" t="str">
            <v>LDYECS319S0043970</v>
          </cell>
          <cell r="D3028" t="str">
            <v>MDN35025010061</v>
          </cell>
          <cell r="E3028" t="str">
            <v>Zhong Tong</v>
          </cell>
          <cell r="F3028" t="str">
            <v>Lck6122evg</v>
          </cell>
          <cell r="G3028" t="str">
            <v>ZHONGTONG</v>
          </cell>
          <cell r="H3028" t="str">
            <v>LCK6122EVG</v>
          </cell>
          <cell r="I3028">
            <v>2025</v>
          </cell>
          <cell r="J3028" t="str">
            <v>B</v>
          </cell>
          <cell r="K3028" t="str">
            <v>SAN JOSE</v>
          </cell>
          <cell r="L3028" t="str">
            <v>San José 030 (José Besa 669)</v>
          </cell>
          <cell r="M3028" t="str">
            <v>San Bernardo</v>
          </cell>
          <cell r="N3028" t="str">
            <v>B</v>
          </cell>
        </row>
        <row r="3029">
          <cell r="B3029" t="str">
            <v>1110 / VFHL-46|</v>
          </cell>
          <cell r="C3029" t="str">
            <v>LDYECS318S0043930</v>
          </cell>
          <cell r="D3029" t="str">
            <v>MDN35025010059</v>
          </cell>
          <cell r="E3029" t="str">
            <v>Zhong Tong</v>
          </cell>
          <cell r="F3029" t="str">
            <v>Lck6122evg</v>
          </cell>
          <cell r="G3029" t="str">
            <v>ZHONGTONG</v>
          </cell>
          <cell r="H3029" t="str">
            <v>LCK6122EVG</v>
          </cell>
          <cell r="I3029">
            <v>2025</v>
          </cell>
          <cell r="J3029" t="str">
            <v>B</v>
          </cell>
          <cell r="K3029" t="str">
            <v>SAN JOSE</v>
          </cell>
          <cell r="L3029" t="str">
            <v>San José 030 (José Besa 669)</v>
          </cell>
          <cell r="M3029" t="str">
            <v>San Bernardo</v>
          </cell>
          <cell r="N3029" t="str">
            <v>B</v>
          </cell>
        </row>
        <row r="3030">
          <cell r="B3030" t="str">
            <v>1111 / VFHL-56|</v>
          </cell>
          <cell r="C3030" t="str">
            <v>LDYECS319S0043919</v>
          </cell>
          <cell r="D3030" t="str">
            <v>MDN35025010112</v>
          </cell>
          <cell r="E3030" t="str">
            <v>Zhong Tong</v>
          </cell>
          <cell r="F3030" t="str">
            <v>Lck6122evg</v>
          </cell>
          <cell r="G3030" t="str">
            <v>ZHONGTONG</v>
          </cell>
          <cell r="H3030" t="str">
            <v>LCK6122EVG</v>
          </cell>
          <cell r="I3030">
            <v>2025</v>
          </cell>
          <cell r="J3030" t="str">
            <v>B</v>
          </cell>
          <cell r="K3030" t="str">
            <v>SAN JOSE</v>
          </cell>
          <cell r="L3030" t="str">
            <v>San José 030 (José Besa 669)</v>
          </cell>
          <cell r="M3030" t="str">
            <v>San Bernardo</v>
          </cell>
          <cell r="N3030" t="str">
            <v>B</v>
          </cell>
        </row>
        <row r="3031">
          <cell r="B3031" t="str">
            <v>1112 / VFHG-99|</v>
          </cell>
          <cell r="C3031" t="str">
            <v>LDYECS314S0043908</v>
          </cell>
          <cell r="D3031" t="str">
            <v>MDN35025010130</v>
          </cell>
          <cell r="E3031" t="str">
            <v>Zhong Tong</v>
          </cell>
          <cell r="F3031" t="str">
            <v>Lck6122evg</v>
          </cell>
          <cell r="G3031" t="str">
            <v>ZHONGTONG</v>
          </cell>
          <cell r="H3031" t="str">
            <v>LCK6122EVG</v>
          </cell>
          <cell r="I3031">
            <v>2025</v>
          </cell>
          <cell r="J3031" t="str">
            <v>B</v>
          </cell>
          <cell r="K3031" t="str">
            <v>SAN JOSE</v>
          </cell>
          <cell r="L3031" t="str">
            <v>San José 030 (José Besa 669)</v>
          </cell>
          <cell r="M3031" t="str">
            <v>San Bernardo</v>
          </cell>
          <cell r="N3031" t="str">
            <v>B</v>
          </cell>
        </row>
        <row r="3032">
          <cell r="B3032" t="str">
            <v>1113 / VFHH-49|</v>
          </cell>
          <cell r="C3032" t="str">
            <v>LDYECS312S0043924</v>
          </cell>
          <cell r="D3032" t="str">
            <v>MDN35025010050</v>
          </cell>
          <cell r="E3032" t="str">
            <v>Zhong Tong</v>
          </cell>
          <cell r="F3032" t="str">
            <v>Lck6122evg</v>
          </cell>
          <cell r="G3032" t="str">
            <v>ZHONGTONG</v>
          </cell>
          <cell r="H3032" t="str">
            <v>LCK6122EVG</v>
          </cell>
          <cell r="I3032">
            <v>2025</v>
          </cell>
          <cell r="J3032" t="str">
            <v>B</v>
          </cell>
          <cell r="K3032" t="str">
            <v>SAN JOSE</v>
          </cell>
          <cell r="L3032" t="str">
            <v>San José 030 (José Besa 669)</v>
          </cell>
          <cell r="M3032" t="str">
            <v>San Bernardo</v>
          </cell>
          <cell r="N3032" t="str">
            <v>B</v>
          </cell>
        </row>
        <row r="3033">
          <cell r="B3033" t="str">
            <v>1114 / VFHH-65|</v>
          </cell>
          <cell r="C3033" t="str">
            <v>LDYECS311S0043946</v>
          </cell>
          <cell r="D3033" t="str">
            <v>MDN35025010056</v>
          </cell>
          <cell r="E3033" t="str">
            <v>Zhong Tong</v>
          </cell>
          <cell r="F3033" t="str">
            <v>Lck6122evg</v>
          </cell>
          <cell r="G3033" t="str">
            <v>ZHONGTONG</v>
          </cell>
          <cell r="H3033" t="str">
            <v>LCK6122EVG</v>
          </cell>
          <cell r="I3033">
            <v>2025</v>
          </cell>
          <cell r="J3033" t="str">
            <v>B</v>
          </cell>
          <cell r="K3033" t="str">
            <v>SAN JOSE</v>
          </cell>
          <cell r="L3033" t="str">
            <v>San José 030 (José Besa 669)</v>
          </cell>
          <cell r="M3033" t="str">
            <v>San Bernardo</v>
          </cell>
          <cell r="N3033" t="str">
            <v>B</v>
          </cell>
        </row>
        <row r="3034">
          <cell r="B3034" t="str">
            <v>1115 / VFHJ-21|</v>
          </cell>
          <cell r="C3034" t="str">
            <v>LDYECS318S0043913</v>
          </cell>
          <cell r="D3034" t="str">
            <v>MDN35025010045</v>
          </cell>
          <cell r="E3034" t="str">
            <v>Zhong Tong</v>
          </cell>
          <cell r="F3034" t="str">
            <v>Lck6122evg</v>
          </cell>
          <cell r="G3034" t="str">
            <v>ZHONGTONG</v>
          </cell>
          <cell r="H3034" t="str">
            <v>LCK6122EVG</v>
          </cell>
          <cell r="I3034">
            <v>2025</v>
          </cell>
          <cell r="J3034" t="str">
            <v>B</v>
          </cell>
          <cell r="K3034" t="str">
            <v>SAN JOSE</v>
          </cell>
          <cell r="L3034" t="str">
            <v>San José 030 (José Besa 669)</v>
          </cell>
          <cell r="M3034" t="str">
            <v>San Bernardo</v>
          </cell>
          <cell r="N3034" t="str">
            <v>B</v>
          </cell>
        </row>
        <row r="3035">
          <cell r="B3035" t="str">
            <v>1116 / VFHJ-43|</v>
          </cell>
          <cell r="C3035" t="str">
            <v>LDYECS31XS0043895</v>
          </cell>
          <cell r="D3035" t="str">
            <v>MDN35025010235</v>
          </cell>
          <cell r="E3035" t="str">
            <v>Zhong Tong</v>
          </cell>
          <cell r="F3035" t="str">
            <v>Lck6122evg</v>
          </cell>
          <cell r="G3035" t="str">
            <v>ZHONGTONG</v>
          </cell>
          <cell r="H3035" t="str">
            <v>LCK6122EVG</v>
          </cell>
          <cell r="I3035">
            <v>2025</v>
          </cell>
          <cell r="J3035" t="str">
            <v>B</v>
          </cell>
          <cell r="K3035" t="str">
            <v>SAN JOSE</v>
          </cell>
          <cell r="L3035" t="str">
            <v>San José 030 (José Besa 669)</v>
          </cell>
          <cell r="M3035" t="str">
            <v>San Bernardo</v>
          </cell>
          <cell r="N3035" t="str">
            <v>B</v>
          </cell>
        </row>
        <row r="3036">
          <cell r="B3036" t="str">
            <v>1117 / VFHJ-59|</v>
          </cell>
          <cell r="C3036" t="str">
            <v>LDYECS317S0043935</v>
          </cell>
          <cell r="D3036" t="str">
            <v>MDN35025010210</v>
          </cell>
          <cell r="E3036" t="str">
            <v>Zhong Tong</v>
          </cell>
          <cell r="F3036" t="str">
            <v>Lck6122evg</v>
          </cell>
          <cell r="G3036" t="str">
            <v>ZHONGTONG</v>
          </cell>
          <cell r="H3036" t="str">
            <v>LCK6122EVG</v>
          </cell>
          <cell r="I3036">
            <v>2025</v>
          </cell>
          <cell r="J3036" t="str">
            <v>B</v>
          </cell>
          <cell r="K3036" t="str">
            <v>SAN JOSE</v>
          </cell>
          <cell r="L3036" t="str">
            <v>San José 030 (José Besa 669)</v>
          </cell>
          <cell r="M3036" t="str">
            <v>San Bernardo</v>
          </cell>
          <cell r="N3036" t="str">
            <v>B</v>
          </cell>
        </row>
        <row r="3037">
          <cell r="B3037" t="str">
            <v>1118 / VFHJ-92|</v>
          </cell>
          <cell r="C3037" t="str">
            <v>LDYECS316S0043926</v>
          </cell>
          <cell r="D3037" t="str">
            <v>MDN35025010044</v>
          </cell>
          <cell r="E3037" t="str">
            <v>Zhong Tong</v>
          </cell>
          <cell r="F3037" t="str">
            <v>Lck6122evg</v>
          </cell>
          <cell r="G3037" t="str">
            <v>ZHONGTONG</v>
          </cell>
          <cell r="H3037" t="str">
            <v>LCK6122EVG</v>
          </cell>
          <cell r="I3037">
            <v>2025</v>
          </cell>
          <cell r="J3037" t="str">
            <v>B</v>
          </cell>
          <cell r="K3037" t="str">
            <v>SAN JOSE</v>
          </cell>
          <cell r="L3037" t="str">
            <v>San José 030 (José Besa 669)</v>
          </cell>
          <cell r="M3037" t="str">
            <v>San Bernardo</v>
          </cell>
          <cell r="N3037" t="str">
            <v>B</v>
          </cell>
        </row>
        <row r="3038">
          <cell r="B3038" t="str">
            <v>1119 / VFHJ-69|</v>
          </cell>
          <cell r="C3038" t="str">
            <v>LDYECS31XS0043914</v>
          </cell>
          <cell r="D3038" t="str">
            <v>MDN35025010074</v>
          </cell>
          <cell r="E3038" t="str">
            <v>Zhong Tong</v>
          </cell>
          <cell r="F3038" t="str">
            <v>Lck6122evg</v>
          </cell>
          <cell r="G3038" t="str">
            <v>ZHONGTONG</v>
          </cell>
          <cell r="H3038" t="str">
            <v>LCK6122EVG</v>
          </cell>
          <cell r="I3038">
            <v>2025</v>
          </cell>
          <cell r="J3038" t="str">
            <v>B</v>
          </cell>
          <cell r="K3038" t="str">
            <v>SAN JOSE</v>
          </cell>
          <cell r="L3038" t="str">
            <v>San José 030 (José Besa 669)</v>
          </cell>
          <cell r="M3038" t="str">
            <v>San Bernardo</v>
          </cell>
          <cell r="N3038" t="str">
            <v>B</v>
          </cell>
        </row>
        <row r="3039">
          <cell r="B3039" t="str">
            <v>1120 / VFHJ-77|</v>
          </cell>
          <cell r="C3039" t="str">
            <v>LDYECS310S0043906</v>
          </cell>
          <cell r="D3039" t="str">
            <v>MDN35025010080</v>
          </cell>
          <cell r="E3039" t="str">
            <v>Zhong Tong</v>
          </cell>
          <cell r="F3039" t="str">
            <v>Lck6122evg</v>
          </cell>
          <cell r="G3039" t="str">
            <v>ZHONGTONG</v>
          </cell>
          <cell r="H3039" t="str">
            <v>LCK6122EVG</v>
          </cell>
          <cell r="I3039">
            <v>2025</v>
          </cell>
          <cell r="J3039" t="str">
            <v>B</v>
          </cell>
          <cell r="K3039" t="str">
            <v>SAN JOSE</v>
          </cell>
          <cell r="L3039" t="str">
            <v>San José 030 (José Besa 669)</v>
          </cell>
          <cell r="M3039" t="str">
            <v>San Bernardo</v>
          </cell>
          <cell r="N3039" t="str">
            <v>B</v>
          </cell>
        </row>
        <row r="3040">
          <cell r="B3040" t="str">
            <v>1121 / VFHL-62|</v>
          </cell>
          <cell r="C3040" t="str">
            <v>LDYECS31XS0043928</v>
          </cell>
          <cell r="D3040" t="str">
            <v>MDN35025010051</v>
          </cell>
          <cell r="E3040" t="str">
            <v>Zhong Tong</v>
          </cell>
          <cell r="F3040" t="str">
            <v>Lck6122evg</v>
          </cell>
          <cell r="G3040" t="str">
            <v>ZHONGTONG</v>
          </cell>
          <cell r="H3040" t="str">
            <v>LCK6122EVG</v>
          </cell>
          <cell r="I3040">
            <v>2025</v>
          </cell>
          <cell r="J3040" t="str">
            <v>B</v>
          </cell>
          <cell r="K3040" t="str">
            <v>SAN JOSE</v>
          </cell>
          <cell r="L3040" t="str">
            <v>San José 030 (José Besa 669)</v>
          </cell>
          <cell r="M3040" t="str">
            <v>San Bernardo</v>
          </cell>
          <cell r="N3040" t="str">
            <v>B</v>
          </cell>
        </row>
        <row r="3041">
          <cell r="B3041" t="str">
            <v>1122 / VFHL-66|</v>
          </cell>
          <cell r="C3041" t="str">
            <v>LDYECS315S0043934</v>
          </cell>
          <cell r="D3041" t="str">
            <v>MDN35025010214</v>
          </cell>
          <cell r="E3041" t="str">
            <v>Zhong Tong</v>
          </cell>
          <cell r="F3041" t="str">
            <v>Lck6122evg</v>
          </cell>
          <cell r="G3041" t="str">
            <v>ZHONGTONG</v>
          </cell>
          <cell r="H3041" t="str">
            <v>LCK6122EVG</v>
          </cell>
          <cell r="I3041">
            <v>2025</v>
          </cell>
          <cell r="J3041" t="str">
            <v>B</v>
          </cell>
          <cell r="K3041" t="str">
            <v>CERRILLOS</v>
          </cell>
          <cell r="L3041" t="str">
            <v>Calle Uno 7371</v>
          </cell>
          <cell r="M3041" t="str">
            <v>Huechuraba</v>
          </cell>
          <cell r="N3041" t="str">
            <v>B</v>
          </cell>
        </row>
        <row r="3042">
          <cell r="B3042" t="str">
            <v>1123 / VFHL-81|</v>
          </cell>
          <cell r="C3042" t="str">
            <v>LDYECS317S0043983</v>
          </cell>
          <cell r="D3042" t="str">
            <v>MDN35025020100</v>
          </cell>
          <cell r="E3042" t="str">
            <v>Zhong Tong</v>
          </cell>
          <cell r="F3042" t="str">
            <v>Lck6122evg</v>
          </cell>
          <cell r="G3042" t="str">
            <v>ZHONGTONG</v>
          </cell>
          <cell r="H3042" t="str">
            <v>LCK6122EVG</v>
          </cell>
          <cell r="I3042">
            <v>2025</v>
          </cell>
          <cell r="J3042" t="str">
            <v>B</v>
          </cell>
          <cell r="K3042" t="str">
            <v>LOS LIBERTADORES</v>
          </cell>
          <cell r="L3042" t="str">
            <v>Los Liberadores 6450, Lote 4A</v>
          </cell>
          <cell r="M3042" t="str">
            <v>Huechuraba</v>
          </cell>
          <cell r="N3042" t="str">
            <v>B</v>
          </cell>
        </row>
        <row r="3043">
          <cell r="B3043" t="str">
            <v>1124 / VFHS-85|</v>
          </cell>
          <cell r="C3043" t="str">
            <v>LDYECS315S0043979</v>
          </cell>
          <cell r="D3043" t="str">
            <v>MDN35025020094</v>
          </cell>
          <cell r="E3043" t="str">
            <v>Zhong Tong</v>
          </cell>
          <cell r="F3043" t="str">
            <v>Lck6122evg</v>
          </cell>
          <cell r="G3043" t="str">
            <v>ZHONGTONG</v>
          </cell>
          <cell r="H3043" t="str">
            <v>LCK6122EVG</v>
          </cell>
          <cell r="I3043">
            <v>2025</v>
          </cell>
          <cell r="J3043" t="str">
            <v>B</v>
          </cell>
          <cell r="K3043" t="str">
            <v>LOS LIBERTADORES</v>
          </cell>
          <cell r="L3043" t="str">
            <v>Los Liberadores 6450, Lote 4A</v>
          </cell>
          <cell r="M3043" t="str">
            <v>Huechuraba</v>
          </cell>
          <cell r="N3043" t="str">
            <v>B</v>
          </cell>
        </row>
        <row r="3044">
          <cell r="B3044" t="str">
            <v>1125 / VFHS-95|</v>
          </cell>
          <cell r="C3044" t="str">
            <v>LDYECS314S0043956</v>
          </cell>
          <cell r="D3044" t="str">
            <v>MDN35025020090</v>
          </cell>
          <cell r="E3044" t="str">
            <v>Zhong Tong</v>
          </cell>
          <cell r="F3044" t="str">
            <v>Lck6122evg</v>
          </cell>
          <cell r="G3044" t="str">
            <v>ZHONGTONG</v>
          </cell>
          <cell r="H3044" t="str">
            <v>LCK6122EVG</v>
          </cell>
          <cell r="I3044">
            <v>2025</v>
          </cell>
          <cell r="J3044" t="str">
            <v>B</v>
          </cell>
          <cell r="K3044" t="str">
            <v>LOS LIBERTADORES</v>
          </cell>
          <cell r="L3044" t="str">
            <v>Los Liberadores 6450, Lote 4A</v>
          </cell>
          <cell r="M3044" t="str">
            <v>Huechuraba</v>
          </cell>
          <cell r="N3044" t="str">
            <v>B</v>
          </cell>
        </row>
        <row r="3045">
          <cell r="B3045" t="str">
            <v>1126 / VFHS-98|</v>
          </cell>
          <cell r="C3045" t="str">
            <v>LDYECS316S0043957</v>
          </cell>
          <cell r="D3045" t="str">
            <v>MDN35025020069</v>
          </cell>
          <cell r="E3045" t="str">
            <v>Zhong Tong</v>
          </cell>
          <cell r="F3045" t="str">
            <v>Lck6122evg</v>
          </cell>
          <cell r="G3045" t="str">
            <v>ZHONGTONG</v>
          </cell>
          <cell r="H3045" t="str">
            <v>LCK6122EVG</v>
          </cell>
          <cell r="I3045">
            <v>2025</v>
          </cell>
          <cell r="J3045" t="str">
            <v>B</v>
          </cell>
          <cell r="K3045" t="str">
            <v>SAN JOSE</v>
          </cell>
          <cell r="L3045" t="str">
            <v>San José 030 (José Besa 669)</v>
          </cell>
          <cell r="M3045" t="str">
            <v>San Bernardo</v>
          </cell>
          <cell r="N3045" t="str">
            <v>B</v>
          </cell>
        </row>
        <row r="3046">
          <cell r="B3046" t="str">
            <v>1127 / VFHT-45|</v>
          </cell>
          <cell r="C3046" t="str">
            <v>LDYECS319S0043953</v>
          </cell>
          <cell r="D3046" t="str">
            <v>MDN35025020052</v>
          </cell>
          <cell r="E3046" t="str">
            <v>Zhong Tong</v>
          </cell>
          <cell r="F3046" t="str">
            <v>Lck6122evg</v>
          </cell>
          <cell r="G3046" t="str">
            <v>ZHONGTONG</v>
          </cell>
          <cell r="H3046" t="str">
            <v>LCK6122EVG</v>
          </cell>
          <cell r="I3046">
            <v>2025</v>
          </cell>
          <cell r="J3046" t="str">
            <v>B</v>
          </cell>
          <cell r="K3046" t="str">
            <v>SAN JOSE</v>
          </cell>
          <cell r="L3046" t="str">
            <v>San José 030 (José Besa 669)</v>
          </cell>
          <cell r="M3046" t="str">
            <v>San Bernardo</v>
          </cell>
          <cell r="N3046" t="str">
            <v>B</v>
          </cell>
        </row>
        <row r="3047">
          <cell r="B3047" t="str">
            <v>1128 / VFHT-55|</v>
          </cell>
          <cell r="C3047" t="str">
            <v>LDYECS310S0043954</v>
          </cell>
          <cell r="D3047" t="str">
            <v>MDN35025020088</v>
          </cell>
          <cell r="E3047" t="str">
            <v>Zhong Tong</v>
          </cell>
          <cell r="F3047" t="str">
            <v>Lck6122evg</v>
          </cell>
          <cell r="G3047" t="str">
            <v>ZHONGTONG</v>
          </cell>
          <cell r="H3047" t="str">
            <v>LCK6122EVG</v>
          </cell>
          <cell r="I3047">
            <v>2025</v>
          </cell>
          <cell r="J3047" t="str">
            <v>B</v>
          </cell>
          <cell r="K3047" t="str">
            <v>SAN JOSE</v>
          </cell>
          <cell r="L3047" t="str">
            <v>San José 030 (José Besa 669)</v>
          </cell>
          <cell r="M3047" t="str">
            <v>San Bernardo</v>
          </cell>
          <cell r="N3047" t="str">
            <v>B</v>
          </cell>
        </row>
        <row r="3048">
          <cell r="B3048" t="str">
            <v>1129 / VFHK-16|</v>
          </cell>
          <cell r="C3048" t="str">
            <v>LDYECS311S0043915</v>
          </cell>
          <cell r="D3048" t="str">
            <v>MDN35025010066</v>
          </cell>
          <cell r="E3048" t="str">
            <v>Zhong Tong</v>
          </cell>
          <cell r="F3048" t="str">
            <v>Lck6122evg</v>
          </cell>
          <cell r="G3048" t="str">
            <v>ZHONGTONG</v>
          </cell>
          <cell r="H3048" t="str">
            <v>LCK6122EVG</v>
          </cell>
          <cell r="I3048">
            <v>2025</v>
          </cell>
          <cell r="J3048" t="str">
            <v>B</v>
          </cell>
          <cell r="K3048" t="str">
            <v>SAN JOSE</v>
          </cell>
          <cell r="L3048" t="str">
            <v>San José 030 (José Besa 669)</v>
          </cell>
          <cell r="M3048" t="str">
            <v>San Bernardo</v>
          </cell>
          <cell r="N3048" t="str">
            <v>B</v>
          </cell>
        </row>
        <row r="3049">
          <cell r="B3049" t="str">
            <v>1130 / VFHT-73|</v>
          </cell>
          <cell r="C3049" t="str">
            <v>LDYECS319S0043984</v>
          </cell>
          <cell r="D3049" t="str">
            <v>MDN35025020097</v>
          </cell>
          <cell r="E3049" t="str">
            <v>Zhong Tong</v>
          </cell>
          <cell r="F3049" t="str">
            <v>Lck6122evg</v>
          </cell>
          <cell r="G3049" t="str">
            <v>ZHONGTONG</v>
          </cell>
          <cell r="H3049" t="str">
            <v>LCK6122EVG</v>
          </cell>
          <cell r="I3049">
            <v>2025</v>
          </cell>
          <cell r="J3049" t="str">
            <v>B</v>
          </cell>
          <cell r="K3049" t="str">
            <v>CERRILLOS</v>
          </cell>
          <cell r="L3049" t="str">
            <v>Calle Uno 7371</v>
          </cell>
          <cell r="M3049" t="str">
            <v>Cerrillos</v>
          </cell>
          <cell r="N3049" t="str">
            <v>B</v>
          </cell>
        </row>
        <row r="3050">
          <cell r="B3050" t="str">
            <v>1131 / VFHT-80|</v>
          </cell>
          <cell r="C3050" t="str">
            <v>LDYECS314S0043987</v>
          </cell>
          <cell r="D3050" t="str">
            <v>MDN35025020056</v>
          </cell>
          <cell r="E3050" t="str">
            <v>Zhong Tong</v>
          </cell>
          <cell r="F3050" t="str">
            <v>Lck6122evg</v>
          </cell>
          <cell r="G3050" t="str">
            <v>ZHONGTONG</v>
          </cell>
          <cell r="H3050" t="str">
            <v>LCK6122EVG</v>
          </cell>
          <cell r="I3050">
            <v>2025</v>
          </cell>
          <cell r="J3050" t="str">
            <v>B</v>
          </cell>
          <cell r="K3050" t="str">
            <v>LOS LIBERTADORES</v>
          </cell>
          <cell r="L3050" t="str">
            <v>Los Liberadores 6450, Lote 4A</v>
          </cell>
          <cell r="M3050" t="str">
            <v>Huechuraba</v>
          </cell>
          <cell r="N3050" t="str">
            <v>B</v>
          </cell>
        </row>
        <row r="3051">
          <cell r="B3051" t="str">
            <v>1132 / VFHT-81|</v>
          </cell>
          <cell r="C3051" t="str">
            <v>LDYECS314S0043973</v>
          </cell>
          <cell r="D3051" t="str">
            <v>MDN35025020087</v>
          </cell>
          <cell r="E3051" t="str">
            <v>Zhong Tong</v>
          </cell>
          <cell r="F3051" t="str">
            <v>Lck6122evg</v>
          </cell>
          <cell r="G3051" t="str">
            <v>ZHONGTONG</v>
          </cell>
          <cell r="H3051" t="str">
            <v>LCK6122EVG</v>
          </cell>
          <cell r="I3051">
            <v>2025</v>
          </cell>
          <cell r="J3051" t="str">
            <v>B</v>
          </cell>
          <cell r="K3051" t="str">
            <v>LOS LIBERTADORES</v>
          </cell>
          <cell r="L3051" t="str">
            <v>Los Liberadores 6450, Lote 4A</v>
          </cell>
          <cell r="M3051" t="str">
            <v>Huechuraba</v>
          </cell>
          <cell r="N3051" t="str">
            <v>B</v>
          </cell>
        </row>
        <row r="3052">
          <cell r="B3052" t="str">
            <v>1133 / VFHV-57|</v>
          </cell>
          <cell r="C3052" t="str">
            <v>LDYECS316S0043974</v>
          </cell>
          <cell r="D3052" t="str">
            <v>MDN35025020079</v>
          </cell>
          <cell r="E3052" t="str">
            <v>Zhong Tong</v>
          </cell>
          <cell r="F3052" t="str">
            <v>Lck6122evg</v>
          </cell>
          <cell r="G3052" t="str">
            <v>ZHONGTONG</v>
          </cell>
          <cell r="H3052" t="str">
            <v>LCK6122EVG</v>
          </cell>
          <cell r="I3052">
            <v>2025</v>
          </cell>
          <cell r="J3052" t="str">
            <v>B</v>
          </cell>
          <cell r="K3052" t="str">
            <v>LOS LIBERTADORES</v>
          </cell>
          <cell r="L3052" t="str">
            <v>Los Liberadores 6450, Lote 4A</v>
          </cell>
          <cell r="M3052" t="str">
            <v>Huechuraba</v>
          </cell>
          <cell r="N3052" t="str">
            <v>B</v>
          </cell>
        </row>
        <row r="3053">
          <cell r="B3053" t="str">
            <v>1134 / VFHV-67|</v>
          </cell>
          <cell r="C3053" t="str">
            <v>LDYECS311S0043980</v>
          </cell>
          <cell r="D3053" t="str">
            <v>MDN35025020095</v>
          </cell>
          <cell r="E3053" t="str">
            <v>Zhong Tong</v>
          </cell>
          <cell r="F3053" t="str">
            <v>Lck6122evg</v>
          </cell>
          <cell r="G3053" t="str">
            <v>ZHONGTONG</v>
          </cell>
          <cell r="H3053" t="str">
            <v>LCK6122EVG</v>
          </cell>
          <cell r="I3053">
            <v>2025</v>
          </cell>
          <cell r="J3053" t="str">
            <v>B</v>
          </cell>
          <cell r="K3053" t="str">
            <v>LOS LIBERTADORES</v>
          </cell>
          <cell r="L3053" t="str">
            <v>Los Liberadores 6450, Lote 4A</v>
          </cell>
          <cell r="M3053" t="str">
            <v>Huechuraba</v>
          </cell>
          <cell r="N3053" t="str">
            <v>B</v>
          </cell>
        </row>
        <row r="3054">
          <cell r="B3054" t="str">
            <v>1135 / VFHV-82|</v>
          </cell>
          <cell r="C3054" t="str">
            <v>LDYECS319S0044004</v>
          </cell>
          <cell r="D3054" t="str">
            <v>MDN35025020057</v>
          </cell>
          <cell r="E3054" t="str">
            <v>Zhong Tong</v>
          </cell>
          <cell r="F3054" t="str">
            <v>Lck6122evg</v>
          </cell>
          <cell r="G3054" t="str">
            <v>ZHONGTONG</v>
          </cell>
          <cell r="H3054" t="str">
            <v>LCK6122EVG</v>
          </cell>
          <cell r="I3054">
            <v>2025</v>
          </cell>
          <cell r="J3054" t="str">
            <v>B</v>
          </cell>
          <cell r="K3054" t="str">
            <v>LOS LIBERTADORES</v>
          </cell>
          <cell r="L3054" t="str">
            <v>Los Liberadores 6450, Lote 4A</v>
          </cell>
          <cell r="M3054" t="str">
            <v>Huechuraba</v>
          </cell>
          <cell r="N3054" t="str">
            <v>B</v>
          </cell>
        </row>
        <row r="3055">
          <cell r="B3055" t="str">
            <v>1136 / VFHV-87|</v>
          </cell>
          <cell r="C3055" t="str">
            <v>LDYECS312S0043955</v>
          </cell>
          <cell r="D3055" t="str">
            <v>MDN35025020084</v>
          </cell>
          <cell r="E3055" t="str">
            <v>Zhong Tong</v>
          </cell>
          <cell r="F3055" t="str">
            <v>Lck6122evg</v>
          </cell>
          <cell r="G3055" t="str">
            <v>ZHONGTONG</v>
          </cell>
          <cell r="H3055" t="str">
            <v>LCK6122EVG</v>
          </cell>
          <cell r="I3055">
            <v>2025</v>
          </cell>
          <cell r="J3055" t="str">
            <v>B</v>
          </cell>
          <cell r="K3055" t="str">
            <v>LOS LIBERTADORES</v>
          </cell>
          <cell r="L3055" t="str">
            <v>Los Liberadores 6450, Lote 4A</v>
          </cell>
          <cell r="M3055" t="str">
            <v>Huechuraba</v>
          </cell>
          <cell r="N3055" t="str">
            <v>B</v>
          </cell>
        </row>
        <row r="3056">
          <cell r="B3056" t="str">
            <v>1137 / VFHW-46|</v>
          </cell>
          <cell r="C3056" t="str">
            <v>LDYECS318S0043989</v>
          </cell>
          <cell r="D3056" t="str">
            <v>MDN35025020060</v>
          </cell>
          <cell r="E3056" t="str">
            <v>Zhong Tong</v>
          </cell>
          <cell r="F3056" t="str">
            <v>Lck6122evg</v>
          </cell>
          <cell r="G3056" t="str">
            <v>ZHONGTONG</v>
          </cell>
          <cell r="H3056" t="str">
            <v>LCK6122EVG</v>
          </cell>
          <cell r="I3056">
            <v>2025</v>
          </cell>
          <cell r="J3056" t="str">
            <v>B</v>
          </cell>
          <cell r="K3056" t="str">
            <v>LOS LIBERTADORES</v>
          </cell>
          <cell r="L3056" t="str">
            <v>Los Liberadores 6450, Lote 4A</v>
          </cell>
          <cell r="M3056" t="str">
            <v>Huechuraba</v>
          </cell>
          <cell r="N3056" t="str">
            <v>B</v>
          </cell>
        </row>
        <row r="3057">
          <cell r="B3057" t="str">
            <v>1138 / VFHW-51|</v>
          </cell>
          <cell r="C3057" t="str">
            <v>LDYECS311S0043977</v>
          </cell>
          <cell r="D3057" t="str">
            <v>MDN35025020058</v>
          </cell>
          <cell r="E3057" t="str">
            <v>Zhong Tong</v>
          </cell>
          <cell r="F3057" t="str">
            <v>Lck6122evg</v>
          </cell>
          <cell r="G3057" t="str">
            <v>ZHONGTONG</v>
          </cell>
          <cell r="H3057" t="str">
            <v>LCK6122EVG</v>
          </cell>
          <cell r="I3057">
            <v>2025</v>
          </cell>
          <cell r="J3057" t="str">
            <v>B</v>
          </cell>
          <cell r="K3057" t="str">
            <v>LOS LIBERTADORES</v>
          </cell>
          <cell r="L3057" t="str">
            <v>Los Liberadores 6450, Lote 4A</v>
          </cell>
          <cell r="M3057" t="str">
            <v>Huechuraba</v>
          </cell>
          <cell r="N3057" t="str">
            <v>B</v>
          </cell>
        </row>
        <row r="3058">
          <cell r="B3058" t="str">
            <v>1139 / VFHW-63|</v>
          </cell>
          <cell r="C3058" t="str">
            <v>LDYECS318S0043975</v>
          </cell>
          <cell r="D3058" t="str">
            <v>MDN35025020063</v>
          </cell>
          <cell r="E3058" t="str">
            <v>Zhong Tong</v>
          </cell>
          <cell r="F3058" t="str">
            <v>Lck6122evg</v>
          </cell>
          <cell r="G3058" t="str">
            <v>ZHONGTONG</v>
          </cell>
          <cell r="H3058" t="str">
            <v>LCK6122EVG</v>
          </cell>
          <cell r="I3058">
            <v>2025</v>
          </cell>
          <cell r="J3058" t="str">
            <v>B</v>
          </cell>
          <cell r="K3058" t="str">
            <v>LOS LIBERTADORES</v>
          </cell>
          <cell r="L3058" t="str">
            <v>Los Liberadores 6450, Lote 4A</v>
          </cell>
          <cell r="M3058" t="str">
            <v>Huechuraba</v>
          </cell>
          <cell r="N3058" t="str">
            <v>B</v>
          </cell>
        </row>
        <row r="3059">
          <cell r="B3059" t="str">
            <v>1140 / VFHK-27|</v>
          </cell>
          <cell r="C3059" t="str">
            <v>LDYECS312S0043910</v>
          </cell>
          <cell r="D3059" t="str">
            <v>MDN35025010079</v>
          </cell>
          <cell r="E3059" t="str">
            <v>Zhong Tong</v>
          </cell>
          <cell r="F3059" t="str">
            <v>Lck6122evg</v>
          </cell>
          <cell r="G3059" t="str">
            <v>ZHONGTONG</v>
          </cell>
          <cell r="H3059" t="str">
            <v>LCK6122EVG</v>
          </cell>
          <cell r="I3059">
            <v>2025</v>
          </cell>
          <cell r="J3059" t="str">
            <v>B</v>
          </cell>
          <cell r="K3059" t="str">
            <v>SAN JOSE</v>
          </cell>
          <cell r="L3059" t="str">
            <v>San José 030 (José Besa 669)</v>
          </cell>
          <cell r="M3059" t="str">
            <v>San Bernardo</v>
          </cell>
          <cell r="N3059" t="str">
            <v>B</v>
          </cell>
        </row>
        <row r="3060">
          <cell r="B3060" t="str">
            <v>1141 / VFPB-70|</v>
          </cell>
          <cell r="C3060" t="str">
            <v>LDYECS316S0043991</v>
          </cell>
          <cell r="D3060" t="str">
            <v>MDN35025020122</v>
          </cell>
          <cell r="E3060" t="str">
            <v>Zhong Tong</v>
          </cell>
          <cell r="F3060" t="str">
            <v>Lck6122evg</v>
          </cell>
          <cell r="G3060" t="str">
            <v>ZHONGTONG</v>
          </cell>
          <cell r="H3060" t="str">
            <v>LCK6122EVG</v>
          </cell>
          <cell r="I3060">
            <v>2025</v>
          </cell>
          <cell r="J3060" t="str">
            <v>B</v>
          </cell>
          <cell r="K3060" t="str">
            <v>LOS LIBERTADORES</v>
          </cell>
          <cell r="L3060" t="str">
            <v>Los Liberadores 6450, Lote 4A</v>
          </cell>
          <cell r="M3060" t="str">
            <v>Huechuraba</v>
          </cell>
          <cell r="N3060" t="str">
            <v>B</v>
          </cell>
        </row>
        <row r="3061">
          <cell r="B3061" t="str">
            <v>1142 / VFPC-10|</v>
          </cell>
          <cell r="C3061" t="str">
            <v>LDYECS317S0044115</v>
          </cell>
          <cell r="D3061" t="str">
            <v>MDN35025010018</v>
          </cell>
          <cell r="E3061" t="str">
            <v>Zhong Tong</v>
          </cell>
          <cell r="F3061" t="str">
            <v>Lck6122evg</v>
          </cell>
          <cell r="G3061" t="str">
            <v>ZHONGTONG</v>
          </cell>
          <cell r="H3061" t="str">
            <v>LCK6122EVG</v>
          </cell>
          <cell r="I3061">
            <v>2025</v>
          </cell>
          <cell r="J3061" t="str">
            <v>B</v>
          </cell>
          <cell r="K3061" t="str">
            <v>LOS LIBERTADORES</v>
          </cell>
          <cell r="L3061" t="str">
            <v>Los Liberadores 6450, Lote 4A</v>
          </cell>
          <cell r="M3061" t="str">
            <v>Huechuraba</v>
          </cell>
          <cell r="N3061" t="str">
            <v>B</v>
          </cell>
        </row>
        <row r="3062">
          <cell r="B3062" t="str">
            <v>1143 / VFPC-31|</v>
          </cell>
          <cell r="C3062" t="str">
            <v>LDYECS315S0043996</v>
          </cell>
          <cell r="D3062" t="str">
            <v>MDN35025020055</v>
          </cell>
          <cell r="E3062" t="str">
            <v>Zhong Tong</v>
          </cell>
          <cell r="F3062" t="str">
            <v>Lck6122evg</v>
          </cell>
          <cell r="G3062" t="str">
            <v>ZHONGTONG</v>
          </cell>
          <cell r="H3062" t="str">
            <v>LCK6122EVG</v>
          </cell>
          <cell r="I3062">
            <v>2025</v>
          </cell>
          <cell r="J3062" t="str">
            <v>B</v>
          </cell>
          <cell r="K3062" t="str">
            <v>LOS LIBERTADORES</v>
          </cell>
          <cell r="L3062" t="str">
            <v>Los Liberadores 6450, Lote 4A</v>
          </cell>
          <cell r="M3062" t="str">
            <v>Huechuraba</v>
          </cell>
          <cell r="N3062" t="str">
            <v>B</v>
          </cell>
        </row>
        <row r="3063">
          <cell r="B3063" t="str">
            <v>1144 / VFPC-80|</v>
          </cell>
          <cell r="C3063" t="str">
            <v>LDYECS313S0043978</v>
          </cell>
          <cell r="D3063" t="str">
            <v>MDN35025020093</v>
          </cell>
          <cell r="E3063" t="str">
            <v>Zhong Tong</v>
          </cell>
          <cell r="F3063" t="str">
            <v>Lck6122evg</v>
          </cell>
          <cell r="G3063" t="str">
            <v>ZHONGTONG</v>
          </cell>
          <cell r="H3063" t="str">
            <v>LCK6122EVG</v>
          </cell>
          <cell r="I3063">
            <v>2025</v>
          </cell>
          <cell r="J3063" t="str">
            <v>B</v>
          </cell>
          <cell r="K3063" t="str">
            <v>LOS LIBERTADORES</v>
          </cell>
          <cell r="L3063" t="str">
            <v>Los Liberadores 6450, Lote 4A</v>
          </cell>
          <cell r="M3063" t="str">
            <v>Huechuraba</v>
          </cell>
          <cell r="N3063" t="str">
            <v>B</v>
          </cell>
        </row>
        <row r="3064">
          <cell r="B3064" t="str">
            <v>1145 / VFPC-51|</v>
          </cell>
          <cell r="C3064" t="str">
            <v>LDYECS31XS0044027</v>
          </cell>
          <cell r="D3064" t="str">
            <v>MDN35025020112</v>
          </cell>
          <cell r="E3064" t="str">
            <v>Zhong Tong</v>
          </cell>
          <cell r="F3064" t="str">
            <v>Lck6122evg</v>
          </cell>
          <cell r="G3064" t="str">
            <v>ZHONGTONG</v>
          </cell>
          <cell r="H3064" t="str">
            <v>LCK6122EVG</v>
          </cell>
          <cell r="I3064">
            <v>2025</v>
          </cell>
          <cell r="J3064" t="str">
            <v>B</v>
          </cell>
          <cell r="K3064" t="str">
            <v>LOS LIBERTADORES</v>
          </cell>
          <cell r="L3064" t="str">
            <v>Los Liberadores 6450, Lote 4A</v>
          </cell>
          <cell r="M3064" t="str">
            <v>Huechuraba</v>
          </cell>
          <cell r="N3064" t="str">
            <v>B</v>
          </cell>
        </row>
        <row r="3065">
          <cell r="B3065" t="str">
            <v>1146 / VFPD-84|</v>
          </cell>
          <cell r="C3065" t="str">
            <v>LDYECS315S0043982</v>
          </cell>
          <cell r="D3065" t="str">
            <v>MDN35025020067</v>
          </cell>
          <cell r="E3065" t="str">
            <v>Zhong Tong</v>
          </cell>
          <cell r="F3065" t="str">
            <v>Lck6122evg</v>
          </cell>
          <cell r="G3065" t="str">
            <v>ZHONGTONG</v>
          </cell>
          <cell r="H3065" t="str">
            <v>LCK6122EVG</v>
          </cell>
          <cell r="I3065">
            <v>2025</v>
          </cell>
          <cell r="J3065" t="str">
            <v>B</v>
          </cell>
          <cell r="K3065" t="str">
            <v>LOS LIBERTADORES</v>
          </cell>
          <cell r="L3065" t="str">
            <v>Los Liberadores 6450, Lote 4A</v>
          </cell>
          <cell r="M3065" t="str">
            <v>Huechuraba</v>
          </cell>
          <cell r="N3065" t="str">
            <v>B</v>
          </cell>
        </row>
        <row r="3066">
          <cell r="B3066" t="str">
            <v>1147 / VFPD-94|</v>
          </cell>
          <cell r="C3066" t="str">
            <v>LDYECS317S0043997</v>
          </cell>
          <cell r="D3066" t="str">
            <v>MDN35025020022</v>
          </cell>
          <cell r="E3066" t="str">
            <v>Zhong Tong</v>
          </cell>
          <cell r="F3066" t="str">
            <v>Lck6122evg</v>
          </cell>
          <cell r="G3066" t="str">
            <v>ZHONGTONG</v>
          </cell>
          <cell r="H3066" t="str">
            <v>LCK6122EVG</v>
          </cell>
          <cell r="I3066">
            <v>2025</v>
          </cell>
          <cell r="J3066" t="str">
            <v>B</v>
          </cell>
          <cell r="K3066" t="str">
            <v>LOS LIBERTADORES</v>
          </cell>
          <cell r="L3066" t="str">
            <v>Los Liberadores 6450, Lote 4A</v>
          </cell>
          <cell r="M3066" t="str">
            <v>Huechuraba</v>
          </cell>
          <cell r="N3066" t="str">
            <v>B</v>
          </cell>
        </row>
        <row r="3067">
          <cell r="B3067" t="str">
            <v>1148 / VFHL-60|</v>
          </cell>
          <cell r="C3067" t="str">
            <v>LDYECS314S0043911</v>
          </cell>
          <cell r="D3067" t="str">
            <v>MDN35025010115</v>
          </cell>
          <cell r="E3067" t="str">
            <v>Zhong Tong</v>
          </cell>
          <cell r="F3067" t="str">
            <v>Lck6122evg</v>
          </cell>
          <cell r="G3067" t="str">
            <v>ZHONGTONG</v>
          </cell>
          <cell r="H3067" t="str">
            <v>LCK6122EVG</v>
          </cell>
          <cell r="I3067">
            <v>2025</v>
          </cell>
          <cell r="J3067" t="str">
            <v>B</v>
          </cell>
          <cell r="K3067" t="str">
            <v>LOS LIBERTADORES</v>
          </cell>
          <cell r="L3067" t="str">
            <v>Los Liberadores 6450, Lote 4A</v>
          </cell>
          <cell r="M3067" t="str">
            <v>Huechuraba</v>
          </cell>
          <cell r="N3067" t="str">
            <v>B</v>
          </cell>
        </row>
        <row r="3068">
          <cell r="B3068" t="str">
            <v>1149 / VFHK-31|</v>
          </cell>
          <cell r="C3068" t="str">
            <v>LDYECS314S0043925</v>
          </cell>
          <cell r="D3068" t="str">
            <v>MDN35025010120</v>
          </cell>
          <cell r="E3068" t="str">
            <v>Zhong Tong</v>
          </cell>
          <cell r="F3068" t="str">
            <v>Lck6122evg</v>
          </cell>
          <cell r="G3068" t="str">
            <v>ZHONGTONG</v>
          </cell>
          <cell r="H3068" t="str">
            <v>LCK6122EVG</v>
          </cell>
          <cell r="I3068">
            <v>2025</v>
          </cell>
          <cell r="J3068" t="str">
            <v>B</v>
          </cell>
          <cell r="K3068" t="str">
            <v>SAN JOSE</v>
          </cell>
          <cell r="L3068" t="str">
            <v>San José 030 (José Besa 669)</v>
          </cell>
          <cell r="M3068" t="str">
            <v>San Bernardo</v>
          </cell>
          <cell r="N3068" t="str">
            <v>B</v>
          </cell>
        </row>
        <row r="3069">
          <cell r="B3069" t="str">
            <v>1150 / VFHK-58|</v>
          </cell>
          <cell r="C3069" t="str">
            <v>LDYECS315S0043898</v>
          </cell>
          <cell r="D3069" t="str">
            <v>MDN35025010184</v>
          </cell>
          <cell r="E3069" t="str">
            <v>Zhong Tong</v>
          </cell>
          <cell r="F3069" t="str">
            <v>Lck6122evg</v>
          </cell>
          <cell r="G3069" t="str">
            <v>ZHONGTONG</v>
          </cell>
          <cell r="H3069" t="str">
            <v>LCK6122EVG</v>
          </cell>
          <cell r="I3069">
            <v>2025</v>
          </cell>
          <cell r="J3069" t="str">
            <v>B</v>
          </cell>
          <cell r="K3069" t="str">
            <v>SAN JOSE</v>
          </cell>
          <cell r="L3069" t="str">
            <v>San José 030 (José Besa 669)</v>
          </cell>
          <cell r="M3069" t="str">
            <v>San Bernardo</v>
          </cell>
          <cell r="N3069" t="str">
            <v>B</v>
          </cell>
        </row>
        <row r="3070">
          <cell r="B3070" t="str">
            <v>1151 / VFHK-69|</v>
          </cell>
          <cell r="C3070" t="str">
            <v>LDYECS316S0043909</v>
          </cell>
          <cell r="D3070" t="str">
            <v>MDN35025010068</v>
          </cell>
          <cell r="E3070" t="str">
            <v>Zhong Tong</v>
          </cell>
          <cell r="F3070" t="str">
            <v>Lck6122evg</v>
          </cell>
          <cell r="G3070" t="str">
            <v>ZHONGTONG</v>
          </cell>
          <cell r="H3070" t="str">
            <v>LCK6122EVG</v>
          </cell>
          <cell r="I3070">
            <v>2025</v>
          </cell>
          <cell r="J3070" t="str">
            <v>B</v>
          </cell>
          <cell r="K3070" t="str">
            <v>SAN JOSE</v>
          </cell>
          <cell r="L3070" t="str">
            <v>San José 030 (José Besa 669)</v>
          </cell>
          <cell r="M3070" t="str">
            <v>San Bernardo</v>
          </cell>
          <cell r="N3070" t="str">
            <v>B</v>
          </cell>
        </row>
        <row r="3071">
          <cell r="B3071" t="str">
            <v>1152 / VFHK-89|</v>
          </cell>
          <cell r="C3071" t="str">
            <v>LDYECS316S0043943</v>
          </cell>
          <cell r="D3071" t="str">
            <v>MDN35025010049</v>
          </cell>
          <cell r="E3071" t="str">
            <v>Zhong Tong</v>
          </cell>
          <cell r="F3071" t="str">
            <v>Lck6122evg</v>
          </cell>
          <cell r="G3071" t="str">
            <v>ZHONGTONG</v>
          </cell>
          <cell r="H3071" t="str">
            <v>LCK6122EVG</v>
          </cell>
          <cell r="I3071">
            <v>2025</v>
          </cell>
          <cell r="J3071" t="str">
            <v>B</v>
          </cell>
          <cell r="K3071" t="str">
            <v>CERRILLOS</v>
          </cell>
          <cell r="L3071" t="str">
            <v>Calle Uno 7371</v>
          </cell>
          <cell r="M3071" t="str">
            <v>Estacion Central</v>
          </cell>
          <cell r="N3071" t="str">
            <v>B</v>
          </cell>
        </row>
        <row r="3072">
          <cell r="B3072" t="str">
            <v>1153 / VFHK-96|</v>
          </cell>
          <cell r="C3072" t="str">
            <v>LDYECS319S0043905</v>
          </cell>
          <cell r="D3072" t="str">
            <v>MDN35025010108</v>
          </cell>
          <cell r="E3072" t="str">
            <v>Zhong Tong</v>
          </cell>
          <cell r="F3072" t="str">
            <v>Lck6122evg</v>
          </cell>
          <cell r="G3072" t="str">
            <v>ZHONGTONG</v>
          </cell>
          <cell r="H3072" t="str">
            <v>LCK6122EVG</v>
          </cell>
          <cell r="I3072">
            <v>2025</v>
          </cell>
          <cell r="J3072" t="str">
            <v>B</v>
          </cell>
          <cell r="K3072" t="str">
            <v>SAN ALFONSO</v>
          </cell>
          <cell r="L3072" t="str">
            <v>San Alfonso 2141 (Ramón Subercaseaux 3060)</v>
          </cell>
          <cell r="M3072" t="str">
            <v>Estacion Central</v>
          </cell>
          <cell r="N3072" t="str">
            <v>B</v>
          </cell>
        </row>
        <row r="3073">
          <cell r="B3073" t="str">
            <v>1225 / GCBF-42|</v>
          </cell>
          <cell r="C3073" t="str">
            <v>YV3T7U520JA189191</v>
          </cell>
          <cell r="D3073">
            <v>451887</v>
          </cell>
          <cell r="E3073" t="str">
            <v>Volvo</v>
          </cell>
          <cell r="F3073" t="str">
            <v>B8RLEA</v>
          </cell>
          <cell r="G3073" t="str">
            <v>MARCOPOLO</v>
          </cell>
          <cell r="H3073" t="str">
            <v>TORINO</v>
          </cell>
          <cell r="I3073">
            <v>2020</v>
          </cell>
          <cell r="J3073" t="str">
            <v>C</v>
          </cell>
          <cell r="K3073" t="str">
            <v>SAN ALFONSO</v>
          </cell>
          <cell r="L3073" t="str">
            <v>San Alfonso 2141 (Ramón Subercaseaux 3060)</v>
          </cell>
          <cell r="M3073" t="str">
            <v>Estacion Central</v>
          </cell>
          <cell r="N3073" t="str">
            <v>C</v>
          </cell>
        </row>
        <row r="3074">
          <cell r="B3074" t="str">
            <v>1154 / LZRB-89|</v>
          </cell>
          <cell r="C3074" t="str">
            <v>YV3T7U523LA201711</v>
          </cell>
          <cell r="D3074">
            <v>508408</v>
          </cell>
          <cell r="E3074" t="str">
            <v>Volvo</v>
          </cell>
          <cell r="F3074" t="str">
            <v>B8RLEA</v>
          </cell>
          <cell r="G3074" t="str">
            <v>MARCOPOLO</v>
          </cell>
          <cell r="H3074" t="str">
            <v>GRAN VIALE</v>
          </cell>
          <cell r="I3074">
            <v>2020</v>
          </cell>
          <cell r="J3074" t="str">
            <v>C</v>
          </cell>
          <cell r="K3074" t="str">
            <v>PIE ANDINO</v>
          </cell>
          <cell r="L3074" t="str">
            <v>Pie Andino 31 (Pie Andino 383)</v>
          </cell>
          <cell r="M3074" t="str">
            <v>Puente Alto</v>
          </cell>
          <cell r="N3074" t="str">
            <v>C</v>
          </cell>
        </row>
        <row r="3075">
          <cell r="B3075" t="str">
            <v>1155 / LZRB-90|</v>
          </cell>
          <cell r="C3075" t="str">
            <v>YV3T7U527LA201923</v>
          </cell>
          <cell r="D3075">
            <v>509327</v>
          </cell>
          <cell r="E3075" t="str">
            <v>Volvo</v>
          </cell>
          <cell r="F3075" t="str">
            <v>B8RLEA</v>
          </cell>
          <cell r="G3075" t="str">
            <v>MARCOPOLO</v>
          </cell>
          <cell r="H3075" t="str">
            <v>GRAN VIALE</v>
          </cell>
          <cell r="I3075">
            <v>2020</v>
          </cell>
          <cell r="J3075" t="str">
            <v>C</v>
          </cell>
          <cell r="K3075" t="str">
            <v>PIE ANDINO</v>
          </cell>
          <cell r="L3075" t="str">
            <v>Pie Andino 31 (Pie Andino 383)</v>
          </cell>
          <cell r="M3075" t="str">
            <v>Puente Alto</v>
          </cell>
          <cell r="N3075" t="str">
            <v>C</v>
          </cell>
        </row>
        <row r="3076">
          <cell r="B3076" t="str">
            <v>1156 / LZRB-91|</v>
          </cell>
          <cell r="C3076" t="str">
            <v>YV3T7U525LA201709</v>
          </cell>
          <cell r="D3076">
            <v>508437</v>
          </cell>
          <cell r="E3076" t="str">
            <v>Volvo</v>
          </cell>
          <cell r="F3076" t="str">
            <v>B8RLEA</v>
          </cell>
          <cell r="G3076" t="str">
            <v>MARCOPOLO</v>
          </cell>
          <cell r="H3076" t="str">
            <v>GRAN VIALE</v>
          </cell>
          <cell r="I3076">
            <v>2020</v>
          </cell>
          <cell r="J3076" t="str">
            <v>C</v>
          </cell>
          <cell r="K3076" t="str">
            <v>PIE ANDINO</v>
          </cell>
          <cell r="L3076" t="str">
            <v>Pie Andino 31 (Pie Andino 383)</v>
          </cell>
          <cell r="M3076" t="str">
            <v>Puente Alto</v>
          </cell>
          <cell r="N3076" t="str">
            <v>C</v>
          </cell>
        </row>
        <row r="3077">
          <cell r="B3077" t="str">
            <v>1157 / LZRB-92|</v>
          </cell>
          <cell r="C3077" t="str">
            <v>YV3T7U520LA201665</v>
          </cell>
          <cell r="D3077">
            <v>508572</v>
          </cell>
          <cell r="E3077" t="str">
            <v>Volvo</v>
          </cell>
          <cell r="F3077" t="str">
            <v>B8RLEA</v>
          </cell>
          <cell r="G3077" t="str">
            <v>MARCOPOLO</v>
          </cell>
          <cell r="H3077" t="str">
            <v>GRAN VIALE</v>
          </cell>
          <cell r="I3077">
            <v>2020</v>
          </cell>
          <cell r="J3077" t="str">
            <v>C</v>
          </cell>
          <cell r="K3077" t="str">
            <v>PIE ANDINO</v>
          </cell>
          <cell r="L3077" t="str">
            <v>Pie Andino 31 (Pie Andino 383)</v>
          </cell>
          <cell r="M3077" t="str">
            <v>Puente Alto</v>
          </cell>
          <cell r="N3077" t="str">
            <v>C</v>
          </cell>
        </row>
        <row r="3078">
          <cell r="B3078" t="str">
            <v>1158 / LZRB-93|</v>
          </cell>
          <cell r="C3078" t="str">
            <v>YV3T7U521LA201710</v>
          </cell>
          <cell r="D3078">
            <v>508361</v>
          </cell>
          <cell r="E3078" t="str">
            <v>Volvo</v>
          </cell>
          <cell r="F3078" t="str">
            <v>B8RLEA</v>
          </cell>
          <cell r="G3078" t="str">
            <v>MARCOPOLO</v>
          </cell>
          <cell r="H3078" t="str">
            <v>GRAN VIALE</v>
          </cell>
          <cell r="I3078">
            <v>2020</v>
          </cell>
          <cell r="J3078" t="str">
            <v>C</v>
          </cell>
          <cell r="K3078" t="str">
            <v>PIE ANDINO</v>
          </cell>
          <cell r="L3078" t="str">
            <v>Pie Andino 31 (Pie Andino 383)</v>
          </cell>
          <cell r="M3078" t="str">
            <v>Puente Alto</v>
          </cell>
          <cell r="N3078" t="str">
            <v>C</v>
          </cell>
        </row>
        <row r="3079">
          <cell r="B3079" t="str">
            <v>1159 / LZRB-94|</v>
          </cell>
          <cell r="C3079" t="str">
            <v>YV3T7U526LA201699</v>
          </cell>
          <cell r="D3079">
            <v>508380</v>
          </cell>
          <cell r="E3079" t="str">
            <v>Volvo</v>
          </cell>
          <cell r="F3079" t="str">
            <v>B8RLEA</v>
          </cell>
          <cell r="G3079" t="str">
            <v>MARCOPOLO</v>
          </cell>
          <cell r="H3079" t="str">
            <v>GRAN VIALE</v>
          </cell>
          <cell r="I3079">
            <v>2020</v>
          </cell>
          <cell r="J3079" t="str">
            <v>C</v>
          </cell>
          <cell r="K3079" t="str">
            <v>PIE ANDINO</v>
          </cell>
          <cell r="L3079" t="str">
            <v>Pie Andino 31 (Pie Andino 383)</v>
          </cell>
          <cell r="M3079" t="str">
            <v>Puente Alto</v>
          </cell>
          <cell r="N3079" t="str">
            <v>C</v>
          </cell>
        </row>
        <row r="3080">
          <cell r="B3080" t="str">
            <v>1160 / LZRB-95|</v>
          </cell>
          <cell r="C3080" t="str">
            <v>YV3T7U522LA201697</v>
          </cell>
          <cell r="D3080">
            <v>508444</v>
          </cell>
          <cell r="E3080" t="str">
            <v>Volvo</v>
          </cell>
          <cell r="F3080" t="str">
            <v>B8RLEA</v>
          </cell>
          <cell r="G3080" t="str">
            <v>MARCOPOLO</v>
          </cell>
          <cell r="H3080" t="str">
            <v>GRAN VIALE</v>
          </cell>
          <cell r="I3080">
            <v>2020</v>
          </cell>
          <cell r="J3080" t="str">
            <v>C</v>
          </cell>
          <cell r="K3080" t="str">
            <v>PIE ANDINO</v>
          </cell>
          <cell r="L3080" t="str">
            <v>Pie Andino 31 (Pie Andino 383)</v>
          </cell>
          <cell r="M3080" t="str">
            <v>Puente Alto</v>
          </cell>
          <cell r="N3080" t="str">
            <v>C</v>
          </cell>
        </row>
        <row r="3081">
          <cell r="B3081" t="str">
            <v>1161 / LZRB-96|</v>
          </cell>
          <cell r="C3081" t="str">
            <v>YV3T7U524LA201698</v>
          </cell>
          <cell r="D3081">
            <v>508467</v>
          </cell>
          <cell r="E3081" t="str">
            <v>Volvo</v>
          </cell>
          <cell r="F3081" t="str">
            <v>B8RLEA</v>
          </cell>
          <cell r="G3081" t="str">
            <v>MARCOPOLO</v>
          </cell>
          <cell r="H3081" t="str">
            <v>GRAN VIALE</v>
          </cell>
          <cell r="I3081">
            <v>2020</v>
          </cell>
          <cell r="J3081" t="str">
            <v>C</v>
          </cell>
          <cell r="K3081" t="str">
            <v>PIE ANDINO</v>
          </cell>
          <cell r="L3081" t="str">
            <v>Pie Andino 31 (Pie Andino 383)</v>
          </cell>
          <cell r="M3081" t="str">
            <v>Puente Alto</v>
          </cell>
          <cell r="N3081" t="str">
            <v>C</v>
          </cell>
        </row>
        <row r="3082">
          <cell r="B3082" t="str">
            <v>1162 / LZRD-61|</v>
          </cell>
          <cell r="C3082" t="str">
            <v>YV3T7U523LA198728</v>
          </cell>
          <cell r="D3082">
            <v>508196</v>
          </cell>
          <cell r="E3082" t="str">
            <v>Volvo</v>
          </cell>
          <cell r="F3082" t="str">
            <v>B8RLEA</v>
          </cell>
          <cell r="G3082" t="str">
            <v>MARCOPOLO</v>
          </cell>
          <cell r="H3082" t="str">
            <v>GRAN VIALE</v>
          </cell>
          <cell r="I3082">
            <v>2020</v>
          </cell>
          <cell r="J3082" t="str">
            <v>C</v>
          </cell>
          <cell r="K3082" t="str">
            <v>PIE ANDINO</v>
          </cell>
          <cell r="L3082" t="str">
            <v>Pie Andino 31 (Pie Andino 383)</v>
          </cell>
          <cell r="M3082" t="str">
            <v>Puente Alto</v>
          </cell>
          <cell r="N3082" t="str">
            <v>C</v>
          </cell>
        </row>
        <row r="3083">
          <cell r="B3083" t="str">
            <v>1163 / LZRD-62|</v>
          </cell>
          <cell r="C3083" t="str">
            <v>YV3T7U526LA201623</v>
          </cell>
          <cell r="D3083">
            <v>508277</v>
          </cell>
          <cell r="E3083" t="str">
            <v>Volvo</v>
          </cell>
          <cell r="F3083" t="str">
            <v>B8RLEA</v>
          </cell>
          <cell r="G3083" t="str">
            <v>MARCOPOLO</v>
          </cell>
          <cell r="H3083" t="str">
            <v>GRAN VIALE</v>
          </cell>
          <cell r="I3083">
            <v>2020</v>
          </cell>
          <cell r="J3083" t="str">
            <v>C</v>
          </cell>
          <cell r="K3083" t="str">
            <v>PIE ANDINO</v>
          </cell>
          <cell r="L3083" t="str">
            <v>Pie Andino 31 (Pie Andino 383)</v>
          </cell>
          <cell r="M3083" t="str">
            <v>Puente Alto</v>
          </cell>
          <cell r="N3083" t="str">
            <v>C</v>
          </cell>
        </row>
        <row r="3084">
          <cell r="B3084" t="str">
            <v>1164 / LZRD-63|</v>
          </cell>
          <cell r="C3084" t="str">
            <v>YV3T7U52XLA198726</v>
          </cell>
          <cell r="D3084">
            <v>508208</v>
          </cell>
          <cell r="E3084" t="str">
            <v>Volvo</v>
          </cell>
          <cell r="F3084" t="str">
            <v>B8RLEA</v>
          </cell>
          <cell r="G3084" t="str">
            <v>MARCOPOLO</v>
          </cell>
          <cell r="H3084" t="str">
            <v>GRAN VIALE</v>
          </cell>
          <cell r="I3084">
            <v>2020</v>
          </cell>
          <cell r="J3084" t="str">
            <v>C</v>
          </cell>
          <cell r="K3084" t="str">
            <v>PIE ANDINO</v>
          </cell>
          <cell r="L3084" t="str">
            <v>Pie Andino 31 (Pie Andino 383)</v>
          </cell>
          <cell r="M3084" t="str">
            <v>Puente Alto</v>
          </cell>
          <cell r="N3084" t="str">
            <v>C</v>
          </cell>
        </row>
        <row r="3085">
          <cell r="B3085" t="str">
            <v>1165 / LZRD-64|</v>
          </cell>
          <cell r="C3085" t="str">
            <v>YV3T7U526LA198724</v>
          </cell>
          <cell r="D3085">
            <v>508167</v>
          </cell>
          <cell r="E3085" t="str">
            <v>Volvo</v>
          </cell>
          <cell r="F3085" t="str">
            <v>B8RLEA</v>
          </cell>
          <cell r="G3085" t="str">
            <v>MARCOPOLO</v>
          </cell>
          <cell r="H3085" t="str">
            <v>GRAN VIALE</v>
          </cell>
          <cell r="I3085">
            <v>2020</v>
          </cell>
          <cell r="J3085" t="str">
            <v>C</v>
          </cell>
          <cell r="K3085" t="str">
            <v>PIE ANDINO</v>
          </cell>
          <cell r="L3085" t="str">
            <v>Pie Andino 31 (Pie Andino 383)</v>
          </cell>
          <cell r="M3085" t="str">
            <v>Puente Alto</v>
          </cell>
          <cell r="N3085" t="str">
            <v>C</v>
          </cell>
        </row>
        <row r="3086">
          <cell r="B3086" t="str">
            <v>1166 / LZRD-65|</v>
          </cell>
          <cell r="C3086" t="str">
            <v>YV3T7U521LA201500</v>
          </cell>
          <cell r="D3086">
            <v>507859</v>
          </cell>
          <cell r="E3086" t="str">
            <v>Volvo</v>
          </cell>
          <cell r="F3086" t="str">
            <v>B8RLEA</v>
          </cell>
          <cell r="G3086" t="str">
            <v>MARCOPOLO</v>
          </cell>
          <cell r="H3086" t="str">
            <v>GRAN VIALE</v>
          </cell>
          <cell r="I3086">
            <v>2020</v>
          </cell>
          <cell r="J3086" t="str">
            <v>C</v>
          </cell>
          <cell r="K3086" t="str">
            <v>PIE ANDINO</v>
          </cell>
          <cell r="L3086" t="str">
            <v>Pie Andino 31 (Pie Andino 383)</v>
          </cell>
          <cell r="M3086" t="str">
            <v>Puente Alto</v>
          </cell>
          <cell r="N3086" t="str">
            <v>C</v>
          </cell>
        </row>
        <row r="3087">
          <cell r="B3087" t="str">
            <v>1167 / LZRD-66|</v>
          </cell>
          <cell r="C3087" t="str">
            <v>YV3T7U522LA198722</v>
          </cell>
          <cell r="D3087">
            <v>508172</v>
          </cell>
          <cell r="E3087" t="str">
            <v>Volvo</v>
          </cell>
          <cell r="F3087" t="str">
            <v>B8RLEA</v>
          </cell>
          <cell r="G3087" t="str">
            <v>MARCOPOLO</v>
          </cell>
          <cell r="H3087" t="str">
            <v>GRAN VIALE</v>
          </cell>
          <cell r="I3087">
            <v>2020</v>
          </cell>
          <cell r="J3087" t="str">
            <v>C</v>
          </cell>
          <cell r="K3087" t="str">
            <v>PIE ANDINO</v>
          </cell>
          <cell r="L3087" t="str">
            <v>Pie Andino 31 (Pie Andino 383)</v>
          </cell>
          <cell r="M3087" t="str">
            <v>Puente Alto</v>
          </cell>
          <cell r="N3087" t="str">
            <v>C</v>
          </cell>
        </row>
        <row r="3088">
          <cell r="B3088" t="str">
            <v>1226 / LZRD-67|</v>
          </cell>
          <cell r="C3088" t="str">
            <v>YV3T7U520LA201696</v>
          </cell>
          <cell r="D3088">
            <v>508690</v>
          </cell>
          <cell r="E3088" t="str">
            <v>Volvo</v>
          </cell>
          <cell r="F3088" t="str">
            <v>B8RLEA</v>
          </cell>
          <cell r="G3088" t="str">
            <v>MARCOPOLO</v>
          </cell>
          <cell r="H3088" t="str">
            <v>GRAN VIALE</v>
          </cell>
          <cell r="I3088">
            <v>2020</v>
          </cell>
          <cell r="J3088" t="str">
            <v>C</v>
          </cell>
          <cell r="K3088" t="str">
            <v>SAN ALFONSO</v>
          </cell>
          <cell r="L3088" t="str">
            <v>San Alfonso 2141 (Ramón Subercaseaux 3060)</v>
          </cell>
          <cell r="M3088" t="str">
            <v>Estacion Central</v>
          </cell>
          <cell r="N3088" t="str">
            <v>C</v>
          </cell>
        </row>
        <row r="3089">
          <cell r="B3089" t="str">
            <v>1168 / LZRD-68|</v>
          </cell>
          <cell r="C3089" t="str">
            <v>YV3T7U52XLA201608</v>
          </cell>
          <cell r="D3089">
            <v>508223</v>
          </cell>
          <cell r="E3089" t="str">
            <v>Volvo</v>
          </cell>
          <cell r="F3089" t="str">
            <v>B8RLEA</v>
          </cell>
          <cell r="G3089" t="str">
            <v>MARCOPOLO</v>
          </cell>
          <cell r="H3089" t="str">
            <v>GRAN VIALE</v>
          </cell>
          <cell r="I3089">
            <v>2020</v>
          </cell>
          <cell r="J3089" t="str">
            <v>C</v>
          </cell>
          <cell r="K3089" t="str">
            <v>PIE ANDINO</v>
          </cell>
          <cell r="L3089" t="str">
            <v>Pie Andino 31 (Pie Andino 383)</v>
          </cell>
          <cell r="M3089" t="str">
            <v>Puente Alto</v>
          </cell>
          <cell r="N3089" t="str">
            <v>C</v>
          </cell>
        </row>
        <row r="3090">
          <cell r="B3090" t="str">
            <v>1169 / LZRD-69|</v>
          </cell>
          <cell r="C3090" t="str">
            <v>YV3T7U521LA201545</v>
          </cell>
          <cell r="D3090">
            <v>508144</v>
          </cell>
          <cell r="E3090" t="str">
            <v>Volvo</v>
          </cell>
          <cell r="F3090" t="str">
            <v>B8RLEA</v>
          </cell>
          <cell r="G3090" t="str">
            <v>MARCOPOLO</v>
          </cell>
          <cell r="H3090" t="str">
            <v>GRAN VIALE</v>
          </cell>
          <cell r="I3090">
            <v>2020</v>
          </cell>
          <cell r="J3090" t="str">
            <v>C</v>
          </cell>
          <cell r="K3090" t="str">
            <v>PIE ANDINO</v>
          </cell>
          <cell r="L3090" t="str">
            <v>Pie Andino 31 (Pie Andino 383)</v>
          </cell>
          <cell r="M3090" t="str">
            <v>Puente Alto</v>
          </cell>
          <cell r="N3090" t="str">
            <v>C</v>
          </cell>
        </row>
        <row r="3091">
          <cell r="B3091" t="str">
            <v>1170 / LZRD-70|</v>
          </cell>
          <cell r="C3091" t="str">
            <v>YV3T7U528LA201543</v>
          </cell>
          <cell r="D3091">
            <v>508132</v>
          </cell>
          <cell r="E3091" t="str">
            <v>Volvo</v>
          </cell>
          <cell r="F3091" t="str">
            <v>B8RLEA</v>
          </cell>
          <cell r="G3091" t="str">
            <v>MARCOPOLO</v>
          </cell>
          <cell r="H3091" t="str">
            <v>GRAN VIALE</v>
          </cell>
          <cell r="I3091">
            <v>2020</v>
          </cell>
          <cell r="J3091" t="str">
            <v>C</v>
          </cell>
          <cell r="K3091" t="str">
            <v>PIE ANDINO</v>
          </cell>
          <cell r="L3091" t="str">
            <v>Pie Andino 31 (Pie Andino 383)</v>
          </cell>
          <cell r="M3091" t="str">
            <v>Puente Alto</v>
          </cell>
          <cell r="N3091" t="str">
            <v>C</v>
          </cell>
        </row>
        <row r="3092">
          <cell r="B3092" t="str">
            <v>1171 / LZRD-71|</v>
          </cell>
          <cell r="C3092" t="str">
            <v>YV3T7U528LA201624</v>
          </cell>
          <cell r="D3092">
            <v>508345</v>
          </cell>
          <cell r="E3092" t="str">
            <v>Volvo</v>
          </cell>
          <cell r="F3092" t="str">
            <v>B8RLEA</v>
          </cell>
          <cell r="G3092" t="str">
            <v>MARCOPOLO</v>
          </cell>
          <cell r="H3092" t="str">
            <v>GRAN VIALE</v>
          </cell>
          <cell r="I3092">
            <v>2020</v>
          </cell>
          <cell r="J3092" t="str">
            <v>C</v>
          </cell>
          <cell r="K3092" t="str">
            <v>PIE ANDINO</v>
          </cell>
          <cell r="L3092" t="str">
            <v>Pie Andino 31 (Pie Andino 383)</v>
          </cell>
          <cell r="M3092" t="str">
            <v>Puente Alto</v>
          </cell>
          <cell r="N3092" t="str">
            <v>C</v>
          </cell>
        </row>
        <row r="3093">
          <cell r="B3093" t="str">
            <v>1172 / LZRD-72|</v>
          </cell>
          <cell r="C3093" t="str">
            <v>YV3T7U525LA198729</v>
          </cell>
          <cell r="D3093">
            <v>508201</v>
          </cell>
          <cell r="E3093" t="str">
            <v>Volvo</v>
          </cell>
          <cell r="F3093" t="str">
            <v>B8RLEA</v>
          </cell>
          <cell r="G3093" t="str">
            <v>MARCOPOLO</v>
          </cell>
          <cell r="H3093" t="str">
            <v>GRAN VIALE</v>
          </cell>
          <cell r="I3093">
            <v>2020</v>
          </cell>
          <cell r="J3093" t="str">
            <v>C</v>
          </cell>
          <cell r="K3093" t="str">
            <v>PIE ANDINO</v>
          </cell>
          <cell r="L3093" t="str">
            <v>Pie Andino 31 (Pie Andino 383)</v>
          </cell>
          <cell r="M3093" t="str">
            <v>Puente Alto</v>
          </cell>
          <cell r="N3093" t="str">
            <v>C</v>
          </cell>
        </row>
        <row r="3094">
          <cell r="B3094" t="str">
            <v>1173 / LZRD-73|</v>
          </cell>
          <cell r="C3094" t="str">
            <v>YV3T7U526LA201542</v>
          </cell>
          <cell r="D3094">
            <v>508119</v>
          </cell>
          <cell r="E3094" t="str">
            <v>Volvo</v>
          </cell>
          <cell r="F3094" t="str">
            <v>B8RLEA</v>
          </cell>
          <cell r="G3094" t="str">
            <v>MARCOPOLO</v>
          </cell>
          <cell r="H3094" t="str">
            <v>GRAN VIALE</v>
          </cell>
          <cell r="I3094">
            <v>2020</v>
          </cell>
          <cell r="J3094" t="str">
            <v>C</v>
          </cell>
          <cell r="K3094" t="str">
            <v>PIE ANDINO</v>
          </cell>
          <cell r="L3094" t="str">
            <v>Pie Andino 31 (Pie Andino 383)</v>
          </cell>
          <cell r="M3094" t="str">
            <v>Puente Alto</v>
          </cell>
          <cell r="N3094" t="str">
            <v>C</v>
          </cell>
        </row>
        <row r="3095">
          <cell r="B3095" t="str">
            <v>1174 / LZRD-74|</v>
          </cell>
          <cell r="C3095" t="str">
            <v>YV3T7U524LA201622</v>
          </cell>
          <cell r="D3095">
            <v>508282</v>
          </cell>
          <cell r="E3095" t="str">
            <v>Volvo</v>
          </cell>
          <cell r="F3095" t="str">
            <v>B8RLEA</v>
          </cell>
          <cell r="G3095" t="str">
            <v>MARCOPOLO</v>
          </cell>
          <cell r="H3095" t="str">
            <v>GRAN VIALE</v>
          </cell>
          <cell r="I3095">
            <v>2020</v>
          </cell>
          <cell r="J3095" t="str">
            <v>C</v>
          </cell>
          <cell r="K3095" t="str">
            <v>PIE ANDINO</v>
          </cell>
          <cell r="L3095" t="str">
            <v>Pie Andino 31 (Pie Andino 383)</v>
          </cell>
          <cell r="M3095" t="str">
            <v>Puente Alto</v>
          </cell>
          <cell r="N3095" t="str">
            <v>C</v>
          </cell>
        </row>
        <row r="3096">
          <cell r="B3096" t="str">
            <v>1227 / LZRD-75|</v>
          </cell>
          <cell r="C3096" t="str">
            <v>YV3T7U52XLA201544</v>
          </cell>
          <cell r="D3096">
            <v>508121</v>
          </cell>
          <cell r="E3096" t="str">
            <v>Volvo</v>
          </cell>
          <cell r="F3096" t="str">
            <v>B8RLEA</v>
          </cell>
          <cell r="G3096" t="str">
            <v>MARCOPOLO</v>
          </cell>
          <cell r="H3096" t="str">
            <v>GRAN VIALE</v>
          </cell>
          <cell r="I3096">
            <v>2020</v>
          </cell>
          <cell r="J3096" t="str">
            <v>C</v>
          </cell>
          <cell r="K3096" t="str">
            <v>SAN ALFONSO</v>
          </cell>
          <cell r="L3096" t="str">
            <v>San Alfonso 2141 (Ramón Subercaseaux 3060)</v>
          </cell>
          <cell r="M3096" t="str">
            <v>Estacion Central</v>
          </cell>
          <cell r="N3096" t="str">
            <v>C</v>
          </cell>
        </row>
        <row r="3097">
          <cell r="B3097" t="str">
            <v>1228 / LZRD-76|</v>
          </cell>
          <cell r="C3097" t="str">
            <v>YV3T7U528LA198725</v>
          </cell>
          <cell r="D3097">
            <v>508224</v>
          </cell>
          <cell r="E3097" t="str">
            <v>Volvo</v>
          </cell>
          <cell r="F3097" t="str">
            <v>B8RLEA</v>
          </cell>
          <cell r="G3097" t="str">
            <v>MARCOPOLO</v>
          </cell>
          <cell r="H3097" t="str">
            <v>GRAN VIALE</v>
          </cell>
          <cell r="I3097">
            <v>2020</v>
          </cell>
          <cell r="J3097" t="str">
            <v>C</v>
          </cell>
          <cell r="K3097" t="str">
            <v>SAN ALFONSO</v>
          </cell>
          <cell r="L3097" t="str">
            <v>San Alfonso 2141 (Ramón Subercaseaux 3060)</v>
          </cell>
          <cell r="M3097" t="str">
            <v>Estacion Central</v>
          </cell>
          <cell r="N3097" t="str">
            <v>C</v>
          </cell>
        </row>
        <row r="3098">
          <cell r="B3098" t="str">
            <v>1175 / LZRD-77|</v>
          </cell>
          <cell r="C3098" t="str">
            <v>YV3T7U524LA201667</v>
          </cell>
          <cell r="D3098">
            <v>508615</v>
          </cell>
          <cell r="E3098" t="str">
            <v>Volvo</v>
          </cell>
          <cell r="F3098" t="str">
            <v>B8RLEA</v>
          </cell>
          <cell r="G3098" t="str">
            <v>MARCOPOLO</v>
          </cell>
          <cell r="H3098" t="str">
            <v>GRAN VIALE</v>
          </cell>
          <cell r="I3098">
            <v>2020</v>
          </cell>
          <cell r="J3098" t="str">
            <v>C</v>
          </cell>
          <cell r="K3098" t="str">
            <v>PIE ANDINO</v>
          </cell>
          <cell r="L3098" t="str">
            <v>Pie Andino 31 (Pie Andino 383)</v>
          </cell>
          <cell r="M3098" t="str">
            <v>Puente Alto</v>
          </cell>
          <cell r="N3098" t="str">
            <v>C</v>
          </cell>
        </row>
        <row r="3099">
          <cell r="B3099" t="str">
            <v>1229 / LZRD-78|</v>
          </cell>
          <cell r="C3099" t="str">
            <v>YV3T7U524LA201670</v>
          </cell>
          <cell r="D3099">
            <v>508569</v>
          </cell>
          <cell r="E3099" t="str">
            <v>Volvo</v>
          </cell>
          <cell r="F3099" t="str">
            <v>B8RLEA</v>
          </cell>
          <cell r="G3099" t="str">
            <v>MARCOPOLO</v>
          </cell>
          <cell r="H3099" t="str">
            <v>GRAN VIALE</v>
          </cell>
          <cell r="I3099">
            <v>2020</v>
          </cell>
          <cell r="J3099" t="str">
            <v>C</v>
          </cell>
          <cell r="K3099" t="str">
            <v>SAN ALFONSO</v>
          </cell>
          <cell r="L3099" t="str">
            <v>San Alfonso 2141 (Ramón Subercaseaux 3060)</v>
          </cell>
          <cell r="M3099" t="str">
            <v>Estacion Central</v>
          </cell>
          <cell r="N3099" t="str">
            <v>C</v>
          </cell>
        </row>
        <row r="3100">
          <cell r="B3100" t="str">
            <v>1176 / LZRD-79|</v>
          </cell>
          <cell r="C3100" t="str">
            <v>YV3T7U52XLA201625</v>
          </cell>
          <cell r="D3100">
            <v>508297</v>
          </cell>
          <cell r="E3100" t="str">
            <v>Volvo</v>
          </cell>
          <cell r="F3100" t="str">
            <v>B8RLEA</v>
          </cell>
          <cell r="G3100" t="str">
            <v>MARCOPOLO</v>
          </cell>
          <cell r="H3100" t="str">
            <v>GRAN VIALE</v>
          </cell>
          <cell r="I3100">
            <v>2020</v>
          </cell>
          <cell r="J3100" t="str">
            <v>C</v>
          </cell>
          <cell r="K3100" t="str">
            <v>PIE ANDINO</v>
          </cell>
          <cell r="L3100" t="str">
            <v>Pie Andino 31 (Pie Andino 383)</v>
          </cell>
          <cell r="M3100" t="str">
            <v>Puente Alto</v>
          </cell>
          <cell r="N3100" t="str">
            <v>C</v>
          </cell>
        </row>
        <row r="3101">
          <cell r="B3101" t="str">
            <v>1177 / LZRD-80|</v>
          </cell>
          <cell r="C3101" t="str">
            <v>YV3T7U520LA201620</v>
          </cell>
          <cell r="D3101">
            <v>508303</v>
          </cell>
          <cell r="E3101" t="str">
            <v>Volvo</v>
          </cell>
          <cell r="F3101" t="str">
            <v>B8RLEA</v>
          </cell>
          <cell r="G3101" t="str">
            <v>MARCOPOLO</v>
          </cell>
          <cell r="H3101" t="str">
            <v>GRAN VIALE</v>
          </cell>
          <cell r="I3101">
            <v>2020</v>
          </cell>
          <cell r="J3101" t="str">
            <v>C</v>
          </cell>
          <cell r="K3101" t="str">
            <v>PIE ANDINO</v>
          </cell>
          <cell r="L3101" t="str">
            <v>Pie Andino 31 (Pie Andino 383)</v>
          </cell>
          <cell r="M3101" t="str">
            <v>Puente Alto</v>
          </cell>
          <cell r="N3101" t="str">
            <v>C</v>
          </cell>
        </row>
        <row r="3102">
          <cell r="B3102" t="str">
            <v>1178 / LZRD-81|</v>
          </cell>
          <cell r="C3102" t="str">
            <v>YV3T7U526LA201606</v>
          </cell>
          <cell r="D3102">
            <v>508235</v>
          </cell>
          <cell r="E3102" t="str">
            <v>Volvo</v>
          </cell>
          <cell r="F3102" t="str">
            <v>B8RLEA</v>
          </cell>
          <cell r="G3102" t="str">
            <v>MARCOPOLO</v>
          </cell>
          <cell r="H3102" t="str">
            <v>GRAN VIALE</v>
          </cell>
          <cell r="I3102">
            <v>2020</v>
          </cell>
          <cell r="J3102" t="str">
            <v>C</v>
          </cell>
          <cell r="K3102" t="str">
            <v>PIE ANDINO</v>
          </cell>
          <cell r="L3102" t="str">
            <v>Pie Andino 31 (Pie Andino 383)</v>
          </cell>
          <cell r="M3102" t="str">
            <v>Puente Alto</v>
          </cell>
          <cell r="N3102" t="str">
            <v>C</v>
          </cell>
        </row>
        <row r="3103">
          <cell r="B3103" t="str">
            <v>1179 / LZRD-82|</v>
          </cell>
          <cell r="C3103" t="str">
            <v>YV3T7U527LA201498</v>
          </cell>
          <cell r="D3103">
            <v>507854</v>
          </cell>
          <cell r="E3103" t="str">
            <v>Volvo</v>
          </cell>
          <cell r="F3103" t="str">
            <v>B8RLEA</v>
          </cell>
          <cell r="G3103" t="str">
            <v>MARCOPOLO</v>
          </cell>
          <cell r="H3103" t="str">
            <v>GRAN VIALE</v>
          </cell>
          <cell r="I3103">
            <v>2020</v>
          </cell>
          <cell r="J3103" t="str">
            <v>C</v>
          </cell>
          <cell r="K3103" t="str">
            <v>PIE ANDINO</v>
          </cell>
          <cell r="L3103" t="str">
            <v>Pie Andino 31 (Pie Andino 383)</v>
          </cell>
          <cell r="M3103" t="str">
            <v>Puente Alto</v>
          </cell>
          <cell r="N3103" t="str">
            <v>C</v>
          </cell>
        </row>
        <row r="3104">
          <cell r="B3104" t="str">
            <v>1230 / LZRD-83|</v>
          </cell>
          <cell r="C3104" t="str">
            <v>YV3T7U522LA201540</v>
          </cell>
          <cell r="D3104">
            <v>507955</v>
          </cell>
          <cell r="E3104" t="str">
            <v>Volvo</v>
          </cell>
          <cell r="F3104" t="str">
            <v>B8RLEA</v>
          </cell>
          <cell r="G3104" t="str">
            <v>MARCOPOLO</v>
          </cell>
          <cell r="H3104" t="str">
            <v>GRAN VIALE</v>
          </cell>
          <cell r="I3104">
            <v>2020</v>
          </cell>
          <cell r="J3104" t="str">
            <v>C</v>
          </cell>
          <cell r="K3104" t="str">
            <v>SAN ALFONSO</v>
          </cell>
          <cell r="L3104" t="str">
            <v>San Alfonso 2141 (Ramón Subercaseaux 3060)</v>
          </cell>
          <cell r="M3104" t="str">
            <v>Estacion Central</v>
          </cell>
          <cell r="N3104" t="str">
            <v>C</v>
          </cell>
        </row>
        <row r="3105">
          <cell r="B3105" t="str">
            <v>1180 / LZRD-84|</v>
          </cell>
          <cell r="C3105" t="str">
            <v>YV3T7U526LA201668</v>
          </cell>
          <cell r="D3105">
            <v>508633</v>
          </cell>
          <cell r="E3105" t="str">
            <v>Volvo</v>
          </cell>
          <cell r="F3105" t="str">
            <v>B8RLEA</v>
          </cell>
          <cell r="G3105" t="str">
            <v>MARCOPOLO</v>
          </cell>
          <cell r="H3105" t="str">
            <v>GRAN VIALE</v>
          </cell>
          <cell r="I3105">
            <v>2020</v>
          </cell>
          <cell r="J3105" t="str">
            <v>C</v>
          </cell>
          <cell r="K3105" t="str">
            <v>PIE ANDINO</v>
          </cell>
          <cell r="L3105" t="str">
            <v>Pie Andino 31 (Pie Andino 383)</v>
          </cell>
          <cell r="M3105" t="str">
            <v>Puente Alto</v>
          </cell>
          <cell r="N3105" t="str">
            <v>C</v>
          </cell>
        </row>
        <row r="3106">
          <cell r="B3106" t="str">
            <v>1181 / LZRD-85|</v>
          </cell>
          <cell r="C3106" t="str">
            <v>YV3T7U529LA201695</v>
          </cell>
          <cell r="D3106">
            <v>508651</v>
          </cell>
          <cell r="E3106" t="str">
            <v>Volvo</v>
          </cell>
          <cell r="F3106" t="str">
            <v>B8RLEA</v>
          </cell>
          <cell r="G3106" t="str">
            <v>MARCOPOLO</v>
          </cell>
          <cell r="H3106" t="str">
            <v>GRAN VIALE</v>
          </cell>
          <cell r="I3106">
            <v>2020</v>
          </cell>
          <cell r="J3106" t="str">
            <v>C</v>
          </cell>
          <cell r="K3106" t="str">
            <v>PIE ANDINO</v>
          </cell>
          <cell r="L3106" t="str">
            <v>Pie Andino 31 (Pie Andino 383)</v>
          </cell>
          <cell r="M3106" t="str">
            <v>Puente Alto</v>
          </cell>
          <cell r="N3106" t="str">
            <v>C</v>
          </cell>
        </row>
        <row r="3107">
          <cell r="B3107" t="str">
            <v>1182 / LZRD-86|</v>
          </cell>
          <cell r="C3107" t="str">
            <v>YV3T7U521LA201609</v>
          </cell>
          <cell r="D3107">
            <v>508236</v>
          </cell>
          <cell r="E3107" t="str">
            <v>Volvo</v>
          </cell>
          <cell r="F3107" t="str">
            <v>B8RLEA</v>
          </cell>
          <cell r="G3107" t="str">
            <v>MARCOPOLO</v>
          </cell>
          <cell r="H3107" t="str">
            <v>GRAN VIALE</v>
          </cell>
          <cell r="I3107">
            <v>2020</v>
          </cell>
          <cell r="J3107" t="str">
            <v>C</v>
          </cell>
          <cell r="K3107" t="str">
            <v>PIE ANDINO</v>
          </cell>
          <cell r="L3107" t="str">
            <v>Pie Andino 31 (Pie Andino 383)</v>
          </cell>
          <cell r="M3107" t="str">
            <v>Puente Alto</v>
          </cell>
          <cell r="N3107" t="str">
            <v>C</v>
          </cell>
        </row>
        <row r="3108">
          <cell r="B3108" t="str">
            <v>1183 / LZRD-87|</v>
          </cell>
          <cell r="C3108" t="str">
            <v>YV3T7U522LA201621</v>
          </cell>
          <cell r="D3108">
            <v>508307</v>
          </cell>
          <cell r="E3108" t="str">
            <v>Volvo</v>
          </cell>
          <cell r="F3108" t="str">
            <v>B8RLEA</v>
          </cell>
          <cell r="G3108" t="str">
            <v>MARCOPOLO</v>
          </cell>
          <cell r="H3108" t="str">
            <v>GRAN VIALE</v>
          </cell>
          <cell r="I3108">
            <v>2020</v>
          </cell>
          <cell r="J3108" t="str">
            <v>C</v>
          </cell>
          <cell r="K3108" t="str">
            <v>PIE ANDINO</v>
          </cell>
          <cell r="L3108" t="str">
            <v>Pie Andino 31 (Pie Andino 383)</v>
          </cell>
          <cell r="M3108" t="str">
            <v>Puente Alto</v>
          </cell>
          <cell r="N3108" t="str">
            <v>C</v>
          </cell>
        </row>
        <row r="3109">
          <cell r="B3109" t="str">
            <v>1231 / LZRD-88|</v>
          </cell>
          <cell r="C3109" t="str">
            <v>YV3T7U528LA201607</v>
          </cell>
          <cell r="D3109">
            <v>508215</v>
          </cell>
          <cell r="E3109" t="str">
            <v>Volvo</v>
          </cell>
          <cell r="F3109" t="str">
            <v>B8RLEA</v>
          </cell>
          <cell r="G3109" t="str">
            <v>MARCOPOLO</v>
          </cell>
          <cell r="H3109" t="str">
            <v>GRAN VIALE</v>
          </cell>
          <cell r="I3109">
            <v>2020</v>
          </cell>
          <cell r="J3109" t="str">
            <v>C</v>
          </cell>
          <cell r="K3109" t="str">
            <v>SAN ALFONSO</v>
          </cell>
          <cell r="L3109" t="str">
            <v>San Alfonso 2141 (Ramón Subercaseaux 3060)</v>
          </cell>
          <cell r="M3109" t="str">
            <v>Estacion Central</v>
          </cell>
          <cell r="N3109" t="str">
            <v>C</v>
          </cell>
        </row>
        <row r="3110">
          <cell r="B3110" t="str">
            <v>1184 / LZRD-89|</v>
          </cell>
          <cell r="C3110" t="str">
            <v>YV3T7U527LA201694</v>
          </cell>
          <cell r="D3110">
            <v>508655</v>
          </cell>
          <cell r="E3110" t="str">
            <v>Volvo</v>
          </cell>
          <cell r="F3110" t="str">
            <v>B8RLEA</v>
          </cell>
          <cell r="G3110" t="str">
            <v>MARCOPOLO</v>
          </cell>
          <cell r="H3110" t="str">
            <v>GRAN VIALE</v>
          </cell>
          <cell r="I3110">
            <v>2020</v>
          </cell>
          <cell r="J3110" t="str">
            <v>C</v>
          </cell>
          <cell r="K3110" t="str">
            <v>PIE ANDINO</v>
          </cell>
          <cell r="L3110" t="str">
            <v>Pie Andino 31 (Pie Andino 383)</v>
          </cell>
          <cell r="M3110" t="str">
            <v>Puente Alto</v>
          </cell>
          <cell r="N3110" t="str">
            <v>C</v>
          </cell>
        </row>
        <row r="3111">
          <cell r="B3111" t="str">
            <v>1185 / LZRD-90|</v>
          </cell>
          <cell r="C3111" t="str">
            <v>YV3T7U528LA201610</v>
          </cell>
          <cell r="D3111">
            <v>508198</v>
          </cell>
          <cell r="E3111" t="str">
            <v>Volvo</v>
          </cell>
          <cell r="F3111" t="str">
            <v>B8RLEA</v>
          </cell>
          <cell r="G3111" t="str">
            <v>MARCOPOLO</v>
          </cell>
          <cell r="H3111" t="str">
            <v>GRAN VIALE</v>
          </cell>
          <cell r="I3111">
            <v>2020</v>
          </cell>
          <cell r="J3111" t="str">
            <v>C</v>
          </cell>
          <cell r="K3111" t="str">
            <v>PIE ANDINO</v>
          </cell>
          <cell r="L3111" t="str">
            <v>Pie Andino 31 (Pie Andino 383)</v>
          </cell>
          <cell r="M3111" t="str">
            <v>Puente Alto</v>
          </cell>
          <cell r="N3111" t="str">
            <v>C</v>
          </cell>
        </row>
        <row r="3112">
          <cell r="B3112" t="str">
            <v>1232 / LZRD-91|</v>
          </cell>
          <cell r="C3112" t="str">
            <v>YV3T7U525LA201922</v>
          </cell>
          <cell r="D3112">
            <v>509348</v>
          </cell>
          <cell r="E3112" t="str">
            <v>Volvo</v>
          </cell>
          <cell r="F3112" t="str">
            <v>B8RLEA</v>
          </cell>
          <cell r="G3112" t="str">
            <v>MARCOPOLO</v>
          </cell>
          <cell r="H3112" t="str">
            <v>GRAN VIALE</v>
          </cell>
          <cell r="I3112">
            <v>2020</v>
          </cell>
          <cell r="J3112" t="str">
            <v>C</v>
          </cell>
          <cell r="K3112" t="str">
            <v>SAN ALFONSO</v>
          </cell>
          <cell r="L3112" t="str">
            <v>San Alfonso 2141 (Ramón Subercaseaux 3060)</v>
          </cell>
          <cell r="M3112" t="str">
            <v>Estacion Central</v>
          </cell>
          <cell r="N3112" t="str">
            <v>C</v>
          </cell>
        </row>
        <row r="3113">
          <cell r="B3113" t="str">
            <v>1233 / LZRD-92|</v>
          </cell>
          <cell r="C3113" t="str">
            <v>YV3T7U527LA201906</v>
          </cell>
          <cell r="D3113">
            <v>509467</v>
          </cell>
          <cell r="E3113" t="str">
            <v>Volvo</v>
          </cell>
          <cell r="F3113" t="str">
            <v>B8RLEA</v>
          </cell>
          <cell r="G3113" t="str">
            <v>MARCOPOLO</v>
          </cell>
          <cell r="H3113" t="str">
            <v>GRAN VIALE</v>
          </cell>
          <cell r="I3113">
            <v>2020</v>
          </cell>
          <cell r="J3113" t="str">
            <v>C</v>
          </cell>
          <cell r="K3113" t="str">
            <v>SAN ALFONSO</v>
          </cell>
          <cell r="L3113" t="str">
            <v>San Alfonso 2141 (Ramón Subercaseaux 3060)</v>
          </cell>
          <cell r="M3113" t="str">
            <v>Estacion Central</v>
          </cell>
          <cell r="N3113" t="str">
            <v>C</v>
          </cell>
        </row>
        <row r="3114">
          <cell r="B3114" t="str">
            <v>1162 / LZRD-61|</v>
          </cell>
          <cell r="C3114" t="str">
            <v>YV3T7U528LA201848</v>
          </cell>
          <cell r="D3114">
            <v>507981</v>
          </cell>
          <cell r="E3114" t="str">
            <v>Volvo</v>
          </cell>
          <cell r="F3114" t="str">
            <v>B8RLEA</v>
          </cell>
          <cell r="G3114" t="str">
            <v>MARCOPOLO</v>
          </cell>
          <cell r="H3114" t="str">
            <v>GRAN VIALE</v>
          </cell>
          <cell r="I3114">
            <v>2020</v>
          </cell>
          <cell r="J3114" t="str">
            <v>C</v>
          </cell>
          <cell r="K3114" t="str">
            <v>PIE ANDINO</v>
          </cell>
          <cell r="L3114" t="str">
            <v>Pie Andino 31 (Pie Andino 383)</v>
          </cell>
          <cell r="M3114" t="str">
            <v>Puente Alto</v>
          </cell>
          <cell r="N3114" t="str">
            <v>C</v>
          </cell>
        </row>
        <row r="3115">
          <cell r="B3115" t="str">
            <v>1187 / LZRD-94|</v>
          </cell>
          <cell r="C3115" t="str">
            <v>YV3T7U523LA201708</v>
          </cell>
          <cell r="D3115">
            <v>508404</v>
          </cell>
          <cell r="E3115" t="str">
            <v>Volvo</v>
          </cell>
          <cell r="F3115" t="str">
            <v>B8RLEA</v>
          </cell>
          <cell r="G3115" t="str">
            <v>MARCOPOLO</v>
          </cell>
          <cell r="H3115" t="str">
            <v>GRAN VIALE</v>
          </cell>
          <cell r="I3115">
            <v>2020</v>
          </cell>
          <cell r="J3115" t="str">
            <v>C</v>
          </cell>
          <cell r="K3115" t="str">
            <v>PIE ANDINO</v>
          </cell>
          <cell r="L3115" t="str">
            <v>Pie Andino 31 (Pie Andino 383)</v>
          </cell>
          <cell r="M3115" t="str">
            <v>Puente Alto</v>
          </cell>
          <cell r="N3115" t="str">
            <v>C</v>
          </cell>
        </row>
        <row r="3116">
          <cell r="B3116" t="str">
            <v>1188 / LZRD-95|</v>
          </cell>
          <cell r="C3116" t="str">
            <v>YV3T7U525LA201905</v>
          </cell>
          <cell r="D3116">
            <v>509585</v>
          </cell>
          <cell r="E3116" t="str">
            <v>Volvo</v>
          </cell>
          <cell r="F3116" t="str">
            <v>B8RLEA</v>
          </cell>
          <cell r="G3116" t="str">
            <v>MARCOPOLO</v>
          </cell>
          <cell r="H3116" t="str">
            <v>GRAN VIALE</v>
          </cell>
          <cell r="I3116">
            <v>2020</v>
          </cell>
          <cell r="J3116" t="str">
            <v>C</v>
          </cell>
          <cell r="K3116" t="str">
            <v>PIE ANDINO</v>
          </cell>
          <cell r="L3116" t="str">
            <v>Pie Andino 31 (Pie Andino 383)</v>
          </cell>
          <cell r="M3116" t="str">
            <v>Puente Alto</v>
          </cell>
          <cell r="N3116" t="str">
            <v>C</v>
          </cell>
        </row>
        <row r="3117">
          <cell r="B3117" t="str">
            <v>1189 / LZRD-96|</v>
          </cell>
          <cell r="C3117" t="str">
            <v>YV3T7U520LA201908</v>
          </cell>
          <cell r="D3117">
            <v>509583</v>
          </cell>
          <cell r="E3117" t="str">
            <v>Volvo</v>
          </cell>
          <cell r="F3117" t="str">
            <v>B8RLEA</v>
          </cell>
          <cell r="G3117" t="str">
            <v>MARCOPOLO</v>
          </cell>
          <cell r="H3117" t="str">
            <v>GRAN VIALE</v>
          </cell>
          <cell r="I3117">
            <v>2020</v>
          </cell>
          <cell r="J3117" t="str">
            <v>C</v>
          </cell>
          <cell r="K3117" t="str">
            <v>PIE ANDINO</v>
          </cell>
          <cell r="L3117" t="str">
            <v>Pie Andino 31 (Pie Andino 383)</v>
          </cell>
          <cell r="M3117" t="str">
            <v>Puente Alto</v>
          </cell>
          <cell r="N3117" t="str">
            <v>C</v>
          </cell>
        </row>
        <row r="3118">
          <cell r="B3118" t="str">
            <v>1190 / LZRD-97|</v>
          </cell>
          <cell r="C3118" t="str">
            <v>YV3T7U529LA201907</v>
          </cell>
          <cell r="D3118">
            <v>509444</v>
          </cell>
          <cell r="E3118" t="str">
            <v>Volvo</v>
          </cell>
          <cell r="F3118" t="str">
            <v>B8RLEA</v>
          </cell>
          <cell r="G3118" t="str">
            <v>MARCOPOLO</v>
          </cell>
          <cell r="H3118" t="str">
            <v>GRAN VIALE</v>
          </cell>
          <cell r="I3118">
            <v>2020</v>
          </cell>
          <cell r="J3118" t="str">
            <v>C</v>
          </cell>
          <cell r="K3118" t="str">
            <v>PIE ANDINO</v>
          </cell>
          <cell r="L3118" t="str">
            <v>Pie Andino 31 (Pie Andino 383)</v>
          </cell>
          <cell r="M3118" t="str">
            <v>Puente Alto</v>
          </cell>
          <cell r="N3118" t="str">
            <v>C</v>
          </cell>
        </row>
        <row r="3119">
          <cell r="B3119" t="str">
            <v>1191 / LZRD-98|</v>
          </cell>
          <cell r="C3119" t="str">
            <v>YV3T7U526LA201802</v>
          </cell>
          <cell r="D3119">
            <v>509171</v>
          </cell>
          <cell r="E3119" t="str">
            <v>Volvo</v>
          </cell>
          <cell r="F3119" t="str">
            <v>B8RLEA</v>
          </cell>
          <cell r="G3119" t="str">
            <v>MARCOPOLO</v>
          </cell>
          <cell r="H3119" t="str">
            <v>GRAN VIALE</v>
          </cell>
          <cell r="I3119">
            <v>2020</v>
          </cell>
          <cell r="J3119" t="str">
            <v>C</v>
          </cell>
          <cell r="K3119" t="str">
            <v>PIE ANDINO</v>
          </cell>
          <cell r="L3119" t="str">
            <v>Pie Andino 31 (Pie Andino 383)</v>
          </cell>
          <cell r="M3119" t="str">
            <v>Puente Alto</v>
          </cell>
          <cell r="N3119" t="str">
            <v>C</v>
          </cell>
        </row>
        <row r="3120">
          <cell r="B3120" t="str">
            <v>1192 / LZRD-99|</v>
          </cell>
          <cell r="C3120" t="str">
            <v>YV3T7U523LA201904</v>
          </cell>
          <cell r="D3120">
            <v>509572</v>
          </cell>
          <cell r="E3120" t="str">
            <v>Volvo</v>
          </cell>
          <cell r="F3120" t="str">
            <v>B8RLEA</v>
          </cell>
          <cell r="G3120" t="str">
            <v>MARCOPOLO</v>
          </cell>
          <cell r="H3120" t="str">
            <v>GRAN VIALE</v>
          </cell>
          <cell r="I3120">
            <v>2020</v>
          </cell>
          <cell r="J3120" t="str">
            <v>C</v>
          </cell>
          <cell r="K3120" t="str">
            <v>PIE ANDINO</v>
          </cell>
          <cell r="L3120" t="str">
            <v>Pie Andino 31 (Pie Andino 383)</v>
          </cell>
          <cell r="M3120" t="str">
            <v>Puente Alto</v>
          </cell>
          <cell r="N3120" t="str">
            <v>C</v>
          </cell>
        </row>
        <row r="3121">
          <cell r="B3121" t="str">
            <v>1193 / LZRF-10|</v>
          </cell>
          <cell r="C3121" t="str">
            <v>YV3T7U525LA201712</v>
          </cell>
          <cell r="D3121">
            <v>508475</v>
          </cell>
          <cell r="E3121" t="str">
            <v>Volvo</v>
          </cell>
          <cell r="F3121" t="str">
            <v>B8RLEA</v>
          </cell>
          <cell r="G3121" t="str">
            <v>MARCOPOLO</v>
          </cell>
          <cell r="H3121" t="str">
            <v>GRAN VIALE</v>
          </cell>
          <cell r="I3121">
            <v>2020</v>
          </cell>
          <cell r="J3121" t="str">
            <v>C</v>
          </cell>
          <cell r="K3121" t="str">
            <v>PIE ANDINO</v>
          </cell>
          <cell r="L3121" t="str">
            <v>Pie Andino 31 (Pie Andino 383)</v>
          </cell>
          <cell r="M3121" t="str">
            <v>Puente Alto</v>
          </cell>
          <cell r="N3121" t="str">
            <v>C</v>
          </cell>
        </row>
        <row r="3122">
          <cell r="B3122" t="str">
            <v>1194 / LZRF-11|</v>
          </cell>
          <cell r="C3122" t="str">
            <v>YV3T7U526LA201847</v>
          </cell>
          <cell r="D3122">
            <v>507974</v>
          </cell>
          <cell r="E3122" t="str">
            <v>Volvo</v>
          </cell>
          <cell r="F3122" t="str">
            <v>B8RLEA</v>
          </cell>
          <cell r="G3122" t="str">
            <v>MARCOPOLO</v>
          </cell>
          <cell r="H3122" t="str">
            <v>GRAN VIALE</v>
          </cell>
          <cell r="I3122">
            <v>2020</v>
          </cell>
          <cell r="J3122" t="str">
            <v>C</v>
          </cell>
          <cell r="K3122" t="str">
            <v>PIE ANDINO</v>
          </cell>
          <cell r="L3122" t="str">
            <v>Pie Andino 31 (Pie Andino 383)</v>
          </cell>
          <cell r="M3122" t="str">
            <v>Puente Alto</v>
          </cell>
          <cell r="N3122" t="str">
            <v>C</v>
          </cell>
        </row>
        <row r="3123">
          <cell r="B3123" t="str">
            <v>1195 / LZRF-12|</v>
          </cell>
          <cell r="C3123" t="str">
            <v>YV3T7U528LA201851</v>
          </cell>
          <cell r="D3123">
            <v>508008</v>
          </cell>
          <cell r="E3123" t="str">
            <v>Volvo</v>
          </cell>
          <cell r="F3123" t="str">
            <v>B8RLEA</v>
          </cell>
          <cell r="G3123" t="str">
            <v>MARCOPOLO</v>
          </cell>
          <cell r="H3123" t="str">
            <v>GRAN VIALE</v>
          </cell>
          <cell r="I3123">
            <v>2020</v>
          </cell>
          <cell r="J3123" t="str">
            <v>C</v>
          </cell>
          <cell r="K3123" t="str">
            <v>PIE ANDINO</v>
          </cell>
          <cell r="L3123" t="str">
            <v>Pie Andino 31 (Pie Andino 383)</v>
          </cell>
          <cell r="M3123" t="str">
            <v>Puente Alto</v>
          </cell>
          <cell r="N3123" t="str">
            <v>C</v>
          </cell>
        </row>
        <row r="3124">
          <cell r="B3124" t="str">
            <v>1196 / LZRF-13|</v>
          </cell>
          <cell r="C3124" t="str">
            <v>YV3T7U529LA201499</v>
          </cell>
          <cell r="D3124">
            <v>507878</v>
          </cell>
          <cell r="E3124" t="str">
            <v>Volvo</v>
          </cell>
          <cell r="F3124" t="str">
            <v>B8RLEA</v>
          </cell>
          <cell r="G3124" t="str">
            <v>MARCOPOLO</v>
          </cell>
          <cell r="H3124" t="str">
            <v>GRAN VIALE</v>
          </cell>
          <cell r="I3124">
            <v>2020</v>
          </cell>
          <cell r="J3124" t="str">
            <v>C</v>
          </cell>
          <cell r="K3124" t="str">
            <v>PIE ANDINO</v>
          </cell>
          <cell r="L3124" t="str">
            <v>Pie Andino 31 (Pie Andino 383)</v>
          </cell>
          <cell r="M3124" t="str">
            <v>Puente Alto</v>
          </cell>
          <cell r="N3124" t="str">
            <v>C</v>
          </cell>
        </row>
        <row r="3125">
          <cell r="B3125" t="str">
            <v>1197 / LZRF-14|</v>
          </cell>
          <cell r="C3125" t="str">
            <v>YV3T7U524LA201541</v>
          </cell>
          <cell r="D3125">
            <v>507933</v>
          </cell>
          <cell r="E3125" t="str">
            <v>Volvo</v>
          </cell>
          <cell r="F3125" t="str">
            <v>B8RLEA</v>
          </cell>
          <cell r="G3125" t="str">
            <v>MARCOPOLO</v>
          </cell>
          <cell r="H3125" t="str">
            <v>GRAN VIALE</v>
          </cell>
          <cell r="I3125">
            <v>2020</v>
          </cell>
          <cell r="J3125" t="str">
            <v>C</v>
          </cell>
          <cell r="K3125" t="str">
            <v>PIE ANDINO</v>
          </cell>
          <cell r="L3125" t="str">
            <v>Pie Andino 31 (Pie Andino 383)</v>
          </cell>
          <cell r="M3125" t="str">
            <v>Puente Alto</v>
          </cell>
          <cell r="N3125" t="str">
            <v>C</v>
          </cell>
        </row>
        <row r="3126">
          <cell r="B3126" t="str">
            <v>1198 / LZRF-15|</v>
          </cell>
          <cell r="C3126" t="str">
            <v>YV3T7U524LA198723</v>
          </cell>
          <cell r="D3126">
            <v>508173</v>
          </cell>
          <cell r="E3126" t="str">
            <v>Volvo</v>
          </cell>
          <cell r="F3126" t="str">
            <v>B8RLEA</v>
          </cell>
          <cell r="G3126" t="str">
            <v>MARCOPOLO</v>
          </cell>
          <cell r="H3126" t="str">
            <v>GRAN VIALE</v>
          </cell>
          <cell r="I3126">
            <v>2020</v>
          </cell>
          <cell r="J3126" t="str">
            <v>C</v>
          </cell>
          <cell r="K3126" t="str">
            <v>PIE ANDINO</v>
          </cell>
          <cell r="L3126" t="str">
            <v>Pie Andino 31 (Pie Andino 383)</v>
          </cell>
          <cell r="M3126" t="str">
            <v>Puente Alto</v>
          </cell>
          <cell r="N3126" t="str">
            <v>C</v>
          </cell>
        </row>
        <row r="3127">
          <cell r="B3127" t="str">
            <v>1199 / RJXT-26|</v>
          </cell>
          <cell r="C3127" t="str">
            <v>YV3T7U528KA194902</v>
          </cell>
          <cell r="D3127">
            <v>480074</v>
          </cell>
          <cell r="E3127" t="str">
            <v>Volvo</v>
          </cell>
          <cell r="F3127" t="str">
            <v>B8RLEA</v>
          </cell>
          <cell r="G3127" t="str">
            <v>MARCOPOLO</v>
          </cell>
          <cell r="H3127" t="str">
            <v>MONDEGO II</v>
          </cell>
          <cell r="I3127">
            <v>2021</v>
          </cell>
          <cell r="J3127" t="str">
            <v>C</v>
          </cell>
          <cell r="K3127" t="str">
            <v>PIE ANDINO</v>
          </cell>
          <cell r="L3127" t="str">
            <v>Pie Andino 31 (Pie Andino 383)</v>
          </cell>
          <cell r="M3127" t="str">
            <v>Puente Alto</v>
          </cell>
          <cell r="N3127" t="str">
            <v>C</v>
          </cell>
        </row>
        <row r="3128">
          <cell r="B3128" t="str">
            <v>1200 / RWTP-78|</v>
          </cell>
          <cell r="C3128" t="str">
            <v>YV3T7U52XNA207976</v>
          </cell>
          <cell r="D3128">
            <v>552632</v>
          </cell>
          <cell r="E3128" t="str">
            <v>Volvo</v>
          </cell>
          <cell r="F3128" t="str">
            <v>B8RLEA</v>
          </cell>
          <cell r="G3128" t="str">
            <v>MARCOPOLO</v>
          </cell>
          <cell r="H3128" t="str">
            <v>GRAN VIALE</v>
          </cell>
          <cell r="I3128">
            <v>2022</v>
          </cell>
          <cell r="J3128" t="str">
            <v>C</v>
          </cell>
          <cell r="K3128" t="str">
            <v>PIE ANDINO</v>
          </cell>
          <cell r="L3128" t="str">
            <v>Pie Andino 31 (Pie Andino 383)</v>
          </cell>
          <cell r="M3128" t="str">
            <v>Puente Alto</v>
          </cell>
          <cell r="N3128" t="str">
            <v>C</v>
          </cell>
        </row>
        <row r="3129">
          <cell r="B3129" t="str">
            <v>1234 / RWTP-79|</v>
          </cell>
          <cell r="C3129" t="str">
            <v>YV3T7U52XNA207895</v>
          </cell>
          <cell r="D3129">
            <v>552649</v>
          </cell>
          <cell r="E3129" t="str">
            <v>Volvo</v>
          </cell>
          <cell r="F3129" t="str">
            <v>B8RLEA</v>
          </cell>
          <cell r="G3129" t="str">
            <v>MARCOPOLO</v>
          </cell>
          <cell r="H3129" t="str">
            <v>GRAN VIALE</v>
          </cell>
          <cell r="I3129">
            <v>2022</v>
          </cell>
          <cell r="J3129" t="str">
            <v>C</v>
          </cell>
          <cell r="K3129" t="str">
            <v>SAN ALFONSO</v>
          </cell>
          <cell r="L3129" t="str">
            <v>San Alfonso 2141 (Ramón Subercaseaux 3060)</v>
          </cell>
          <cell r="M3129" t="str">
            <v>Estacion Central</v>
          </cell>
          <cell r="N3129" t="str">
            <v>C</v>
          </cell>
        </row>
        <row r="3130">
          <cell r="B3130" t="str">
            <v>1235 / RWTP-80|</v>
          </cell>
          <cell r="C3130" t="str">
            <v>YV3T7U528NA207894</v>
          </cell>
          <cell r="D3130">
            <v>552624</v>
          </cell>
          <cell r="E3130" t="str">
            <v>Volvo</v>
          </cell>
          <cell r="F3130" t="str">
            <v>B8RLEA</v>
          </cell>
          <cell r="G3130" t="str">
            <v>MARCOPOLO</v>
          </cell>
          <cell r="H3130" t="str">
            <v>GRAN VIALE</v>
          </cell>
          <cell r="I3130">
            <v>2022</v>
          </cell>
          <cell r="J3130" t="str">
            <v>C</v>
          </cell>
          <cell r="K3130" t="str">
            <v>SAN ALFONSO</v>
          </cell>
          <cell r="L3130" t="str">
            <v>San Alfonso 2141 (Ramón Subercaseaux 3060)</v>
          </cell>
          <cell r="M3130" t="str">
            <v>Estacion Central</v>
          </cell>
          <cell r="N3130" t="str">
            <v>C</v>
          </cell>
        </row>
        <row r="3131">
          <cell r="B3131" t="str">
            <v>1236 / RWTP-81|</v>
          </cell>
          <cell r="C3131" t="str">
            <v>YV3T7U526NA207893</v>
          </cell>
          <cell r="D3131">
            <v>552338</v>
          </cell>
          <cell r="E3131" t="str">
            <v>Volvo</v>
          </cell>
          <cell r="F3131" t="str">
            <v>B8RLEA</v>
          </cell>
          <cell r="G3131" t="str">
            <v>MARCOPOLO</v>
          </cell>
          <cell r="H3131" t="str">
            <v>GRAN VIALE</v>
          </cell>
          <cell r="I3131">
            <v>2022</v>
          </cell>
          <cell r="J3131" t="str">
            <v>C</v>
          </cell>
          <cell r="K3131" t="str">
            <v>SAN ALFONSO</v>
          </cell>
          <cell r="L3131" t="str">
            <v>San Alfonso 2141 (Ramón Subercaseaux 3060)</v>
          </cell>
          <cell r="M3131" t="str">
            <v>Estacion Central</v>
          </cell>
          <cell r="N3131" t="str">
            <v>C</v>
          </cell>
        </row>
        <row r="3132">
          <cell r="B3132" t="str">
            <v>1237 / RWTP-82|</v>
          </cell>
          <cell r="C3132" t="str">
            <v>YV3T7U525NA207884</v>
          </cell>
          <cell r="D3132">
            <v>552333</v>
          </cell>
          <cell r="E3132" t="str">
            <v>Volvo</v>
          </cell>
          <cell r="F3132" t="str">
            <v>B8RLEA</v>
          </cell>
          <cell r="G3132" t="str">
            <v>MARCOPOLO</v>
          </cell>
          <cell r="H3132" t="str">
            <v>GRAN VIALE</v>
          </cell>
          <cell r="I3132">
            <v>2022</v>
          </cell>
          <cell r="J3132" t="str">
            <v>C</v>
          </cell>
          <cell r="K3132" t="str">
            <v>SAN ALFONSO</v>
          </cell>
          <cell r="L3132" t="str">
            <v>San Alfonso 2141 (Ramón Subercaseaux 3060)</v>
          </cell>
          <cell r="M3132" t="str">
            <v>Estacion Central</v>
          </cell>
          <cell r="N3132" t="str">
            <v>C</v>
          </cell>
        </row>
        <row r="3133">
          <cell r="B3133" t="str">
            <v>1201 / RWTP-83|</v>
          </cell>
          <cell r="C3133" t="str">
            <v>YV3T7U523NA207995</v>
          </cell>
          <cell r="D3133">
            <v>552881</v>
          </cell>
          <cell r="E3133" t="str">
            <v>Volvo</v>
          </cell>
          <cell r="F3133" t="str">
            <v>B8RLEA</v>
          </cell>
          <cell r="G3133" t="str">
            <v>MARCOPOLO</v>
          </cell>
          <cell r="H3133" t="str">
            <v>GRAN VIALE</v>
          </cell>
          <cell r="I3133">
            <v>2022</v>
          </cell>
          <cell r="J3133" t="str">
            <v>C</v>
          </cell>
          <cell r="K3133" t="str">
            <v>PIE ANDINO</v>
          </cell>
          <cell r="L3133" t="str">
            <v>Pie Andino 31 (Pie Andino 383)</v>
          </cell>
          <cell r="M3133" t="str">
            <v>Puente Alto</v>
          </cell>
          <cell r="N3133" t="str">
            <v>C</v>
          </cell>
        </row>
        <row r="3134">
          <cell r="B3134" t="str">
            <v>1238 / RWTP-84|</v>
          </cell>
          <cell r="C3134" t="str">
            <v>YV3T7U521NA207834</v>
          </cell>
          <cell r="D3134">
            <v>550630</v>
          </cell>
          <cell r="E3134" t="str">
            <v>Volvo</v>
          </cell>
          <cell r="F3134" t="str">
            <v>B8RLEA</v>
          </cell>
          <cell r="G3134" t="str">
            <v>MARCOPOLO</v>
          </cell>
          <cell r="H3134" t="str">
            <v>GRAN VIALE</v>
          </cell>
          <cell r="I3134">
            <v>2022</v>
          </cell>
          <cell r="J3134" t="str">
            <v>C</v>
          </cell>
          <cell r="K3134" t="str">
            <v>SAN ALFONSO</v>
          </cell>
          <cell r="L3134" t="str">
            <v>San Alfonso 2141 (Ramón Subercaseaux 3060)</v>
          </cell>
          <cell r="M3134" t="str">
            <v>Estacion Central</v>
          </cell>
          <cell r="N3134" t="str">
            <v>C</v>
          </cell>
        </row>
        <row r="3135">
          <cell r="B3135" t="str">
            <v>1202 / RWTP-85|</v>
          </cell>
          <cell r="C3135" t="str">
            <v>YV3T7U529NA207967</v>
          </cell>
          <cell r="D3135">
            <v>552303</v>
          </cell>
          <cell r="E3135" t="str">
            <v>Volvo</v>
          </cell>
          <cell r="F3135" t="str">
            <v>B8RLEA</v>
          </cell>
          <cell r="G3135" t="str">
            <v>MARCOPOLO</v>
          </cell>
          <cell r="H3135" t="str">
            <v>GRAN VIALE</v>
          </cell>
          <cell r="I3135">
            <v>2022</v>
          </cell>
          <cell r="J3135" t="str">
            <v>C</v>
          </cell>
          <cell r="K3135" t="str">
            <v>PIE ANDINO</v>
          </cell>
          <cell r="L3135" t="str">
            <v>Pie Andino 31 (Pie Andino 383)</v>
          </cell>
          <cell r="M3135" t="str">
            <v>Puente Alto</v>
          </cell>
          <cell r="N3135" t="str">
            <v>C</v>
          </cell>
        </row>
        <row r="3136">
          <cell r="B3136" t="str">
            <v>1203 / RWTP-86|</v>
          </cell>
          <cell r="C3136" t="str">
            <v>YV3T7U528NA207930</v>
          </cell>
          <cell r="D3136">
            <v>551701</v>
          </cell>
          <cell r="E3136" t="str">
            <v>Volvo</v>
          </cell>
          <cell r="F3136" t="str">
            <v>B8RLEA</v>
          </cell>
          <cell r="G3136" t="str">
            <v>MARCOPOLO</v>
          </cell>
          <cell r="H3136" t="str">
            <v>GRAN VIALE</v>
          </cell>
          <cell r="I3136">
            <v>2022</v>
          </cell>
          <cell r="J3136" t="str">
            <v>C</v>
          </cell>
          <cell r="K3136" t="str">
            <v>PIE ANDINO</v>
          </cell>
          <cell r="L3136" t="str">
            <v>Pie Andino 31 (Pie Andino 383)</v>
          </cell>
          <cell r="M3136" t="str">
            <v>Puente Alto</v>
          </cell>
          <cell r="N3136" t="str">
            <v>C</v>
          </cell>
        </row>
        <row r="3137">
          <cell r="B3137" t="str">
            <v>1239 / RWTP-87|</v>
          </cell>
          <cell r="C3137" t="str">
            <v>YV3T7U522NA207891</v>
          </cell>
          <cell r="D3137">
            <v>552373</v>
          </cell>
          <cell r="E3137" t="str">
            <v>Volvo</v>
          </cell>
          <cell r="F3137" t="str">
            <v>B8RLEA</v>
          </cell>
          <cell r="G3137" t="str">
            <v>MARCOPOLO</v>
          </cell>
          <cell r="H3137" t="str">
            <v>GRAN VIALE</v>
          </cell>
          <cell r="I3137">
            <v>2022</v>
          </cell>
          <cell r="J3137" t="str">
            <v>C</v>
          </cell>
          <cell r="K3137" t="str">
            <v>SAN ALFONSO</v>
          </cell>
          <cell r="L3137" t="str">
            <v>San Alfonso 2141 (Ramón Subercaseaux 3060)</v>
          </cell>
          <cell r="M3137" t="str">
            <v>Estacion Central</v>
          </cell>
          <cell r="N3137" t="str">
            <v>C</v>
          </cell>
        </row>
        <row r="3138">
          <cell r="B3138" t="str">
            <v>1240 / RWTP-88|</v>
          </cell>
          <cell r="C3138" t="str">
            <v>YV3T7U52XNA207881</v>
          </cell>
          <cell r="D3138">
            <v>552573</v>
          </cell>
          <cell r="E3138" t="str">
            <v>Volvo</v>
          </cell>
          <cell r="F3138" t="str">
            <v>B8RLEA</v>
          </cell>
          <cell r="G3138" t="str">
            <v>MARCOPOLO</v>
          </cell>
          <cell r="H3138" t="str">
            <v>GRAN VIALE</v>
          </cell>
          <cell r="I3138">
            <v>2022</v>
          </cell>
          <cell r="J3138" t="str">
            <v>C</v>
          </cell>
          <cell r="K3138" t="str">
            <v>SAN ALFONSO</v>
          </cell>
          <cell r="L3138" t="str">
            <v>San Alfonso 2141 (Ramón Subercaseaux 3060)</v>
          </cell>
          <cell r="M3138" t="str">
            <v>Estacion Central</v>
          </cell>
          <cell r="N3138" t="str">
            <v>C</v>
          </cell>
        </row>
        <row r="3139">
          <cell r="B3139" t="str">
            <v>1241 / RWTP-89|</v>
          </cell>
          <cell r="C3139" t="str">
            <v>YV3T7U527NA207837</v>
          </cell>
          <cell r="D3139">
            <v>550568</v>
          </cell>
          <cell r="E3139" t="str">
            <v>Volvo</v>
          </cell>
          <cell r="F3139" t="str">
            <v>B8RLEA</v>
          </cell>
          <cell r="G3139" t="str">
            <v>MARCOPOLO</v>
          </cell>
          <cell r="H3139" t="str">
            <v>GRAN VIALE</v>
          </cell>
          <cell r="I3139">
            <v>2022</v>
          </cell>
          <cell r="J3139" t="str">
            <v>C</v>
          </cell>
          <cell r="K3139" t="str">
            <v>SAN ALFONSO</v>
          </cell>
          <cell r="L3139" t="str">
            <v>San Alfonso 2141 (Ramón Subercaseaux 3060)</v>
          </cell>
          <cell r="M3139" t="str">
            <v>Estacion Central</v>
          </cell>
          <cell r="N3139" t="str">
            <v>C</v>
          </cell>
        </row>
        <row r="3140">
          <cell r="B3140" t="str">
            <v>1204 / RWTP-90|</v>
          </cell>
          <cell r="C3140" t="str">
            <v>YV3T7U527NA207935</v>
          </cell>
          <cell r="D3140">
            <v>551734</v>
          </cell>
          <cell r="E3140" t="str">
            <v>Volvo</v>
          </cell>
          <cell r="F3140" t="str">
            <v>B8RLEA</v>
          </cell>
          <cell r="G3140" t="str">
            <v>MARCOPOLO</v>
          </cell>
          <cell r="H3140" t="str">
            <v>GRAN VIALE</v>
          </cell>
          <cell r="I3140">
            <v>2022</v>
          </cell>
          <cell r="J3140" t="str">
            <v>C</v>
          </cell>
          <cell r="K3140" t="str">
            <v>PIE ANDINO</v>
          </cell>
          <cell r="L3140" t="str">
            <v>Pie Andino 31 (Pie Andino 383)</v>
          </cell>
          <cell r="M3140" t="str">
            <v>Puente Alto</v>
          </cell>
          <cell r="N3140" t="str">
            <v>C</v>
          </cell>
        </row>
        <row r="3141">
          <cell r="B3141" t="str">
            <v>1242 / RWTP-91|</v>
          </cell>
          <cell r="C3141" t="str">
            <v>YV3T7U524NA207892</v>
          </cell>
          <cell r="D3141">
            <v>552393</v>
          </cell>
          <cell r="E3141" t="str">
            <v>Volvo</v>
          </cell>
          <cell r="F3141" t="str">
            <v>B8RLEA</v>
          </cell>
          <cell r="G3141" t="str">
            <v>MARCOPOLO</v>
          </cell>
          <cell r="H3141" t="str">
            <v>GRAN VIALE</v>
          </cell>
          <cell r="I3141">
            <v>2022</v>
          </cell>
          <cell r="J3141" t="str">
            <v>C</v>
          </cell>
          <cell r="K3141" t="str">
            <v>SAN ALFONSO</v>
          </cell>
          <cell r="L3141" t="str">
            <v>San Alfonso 2141 (Ramón Subercaseaux 3060)</v>
          </cell>
          <cell r="M3141" t="str">
            <v>Estacion Central</v>
          </cell>
          <cell r="N3141" t="str">
            <v>C</v>
          </cell>
        </row>
        <row r="3142">
          <cell r="B3142" t="str">
            <v>1243 / RWTP-92|</v>
          </cell>
          <cell r="C3142" t="str">
            <v>YV3T7U523NA207835</v>
          </cell>
          <cell r="D3142">
            <v>550593</v>
          </cell>
          <cell r="E3142" t="str">
            <v>Volvo</v>
          </cell>
          <cell r="F3142" t="str">
            <v>B8RLEA</v>
          </cell>
          <cell r="G3142" t="str">
            <v>MARCOPOLO</v>
          </cell>
          <cell r="H3142" t="str">
            <v>GRAN VIALE</v>
          </cell>
          <cell r="I3142">
            <v>2022</v>
          </cell>
          <cell r="J3142" t="str">
            <v>C</v>
          </cell>
          <cell r="K3142" t="str">
            <v>SAN ALFONSO</v>
          </cell>
          <cell r="L3142" t="str">
            <v>San Alfonso 2141 (Ramón Subercaseaux 3060)</v>
          </cell>
          <cell r="M3142" t="str">
            <v>Estacion Central</v>
          </cell>
          <cell r="N3142" t="str">
            <v>C</v>
          </cell>
        </row>
        <row r="3143">
          <cell r="B3143" t="str">
            <v>1244 / RWTP-93|</v>
          </cell>
          <cell r="C3143" t="str">
            <v>YV3T7U52XNA207833</v>
          </cell>
          <cell r="D3143">
            <v>550451</v>
          </cell>
          <cell r="E3143" t="str">
            <v>Volvo</v>
          </cell>
          <cell r="F3143" t="str">
            <v>B8RLEA</v>
          </cell>
          <cell r="G3143" t="str">
            <v>MARCOPOLO</v>
          </cell>
          <cell r="H3143" t="str">
            <v>GRAN VIALE</v>
          </cell>
          <cell r="I3143">
            <v>2022</v>
          </cell>
          <cell r="J3143" t="str">
            <v>C</v>
          </cell>
          <cell r="K3143" t="str">
            <v>SAN ALFONSO</v>
          </cell>
          <cell r="L3143" t="str">
            <v>San Alfonso 2141 (Ramón Subercaseaux 3060)</v>
          </cell>
          <cell r="M3143" t="str">
            <v>Estacion Central</v>
          </cell>
          <cell r="N3143" t="str">
            <v>C</v>
          </cell>
        </row>
        <row r="3144">
          <cell r="B3144" t="str">
            <v>1205 / RWTP-94|</v>
          </cell>
          <cell r="C3144" t="str">
            <v>YV3T7U520NA207937</v>
          </cell>
          <cell r="D3144">
            <v>551900</v>
          </cell>
          <cell r="E3144" t="str">
            <v>Volvo</v>
          </cell>
          <cell r="F3144" t="str">
            <v>B8RLEA</v>
          </cell>
          <cell r="G3144" t="str">
            <v>MARCOPOLO</v>
          </cell>
          <cell r="H3144" t="str">
            <v>GRAN VIALE</v>
          </cell>
          <cell r="I3144">
            <v>2022</v>
          </cell>
          <cell r="J3144" t="str">
            <v>C</v>
          </cell>
          <cell r="K3144" t="str">
            <v>PIE ANDINO</v>
          </cell>
          <cell r="L3144" t="str">
            <v>Pie Andino 31 (Pie Andino 383)</v>
          </cell>
          <cell r="M3144" t="str">
            <v>Puente Alto</v>
          </cell>
          <cell r="N3144" t="str">
            <v>C</v>
          </cell>
        </row>
        <row r="3145">
          <cell r="B3145" t="str">
            <v>1206 / RWTP-95|</v>
          </cell>
          <cell r="C3145" t="str">
            <v>YV3T7U523NA207978</v>
          </cell>
          <cell r="D3145">
            <v>553953</v>
          </cell>
          <cell r="E3145" t="str">
            <v>Volvo</v>
          </cell>
          <cell r="F3145" t="str">
            <v>B8RLEA</v>
          </cell>
          <cell r="G3145" t="str">
            <v>MARCOPOLO</v>
          </cell>
          <cell r="H3145" t="str">
            <v>GRAN VIALE</v>
          </cell>
          <cell r="I3145">
            <v>2022</v>
          </cell>
          <cell r="J3145" t="str">
            <v>C</v>
          </cell>
          <cell r="K3145" t="str">
            <v>PIE ANDINO</v>
          </cell>
          <cell r="L3145" t="str">
            <v>Pie Andino 31 (Pie Andino 383)</v>
          </cell>
          <cell r="M3145" t="str">
            <v>Puente Alto</v>
          </cell>
          <cell r="N3145" t="str">
            <v>C</v>
          </cell>
        </row>
        <row r="3146">
          <cell r="B3146" t="str">
            <v>1207 / RWTP-96|</v>
          </cell>
          <cell r="C3146" t="str">
            <v>YV3T7U525NA207934</v>
          </cell>
          <cell r="D3146">
            <v>551716</v>
          </cell>
          <cell r="E3146" t="str">
            <v>Volvo</v>
          </cell>
          <cell r="F3146" t="str">
            <v>B8RLEA</v>
          </cell>
          <cell r="G3146" t="str">
            <v>MARCOPOLO</v>
          </cell>
          <cell r="H3146" t="str">
            <v>GRAN VIALE</v>
          </cell>
          <cell r="I3146">
            <v>2022</v>
          </cell>
          <cell r="J3146" t="str">
            <v>C</v>
          </cell>
          <cell r="K3146" t="str">
            <v>PIE ANDINO</v>
          </cell>
          <cell r="L3146" t="str">
            <v>Pie Andino 31 (Pie Andino 383)</v>
          </cell>
          <cell r="M3146" t="str">
            <v>Puente Alto</v>
          </cell>
          <cell r="N3146" t="str">
            <v>C</v>
          </cell>
        </row>
        <row r="3147">
          <cell r="B3147" t="str">
            <v>1208 / RWTP-97|</v>
          </cell>
          <cell r="C3147" t="str">
            <v>YV3T7U523NA207933</v>
          </cell>
          <cell r="D3147">
            <v>551695</v>
          </cell>
          <cell r="E3147" t="str">
            <v>Volvo</v>
          </cell>
          <cell r="F3147" t="str">
            <v>B8RLEA</v>
          </cell>
          <cell r="G3147" t="str">
            <v>MARCOPOLO</v>
          </cell>
          <cell r="H3147" t="str">
            <v>GRAN VIALE</v>
          </cell>
          <cell r="I3147">
            <v>2022</v>
          </cell>
          <cell r="J3147" t="str">
            <v>C</v>
          </cell>
          <cell r="K3147" t="str">
            <v>PIE ANDINO</v>
          </cell>
          <cell r="L3147" t="str">
            <v>Pie Andino 31 (Pie Andino 383)</v>
          </cell>
          <cell r="M3147" t="str">
            <v>Puente Alto</v>
          </cell>
          <cell r="N3147" t="str">
            <v>C</v>
          </cell>
        </row>
        <row r="3148">
          <cell r="B3148" t="str">
            <v>1209 / RWTP-98|</v>
          </cell>
          <cell r="C3148" t="str">
            <v>YV3T7U521NA207932</v>
          </cell>
          <cell r="D3148">
            <v>551682</v>
          </cell>
          <cell r="E3148" t="str">
            <v>Volvo</v>
          </cell>
          <cell r="F3148" t="str">
            <v>B8RLEA</v>
          </cell>
          <cell r="G3148" t="str">
            <v>MARCOPOLO</v>
          </cell>
          <cell r="H3148" t="str">
            <v>GRAN VIALE</v>
          </cell>
          <cell r="I3148">
            <v>2022</v>
          </cell>
          <cell r="J3148" t="str">
            <v>C</v>
          </cell>
          <cell r="K3148" t="str">
            <v>PIE ANDINO</v>
          </cell>
          <cell r="L3148" t="str">
            <v>Pie Andino 31 (Pie Andino 383)</v>
          </cell>
          <cell r="M3148" t="str">
            <v>Puente Alto</v>
          </cell>
          <cell r="N3148" t="str">
            <v>C</v>
          </cell>
        </row>
        <row r="3149">
          <cell r="B3149" t="str">
            <v>1210 / RWTP-99|</v>
          </cell>
          <cell r="C3149" t="str">
            <v>YV3T7U52XNA207931</v>
          </cell>
          <cell r="D3149">
            <v>551698</v>
          </cell>
          <cell r="E3149" t="str">
            <v>Volvo</v>
          </cell>
          <cell r="F3149" t="str">
            <v>B8RLEA</v>
          </cell>
          <cell r="G3149" t="str">
            <v>MARCOPOLO</v>
          </cell>
          <cell r="H3149" t="str">
            <v>GRAN VIALE</v>
          </cell>
          <cell r="I3149">
            <v>2022</v>
          </cell>
          <cell r="J3149" t="str">
            <v>C</v>
          </cell>
          <cell r="K3149" t="str">
            <v>PIE ANDINO</v>
          </cell>
          <cell r="L3149" t="str">
            <v>Pie Andino 31 (Pie Andino 383)</v>
          </cell>
          <cell r="M3149" t="str">
            <v>Puente Alto</v>
          </cell>
          <cell r="N3149" t="str">
            <v>C</v>
          </cell>
        </row>
        <row r="3150">
          <cell r="B3150" t="str">
            <v>1245 / RWTR-10|</v>
          </cell>
          <cell r="C3150" t="str">
            <v>YV3T7U52XNA207928</v>
          </cell>
          <cell r="D3150">
            <v>551645</v>
          </cell>
          <cell r="E3150" t="str">
            <v>Volvo</v>
          </cell>
          <cell r="F3150" t="str">
            <v>B8RLEA</v>
          </cell>
          <cell r="G3150" t="str">
            <v>MARCOPOLO</v>
          </cell>
          <cell r="H3150" t="str">
            <v>GRAN VIALE</v>
          </cell>
          <cell r="I3150">
            <v>2022</v>
          </cell>
          <cell r="J3150" t="str">
            <v>C</v>
          </cell>
          <cell r="K3150" t="str">
            <v>SAN ALFONSO</v>
          </cell>
          <cell r="L3150" t="str">
            <v>San Alfonso 2141 (Ramón Subercaseaux 3060)</v>
          </cell>
          <cell r="M3150" t="str">
            <v>Estacion Central</v>
          </cell>
          <cell r="N3150" t="str">
            <v>C</v>
          </cell>
        </row>
        <row r="3151">
          <cell r="B3151" t="str">
            <v>1246 / RWTR-11|</v>
          </cell>
          <cell r="C3151" t="str">
            <v>YV3T7U528NA207927</v>
          </cell>
          <cell r="D3151">
            <v>551661</v>
          </cell>
          <cell r="E3151" t="str">
            <v>Volvo</v>
          </cell>
          <cell r="F3151" t="str">
            <v>B8RLEA</v>
          </cell>
          <cell r="G3151" t="str">
            <v>MARCOPOLO</v>
          </cell>
          <cell r="H3151" t="str">
            <v>GRAN VIALE</v>
          </cell>
          <cell r="I3151">
            <v>2022</v>
          </cell>
          <cell r="J3151" t="str">
            <v>C</v>
          </cell>
          <cell r="K3151" t="str">
            <v>SAN ALFONSO</v>
          </cell>
          <cell r="L3151" t="str">
            <v>San Alfonso 2141 (Ramón Subercaseaux 3060)</v>
          </cell>
          <cell r="M3151" t="str">
            <v>Estacion Central</v>
          </cell>
          <cell r="N3151" t="str">
            <v>C</v>
          </cell>
        </row>
        <row r="3152">
          <cell r="B3152" t="str">
            <v>1211 / RYJG-90|</v>
          </cell>
          <cell r="C3152" t="str">
            <v>YV3T7U521NA208143</v>
          </cell>
          <cell r="D3152">
            <v>554610</v>
          </cell>
          <cell r="E3152" t="str">
            <v>Volvo</v>
          </cell>
          <cell r="F3152" t="str">
            <v>B8RLEA</v>
          </cell>
          <cell r="G3152" t="str">
            <v>MARCOPOLO</v>
          </cell>
          <cell r="H3152" t="str">
            <v>GRAN VIALE</v>
          </cell>
          <cell r="I3152">
            <v>2022</v>
          </cell>
          <cell r="J3152" t="str">
            <v>C</v>
          </cell>
          <cell r="K3152" t="str">
            <v>PIE ANDINO</v>
          </cell>
          <cell r="L3152" t="str">
            <v>Pie Andino 31 (Pie Andino 383)</v>
          </cell>
          <cell r="M3152" t="str">
            <v>Puente Alto</v>
          </cell>
          <cell r="N3152" t="str">
            <v>C</v>
          </cell>
        </row>
        <row r="3153">
          <cell r="B3153" t="str">
            <v>1212 / RYJG-91|</v>
          </cell>
          <cell r="C3153" t="str">
            <v>YV3T7U523NA208144</v>
          </cell>
          <cell r="D3153">
            <v>554682</v>
          </cell>
          <cell r="E3153" t="str">
            <v>Volvo</v>
          </cell>
          <cell r="F3153" t="str">
            <v>B8RLEA</v>
          </cell>
          <cell r="G3153" t="str">
            <v>MARCOPOLO</v>
          </cell>
          <cell r="H3153" t="str">
            <v>GRAN VIALE</v>
          </cell>
          <cell r="I3153">
            <v>2022</v>
          </cell>
          <cell r="J3153" t="str">
            <v>C</v>
          </cell>
          <cell r="K3153" t="str">
            <v>PIE ANDINO</v>
          </cell>
          <cell r="L3153" t="str">
            <v>Pie Andino 31 (Pie Andino 383)</v>
          </cell>
          <cell r="M3153" t="str">
            <v>Puente Alto</v>
          </cell>
          <cell r="N3153" t="str">
            <v>C</v>
          </cell>
        </row>
        <row r="3154">
          <cell r="B3154" t="str">
            <v>1213 / RYJG-92|</v>
          </cell>
          <cell r="C3154" t="str">
            <v>YV3T7U522NA208152</v>
          </cell>
          <cell r="D3154">
            <v>554694</v>
          </cell>
          <cell r="E3154" t="str">
            <v>Volvo</v>
          </cell>
          <cell r="F3154" t="str">
            <v>B8RLEA</v>
          </cell>
          <cell r="G3154" t="str">
            <v>MARCOPOLO</v>
          </cell>
          <cell r="H3154" t="str">
            <v>GRAN VIALE</v>
          </cell>
          <cell r="I3154">
            <v>2022</v>
          </cell>
          <cell r="J3154" t="str">
            <v>C</v>
          </cell>
          <cell r="K3154" t="str">
            <v>SAN ALFONSO</v>
          </cell>
          <cell r="L3154" t="str">
            <v>San Alfonso 2141 (Ramón Subercaseaux 3060)</v>
          </cell>
          <cell r="M3154" t="str">
            <v>Estacion Central</v>
          </cell>
          <cell r="N3154" t="str">
            <v>C</v>
          </cell>
        </row>
        <row r="3155">
          <cell r="B3155" t="str">
            <v>1214 / RYJG-93|</v>
          </cell>
          <cell r="C3155" t="str">
            <v>YV3T7U527NA208163</v>
          </cell>
          <cell r="D3155">
            <v>555374</v>
          </cell>
          <cell r="E3155" t="str">
            <v>Volvo</v>
          </cell>
          <cell r="F3155" t="str">
            <v>B8RLEA</v>
          </cell>
          <cell r="G3155" t="str">
            <v>MARCOPOLO</v>
          </cell>
          <cell r="H3155" t="str">
            <v>GRAN VIALE</v>
          </cell>
          <cell r="I3155">
            <v>2022</v>
          </cell>
          <cell r="J3155" t="str">
            <v>C</v>
          </cell>
          <cell r="K3155" t="str">
            <v>SAN ALFONSO</v>
          </cell>
          <cell r="L3155" t="str">
            <v>San Alfonso 2141 (Ramón Subercaseaux 3060)</v>
          </cell>
          <cell r="M3155" t="str">
            <v>Estacion Central</v>
          </cell>
          <cell r="N3155" t="str">
            <v>C</v>
          </cell>
        </row>
        <row r="3156">
          <cell r="B3156" t="str">
            <v>1215 / RYJG-94|</v>
          </cell>
          <cell r="C3156" t="str">
            <v>YV3T7U528NA208169</v>
          </cell>
          <cell r="D3156">
            <v>555138</v>
          </cell>
          <cell r="E3156" t="str">
            <v>Volvo</v>
          </cell>
          <cell r="F3156" t="str">
            <v>B8RLEA</v>
          </cell>
          <cell r="G3156" t="str">
            <v>MARCOPOLO</v>
          </cell>
          <cell r="H3156" t="str">
            <v>GRAN VIALE</v>
          </cell>
          <cell r="I3156">
            <v>2022</v>
          </cell>
          <cell r="J3156" t="str">
            <v>C</v>
          </cell>
          <cell r="K3156" t="str">
            <v>SAN ALFONSO</v>
          </cell>
          <cell r="L3156" t="str">
            <v>San Alfonso 2141 (Ramón Subercaseaux 3060)</v>
          </cell>
          <cell r="M3156" t="str">
            <v>Estacion Central</v>
          </cell>
          <cell r="N3156" t="str">
            <v>C</v>
          </cell>
        </row>
        <row r="3157">
          <cell r="B3157" t="str">
            <v>1216 / RYJG-95|</v>
          </cell>
          <cell r="C3157" t="str">
            <v>YV3T7U525NA208193</v>
          </cell>
          <cell r="D3157">
            <v>555050</v>
          </cell>
          <cell r="E3157" t="str">
            <v>Volvo</v>
          </cell>
          <cell r="F3157" t="str">
            <v>B8RLEA</v>
          </cell>
          <cell r="G3157" t="str">
            <v>MARCOPOLO</v>
          </cell>
          <cell r="H3157" t="str">
            <v>GRAN VIALE</v>
          </cell>
          <cell r="I3157">
            <v>2022</v>
          </cell>
          <cell r="J3157" t="str">
            <v>C</v>
          </cell>
          <cell r="K3157" t="str">
            <v>SAN ALFONSO</v>
          </cell>
          <cell r="L3157" t="str">
            <v>San Alfonso 2141 (Ramón Subercaseaux 3060)</v>
          </cell>
          <cell r="M3157" t="str">
            <v>Estacion Central</v>
          </cell>
          <cell r="N3157" t="str">
            <v>C</v>
          </cell>
        </row>
        <row r="3158">
          <cell r="B3158" t="str">
            <v>1217 / SXKV-87|</v>
          </cell>
          <cell r="C3158" t="str">
            <v>YV3T7U529RA212110</v>
          </cell>
          <cell r="D3158">
            <v>593684</v>
          </cell>
          <cell r="E3158" t="str">
            <v>Volvo</v>
          </cell>
          <cell r="F3158" t="str">
            <v>B8RLEA</v>
          </cell>
          <cell r="G3158" t="str">
            <v>MARCOPOLO</v>
          </cell>
          <cell r="H3158" t="str">
            <v>GRAN VIALE</v>
          </cell>
          <cell r="I3158">
            <v>2023</v>
          </cell>
          <cell r="J3158" t="str">
            <v>C</v>
          </cell>
          <cell r="K3158" t="str">
            <v>SAN ALFONSO</v>
          </cell>
          <cell r="L3158" t="str">
            <v>San Alfonso 2141 (Ramón Subercaseaux 3060)</v>
          </cell>
          <cell r="M3158" t="str">
            <v>Estacion Central</v>
          </cell>
          <cell r="N3158" t="str">
            <v>C</v>
          </cell>
        </row>
        <row r="3159">
          <cell r="B3159" t="str">
            <v>1218 / SXKV-88|</v>
          </cell>
          <cell r="C3159" t="str">
            <v>YV3T7U522RA212109</v>
          </cell>
          <cell r="D3159">
            <v>593717</v>
          </cell>
          <cell r="E3159" t="str">
            <v>Volvo</v>
          </cell>
          <cell r="F3159" t="str">
            <v>B8RLEA</v>
          </cell>
          <cell r="G3159" t="str">
            <v>MARCOPOLO</v>
          </cell>
          <cell r="H3159" t="str">
            <v>GRAN VIALE</v>
          </cell>
          <cell r="I3159">
            <v>2023</v>
          </cell>
          <cell r="J3159" t="str">
            <v>C</v>
          </cell>
          <cell r="K3159" t="str">
            <v>SAN ALFONSO</v>
          </cell>
          <cell r="L3159" t="str">
            <v>San Alfonso 2141 (Ramón Subercaseaux 3060)</v>
          </cell>
          <cell r="M3159" t="str">
            <v>Estacion Central</v>
          </cell>
          <cell r="N3159" t="str">
            <v>C</v>
          </cell>
        </row>
        <row r="3160">
          <cell r="B3160" t="str">
            <v>1247 / SXKV-89|</v>
          </cell>
          <cell r="C3160" t="str">
            <v>YV3T7U521RA211954</v>
          </cell>
          <cell r="D3160">
            <v>592427</v>
          </cell>
          <cell r="E3160" t="str">
            <v>Volvo</v>
          </cell>
          <cell r="F3160" t="str">
            <v>B8RLEA</v>
          </cell>
          <cell r="G3160" t="str">
            <v>MARCOPOLO</v>
          </cell>
          <cell r="H3160" t="str">
            <v>GRAN VIALE</v>
          </cell>
          <cell r="I3160">
            <v>2023</v>
          </cell>
          <cell r="J3160" t="str">
            <v>C</v>
          </cell>
          <cell r="K3160" t="str">
            <v>SAN ALFONSO</v>
          </cell>
          <cell r="L3160" t="str">
            <v>San Alfonso 2141 (Ramón Subercaseaux 3060)</v>
          </cell>
          <cell r="M3160" t="str">
            <v>Estacion Central</v>
          </cell>
          <cell r="N3160" t="str">
            <v>C</v>
          </cell>
        </row>
        <row r="3161">
          <cell r="B3161" t="str">
            <v>1248 / SXKV-90|</v>
          </cell>
          <cell r="C3161" t="str">
            <v>YV3T7U527RA211988</v>
          </cell>
          <cell r="D3161">
            <v>593907</v>
          </cell>
          <cell r="E3161" t="str">
            <v>Volvo</v>
          </cell>
          <cell r="F3161" t="str">
            <v>B8RLEA</v>
          </cell>
          <cell r="G3161" t="str">
            <v>MARCOPOLO</v>
          </cell>
          <cell r="H3161" t="str">
            <v>GRAN VIALE</v>
          </cell>
          <cell r="I3161">
            <v>2023</v>
          </cell>
          <cell r="J3161" t="str">
            <v>C</v>
          </cell>
          <cell r="K3161" t="str">
            <v>SAN ALFONSO</v>
          </cell>
          <cell r="L3161" t="str">
            <v>San Alfonso 2141 (Ramón Subercaseaux 3060)</v>
          </cell>
          <cell r="M3161" t="str">
            <v>Estacion Central</v>
          </cell>
          <cell r="N3161" t="str">
            <v>C</v>
          </cell>
        </row>
        <row r="3162">
          <cell r="B3162" t="str">
            <v>1219 / SXKV-91|</v>
          </cell>
          <cell r="C3162" t="str">
            <v>YV3T7U529RA211989</v>
          </cell>
          <cell r="D3162">
            <v>593887</v>
          </cell>
          <cell r="E3162" t="str">
            <v>Volvo</v>
          </cell>
          <cell r="F3162" t="str">
            <v>B8RLEA</v>
          </cell>
          <cell r="G3162" t="str">
            <v>MARCOPOLO</v>
          </cell>
          <cell r="H3162" t="str">
            <v>GRAN VIALE</v>
          </cell>
          <cell r="I3162">
            <v>2023</v>
          </cell>
          <cell r="J3162" t="str">
            <v>C</v>
          </cell>
          <cell r="K3162" t="str">
            <v>SAN ALFONSO</v>
          </cell>
          <cell r="L3162" t="str">
            <v>San Alfonso 2141 (Ramón Subercaseaux 3060)</v>
          </cell>
          <cell r="M3162" t="str">
            <v>Estacion Central</v>
          </cell>
          <cell r="N3162" t="str">
            <v>C</v>
          </cell>
        </row>
        <row r="3163">
          <cell r="B3163" t="str">
            <v>1220 / SXKV-92|</v>
          </cell>
          <cell r="C3163" t="str">
            <v>YV3T7U525RA211990</v>
          </cell>
          <cell r="D3163">
            <v>593899</v>
          </cell>
          <cell r="E3163" t="str">
            <v>Volvo</v>
          </cell>
          <cell r="F3163" t="str">
            <v>B8RLEA</v>
          </cell>
          <cell r="G3163" t="str">
            <v>MARCOPOLO</v>
          </cell>
          <cell r="H3163" t="str">
            <v>GRAN VIALE</v>
          </cell>
          <cell r="I3163">
            <v>2023</v>
          </cell>
          <cell r="J3163" t="str">
            <v>C</v>
          </cell>
          <cell r="K3163" t="str">
            <v>SAN ALFONSO</v>
          </cell>
          <cell r="L3163" t="str">
            <v>San Alfonso 2141 (Ramón Subercaseaux 3060)</v>
          </cell>
          <cell r="M3163" t="str">
            <v>Estacion Central</v>
          </cell>
          <cell r="N3163" t="str">
            <v>C</v>
          </cell>
        </row>
        <row r="3164">
          <cell r="B3164" t="str">
            <v>1221 / SXKV-93|</v>
          </cell>
          <cell r="C3164" t="str">
            <v>YV3T7U527RA211991</v>
          </cell>
          <cell r="D3164">
            <v>593420</v>
          </cell>
          <cell r="E3164" t="str">
            <v>Volvo</v>
          </cell>
          <cell r="F3164" t="str">
            <v>B8RLEA</v>
          </cell>
          <cell r="G3164" t="str">
            <v>MARCOPOLO</v>
          </cell>
          <cell r="H3164" t="str">
            <v>GRAN VIALE</v>
          </cell>
          <cell r="I3164">
            <v>2023</v>
          </cell>
          <cell r="J3164" t="str">
            <v>C</v>
          </cell>
          <cell r="K3164" t="str">
            <v>SAN ALFONSO</v>
          </cell>
          <cell r="L3164" t="str">
            <v>San Alfonso 2141 (Ramón Subercaseaux 3060)</v>
          </cell>
          <cell r="M3164" t="str">
            <v>Estacion Central</v>
          </cell>
          <cell r="N3164" t="str">
            <v>C</v>
          </cell>
        </row>
        <row r="3165">
          <cell r="B3165" t="str">
            <v>1222 / SXKV-94|</v>
          </cell>
          <cell r="C3165" t="str">
            <v>YV3T7U529RA211992</v>
          </cell>
          <cell r="D3165">
            <v>593506</v>
          </cell>
          <cell r="E3165" t="str">
            <v>Volvo</v>
          </cell>
          <cell r="F3165" t="str">
            <v>B8RLEA</v>
          </cell>
          <cell r="G3165" t="str">
            <v>MARCOPOLO</v>
          </cell>
          <cell r="H3165" t="str">
            <v>GRAN VIALE</v>
          </cell>
          <cell r="I3165">
            <v>2023</v>
          </cell>
          <cell r="J3165" t="str">
            <v>C</v>
          </cell>
          <cell r="K3165" t="str">
            <v>SAN ALFONSO</v>
          </cell>
          <cell r="L3165" t="str">
            <v>San Alfonso 2141 (Ramón Subercaseaux 3060)</v>
          </cell>
          <cell r="M3165" t="str">
            <v>Estacion Central</v>
          </cell>
          <cell r="N3165" t="str">
            <v>C</v>
          </cell>
        </row>
        <row r="3166">
          <cell r="B3166" t="str">
            <v>1223 / SXKV-95|</v>
          </cell>
          <cell r="C3166" t="str">
            <v>YV3T7U520RA211993</v>
          </cell>
          <cell r="D3166">
            <v>593418</v>
          </cell>
          <cell r="E3166" t="str">
            <v>Volvo</v>
          </cell>
          <cell r="F3166" t="str">
            <v>B8RLEA</v>
          </cell>
          <cell r="G3166" t="str">
            <v>MARCOPOLO</v>
          </cell>
          <cell r="H3166" t="str">
            <v>GRAN VIALE</v>
          </cell>
          <cell r="I3166">
            <v>2023</v>
          </cell>
          <cell r="J3166" t="str">
            <v>C</v>
          </cell>
          <cell r="K3166" t="str">
            <v>SAN ALFONSO</v>
          </cell>
          <cell r="L3166" t="str">
            <v>San Alfonso 2141 (Ramón Subercaseaux 3060)</v>
          </cell>
          <cell r="M3166" t="str">
            <v>Estacion Central</v>
          </cell>
          <cell r="N3166" t="str">
            <v>C</v>
          </cell>
        </row>
        <row r="3167">
          <cell r="B3167" t="str">
            <v>1224 / SXKV-96|</v>
          </cell>
          <cell r="C3167" t="str">
            <v>YV3T7U529RA212107</v>
          </cell>
          <cell r="D3167">
            <v>593145</v>
          </cell>
          <cell r="E3167" t="str">
            <v>Volvo</v>
          </cell>
          <cell r="F3167" t="str">
            <v>B8RLEA</v>
          </cell>
          <cell r="G3167" t="str">
            <v>MARCOPOLO</v>
          </cell>
          <cell r="H3167" t="str">
            <v>GRAN VIALE</v>
          </cell>
          <cell r="I3167">
            <v>2023</v>
          </cell>
          <cell r="J3167" t="str">
            <v>C</v>
          </cell>
          <cell r="K3167" t="str">
            <v>SAN ALFONSO</v>
          </cell>
          <cell r="L3167" t="str">
            <v>San Alfonso 2141 (Ramón Subercaseaux 3060)</v>
          </cell>
          <cell r="M3167" t="str">
            <v>Estacion Central</v>
          </cell>
          <cell r="N3167" t="str">
            <v>C</v>
          </cell>
        </row>
        <row r="3168">
          <cell r="B3168" t="str">
            <v>1251 / VFPB-75|</v>
          </cell>
          <cell r="C3168" t="str">
            <v>MDN35025020059</v>
          </cell>
          <cell r="D3168" t="str">
            <v>LDYECS312S0043986</v>
          </cell>
          <cell r="E3168" t="str">
            <v>Zhong Tong</v>
          </cell>
          <cell r="F3168" t="str">
            <v>Lck6122evg</v>
          </cell>
          <cell r="G3168" t="str">
            <v>ZHONGTONG</v>
          </cell>
          <cell r="H3168" t="str">
            <v>LCK6122EVG</v>
          </cell>
          <cell r="I3168">
            <v>2025</v>
          </cell>
          <cell r="J3168" t="str">
            <v>B</v>
          </cell>
          <cell r="K3168" t="str">
            <v>CERRILLOS</v>
          </cell>
          <cell r="L3168" t="str">
            <v>Calle Uno 7371</v>
          </cell>
          <cell r="M3168" t="str">
            <v>Cerrillos</v>
          </cell>
          <cell r="N3168" t="str">
            <v>B</v>
          </cell>
        </row>
        <row r="3169">
          <cell r="B3169" t="str">
            <v>1252 / VFPB-85|</v>
          </cell>
          <cell r="C3169" t="str">
            <v>MDN35025020068</v>
          </cell>
          <cell r="D3169" t="str">
            <v>LDYECS318S0044009</v>
          </cell>
          <cell r="E3169" t="str">
            <v>Zhong Tong</v>
          </cell>
          <cell r="F3169" t="str">
            <v>Lck6122evg</v>
          </cell>
          <cell r="G3169" t="str">
            <v>ZHONGTONG</v>
          </cell>
          <cell r="H3169" t="str">
            <v>LCK6122EVG</v>
          </cell>
          <cell r="I3169">
            <v>2025</v>
          </cell>
          <cell r="J3169" t="str">
            <v>B</v>
          </cell>
          <cell r="K3169" t="str">
            <v>PIE ANDINO</v>
          </cell>
          <cell r="L3169" t="str">
            <v>Pie Andino 31 (Pie Andino 383)</v>
          </cell>
          <cell r="M3169" t="str">
            <v>Puente Alto</v>
          </cell>
          <cell r="N3169" t="str">
            <v>B</v>
          </cell>
        </row>
        <row r="3170">
          <cell r="B3170" t="str">
            <v>1253 / VFPC-59|</v>
          </cell>
          <cell r="C3170" t="str">
            <v>MDN35025020104</v>
          </cell>
          <cell r="D3170" t="str">
            <v>LDYECS315S0044016</v>
          </cell>
          <cell r="E3170" t="str">
            <v>Zhong Tong</v>
          </cell>
          <cell r="F3170" t="str">
            <v>Lck6122evg</v>
          </cell>
          <cell r="G3170" t="str">
            <v>ZHONGTONG</v>
          </cell>
          <cell r="H3170" t="str">
            <v>LCK6122EVG</v>
          </cell>
          <cell r="I3170">
            <v>2025</v>
          </cell>
          <cell r="J3170" t="str">
            <v>B</v>
          </cell>
          <cell r="K3170" t="str">
            <v>SAN ALFONSO</v>
          </cell>
          <cell r="L3170" t="str">
            <v>San Alfonso 2141 (Ramón Subercaseaux 3060)</v>
          </cell>
          <cell r="M3170" t="str">
            <v>Estacion Central</v>
          </cell>
          <cell r="N3170" t="str">
            <v>B</v>
          </cell>
        </row>
        <row r="3171">
          <cell r="B3171" t="str">
            <v>1254 / VFPC-66|</v>
          </cell>
          <cell r="C3171" t="str">
            <v>MDN35025020124</v>
          </cell>
          <cell r="D3171" t="str">
            <v>LDYECS311S0044014</v>
          </cell>
          <cell r="E3171" t="str">
            <v>Zhong Tong</v>
          </cell>
          <cell r="F3171" t="str">
            <v>Lck6122evg</v>
          </cell>
          <cell r="G3171" t="str">
            <v>ZHONGTONG</v>
          </cell>
          <cell r="H3171" t="str">
            <v>LCK6122EVG</v>
          </cell>
          <cell r="I3171">
            <v>2025</v>
          </cell>
          <cell r="J3171" t="str">
            <v>B</v>
          </cell>
          <cell r="K3171" t="str">
            <v>SAN ALFONSO</v>
          </cell>
          <cell r="L3171" t="str">
            <v>San Alfonso 2141 (Ramón Subercaseaux 3060)</v>
          </cell>
          <cell r="M3171" t="str">
            <v>Estacion Central</v>
          </cell>
          <cell r="N3171" t="str">
            <v>B</v>
          </cell>
        </row>
        <row r="3172">
          <cell r="B3172" t="str">
            <v>1255 / VFPC-69|</v>
          </cell>
          <cell r="C3172" t="str">
            <v>MDN35025020027</v>
          </cell>
          <cell r="D3172" t="str">
            <v>LDYECS317S0044003</v>
          </cell>
          <cell r="E3172" t="str">
            <v>Zhong Tong</v>
          </cell>
          <cell r="F3172" t="str">
            <v>Lck6122evg</v>
          </cell>
          <cell r="G3172" t="str">
            <v>ZHONGTONG</v>
          </cell>
          <cell r="H3172" t="str">
            <v>LCK6122EVG</v>
          </cell>
          <cell r="I3172">
            <v>2025</v>
          </cell>
          <cell r="J3172" t="str">
            <v>B</v>
          </cell>
          <cell r="K3172" t="str">
            <v>PIE ANDINO</v>
          </cell>
          <cell r="L3172" t="str">
            <v>Pie Andino 31 (Pie Andino 383)</v>
          </cell>
          <cell r="M3172" t="str">
            <v>Puente Alto</v>
          </cell>
          <cell r="N3172" t="str">
            <v>B</v>
          </cell>
        </row>
        <row r="3173">
          <cell r="B3173" t="str">
            <v>1256 / VFPD-10|</v>
          </cell>
          <cell r="C3173" t="str">
            <v>MDN35025020086</v>
          </cell>
          <cell r="D3173" t="str">
            <v>LDYECS31XS0043976</v>
          </cell>
          <cell r="E3173" t="str">
            <v>Zhong Tong</v>
          </cell>
          <cell r="F3173" t="str">
            <v>Lck6122evg</v>
          </cell>
          <cell r="G3173" t="str">
            <v>ZHONGTONG</v>
          </cell>
          <cell r="H3173" t="str">
            <v>LCK6122EVG</v>
          </cell>
          <cell r="I3173">
            <v>2025</v>
          </cell>
          <cell r="J3173" t="str">
            <v>B</v>
          </cell>
          <cell r="K3173" t="str">
            <v>CERRILLOS</v>
          </cell>
          <cell r="L3173" t="str">
            <v>Calle Uno 7371</v>
          </cell>
          <cell r="M3173" t="str">
            <v>Cerrillos</v>
          </cell>
          <cell r="N3173" t="str">
            <v>B</v>
          </cell>
        </row>
        <row r="3174">
          <cell r="B3174" t="str">
            <v>1257 / VFPD-41|</v>
          </cell>
          <cell r="C3174" t="str">
            <v>MDN35025020119</v>
          </cell>
          <cell r="D3174" t="str">
            <v>LDYECS313S0043981</v>
          </cell>
          <cell r="E3174" t="str">
            <v>Zhong Tong</v>
          </cell>
          <cell r="F3174" t="str">
            <v>Lck6122evg</v>
          </cell>
          <cell r="G3174" t="str">
            <v>ZHONGTONG</v>
          </cell>
          <cell r="H3174" t="str">
            <v>LCK6122EVG</v>
          </cell>
          <cell r="I3174">
            <v>2025</v>
          </cell>
          <cell r="J3174" t="str">
            <v>B</v>
          </cell>
          <cell r="K3174" t="str">
            <v>PIE ANDINO</v>
          </cell>
          <cell r="L3174" t="str">
            <v>Pie Andino 31 (Pie Andino 383)</v>
          </cell>
          <cell r="M3174" t="str">
            <v>Puente Alto</v>
          </cell>
          <cell r="N3174" t="str">
            <v>B</v>
          </cell>
        </row>
        <row r="3175">
          <cell r="B3175" t="str">
            <v>1258 / VFPD-51|</v>
          </cell>
          <cell r="C3175" t="str">
            <v>MDN35025020092</v>
          </cell>
          <cell r="D3175" t="str">
            <v>LDYECS319S0043998</v>
          </cell>
          <cell r="E3175" t="str">
            <v>Zhong Tong</v>
          </cell>
          <cell r="F3175" t="str">
            <v>Lck6122evg</v>
          </cell>
          <cell r="G3175" t="str">
            <v>ZHONGTONG</v>
          </cell>
          <cell r="H3175" t="str">
            <v>LCK6122EVG</v>
          </cell>
          <cell r="I3175">
            <v>2025</v>
          </cell>
          <cell r="J3175" t="str">
            <v>B</v>
          </cell>
          <cell r="K3175" t="str">
            <v>CERRILLOS</v>
          </cell>
          <cell r="L3175" t="str">
            <v>Calle Uno 7371</v>
          </cell>
          <cell r="M3175" t="str">
            <v>Cerrillos</v>
          </cell>
          <cell r="N3175" t="str">
            <v>B</v>
          </cell>
        </row>
        <row r="3176">
          <cell r="B3176" t="str">
            <v>1259 / VFPD-61|</v>
          </cell>
          <cell r="C3176" t="str">
            <v>MDN35025020153</v>
          </cell>
          <cell r="D3176" t="str">
            <v>LDYECS310S0043999</v>
          </cell>
          <cell r="E3176" t="str">
            <v>Zhong Tong</v>
          </cell>
          <cell r="F3176" t="str">
            <v>Lck6122evg</v>
          </cell>
          <cell r="G3176" t="str">
            <v>ZHONGTONG</v>
          </cell>
          <cell r="H3176" t="str">
            <v>LCK6122EVG</v>
          </cell>
          <cell r="I3176">
            <v>2025</v>
          </cell>
          <cell r="J3176" t="str">
            <v>B</v>
          </cell>
          <cell r="K3176" t="str">
            <v>CERRILLOS</v>
          </cell>
          <cell r="L3176" t="str">
            <v>Calle Uno 7371</v>
          </cell>
          <cell r="M3176" t="str">
            <v>Cerrillos</v>
          </cell>
          <cell r="N3176" t="str">
            <v>B</v>
          </cell>
        </row>
        <row r="3177">
          <cell r="B3177" t="str">
            <v>1260 / VFPD-71|</v>
          </cell>
          <cell r="C3177" t="str">
            <v>MDN35025010097</v>
          </cell>
          <cell r="D3177" t="str">
            <v>LDYECS318S0044110</v>
          </cell>
          <cell r="E3177" t="str">
            <v>Zhong Tong</v>
          </cell>
          <cell r="F3177" t="str">
            <v>Lck6122evg</v>
          </cell>
          <cell r="G3177" t="str">
            <v>ZHONGTONG</v>
          </cell>
          <cell r="H3177" t="str">
            <v>LCK6122EVG</v>
          </cell>
          <cell r="I3177">
            <v>2025</v>
          </cell>
          <cell r="J3177" t="str">
            <v>B</v>
          </cell>
          <cell r="K3177" t="str">
            <v>CERRILLOS</v>
          </cell>
          <cell r="L3177" t="str">
            <v>Calle Uno 7371</v>
          </cell>
          <cell r="M3177" t="str">
            <v>Cerrillos</v>
          </cell>
          <cell r="N3177" t="str">
            <v>B</v>
          </cell>
        </row>
        <row r="3178">
          <cell r="B3178" t="str">
            <v>1261 / VFPD-81|</v>
          </cell>
          <cell r="C3178" t="str">
            <v>MDN35025020026</v>
          </cell>
          <cell r="D3178" t="str">
            <v>LDYECS31XS0043993</v>
          </cell>
          <cell r="E3178" t="str">
            <v>Zhong Tong</v>
          </cell>
          <cell r="F3178" t="str">
            <v>Lck6122evg</v>
          </cell>
          <cell r="G3178" t="str">
            <v>ZHONGTONG</v>
          </cell>
          <cell r="H3178" t="str">
            <v>LCK6122EVG</v>
          </cell>
          <cell r="I3178">
            <v>2025</v>
          </cell>
          <cell r="J3178" t="str">
            <v>B</v>
          </cell>
          <cell r="K3178" t="str">
            <v>CERRILLOS</v>
          </cell>
          <cell r="L3178" t="str">
            <v>Calle Uno 7371</v>
          </cell>
          <cell r="M3178" t="str">
            <v>Cerrillos</v>
          </cell>
          <cell r="N3178" t="str">
            <v>B</v>
          </cell>
        </row>
        <row r="3179">
          <cell r="B3179" t="str">
            <v>1262 / VFPF-21|</v>
          </cell>
          <cell r="C3179" t="str">
            <v>MDN35025020048</v>
          </cell>
          <cell r="D3179" t="str">
            <v>LDYECS316S0043988</v>
          </cell>
          <cell r="E3179" t="str">
            <v>Zhong Tong</v>
          </cell>
          <cell r="F3179" t="str">
            <v>Lck6122evg</v>
          </cell>
          <cell r="G3179" t="str">
            <v>ZHONGTONG</v>
          </cell>
          <cell r="H3179" t="str">
            <v>LCK6122EVG</v>
          </cell>
          <cell r="I3179">
            <v>2025</v>
          </cell>
          <cell r="J3179" t="str">
            <v>B</v>
          </cell>
          <cell r="K3179" t="str">
            <v>PIE ANDINO</v>
          </cell>
          <cell r="L3179" t="str">
            <v>Pie Andino 31 (Pie Andino 383)</v>
          </cell>
          <cell r="M3179" t="str">
            <v>Puente Alto</v>
          </cell>
          <cell r="N3179" t="str">
            <v>B</v>
          </cell>
        </row>
        <row r="3180">
          <cell r="B3180" t="str">
            <v>1263 / VFPF-31|</v>
          </cell>
          <cell r="C3180" t="str">
            <v>MDN35025020053</v>
          </cell>
          <cell r="D3180" t="str">
            <v>LDYECS310S0043985</v>
          </cell>
          <cell r="E3180" t="str">
            <v>Zhong Tong</v>
          </cell>
          <cell r="F3180" t="str">
            <v>Lck6122evg</v>
          </cell>
          <cell r="G3180" t="str">
            <v>ZHONGTONG</v>
          </cell>
          <cell r="H3180" t="str">
            <v>LCK6122EVG</v>
          </cell>
          <cell r="I3180">
            <v>2025</v>
          </cell>
          <cell r="J3180" t="str">
            <v>B</v>
          </cell>
          <cell r="K3180" t="str">
            <v>CERRILLOS</v>
          </cell>
          <cell r="L3180" t="str">
            <v>Calle Uno 7371</v>
          </cell>
          <cell r="M3180" t="str">
            <v>Cerrillos</v>
          </cell>
          <cell r="N3180" t="str">
            <v>B</v>
          </cell>
        </row>
        <row r="3181">
          <cell r="B3181" t="str">
            <v>1264 / VFPF-51|</v>
          </cell>
          <cell r="C3181" t="str">
            <v>MDN35025020080</v>
          </cell>
          <cell r="D3181" t="str">
            <v>LDYECS314S0043990</v>
          </cell>
          <cell r="E3181" t="str">
            <v>Zhong Tong</v>
          </cell>
          <cell r="F3181" t="str">
            <v>Lck6122evg</v>
          </cell>
          <cell r="G3181" t="str">
            <v>ZHONGTONG</v>
          </cell>
          <cell r="H3181" t="str">
            <v>LCK6122EVG</v>
          </cell>
          <cell r="I3181">
            <v>2025</v>
          </cell>
          <cell r="J3181" t="str">
            <v>B</v>
          </cell>
          <cell r="K3181" t="str">
            <v>CERRILLOS</v>
          </cell>
          <cell r="L3181" t="str">
            <v>Calle Uno 7371</v>
          </cell>
          <cell r="M3181" t="str">
            <v>Cerrillos</v>
          </cell>
          <cell r="N3181" t="str">
            <v>B</v>
          </cell>
        </row>
        <row r="3182">
          <cell r="B3182" t="str">
            <v>1265 / VFPF-54|</v>
          </cell>
          <cell r="C3182" t="str">
            <v>MDN35025020046</v>
          </cell>
          <cell r="D3182" t="str">
            <v>LDYECS311S0043994</v>
          </cell>
          <cell r="E3182" t="str">
            <v>Zhong Tong</v>
          </cell>
          <cell r="F3182" t="str">
            <v>Lck6122evg</v>
          </cell>
          <cell r="G3182" t="str">
            <v>ZHONGTONG</v>
          </cell>
          <cell r="H3182" t="str">
            <v>LCK6122EVG</v>
          </cell>
          <cell r="I3182">
            <v>2025</v>
          </cell>
          <cell r="J3182" t="str">
            <v>B</v>
          </cell>
          <cell r="K3182" t="str">
            <v>PIE ANDINO</v>
          </cell>
          <cell r="L3182" t="str">
            <v>Pie Andino 31 (Pie Andino 383)</v>
          </cell>
          <cell r="M3182" t="str">
            <v>Puente Alto</v>
          </cell>
          <cell r="N3182" t="str">
            <v>B</v>
          </cell>
        </row>
        <row r="3183">
          <cell r="B3183" t="str">
            <v>1266 / VFPF-61|</v>
          </cell>
          <cell r="C3183" t="str">
            <v>MDN35025020061</v>
          </cell>
          <cell r="D3183" t="str">
            <v>LDYECS318S0043992</v>
          </cell>
          <cell r="E3183" t="str">
            <v>Zhong Tong</v>
          </cell>
          <cell r="F3183" t="str">
            <v>Lck6122evg</v>
          </cell>
          <cell r="G3183" t="str">
            <v>ZHONGTONG</v>
          </cell>
          <cell r="H3183" t="str">
            <v>LCK6122EVG</v>
          </cell>
          <cell r="I3183">
            <v>2025</v>
          </cell>
          <cell r="J3183" t="str">
            <v>B</v>
          </cell>
          <cell r="K3183" t="str">
            <v>SAN ALFONSO</v>
          </cell>
          <cell r="L3183" t="str">
            <v>San Alfonso 2141 (Ramón Subercaseaux 3060)</v>
          </cell>
          <cell r="M3183" t="str">
            <v>Estacion Central</v>
          </cell>
          <cell r="N3183" t="str">
            <v>B</v>
          </cell>
        </row>
        <row r="3184">
          <cell r="B3184" t="str">
            <v>1267 / VFPG-48|</v>
          </cell>
          <cell r="C3184" t="str">
            <v>MDN35025020044</v>
          </cell>
          <cell r="D3184" t="str">
            <v>LDYECS31XS0044058</v>
          </cell>
          <cell r="E3184" t="str">
            <v>Zhong Tong</v>
          </cell>
          <cell r="F3184" t="str">
            <v>Lck6122evg</v>
          </cell>
          <cell r="G3184" t="str">
            <v>ZHONGTONG</v>
          </cell>
          <cell r="H3184" t="str">
            <v>LCK6122EVG</v>
          </cell>
          <cell r="I3184">
            <v>2025</v>
          </cell>
          <cell r="J3184" t="str">
            <v>B</v>
          </cell>
          <cell r="K3184" t="str">
            <v>CERRILLOS</v>
          </cell>
          <cell r="L3184" t="str">
            <v>Calle Uno 7371</v>
          </cell>
          <cell r="M3184" t="str">
            <v>Cerrillos</v>
          </cell>
          <cell r="N3184" t="str">
            <v>B</v>
          </cell>
        </row>
        <row r="3185">
          <cell r="B3185" t="str">
            <v>1268 / VFPG-58|</v>
          </cell>
          <cell r="C3185" t="str">
            <v>MDN35025020113</v>
          </cell>
          <cell r="D3185" t="str">
            <v>LDYECS318S0044012</v>
          </cell>
          <cell r="E3185" t="str">
            <v>Zhong Tong</v>
          </cell>
          <cell r="F3185" t="str">
            <v>Lck6122evg</v>
          </cell>
          <cell r="G3185" t="str">
            <v>ZHONGTONG</v>
          </cell>
          <cell r="H3185" t="str">
            <v>LCK6122EVG</v>
          </cell>
          <cell r="I3185">
            <v>2025</v>
          </cell>
          <cell r="J3185" t="str">
            <v>B</v>
          </cell>
          <cell r="K3185" t="str">
            <v>CERRILLOS</v>
          </cell>
          <cell r="L3185" t="str">
            <v>Calle Uno 7371</v>
          </cell>
          <cell r="M3185" t="str">
            <v>Cerrillos</v>
          </cell>
          <cell r="N3185" t="str">
            <v>B</v>
          </cell>
        </row>
        <row r="3186">
          <cell r="B3186" t="str">
            <v>1269 / VFPG-91|</v>
          </cell>
          <cell r="C3186" t="str">
            <v>MDN35025020051</v>
          </cell>
          <cell r="D3186" t="str">
            <v>LDYECS310S0044019</v>
          </cell>
          <cell r="E3186" t="str">
            <v>Zhong Tong</v>
          </cell>
          <cell r="F3186" t="str">
            <v>Lck6122evg</v>
          </cell>
          <cell r="G3186" t="str">
            <v>ZHONGTONG</v>
          </cell>
          <cell r="H3186" t="str">
            <v>LCK6122EVG</v>
          </cell>
          <cell r="I3186">
            <v>2025</v>
          </cell>
          <cell r="J3186" t="str">
            <v>B</v>
          </cell>
          <cell r="K3186" t="str">
            <v>PIE ANDINO</v>
          </cell>
          <cell r="L3186" t="str">
            <v>Pie Andino 31 (Pie Andino 383)</v>
          </cell>
          <cell r="M3186" t="str">
            <v>Puente Alto</v>
          </cell>
          <cell r="N3186" t="str">
            <v>B</v>
          </cell>
        </row>
        <row r="3187">
          <cell r="B3187" t="str">
            <v>1270 / VFPH-21|</v>
          </cell>
          <cell r="C3187" t="str">
            <v>MDN35025020130</v>
          </cell>
          <cell r="D3187" t="str">
            <v>LDYECS319S0044021</v>
          </cell>
          <cell r="E3187" t="str">
            <v>Zhong Tong</v>
          </cell>
          <cell r="F3187" t="str">
            <v>Lck6122evg</v>
          </cell>
          <cell r="G3187" t="str">
            <v>ZHONGTONG</v>
          </cell>
          <cell r="H3187" t="str">
            <v>LCK6122EVG</v>
          </cell>
          <cell r="I3187">
            <v>2025</v>
          </cell>
          <cell r="J3187" t="str">
            <v>B</v>
          </cell>
          <cell r="K3187" t="str">
            <v>PIE ANDINO</v>
          </cell>
          <cell r="L3187" t="str">
            <v>Pie Andino 31 (Pie Andino 383)</v>
          </cell>
          <cell r="M3187" t="str">
            <v>Puente Alto</v>
          </cell>
          <cell r="N3187" t="str">
            <v>B</v>
          </cell>
        </row>
        <row r="3188">
          <cell r="B3188" t="str">
            <v>1271 / VFPH-35|</v>
          </cell>
          <cell r="C3188" t="str">
            <v>MDN35025020025</v>
          </cell>
          <cell r="D3188" t="str">
            <v>LDYECS313S0044001</v>
          </cell>
          <cell r="E3188" t="str">
            <v>Zhong Tong</v>
          </cell>
          <cell r="F3188" t="str">
            <v>Lck6122evg</v>
          </cell>
          <cell r="G3188" t="str">
            <v>ZHONGTONG</v>
          </cell>
          <cell r="H3188" t="str">
            <v>LCK6122EVG</v>
          </cell>
          <cell r="I3188">
            <v>2025</v>
          </cell>
          <cell r="J3188" t="str">
            <v>B</v>
          </cell>
          <cell r="K3188" t="str">
            <v>CERRILLOS</v>
          </cell>
          <cell r="L3188" t="str">
            <v>Calle Uno 7371</v>
          </cell>
          <cell r="M3188" t="str">
            <v>Cerrillos</v>
          </cell>
          <cell r="N3188" t="str">
            <v>B</v>
          </cell>
        </row>
        <row r="3189">
          <cell r="B3189" t="str">
            <v>1272 / VFPH-51|</v>
          </cell>
          <cell r="C3189" t="str">
            <v>MDN35025020054</v>
          </cell>
          <cell r="D3189" t="str">
            <v>LDYECS311S0044000</v>
          </cell>
          <cell r="E3189" t="str">
            <v>Zhong Tong</v>
          </cell>
          <cell r="F3189" t="str">
            <v>Lck6122evg</v>
          </cell>
          <cell r="G3189" t="str">
            <v>ZHONGTONG</v>
          </cell>
          <cell r="H3189" t="str">
            <v>LCK6122EVG</v>
          </cell>
          <cell r="I3189">
            <v>2025</v>
          </cell>
          <cell r="J3189" t="str">
            <v>B</v>
          </cell>
          <cell r="K3189" t="str">
            <v>PIE ANDINO</v>
          </cell>
          <cell r="L3189" t="str">
            <v>Pie Andino 31 (Pie Andino 383)</v>
          </cell>
          <cell r="M3189" t="str">
            <v>Puente Alto</v>
          </cell>
          <cell r="N3189" t="str">
            <v>B</v>
          </cell>
        </row>
        <row r="3190">
          <cell r="B3190" t="str">
            <v>1273 / VFPH-66|</v>
          </cell>
          <cell r="C3190" t="str">
            <v>MDN35025020154</v>
          </cell>
          <cell r="D3190" t="str">
            <v>LDYECS315S0044002</v>
          </cell>
          <cell r="E3190" t="str">
            <v>Zhong Tong</v>
          </cell>
          <cell r="F3190" t="str">
            <v>Lck6122evg</v>
          </cell>
          <cell r="G3190" t="str">
            <v>ZHONGTONG</v>
          </cell>
          <cell r="H3190" t="str">
            <v>LCK6122EVG</v>
          </cell>
          <cell r="I3190">
            <v>2025</v>
          </cell>
          <cell r="J3190" t="str">
            <v>B</v>
          </cell>
          <cell r="K3190" t="str">
            <v>CERRILLOS</v>
          </cell>
          <cell r="L3190" t="str">
            <v>Calle Uno 7371</v>
          </cell>
          <cell r="M3190" t="str">
            <v>Cerrillos</v>
          </cell>
          <cell r="N3190" t="str">
            <v>B</v>
          </cell>
        </row>
        <row r="3191">
          <cell r="B3191" t="str">
            <v>1274 / VFPH-79|</v>
          </cell>
          <cell r="C3191" t="str">
            <v>MDN35025020121</v>
          </cell>
          <cell r="D3191" t="str">
            <v>LDYECS314S0044007</v>
          </cell>
          <cell r="E3191" t="str">
            <v>Zhong Tong</v>
          </cell>
          <cell r="F3191" t="str">
            <v>Lck6122evg</v>
          </cell>
          <cell r="G3191" t="str">
            <v>ZHONGTONG</v>
          </cell>
          <cell r="H3191" t="str">
            <v>LCK6122EVG</v>
          </cell>
          <cell r="I3191">
            <v>2025</v>
          </cell>
          <cell r="J3191" t="str">
            <v>B</v>
          </cell>
          <cell r="K3191" t="str">
            <v>PIE ANDINO</v>
          </cell>
          <cell r="L3191" t="str">
            <v>Pie Andino 31 (Pie Andino 383)</v>
          </cell>
          <cell r="M3191" t="str">
            <v>Puente Alto</v>
          </cell>
          <cell r="N3191" t="str">
            <v>B</v>
          </cell>
        </row>
        <row r="3192">
          <cell r="B3192" t="str">
            <v>1275 / VFPH-81|</v>
          </cell>
          <cell r="C3192" t="str">
            <v>MDN35025020096</v>
          </cell>
          <cell r="D3192" t="str">
            <v>LDYECS318S0044060</v>
          </cell>
          <cell r="E3192" t="str">
            <v>Zhong Tong</v>
          </cell>
          <cell r="F3192" t="str">
            <v>Lck6122evg</v>
          </cell>
          <cell r="G3192" t="str">
            <v>ZHONGTONG</v>
          </cell>
          <cell r="H3192" t="str">
            <v>LCK6122EVG</v>
          </cell>
          <cell r="I3192">
            <v>2025</v>
          </cell>
          <cell r="J3192" t="str">
            <v>B</v>
          </cell>
          <cell r="K3192" t="str">
            <v>PIE ANDINO</v>
          </cell>
          <cell r="L3192" t="str">
            <v>Pie Andino 31 (Pie Andino 383)</v>
          </cell>
          <cell r="M3192" t="str">
            <v>Puente Alto</v>
          </cell>
          <cell r="N3192" t="str">
            <v>B</v>
          </cell>
        </row>
        <row r="3193">
          <cell r="B3193" t="str">
            <v>1276 / VFPH-91|</v>
          </cell>
          <cell r="C3193" t="str">
            <v>MDN35025020045</v>
          </cell>
          <cell r="D3193" t="str">
            <v>LDYECS312S0044023</v>
          </cell>
          <cell r="E3193" t="str">
            <v>Zhong Tong</v>
          </cell>
          <cell r="F3193" t="str">
            <v>Lck6122evg</v>
          </cell>
          <cell r="G3193" t="str">
            <v>ZHONGTONG</v>
          </cell>
          <cell r="H3193" t="str">
            <v>LCK6122EVG</v>
          </cell>
          <cell r="I3193">
            <v>2025</v>
          </cell>
          <cell r="J3193" t="str">
            <v>B</v>
          </cell>
          <cell r="K3193" t="str">
            <v>PIE ANDINO</v>
          </cell>
          <cell r="L3193" t="str">
            <v>Pie Andino 31 (Pie Andino 383)</v>
          </cell>
          <cell r="M3193" t="str">
            <v>Puente Alto</v>
          </cell>
          <cell r="N3193" t="str">
            <v>B</v>
          </cell>
        </row>
        <row r="3194">
          <cell r="B3194" t="str">
            <v>1277 / VFPH-98|</v>
          </cell>
          <cell r="C3194" t="str">
            <v>MDN35025020128</v>
          </cell>
          <cell r="D3194" t="str">
            <v>LDYECS31XS0044030</v>
          </cell>
          <cell r="E3194" t="str">
            <v>Zhong Tong</v>
          </cell>
          <cell r="F3194" t="str">
            <v>Lck6122evg</v>
          </cell>
          <cell r="G3194" t="str">
            <v>ZHONGTONG</v>
          </cell>
          <cell r="H3194" t="str">
            <v>LCK6122EVG</v>
          </cell>
          <cell r="I3194">
            <v>2025</v>
          </cell>
          <cell r="J3194" t="str">
            <v>B</v>
          </cell>
          <cell r="K3194" t="str">
            <v>SAN ALFONSO</v>
          </cell>
          <cell r="L3194" t="str">
            <v>San Alfonso 2141 (Ramón Subercaseaux 3060)</v>
          </cell>
          <cell r="M3194" t="str">
            <v>Estacion Central</v>
          </cell>
          <cell r="N3194" t="str">
            <v>B</v>
          </cell>
        </row>
        <row r="3195">
          <cell r="B3195" t="str">
            <v>1278 / VFPJ-11|</v>
          </cell>
          <cell r="C3195" t="str">
            <v>MDN35025010019</v>
          </cell>
          <cell r="D3195" t="str">
            <v>LDYECS319S0044116</v>
          </cell>
          <cell r="E3195" t="str">
            <v>Zhong Tong</v>
          </cell>
          <cell r="F3195" t="str">
            <v>Lck6122evg</v>
          </cell>
          <cell r="G3195" t="str">
            <v>ZHONGTONG</v>
          </cell>
          <cell r="H3195" t="str">
            <v>LCK6122EVG</v>
          </cell>
          <cell r="I3195">
            <v>2025</v>
          </cell>
          <cell r="J3195" t="str">
            <v>B</v>
          </cell>
          <cell r="K3195" t="str">
            <v>CERRILLOS</v>
          </cell>
          <cell r="L3195" t="str">
            <v>Calle Uno 7371</v>
          </cell>
          <cell r="M3195" t="str">
            <v>Cerrillos</v>
          </cell>
          <cell r="N3195" t="str">
            <v>B</v>
          </cell>
        </row>
        <row r="3196">
          <cell r="B3196" t="str">
            <v>1279 / VFPJ-25|</v>
          </cell>
          <cell r="C3196" t="str">
            <v>MDN35025020127</v>
          </cell>
          <cell r="D3196" t="str">
            <v>LDYECS313S0044029</v>
          </cell>
          <cell r="E3196" t="str">
            <v>Zhong Tong</v>
          </cell>
          <cell r="F3196" t="str">
            <v>Lck6122evg</v>
          </cell>
          <cell r="G3196" t="str">
            <v>ZHONGTONG</v>
          </cell>
          <cell r="H3196" t="str">
            <v>LCK6122EVG</v>
          </cell>
          <cell r="I3196">
            <v>2025</v>
          </cell>
          <cell r="J3196" t="str">
            <v>B</v>
          </cell>
          <cell r="K3196" t="str">
            <v>PIE ANDINO</v>
          </cell>
          <cell r="L3196" t="str">
            <v>Pie Andino 31 (Pie Andino 383)</v>
          </cell>
          <cell r="M3196" t="str">
            <v>Puente Alto</v>
          </cell>
          <cell r="N3196" t="str">
            <v>B</v>
          </cell>
        </row>
        <row r="3197">
          <cell r="B3197" t="str">
            <v>1280 / VFPJ-28|</v>
          </cell>
          <cell r="C3197" t="str">
            <v>MDN35025020123</v>
          </cell>
          <cell r="D3197" t="str">
            <v>LDYECS314S0044010</v>
          </cell>
          <cell r="E3197" t="str">
            <v>Zhong Tong</v>
          </cell>
          <cell r="F3197" t="str">
            <v>Lck6122evg</v>
          </cell>
          <cell r="G3197" t="str">
            <v>ZHONGTONG</v>
          </cell>
          <cell r="H3197" t="str">
            <v>LCK6122EVG</v>
          </cell>
          <cell r="I3197">
            <v>2025</v>
          </cell>
          <cell r="J3197" t="str">
            <v>B</v>
          </cell>
          <cell r="K3197" t="str">
            <v>PIE ANDINO</v>
          </cell>
          <cell r="L3197" t="str">
            <v>Pie Andino 31 (Pie Andino 383)</v>
          </cell>
          <cell r="M3197" t="str">
            <v>Puente Alto</v>
          </cell>
          <cell r="N3197" t="str">
            <v>B</v>
          </cell>
        </row>
        <row r="3198">
          <cell r="B3198" t="str">
            <v>1281 / VFPJ-31|</v>
          </cell>
          <cell r="C3198" t="str">
            <v>MDN35025020070</v>
          </cell>
          <cell r="D3198" t="str">
            <v>LDYECS313S0043995</v>
          </cell>
          <cell r="E3198" t="str">
            <v>Zhong Tong</v>
          </cell>
          <cell r="F3198" t="str">
            <v>Lck6122evg</v>
          </cell>
          <cell r="G3198" t="str">
            <v>ZHONGTONG</v>
          </cell>
          <cell r="H3198" t="str">
            <v>LCK6122EVG</v>
          </cell>
          <cell r="I3198">
            <v>2025</v>
          </cell>
          <cell r="J3198" t="str">
            <v>B</v>
          </cell>
          <cell r="K3198" t="str">
            <v>CERRILLOS</v>
          </cell>
          <cell r="L3198" t="str">
            <v>Calle Uno 7371</v>
          </cell>
          <cell r="M3198" t="str">
            <v>Cerrillos</v>
          </cell>
          <cell r="N3198" t="str">
            <v>B</v>
          </cell>
        </row>
        <row r="3199">
          <cell r="B3199" t="str">
            <v>1282 / VFPJ-51|</v>
          </cell>
          <cell r="C3199" t="str">
            <v>MDN35025020109</v>
          </cell>
          <cell r="D3199" t="str">
            <v>LDYECS314S0044024</v>
          </cell>
          <cell r="E3199" t="str">
            <v>Zhong Tong</v>
          </cell>
          <cell r="F3199" t="str">
            <v>Lck6122evg</v>
          </cell>
          <cell r="G3199" t="str">
            <v>ZHONGTONG</v>
          </cell>
          <cell r="H3199" t="str">
            <v>LCK6122EVG</v>
          </cell>
          <cell r="I3199">
            <v>2025</v>
          </cell>
          <cell r="J3199" t="str">
            <v>B</v>
          </cell>
          <cell r="K3199" t="str">
            <v>PIE ANDINO</v>
          </cell>
          <cell r="L3199" t="str">
            <v>Pie Andino 31 (Pie Andino 383)</v>
          </cell>
          <cell r="M3199" t="str">
            <v>Puente Alto</v>
          </cell>
          <cell r="N3199" t="str">
            <v>B</v>
          </cell>
        </row>
        <row r="3200">
          <cell r="B3200" t="str">
            <v>1283 / VFPJ-53|</v>
          </cell>
          <cell r="C3200" t="str">
            <v>MDN35025020024</v>
          </cell>
          <cell r="D3200" t="str">
            <v>LDYECS318S0044026</v>
          </cell>
          <cell r="E3200" t="str">
            <v>Zhong Tong</v>
          </cell>
          <cell r="F3200" t="str">
            <v>Lck6122evg</v>
          </cell>
          <cell r="G3200" t="str">
            <v>ZHONGTONG</v>
          </cell>
          <cell r="H3200" t="str">
            <v>LCK6122EVG</v>
          </cell>
          <cell r="I3200">
            <v>2025</v>
          </cell>
          <cell r="J3200" t="str">
            <v>B</v>
          </cell>
          <cell r="K3200" t="str">
            <v>CERRILLOS</v>
          </cell>
          <cell r="L3200" t="str">
            <v>Calle Uno 7371</v>
          </cell>
          <cell r="M3200" t="str">
            <v>Cerrillos</v>
          </cell>
          <cell r="N3200" t="str">
            <v>B</v>
          </cell>
        </row>
        <row r="3201">
          <cell r="B3201" t="str">
            <v>1284 / VFPJ-61|</v>
          </cell>
          <cell r="C3201" t="str">
            <v>MDN35025020049</v>
          </cell>
          <cell r="D3201" t="str">
            <v>LDYECS310S0044005</v>
          </cell>
          <cell r="E3201" t="str">
            <v>Zhong Tong</v>
          </cell>
          <cell r="F3201" t="str">
            <v>Lck6122evg</v>
          </cell>
          <cell r="G3201" t="str">
            <v>ZHONGTONG</v>
          </cell>
          <cell r="H3201" t="str">
            <v>LCK6122EVG</v>
          </cell>
          <cell r="I3201">
            <v>2025</v>
          </cell>
          <cell r="J3201" t="str">
            <v>B</v>
          </cell>
          <cell r="K3201" t="str">
            <v>PIE ANDINO</v>
          </cell>
          <cell r="L3201" t="str">
            <v>Pie Andino 31 (Pie Andino 383)</v>
          </cell>
          <cell r="M3201" t="str">
            <v>Puente Alto</v>
          </cell>
          <cell r="N3201" t="str">
            <v>B</v>
          </cell>
        </row>
        <row r="3202">
          <cell r="B3202" t="str">
            <v>1285 / VFPJ-66|</v>
          </cell>
          <cell r="C3202" t="str">
            <v>MDN35025020108</v>
          </cell>
          <cell r="D3202" t="str">
            <v>LDYECS31XS0044061</v>
          </cell>
          <cell r="E3202" t="str">
            <v>Zhong Tong</v>
          </cell>
          <cell r="F3202" t="str">
            <v>Lck6122evg</v>
          </cell>
          <cell r="G3202" t="str">
            <v>ZHONGTONG</v>
          </cell>
          <cell r="H3202" t="str">
            <v>LCK6122EVG</v>
          </cell>
          <cell r="I3202">
            <v>2025</v>
          </cell>
          <cell r="J3202" t="str">
            <v>B</v>
          </cell>
          <cell r="K3202" t="str">
            <v>CERRILLOS</v>
          </cell>
          <cell r="L3202" t="str">
            <v>Calle Uno 7371</v>
          </cell>
          <cell r="M3202" t="str">
            <v>Cerrillos</v>
          </cell>
          <cell r="N3202" t="str">
            <v>B</v>
          </cell>
        </row>
        <row r="3203">
          <cell r="B3203" t="str">
            <v>1286 / VFPJ-68|</v>
          </cell>
          <cell r="C3203" t="str">
            <v>MDN35025020064</v>
          </cell>
          <cell r="D3203" t="str">
            <v>LDYECS316S0044008</v>
          </cell>
          <cell r="E3203" t="str">
            <v>Zhong Tong</v>
          </cell>
          <cell r="F3203" t="str">
            <v>Lck6122evg</v>
          </cell>
          <cell r="G3203" t="str">
            <v>ZHONGTONG</v>
          </cell>
          <cell r="H3203" t="str">
            <v>LCK6122EVG</v>
          </cell>
          <cell r="I3203">
            <v>2025</v>
          </cell>
          <cell r="J3203" t="str">
            <v>B</v>
          </cell>
          <cell r="K3203" t="str">
            <v>PIE ANDINO</v>
          </cell>
          <cell r="L3203" t="str">
            <v>Pie Andino 31 (Pie Andino 383)</v>
          </cell>
          <cell r="M3203" t="str">
            <v>Puente Alto</v>
          </cell>
          <cell r="N3203" t="str">
            <v>B</v>
          </cell>
        </row>
        <row r="3204">
          <cell r="B3204" t="str">
            <v>1287 / VFPJ-71|</v>
          </cell>
          <cell r="C3204" t="str">
            <v>MDN35025020103</v>
          </cell>
          <cell r="D3204" t="str">
            <v>LDYECS313S0044015</v>
          </cell>
          <cell r="E3204" t="str">
            <v>Zhong Tong</v>
          </cell>
          <cell r="F3204" t="str">
            <v>Lck6122evg</v>
          </cell>
          <cell r="G3204" t="str">
            <v>ZHONGTONG</v>
          </cell>
          <cell r="H3204" t="str">
            <v>LCK6122EVG</v>
          </cell>
          <cell r="I3204">
            <v>2025</v>
          </cell>
          <cell r="J3204" t="str">
            <v>B</v>
          </cell>
          <cell r="K3204" t="str">
            <v>CERRILLOS</v>
          </cell>
          <cell r="L3204" t="str">
            <v>Calle Uno 7371</v>
          </cell>
          <cell r="M3204" t="str">
            <v>Cerrillos</v>
          </cell>
          <cell r="N3204" t="str">
            <v>B</v>
          </cell>
        </row>
        <row r="3205">
          <cell r="B3205" t="str">
            <v>1288 / VFPJ-77|</v>
          </cell>
          <cell r="C3205" t="str">
            <v>MDN35025020131</v>
          </cell>
          <cell r="D3205" t="str">
            <v>LDYECS317S0044017</v>
          </cell>
          <cell r="E3205" t="str">
            <v>Zhong Tong</v>
          </cell>
          <cell r="F3205" t="str">
            <v>Lck6122evg</v>
          </cell>
          <cell r="G3205" t="str">
            <v>ZHONGTONG</v>
          </cell>
          <cell r="H3205" t="str">
            <v>LCK6122EVG</v>
          </cell>
          <cell r="I3205">
            <v>2025</v>
          </cell>
          <cell r="J3205" t="str">
            <v>B</v>
          </cell>
          <cell r="K3205" t="str">
            <v>PIE ANDINO</v>
          </cell>
          <cell r="L3205" t="str">
            <v>Pie Andino 31 (Pie Andino 383)</v>
          </cell>
          <cell r="M3205" t="str">
            <v>Puente Alto</v>
          </cell>
          <cell r="N3205" t="str">
            <v>B</v>
          </cell>
        </row>
        <row r="3206">
          <cell r="B3206" t="str">
            <v>1289 / VFPK-64|</v>
          </cell>
          <cell r="C3206" t="str">
            <v>MDN35025020115</v>
          </cell>
          <cell r="D3206" t="str">
            <v>LDYECS319S0044018</v>
          </cell>
          <cell r="E3206" t="str">
            <v>Zhong Tong</v>
          </cell>
          <cell r="F3206" t="str">
            <v>Lck6122evg</v>
          </cell>
          <cell r="G3206" t="str">
            <v>ZHONGTONG</v>
          </cell>
          <cell r="H3206" t="str">
            <v>LCK6122EVG</v>
          </cell>
          <cell r="I3206">
            <v>2025</v>
          </cell>
          <cell r="J3206" t="str">
            <v>B</v>
          </cell>
          <cell r="K3206" t="str">
            <v>CERRILLOS</v>
          </cell>
          <cell r="L3206" t="str">
            <v>Calle Uno 7371</v>
          </cell>
          <cell r="M3206" t="str">
            <v>Cerrillos</v>
          </cell>
          <cell r="N3206" t="str">
            <v>B</v>
          </cell>
        </row>
        <row r="3207">
          <cell r="B3207" t="str">
            <v>1290 / VFPK-81|</v>
          </cell>
          <cell r="C3207" t="str">
            <v>MDN35025020019</v>
          </cell>
          <cell r="D3207" t="str">
            <v>LDYECS313S0044094</v>
          </cell>
          <cell r="E3207" t="str">
            <v>Zhong Tong</v>
          </cell>
          <cell r="F3207" t="str">
            <v>Lck6122evg</v>
          </cell>
          <cell r="G3207" t="str">
            <v>ZHONGTONG</v>
          </cell>
          <cell r="H3207" t="str">
            <v>LCK6122EVG</v>
          </cell>
          <cell r="I3207">
            <v>2025</v>
          </cell>
          <cell r="J3207" t="str">
            <v>B</v>
          </cell>
          <cell r="K3207" t="str">
            <v>PIE ANDINO</v>
          </cell>
          <cell r="L3207" t="str">
            <v>Pie Andino 31 (Pie Andino 383)</v>
          </cell>
          <cell r="M3207" t="str">
            <v>Puente Alto</v>
          </cell>
          <cell r="N3207" t="str">
            <v>B</v>
          </cell>
        </row>
        <row r="3208">
          <cell r="B3208" t="str">
            <v>1291 / VFPK-91|</v>
          </cell>
          <cell r="C3208" t="str">
            <v>MDN35025010038</v>
          </cell>
          <cell r="D3208" t="str">
            <v>LDYECS315S0044114</v>
          </cell>
          <cell r="E3208" t="str">
            <v>Zhong Tong</v>
          </cell>
          <cell r="F3208" t="str">
            <v>Lck6122evg</v>
          </cell>
          <cell r="G3208" t="str">
            <v>ZHONGTONG</v>
          </cell>
          <cell r="H3208" t="str">
            <v>LCK6122EVG</v>
          </cell>
          <cell r="I3208">
            <v>2025</v>
          </cell>
          <cell r="J3208" t="str">
            <v>B</v>
          </cell>
          <cell r="K3208" t="str">
            <v>PIE ANDINO</v>
          </cell>
          <cell r="L3208" t="str">
            <v>Pie Andino 31 (Pie Andino 383)</v>
          </cell>
          <cell r="M3208" t="str">
            <v>Puente Alto</v>
          </cell>
          <cell r="N3208" t="str">
            <v>B</v>
          </cell>
        </row>
        <row r="3209">
          <cell r="B3209" t="str">
            <v>1292 / VFPL-11|</v>
          </cell>
          <cell r="C3209" t="str">
            <v>MDN35025020028</v>
          </cell>
          <cell r="D3209" t="str">
            <v>LDYECS314S0044041</v>
          </cell>
          <cell r="E3209" t="str">
            <v>Zhong Tong</v>
          </cell>
          <cell r="F3209" t="str">
            <v>Lck6122evg</v>
          </cell>
          <cell r="G3209" t="str">
            <v>ZHONGTONG</v>
          </cell>
          <cell r="H3209" t="str">
            <v>LCK6122EVG</v>
          </cell>
          <cell r="I3209">
            <v>2025</v>
          </cell>
          <cell r="J3209" t="str">
            <v>B</v>
          </cell>
          <cell r="K3209" t="str">
            <v>PIE ANDINO</v>
          </cell>
          <cell r="L3209" t="str">
            <v>Pie Andino 31 (Pie Andino 383)</v>
          </cell>
          <cell r="M3209" t="str">
            <v>Puente Alto</v>
          </cell>
          <cell r="N3209" t="str">
            <v>B</v>
          </cell>
        </row>
        <row r="3210">
          <cell r="B3210" t="str">
            <v>1293 / VFPL-15|</v>
          </cell>
          <cell r="C3210" t="str">
            <v>MDN35025020111</v>
          </cell>
          <cell r="D3210" t="str">
            <v>LDYECS31XS0044013</v>
          </cell>
          <cell r="E3210" t="str">
            <v>Zhong Tong</v>
          </cell>
          <cell r="F3210" t="str">
            <v>Lck6122evg</v>
          </cell>
          <cell r="G3210" t="str">
            <v>ZHONGTONG</v>
          </cell>
          <cell r="H3210" t="str">
            <v>LCK6122EVG</v>
          </cell>
          <cell r="I3210">
            <v>2025</v>
          </cell>
          <cell r="J3210" t="str">
            <v>B</v>
          </cell>
          <cell r="K3210" t="str">
            <v>PIE ANDINO</v>
          </cell>
          <cell r="L3210" t="str">
            <v>Pie Andino 31 (Pie Andino 383)</v>
          </cell>
          <cell r="M3210" t="str">
            <v>Puente Alto</v>
          </cell>
          <cell r="N3210" t="str">
            <v>B</v>
          </cell>
        </row>
        <row r="3211">
          <cell r="B3211" t="str">
            <v>1294 / VFPL-21|</v>
          </cell>
          <cell r="C3211" t="str">
            <v>MDN35025020125</v>
          </cell>
          <cell r="D3211" t="str">
            <v>LDYECS313S0044032</v>
          </cell>
          <cell r="E3211" t="str">
            <v>Zhong Tong</v>
          </cell>
          <cell r="F3211" t="str">
            <v>Lck6122evg</v>
          </cell>
          <cell r="G3211" t="str">
            <v>ZHONGTONG</v>
          </cell>
          <cell r="H3211" t="str">
            <v>LCK6122EVG</v>
          </cell>
          <cell r="I3211">
            <v>2025</v>
          </cell>
          <cell r="J3211" t="str">
            <v>B</v>
          </cell>
          <cell r="K3211" t="str">
            <v>PIE ANDINO</v>
          </cell>
          <cell r="L3211" t="str">
            <v>Pie Andino 31 (Pie Andino 383)</v>
          </cell>
          <cell r="M3211" t="str">
            <v>Puente Alto</v>
          </cell>
          <cell r="N3211" t="str">
            <v>B</v>
          </cell>
        </row>
        <row r="3212">
          <cell r="B3212" t="str">
            <v>1295 / VFPL-31|</v>
          </cell>
          <cell r="C3212" t="str">
            <v>MDN35025020117</v>
          </cell>
          <cell r="D3212" t="str">
            <v>LDYECS310S0044022</v>
          </cell>
          <cell r="E3212" t="str">
            <v>Zhong Tong</v>
          </cell>
          <cell r="F3212" t="str">
            <v>Lck6122evg</v>
          </cell>
          <cell r="G3212" t="str">
            <v>ZHONGTONG</v>
          </cell>
          <cell r="H3212" t="str">
            <v>LCK6122EVG</v>
          </cell>
          <cell r="I3212">
            <v>2025</v>
          </cell>
          <cell r="J3212" t="str">
            <v>B</v>
          </cell>
          <cell r="K3212" t="str">
            <v>PIE ANDINO</v>
          </cell>
          <cell r="L3212" t="str">
            <v>Pie Andino 31 (Pie Andino 383)</v>
          </cell>
          <cell r="M3212" t="str">
            <v>Puente Alto</v>
          </cell>
          <cell r="N3212" t="str">
            <v>B</v>
          </cell>
        </row>
        <row r="3213">
          <cell r="B3213" t="str">
            <v>1296 / VFPL-35|</v>
          </cell>
          <cell r="C3213" t="str">
            <v>MDN35025020006</v>
          </cell>
          <cell r="D3213" t="str">
            <v>LDYECS316S0044073</v>
          </cell>
          <cell r="E3213" t="str">
            <v>Zhong Tong</v>
          </cell>
          <cell r="F3213" t="str">
            <v>Lck6122evg</v>
          </cell>
          <cell r="G3213" t="str">
            <v>ZHONGTONG</v>
          </cell>
          <cell r="H3213" t="str">
            <v>LCK6122EVG</v>
          </cell>
          <cell r="I3213">
            <v>2025</v>
          </cell>
          <cell r="J3213" t="str">
            <v>B</v>
          </cell>
          <cell r="K3213" t="str">
            <v>PIE ANDINO</v>
          </cell>
          <cell r="L3213" t="str">
            <v>Pie Andino 31 (Pie Andino 383)</v>
          </cell>
          <cell r="M3213" t="str">
            <v>Puente Alto</v>
          </cell>
          <cell r="N3213" t="str">
            <v>B</v>
          </cell>
        </row>
        <row r="3214">
          <cell r="B3214" t="str">
            <v>1297 / VFPL-41|</v>
          </cell>
          <cell r="C3214" t="str">
            <v>MDN35025020062</v>
          </cell>
          <cell r="D3214" t="str">
            <v>LDYECS312S0044006</v>
          </cell>
          <cell r="E3214" t="str">
            <v>Zhong Tong</v>
          </cell>
          <cell r="F3214" t="str">
            <v>Lck6122evg</v>
          </cell>
          <cell r="G3214" t="str">
            <v>ZHONGTONG</v>
          </cell>
          <cell r="H3214" t="str">
            <v>LCK6122EVG</v>
          </cell>
          <cell r="I3214">
            <v>2025</v>
          </cell>
          <cell r="J3214" t="str">
            <v>B</v>
          </cell>
          <cell r="K3214" t="str">
            <v>SAN ALFONSO</v>
          </cell>
          <cell r="L3214" t="str">
            <v>San Alfonso 2141 (Ramón Subercaseaux 3060)</v>
          </cell>
          <cell r="M3214" t="str">
            <v>Estacion Central</v>
          </cell>
          <cell r="N3214" t="str">
            <v>B</v>
          </cell>
        </row>
        <row r="3215">
          <cell r="B3215" t="str">
            <v>1298 / VFPL-46|</v>
          </cell>
          <cell r="C3215" t="str">
            <v>MDN35025020116</v>
          </cell>
          <cell r="D3215" t="str">
            <v>LDYECS317S0044020</v>
          </cell>
          <cell r="E3215" t="str">
            <v>Zhong Tong</v>
          </cell>
          <cell r="F3215" t="str">
            <v>Lck6122evg</v>
          </cell>
          <cell r="G3215" t="str">
            <v>ZHONGTONG</v>
          </cell>
          <cell r="H3215" t="str">
            <v>LCK6122EVG</v>
          </cell>
          <cell r="I3215">
            <v>2025</v>
          </cell>
          <cell r="J3215" t="str">
            <v>B</v>
          </cell>
          <cell r="K3215" t="str">
            <v>SAN ALFONSO</v>
          </cell>
          <cell r="L3215" t="str">
            <v>San Alfonso 2141 (Ramón Subercaseaux 3060)</v>
          </cell>
          <cell r="M3215" t="str">
            <v>Estacion Central</v>
          </cell>
          <cell r="N3215" t="str">
            <v>B</v>
          </cell>
        </row>
        <row r="3216">
          <cell r="B3216" t="str">
            <v>1299 / VFPL-57|</v>
          </cell>
          <cell r="C3216" t="str">
            <v>MDN35025020106</v>
          </cell>
          <cell r="D3216" t="str">
            <v>LDYECS316S0044025</v>
          </cell>
          <cell r="E3216" t="str">
            <v>Zhong Tong</v>
          </cell>
          <cell r="F3216" t="str">
            <v>Lck6122evg</v>
          </cell>
          <cell r="G3216" t="str">
            <v>ZHONGTONG</v>
          </cell>
          <cell r="H3216" t="str">
            <v>LCK6122EVG</v>
          </cell>
          <cell r="I3216">
            <v>2025</v>
          </cell>
          <cell r="J3216" t="str">
            <v>B</v>
          </cell>
          <cell r="K3216" t="str">
            <v>CERRILLOS</v>
          </cell>
          <cell r="L3216" t="str">
            <v>Calle Uno 7371</v>
          </cell>
          <cell r="M3216" t="str">
            <v>Cerrillos</v>
          </cell>
          <cell r="N3216" t="str">
            <v>B</v>
          </cell>
        </row>
        <row r="3217">
          <cell r="B3217" t="str">
            <v>1300 / VFPL-61|</v>
          </cell>
          <cell r="C3217" t="str">
            <v>MDN35025020110</v>
          </cell>
          <cell r="D3217" t="str">
            <v>LDYECS317S0044034</v>
          </cell>
          <cell r="E3217" t="str">
            <v>Zhong Tong</v>
          </cell>
          <cell r="F3217" t="str">
            <v>Lck6122evg</v>
          </cell>
          <cell r="G3217" t="str">
            <v>ZHONGTONG</v>
          </cell>
          <cell r="H3217" t="str">
            <v>LCK6122EVG</v>
          </cell>
          <cell r="I3217">
            <v>2025</v>
          </cell>
          <cell r="J3217" t="str">
            <v>B</v>
          </cell>
          <cell r="K3217" t="str">
            <v>CERRILLOS</v>
          </cell>
          <cell r="L3217" t="str">
            <v>Calle Uno 7371</v>
          </cell>
          <cell r="M3217" t="str">
            <v>Cerrillos</v>
          </cell>
          <cell r="N3217" t="str">
            <v>B</v>
          </cell>
        </row>
        <row r="3218">
          <cell r="B3218" t="str">
            <v>1301 / VFPL-63|</v>
          </cell>
          <cell r="C3218" t="str">
            <v>MDN35025020035</v>
          </cell>
          <cell r="D3218" t="str">
            <v>LDYECS319S0044052</v>
          </cell>
          <cell r="E3218" t="str">
            <v>Zhong Tong</v>
          </cell>
          <cell r="F3218" t="str">
            <v>Lck6122evg</v>
          </cell>
          <cell r="G3218" t="str">
            <v>ZHONGTONG</v>
          </cell>
          <cell r="H3218" t="str">
            <v>LCK6122EVG</v>
          </cell>
          <cell r="I3218">
            <v>2025</v>
          </cell>
          <cell r="J3218" t="str">
            <v>B</v>
          </cell>
          <cell r="K3218" t="str">
            <v>CERRILLOS</v>
          </cell>
          <cell r="L3218" t="str">
            <v>Calle Uno 7371</v>
          </cell>
          <cell r="M3218" t="str">
            <v>Cerrillos</v>
          </cell>
          <cell r="N3218" t="str">
            <v>B</v>
          </cell>
        </row>
        <row r="3219">
          <cell r="B3219" t="str">
            <v>1302 / VFPL-71|</v>
          </cell>
          <cell r="C3219" t="str">
            <v>MDN35025020077</v>
          </cell>
          <cell r="D3219" t="str">
            <v>LDYECS312S0044037</v>
          </cell>
          <cell r="E3219" t="str">
            <v>Zhong Tong</v>
          </cell>
          <cell r="F3219" t="str">
            <v>Lck6122evg</v>
          </cell>
          <cell r="G3219" t="str">
            <v>ZHONGTONG</v>
          </cell>
          <cell r="H3219" t="str">
            <v>LCK6122EVG</v>
          </cell>
          <cell r="I3219">
            <v>2025</v>
          </cell>
          <cell r="J3219" t="str">
            <v>B</v>
          </cell>
          <cell r="K3219" t="str">
            <v>CERRILLOS</v>
          </cell>
          <cell r="L3219" t="str">
            <v>Calle Uno 7371</v>
          </cell>
          <cell r="M3219" t="str">
            <v>Cerrillos</v>
          </cell>
          <cell r="N3219" t="str">
            <v>B</v>
          </cell>
        </row>
        <row r="3220">
          <cell r="B3220" t="str">
            <v>1303 / VFPL-73|</v>
          </cell>
          <cell r="C3220" t="str">
            <v>MDN35025020033</v>
          </cell>
          <cell r="D3220" t="str">
            <v>LDYECS318S0044088</v>
          </cell>
          <cell r="E3220" t="str">
            <v>Zhong Tong</v>
          </cell>
          <cell r="F3220" t="str">
            <v>Lck6122evg</v>
          </cell>
          <cell r="G3220" t="str">
            <v>ZHONGTONG</v>
          </cell>
          <cell r="H3220" t="str">
            <v>LCK6122EVG</v>
          </cell>
          <cell r="I3220">
            <v>2025</v>
          </cell>
          <cell r="J3220" t="str">
            <v>B</v>
          </cell>
          <cell r="K3220" t="str">
            <v>PIE ANDINO</v>
          </cell>
          <cell r="L3220" t="str">
            <v>Pie Andino 31 (Pie Andino 383)</v>
          </cell>
          <cell r="M3220" t="str">
            <v>Puente Alto</v>
          </cell>
          <cell r="N3220" t="str">
            <v>B</v>
          </cell>
        </row>
        <row r="3221">
          <cell r="B3221" t="str">
            <v>1304 / VFPL-74|</v>
          </cell>
          <cell r="C3221" t="str">
            <v>MDN35025010021</v>
          </cell>
          <cell r="D3221" t="str">
            <v>LDYECS313S0044113</v>
          </cell>
          <cell r="E3221" t="str">
            <v>Zhong Tong</v>
          </cell>
          <cell r="F3221" t="str">
            <v>Lck6122evg</v>
          </cell>
          <cell r="G3221" t="str">
            <v>ZHONGTONG</v>
          </cell>
          <cell r="H3221" t="str">
            <v>LCK6122EVG</v>
          </cell>
          <cell r="I3221">
            <v>2025</v>
          </cell>
          <cell r="J3221" t="str">
            <v>B</v>
          </cell>
          <cell r="K3221" t="str">
            <v>CERRILLOS</v>
          </cell>
          <cell r="L3221" t="str">
            <v>Calle Uno 7371</v>
          </cell>
          <cell r="M3221" t="str">
            <v>Cerrillos</v>
          </cell>
          <cell r="N3221" t="str">
            <v>B</v>
          </cell>
        </row>
        <row r="3222">
          <cell r="B3222" t="str">
            <v>1305 / VFPL-81|</v>
          </cell>
          <cell r="C3222" t="str">
            <v>MDN35025020120</v>
          </cell>
          <cell r="D3222" t="str">
            <v>LDYECS316S0044011</v>
          </cell>
          <cell r="E3222" t="str">
            <v>Zhong Tong</v>
          </cell>
          <cell r="F3222" t="str">
            <v>Lck6122evg</v>
          </cell>
          <cell r="G3222" t="str">
            <v>ZHONGTONG</v>
          </cell>
          <cell r="H3222" t="str">
            <v>LCK6122EVG</v>
          </cell>
          <cell r="I3222">
            <v>2025</v>
          </cell>
          <cell r="J3222" t="str">
            <v>B</v>
          </cell>
          <cell r="K3222" t="str">
            <v>CERRILLOS</v>
          </cell>
          <cell r="L3222" t="str">
            <v>Calle Uno 7371</v>
          </cell>
          <cell r="M3222" t="str">
            <v>Cerrillos</v>
          </cell>
          <cell r="N3222" t="str">
            <v>B</v>
          </cell>
        </row>
        <row r="3223">
          <cell r="B3223" t="str">
            <v>1306 / VFPL-87|</v>
          </cell>
          <cell r="C3223" t="str">
            <v>MDN35025020101</v>
          </cell>
          <cell r="D3223" t="str">
            <v>LDYECS315S0044047</v>
          </cell>
          <cell r="E3223" t="str">
            <v>Zhong Tong</v>
          </cell>
          <cell r="F3223" t="str">
            <v>Lck6122evg</v>
          </cell>
          <cell r="G3223" t="str">
            <v>ZHONGTONG</v>
          </cell>
          <cell r="H3223" t="str">
            <v>LCK6122EVG</v>
          </cell>
          <cell r="I3223">
            <v>2025</v>
          </cell>
          <cell r="J3223" t="str">
            <v>B</v>
          </cell>
          <cell r="K3223" t="str">
            <v>CERRILLOS</v>
          </cell>
          <cell r="L3223" t="str">
            <v>Calle Uno 7371</v>
          </cell>
          <cell r="M3223" t="str">
            <v>Cerrillos</v>
          </cell>
          <cell r="N3223" t="str">
            <v>B</v>
          </cell>
        </row>
        <row r="3224">
          <cell r="B3224" t="str">
            <v>1307 / VFPL-88|</v>
          </cell>
          <cell r="C3224" t="str">
            <v>MDN35025020071</v>
          </cell>
          <cell r="D3224" t="str">
            <v>LDYECS316S0044039</v>
          </cell>
          <cell r="E3224" t="str">
            <v>Zhong Tong</v>
          </cell>
          <cell r="F3224" t="str">
            <v>Lck6122evg</v>
          </cell>
          <cell r="G3224" t="str">
            <v>ZHONGTONG</v>
          </cell>
          <cell r="H3224" t="str">
            <v>LCK6122EVG</v>
          </cell>
          <cell r="I3224">
            <v>2025</v>
          </cell>
          <cell r="J3224" t="str">
            <v>B</v>
          </cell>
          <cell r="K3224" t="str">
            <v>PIE ANDINO</v>
          </cell>
          <cell r="L3224" t="str">
            <v>Pie Andino 31 (Pie Andino 383)</v>
          </cell>
          <cell r="M3224" t="str">
            <v>Puente Alto</v>
          </cell>
          <cell r="N3224" t="str">
            <v>B</v>
          </cell>
        </row>
        <row r="3225">
          <cell r="B3225" t="str">
            <v>1308 / VFPL-92|</v>
          </cell>
          <cell r="C3225" t="str">
            <v>MDN35025010192</v>
          </cell>
          <cell r="D3225" t="str">
            <v>LDYECS312S0044054</v>
          </cell>
          <cell r="E3225" t="str">
            <v>Zhong Tong</v>
          </cell>
          <cell r="F3225" t="str">
            <v>Lck6122evg</v>
          </cell>
          <cell r="G3225" t="str">
            <v>ZHONGTONG</v>
          </cell>
          <cell r="H3225" t="str">
            <v>LCK6122EVG</v>
          </cell>
          <cell r="I3225">
            <v>2025</v>
          </cell>
          <cell r="J3225" t="str">
            <v>B</v>
          </cell>
          <cell r="K3225" t="str">
            <v>PIE ANDINO</v>
          </cell>
          <cell r="L3225" t="str">
            <v>Pie Andino 31 (Pie Andino 383)</v>
          </cell>
          <cell r="M3225" t="str">
            <v>Puente Alto</v>
          </cell>
          <cell r="N3225" t="str">
            <v>B</v>
          </cell>
        </row>
        <row r="3226">
          <cell r="B3226" t="str">
            <v>1309 / VFPP-11|</v>
          </cell>
          <cell r="C3226" t="str">
            <v>MDN35025010191</v>
          </cell>
          <cell r="D3226" t="str">
            <v>LDYECS316S0044056</v>
          </cell>
          <cell r="E3226" t="str">
            <v>Zhong Tong</v>
          </cell>
          <cell r="F3226" t="str">
            <v>Lck6122evg</v>
          </cell>
          <cell r="G3226" t="str">
            <v>ZHONGTONG</v>
          </cell>
          <cell r="H3226" t="str">
            <v>LCK6122EVG</v>
          </cell>
          <cell r="I3226">
            <v>2025</v>
          </cell>
          <cell r="J3226" t="str">
            <v>B</v>
          </cell>
          <cell r="K3226" t="str">
            <v>PIE ANDINO</v>
          </cell>
          <cell r="L3226" t="str">
            <v>Pie Andino 31 (Pie Andino 383)</v>
          </cell>
          <cell r="M3226" t="str">
            <v>Puente Alto</v>
          </cell>
          <cell r="N3226" t="str">
            <v>B</v>
          </cell>
        </row>
        <row r="3227">
          <cell r="B3227" t="str">
            <v>1310 / VFPS-39|</v>
          </cell>
          <cell r="C3227" t="str">
            <v>MDN35025010217</v>
          </cell>
          <cell r="D3227" t="str">
            <v>LDYECS319S0044083</v>
          </cell>
          <cell r="E3227" t="str">
            <v>Zhong Tong</v>
          </cell>
          <cell r="F3227" t="str">
            <v>Lck6122evg</v>
          </cell>
          <cell r="G3227" t="str">
            <v>ZHONGTONG</v>
          </cell>
          <cell r="H3227" t="str">
            <v>LCK6122EVG</v>
          </cell>
          <cell r="I3227">
            <v>2025</v>
          </cell>
          <cell r="J3227" t="str">
            <v>B</v>
          </cell>
          <cell r="K3227" t="str">
            <v>CERRILLOS</v>
          </cell>
          <cell r="L3227" t="str">
            <v>Calle Uno 7371</v>
          </cell>
          <cell r="M3227" t="str">
            <v>Cerrillos</v>
          </cell>
          <cell r="N3227" t="str">
            <v>B</v>
          </cell>
        </row>
        <row r="3228">
          <cell r="B3228" t="str">
            <v>1311 / VFPS-47|</v>
          </cell>
          <cell r="C3228" t="str">
            <v>MDN35025020132</v>
          </cell>
          <cell r="D3228" t="str">
            <v>LDYECS318S0044057</v>
          </cell>
          <cell r="E3228" t="str">
            <v>Zhong Tong</v>
          </cell>
          <cell r="F3228" t="str">
            <v>Lck6122evg</v>
          </cell>
          <cell r="G3228" t="str">
            <v>ZHONGTONG</v>
          </cell>
          <cell r="H3228" t="str">
            <v>LCK6122EVG</v>
          </cell>
          <cell r="I3228">
            <v>2025</v>
          </cell>
          <cell r="J3228" t="str">
            <v>B</v>
          </cell>
          <cell r="K3228" t="str">
            <v>CERRILLOS</v>
          </cell>
          <cell r="L3228" t="str">
            <v>Calle Uno 7371</v>
          </cell>
          <cell r="M3228" t="str">
            <v>Cerrillos</v>
          </cell>
          <cell r="N3228" t="str">
            <v>B</v>
          </cell>
        </row>
        <row r="3229">
          <cell r="B3229" t="str">
            <v>1312 / VFPS-48|</v>
          </cell>
          <cell r="C3229" t="str">
            <v>MDN35025020073</v>
          </cell>
          <cell r="D3229" t="str">
            <v>LDYECS315S0044050</v>
          </cell>
          <cell r="E3229" t="str">
            <v>Zhong Tong</v>
          </cell>
          <cell r="F3229" t="str">
            <v>Lck6122evg</v>
          </cell>
          <cell r="G3229" t="str">
            <v>ZHONGTONG</v>
          </cell>
          <cell r="H3229" t="str">
            <v>LCK6122EVG</v>
          </cell>
          <cell r="I3229">
            <v>2025</v>
          </cell>
          <cell r="J3229" t="str">
            <v>B</v>
          </cell>
          <cell r="K3229" t="str">
            <v>PIE ANDINO</v>
          </cell>
          <cell r="L3229" t="str">
            <v>Pie Andino 31 (Pie Andino 383)</v>
          </cell>
          <cell r="M3229" t="str">
            <v>Puente Alto</v>
          </cell>
          <cell r="N3229" t="str">
            <v>B</v>
          </cell>
        </row>
        <row r="3230">
          <cell r="B3230" t="str">
            <v>1313 / VFPS-56|</v>
          </cell>
          <cell r="C3230" t="str">
            <v>MDN35025010190</v>
          </cell>
          <cell r="D3230" t="str">
            <v>LDYECS310S0044084</v>
          </cell>
          <cell r="E3230" t="str">
            <v>Zhong Tong</v>
          </cell>
          <cell r="F3230" t="str">
            <v>Lck6122evg</v>
          </cell>
          <cell r="G3230" t="str">
            <v>ZHONGTONG</v>
          </cell>
          <cell r="H3230" t="str">
            <v>LCK6122EVG</v>
          </cell>
          <cell r="I3230">
            <v>2025</v>
          </cell>
          <cell r="J3230" t="str">
            <v>B</v>
          </cell>
          <cell r="K3230" t="str">
            <v>PIE ANDINO</v>
          </cell>
          <cell r="L3230" t="str">
            <v>Pie Andino 31 (Pie Andino 383)</v>
          </cell>
          <cell r="M3230" t="str">
            <v>Puente Alto</v>
          </cell>
          <cell r="N3230" t="str">
            <v>B</v>
          </cell>
        </row>
        <row r="3231">
          <cell r="B3231" t="str">
            <v>1314 / VFPS-65|</v>
          </cell>
          <cell r="C3231" t="str">
            <v>MDN35025020029</v>
          </cell>
          <cell r="D3231" t="str">
            <v>LDYECS311S0044045</v>
          </cell>
          <cell r="E3231" t="str">
            <v>Zhong Tong</v>
          </cell>
          <cell r="F3231" t="str">
            <v>Lck6122evg</v>
          </cell>
          <cell r="G3231" t="str">
            <v>ZHONGTONG</v>
          </cell>
          <cell r="H3231" t="str">
            <v>LCK6122EVG</v>
          </cell>
          <cell r="I3231">
            <v>2025</v>
          </cell>
          <cell r="J3231" t="str">
            <v>B</v>
          </cell>
          <cell r="K3231" t="str">
            <v>CERRILLOS</v>
          </cell>
          <cell r="L3231" t="str">
            <v>Calle Uno 7371</v>
          </cell>
          <cell r="M3231" t="str">
            <v>Cerrillos</v>
          </cell>
          <cell r="N3231" t="str">
            <v>B</v>
          </cell>
        </row>
        <row r="3232">
          <cell r="B3232" t="str">
            <v>1315 / VFPS-69|</v>
          </cell>
          <cell r="C3232" t="str">
            <v>MDN35025010198</v>
          </cell>
          <cell r="D3232" t="str">
            <v>LDYECS314S0044038</v>
          </cell>
          <cell r="E3232" t="str">
            <v>Zhong Tong</v>
          </cell>
          <cell r="F3232" t="str">
            <v>Lck6122evg</v>
          </cell>
          <cell r="G3232" t="str">
            <v>ZHONGTONG</v>
          </cell>
          <cell r="H3232" t="str">
            <v>LCK6122EVG</v>
          </cell>
          <cell r="I3232">
            <v>2025</v>
          </cell>
          <cell r="J3232" t="str">
            <v>B</v>
          </cell>
          <cell r="K3232" t="str">
            <v>CERRILLOS</v>
          </cell>
          <cell r="L3232" t="str">
            <v>Calle Uno 7371</v>
          </cell>
          <cell r="M3232" t="str">
            <v>Cerrillos</v>
          </cell>
          <cell r="N3232" t="str">
            <v>B</v>
          </cell>
        </row>
        <row r="3233">
          <cell r="B3233" t="str">
            <v>1316 / VFPS-74|</v>
          </cell>
          <cell r="C3233" t="str">
            <v>MDN35025020050</v>
          </cell>
          <cell r="D3233" t="str">
            <v>LDYECS311S0044028</v>
          </cell>
          <cell r="E3233" t="str">
            <v>Zhong Tong</v>
          </cell>
          <cell r="F3233" t="str">
            <v>Lck6122evg</v>
          </cell>
          <cell r="G3233" t="str">
            <v>ZHONGTONG</v>
          </cell>
          <cell r="H3233" t="str">
            <v>LCK6122EVG</v>
          </cell>
          <cell r="I3233">
            <v>2025</v>
          </cell>
          <cell r="J3233" t="str">
            <v>B</v>
          </cell>
          <cell r="K3233" t="str">
            <v>PIE ANDINO</v>
          </cell>
          <cell r="L3233" t="str">
            <v>Pie Andino 31 (Pie Andino 383)</v>
          </cell>
          <cell r="M3233" t="str">
            <v>Puente Alto</v>
          </cell>
          <cell r="N3233" t="str">
            <v>B</v>
          </cell>
        </row>
        <row r="3234">
          <cell r="B3234" t="str">
            <v>1317 / VFPS-78|</v>
          </cell>
          <cell r="C3234" t="str">
            <v>MDN35025020099</v>
          </cell>
          <cell r="D3234" t="str">
            <v>LDYECS311S0044031</v>
          </cell>
          <cell r="E3234" t="str">
            <v>Zhong Tong</v>
          </cell>
          <cell r="F3234" t="str">
            <v>Lck6122evg</v>
          </cell>
          <cell r="G3234" t="str">
            <v>ZHONGTONG</v>
          </cell>
          <cell r="H3234" t="str">
            <v>LCK6122EVG</v>
          </cell>
          <cell r="I3234">
            <v>2025</v>
          </cell>
          <cell r="J3234" t="str">
            <v>B</v>
          </cell>
          <cell r="K3234" t="str">
            <v>PIE ANDINO</v>
          </cell>
          <cell r="L3234" t="str">
            <v>Pie Andino 31 (Pie Andino 383)</v>
          </cell>
          <cell r="M3234" t="str">
            <v>Puente Alto</v>
          </cell>
          <cell r="N3234" t="str">
            <v>B</v>
          </cell>
        </row>
        <row r="3235">
          <cell r="B3235" t="str">
            <v>1318 / VFPS-85|</v>
          </cell>
          <cell r="C3235" t="str">
            <v>MDN35025010246</v>
          </cell>
          <cell r="D3235" t="str">
            <v>LDYECS314S0044055</v>
          </cell>
          <cell r="E3235" t="str">
            <v>Zhong Tong</v>
          </cell>
          <cell r="F3235" t="str">
            <v>Lck6122evg</v>
          </cell>
          <cell r="G3235" t="str">
            <v>ZHONGTONG</v>
          </cell>
          <cell r="H3235" t="str">
            <v>LCK6122EVG</v>
          </cell>
          <cell r="I3235">
            <v>2025</v>
          </cell>
          <cell r="J3235" t="str">
            <v>B</v>
          </cell>
          <cell r="K3235" t="str">
            <v>PIE ANDINO</v>
          </cell>
          <cell r="L3235" t="str">
            <v>Pie Andino 31 (Pie Andino 383)</v>
          </cell>
          <cell r="M3235" t="str">
            <v>Puente Alto</v>
          </cell>
          <cell r="N3235" t="str">
            <v>B</v>
          </cell>
        </row>
        <row r="3236">
          <cell r="B3236" t="str">
            <v>1319 / VFPS-86|</v>
          </cell>
          <cell r="C3236" t="str">
            <v>MDN35025020047</v>
          </cell>
          <cell r="D3236" t="str">
            <v>LDYECS310S0044036</v>
          </cell>
          <cell r="E3236" t="str">
            <v>Zhong Tong</v>
          </cell>
          <cell r="F3236" t="str">
            <v>Lck6122evg</v>
          </cell>
          <cell r="G3236" t="str">
            <v>ZHONGTONG</v>
          </cell>
          <cell r="H3236" t="str">
            <v>LCK6122EVG</v>
          </cell>
          <cell r="I3236">
            <v>2025</v>
          </cell>
          <cell r="J3236" t="str">
            <v>B</v>
          </cell>
          <cell r="K3236" t="str">
            <v>PIE ANDINO</v>
          </cell>
          <cell r="L3236" t="str">
            <v>Pie Andino 31 (Pie Andino 383)</v>
          </cell>
          <cell r="M3236" t="str">
            <v>Puente Alto</v>
          </cell>
          <cell r="N3236" t="str">
            <v>B</v>
          </cell>
        </row>
        <row r="3237">
          <cell r="B3237" t="str">
            <v>1320 / VFPS-87|</v>
          </cell>
          <cell r="C3237" t="str">
            <v>MDN35025020114</v>
          </cell>
          <cell r="D3237" t="str">
            <v>LDYECS315S0044033</v>
          </cell>
          <cell r="E3237" t="str">
            <v>Zhong Tong</v>
          </cell>
          <cell r="F3237" t="str">
            <v>Lck6122evg</v>
          </cell>
          <cell r="G3237" t="str">
            <v>ZHONGTONG</v>
          </cell>
          <cell r="H3237" t="str">
            <v>LCK6122EVG</v>
          </cell>
          <cell r="I3237">
            <v>2025</v>
          </cell>
          <cell r="J3237" t="str">
            <v>B</v>
          </cell>
          <cell r="K3237" t="str">
            <v>CERRILLOS</v>
          </cell>
          <cell r="L3237" t="str">
            <v>Calle Uno 7371</v>
          </cell>
          <cell r="M3237" t="str">
            <v>Cerrillos</v>
          </cell>
          <cell r="N3237" t="str">
            <v>B</v>
          </cell>
        </row>
        <row r="3238">
          <cell r="B3238" t="str">
            <v>1321 / VFPS-89|</v>
          </cell>
          <cell r="C3238" t="str">
            <v>MDN35025020031</v>
          </cell>
          <cell r="D3238" t="str">
            <v>LDYECS319S0044049</v>
          </cell>
          <cell r="E3238" t="str">
            <v>Zhong Tong</v>
          </cell>
          <cell r="F3238" t="str">
            <v>Lck6122evg</v>
          </cell>
          <cell r="G3238" t="str">
            <v>ZHONGTONG</v>
          </cell>
          <cell r="H3238" t="str">
            <v>LCK6122EVG</v>
          </cell>
          <cell r="I3238">
            <v>2025</v>
          </cell>
          <cell r="J3238" t="str">
            <v>B</v>
          </cell>
          <cell r="K3238" t="str">
            <v>PIE ANDINO</v>
          </cell>
          <cell r="L3238" t="str">
            <v>Pie Andino 31 (Pie Andino 383)</v>
          </cell>
          <cell r="M3238" t="str">
            <v>Puente Alto</v>
          </cell>
          <cell r="N3238" t="str">
            <v>B</v>
          </cell>
        </row>
        <row r="3239">
          <cell r="B3239" t="str">
            <v>1322 / VFPS-94|</v>
          </cell>
          <cell r="C3239" t="str">
            <v>MDN35025020072</v>
          </cell>
          <cell r="D3239" t="str">
            <v>LDYECS317S0044051</v>
          </cell>
          <cell r="E3239" t="str">
            <v>Zhong Tong</v>
          </cell>
          <cell r="F3239" t="str">
            <v>Lck6122evg</v>
          </cell>
          <cell r="G3239" t="str">
            <v>ZHONGTONG</v>
          </cell>
          <cell r="H3239" t="str">
            <v>LCK6122EVG</v>
          </cell>
          <cell r="I3239">
            <v>2025</v>
          </cell>
          <cell r="J3239" t="str">
            <v>B</v>
          </cell>
          <cell r="K3239" t="str">
            <v>PIE ANDINO</v>
          </cell>
          <cell r="L3239" t="str">
            <v>Pie Andino 31 (Pie Andino 383)</v>
          </cell>
          <cell r="M3239" t="str">
            <v>Puente Alto</v>
          </cell>
          <cell r="N3239" t="str">
            <v>B</v>
          </cell>
        </row>
        <row r="3240">
          <cell r="B3240" t="str">
            <v>1323 / VFPS-99|</v>
          </cell>
          <cell r="C3240" t="str">
            <v>MDN35025020042</v>
          </cell>
          <cell r="D3240" t="str">
            <v>LDYECS315S0044078</v>
          </cell>
          <cell r="E3240" t="str">
            <v>Zhong Tong</v>
          </cell>
          <cell r="F3240" t="str">
            <v>Lck6122evg</v>
          </cell>
          <cell r="G3240" t="str">
            <v>ZHONGTONG</v>
          </cell>
          <cell r="H3240" t="str">
            <v>LCK6122EVG</v>
          </cell>
          <cell r="I3240">
            <v>2025</v>
          </cell>
          <cell r="J3240" t="str">
            <v>B</v>
          </cell>
          <cell r="K3240" t="str">
            <v>PIE ANDINO</v>
          </cell>
          <cell r="L3240" t="str">
            <v>Pie Andino 31 (Pie Andino 383)</v>
          </cell>
          <cell r="M3240" t="str">
            <v>Puente Alto</v>
          </cell>
          <cell r="N3240" t="str">
            <v>B</v>
          </cell>
        </row>
        <row r="3241">
          <cell r="B3241" t="str">
            <v>1324 / VFPT-23|</v>
          </cell>
          <cell r="C3241" t="str">
            <v>MDN35025020105</v>
          </cell>
          <cell r="D3241" t="str">
            <v>LDYECS312S0044040</v>
          </cell>
          <cell r="E3241" t="str">
            <v>Zhong Tong</v>
          </cell>
          <cell r="F3241" t="str">
            <v>Lck6122evg</v>
          </cell>
          <cell r="G3241" t="str">
            <v>ZHONGTONG</v>
          </cell>
          <cell r="H3241" t="str">
            <v>LCK6122EVG</v>
          </cell>
          <cell r="I3241">
            <v>2025</v>
          </cell>
          <cell r="J3241" t="str">
            <v>B</v>
          </cell>
          <cell r="K3241" t="str">
            <v>SAN ALFONSO</v>
          </cell>
          <cell r="L3241" t="str">
            <v>San Alfonso 2141 (Ramón Subercaseaux 3060)</v>
          </cell>
          <cell r="M3241" t="str">
            <v>Estacion Central</v>
          </cell>
          <cell r="N3241" t="str">
            <v>B</v>
          </cell>
        </row>
        <row r="3242">
          <cell r="B3242" t="str">
            <v>1325 / VFPT-27|</v>
          </cell>
          <cell r="C3242" t="str">
            <v>MDN35025020129</v>
          </cell>
          <cell r="D3242" t="str">
            <v>LDYECS319S0044035</v>
          </cell>
          <cell r="E3242" t="str">
            <v>Zhong Tong</v>
          </cell>
          <cell r="F3242" t="str">
            <v>Lck6122evg</v>
          </cell>
          <cell r="G3242" t="str">
            <v>ZHONGTONG</v>
          </cell>
          <cell r="H3242" t="str">
            <v>LCK6122EVG</v>
          </cell>
          <cell r="I3242">
            <v>2025</v>
          </cell>
          <cell r="J3242" t="str">
            <v>B</v>
          </cell>
          <cell r="K3242" t="str">
            <v>SAN ALFONSO</v>
          </cell>
          <cell r="L3242" t="str">
            <v>San Alfonso 2141 (Ramón Subercaseaux 3060)</v>
          </cell>
          <cell r="M3242" t="str">
            <v>Estacion Central</v>
          </cell>
          <cell r="N3242" t="str">
            <v>B</v>
          </cell>
        </row>
        <row r="3243">
          <cell r="B3243" t="str">
            <v>1326 / VFPT-47|</v>
          </cell>
          <cell r="C3243" t="str">
            <v>MDN35025020107</v>
          </cell>
          <cell r="D3243" t="str">
            <v>LDYECS313S0044063</v>
          </cell>
          <cell r="E3243" t="str">
            <v>Zhong Tong</v>
          </cell>
          <cell r="F3243" t="str">
            <v>Lck6122evg</v>
          </cell>
          <cell r="G3243" t="str">
            <v>ZHONGTONG</v>
          </cell>
          <cell r="H3243" t="str">
            <v>LCK6122EVG</v>
          </cell>
          <cell r="I3243">
            <v>2025</v>
          </cell>
          <cell r="J3243" t="str">
            <v>B</v>
          </cell>
          <cell r="K3243" t="str">
            <v>PIE ANDINO</v>
          </cell>
          <cell r="L3243" t="str">
            <v>Pie Andino 31 (Pie Andino 383)</v>
          </cell>
          <cell r="M3243" t="str">
            <v>Puente Alto</v>
          </cell>
          <cell r="N3243" t="str">
            <v>B</v>
          </cell>
        </row>
        <row r="3244">
          <cell r="B3244" t="str">
            <v>1327 / VFPT-63|</v>
          </cell>
          <cell r="C3244" t="str">
            <v>MDN35025010243</v>
          </cell>
          <cell r="D3244" t="str">
            <v>LDYECS310S0044053</v>
          </cell>
          <cell r="E3244" t="str">
            <v>Zhong Tong</v>
          </cell>
          <cell r="F3244" t="str">
            <v>Lck6122evg</v>
          </cell>
          <cell r="G3244" t="str">
            <v>ZHONGTONG</v>
          </cell>
          <cell r="H3244" t="str">
            <v>LCK6122EVG</v>
          </cell>
          <cell r="I3244">
            <v>2025</v>
          </cell>
          <cell r="J3244" t="str">
            <v>B</v>
          </cell>
          <cell r="K3244" t="str">
            <v>PIE ANDINO</v>
          </cell>
          <cell r="L3244" t="str">
            <v>Pie Andino 31 (Pie Andino 383)</v>
          </cell>
          <cell r="M3244" t="str">
            <v>Puente Alto</v>
          </cell>
          <cell r="N3244" t="str">
            <v>B</v>
          </cell>
        </row>
        <row r="3245">
          <cell r="B3245" t="str">
            <v>1328 / VFPT-64|</v>
          </cell>
          <cell r="C3245" t="str">
            <v>MDN35025020034</v>
          </cell>
          <cell r="D3245" t="str">
            <v>LDYECS315S0044064</v>
          </cell>
          <cell r="E3245" t="str">
            <v>Zhong Tong</v>
          </cell>
          <cell r="F3245" t="str">
            <v>Lck6122evg</v>
          </cell>
          <cell r="G3245" t="str">
            <v>ZHONGTONG</v>
          </cell>
          <cell r="H3245" t="str">
            <v>LCK6122EVG</v>
          </cell>
          <cell r="I3245">
            <v>2025</v>
          </cell>
          <cell r="J3245" t="str">
            <v>B</v>
          </cell>
          <cell r="K3245" t="str">
            <v>PIE ANDINO</v>
          </cell>
          <cell r="L3245" t="str">
            <v>Pie Andino 31 (Pie Andino 383)</v>
          </cell>
          <cell r="M3245" t="str">
            <v>Puente Alto</v>
          </cell>
          <cell r="N3245" t="str">
            <v>B</v>
          </cell>
        </row>
        <row r="3246">
          <cell r="B3246" t="str">
            <v>1329 / VFPT-65|</v>
          </cell>
          <cell r="C3246" t="str">
            <v>MDN35025010187</v>
          </cell>
          <cell r="D3246" t="str">
            <v>LDYECS318S0044043</v>
          </cell>
          <cell r="E3246" t="str">
            <v>Zhong Tong</v>
          </cell>
          <cell r="F3246" t="str">
            <v>Lck6122evg</v>
          </cell>
          <cell r="G3246" t="str">
            <v>ZHONGTONG</v>
          </cell>
          <cell r="H3246" t="str">
            <v>LCK6122EVG</v>
          </cell>
          <cell r="I3246">
            <v>2025</v>
          </cell>
          <cell r="J3246" t="str">
            <v>B</v>
          </cell>
          <cell r="K3246" t="str">
            <v>PIE ANDINO</v>
          </cell>
          <cell r="L3246" t="str">
            <v>Pie Andino 31 (Pie Andino 383)</v>
          </cell>
          <cell r="M3246" t="str">
            <v>Puente Alto</v>
          </cell>
          <cell r="N3246" t="str">
            <v>B</v>
          </cell>
        </row>
        <row r="3247">
          <cell r="B3247" t="str">
            <v>1330 / VFPV-53|</v>
          </cell>
          <cell r="C3247" t="str">
            <v>MDN35025010199</v>
          </cell>
          <cell r="D3247" t="str">
            <v>LDYECS316S0044042</v>
          </cell>
          <cell r="E3247" t="str">
            <v>Zhong Tong</v>
          </cell>
          <cell r="F3247" t="str">
            <v>Lck6122evg</v>
          </cell>
          <cell r="G3247" t="str">
            <v>ZHONGTONG</v>
          </cell>
          <cell r="H3247" t="str">
            <v>LCK6122EVG</v>
          </cell>
          <cell r="I3247">
            <v>2025</v>
          </cell>
          <cell r="J3247" t="str">
            <v>B</v>
          </cell>
          <cell r="K3247" t="str">
            <v>PIE ANDINO</v>
          </cell>
          <cell r="L3247" t="str">
            <v>Pie Andino 31 (Pie Andino 383)</v>
          </cell>
          <cell r="M3247" t="str">
            <v>Puente Alto</v>
          </cell>
          <cell r="N3247" t="str">
            <v>B</v>
          </cell>
        </row>
        <row r="3248">
          <cell r="B3248" t="str">
            <v>1331 / VFPV-63|</v>
          </cell>
          <cell r="C3248" t="str">
            <v>MDN35025020089</v>
          </cell>
          <cell r="D3248" t="str">
            <v>LDYECS317S0044048</v>
          </cell>
          <cell r="E3248" t="str">
            <v>Zhong Tong</v>
          </cell>
          <cell r="F3248" t="str">
            <v>Lck6122evg</v>
          </cell>
          <cell r="G3248" t="str">
            <v>ZHONGTONG</v>
          </cell>
          <cell r="H3248" t="str">
            <v>LCK6122EVG</v>
          </cell>
          <cell r="I3248">
            <v>2025</v>
          </cell>
          <cell r="J3248" t="str">
            <v>B</v>
          </cell>
          <cell r="K3248" t="str">
            <v>SAN ALFONSO</v>
          </cell>
          <cell r="L3248" t="str">
            <v>San Alfonso 2141 (Ramón Subercaseaux 3060)</v>
          </cell>
          <cell r="M3248" t="str">
            <v>Estacion Central</v>
          </cell>
          <cell r="N3248" t="str">
            <v>B</v>
          </cell>
        </row>
        <row r="3249">
          <cell r="B3249" t="str">
            <v>1332 / VFPV-73|</v>
          </cell>
          <cell r="C3249" t="str">
            <v>MDN35025020078</v>
          </cell>
          <cell r="D3249" t="str">
            <v>LDYECS311S0044062</v>
          </cell>
          <cell r="E3249" t="str">
            <v>Zhong Tong</v>
          </cell>
          <cell r="F3249" t="str">
            <v>Lck6122evg</v>
          </cell>
          <cell r="G3249" t="str">
            <v>ZHONGTONG</v>
          </cell>
          <cell r="H3249" t="str">
            <v>LCK6122EVG</v>
          </cell>
          <cell r="I3249">
            <v>2025</v>
          </cell>
          <cell r="J3249" t="str">
            <v>B</v>
          </cell>
          <cell r="K3249" t="str">
            <v>SAN ALFONSO</v>
          </cell>
          <cell r="L3249" t="str">
            <v>San Alfonso 2141 (Ramón Subercaseaux 3060)</v>
          </cell>
          <cell r="M3249" t="str">
            <v>Estacion Central</v>
          </cell>
          <cell r="N3249" t="str">
            <v>B</v>
          </cell>
        </row>
        <row r="3250">
          <cell r="B3250" t="str">
            <v>1333 / VFPV-83|</v>
          </cell>
          <cell r="C3250" t="str">
            <v>MDN35025020036</v>
          </cell>
          <cell r="D3250" t="str">
            <v>LDYECS319S0044066</v>
          </cell>
          <cell r="E3250" t="str">
            <v>Zhong Tong</v>
          </cell>
          <cell r="F3250" t="str">
            <v>Lck6122evg</v>
          </cell>
          <cell r="G3250" t="str">
            <v>ZHONGTONG</v>
          </cell>
          <cell r="H3250" t="str">
            <v>LCK6122EVG</v>
          </cell>
          <cell r="I3250">
            <v>2025</v>
          </cell>
          <cell r="J3250" t="str">
            <v>B</v>
          </cell>
          <cell r="K3250" t="str">
            <v>PIE ANDINO</v>
          </cell>
          <cell r="L3250" t="str">
            <v>Pie Andino 31 (Pie Andino 383)</v>
          </cell>
          <cell r="M3250" t="str">
            <v>Puente Alto</v>
          </cell>
          <cell r="N3250" t="str">
            <v>B</v>
          </cell>
        </row>
        <row r="3251">
          <cell r="B3251" t="str">
            <v>1334 / VFPV-93|</v>
          </cell>
          <cell r="C3251" t="str">
            <v>MDN35025020126</v>
          </cell>
          <cell r="D3251" t="str">
            <v>LDYECS318S0044074</v>
          </cell>
          <cell r="E3251" t="str">
            <v>Zhong Tong</v>
          </cell>
          <cell r="F3251" t="str">
            <v>Lck6122evg</v>
          </cell>
          <cell r="G3251" t="str">
            <v>ZHONGTONG</v>
          </cell>
          <cell r="H3251" t="str">
            <v>LCK6122EVG</v>
          </cell>
          <cell r="I3251">
            <v>2025</v>
          </cell>
          <cell r="J3251" t="str">
            <v>B</v>
          </cell>
          <cell r="K3251" t="str">
            <v>PIE ANDINO</v>
          </cell>
          <cell r="L3251" t="str">
            <v>Pie Andino 31 (Pie Andino 383)</v>
          </cell>
          <cell r="M3251" t="str">
            <v>Puente Alto</v>
          </cell>
          <cell r="N3251" t="str">
            <v>B</v>
          </cell>
        </row>
        <row r="3252">
          <cell r="B3252" t="str">
            <v>1335 / VFPW-13|</v>
          </cell>
          <cell r="C3252" t="str">
            <v>MDN35025010041</v>
          </cell>
          <cell r="D3252" t="str">
            <v>LDYECS315S0043819</v>
          </cell>
          <cell r="E3252" t="str">
            <v>Zhong Tong</v>
          </cell>
          <cell r="F3252" t="str">
            <v>Lck6122evg</v>
          </cell>
          <cell r="G3252" t="str">
            <v>ZHONGTONG</v>
          </cell>
          <cell r="H3252" t="str">
            <v>LCK6122EVG</v>
          </cell>
          <cell r="I3252">
            <v>2025</v>
          </cell>
          <cell r="J3252" t="str">
            <v>B</v>
          </cell>
          <cell r="K3252" t="str">
            <v>SAN ALFONSO</v>
          </cell>
          <cell r="L3252" t="str">
            <v>San Alfonso 2141 (Ramón Subercaseaux 3060)</v>
          </cell>
          <cell r="M3252" t="str">
            <v>Estacion Central</v>
          </cell>
          <cell r="N3252" t="str">
            <v>B</v>
          </cell>
        </row>
        <row r="3253">
          <cell r="B3253" t="str">
            <v>1336 / VFPW-23|</v>
          </cell>
          <cell r="C3253" t="str">
            <v>MDN35025020021</v>
          </cell>
          <cell r="D3253" t="str">
            <v>LDYECS316S0044106</v>
          </cell>
          <cell r="E3253" t="str">
            <v>Zhong Tong</v>
          </cell>
          <cell r="F3253" t="str">
            <v>Lck6122evg</v>
          </cell>
          <cell r="G3253" t="str">
            <v>ZHONGTONG</v>
          </cell>
          <cell r="H3253" t="str">
            <v>LCK6122EVG</v>
          </cell>
          <cell r="I3253">
            <v>2025</v>
          </cell>
          <cell r="J3253" t="str">
            <v>B</v>
          </cell>
          <cell r="K3253" t="str">
            <v>SAN ALFONSO</v>
          </cell>
          <cell r="L3253" t="str">
            <v>San Alfonso 2141 (Ramón Subercaseaux 3060)</v>
          </cell>
          <cell r="M3253" t="str">
            <v>Estacion Central</v>
          </cell>
          <cell r="N3253" t="str">
            <v>B</v>
          </cell>
        </row>
        <row r="3254">
          <cell r="B3254" t="str">
            <v>1337 / VFPW-33|</v>
          </cell>
          <cell r="C3254" t="str">
            <v>MDN35025020102</v>
          </cell>
          <cell r="D3254" t="str">
            <v>LDYECS31XS0044044</v>
          </cell>
          <cell r="E3254" t="str">
            <v>Zhong Tong</v>
          </cell>
          <cell r="F3254" t="str">
            <v>Lck6122evg</v>
          </cell>
          <cell r="G3254" t="str">
            <v>ZHONGTONG</v>
          </cell>
          <cell r="H3254" t="str">
            <v>LCK6122EVG</v>
          </cell>
          <cell r="I3254">
            <v>2025</v>
          </cell>
          <cell r="J3254" t="str">
            <v>B</v>
          </cell>
          <cell r="K3254" t="str">
            <v>SAN ALFONSO</v>
          </cell>
          <cell r="L3254" t="str">
            <v>San Alfonso 2141 (Ramón Subercaseaux 3060)</v>
          </cell>
          <cell r="M3254" t="str">
            <v>Estacion Central</v>
          </cell>
          <cell r="N3254" t="str">
            <v>B</v>
          </cell>
        </row>
        <row r="3255">
          <cell r="B3255" t="str">
            <v>1338 / VFPW-63|</v>
          </cell>
          <cell r="C3255" t="str">
            <v>MDN35025020003</v>
          </cell>
          <cell r="D3255" t="str">
            <v>LDYECS314S0044069</v>
          </cell>
          <cell r="E3255" t="str">
            <v>Zhong Tong</v>
          </cell>
          <cell r="F3255" t="str">
            <v>Lck6122evg</v>
          </cell>
          <cell r="G3255" t="str">
            <v>ZHONGTONG</v>
          </cell>
          <cell r="H3255" t="str">
            <v>LCK6122EVG</v>
          </cell>
          <cell r="I3255">
            <v>2025</v>
          </cell>
          <cell r="J3255" t="str">
            <v>B</v>
          </cell>
          <cell r="K3255" t="str">
            <v>PIE ANDINO</v>
          </cell>
          <cell r="L3255" t="str">
            <v>Pie Andino 31 (Pie Andino 383)</v>
          </cell>
          <cell r="M3255" t="str">
            <v>Puente Alto</v>
          </cell>
          <cell r="N3255" t="str">
            <v>B</v>
          </cell>
        </row>
        <row r="3256">
          <cell r="B3256" t="str">
            <v>1339 / VFPW-73|</v>
          </cell>
          <cell r="C3256" t="str">
            <v>MDN35025020091</v>
          </cell>
          <cell r="D3256" t="str">
            <v>LDYECS313S0044046</v>
          </cell>
          <cell r="E3256" t="str">
            <v>Zhong Tong</v>
          </cell>
          <cell r="F3256" t="str">
            <v>Lck6122evg</v>
          </cell>
          <cell r="G3256" t="str">
            <v>ZHONGTONG</v>
          </cell>
          <cell r="H3256" t="str">
            <v>LCK6122EVG</v>
          </cell>
          <cell r="I3256">
            <v>2025</v>
          </cell>
          <cell r="J3256" t="str">
            <v>B</v>
          </cell>
          <cell r="K3256" t="str">
            <v>SAN ALFONSO</v>
          </cell>
          <cell r="L3256" t="str">
            <v>San Alfonso 2141 (Ramón Subercaseaux 3060)</v>
          </cell>
          <cell r="M3256" t="str">
            <v>Estacion Central</v>
          </cell>
          <cell r="N3256" t="str">
            <v>B</v>
          </cell>
        </row>
        <row r="3257">
          <cell r="B3257" t="str">
            <v>1340 / VFPX-13|</v>
          </cell>
          <cell r="C3257" t="str">
            <v>MDN35025020039</v>
          </cell>
          <cell r="D3257" t="str">
            <v>LDYECS312S0044071</v>
          </cell>
          <cell r="E3257" t="str">
            <v>Zhong Tong</v>
          </cell>
          <cell r="F3257" t="str">
            <v>Lck6122evg</v>
          </cell>
          <cell r="G3257" t="str">
            <v>ZHONGTONG</v>
          </cell>
          <cell r="H3257" t="str">
            <v>LCK6122EVG</v>
          </cell>
          <cell r="I3257">
            <v>2025</v>
          </cell>
          <cell r="J3257" t="str">
            <v>B</v>
          </cell>
          <cell r="K3257" t="str">
            <v>SAN ALFONSO</v>
          </cell>
          <cell r="L3257" t="str">
            <v>San Alfonso 2141 (Ramón Subercaseaux 3060)</v>
          </cell>
          <cell r="M3257" t="str">
            <v>Estacion Central</v>
          </cell>
          <cell r="N3257" t="str">
            <v>B</v>
          </cell>
        </row>
        <row r="3258">
          <cell r="B3258" t="str">
            <v>1341 / VFPX-33|</v>
          </cell>
          <cell r="C3258" t="str">
            <v>MDN35025020085</v>
          </cell>
          <cell r="D3258" t="str">
            <v>LDYECS311S0044076</v>
          </cell>
          <cell r="E3258" t="str">
            <v>Zhong Tong</v>
          </cell>
          <cell r="F3258" t="str">
            <v>Lck6122evg</v>
          </cell>
          <cell r="G3258" t="str">
            <v>ZHONGTONG</v>
          </cell>
          <cell r="H3258" t="str">
            <v>LCK6122EVG</v>
          </cell>
          <cell r="I3258">
            <v>2025</v>
          </cell>
          <cell r="J3258" t="str">
            <v>B</v>
          </cell>
          <cell r="K3258" t="str">
            <v>SAN ALFONSO</v>
          </cell>
          <cell r="L3258" t="str">
            <v>San Alfonso 2141 (Ramón Subercaseaux 3060)</v>
          </cell>
          <cell r="M3258" t="str">
            <v>Estacion Central</v>
          </cell>
          <cell r="N3258" t="str">
            <v>B</v>
          </cell>
        </row>
        <row r="3259">
          <cell r="B3259" t="str">
            <v>1342 / VFPX-53|</v>
          </cell>
          <cell r="C3259" t="str">
            <v>MDN35025010194</v>
          </cell>
          <cell r="D3259" t="str">
            <v>LDYECS311S0044059</v>
          </cell>
          <cell r="E3259" t="str">
            <v>Zhong Tong</v>
          </cell>
          <cell r="F3259" t="str">
            <v>Lck6122evg</v>
          </cell>
          <cell r="G3259" t="str">
            <v>ZHONGTONG</v>
          </cell>
          <cell r="H3259" t="str">
            <v>LCK6122EVG</v>
          </cell>
          <cell r="I3259">
            <v>2025</v>
          </cell>
          <cell r="J3259" t="str">
            <v>B</v>
          </cell>
          <cell r="K3259" t="str">
            <v>PIE ANDINO</v>
          </cell>
          <cell r="L3259" t="str">
            <v>Pie Andino 31 (Pie Andino 383)</v>
          </cell>
          <cell r="M3259" t="str">
            <v>Puente Alto</v>
          </cell>
          <cell r="N3259" t="str">
            <v>B</v>
          </cell>
        </row>
        <row r="3260">
          <cell r="B3260" t="str">
            <v>1343 / VFPX-63|</v>
          </cell>
          <cell r="C3260" t="str">
            <v>MDN35025010098</v>
          </cell>
          <cell r="D3260" t="str">
            <v>LDYECS31XS0044111</v>
          </cell>
          <cell r="E3260" t="str">
            <v>Zhong Tong</v>
          </cell>
          <cell r="F3260" t="str">
            <v>Lck6122evg</v>
          </cell>
          <cell r="G3260" t="str">
            <v>ZHONGTONG</v>
          </cell>
          <cell r="H3260" t="str">
            <v>LCK6122EVG</v>
          </cell>
          <cell r="I3260">
            <v>2025</v>
          </cell>
          <cell r="J3260" t="str">
            <v>B</v>
          </cell>
          <cell r="K3260" t="str">
            <v>PIE ANDINO</v>
          </cell>
          <cell r="L3260" t="str">
            <v>Pie Andino 31 (Pie Andino 383)</v>
          </cell>
          <cell r="M3260" t="str">
            <v>Puente Alto</v>
          </cell>
          <cell r="N3260" t="str">
            <v>B</v>
          </cell>
        </row>
        <row r="3261">
          <cell r="B3261" t="str">
            <v>1344 / VFPX-83|</v>
          </cell>
          <cell r="C3261" t="str">
            <v>MDN35025020037</v>
          </cell>
          <cell r="D3261" t="str">
            <v>LDYECS310S0044070</v>
          </cell>
          <cell r="E3261" t="str">
            <v>Zhong Tong</v>
          </cell>
          <cell r="F3261" t="str">
            <v>Lck6122evg</v>
          </cell>
          <cell r="G3261" t="str">
            <v>ZHONGTONG</v>
          </cell>
          <cell r="H3261" t="str">
            <v>LCK6122EVG</v>
          </cell>
          <cell r="I3261">
            <v>2025</v>
          </cell>
          <cell r="J3261" t="str">
            <v>B</v>
          </cell>
          <cell r="K3261" t="str">
            <v>PIE ANDINO</v>
          </cell>
          <cell r="L3261" t="str">
            <v>Pie Andino 31 (Pie Andino 383)</v>
          </cell>
          <cell r="M3261" t="str">
            <v>Puente Alto</v>
          </cell>
          <cell r="N3261" t="str">
            <v>B</v>
          </cell>
        </row>
        <row r="3262">
          <cell r="B3262" t="str">
            <v>1345 / VFPX-93|</v>
          </cell>
          <cell r="C3262" t="str">
            <v>MDN35025020023</v>
          </cell>
          <cell r="D3262" t="str">
            <v>LDYECS310S0044067</v>
          </cell>
          <cell r="E3262" t="str">
            <v>Zhong Tong</v>
          </cell>
          <cell r="F3262" t="str">
            <v>Lck6122evg</v>
          </cell>
          <cell r="G3262" t="str">
            <v>ZHONGTONG</v>
          </cell>
          <cell r="H3262" t="str">
            <v>LCK6122EVG</v>
          </cell>
          <cell r="I3262">
            <v>2025</v>
          </cell>
          <cell r="J3262" t="str">
            <v>B</v>
          </cell>
          <cell r="K3262" t="str">
            <v>PIE ANDINO</v>
          </cell>
          <cell r="L3262" t="str">
            <v>Pie Andino 31 (Pie Andino 383)</v>
          </cell>
          <cell r="M3262" t="str">
            <v>Puente Alto</v>
          </cell>
          <cell r="N3262" t="str">
            <v>B</v>
          </cell>
        </row>
        <row r="3263">
          <cell r="B3263" t="str">
            <v>1346 / VFPY-13|</v>
          </cell>
          <cell r="C3263" t="str">
            <v>MDN35025010218</v>
          </cell>
          <cell r="D3263" t="str">
            <v>LDYECS316S0044087</v>
          </cell>
          <cell r="E3263" t="str">
            <v>Zhong Tong</v>
          </cell>
          <cell r="F3263" t="str">
            <v>Lck6122evg</v>
          </cell>
          <cell r="G3263" t="str">
            <v>ZHONGTONG</v>
          </cell>
          <cell r="H3263" t="str">
            <v>LCK6122EVG</v>
          </cell>
          <cell r="I3263">
            <v>2025</v>
          </cell>
          <cell r="J3263" t="str">
            <v>B</v>
          </cell>
          <cell r="K3263" t="str">
            <v>SAN ALFONSO</v>
          </cell>
          <cell r="L3263" t="str">
            <v>San Alfonso 2141 (Ramón Subercaseaux 3060)</v>
          </cell>
          <cell r="M3263" t="str">
            <v>Estacion Central</v>
          </cell>
          <cell r="N3263" t="str">
            <v>B</v>
          </cell>
        </row>
        <row r="3264">
          <cell r="B3264" t="str">
            <v>1347 / VFPY-23|</v>
          </cell>
          <cell r="C3264" t="str">
            <v>MDN35025020098</v>
          </cell>
          <cell r="D3264" t="str">
            <v>LDYECS315S0044095</v>
          </cell>
          <cell r="E3264" t="str">
            <v>Zhong Tong</v>
          </cell>
          <cell r="F3264" t="str">
            <v>Lck6122evg</v>
          </cell>
          <cell r="G3264" t="str">
            <v>ZHONGTONG</v>
          </cell>
          <cell r="H3264" t="str">
            <v>LCK6122EVG</v>
          </cell>
          <cell r="I3264">
            <v>2025</v>
          </cell>
          <cell r="J3264" t="str">
            <v>B</v>
          </cell>
          <cell r="K3264" t="str">
            <v>PIE ANDINO</v>
          </cell>
          <cell r="L3264" t="str">
            <v>Pie Andino 31 (Pie Andino 383)</v>
          </cell>
          <cell r="M3264" t="str">
            <v>Puente Alto</v>
          </cell>
          <cell r="N3264" t="str">
            <v>B</v>
          </cell>
        </row>
        <row r="3265">
          <cell r="B3265" t="str">
            <v>1348 / VFPY-33|</v>
          </cell>
          <cell r="C3265" t="str">
            <v>MDN35025020038</v>
          </cell>
          <cell r="D3265" t="str">
            <v>LDYECS317S0044065</v>
          </cell>
          <cell r="E3265" t="str">
            <v>Zhong Tong</v>
          </cell>
          <cell r="F3265" t="str">
            <v>Lck6122evg</v>
          </cell>
          <cell r="G3265" t="str">
            <v>ZHONGTONG</v>
          </cell>
          <cell r="H3265" t="str">
            <v>LCK6122EVG</v>
          </cell>
          <cell r="I3265">
            <v>2025</v>
          </cell>
          <cell r="J3265" t="str">
            <v>B</v>
          </cell>
          <cell r="K3265" t="str">
            <v>PIE ANDINO</v>
          </cell>
          <cell r="L3265" t="str">
            <v>Pie Andino 31 (Pie Andino 383)</v>
          </cell>
          <cell r="M3265" t="str">
            <v>Puente Alto</v>
          </cell>
          <cell r="N3265" t="str">
            <v>B</v>
          </cell>
        </row>
        <row r="3266">
          <cell r="B3266" t="str">
            <v>1349 / VFPY-43|</v>
          </cell>
          <cell r="C3266" t="str">
            <v>MDN35025010188</v>
          </cell>
          <cell r="D3266" t="str">
            <v>LDYECS314S0044072</v>
          </cell>
          <cell r="E3266" t="str">
            <v>Zhong Tong</v>
          </cell>
          <cell r="F3266" t="str">
            <v>Lck6122evg</v>
          </cell>
          <cell r="G3266" t="str">
            <v>ZHONGTONG</v>
          </cell>
          <cell r="H3266" t="str">
            <v>LCK6122EVG</v>
          </cell>
          <cell r="I3266">
            <v>2025</v>
          </cell>
          <cell r="J3266" t="str">
            <v>B</v>
          </cell>
          <cell r="K3266" t="str">
            <v>SAN ALFONSO</v>
          </cell>
          <cell r="L3266" t="str">
            <v>San Alfonso 2141 (Ramón Subercaseaux 3060)</v>
          </cell>
          <cell r="M3266" t="str">
            <v>Estacion Central</v>
          </cell>
          <cell r="N3266" t="str">
            <v>B</v>
          </cell>
        </row>
        <row r="3267">
          <cell r="B3267" t="str">
            <v>1350 / VFPZ-27|</v>
          </cell>
          <cell r="C3267" t="str">
            <v>MDN35025010203</v>
          </cell>
          <cell r="D3267" t="str">
            <v>LDYECS311S0044109</v>
          </cell>
          <cell r="E3267" t="str">
            <v>Zhong Tong</v>
          </cell>
          <cell r="F3267" t="str">
            <v>Lck6122evg</v>
          </cell>
          <cell r="G3267" t="str">
            <v>ZHONGTONG</v>
          </cell>
          <cell r="H3267" t="str">
            <v>LCK6122EVG</v>
          </cell>
          <cell r="I3267">
            <v>2025</v>
          </cell>
          <cell r="J3267" t="str">
            <v>B</v>
          </cell>
          <cell r="K3267" t="str">
            <v>SAN ALFONSO</v>
          </cell>
          <cell r="L3267" t="str">
            <v>San Alfonso 2141 (Ramón Subercaseaux 3060)</v>
          </cell>
          <cell r="M3267" t="str">
            <v>Estacion Central</v>
          </cell>
          <cell r="N3267" t="str">
            <v>B</v>
          </cell>
        </row>
        <row r="3268">
          <cell r="B3268" t="str">
            <v>1351 / VFPZ-38|</v>
          </cell>
          <cell r="C3268" t="str">
            <v>MDN35025010193</v>
          </cell>
          <cell r="D3268" t="str">
            <v>LDYECS312S0044068</v>
          </cell>
          <cell r="E3268" t="str">
            <v>Zhong Tong</v>
          </cell>
          <cell r="F3268" t="str">
            <v>Lck6122evg</v>
          </cell>
          <cell r="G3268" t="str">
            <v>ZHONGTONG</v>
          </cell>
          <cell r="H3268" t="str">
            <v>LCK6122EVG</v>
          </cell>
          <cell r="I3268">
            <v>2025</v>
          </cell>
          <cell r="J3268" t="str">
            <v>B</v>
          </cell>
          <cell r="K3268" t="str">
            <v>SAN ALFONSO</v>
          </cell>
          <cell r="L3268" t="str">
            <v>San Alfonso 2141 (Ramón Subercaseaux 3060)</v>
          </cell>
          <cell r="M3268" t="str">
            <v>Estacion Central</v>
          </cell>
          <cell r="N3268" t="str">
            <v>B</v>
          </cell>
        </row>
        <row r="3269">
          <cell r="B3269" t="str">
            <v>1352 / VFPZ-39|</v>
          </cell>
          <cell r="C3269" t="str">
            <v>MDN35025020011</v>
          </cell>
          <cell r="D3269" t="str">
            <v>LDYECS316S0044090</v>
          </cell>
          <cell r="E3269" t="str">
            <v>Zhong Tong</v>
          </cell>
          <cell r="F3269" t="str">
            <v>Lck6122evg</v>
          </cell>
          <cell r="G3269" t="str">
            <v>ZHONGTONG</v>
          </cell>
          <cell r="H3269" t="str">
            <v>LCK6122EVG</v>
          </cell>
          <cell r="I3269">
            <v>2025</v>
          </cell>
          <cell r="J3269" t="str">
            <v>B</v>
          </cell>
          <cell r="K3269" t="str">
            <v>SAN ALFONSO</v>
          </cell>
          <cell r="L3269" t="str">
            <v>San Alfonso 2141 (Ramón Subercaseaux 3060)</v>
          </cell>
          <cell r="M3269" t="str">
            <v>Estacion Central</v>
          </cell>
          <cell r="N3269" t="str">
            <v>B</v>
          </cell>
        </row>
        <row r="3270">
          <cell r="B3270" t="str">
            <v>1353 / VFPZ-55|</v>
          </cell>
          <cell r="C3270" t="str">
            <v>MDN35025010208</v>
          </cell>
          <cell r="D3270" t="str">
            <v>LDYECS317S0044082</v>
          </cell>
          <cell r="E3270" t="str">
            <v>Zhong Tong</v>
          </cell>
          <cell r="F3270" t="str">
            <v>Lck6122evg</v>
          </cell>
          <cell r="G3270" t="str">
            <v>ZHONGTONG</v>
          </cell>
          <cell r="H3270" t="str">
            <v>LCK6122EVG</v>
          </cell>
          <cell r="I3270">
            <v>2025</v>
          </cell>
          <cell r="J3270" t="str">
            <v>B</v>
          </cell>
          <cell r="K3270" t="str">
            <v>SAN ALFONSO</v>
          </cell>
          <cell r="L3270" t="str">
            <v>San Alfonso 2141 (Ramón Subercaseaux 3060)</v>
          </cell>
          <cell r="M3270" t="str">
            <v>Estacion Central</v>
          </cell>
          <cell r="N3270" t="str">
            <v>B</v>
          </cell>
        </row>
        <row r="3271">
          <cell r="B3271" t="str">
            <v>1354 / VFPZ-56|</v>
          </cell>
          <cell r="C3271" t="str">
            <v>MDN35025020043</v>
          </cell>
          <cell r="D3271" t="str">
            <v>LDYECS31XS0044075</v>
          </cell>
          <cell r="E3271" t="str">
            <v>Zhong Tong</v>
          </cell>
          <cell r="F3271" t="str">
            <v>Lck6122evg</v>
          </cell>
          <cell r="G3271" t="str">
            <v>ZHONGTONG</v>
          </cell>
          <cell r="H3271" t="str">
            <v>LCK6122EVG</v>
          </cell>
          <cell r="I3271">
            <v>2025</v>
          </cell>
          <cell r="J3271" t="str">
            <v>B</v>
          </cell>
          <cell r="K3271" t="str">
            <v>PIE ANDINO</v>
          </cell>
          <cell r="L3271" t="str">
            <v>Pie Andino 31 (Pie Andino 383)</v>
          </cell>
          <cell r="M3271" t="str">
            <v>Puente Alto</v>
          </cell>
          <cell r="N3271" t="str">
            <v>B</v>
          </cell>
        </row>
        <row r="3272">
          <cell r="B3272" t="str">
            <v>1355 / VFPZ-74|</v>
          </cell>
          <cell r="C3272" t="str">
            <v>MDN35025020017</v>
          </cell>
          <cell r="D3272" t="str">
            <v>LDYECS312S0044085</v>
          </cell>
          <cell r="E3272" t="str">
            <v>Zhong Tong</v>
          </cell>
          <cell r="F3272" t="str">
            <v>Lck6122evg</v>
          </cell>
          <cell r="G3272" t="str">
            <v>ZHONGTONG</v>
          </cell>
          <cell r="H3272" t="str">
            <v>LCK6122EVG</v>
          </cell>
          <cell r="I3272">
            <v>2025</v>
          </cell>
          <cell r="J3272" t="str">
            <v>B</v>
          </cell>
          <cell r="K3272" t="str">
            <v>PIE ANDINO</v>
          </cell>
          <cell r="L3272" t="str">
            <v>Pie Andino 31 (Pie Andino 383)</v>
          </cell>
          <cell r="M3272" t="str">
            <v>Puente Alto</v>
          </cell>
          <cell r="N3272" t="str">
            <v>B</v>
          </cell>
        </row>
        <row r="3273">
          <cell r="B3273" t="str">
            <v>1356 / VFPZ-78|</v>
          </cell>
          <cell r="C3273" t="str">
            <v>MDN35025020001</v>
          </cell>
          <cell r="D3273" t="str">
            <v>LDYECS313S0044077</v>
          </cell>
          <cell r="E3273" t="str">
            <v>Zhong Tong</v>
          </cell>
          <cell r="F3273" t="str">
            <v>Lck6122evg</v>
          </cell>
          <cell r="G3273" t="str">
            <v>ZHONGTONG</v>
          </cell>
          <cell r="H3273" t="str">
            <v>LCK6122EVG</v>
          </cell>
          <cell r="I3273">
            <v>2025</v>
          </cell>
          <cell r="J3273" t="str">
            <v>B</v>
          </cell>
          <cell r="K3273" t="str">
            <v>PIE ANDINO</v>
          </cell>
          <cell r="L3273" t="str">
            <v>Pie Andino 31 (Pie Andino 383)</v>
          </cell>
          <cell r="M3273" t="str">
            <v>Puente Alto</v>
          </cell>
          <cell r="N3273" t="str">
            <v>B</v>
          </cell>
        </row>
        <row r="3274">
          <cell r="B3274" t="str">
            <v>1357 / VFPZ-88|</v>
          </cell>
          <cell r="C3274" t="str">
            <v>MDN35025010028</v>
          </cell>
          <cell r="D3274" t="str">
            <v>LDYECS311S0044112</v>
          </cell>
          <cell r="E3274" t="str">
            <v>Zhong Tong</v>
          </cell>
          <cell r="F3274" t="str">
            <v>Lck6122evg</v>
          </cell>
          <cell r="G3274" t="str">
            <v>ZHONGTONG</v>
          </cell>
          <cell r="H3274" t="str">
            <v>LCK6122EVG</v>
          </cell>
          <cell r="I3274">
            <v>2025</v>
          </cell>
          <cell r="J3274" t="str">
            <v>B</v>
          </cell>
          <cell r="K3274" t="str">
            <v>SAN ALFONSO</v>
          </cell>
          <cell r="L3274" t="str">
            <v>San Alfonso 2141 (Ramón Subercaseaux 3060)</v>
          </cell>
          <cell r="M3274" t="str">
            <v>Estacion Central</v>
          </cell>
          <cell r="N3274" t="str">
            <v>B</v>
          </cell>
        </row>
        <row r="3275">
          <cell r="B3275" t="str">
            <v>1358 / VFPZ-89|</v>
          </cell>
          <cell r="C3275" t="str">
            <v>MDN35025020032</v>
          </cell>
          <cell r="D3275" t="str">
            <v>LDYECS319S0044102</v>
          </cell>
          <cell r="E3275" t="str">
            <v>Zhong Tong</v>
          </cell>
          <cell r="F3275" t="str">
            <v>Lck6122evg</v>
          </cell>
          <cell r="G3275" t="str">
            <v>ZHONGTONG</v>
          </cell>
          <cell r="H3275" t="str">
            <v>LCK6122EVG</v>
          </cell>
          <cell r="I3275">
            <v>2025</v>
          </cell>
          <cell r="J3275" t="str">
            <v>B</v>
          </cell>
          <cell r="K3275" t="str">
            <v>SAN ALFONSO</v>
          </cell>
          <cell r="L3275" t="str">
            <v>San Alfonso 2141 (Ramón Subercaseaux 3060)</v>
          </cell>
          <cell r="M3275" t="str">
            <v>Estacion Central</v>
          </cell>
          <cell r="N3275" t="str">
            <v>B</v>
          </cell>
        </row>
        <row r="3276">
          <cell r="B3276" t="str">
            <v>1359 / VFPZ-92|</v>
          </cell>
          <cell r="C3276" t="str">
            <v>MDN35025020030</v>
          </cell>
          <cell r="D3276" t="str">
            <v>LDYECS31XS0044089</v>
          </cell>
          <cell r="E3276" t="str">
            <v>Zhong Tong</v>
          </cell>
          <cell r="F3276" t="str">
            <v>Lck6122evg</v>
          </cell>
          <cell r="G3276" t="str">
            <v>ZHONGTONG</v>
          </cell>
          <cell r="H3276" t="str">
            <v>LCK6122EVG</v>
          </cell>
          <cell r="I3276">
            <v>2025</v>
          </cell>
          <cell r="J3276" t="str">
            <v>B</v>
          </cell>
          <cell r="K3276" t="str">
            <v>SAN ALFONSO</v>
          </cell>
          <cell r="L3276" t="str">
            <v>San Alfonso 2141 (Ramón Subercaseaux 3060)</v>
          </cell>
          <cell r="M3276" t="str">
            <v>Estacion Central</v>
          </cell>
          <cell r="N3276" t="str">
            <v>B</v>
          </cell>
        </row>
        <row r="3277">
          <cell r="B3277" t="str">
            <v>1360 / VFPZ-97|</v>
          </cell>
          <cell r="C3277" t="str">
            <v>MDN35025010247</v>
          </cell>
          <cell r="D3277" t="str">
            <v>LDYECS312S0044104</v>
          </cell>
          <cell r="E3277" t="str">
            <v>Zhong Tong</v>
          </cell>
          <cell r="F3277" t="str">
            <v>Lck6122evg</v>
          </cell>
          <cell r="G3277" t="str">
            <v>ZHONGTONG</v>
          </cell>
          <cell r="H3277" t="str">
            <v>LCK6122EVG</v>
          </cell>
          <cell r="I3277">
            <v>2025</v>
          </cell>
          <cell r="J3277" t="str">
            <v>B</v>
          </cell>
          <cell r="K3277" t="str">
            <v>SAN ALFONSO</v>
          </cell>
          <cell r="L3277" t="str">
            <v>San Alfonso 2141 (Ramón Subercaseaux 3060)</v>
          </cell>
          <cell r="M3277" t="str">
            <v>Estacion Central</v>
          </cell>
          <cell r="N3277" t="str">
            <v>B</v>
          </cell>
        </row>
        <row r="3278">
          <cell r="B3278" t="str">
            <v>1361 / VFPZ-98|</v>
          </cell>
          <cell r="C3278" t="str">
            <v>MDN35025010213</v>
          </cell>
          <cell r="D3278" t="str">
            <v>LDYECS315S0044081</v>
          </cell>
          <cell r="E3278" t="str">
            <v>Zhong Tong</v>
          </cell>
          <cell r="F3278" t="str">
            <v>Lck6122evg</v>
          </cell>
          <cell r="G3278" t="str">
            <v>ZHONGTONG</v>
          </cell>
          <cell r="H3278" t="str">
            <v>LCK6122EVG</v>
          </cell>
          <cell r="I3278">
            <v>2025</v>
          </cell>
          <cell r="J3278" t="str">
            <v>B</v>
          </cell>
          <cell r="K3278" t="str">
            <v>SAN ALFONSO</v>
          </cell>
          <cell r="L3278" t="str">
            <v>San Alfonso 2141 (Ramón Subercaseaux 3060)</v>
          </cell>
          <cell r="M3278" t="str">
            <v>Estacion Central</v>
          </cell>
          <cell r="N3278" t="str">
            <v>B</v>
          </cell>
        </row>
        <row r="3279">
          <cell r="B3279" t="str">
            <v>1362 / VFRB-13|</v>
          </cell>
          <cell r="C3279" t="str">
            <v>MDN35025010226</v>
          </cell>
          <cell r="D3279" t="str">
            <v>LDYECS313S0044080</v>
          </cell>
          <cell r="E3279" t="str">
            <v>Zhong Tong</v>
          </cell>
          <cell r="F3279" t="str">
            <v>Lck6122evg</v>
          </cell>
          <cell r="G3279" t="str">
            <v>ZHONGTONG</v>
          </cell>
          <cell r="H3279" t="str">
            <v>LCK6122EVG</v>
          </cell>
          <cell r="I3279">
            <v>2025</v>
          </cell>
          <cell r="J3279" t="str">
            <v>B</v>
          </cell>
          <cell r="K3279" t="str">
            <v>PIE ANDINO</v>
          </cell>
          <cell r="L3279" t="str">
            <v>Pie Andino 31 (Pie Andino 383)</v>
          </cell>
          <cell r="M3279" t="str">
            <v>Puente Alto</v>
          </cell>
          <cell r="N3279" t="str">
            <v>B</v>
          </cell>
        </row>
        <row r="3280">
          <cell r="B3280" t="str">
            <v>1363 / VFRB-15|</v>
          </cell>
          <cell r="C3280" t="str">
            <v>MDN35025010225</v>
          </cell>
          <cell r="D3280" t="str">
            <v>LDYECS317S0044079</v>
          </cell>
          <cell r="E3280" t="str">
            <v>Zhong Tong</v>
          </cell>
          <cell r="F3280" t="str">
            <v>Lck6122evg</v>
          </cell>
          <cell r="G3280" t="str">
            <v>ZHONGTONG</v>
          </cell>
          <cell r="H3280" t="str">
            <v>LCK6122EVG</v>
          </cell>
          <cell r="I3280">
            <v>2025</v>
          </cell>
          <cell r="J3280" t="str">
            <v>B</v>
          </cell>
          <cell r="K3280" t="str">
            <v>SAN ALFONSO</v>
          </cell>
          <cell r="L3280" t="str">
            <v>San Alfonso 2141 (Ramón Subercaseaux 3060)</v>
          </cell>
          <cell r="M3280" t="str">
            <v>Estacion Central</v>
          </cell>
          <cell r="N3280" t="str">
            <v>B</v>
          </cell>
        </row>
        <row r="3281">
          <cell r="B3281" t="str">
            <v>1364 / VFRB-54|</v>
          </cell>
          <cell r="C3281" t="str">
            <v>MDN35025010204</v>
          </cell>
          <cell r="D3281" t="str">
            <v>LDYECS31XS0044108</v>
          </cell>
          <cell r="E3281" t="str">
            <v>Zhong Tong</v>
          </cell>
          <cell r="F3281" t="str">
            <v>Lck6122evg</v>
          </cell>
          <cell r="G3281" t="str">
            <v>ZHONGTONG</v>
          </cell>
          <cell r="H3281" t="str">
            <v>LCK6122EVG</v>
          </cell>
          <cell r="I3281">
            <v>2025</v>
          </cell>
          <cell r="J3281" t="str">
            <v>B</v>
          </cell>
          <cell r="K3281" t="str">
            <v>SAN ALFONSO</v>
          </cell>
          <cell r="L3281" t="str">
            <v>San Alfonso 2141 (Ramón Subercaseaux 3060)</v>
          </cell>
          <cell r="M3281" t="str">
            <v>Estacion Central</v>
          </cell>
          <cell r="N3281" t="str">
            <v>B</v>
          </cell>
        </row>
        <row r="3282">
          <cell r="B3282" t="str">
            <v>1365 / VFRB-56|</v>
          </cell>
          <cell r="C3282" t="str">
            <v>MDN35025020040</v>
          </cell>
          <cell r="D3282" t="str">
            <v>LDYECS314S0044086</v>
          </cell>
          <cell r="E3282" t="str">
            <v>Zhong Tong</v>
          </cell>
          <cell r="F3282" t="str">
            <v>Lck6122evg</v>
          </cell>
          <cell r="G3282" t="str">
            <v>ZHONGTONG</v>
          </cell>
          <cell r="H3282" t="str">
            <v>LCK6122EVG</v>
          </cell>
          <cell r="I3282">
            <v>2025</v>
          </cell>
          <cell r="J3282" t="str">
            <v>B</v>
          </cell>
          <cell r="K3282" t="str">
            <v>PIE ANDINO</v>
          </cell>
          <cell r="L3282" t="str">
            <v>Pie Andino 31 (Pie Andino 383)</v>
          </cell>
          <cell r="M3282" t="str">
            <v>Puente Alto</v>
          </cell>
          <cell r="N3282" t="str">
            <v>B</v>
          </cell>
        </row>
        <row r="3283">
          <cell r="B3283" t="str">
            <v>1366 / VFRB-63|</v>
          </cell>
          <cell r="C3283" t="str">
            <v>MDN35025020018</v>
          </cell>
          <cell r="D3283" t="str">
            <v>LDYECS315S0044100</v>
          </cell>
          <cell r="E3283" t="str">
            <v>Zhong Tong</v>
          </cell>
          <cell r="F3283" t="str">
            <v>Lck6122evg</v>
          </cell>
          <cell r="G3283" t="str">
            <v>ZHONGTONG</v>
          </cell>
          <cell r="H3283" t="str">
            <v>LCK6122EVG</v>
          </cell>
          <cell r="I3283">
            <v>2025</v>
          </cell>
          <cell r="J3283" t="str">
            <v>B</v>
          </cell>
          <cell r="K3283" t="str">
            <v>SAN ALFONSO</v>
          </cell>
          <cell r="L3283" t="str">
            <v>San Alfonso 2141 (Ramón Subercaseaux 3060)</v>
          </cell>
          <cell r="M3283" t="str">
            <v>Estacion Central</v>
          </cell>
          <cell r="N3283" t="str">
            <v>B</v>
          </cell>
        </row>
        <row r="3284">
          <cell r="B3284" t="str">
            <v>1367 / VFRB-67|</v>
          </cell>
          <cell r="C3284" t="str">
            <v>MDN35025010216</v>
          </cell>
          <cell r="D3284" t="str">
            <v>LDYECS318S0044107</v>
          </cell>
          <cell r="E3284" t="str">
            <v>Zhong Tong</v>
          </cell>
          <cell r="F3284" t="str">
            <v>Lck6122evg</v>
          </cell>
          <cell r="G3284" t="str">
            <v>ZHONGTONG</v>
          </cell>
          <cell r="H3284" t="str">
            <v>LCK6122EVG</v>
          </cell>
          <cell r="I3284">
            <v>2025</v>
          </cell>
          <cell r="J3284" t="str">
            <v>B</v>
          </cell>
          <cell r="K3284" t="str">
            <v>SAN ALFONSO</v>
          </cell>
          <cell r="L3284" t="str">
            <v>San Alfonso 2141 (Ramón Subercaseaux 3060)</v>
          </cell>
          <cell r="M3284" t="str">
            <v>Estacion Central</v>
          </cell>
          <cell r="N3284" t="str">
            <v>B</v>
          </cell>
        </row>
        <row r="3285">
          <cell r="B3285" t="str">
            <v>1368 / VFRB-68|</v>
          </cell>
          <cell r="C3285" t="str">
            <v>MDN35025010249</v>
          </cell>
          <cell r="D3285" t="str">
            <v>LDYECS31XS0044092</v>
          </cell>
          <cell r="E3285" t="str">
            <v>Zhong Tong</v>
          </cell>
          <cell r="F3285" t="str">
            <v>Lck6122evg</v>
          </cell>
          <cell r="G3285" t="str">
            <v>ZHONGTONG</v>
          </cell>
          <cell r="H3285" t="str">
            <v>LCK6122EVG</v>
          </cell>
          <cell r="I3285">
            <v>2025</v>
          </cell>
          <cell r="J3285" t="str">
            <v>B</v>
          </cell>
          <cell r="K3285" t="str">
            <v>PIE ANDINO</v>
          </cell>
          <cell r="L3285" t="str">
            <v>Pie Andino 31 (Pie Andino 383)</v>
          </cell>
          <cell r="M3285" t="str">
            <v>Puente Alto</v>
          </cell>
          <cell r="N3285" t="str">
            <v>B</v>
          </cell>
        </row>
        <row r="3286">
          <cell r="B3286" t="str">
            <v>1369 / VFRB-81|</v>
          </cell>
          <cell r="C3286" t="str">
            <v>MDN35025020118</v>
          </cell>
          <cell r="D3286" t="str">
            <v>LDYECS317S0044096</v>
          </cell>
          <cell r="E3286" t="str">
            <v>Zhong Tong</v>
          </cell>
          <cell r="F3286" t="str">
            <v>Lck6122evg</v>
          </cell>
          <cell r="G3286" t="str">
            <v>ZHONGTONG</v>
          </cell>
          <cell r="H3286" t="str">
            <v>LCK6122EVG</v>
          </cell>
          <cell r="I3286">
            <v>2025</v>
          </cell>
          <cell r="J3286" t="str">
            <v>B</v>
          </cell>
          <cell r="K3286" t="str">
            <v>SAN ALFONSO</v>
          </cell>
          <cell r="L3286" t="str">
            <v>San Alfonso 2141 (Ramón Subercaseaux 3060)</v>
          </cell>
          <cell r="M3286" t="str">
            <v>Estacion Central</v>
          </cell>
          <cell r="N3286" t="str">
            <v>B</v>
          </cell>
        </row>
        <row r="3287">
          <cell r="B3287" t="str">
            <v>1370 / VFRC-75|</v>
          </cell>
          <cell r="C3287" t="str">
            <v>MDN35025010242</v>
          </cell>
          <cell r="D3287" t="str">
            <v>LDYECS317S0044101</v>
          </cell>
          <cell r="E3287" t="str">
            <v>Zhong Tong</v>
          </cell>
          <cell r="F3287" t="str">
            <v>Lck6122evg</v>
          </cell>
          <cell r="G3287" t="str">
            <v>ZHONGTONG</v>
          </cell>
          <cell r="H3287" t="str">
            <v>LCK6122EVG</v>
          </cell>
          <cell r="I3287">
            <v>2025</v>
          </cell>
          <cell r="J3287" t="str">
            <v>B</v>
          </cell>
          <cell r="K3287" t="str">
            <v>SAN ALFONSO</v>
          </cell>
          <cell r="L3287" t="str">
            <v>San Alfonso 2141 (Ramón Subercaseaux 3060)</v>
          </cell>
          <cell r="M3287" t="str">
            <v>Estacion Central</v>
          </cell>
          <cell r="N3287" t="str">
            <v>B</v>
          </cell>
        </row>
        <row r="3288">
          <cell r="B3288" t="str">
            <v>1371 / VFRD-35|</v>
          </cell>
          <cell r="C3288" t="str">
            <v>MDN35025020008</v>
          </cell>
          <cell r="D3288" t="str">
            <v>LDYECS310S0044103</v>
          </cell>
          <cell r="E3288" t="str">
            <v>Zhong Tong</v>
          </cell>
          <cell r="F3288" t="str">
            <v>Lck6122evg</v>
          </cell>
          <cell r="G3288" t="str">
            <v>ZHONGTONG</v>
          </cell>
          <cell r="H3288" t="str">
            <v>LCK6122EVG</v>
          </cell>
          <cell r="I3288">
            <v>2025</v>
          </cell>
          <cell r="J3288" t="str">
            <v>B</v>
          </cell>
          <cell r="K3288" t="str">
            <v>PIE ANDINO</v>
          </cell>
          <cell r="L3288" t="str">
            <v>Pie Andino 31 (Pie Andino 383)</v>
          </cell>
          <cell r="M3288" t="str">
            <v>Puente Alto</v>
          </cell>
          <cell r="N3288" t="str">
            <v>B</v>
          </cell>
        </row>
        <row r="3289">
          <cell r="B3289" t="str">
            <v>1372 / VFRD-45|</v>
          </cell>
          <cell r="C3289" t="str">
            <v>MDN35025020020</v>
          </cell>
          <cell r="D3289" t="str">
            <v>LDYECS310S0044098</v>
          </cell>
          <cell r="E3289" t="str">
            <v>Zhong Tong</v>
          </cell>
          <cell r="F3289" t="str">
            <v>Lck6122evg</v>
          </cell>
          <cell r="G3289" t="str">
            <v>ZHONGTONG</v>
          </cell>
          <cell r="H3289" t="str">
            <v>LCK6122EVG</v>
          </cell>
          <cell r="I3289">
            <v>2025</v>
          </cell>
          <cell r="J3289" t="str">
            <v>B</v>
          </cell>
          <cell r="K3289" t="str">
            <v>SAN ALFONSO</v>
          </cell>
          <cell r="L3289" t="str">
            <v>San Alfonso 2141 (Ramón Subercaseaux 3060)</v>
          </cell>
          <cell r="M3289" t="str">
            <v>Estacion Central</v>
          </cell>
          <cell r="N3289" t="str">
            <v>B</v>
          </cell>
        </row>
        <row r="3290">
          <cell r="B3290" t="str">
            <v>1373 / VFRD-55|</v>
          </cell>
          <cell r="C3290" t="str">
            <v>MDN35025010252</v>
          </cell>
          <cell r="D3290" t="str">
            <v>LDYECS311S0044093</v>
          </cell>
          <cell r="E3290" t="str">
            <v>Zhong Tong</v>
          </cell>
          <cell r="F3290" t="str">
            <v>Lck6122evg</v>
          </cell>
          <cell r="G3290" t="str">
            <v>ZHONGTONG</v>
          </cell>
          <cell r="H3290" t="str">
            <v>LCK6122EVG</v>
          </cell>
          <cell r="I3290">
            <v>2025</v>
          </cell>
          <cell r="J3290" t="str">
            <v>B</v>
          </cell>
          <cell r="K3290" t="str">
            <v>PIE ANDINO</v>
          </cell>
          <cell r="L3290" t="str">
            <v>Pie Andino 31 (Pie Andino 383)</v>
          </cell>
          <cell r="M3290" t="str">
            <v>Puente Alto</v>
          </cell>
          <cell r="N3290" t="str">
            <v>B</v>
          </cell>
        </row>
        <row r="3291">
          <cell r="B3291" t="str">
            <v>1374 / VFRD-65|</v>
          </cell>
          <cell r="C3291" t="str">
            <v>MDN35025020014</v>
          </cell>
          <cell r="D3291" t="str">
            <v>LDYECS318S0044091</v>
          </cell>
          <cell r="E3291" t="str">
            <v>Zhong Tong</v>
          </cell>
          <cell r="F3291" t="str">
            <v>Lck6122evg</v>
          </cell>
          <cell r="G3291" t="str">
            <v>ZHONGTONG</v>
          </cell>
          <cell r="H3291" t="str">
            <v>LCK6122EVG</v>
          </cell>
          <cell r="I3291">
            <v>2025</v>
          </cell>
          <cell r="J3291" t="str">
            <v>B</v>
          </cell>
          <cell r="K3291" t="str">
            <v>PIE ANDINO</v>
          </cell>
          <cell r="L3291" t="str">
            <v>Pie Andino 31 (Pie Andino 383)</v>
          </cell>
          <cell r="M3291" t="str">
            <v>Puente Alto</v>
          </cell>
          <cell r="N3291" t="str">
            <v>B</v>
          </cell>
        </row>
        <row r="3292">
          <cell r="B3292" t="str">
            <v>1375 / VFRD-75|</v>
          </cell>
          <cell r="C3292" t="str">
            <v>MDN35025020004</v>
          </cell>
          <cell r="D3292" t="str">
            <v>LDYECS314S0044105</v>
          </cell>
          <cell r="E3292" t="str">
            <v>Zhong Tong</v>
          </cell>
          <cell r="F3292" t="str">
            <v>Lck6122evg</v>
          </cell>
          <cell r="G3292" t="str">
            <v>ZHONGTONG</v>
          </cell>
          <cell r="H3292" t="str">
            <v>LCK6122EVG</v>
          </cell>
          <cell r="I3292">
            <v>2025</v>
          </cell>
          <cell r="J3292" t="str">
            <v>B</v>
          </cell>
          <cell r="K3292" t="str">
            <v>SAN ALFONSO</v>
          </cell>
          <cell r="L3292" t="str">
            <v>San Alfonso 2141 (Ramón Subercaseaux 3060)</v>
          </cell>
          <cell r="M3292" t="str">
            <v>Estacion Central</v>
          </cell>
          <cell r="N3292" t="str">
            <v>B</v>
          </cell>
        </row>
        <row r="3293">
          <cell r="B3293" t="str">
            <v>1376 / VFRD-85|</v>
          </cell>
          <cell r="C3293" t="str">
            <v>MDN35025010245</v>
          </cell>
          <cell r="D3293" t="str">
            <v>LDYECS312S0044099</v>
          </cell>
          <cell r="E3293" t="str">
            <v>Zhong Tong</v>
          </cell>
          <cell r="F3293" t="str">
            <v>Lck6122evg</v>
          </cell>
          <cell r="G3293" t="str">
            <v>ZHONGTONG</v>
          </cell>
          <cell r="H3293" t="str">
            <v>LCK6122EVG</v>
          </cell>
          <cell r="I3293">
            <v>2025</v>
          </cell>
          <cell r="J3293" t="str">
            <v>B</v>
          </cell>
          <cell r="K3293" t="str">
            <v>PIE ANDINO</v>
          </cell>
          <cell r="L3293" t="str">
            <v>Pie Andino 31 (Pie Andino 383)</v>
          </cell>
          <cell r="M3293" t="str">
            <v>Puente Alto</v>
          </cell>
          <cell r="N3293" t="str">
            <v>B</v>
          </cell>
        </row>
        <row r="3294">
          <cell r="B3294" t="str">
            <v>1377 / VFRD-95|</v>
          </cell>
          <cell r="C3294" t="str">
            <v>MDN35025010043</v>
          </cell>
          <cell r="D3294" t="str">
            <v>LDYECS316S0043831</v>
          </cell>
          <cell r="E3294" t="str">
            <v>Zhong Tong</v>
          </cell>
          <cell r="F3294" t="str">
            <v>Lck6122evg</v>
          </cell>
          <cell r="G3294" t="str">
            <v>ZHONGTONG</v>
          </cell>
          <cell r="H3294" t="str">
            <v>LCK6122EVG</v>
          </cell>
          <cell r="I3294">
            <v>2025</v>
          </cell>
          <cell r="J3294" t="str">
            <v>B</v>
          </cell>
          <cell r="K3294" t="str">
            <v>PIE ANDINO</v>
          </cell>
          <cell r="L3294" t="str">
            <v>Pie Andino 31 (Pie Andino 383)</v>
          </cell>
          <cell r="M3294" t="str">
            <v>Puente Alto</v>
          </cell>
          <cell r="N3294" t="str">
            <v>B</v>
          </cell>
        </row>
        <row r="3295">
          <cell r="B3295" t="str">
            <v>1378 / VFRF-15|</v>
          </cell>
          <cell r="C3295" t="str">
            <v>MDN35025010020</v>
          </cell>
          <cell r="D3295" t="str">
            <v>LDYECS31XS0043833</v>
          </cell>
          <cell r="E3295" t="str">
            <v>Zhong Tong</v>
          </cell>
          <cell r="F3295" t="str">
            <v>Lck6122evg</v>
          </cell>
          <cell r="G3295" t="str">
            <v>ZHONGTONG</v>
          </cell>
          <cell r="H3295" t="str">
            <v>LCK6122EVG</v>
          </cell>
          <cell r="I3295">
            <v>2025</v>
          </cell>
          <cell r="J3295" t="str">
            <v>B</v>
          </cell>
          <cell r="K3295" t="str">
            <v>CERRILLOS</v>
          </cell>
          <cell r="L3295" t="str">
            <v>Calle Uno 7371</v>
          </cell>
          <cell r="M3295" t="str">
            <v>Cerrillos</v>
          </cell>
          <cell r="N3295" t="str">
            <v>B</v>
          </cell>
        </row>
        <row r="3296">
          <cell r="B3296" t="str">
            <v>1379 / VFRF-35|</v>
          </cell>
          <cell r="C3296" t="str">
            <v>MDN35025010239</v>
          </cell>
          <cell r="D3296" t="str">
            <v>LDYECS311S0043834</v>
          </cell>
          <cell r="E3296" t="str">
            <v>Zhong Tong</v>
          </cell>
          <cell r="F3296" t="str">
            <v>Lck6122evg</v>
          </cell>
          <cell r="G3296" t="str">
            <v>ZHONGTONG</v>
          </cell>
          <cell r="H3296" t="str">
            <v>LCK6122EVG</v>
          </cell>
          <cell r="I3296">
            <v>2025</v>
          </cell>
          <cell r="J3296" t="str">
            <v>B</v>
          </cell>
          <cell r="K3296" t="str">
            <v>PIE ANDINO</v>
          </cell>
          <cell r="L3296" t="str">
            <v>Pie Andino 31 (Pie Andino 383)</v>
          </cell>
          <cell r="M3296" t="str">
            <v>Puente Alto</v>
          </cell>
          <cell r="N3296" t="str">
            <v>B</v>
          </cell>
        </row>
        <row r="3297">
          <cell r="B3297" t="str">
            <v>1380 / VFRF-55|</v>
          </cell>
          <cell r="C3297" t="str">
            <v>MDN35025010027</v>
          </cell>
          <cell r="D3297" t="str">
            <v>LDYECS314S0043830</v>
          </cell>
          <cell r="E3297" t="str">
            <v>Zhong Tong</v>
          </cell>
          <cell r="F3297" t="str">
            <v>Lck6122evg</v>
          </cell>
          <cell r="G3297" t="str">
            <v>ZHONGTONG</v>
          </cell>
          <cell r="H3297" t="str">
            <v>LCK6122EVG</v>
          </cell>
          <cell r="I3297">
            <v>2025</v>
          </cell>
          <cell r="J3297" t="str">
            <v>B</v>
          </cell>
          <cell r="K3297" t="str">
            <v>CERRILLOS</v>
          </cell>
          <cell r="L3297" t="str">
            <v>Calle Uno 7371</v>
          </cell>
          <cell r="M3297" t="str">
            <v>Cerrillos</v>
          </cell>
          <cell r="N3297" t="str">
            <v>B</v>
          </cell>
        </row>
        <row r="3298">
          <cell r="B3298" t="str">
            <v>1381 / VFRF-65|</v>
          </cell>
          <cell r="C3298" t="str">
            <v>MDN35025010024</v>
          </cell>
          <cell r="D3298" t="str">
            <v>LDYECS319S0043824</v>
          </cell>
          <cell r="E3298" t="str">
            <v>Zhong Tong</v>
          </cell>
          <cell r="F3298" t="str">
            <v>Lck6122evg</v>
          </cell>
          <cell r="G3298" t="str">
            <v>ZHONGTONG</v>
          </cell>
          <cell r="H3298" t="str">
            <v>LCK6122EVG</v>
          </cell>
          <cell r="I3298">
            <v>2025</v>
          </cell>
          <cell r="J3298" t="str">
            <v>B</v>
          </cell>
          <cell r="K3298" t="str">
            <v>PIE ANDINO</v>
          </cell>
          <cell r="L3298" t="str">
            <v>Pie Andino 31 (Pie Andino 383)</v>
          </cell>
          <cell r="M3298" t="str">
            <v>Puente Alto</v>
          </cell>
          <cell r="N3298" t="str">
            <v>B</v>
          </cell>
        </row>
        <row r="3299">
          <cell r="B3299" t="str">
            <v>1382 / VFRF-75|</v>
          </cell>
          <cell r="C3299" t="str">
            <v>MDN35025010042</v>
          </cell>
          <cell r="D3299" t="str">
            <v>LDYECS317S0043823</v>
          </cell>
          <cell r="E3299" t="str">
            <v>Zhong Tong</v>
          </cell>
          <cell r="F3299" t="str">
            <v>Lck6122evg</v>
          </cell>
          <cell r="G3299" t="str">
            <v>ZHONGTONG</v>
          </cell>
          <cell r="H3299" t="str">
            <v>LCK6122EVG</v>
          </cell>
          <cell r="I3299">
            <v>2025</v>
          </cell>
          <cell r="J3299" t="str">
            <v>B</v>
          </cell>
          <cell r="K3299" t="str">
            <v>PIE ANDINO</v>
          </cell>
          <cell r="L3299" t="str">
            <v>Pie Andino 31 (Pie Andino 383)</v>
          </cell>
          <cell r="M3299" t="str">
            <v>Puente Alto</v>
          </cell>
          <cell r="N3299" t="str">
            <v>B</v>
          </cell>
        </row>
        <row r="3300">
          <cell r="B3300" t="str">
            <v>1383 / VFRF-85|</v>
          </cell>
          <cell r="C3300" t="str">
            <v>MDN35025010034</v>
          </cell>
          <cell r="D3300" t="str">
            <v>LDYECS310S0043839</v>
          </cell>
          <cell r="E3300" t="str">
            <v>Zhong Tong</v>
          </cell>
          <cell r="F3300" t="str">
            <v>Lck6122evg</v>
          </cell>
          <cell r="G3300" t="str">
            <v>ZHONGTONG</v>
          </cell>
          <cell r="H3300" t="str">
            <v>LCK6122EVG</v>
          </cell>
          <cell r="I3300">
            <v>2025</v>
          </cell>
          <cell r="J3300" t="str">
            <v>B</v>
          </cell>
          <cell r="K3300" t="str">
            <v>PIE ANDINO</v>
          </cell>
          <cell r="L3300" t="str">
            <v>Pie Andino 31 (Pie Andino 383)</v>
          </cell>
          <cell r="M3300" t="str">
            <v>Puente Alto</v>
          </cell>
          <cell r="N3300" t="str">
            <v>B</v>
          </cell>
        </row>
        <row r="3301">
          <cell r="B3301" t="str">
            <v>1384 / VFRF-95|</v>
          </cell>
          <cell r="C3301" t="str">
            <v>MDN35025020016</v>
          </cell>
          <cell r="D3301" t="str">
            <v>LDYECS311S0043820</v>
          </cell>
          <cell r="E3301" t="str">
            <v>Zhong Tong</v>
          </cell>
          <cell r="F3301" t="str">
            <v>Lck6122evg</v>
          </cell>
          <cell r="G3301" t="str">
            <v>ZHONGTONG</v>
          </cell>
          <cell r="H3301" t="str">
            <v>LCK6122EVG</v>
          </cell>
          <cell r="I3301">
            <v>2025</v>
          </cell>
          <cell r="J3301" t="str">
            <v>B</v>
          </cell>
          <cell r="K3301" t="str">
            <v>PIE ANDINO</v>
          </cell>
          <cell r="L3301" t="str">
            <v>Pie Andino 31 (Pie Andino 383)</v>
          </cell>
          <cell r="M3301" t="str">
            <v>Puente Alto</v>
          </cell>
          <cell r="N3301" t="str">
            <v>B</v>
          </cell>
        </row>
        <row r="3302">
          <cell r="B3302" t="str">
            <v>1385 / VFRG-15|</v>
          </cell>
          <cell r="C3302" t="str">
            <v>MDN35025010090</v>
          </cell>
          <cell r="D3302" t="str">
            <v>LDYECS315S0043822</v>
          </cell>
          <cell r="E3302" t="str">
            <v>Zhong Tong</v>
          </cell>
          <cell r="F3302" t="str">
            <v>Lck6122evg</v>
          </cell>
          <cell r="G3302" t="str">
            <v>ZHONGTONG</v>
          </cell>
          <cell r="H3302" t="str">
            <v>LCK6122EVG</v>
          </cell>
          <cell r="I3302">
            <v>2025</v>
          </cell>
          <cell r="J3302" t="str">
            <v>B</v>
          </cell>
          <cell r="K3302" t="str">
            <v>CERRILLOS</v>
          </cell>
          <cell r="L3302" t="str">
            <v>Calle Uno 7371</v>
          </cell>
          <cell r="M3302" t="str">
            <v>Cerrillos</v>
          </cell>
          <cell r="N3302" t="str">
            <v>B</v>
          </cell>
        </row>
        <row r="3303">
          <cell r="B3303" t="str">
            <v>1386 / VFRG-25|</v>
          </cell>
          <cell r="C3303" t="str">
            <v>MDN35025020041</v>
          </cell>
          <cell r="D3303" t="str">
            <v>LDYECS319S0044097</v>
          </cell>
          <cell r="E3303" t="str">
            <v>Zhong Tong</v>
          </cell>
          <cell r="F3303" t="str">
            <v>Lck6122evg</v>
          </cell>
          <cell r="G3303" t="str">
            <v>ZHONGTONG</v>
          </cell>
          <cell r="H3303" t="str">
            <v>LCK6122EVG</v>
          </cell>
          <cell r="I3303">
            <v>2025</v>
          </cell>
          <cell r="J3303" t="str">
            <v>B</v>
          </cell>
          <cell r="K3303" t="str">
            <v>PIE ANDINO</v>
          </cell>
          <cell r="L3303" t="str">
            <v>Pie Andino 31 (Pie Andino 383)</v>
          </cell>
          <cell r="M3303" t="str">
            <v>Puente Alto</v>
          </cell>
          <cell r="N3303" t="str">
            <v>B</v>
          </cell>
        </row>
        <row r="3304">
          <cell r="B3304" t="str">
            <v>1387 / VFRG-35|</v>
          </cell>
          <cell r="C3304" t="str">
            <v>MDN35025010093</v>
          </cell>
          <cell r="D3304" t="str">
            <v>LDYECS318S0043846</v>
          </cell>
          <cell r="E3304" t="str">
            <v>Zhong Tong</v>
          </cell>
          <cell r="F3304" t="str">
            <v>Lck6122evg</v>
          </cell>
          <cell r="G3304" t="str">
            <v>ZHONGTONG</v>
          </cell>
          <cell r="H3304" t="str">
            <v>LCK6122EVG</v>
          </cell>
          <cell r="I3304">
            <v>2025</v>
          </cell>
          <cell r="J3304" t="str">
            <v>B</v>
          </cell>
          <cell r="K3304" t="str">
            <v>PIE ANDINO</v>
          </cell>
          <cell r="L3304" t="str">
            <v>Pie Andino 31 (Pie Andino 383)</v>
          </cell>
          <cell r="M3304" t="str">
            <v>Puente Alto</v>
          </cell>
          <cell r="N3304" t="str">
            <v>B</v>
          </cell>
        </row>
        <row r="3305">
          <cell r="B3305" t="str">
            <v>1388 / VFRG-45|</v>
          </cell>
          <cell r="C3305" t="str">
            <v>MDN35025010087</v>
          </cell>
          <cell r="D3305" t="str">
            <v>LDYECS318S0043829</v>
          </cell>
          <cell r="E3305" t="str">
            <v>Zhong Tong</v>
          </cell>
          <cell r="F3305" t="str">
            <v>Lck6122evg</v>
          </cell>
          <cell r="G3305" t="str">
            <v>ZHONGTONG</v>
          </cell>
          <cell r="H3305" t="str">
            <v>LCK6122EVG</v>
          </cell>
          <cell r="I3305">
            <v>2025</v>
          </cell>
          <cell r="J3305" t="str">
            <v>B</v>
          </cell>
          <cell r="K3305" t="str">
            <v>PIE ANDINO</v>
          </cell>
          <cell r="L3305" t="str">
            <v>Pie Andino 31 (Pie Andino 383)</v>
          </cell>
          <cell r="M3305" t="str">
            <v>Puente Alto</v>
          </cell>
          <cell r="N3305" t="str">
            <v>B</v>
          </cell>
        </row>
        <row r="3306">
          <cell r="B3306" t="str">
            <v>1389 / VGBS-15|</v>
          </cell>
          <cell r="C3306" t="str">
            <v>MDN35025010031</v>
          </cell>
          <cell r="D3306" t="str">
            <v>LDYECS318S0043832</v>
          </cell>
          <cell r="E3306" t="str">
            <v>Zhong Tong</v>
          </cell>
          <cell r="F3306" t="str">
            <v>Lck6122evg</v>
          </cell>
          <cell r="G3306" t="str">
            <v>ZHONGTONG</v>
          </cell>
          <cell r="H3306" t="str">
            <v>LCK6122EVG</v>
          </cell>
          <cell r="I3306">
            <v>2025</v>
          </cell>
          <cell r="J3306" t="str">
            <v>B</v>
          </cell>
          <cell r="K3306" t="str">
            <v>SAN ALFONSO</v>
          </cell>
          <cell r="L3306" t="str">
            <v>San Alfonso 2141 (Ramón Subercaseaux 3060)</v>
          </cell>
          <cell r="M3306" t="str">
            <v>Estacion Central</v>
          </cell>
          <cell r="N3306" t="str">
            <v>B</v>
          </cell>
        </row>
        <row r="3307">
          <cell r="B3307" t="str">
            <v>1390 / VGBV-29|</v>
          </cell>
          <cell r="C3307" t="str">
            <v>MDN35025010251</v>
          </cell>
          <cell r="D3307" t="str">
            <v>LDYECS314S0043844</v>
          </cell>
          <cell r="E3307" t="str">
            <v>Zhong Tong</v>
          </cell>
          <cell r="F3307" t="str">
            <v>Lck6122evg</v>
          </cell>
          <cell r="G3307" t="str">
            <v>ZHONGTONG</v>
          </cell>
          <cell r="H3307" t="str">
            <v>LCK6122EVG</v>
          </cell>
          <cell r="I3307">
            <v>2025</v>
          </cell>
          <cell r="J3307" t="str">
            <v>B</v>
          </cell>
          <cell r="K3307" t="str">
            <v>SAN ALFONSO</v>
          </cell>
          <cell r="L3307" t="str">
            <v>San Alfonso 2141 (Ramón Subercaseaux 3060)</v>
          </cell>
          <cell r="M3307" t="str">
            <v>Estacion Central</v>
          </cell>
          <cell r="N3307" t="str">
            <v>B</v>
          </cell>
        </row>
        <row r="3308">
          <cell r="B3308" t="str">
            <v>1391 / VGBV-35|</v>
          </cell>
          <cell r="C3308" t="str">
            <v>MDN35025010092</v>
          </cell>
          <cell r="D3308" t="str">
            <v>LDYECS316S0043828</v>
          </cell>
          <cell r="E3308" t="str">
            <v>Zhong Tong</v>
          </cell>
          <cell r="F3308" t="str">
            <v>Lck6122evg</v>
          </cell>
          <cell r="G3308" t="str">
            <v>ZHONGTONG</v>
          </cell>
          <cell r="H3308" t="str">
            <v>LCK6122EVG</v>
          </cell>
          <cell r="I3308">
            <v>2025</v>
          </cell>
          <cell r="J3308" t="str">
            <v>B</v>
          </cell>
          <cell r="K3308" t="str">
            <v>SAN ALFONSO</v>
          </cell>
          <cell r="L3308" t="str">
            <v>San Alfonso 2141 (Ramón Subercaseaux 3060)</v>
          </cell>
          <cell r="M3308" t="str">
            <v>Estacion Central</v>
          </cell>
          <cell r="N3308" t="str">
            <v>B</v>
          </cell>
        </row>
        <row r="3309">
          <cell r="B3309" t="str">
            <v>1392 / VGBV-36|</v>
          </cell>
          <cell r="C3309" t="str">
            <v>MDN35025010241</v>
          </cell>
          <cell r="D3309" t="str">
            <v>LDYECS312S0043843</v>
          </cell>
          <cell r="E3309" t="str">
            <v>Zhong Tong</v>
          </cell>
          <cell r="F3309" t="str">
            <v>Lck6122evg</v>
          </cell>
          <cell r="G3309" t="str">
            <v>ZHONGTONG</v>
          </cell>
          <cell r="H3309" t="str">
            <v>LCK6122EVG</v>
          </cell>
          <cell r="I3309">
            <v>2025</v>
          </cell>
          <cell r="J3309" t="str">
            <v>B</v>
          </cell>
          <cell r="K3309" t="str">
            <v>PIE ANDINO</v>
          </cell>
          <cell r="L3309" t="str">
            <v>Pie Andino 31 (Pie Andino 383)</v>
          </cell>
          <cell r="M3309" t="str">
            <v>Puente Alto</v>
          </cell>
          <cell r="N3309" t="str">
            <v>B</v>
          </cell>
        </row>
        <row r="3310">
          <cell r="B3310" t="str">
            <v>1393 / VGBV-41|</v>
          </cell>
          <cell r="C3310" t="str">
            <v>MDN35025010100</v>
          </cell>
          <cell r="D3310" t="str">
            <v>LDYECS319S0043841</v>
          </cell>
          <cell r="E3310" t="str">
            <v>Zhong Tong</v>
          </cell>
          <cell r="F3310" t="str">
            <v>Lck6122evg</v>
          </cell>
          <cell r="G3310" t="str">
            <v>ZHONGTONG</v>
          </cell>
          <cell r="H3310" t="str">
            <v>LCK6122EVG</v>
          </cell>
          <cell r="I3310">
            <v>2025</v>
          </cell>
          <cell r="J3310" t="str">
            <v>B</v>
          </cell>
          <cell r="K3310" t="str">
            <v>CERRILLOS</v>
          </cell>
          <cell r="L3310" t="str">
            <v>Calle Uno 7371</v>
          </cell>
          <cell r="M3310" t="str">
            <v>Cerrillos</v>
          </cell>
          <cell r="N3310" t="str">
            <v>B</v>
          </cell>
        </row>
        <row r="3311">
          <cell r="B3311" t="str">
            <v>1394 / VGBV-51|</v>
          </cell>
          <cell r="C3311" t="str">
            <v>MDN35025010022</v>
          </cell>
          <cell r="D3311" t="str">
            <v>LDYECS312S0043826</v>
          </cell>
          <cell r="E3311" t="str">
            <v>Zhong Tong</v>
          </cell>
          <cell r="F3311" t="str">
            <v>Lck6122evg</v>
          </cell>
          <cell r="G3311" t="str">
            <v>ZHONGTONG</v>
          </cell>
          <cell r="H3311" t="str">
            <v>LCK6122EVG</v>
          </cell>
          <cell r="I3311">
            <v>2025</v>
          </cell>
          <cell r="J3311" t="str">
            <v>B</v>
          </cell>
          <cell r="K3311" t="str">
            <v>SAN ALFONSO</v>
          </cell>
          <cell r="L3311" t="str">
            <v>San Alfonso 2141 (Ramón Subercaseaux 3060)</v>
          </cell>
          <cell r="M3311" t="str">
            <v>Estacion Central</v>
          </cell>
          <cell r="N3311" t="str">
            <v>B</v>
          </cell>
        </row>
        <row r="3312">
          <cell r="B3312" t="str">
            <v>1395 / VGBV-55|</v>
          </cell>
          <cell r="C3312" t="str">
            <v>MDN35025010032</v>
          </cell>
          <cell r="D3312" t="str">
            <v>LDYECS315S0043836</v>
          </cell>
          <cell r="E3312" t="str">
            <v>Zhong Tong</v>
          </cell>
          <cell r="F3312" t="str">
            <v>Lck6122evg</v>
          </cell>
          <cell r="G3312" t="str">
            <v>ZHONGTONG</v>
          </cell>
          <cell r="H3312" t="str">
            <v>LCK6122EVG</v>
          </cell>
          <cell r="I3312">
            <v>2025</v>
          </cell>
          <cell r="J3312" t="str">
            <v>B</v>
          </cell>
          <cell r="K3312" t="str">
            <v>PIE ANDINO</v>
          </cell>
          <cell r="L3312" t="str">
            <v>Pie Andino 31 (Pie Andino 383)</v>
          </cell>
          <cell r="M3312" t="str">
            <v>Puente Alto</v>
          </cell>
          <cell r="N3312" t="str">
            <v>B</v>
          </cell>
        </row>
        <row r="3313">
          <cell r="B3313" t="str">
            <v>1396 / VGBV-69|</v>
          </cell>
          <cell r="C3313" t="str">
            <v>MDN35025010096</v>
          </cell>
          <cell r="D3313" t="str">
            <v>LDYECS310S0043825</v>
          </cell>
          <cell r="E3313" t="str">
            <v>Zhong Tong</v>
          </cell>
          <cell r="F3313" t="str">
            <v>Lck6122evg</v>
          </cell>
          <cell r="G3313" t="str">
            <v>ZHONGTONG</v>
          </cell>
          <cell r="H3313" t="str">
            <v>LCK6122EVG</v>
          </cell>
          <cell r="I3313">
            <v>2025</v>
          </cell>
          <cell r="J3313" t="str">
            <v>B</v>
          </cell>
          <cell r="K3313" t="str">
            <v>SAN ALFONSO</v>
          </cell>
          <cell r="L3313" t="str">
            <v>San Alfonso 2141 (Ramón Subercaseaux 3060)</v>
          </cell>
          <cell r="M3313" t="str">
            <v>Estacion Central</v>
          </cell>
          <cell r="N3313" t="str">
            <v>B</v>
          </cell>
        </row>
        <row r="3314">
          <cell r="B3314" t="str">
            <v>1397 / VGBV-79|</v>
          </cell>
          <cell r="C3314" t="str">
            <v>MDN35025010133</v>
          </cell>
          <cell r="D3314" t="str">
            <v>LDYECS310S0043842</v>
          </cell>
          <cell r="E3314" t="str">
            <v>Zhong Tong</v>
          </cell>
          <cell r="F3314" t="str">
            <v>Lck6122evg</v>
          </cell>
          <cell r="G3314" t="str">
            <v>ZHONGTONG</v>
          </cell>
          <cell r="H3314" t="str">
            <v>LCK6122EVG</v>
          </cell>
          <cell r="I3314">
            <v>2025</v>
          </cell>
          <cell r="J3314" t="str">
            <v>B</v>
          </cell>
          <cell r="K3314" t="str">
            <v>SAN ALFONSO</v>
          </cell>
          <cell r="L3314" t="str">
            <v>San Alfonso 2141 (Ramón Subercaseaux 3060)</v>
          </cell>
          <cell r="M3314" t="str">
            <v>Estacion Central</v>
          </cell>
          <cell r="N3314" t="str">
            <v>B</v>
          </cell>
        </row>
        <row r="3315">
          <cell r="B3315" t="str">
            <v>1398 / VGBV-99|</v>
          </cell>
          <cell r="C3315" t="str">
            <v>MDN35025020065</v>
          </cell>
          <cell r="D3315" t="str">
            <v>LDYECS317S0043854</v>
          </cell>
          <cell r="E3315" t="str">
            <v>Zhong Tong</v>
          </cell>
          <cell r="F3315" t="str">
            <v>Lck6122evg</v>
          </cell>
          <cell r="G3315" t="str">
            <v>ZHONGTONG</v>
          </cell>
          <cell r="H3315" t="str">
            <v>LCK6122EVG</v>
          </cell>
          <cell r="I3315">
            <v>2025</v>
          </cell>
          <cell r="J3315" t="str">
            <v>B</v>
          </cell>
          <cell r="K3315" t="str">
            <v>PIE ANDINO</v>
          </cell>
          <cell r="L3315" t="str">
            <v>Pie Andino 31 (Pie Andino 383)</v>
          </cell>
          <cell r="M3315" t="str">
            <v>Puente Alto</v>
          </cell>
          <cell r="N3315" t="str">
            <v>B</v>
          </cell>
        </row>
        <row r="3316">
          <cell r="B3316" t="str">
            <v>1399 / VGBW-19|</v>
          </cell>
          <cell r="C3316" t="str">
            <v>MDN35025020066</v>
          </cell>
          <cell r="D3316" t="str">
            <v>LDYECS313S0043849</v>
          </cell>
          <cell r="E3316" t="str">
            <v>Zhong Tong</v>
          </cell>
          <cell r="F3316" t="str">
            <v>Lck6122evg</v>
          </cell>
          <cell r="G3316" t="str">
            <v>ZHONGTONG</v>
          </cell>
          <cell r="H3316" t="str">
            <v>LCK6122EVG</v>
          </cell>
          <cell r="I3316">
            <v>2025</v>
          </cell>
          <cell r="J3316" t="str">
            <v>B</v>
          </cell>
          <cell r="K3316" t="str">
            <v>PIE ANDINO</v>
          </cell>
          <cell r="L3316" t="str">
            <v>Pie Andino 31 (Pie Andino 383)</v>
          </cell>
          <cell r="M3316" t="str">
            <v>Puente Alto</v>
          </cell>
          <cell r="N3316" t="str">
            <v>B</v>
          </cell>
        </row>
        <row r="3317">
          <cell r="B3317" t="str">
            <v>1400 / VGBW-29|</v>
          </cell>
          <cell r="C3317" t="str">
            <v>MDN35025010238</v>
          </cell>
          <cell r="D3317" t="str">
            <v>LDYECS311S0043848</v>
          </cell>
          <cell r="E3317" t="str">
            <v>Zhong Tong</v>
          </cell>
          <cell r="F3317" t="str">
            <v>Lck6122evg</v>
          </cell>
          <cell r="G3317" t="str">
            <v>ZHONGTONG</v>
          </cell>
          <cell r="H3317" t="str">
            <v>LCK6122EVG</v>
          </cell>
          <cell r="I3317">
            <v>2025</v>
          </cell>
          <cell r="J3317" t="str">
            <v>B</v>
          </cell>
          <cell r="K3317" t="str">
            <v>PIE ANDINO</v>
          </cell>
          <cell r="L3317" t="str">
            <v>Pie Andino 31 (Pie Andino 383)</v>
          </cell>
          <cell r="M3317" t="str">
            <v>Puente Alto</v>
          </cell>
          <cell r="N3317" t="str">
            <v>B</v>
          </cell>
        </row>
        <row r="3318">
          <cell r="B3318" t="str">
            <v>1401 / VGBW-39|</v>
          </cell>
          <cell r="C3318" t="str">
            <v>MDN35025010109</v>
          </cell>
          <cell r="D3318" t="str">
            <v>LDYECS31XS0043847</v>
          </cell>
          <cell r="E3318" t="str">
            <v>Zhong Tong</v>
          </cell>
          <cell r="F3318" t="str">
            <v>Lck6122evg</v>
          </cell>
          <cell r="G3318" t="str">
            <v>ZHONGTONG</v>
          </cell>
          <cell r="H3318" t="str">
            <v>LCK6122EVG</v>
          </cell>
          <cell r="I3318">
            <v>2025</v>
          </cell>
          <cell r="J3318" t="str">
            <v>B</v>
          </cell>
          <cell r="K3318" t="str">
            <v>SAN ALFONSO</v>
          </cell>
          <cell r="L3318" t="str">
            <v>San Alfonso 2141 (Ramón Subercaseaux 3060)</v>
          </cell>
          <cell r="M3318" t="str">
            <v>Estacion Central</v>
          </cell>
          <cell r="N3318" t="str">
            <v>B</v>
          </cell>
        </row>
        <row r="3319">
          <cell r="B3319" t="str">
            <v>1402 / VGBW-48|</v>
          </cell>
          <cell r="C3319" t="str">
            <v>MDN35025010035</v>
          </cell>
          <cell r="D3319" t="str">
            <v>LDYECS314S0043827</v>
          </cell>
          <cell r="E3319" t="str">
            <v>Zhong Tong</v>
          </cell>
          <cell r="F3319" t="str">
            <v>Lck6122evg</v>
          </cell>
          <cell r="G3319" t="str">
            <v>ZHONGTONG</v>
          </cell>
          <cell r="H3319" t="str">
            <v>LCK6122EVG</v>
          </cell>
          <cell r="I3319">
            <v>2025</v>
          </cell>
          <cell r="J3319" t="str">
            <v>B</v>
          </cell>
          <cell r="K3319" t="str">
            <v>PIE ANDINO</v>
          </cell>
          <cell r="L3319" t="str">
            <v>Pie Andino 31 (Pie Andino 383)</v>
          </cell>
          <cell r="M3319" t="str">
            <v>Puente Alto</v>
          </cell>
          <cell r="N3319" t="str">
            <v>B</v>
          </cell>
        </row>
        <row r="3320">
          <cell r="B3320" t="str">
            <v>1403 / VGBW-58|</v>
          </cell>
          <cell r="C3320" t="str">
            <v>MDN35025010026</v>
          </cell>
          <cell r="D3320" t="str">
            <v>LDYECS313S0043835</v>
          </cell>
          <cell r="E3320" t="str">
            <v>Zhong Tong</v>
          </cell>
          <cell r="F3320" t="str">
            <v>Lck6122evg</v>
          </cell>
          <cell r="G3320" t="str">
            <v>ZHONGTONG</v>
          </cell>
          <cell r="H3320" t="str">
            <v>LCK6122EVG</v>
          </cell>
          <cell r="I3320">
            <v>2025</v>
          </cell>
          <cell r="J3320" t="str">
            <v>B</v>
          </cell>
          <cell r="K3320" t="str">
            <v>PIE ANDINO</v>
          </cell>
          <cell r="L3320" t="str">
            <v>Pie Andino 31 (Pie Andino 383)</v>
          </cell>
          <cell r="M3320" t="str">
            <v>Puente Alto</v>
          </cell>
          <cell r="N3320" t="str">
            <v>B</v>
          </cell>
        </row>
        <row r="3321">
          <cell r="B3321" t="str">
            <v>1404 / VGBW-68|</v>
          </cell>
          <cell r="C3321" t="str">
            <v>MDN35025020082</v>
          </cell>
          <cell r="D3321" t="str">
            <v>LDYECS315S0043853</v>
          </cell>
          <cell r="E3321" t="str">
            <v>Zhong Tong</v>
          </cell>
          <cell r="F3321" t="str">
            <v>Lck6122evg</v>
          </cell>
          <cell r="G3321" t="str">
            <v>ZHONGTONG</v>
          </cell>
          <cell r="H3321" t="str">
            <v>LCK6122EVG</v>
          </cell>
          <cell r="I3321">
            <v>2025</v>
          </cell>
          <cell r="J3321" t="str">
            <v>B</v>
          </cell>
          <cell r="K3321" t="str">
            <v>CERRILLOS</v>
          </cell>
          <cell r="L3321" t="str">
            <v>Calle Uno 7371</v>
          </cell>
          <cell r="M3321" t="str">
            <v>Cerrillos</v>
          </cell>
          <cell r="N3321" t="str">
            <v>B</v>
          </cell>
        </row>
        <row r="3322">
          <cell r="B3322" t="str">
            <v>1405 / VGBW-98|</v>
          </cell>
          <cell r="C3322" t="str">
            <v>MDN35025010099</v>
          </cell>
          <cell r="D3322" t="str">
            <v>LDYECS317S0043837</v>
          </cell>
          <cell r="E3322" t="str">
            <v>Zhong Tong</v>
          </cell>
          <cell r="F3322" t="str">
            <v>Lck6122evg</v>
          </cell>
          <cell r="G3322" t="str">
            <v>ZHONGTONG</v>
          </cell>
          <cell r="H3322" t="str">
            <v>LCK6122EVG</v>
          </cell>
          <cell r="I3322">
            <v>2025</v>
          </cell>
          <cell r="J3322" t="str">
            <v>B</v>
          </cell>
          <cell r="K3322" t="str">
            <v>SAN ALFONSO</v>
          </cell>
          <cell r="L3322" t="str">
            <v>San Alfonso 2141 (Ramón Subercaseaux 3060)</v>
          </cell>
          <cell r="M3322" t="str">
            <v>Estacion Central</v>
          </cell>
          <cell r="N3322" t="str">
            <v>B</v>
          </cell>
        </row>
        <row r="3323">
          <cell r="B3323" t="str">
            <v>1406 / VGBW-99|</v>
          </cell>
          <cell r="C3323" t="str">
            <v>MDN35025020081</v>
          </cell>
          <cell r="D3323" t="str">
            <v>LDYECS313S0043852</v>
          </cell>
          <cell r="E3323" t="str">
            <v>Zhong Tong</v>
          </cell>
          <cell r="F3323" t="str">
            <v>Lck6122evg</v>
          </cell>
          <cell r="G3323" t="str">
            <v>ZHONGTONG</v>
          </cell>
          <cell r="H3323" t="str">
            <v>LCK6122EVG</v>
          </cell>
          <cell r="I3323">
            <v>2025</v>
          </cell>
          <cell r="J3323" t="str">
            <v>B</v>
          </cell>
          <cell r="K3323" t="str">
            <v>SAN ALFONSO</v>
          </cell>
          <cell r="L3323" t="str">
            <v>San Alfonso 2141 (Ramón Subercaseaux 3060)</v>
          </cell>
          <cell r="M3323" t="str">
            <v>Estacion Central</v>
          </cell>
          <cell r="N3323" t="str">
            <v>B</v>
          </cell>
        </row>
        <row r="3324">
          <cell r="B3324" t="str">
            <v>1407 / VGBX-29|</v>
          </cell>
          <cell r="C3324" t="str">
            <v>MDN35025010250</v>
          </cell>
          <cell r="D3324" t="str">
            <v>LDYECS316S0043845</v>
          </cell>
          <cell r="E3324" t="str">
            <v>Zhong Tong</v>
          </cell>
          <cell r="F3324" t="str">
            <v>Lck6122evg</v>
          </cell>
          <cell r="G3324" t="str">
            <v>ZHONGTONG</v>
          </cell>
          <cell r="H3324" t="str">
            <v>LCK6122EVG</v>
          </cell>
          <cell r="I3324">
            <v>2025</v>
          </cell>
          <cell r="J3324" t="str">
            <v>B</v>
          </cell>
          <cell r="K3324" t="str">
            <v>PIE ANDINO</v>
          </cell>
          <cell r="L3324" t="str">
            <v>Pie Andino 31 (Pie Andino 383)</v>
          </cell>
          <cell r="M3324" t="str">
            <v>Puente Alto</v>
          </cell>
          <cell r="N3324" t="str">
            <v>B</v>
          </cell>
        </row>
        <row r="3325">
          <cell r="B3325" t="str">
            <v>1408 / VGBX-48|</v>
          </cell>
          <cell r="C3325" t="str">
            <v>MDN35025010138</v>
          </cell>
          <cell r="D3325" t="str">
            <v>LDYECS31XS0043850</v>
          </cell>
          <cell r="E3325" t="str">
            <v>Zhong Tong</v>
          </cell>
          <cell r="F3325" t="str">
            <v>Lck6122evg</v>
          </cell>
          <cell r="G3325" t="str">
            <v>ZHONGTONG</v>
          </cell>
          <cell r="H3325" t="str">
            <v>LCK6122EVG</v>
          </cell>
          <cell r="I3325">
            <v>2025</v>
          </cell>
          <cell r="J3325" t="str">
            <v>B</v>
          </cell>
          <cell r="K3325" t="str">
            <v>PIE ANDINO</v>
          </cell>
          <cell r="L3325" t="str">
            <v>Pie Andino 31 (Pie Andino 383)</v>
          </cell>
          <cell r="M3325" t="str">
            <v>Puente Alto</v>
          </cell>
          <cell r="N3325" t="str">
            <v>B</v>
          </cell>
        </row>
        <row r="3326">
          <cell r="B3326" t="str">
            <v>1409 / VGBX-49|</v>
          </cell>
          <cell r="C3326" t="str">
            <v>MDN35025020236</v>
          </cell>
          <cell r="D3326" t="str">
            <v>LDYECS310S0043856</v>
          </cell>
          <cell r="E3326" t="str">
            <v>Zhong Tong</v>
          </cell>
          <cell r="F3326" t="str">
            <v>Lck6122evg</v>
          </cell>
          <cell r="G3326" t="str">
            <v>ZHONGTONG</v>
          </cell>
          <cell r="H3326" t="str">
            <v>LCK6122EVG</v>
          </cell>
          <cell r="I3326">
            <v>2025</v>
          </cell>
          <cell r="J3326" t="str">
            <v>B</v>
          </cell>
          <cell r="K3326" t="str">
            <v>PIE ANDINO</v>
          </cell>
          <cell r="L3326" t="str">
            <v>Pie Andino 31 (Pie Andino 383)</v>
          </cell>
          <cell r="M3326" t="str">
            <v>Puente Alto</v>
          </cell>
          <cell r="N3326" t="str">
            <v>B</v>
          </cell>
        </row>
        <row r="3327">
          <cell r="B3327" t="str">
            <v>1410 / VGBX-58|</v>
          </cell>
          <cell r="C3327" t="str">
            <v>MDN35025010240</v>
          </cell>
          <cell r="D3327" t="str">
            <v>LDYECS317S0043840</v>
          </cell>
          <cell r="E3327" t="str">
            <v>Zhong Tong</v>
          </cell>
          <cell r="F3327" t="str">
            <v>Lck6122evg</v>
          </cell>
          <cell r="G3327" t="str">
            <v>ZHONGTONG</v>
          </cell>
          <cell r="H3327" t="str">
            <v>LCK6122EVG</v>
          </cell>
          <cell r="I3327">
            <v>2025</v>
          </cell>
          <cell r="J3327" t="str">
            <v>B</v>
          </cell>
          <cell r="K3327" t="str">
            <v>PIE ANDINO</v>
          </cell>
          <cell r="L3327" t="str">
            <v>Pie Andino 31 (Pie Andino 383)</v>
          </cell>
          <cell r="M3327" t="str">
            <v>Puente Alto</v>
          </cell>
          <cell r="N3327" t="str">
            <v>B</v>
          </cell>
        </row>
        <row r="3328">
          <cell r="B3328" t="str">
            <v>1411 / VGBX-59|</v>
          </cell>
          <cell r="C3328" t="str">
            <v>MDN35025010141</v>
          </cell>
          <cell r="D3328" t="str">
            <v>LDYECS319S0043855</v>
          </cell>
          <cell r="E3328" t="str">
            <v>Zhong Tong</v>
          </cell>
          <cell r="F3328" t="str">
            <v>Lck6122evg</v>
          </cell>
          <cell r="G3328" t="str">
            <v>ZHONGTONG</v>
          </cell>
          <cell r="H3328" t="str">
            <v>LCK6122EVG</v>
          </cell>
          <cell r="I3328">
            <v>2025</v>
          </cell>
          <cell r="J3328" t="str">
            <v>B</v>
          </cell>
          <cell r="K3328" t="str">
            <v>LOS LIBERTADORES</v>
          </cell>
          <cell r="L3328" t="str">
            <v>Los Liberadores 6450, Lote 4A</v>
          </cell>
          <cell r="M3328" t="str">
            <v>Huechuraba</v>
          </cell>
          <cell r="N3328" t="str">
            <v>B</v>
          </cell>
        </row>
        <row r="3329">
          <cell r="B3329" t="str">
            <v>1412 / VGBX-78|</v>
          </cell>
          <cell r="C3329" t="str">
            <v>MDN35025010088</v>
          </cell>
          <cell r="D3329" t="str">
            <v>LDYECS319S0043838</v>
          </cell>
          <cell r="E3329" t="str">
            <v>Zhong Tong</v>
          </cell>
          <cell r="F3329" t="str">
            <v>Lck6122evg</v>
          </cell>
          <cell r="G3329" t="str">
            <v>ZHONGTONG</v>
          </cell>
          <cell r="H3329" t="str">
            <v>LCK6122EVG</v>
          </cell>
          <cell r="I3329">
            <v>2025</v>
          </cell>
          <cell r="J3329" t="str">
            <v>B</v>
          </cell>
          <cell r="K3329" t="str">
            <v>LOS LIBERTADORES</v>
          </cell>
          <cell r="L3329" t="str">
            <v>Los Liberadores 6450, Lote 4A</v>
          </cell>
          <cell r="M3329" t="str">
            <v>Huechuraba</v>
          </cell>
          <cell r="N3329" t="str">
            <v>B</v>
          </cell>
        </row>
        <row r="3330">
          <cell r="B3330" t="str">
            <v>1413 / VGCB-39|</v>
          </cell>
          <cell r="C3330" t="str">
            <v>MDN35025010137</v>
          </cell>
          <cell r="D3330" t="str">
            <v>LDYECS311S0043851</v>
          </cell>
          <cell r="E3330" t="str">
            <v>Zhong Tong</v>
          </cell>
          <cell r="F3330" t="str">
            <v>Lck6122evg</v>
          </cell>
          <cell r="G3330" t="str">
            <v>ZHONGTONG</v>
          </cell>
          <cell r="H3330" t="str">
            <v>LCK6122EVG</v>
          </cell>
          <cell r="I3330">
            <v>2025</v>
          </cell>
          <cell r="J3330" t="str">
            <v>B</v>
          </cell>
          <cell r="K3330" t="str">
            <v>LOS LIBERTADORES</v>
          </cell>
          <cell r="L3330" t="str">
            <v>Los Liberadores 6450, Lote 4A</v>
          </cell>
          <cell r="M3330" t="str">
            <v>Huechuraba</v>
          </cell>
          <cell r="N3330" t="str">
            <v>B</v>
          </cell>
        </row>
        <row r="3331">
          <cell r="B3331" t="str">
            <v>1414 / VGCB-59|</v>
          </cell>
          <cell r="C3331" t="str">
            <v>MDN35025010142</v>
          </cell>
          <cell r="D3331" t="str">
            <v>LDYECS312S0043857</v>
          </cell>
          <cell r="E3331" t="str">
            <v>Zhong Tong</v>
          </cell>
          <cell r="F3331" t="str">
            <v>Lck6122evg</v>
          </cell>
          <cell r="G3331" t="str">
            <v>ZHONGTONG</v>
          </cell>
          <cell r="H3331" t="str">
            <v>LCK6122EVG</v>
          </cell>
          <cell r="I3331">
            <v>2025</v>
          </cell>
          <cell r="J3331" t="str">
            <v>B</v>
          </cell>
          <cell r="K3331" t="str">
            <v>CERRILLOS</v>
          </cell>
          <cell r="L3331" t="str">
            <v>Calle Uno 7371</v>
          </cell>
          <cell r="M3331" t="str">
            <v>Cerrillos</v>
          </cell>
          <cell r="N3331" t="str">
            <v>B</v>
          </cell>
        </row>
        <row r="3332">
          <cell r="B3332" t="str">
            <v>1415 / VGKX-42|</v>
          </cell>
          <cell r="C3332" t="str">
            <v>MDN35025030025</v>
          </cell>
          <cell r="D3332" t="str">
            <v>LDYECS317S0044373</v>
          </cell>
          <cell r="E3332" t="str">
            <v>Zhong Tong</v>
          </cell>
          <cell r="F3332" t="str">
            <v>Lck6122evg</v>
          </cell>
          <cell r="G3332" t="str">
            <v>ZHONGTONG</v>
          </cell>
          <cell r="H3332" t="str">
            <v>LCK6122EVG</v>
          </cell>
          <cell r="I3332">
            <v>2025</v>
          </cell>
          <cell r="J3332" t="str">
            <v>B</v>
          </cell>
          <cell r="K3332" t="str">
            <v>PIE ANDINO</v>
          </cell>
          <cell r="L3332" t="str">
            <v>Pie Andino 31 (Pie Andino 383)</v>
          </cell>
          <cell r="M3332" t="str">
            <v>Puente Alto</v>
          </cell>
          <cell r="N3332" t="str">
            <v>B</v>
          </cell>
        </row>
        <row r="3333">
          <cell r="B3333" t="str">
            <v>1416 / VGKX-52|</v>
          </cell>
          <cell r="C3333" t="str">
            <v>MDN35025030153</v>
          </cell>
          <cell r="D3333" t="str">
            <v>LDYECS310S0044327</v>
          </cell>
          <cell r="E3333" t="str">
            <v>Zhong Tong</v>
          </cell>
          <cell r="F3333" t="str">
            <v>Lck6122evg</v>
          </cell>
          <cell r="G3333" t="str">
            <v>ZHONGTONG</v>
          </cell>
          <cell r="H3333" t="str">
            <v>LCK6122EVG</v>
          </cell>
          <cell r="I3333">
            <v>2025</v>
          </cell>
          <cell r="J3333" t="str">
            <v>B</v>
          </cell>
          <cell r="K3333" t="str">
            <v>SAN ALFONSO</v>
          </cell>
          <cell r="L3333" t="str">
            <v>San Alfonso 2141 (Ramón Subercaseaux 3060)</v>
          </cell>
          <cell r="M3333" t="str">
            <v>Estacion Central</v>
          </cell>
          <cell r="N3333" t="str">
            <v>B</v>
          </cell>
        </row>
        <row r="3334">
          <cell r="B3334" t="str">
            <v>1417 / VGKX-62|</v>
          </cell>
          <cell r="C3334" t="str">
            <v>MDN35025030021</v>
          </cell>
          <cell r="D3334" t="str">
            <v>LDYECS31XS0044304</v>
          </cell>
          <cell r="E3334" t="str">
            <v>Zhong Tong</v>
          </cell>
          <cell r="F3334" t="str">
            <v>Lck6122evg</v>
          </cell>
          <cell r="G3334" t="str">
            <v>ZHONGTONG</v>
          </cell>
          <cell r="H3334" t="str">
            <v>LCK6122EVG</v>
          </cell>
          <cell r="I3334">
            <v>2025</v>
          </cell>
          <cell r="J3334" t="str">
            <v>B</v>
          </cell>
          <cell r="K3334" t="str">
            <v>CERRILLOS</v>
          </cell>
          <cell r="L3334" t="str">
            <v>Calle Uno 7371</v>
          </cell>
          <cell r="M3334" t="str">
            <v>Cerrillos</v>
          </cell>
          <cell r="N3334" t="str">
            <v>B</v>
          </cell>
        </row>
        <row r="3335">
          <cell r="B3335" t="str">
            <v>1418 / VGKX-82|</v>
          </cell>
          <cell r="C3335" t="str">
            <v>MDN35025030136</v>
          </cell>
          <cell r="D3335" t="str">
            <v>LDYECS315S0044324</v>
          </cell>
          <cell r="E3335" t="str">
            <v>Zhong Tong</v>
          </cell>
          <cell r="F3335" t="str">
            <v>Lck6122evg</v>
          </cell>
          <cell r="G3335" t="str">
            <v>ZHONGTONG</v>
          </cell>
          <cell r="H3335" t="str">
            <v>LCK6122EVG</v>
          </cell>
          <cell r="I3335">
            <v>2025</v>
          </cell>
          <cell r="J3335" t="str">
            <v>B</v>
          </cell>
          <cell r="K3335" t="str">
            <v>PIE ANDINO</v>
          </cell>
          <cell r="L3335" t="str">
            <v>Pie Andino 31 (Pie Andino 383)</v>
          </cell>
          <cell r="M3335" t="str">
            <v>Puente Alto</v>
          </cell>
          <cell r="N3335" t="str">
            <v>B</v>
          </cell>
        </row>
        <row r="3336">
          <cell r="B3336" t="str">
            <v>1419 / VGKY-12|</v>
          </cell>
          <cell r="C3336" t="str">
            <v>MDN35025030073</v>
          </cell>
          <cell r="D3336" t="str">
            <v>LDYECS311S0044305</v>
          </cell>
          <cell r="E3336" t="str">
            <v>Zhong Tong</v>
          </cell>
          <cell r="F3336" t="str">
            <v>Lck6122evg</v>
          </cell>
          <cell r="G3336" t="str">
            <v>ZHONGTONG</v>
          </cell>
          <cell r="H3336" t="str">
            <v>LCK6122EVG</v>
          </cell>
          <cell r="I3336">
            <v>2025</v>
          </cell>
          <cell r="J3336" t="str">
            <v>B</v>
          </cell>
          <cell r="K3336" t="str">
            <v>CERRILLOS</v>
          </cell>
          <cell r="L3336" t="str">
            <v>Calle Uno 7371</v>
          </cell>
          <cell r="M3336" t="str">
            <v>Cerrillos</v>
          </cell>
          <cell r="N3336" t="str">
            <v>B</v>
          </cell>
        </row>
        <row r="3337">
          <cell r="B3337" t="str">
            <v>1420 / VGKY-22|</v>
          </cell>
          <cell r="C3337" t="str">
            <v>MDN35025030018</v>
          </cell>
          <cell r="D3337" t="str">
            <v>LDYECS31XS0044383</v>
          </cell>
          <cell r="E3337" t="str">
            <v>Zhong Tong</v>
          </cell>
          <cell r="F3337" t="str">
            <v>Lck6122evg</v>
          </cell>
          <cell r="G3337" t="str">
            <v>ZHONGTONG</v>
          </cell>
          <cell r="H3337" t="str">
            <v>LCK6122EVG</v>
          </cell>
          <cell r="I3337">
            <v>2025</v>
          </cell>
          <cell r="J3337" t="str">
            <v>B</v>
          </cell>
          <cell r="K3337" t="str">
            <v>PIE ANDINO</v>
          </cell>
          <cell r="L3337" t="str">
            <v>Pie Andino 31 (Pie Andino 383)</v>
          </cell>
          <cell r="M3337" t="str">
            <v>Puente Alto</v>
          </cell>
          <cell r="N3337" t="str">
            <v>B</v>
          </cell>
        </row>
        <row r="3338">
          <cell r="B3338" t="str">
            <v>1421 / VGKY-42|</v>
          </cell>
          <cell r="C3338" t="str">
            <v>MDN35025010127</v>
          </cell>
          <cell r="D3338" t="str">
            <v>LDYECS319S0044388</v>
          </cell>
          <cell r="E3338" t="str">
            <v>Zhong Tong</v>
          </cell>
          <cell r="F3338" t="str">
            <v>Lck6122evg</v>
          </cell>
          <cell r="G3338" t="str">
            <v>ZHONGTONG</v>
          </cell>
          <cell r="H3338" t="str">
            <v>LCK6122EVG</v>
          </cell>
          <cell r="I3338">
            <v>2025</v>
          </cell>
          <cell r="J3338" t="str">
            <v>B</v>
          </cell>
          <cell r="K3338" t="str">
            <v>PIE ANDINO</v>
          </cell>
          <cell r="L3338" t="str">
            <v>Pie Andino 31 (Pie Andino 383)</v>
          </cell>
          <cell r="M3338" t="str">
            <v>Puente Alto</v>
          </cell>
          <cell r="N3338" t="str">
            <v>B</v>
          </cell>
        </row>
        <row r="3339">
          <cell r="B3339" t="str">
            <v>1422 / VGKY-72|</v>
          </cell>
          <cell r="C3339" t="str">
            <v>MDN35025030199</v>
          </cell>
          <cell r="D3339" t="str">
            <v>LDYECS317S0044325</v>
          </cell>
          <cell r="E3339" t="str">
            <v>Zhong Tong</v>
          </cell>
          <cell r="F3339" t="str">
            <v>Lck6122evg</v>
          </cell>
          <cell r="G3339" t="str">
            <v>ZHONGTONG</v>
          </cell>
          <cell r="H3339" t="str">
            <v>LCK6122EVG</v>
          </cell>
          <cell r="I3339">
            <v>2025</v>
          </cell>
          <cell r="J3339" t="str">
            <v>B</v>
          </cell>
          <cell r="K3339" t="str">
            <v>PIE ANDINO</v>
          </cell>
          <cell r="L3339" t="str">
            <v>Pie Andino 31 (Pie Andino 383)</v>
          </cell>
          <cell r="M3339" t="str">
            <v>Puente Alto</v>
          </cell>
          <cell r="N3339" t="str">
            <v>B</v>
          </cell>
        </row>
        <row r="3340">
          <cell r="B3340" t="str">
            <v>1423 / VGKY-82|</v>
          </cell>
          <cell r="C3340" t="str">
            <v>MDN35025030042</v>
          </cell>
          <cell r="D3340" t="str">
            <v>LDYECS318S0044379</v>
          </cell>
          <cell r="E3340" t="str">
            <v>Zhong Tong</v>
          </cell>
          <cell r="F3340" t="str">
            <v>Lck6122evg</v>
          </cell>
          <cell r="G3340" t="str">
            <v>ZHONGTONG</v>
          </cell>
          <cell r="H3340" t="str">
            <v>LCK6122EVG</v>
          </cell>
          <cell r="I3340">
            <v>2025</v>
          </cell>
          <cell r="J3340" t="str">
            <v>B</v>
          </cell>
          <cell r="K3340" t="str">
            <v>PIE ANDINO</v>
          </cell>
          <cell r="L3340" t="str">
            <v>Pie Andino 31 (Pie Andino 383)</v>
          </cell>
          <cell r="M3340" t="str">
            <v>Puente Alto</v>
          </cell>
          <cell r="N3340" t="str">
            <v>B</v>
          </cell>
        </row>
        <row r="3341">
          <cell r="B3341" t="str">
            <v>1424 / VGKZ-62|</v>
          </cell>
          <cell r="C3341" t="str">
            <v>MDN35025030041</v>
          </cell>
          <cell r="D3341" t="str">
            <v>LDYECS313S0044385</v>
          </cell>
          <cell r="E3341" t="str">
            <v>Zhong Tong</v>
          </cell>
          <cell r="F3341" t="str">
            <v>Lck6122evg</v>
          </cell>
          <cell r="G3341" t="str">
            <v>ZHONGTONG</v>
          </cell>
          <cell r="H3341" t="str">
            <v>LCK6122EVG</v>
          </cell>
          <cell r="I3341">
            <v>2025</v>
          </cell>
          <cell r="J3341" t="str">
            <v>B</v>
          </cell>
          <cell r="K3341" t="str">
            <v>PIE ANDINO</v>
          </cell>
          <cell r="L3341" t="str">
            <v>Pie Andino 31 (Pie Andino 383)</v>
          </cell>
          <cell r="M3341" t="str">
            <v>Puente Alto</v>
          </cell>
          <cell r="N3341" t="str">
            <v>B</v>
          </cell>
        </row>
        <row r="3342">
          <cell r="B3342" t="str">
            <v>1425 / VGKZ-82|</v>
          </cell>
          <cell r="C3342" t="str">
            <v>MDN35025030011</v>
          </cell>
          <cell r="D3342" t="str">
            <v>LDYECS311S0044384</v>
          </cell>
          <cell r="E3342" t="str">
            <v>Zhong Tong</v>
          </cell>
          <cell r="F3342" t="str">
            <v>Lck6122evg</v>
          </cell>
          <cell r="G3342" t="str">
            <v>ZHONGTONG</v>
          </cell>
          <cell r="H3342" t="str">
            <v>LCK6122EVG</v>
          </cell>
          <cell r="I3342">
            <v>2025</v>
          </cell>
          <cell r="J3342" t="str">
            <v>B</v>
          </cell>
          <cell r="K3342" t="str">
            <v>PIE ANDINO</v>
          </cell>
          <cell r="L3342" t="str">
            <v>Pie Andino 31 (Pie Andino 383)</v>
          </cell>
          <cell r="M3342" t="str">
            <v>Puente Alto</v>
          </cell>
          <cell r="N3342" t="str">
            <v>B</v>
          </cell>
        </row>
        <row r="3343">
          <cell r="B3343" t="str">
            <v>1426 / VGKZ-92|</v>
          </cell>
          <cell r="C3343" t="str">
            <v>MDN35025030056</v>
          </cell>
          <cell r="D3343" t="str">
            <v>LDYECS313S0044371</v>
          </cell>
          <cell r="E3343" t="str">
            <v>Zhong Tong</v>
          </cell>
          <cell r="F3343" t="str">
            <v>Lck6122evg</v>
          </cell>
          <cell r="G3343" t="str">
            <v>ZHONGTONG</v>
          </cell>
          <cell r="H3343" t="str">
            <v>LCK6122EVG</v>
          </cell>
          <cell r="I3343">
            <v>2025</v>
          </cell>
          <cell r="J3343" t="str">
            <v>B</v>
          </cell>
          <cell r="K3343" t="str">
            <v>PIE ANDINO</v>
          </cell>
          <cell r="L3343" t="str">
            <v>Pie Andino 31 (Pie Andino 383)</v>
          </cell>
          <cell r="M3343" t="str">
            <v>Puente Alto</v>
          </cell>
          <cell r="N3343" t="str">
            <v>B</v>
          </cell>
        </row>
        <row r="3344">
          <cell r="B3344" t="str">
            <v>VGLZ-33|</v>
          </cell>
          <cell r="C3344" t="str">
            <v>LDYECS834S0045636</v>
          </cell>
          <cell r="D3344" t="str">
            <v>MJJ20025010047</v>
          </cell>
          <cell r="E3344" t="str">
            <v>Zhong Tong</v>
          </cell>
          <cell r="F3344" t="str">
            <v>LCK6850evg</v>
          </cell>
          <cell r="G3344" t="str">
            <v>ZHONGTONG</v>
          </cell>
          <cell r="H3344" t="str">
            <v>LCK6850evg</v>
          </cell>
          <cell r="I3344">
            <v>2025</v>
          </cell>
          <cell r="J3344" t="str">
            <v>A</v>
          </cell>
          <cell r="K3344" t="str">
            <v>CERRILLOS</v>
          </cell>
          <cell r="L3344" t="str">
            <v>Calle Uno 7371</v>
          </cell>
          <cell r="M3344" t="str">
            <v>Cerrillos</v>
          </cell>
          <cell r="N3344" t="str">
            <v>A</v>
          </cell>
        </row>
        <row r="3345">
          <cell r="B3345" t="str">
            <v>VGLZ-43|</v>
          </cell>
          <cell r="C3345" t="str">
            <v>LDYECS832S0045635</v>
          </cell>
          <cell r="D3345" t="str">
            <v>MJJ20025010001</v>
          </cell>
          <cell r="E3345" t="str">
            <v>Zhong Tong</v>
          </cell>
          <cell r="F3345" t="str">
            <v>LCK6850evg</v>
          </cell>
          <cell r="G3345" t="str">
            <v>ZHONGTONG</v>
          </cell>
          <cell r="H3345" t="str">
            <v>LCK6850evg</v>
          </cell>
          <cell r="I3345">
            <v>2025</v>
          </cell>
          <cell r="J3345" t="str">
            <v>A</v>
          </cell>
          <cell r="K3345" t="str">
            <v>CERRILLOS</v>
          </cell>
          <cell r="L3345" t="str">
            <v>Calle Uno 7371</v>
          </cell>
          <cell r="M3345" t="str">
            <v>Cerrillos</v>
          </cell>
          <cell r="N3345" t="str">
            <v>A</v>
          </cell>
        </row>
        <row r="3346">
          <cell r="B3346" t="str">
            <v>VGRB-23|</v>
          </cell>
          <cell r="C3346" t="str">
            <v>LDYECS836S0045637</v>
          </cell>
          <cell r="D3346" t="str">
            <v>MJJ20025010040</v>
          </cell>
          <cell r="E3346" t="str">
            <v>Zhong Tong</v>
          </cell>
          <cell r="F3346" t="str">
            <v>LCK6850evg</v>
          </cell>
          <cell r="G3346" t="str">
            <v>ZHONGTONG</v>
          </cell>
          <cell r="H3346" t="str">
            <v>LCK6850evg</v>
          </cell>
          <cell r="I3346">
            <v>2025</v>
          </cell>
          <cell r="J3346" t="str">
            <v>A</v>
          </cell>
          <cell r="K3346" t="str">
            <v>CERRILLOS</v>
          </cell>
          <cell r="L3346" t="str">
            <v>Calle Uno 7371</v>
          </cell>
          <cell r="M3346" t="str">
            <v>Cerrillos</v>
          </cell>
          <cell r="N3346" t="str">
            <v>A</v>
          </cell>
        </row>
        <row r="3347">
          <cell r="B3347" t="str">
            <v>VGRB-24|</v>
          </cell>
          <cell r="C3347" t="str">
            <v>LDYECS83XS0045611</v>
          </cell>
          <cell r="D3347" t="str">
            <v>MJJ20025010028</v>
          </cell>
          <cell r="E3347" t="str">
            <v>Zhong Tong</v>
          </cell>
          <cell r="F3347" t="str">
            <v>LCK6850evg</v>
          </cell>
          <cell r="G3347" t="str">
            <v>ZHONGTONG</v>
          </cell>
          <cell r="H3347" t="str">
            <v>LCK6850evg</v>
          </cell>
          <cell r="I3347">
            <v>2025</v>
          </cell>
          <cell r="J3347" t="str">
            <v>A</v>
          </cell>
          <cell r="K3347" t="str">
            <v>CERRILLOS</v>
          </cell>
          <cell r="L3347" t="str">
            <v>Calle Uno 7371</v>
          </cell>
          <cell r="M3347" t="str">
            <v>Cerrillos</v>
          </cell>
          <cell r="N3347" t="str">
            <v>A</v>
          </cell>
        </row>
        <row r="3348">
          <cell r="B3348" t="str">
            <v>VGRB-33|</v>
          </cell>
          <cell r="C3348" t="str">
            <v>LDYECS833S0045630</v>
          </cell>
          <cell r="D3348" t="str">
            <v>MJJ20025010012</v>
          </cell>
          <cell r="E3348" t="str">
            <v>Zhong Tong</v>
          </cell>
          <cell r="F3348" t="str">
            <v>LCK6850evg</v>
          </cell>
          <cell r="G3348" t="str">
            <v>ZHONGTONG</v>
          </cell>
          <cell r="H3348" t="str">
            <v>LCK6850evg</v>
          </cell>
          <cell r="I3348">
            <v>2025</v>
          </cell>
          <cell r="J3348" t="str">
            <v>A</v>
          </cell>
          <cell r="K3348" t="str">
            <v>CERRILLOS</v>
          </cell>
          <cell r="L3348" t="str">
            <v>Calle Uno 7371</v>
          </cell>
          <cell r="M3348" t="str">
            <v>Cerrillos</v>
          </cell>
          <cell r="N3348" t="str">
            <v>A</v>
          </cell>
        </row>
        <row r="3349">
          <cell r="B3349" t="str">
            <v>VGRB-63|</v>
          </cell>
          <cell r="C3349" t="str">
            <v>LDYECS837S0045632</v>
          </cell>
          <cell r="D3349" t="str">
            <v>MJJ20025010003</v>
          </cell>
          <cell r="E3349" t="str">
            <v>Zhong Tong</v>
          </cell>
          <cell r="F3349" t="str">
            <v>LCK6850evg</v>
          </cell>
          <cell r="G3349" t="str">
            <v>ZHONGTONG</v>
          </cell>
          <cell r="H3349" t="str">
            <v>LCK6850evg</v>
          </cell>
          <cell r="I3349">
            <v>2025</v>
          </cell>
          <cell r="J3349" t="str">
            <v>A</v>
          </cell>
          <cell r="K3349" t="str">
            <v>CERRILLOS</v>
          </cell>
          <cell r="L3349" t="str">
            <v>Calle Uno 7371</v>
          </cell>
          <cell r="M3349" t="str">
            <v>Cerrillos</v>
          </cell>
          <cell r="N3349" t="str">
            <v>A</v>
          </cell>
        </row>
        <row r="3350">
          <cell r="B3350" t="str">
            <v>VGRB-73|</v>
          </cell>
          <cell r="C3350" t="str">
            <v>LDYECS833S0045627</v>
          </cell>
          <cell r="D3350" t="str">
            <v>MJJ20025010013</v>
          </cell>
          <cell r="E3350" t="str">
            <v>Zhong Tong</v>
          </cell>
          <cell r="F3350" t="str">
            <v>LCK6850evg</v>
          </cell>
          <cell r="G3350" t="str">
            <v>ZHONGTONG</v>
          </cell>
          <cell r="H3350" t="str">
            <v>LCK6850evg</v>
          </cell>
          <cell r="I3350">
            <v>2025</v>
          </cell>
          <cell r="J3350" t="str">
            <v>A</v>
          </cell>
          <cell r="K3350" t="str">
            <v>CERRILLOS</v>
          </cell>
          <cell r="L3350" t="str">
            <v>Calle Uno 7371</v>
          </cell>
          <cell r="M3350" t="str">
            <v>Cerrillos</v>
          </cell>
          <cell r="N3350" t="str">
            <v>A</v>
          </cell>
        </row>
        <row r="3351">
          <cell r="B3351" t="str">
            <v>VGRB-93|</v>
          </cell>
          <cell r="C3351" t="str">
            <v>LDYECS839S0045633</v>
          </cell>
          <cell r="D3351" t="str">
            <v>MJJ20025010010</v>
          </cell>
          <cell r="E3351" t="str">
            <v>Zhong Tong</v>
          </cell>
          <cell r="F3351" t="str">
            <v>LCK6850evg</v>
          </cell>
          <cell r="G3351" t="str">
            <v>ZHONGTONG</v>
          </cell>
          <cell r="H3351" t="str">
            <v>LCK6850evg</v>
          </cell>
          <cell r="I3351">
            <v>2025</v>
          </cell>
          <cell r="J3351" t="str">
            <v>A</v>
          </cell>
          <cell r="K3351" t="str">
            <v>CERRILLOS</v>
          </cell>
          <cell r="L3351" t="str">
            <v>Calle Uno 7371</v>
          </cell>
          <cell r="M3351" t="str">
            <v>Cerrillos</v>
          </cell>
          <cell r="N3351" t="str">
            <v>A</v>
          </cell>
        </row>
        <row r="3352">
          <cell r="B3352" t="str">
            <v>VGRC-13|</v>
          </cell>
          <cell r="C3352" t="str">
            <v>LDYECS830S0045648</v>
          </cell>
          <cell r="D3352" t="str">
            <v>MJJ20025010016</v>
          </cell>
          <cell r="E3352" t="str">
            <v>Zhong Tong</v>
          </cell>
          <cell r="F3352" t="str">
            <v>LCK6850evg</v>
          </cell>
          <cell r="G3352" t="str">
            <v>ZHONGTONG</v>
          </cell>
          <cell r="H3352" t="str">
            <v>LCK6850evg</v>
          </cell>
          <cell r="I3352">
            <v>2025</v>
          </cell>
          <cell r="J3352" t="str">
            <v>A</v>
          </cell>
          <cell r="K3352" t="str">
            <v>CERRILLOS</v>
          </cell>
          <cell r="L3352" t="str">
            <v>Calle Uno 7371</v>
          </cell>
          <cell r="M3352" t="str">
            <v>Cerrillos</v>
          </cell>
          <cell r="N3352" t="str">
            <v>A</v>
          </cell>
        </row>
        <row r="3353">
          <cell r="B3353" t="str">
            <v>VGRC-23|</v>
          </cell>
          <cell r="C3353" t="str">
            <v>LDYECS838S0045624</v>
          </cell>
          <cell r="D3353" t="str">
            <v>MJJ20025010023</v>
          </cell>
          <cell r="E3353" t="str">
            <v>Zhong Tong</v>
          </cell>
          <cell r="F3353" t="str">
            <v>LCK6850evg</v>
          </cell>
          <cell r="G3353" t="str">
            <v>ZHONGTONG</v>
          </cell>
          <cell r="H3353" t="str">
            <v>LCK6850evg</v>
          </cell>
          <cell r="I3353">
            <v>2025</v>
          </cell>
          <cell r="J3353" t="str">
            <v>A</v>
          </cell>
          <cell r="K3353" t="str">
            <v>CERRILLOS</v>
          </cell>
          <cell r="L3353" t="str">
            <v>Calle Uno 7371</v>
          </cell>
          <cell r="M3353" t="str">
            <v>Cerrillos</v>
          </cell>
          <cell r="N3353" t="str">
            <v>A</v>
          </cell>
        </row>
        <row r="3354">
          <cell r="B3354" t="str">
            <v>VGRC-33|</v>
          </cell>
          <cell r="C3354" t="str">
            <v>LDYECS835S0045631</v>
          </cell>
          <cell r="D3354" t="str">
            <v>MJJ20025010015</v>
          </cell>
          <cell r="E3354" t="str">
            <v>Zhong Tong</v>
          </cell>
          <cell r="F3354" t="str">
            <v>LCK6850evg</v>
          </cell>
          <cell r="G3354" t="str">
            <v>ZHONGTONG</v>
          </cell>
          <cell r="H3354" t="str">
            <v>LCK6850evg</v>
          </cell>
          <cell r="I3354">
            <v>2025</v>
          </cell>
          <cell r="J3354" t="str">
            <v>A</v>
          </cell>
          <cell r="K3354" t="str">
            <v>CERRILLOS</v>
          </cell>
          <cell r="L3354" t="str">
            <v>Calle Uno 7371</v>
          </cell>
          <cell r="M3354" t="str">
            <v>Cerrillos</v>
          </cell>
          <cell r="N3354" t="str">
            <v>A</v>
          </cell>
        </row>
        <row r="3355">
          <cell r="B3355" t="str">
            <v>VGRC-43|</v>
          </cell>
          <cell r="C3355" t="str">
            <v>LDYECS83XS0045639</v>
          </cell>
          <cell r="D3355" t="str">
            <v>MJJ20025010020</v>
          </cell>
          <cell r="E3355" t="str">
            <v>Zhong Tong</v>
          </cell>
          <cell r="F3355" t="str">
            <v>LCK6850evg</v>
          </cell>
          <cell r="G3355" t="str">
            <v>ZHONGTONG</v>
          </cell>
          <cell r="H3355" t="str">
            <v>LCK6850evg</v>
          </cell>
          <cell r="I3355">
            <v>2025</v>
          </cell>
          <cell r="J3355" t="str">
            <v>A</v>
          </cell>
          <cell r="K3355" t="str">
            <v>CERRILLOS</v>
          </cell>
          <cell r="L3355" t="str">
            <v>Calle Uno 7371</v>
          </cell>
          <cell r="M3355" t="str">
            <v>Cerrillos</v>
          </cell>
          <cell r="N3355" t="str">
            <v>A</v>
          </cell>
        </row>
        <row r="3356">
          <cell r="B3356" t="str">
            <v>VGRC-53|</v>
          </cell>
          <cell r="C3356" t="str">
            <v>LDYECS831S0045626</v>
          </cell>
          <cell r="D3356" t="str">
            <v>MJJ20025010058</v>
          </cell>
          <cell r="E3356" t="str">
            <v>Zhong Tong</v>
          </cell>
          <cell r="F3356" t="str">
            <v>LCK6850evg</v>
          </cell>
          <cell r="G3356" t="str">
            <v>ZHONGTONG</v>
          </cell>
          <cell r="H3356" t="str">
            <v>LCK6850evg</v>
          </cell>
          <cell r="I3356">
            <v>2025</v>
          </cell>
          <cell r="J3356" t="str">
            <v>A</v>
          </cell>
          <cell r="K3356" t="str">
            <v>CERRILLOS</v>
          </cell>
          <cell r="L3356" t="str">
            <v>Calle Uno 7371</v>
          </cell>
          <cell r="M3356" t="str">
            <v>Cerrillos</v>
          </cell>
          <cell r="N3356" t="str">
            <v>A</v>
          </cell>
        </row>
        <row r="3357">
          <cell r="B3357" t="str">
            <v>VGRC-73|</v>
          </cell>
          <cell r="C3357" t="str">
            <v>LDYECS833S0045644</v>
          </cell>
          <cell r="D3357" t="str">
            <v>MJJ20025010033</v>
          </cell>
          <cell r="E3357" t="str">
            <v>Zhong Tong</v>
          </cell>
          <cell r="F3357" t="str">
            <v>LCK6850evg</v>
          </cell>
          <cell r="G3357" t="str">
            <v>ZHONGTONG</v>
          </cell>
          <cell r="H3357" t="str">
            <v>LCK6850evg</v>
          </cell>
          <cell r="I3357">
            <v>2025</v>
          </cell>
          <cell r="J3357" t="str">
            <v>A</v>
          </cell>
          <cell r="K3357" t="str">
            <v>CERRILLOS</v>
          </cell>
          <cell r="L3357" t="str">
            <v>Calle Uno 7371</v>
          </cell>
          <cell r="M3357" t="str">
            <v>Cerrillos</v>
          </cell>
          <cell r="N3357" t="str">
            <v>A</v>
          </cell>
        </row>
        <row r="3358">
          <cell r="B3358" t="str">
            <v>VGRC-83|</v>
          </cell>
          <cell r="C3358" t="str">
            <v>LDYECS837S0045646</v>
          </cell>
          <cell r="D3358" t="str">
            <v>MJJ20025010007</v>
          </cell>
          <cell r="E3358" t="str">
            <v>Zhong Tong</v>
          </cell>
          <cell r="F3358" t="str">
            <v>LCK6850evg</v>
          </cell>
          <cell r="G3358" t="str">
            <v>ZHONGTONG</v>
          </cell>
          <cell r="H3358" t="str">
            <v>LCK6850evg</v>
          </cell>
          <cell r="I3358">
            <v>2025</v>
          </cell>
          <cell r="J3358" t="str">
            <v>A</v>
          </cell>
          <cell r="K3358" t="str">
            <v>CERRILLOS</v>
          </cell>
          <cell r="L3358" t="str">
            <v>Calle Uno 7371</v>
          </cell>
          <cell r="M3358" t="str">
            <v>Cerrillos</v>
          </cell>
          <cell r="N3358" t="str">
            <v>A</v>
          </cell>
        </row>
        <row r="3359">
          <cell r="B3359" t="str">
            <v>VGRC-93|</v>
          </cell>
          <cell r="C3359" t="str">
            <v>LDYECS836S0045640</v>
          </cell>
          <cell r="D3359" t="str">
            <v>MJJ20025010019</v>
          </cell>
          <cell r="E3359" t="str">
            <v>Zhong Tong</v>
          </cell>
          <cell r="F3359" t="str">
            <v>LCK6850evg</v>
          </cell>
          <cell r="G3359" t="str">
            <v>ZHONGTONG</v>
          </cell>
          <cell r="H3359" t="str">
            <v>LCK6850evg</v>
          </cell>
          <cell r="I3359">
            <v>2025</v>
          </cell>
          <cell r="J3359" t="str">
            <v>A</v>
          </cell>
          <cell r="K3359" t="str">
            <v>CERRILLOS</v>
          </cell>
          <cell r="L3359" t="str">
            <v>Calle Uno 7371</v>
          </cell>
          <cell r="M3359" t="str">
            <v>Cerrillos</v>
          </cell>
          <cell r="N3359" t="str">
            <v>A</v>
          </cell>
        </row>
        <row r="3360">
          <cell r="B3360" t="str">
            <v>VGRD-25|</v>
          </cell>
          <cell r="C3360" t="str">
            <v>LDYECS83XS0045625</v>
          </cell>
          <cell r="D3360" t="str">
            <v>MJJ20025010014</v>
          </cell>
          <cell r="E3360" t="str">
            <v>Zhong Tong</v>
          </cell>
          <cell r="F3360" t="str">
            <v>LCK6850evg</v>
          </cell>
          <cell r="G3360" t="str">
            <v>ZHONGTONG</v>
          </cell>
          <cell r="H3360" t="str">
            <v>LCK6850evg</v>
          </cell>
          <cell r="I3360">
            <v>2025</v>
          </cell>
          <cell r="J3360" t="str">
            <v>A</v>
          </cell>
          <cell r="K3360" t="str">
            <v>CERRILLOS</v>
          </cell>
          <cell r="L3360" t="str">
            <v>Calle Uno 7371</v>
          </cell>
          <cell r="M3360" t="str">
            <v>Cerrillos</v>
          </cell>
          <cell r="N3360" t="str">
            <v>A</v>
          </cell>
        </row>
        <row r="3361">
          <cell r="B3361" t="str">
            <v>VGRD-35|</v>
          </cell>
          <cell r="C3361" t="str">
            <v>LDYECS832S0045599</v>
          </cell>
          <cell r="D3361" t="str">
            <v>MJJ20025010048</v>
          </cell>
          <cell r="E3361" t="str">
            <v>Zhong Tong</v>
          </cell>
          <cell r="F3361" t="str">
            <v>LCK6850evg</v>
          </cell>
          <cell r="G3361" t="str">
            <v>ZHONGTONG</v>
          </cell>
          <cell r="H3361" t="str">
            <v>LCK6850evg</v>
          </cell>
          <cell r="I3361">
            <v>2025</v>
          </cell>
          <cell r="J3361" t="str">
            <v>A</v>
          </cell>
          <cell r="K3361" t="str">
            <v>CERRILLOS</v>
          </cell>
          <cell r="L3361" t="str">
            <v>Calle Uno 7371</v>
          </cell>
          <cell r="M3361" t="str">
            <v>Cerrillos</v>
          </cell>
          <cell r="N3361" t="str">
            <v>A</v>
          </cell>
        </row>
        <row r="3362">
          <cell r="B3362" t="str">
            <v>VGRD-55|</v>
          </cell>
          <cell r="C3362" t="str">
            <v>LDYECS836S0045602</v>
          </cell>
          <cell r="D3362" t="str">
            <v>MJJ20025010046</v>
          </cell>
          <cell r="E3362" t="str">
            <v>Zhong Tong</v>
          </cell>
          <cell r="F3362" t="str">
            <v>LCK6850evg</v>
          </cell>
          <cell r="G3362" t="str">
            <v>ZHONGTONG</v>
          </cell>
          <cell r="H3362" t="str">
            <v>LCK6850evg</v>
          </cell>
          <cell r="I3362">
            <v>2025</v>
          </cell>
          <cell r="J3362" t="str">
            <v>A</v>
          </cell>
          <cell r="K3362" t="str">
            <v>CERRILLOS</v>
          </cell>
          <cell r="L3362" t="str">
            <v>Calle Uno 7371</v>
          </cell>
          <cell r="M3362" t="str">
            <v>Cerrillos</v>
          </cell>
          <cell r="N3362" t="str">
            <v>A</v>
          </cell>
        </row>
        <row r="3363">
          <cell r="B3363" t="str">
            <v>VGRF-45|</v>
          </cell>
          <cell r="C3363" t="str">
            <v>LDYECS837S0045629</v>
          </cell>
          <cell r="D3363" t="str">
            <v>MJJ20025010011</v>
          </cell>
          <cell r="E3363" t="str">
            <v>Zhong Tong</v>
          </cell>
          <cell r="F3363" t="str">
            <v>LCK6850evg</v>
          </cell>
          <cell r="G3363" t="str">
            <v>ZHONGTONG</v>
          </cell>
          <cell r="H3363" t="str">
            <v>LCK6850evg</v>
          </cell>
          <cell r="I3363">
            <v>2025</v>
          </cell>
          <cell r="J3363" t="str">
            <v>A</v>
          </cell>
          <cell r="K3363" t="str">
            <v>CERRILLOS</v>
          </cell>
          <cell r="L3363" t="str">
            <v>Calle Uno 7371</v>
          </cell>
          <cell r="M3363" t="str">
            <v>Cerrillos</v>
          </cell>
          <cell r="N3363" t="str">
            <v>A</v>
          </cell>
        </row>
        <row r="3364">
          <cell r="B3364" t="str">
            <v>VGRF-55|</v>
          </cell>
          <cell r="C3364" t="str">
            <v>LDYECS839S0045616</v>
          </cell>
          <cell r="D3364" t="str">
            <v>MJJ20025010037</v>
          </cell>
          <cell r="E3364" t="str">
            <v>Zhong Tong</v>
          </cell>
          <cell r="F3364" t="str">
            <v>LCK6850evg</v>
          </cell>
          <cell r="G3364" t="str">
            <v>ZHONGTONG</v>
          </cell>
          <cell r="H3364" t="str">
            <v>LCK6850evg</v>
          </cell>
          <cell r="I3364">
            <v>2025</v>
          </cell>
          <cell r="J3364" t="str">
            <v>A</v>
          </cell>
          <cell r="K3364" t="str">
            <v>CERRILLOS</v>
          </cell>
          <cell r="L3364" t="str">
            <v>Calle Uno 7371</v>
          </cell>
          <cell r="M3364" t="str">
            <v>Cerrillos</v>
          </cell>
          <cell r="N3364" t="str">
            <v>A</v>
          </cell>
        </row>
        <row r="3365">
          <cell r="B3365" t="str">
            <v>VGRF-65|</v>
          </cell>
          <cell r="C3365" t="str">
            <v>LDYECS838S0045610</v>
          </cell>
          <cell r="D3365" t="str">
            <v>MJJ20025030024</v>
          </cell>
          <cell r="E3365" t="str">
            <v>Zhong Tong</v>
          </cell>
          <cell r="F3365" t="str">
            <v>LCK6850evg</v>
          </cell>
          <cell r="G3365" t="str">
            <v>ZHONGTONG</v>
          </cell>
          <cell r="H3365" t="str">
            <v>LCK6850evg</v>
          </cell>
          <cell r="I3365">
            <v>2025</v>
          </cell>
          <cell r="J3365" t="str">
            <v>A</v>
          </cell>
          <cell r="K3365" t="str">
            <v>CERRILLOS</v>
          </cell>
          <cell r="L3365" t="str">
            <v>Calle Uno 7371</v>
          </cell>
          <cell r="M3365" t="str">
            <v>Cerrillos</v>
          </cell>
          <cell r="N3365" t="str">
            <v>A</v>
          </cell>
        </row>
        <row r="3366">
          <cell r="B3366" t="str">
            <v>VGRF-75|</v>
          </cell>
          <cell r="C3366" t="str">
            <v>LDYECS830S0045620</v>
          </cell>
          <cell r="D3366" t="str">
            <v>MJJ20025010025</v>
          </cell>
          <cell r="E3366" t="str">
            <v>Zhong Tong</v>
          </cell>
          <cell r="F3366" t="str">
            <v>LCK6850evg</v>
          </cell>
          <cell r="G3366" t="str">
            <v>ZHONGTONG</v>
          </cell>
          <cell r="H3366" t="str">
            <v>LCK6850evg</v>
          </cell>
          <cell r="I3366">
            <v>2025</v>
          </cell>
          <cell r="J3366" t="str">
            <v>A</v>
          </cell>
          <cell r="K3366" t="str">
            <v>CERRILLOS</v>
          </cell>
          <cell r="L3366" t="str">
            <v>Calle Uno 7371</v>
          </cell>
          <cell r="M3366" t="str">
            <v>Cerrillos</v>
          </cell>
          <cell r="N3366" t="str">
            <v>A</v>
          </cell>
        </row>
        <row r="3367">
          <cell r="B3367" t="str">
            <v>VGRF-84|</v>
          </cell>
          <cell r="C3367" t="str">
            <v>LDYECS832S0045618</v>
          </cell>
          <cell r="D3367" t="str">
            <v>MJJ20025010030</v>
          </cell>
          <cell r="E3367" t="str">
            <v>Zhong Tong</v>
          </cell>
          <cell r="F3367" t="str">
            <v>LCK6850evg</v>
          </cell>
          <cell r="G3367" t="str">
            <v>ZHONGTONG</v>
          </cell>
          <cell r="H3367" t="str">
            <v>LCK6850evg</v>
          </cell>
          <cell r="I3367">
            <v>2025</v>
          </cell>
          <cell r="J3367" t="str">
            <v>A</v>
          </cell>
          <cell r="K3367" t="str">
            <v>CERRILLOS</v>
          </cell>
          <cell r="L3367" t="str">
            <v>Calle Uno 7371</v>
          </cell>
          <cell r="M3367" t="str">
            <v>Cerrillos</v>
          </cell>
          <cell r="N3367" t="str">
            <v>A</v>
          </cell>
        </row>
        <row r="3368">
          <cell r="B3368" t="str">
            <v>VGRF-85|</v>
          </cell>
          <cell r="C3368" t="str">
            <v>LDYECS831S0045609</v>
          </cell>
          <cell r="D3368" t="str">
            <v>MJJ20025010029</v>
          </cell>
          <cell r="E3368" t="str">
            <v>Zhong Tong</v>
          </cell>
          <cell r="F3368" t="str">
            <v>LCK6850evg</v>
          </cell>
          <cell r="G3368" t="str">
            <v>ZHONGTONG</v>
          </cell>
          <cell r="H3368" t="str">
            <v>LCK6850evg</v>
          </cell>
          <cell r="I3368">
            <v>2025</v>
          </cell>
          <cell r="J3368" t="str">
            <v>A</v>
          </cell>
          <cell r="K3368" t="str">
            <v>CERRILLOS</v>
          </cell>
          <cell r="L3368" t="str">
            <v>Calle Uno 7371</v>
          </cell>
          <cell r="M3368" t="str">
            <v>Cerrillos</v>
          </cell>
          <cell r="N3368" t="str">
            <v>A</v>
          </cell>
        </row>
        <row r="3369">
          <cell r="B3369" t="str">
            <v>VGRF-94|</v>
          </cell>
          <cell r="C3369" t="str">
            <v>LDYECS830S0045634</v>
          </cell>
          <cell r="D3369" t="str">
            <v>MJJ20025010004</v>
          </cell>
          <cell r="E3369" t="str">
            <v>Zhong Tong</v>
          </cell>
          <cell r="F3369" t="str">
            <v>LCK6850evg</v>
          </cell>
          <cell r="G3369" t="str">
            <v>ZHONGTONG</v>
          </cell>
          <cell r="H3369" t="str">
            <v>LCK6850evg</v>
          </cell>
          <cell r="I3369">
            <v>2025</v>
          </cell>
          <cell r="J3369" t="str">
            <v>A</v>
          </cell>
          <cell r="K3369" t="str">
            <v>CERRILLOS</v>
          </cell>
          <cell r="L3369" t="str">
            <v>Calle Uno 7371</v>
          </cell>
          <cell r="M3369" t="str">
            <v>Cerrillos</v>
          </cell>
          <cell r="N3369" t="str">
            <v>A</v>
          </cell>
        </row>
        <row r="3370">
          <cell r="B3370" t="str">
            <v>VGRG-14|</v>
          </cell>
          <cell r="C3370" t="str">
            <v>LDYECS834S0045622</v>
          </cell>
          <cell r="D3370" t="str">
            <v>MJJ20025030025</v>
          </cell>
          <cell r="E3370" t="str">
            <v>Zhong Tong</v>
          </cell>
          <cell r="F3370" t="str">
            <v>LCK6850evg</v>
          </cell>
          <cell r="G3370" t="str">
            <v>ZHONGTONG</v>
          </cell>
          <cell r="H3370" t="str">
            <v>LCK6850evg</v>
          </cell>
          <cell r="I3370">
            <v>2025</v>
          </cell>
          <cell r="J3370" t="str">
            <v>A</v>
          </cell>
          <cell r="K3370" t="str">
            <v>CERRILLOS</v>
          </cell>
          <cell r="L3370" t="str">
            <v>Calle Uno 7371</v>
          </cell>
          <cell r="M3370" t="str">
            <v>Cerrillos</v>
          </cell>
          <cell r="N3370" t="str">
            <v>A</v>
          </cell>
        </row>
        <row r="3371">
          <cell r="B3371" t="str">
            <v>VGRG-24|</v>
          </cell>
          <cell r="C3371" t="str">
            <v>LDYECS831S0045612</v>
          </cell>
          <cell r="D3371" t="str">
            <v>MJJ20025010043</v>
          </cell>
          <cell r="E3371" t="str">
            <v>Zhong Tong</v>
          </cell>
          <cell r="F3371" t="str">
            <v>LCK6850evg</v>
          </cell>
          <cell r="G3371" t="str">
            <v>ZHONGTONG</v>
          </cell>
          <cell r="H3371" t="str">
            <v>LCK6850evg</v>
          </cell>
          <cell r="I3371">
            <v>2025</v>
          </cell>
          <cell r="J3371" t="str">
            <v>A</v>
          </cell>
          <cell r="K3371" t="str">
            <v>CERRILLOS</v>
          </cell>
          <cell r="L3371" t="str">
            <v>Calle Uno 7371</v>
          </cell>
          <cell r="M3371" t="str">
            <v>Cerrillos</v>
          </cell>
          <cell r="N3371" t="str">
            <v>A</v>
          </cell>
        </row>
        <row r="3372">
          <cell r="B3372" t="str">
            <v>VGRG-34|</v>
          </cell>
          <cell r="C3372" t="str">
            <v>LDYECS834S0045619</v>
          </cell>
          <cell r="D3372" t="str">
            <v>MJJ2002503018</v>
          </cell>
          <cell r="E3372" t="str">
            <v>Zhong Tong</v>
          </cell>
          <cell r="F3372" t="str">
            <v>LCK6850evg</v>
          </cell>
          <cell r="G3372" t="str">
            <v>ZHONGTONG</v>
          </cell>
          <cell r="H3372" t="str">
            <v>LCK6850evg</v>
          </cell>
          <cell r="I3372">
            <v>2025</v>
          </cell>
          <cell r="J3372" t="str">
            <v>A</v>
          </cell>
          <cell r="K3372" t="str">
            <v>CERRILLOS</v>
          </cell>
          <cell r="L3372" t="str">
            <v>Calle Uno 7371</v>
          </cell>
          <cell r="M3372" t="str">
            <v>Cerrillos</v>
          </cell>
          <cell r="N3372" t="str">
            <v>A</v>
          </cell>
        </row>
        <row r="3373">
          <cell r="B3373" t="str">
            <v>VGRG-44|</v>
          </cell>
          <cell r="C3373" t="str">
            <v>LDYECS83XS0045608</v>
          </cell>
          <cell r="D3373" t="str">
            <v>MJJ20025030023</v>
          </cell>
          <cell r="E3373" t="str">
            <v>Zhong Tong</v>
          </cell>
          <cell r="F3373" t="str">
            <v>LCK6850evg</v>
          </cell>
          <cell r="G3373" t="str">
            <v>ZHONGTONG</v>
          </cell>
          <cell r="H3373" t="str">
            <v>LCK6850evg</v>
          </cell>
          <cell r="I3373">
            <v>2025</v>
          </cell>
          <cell r="J3373" t="str">
            <v>A</v>
          </cell>
          <cell r="K3373" t="str">
            <v>CERRILLOS</v>
          </cell>
          <cell r="L3373" t="str">
            <v>Calle Uno 7371</v>
          </cell>
          <cell r="M3373" t="str">
            <v>Cerrillos</v>
          </cell>
          <cell r="N3373" t="str">
            <v>A</v>
          </cell>
        </row>
        <row r="3374">
          <cell r="B3374" t="str">
            <v>VGRG-45|</v>
          </cell>
          <cell r="C3374" t="str">
            <v>LDYECS832S0045649</v>
          </cell>
          <cell r="D3374" t="str">
            <v>MJJ20025010008</v>
          </cell>
          <cell r="E3374" t="str">
            <v>Zhong Tong</v>
          </cell>
          <cell r="F3374" t="str">
            <v>LCK6850evg</v>
          </cell>
          <cell r="G3374" t="str">
            <v>ZHONGTONG</v>
          </cell>
          <cell r="H3374" t="str">
            <v>LCK6850evg</v>
          </cell>
          <cell r="I3374">
            <v>2025</v>
          </cell>
          <cell r="J3374" t="str">
            <v>A</v>
          </cell>
          <cell r="K3374" t="str">
            <v>CERRILLOS</v>
          </cell>
          <cell r="L3374" t="str">
            <v>Calle Uno 7371</v>
          </cell>
          <cell r="M3374" t="str">
            <v>Cerrillos</v>
          </cell>
          <cell r="N3374" t="str">
            <v>A</v>
          </cell>
        </row>
        <row r="3375">
          <cell r="B3375" t="str">
            <v>VGRG-54|</v>
          </cell>
          <cell r="C3375" t="str">
            <v>LDYECS836S0045623</v>
          </cell>
          <cell r="D3375" t="str">
            <v>MJJ20025010021</v>
          </cell>
          <cell r="E3375" t="str">
            <v>Zhong Tong</v>
          </cell>
          <cell r="F3375" t="str">
            <v>LCK6850evg</v>
          </cell>
          <cell r="G3375" t="str">
            <v>ZHONGTONG</v>
          </cell>
          <cell r="H3375" t="str">
            <v>LCK6850evg</v>
          </cell>
          <cell r="I3375">
            <v>2025</v>
          </cell>
          <cell r="J3375" t="str">
            <v>A</v>
          </cell>
          <cell r="K3375" t="str">
            <v>CERRILLOS</v>
          </cell>
          <cell r="L3375" t="str">
            <v>Calle Uno 7371</v>
          </cell>
          <cell r="M3375" t="str">
            <v>Cerrillos</v>
          </cell>
          <cell r="N3375" t="str">
            <v>A</v>
          </cell>
        </row>
        <row r="3376">
          <cell r="B3376" t="str">
            <v>VJKD-70|</v>
          </cell>
          <cell r="C3376" t="str">
            <v>LDYECS312S0044409</v>
          </cell>
          <cell r="D3376" t="str">
            <v>MDN35025030111</v>
          </cell>
          <cell r="E3376" t="str">
            <v>Zhong Thong</v>
          </cell>
          <cell r="F3376" t="str">
            <v>Lck6122evg</v>
          </cell>
          <cell r="G3376" t="str">
            <v>Zhong Thong</v>
          </cell>
          <cell r="H3376" t="str">
            <v>Lck6122evg</v>
          </cell>
          <cell r="I3376">
            <v>2026</v>
          </cell>
          <cell r="J3376" t="str">
            <v>B</v>
          </cell>
          <cell r="K3376" t="str">
            <v>Recoleta</v>
          </cell>
          <cell r="N3376" t="str">
            <v>B</v>
          </cell>
        </row>
        <row r="3377">
          <cell r="B3377" t="str">
            <v>VJKD-85|</v>
          </cell>
          <cell r="C3377" t="str">
            <v>LDYECS313S0044323</v>
          </cell>
          <cell r="D3377" t="str">
            <v>MDN35025030135</v>
          </cell>
          <cell r="E3377" t="str">
            <v>Zhong Thong</v>
          </cell>
          <cell r="F3377" t="str">
            <v>Lck6122evg</v>
          </cell>
          <cell r="G3377" t="str">
            <v>Zhong Thong</v>
          </cell>
          <cell r="H3377" t="str">
            <v>Lck6122evg</v>
          </cell>
          <cell r="I3377">
            <v>2026</v>
          </cell>
          <cell r="J3377" t="str">
            <v>B</v>
          </cell>
          <cell r="K3377" t="str">
            <v>Recoleta</v>
          </cell>
          <cell r="N3377" t="str">
            <v>B</v>
          </cell>
        </row>
        <row r="3378">
          <cell r="B3378" t="str">
            <v>VJKD-94|</v>
          </cell>
          <cell r="C3378" t="str">
            <v>LDYECS310S0044392</v>
          </cell>
          <cell r="D3378" t="str">
            <v>MDN35025030180</v>
          </cell>
          <cell r="E3378" t="str">
            <v>Zhong Thong</v>
          </cell>
          <cell r="F3378" t="str">
            <v>Lck6122evg</v>
          </cell>
          <cell r="G3378" t="str">
            <v>Zhong Thong</v>
          </cell>
          <cell r="H3378" t="str">
            <v>Lck6122evg</v>
          </cell>
          <cell r="I3378">
            <v>2026</v>
          </cell>
          <cell r="J3378" t="str">
            <v>B</v>
          </cell>
          <cell r="K3378" t="str">
            <v>Recoleta</v>
          </cell>
          <cell r="N3378" t="str">
            <v>B</v>
          </cell>
        </row>
        <row r="3379">
          <cell r="B3379" t="str">
            <v>VJKF-29|</v>
          </cell>
          <cell r="C3379" t="str">
            <v>LDYECS311S0044398</v>
          </cell>
          <cell r="D3379" t="str">
            <v>MDN35025030205</v>
          </cell>
          <cell r="E3379" t="str">
            <v>Zhong Thong</v>
          </cell>
          <cell r="F3379" t="str">
            <v>Lck6122evg</v>
          </cell>
          <cell r="G3379" t="str">
            <v>Zhong Thong</v>
          </cell>
          <cell r="H3379" t="str">
            <v>Lck6122evg</v>
          </cell>
          <cell r="I3379">
            <v>2026</v>
          </cell>
          <cell r="J3379" t="str">
            <v>B</v>
          </cell>
          <cell r="K3379" t="str">
            <v>Recoleta</v>
          </cell>
          <cell r="N3379" t="str">
            <v>B</v>
          </cell>
        </row>
        <row r="3380">
          <cell r="B3380" t="str">
            <v>VJKF-44|</v>
          </cell>
          <cell r="C3380" t="str">
            <v>LDYECS317S0044339</v>
          </cell>
          <cell r="D3380" t="str">
            <v>MDN35025030142</v>
          </cell>
          <cell r="E3380" t="str">
            <v>Zhong Thong</v>
          </cell>
          <cell r="F3380" t="str">
            <v>Lck6122evg</v>
          </cell>
          <cell r="G3380" t="str">
            <v>Zhong Thong</v>
          </cell>
          <cell r="H3380" t="str">
            <v>Lck6122evg</v>
          </cell>
          <cell r="I3380">
            <v>2026</v>
          </cell>
          <cell r="J3380" t="str">
            <v>B</v>
          </cell>
          <cell r="K3380" t="str">
            <v>Lo Blanco</v>
          </cell>
          <cell r="N3380" t="str">
            <v>B</v>
          </cell>
        </row>
        <row r="3381">
          <cell r="B3381" t="str">
            <v>VJKF-46|</v>
          </cell>
          <cell r="C3381" t="str">
            <v>LDYECS312S0044331</v>
          </cell>
          <cell r="D3381" t="str">
            <v>MDN35025030246</v>
          </cell>
          <cell r="E3381" t="str">
            <v>Zhong Thong</v>
          </cell>
          <cell r="F3381" t="str">
            <v>Lck6122evg</v>
          </cell>
          <cell r="G3381" t="str">
            <v>Zhong Thong</v>
          </cell>
          <cell r="H3381" t="str">
            <v>Lck6122evg</v>
          </cell>
          <cell r="I3381">
            <v>2026</v>
          </cell>
          <cell r="J3381" t="str">
            <v>B</v>
          </cell>
          <cell r="K3381" t="str">
            <v>Recoleta</v>
          </cell>
          <cell r="N3381" t="str">
            <v>B</v>
          </cell>
        </row>
        <row r="3382">
          <cell r="B3382" t="str">
            <v>VJKF-55|</v>
          </cell>
          <cell r="C3382" t="str">
            <v>LDYECS319S0044407</v>
          </cell>
          <cell r="D3382" t="str">
            <v>MDN35025030112</v>
          </cell>
          <cell r="E3382" t="str">
            <v>Zhong Thong</v>
          </cell>
          <cell r="F3382" t="str">
            <v>Lck6122evg</v>
          </cell>
          <cell r="G3382" t="str">
            <v>Zhong Thong</v>
          </cell>
          <cell r="H3382" t="str">
            <v>Lck6122evg</v>
          </cell>
          <cell r="I3382">
            <v>2026</v>
          </cell>
          <cell r="J3382" t="str">
            <v>B</v>
          </cell>
          <cell r="K3382" t="str">
            <v>Recoleta</v>
          </cell>
          <cell r="N3382" t="str">
            <v>B</v>
          </cell>
        </row>
        <row r="3383">
          <cell r="B3383" t="str">
            <v>VJKF-61|</v>
          </cell>
          <cell r="C3383" t="str">
            <v>LDYECS313S0044340</v>
          </cell>
          <cell r="D3383" t="str">
            <v>MDN35025010149</v>
          </cell>
          <cell r="E3383" t="str">
            <v>Zhong Thong</v>
          </cell>
          <cell r="F3383" t="str">
            <v>Lck6122evg</v>
          </cell>
          <cell r="G3383" t="str">
            <v>Zhong Thong</v>
          </cell>
          <cell r="H3383" t="str">
            <v>Lck6122evg</v>
          </cell>
          <cell r="I3383">
            <v>2026</v>
          </cell>
          <cell r="J3383" t="str">
            <v>B</v>
          </cell>
          <cell r="K3383" t="str">
            <v>Recoleta</v>
          </cell>
          <cell r="N3383" t="str">
            <v>B</v>
          </cell>
        </row>
        <row r="3384">
          <cell r="B3384" t="str">
            <v>VJKF-66|</v>
          </cell>
          <cell r="C3384" t="str">
            <v>LDYECS314S0044332</v>
          </cell>
          <cell r="D3384" t="str">
            <v>MDN35025030178</v>
          </cell>
          <cell r="E3384" t="str">
            <v>Zhong Thong</v>
          </cell>
          <cell r="F3384" t="str">
            <v>Lck6122evg</v>
          </cell>
          <cell r="G3384" t="str">
            <v>Zhong Thong</v>
          </cell>
          <cell r="H3384" t="str">
            <v>Lck6122evg</v>
          </cell>
          <cell r="I3384">
            <v>2026</v>
          </cell>
          <cell r="J3384" t="str">
            <v>B</v>
          </cell>
          <cell r="K3384" t="str">
            <v>Recoleta</v>
          </cell>
          <cell r="N3384" t="str">
            <v>B</v>
          </cell>
        </row>
        <row r="3385">
          <cell r="B3385" t="str">
            <v>VJKG-16|</v>
          </cell>
          <cell r="C3385" t="str">
            <v>LDYECS313S0044399</v>
          </cell>
          <cell r="D3385" t="str">
            <v>MDN35025030198</v>
          </cell>
          <cell r="E3385" t="str">
            <v>Zhong Thong</v>
          </cell>
          <cell r="F3385" t="str">
            <v>Lck6122evg</v>
          </cell>
          <cell r="G3385" t="str">
            <v>Zhong Thong</v>
          </cell>
          <cell r="H3385" t="str">
            <v>Lck6122evg</v>
          </cell>
          <cell r="I3385">
            <v>2026</v>
          </cell>
          <cell r="J3385" t="str">
            <v>B</v>
          </cell>
          <cell r="K3385" t="str">
            <v>Recoleta</v>
          </cell>
          <cell r="N3385" t="str">
            <v>B</v>
          </cell>
        </row>
        <row r="3386">
          <cell r="B3386" t="str">
            <v>VJKG-25|</v>
          </cell>
          <cell r="C3386" t="str">
            <v>LDYECS313S0044337</v>
          </cell>
          <cell r="D3386" t="str">
            <v>MDN350250138</v>
          </cell>
          <cell r="E3386" t="str">
            <v>Zhong Thong</v>
          </cell>
          <cell r="F3386" t="str">
            <v>Lck6122evg</v>
          </cell>
          <cell r="G3386" t="str">
            <v>Zhong Thong</v>
          </cell>
          <cell r="H3386" t="str">
            <v>Lck6122evg</v>
          </cell>
          <cell r="I3386">
            <v>2026</v>
          </cell>
          <cell r="J3386" t="str">
            <v>B</v>
          </cell>
          <cell r="K3386" t="str">
            <v>Recoleta</v>
          </cell>
          <cell r="N3386" t="str">
            <v>B</v>
          </cell>
        </row>
        <row r="3387">
          <cell r="B3387" t="str">
            <v>VJKG-36|</v>
          </cell>
          <cell r="C3387" t="str">
            <v>LDYECS313S0044404</v>
          </cell>
          <cell r="D3387" t="str">
            <v>MDN35025030001</v>
          </cell>
          <cell r="E3387" t="str">
            <v>Zhong Thong</v>
          </cell>
          <cell r="F3387" t="str">
            <v>Lck6122evg</v>
          </cell>
          <cell r="G3387" t="str">
            <v>Zhong Thong</v>
          </cell>
          <cell r="H3387" t="str">
            <v>Lck6122evg</v>
          </cell>
          <cell r="I3387">
            <v>2026</v>
          </cell>
          <cell r="J3387" t="str">
            <v>B</v>
          </cell>
          <cell r="K3387" t="str">
            <v>Recoleta</v>
          </cell>
          <cell r="N3387" t="str">
            <v>B</v>
          </cell>
        </row>
        <row r="3388">
          <cell r="B3388" t="str">
            <v>VJKG-37|</v>
          </cell>
          <cell r="C3388" t="str">
            <v>LDYECS310S0044408</v>
          </cell>
          <cell r="D3388" t="str">
            <v>MDN35025020174</v>
          </cell>
          <cell r="E3388" t="str">
            <v>Zhong Thong</v>
          </cell>
          <cell r="F3388" t="str">
            <v>Lck6122evg</v>
          </cell>
          <cell r="G3388" t="str">
            <v>Zhong Thong</v>
          </cell>
          <cell r="H3388" t="str">
            <v>Lck6122evg</v>
          </cell>
          <cell r="I3388">
            <v>2026</v>
          </cell>
          <cell r="J3388" t="str">
            <v>B</v>
          </cell>
          <cell r="K3388" t="str">
            <v>Ducaud</v>
          </cell>
          <cell r="N3388" t="str">
            <v>B</v>
          </cell>
        </row>
        <row r="3389">
          <cell r="B3389" t="str">
            <v>VJKG-66|</v>
          </cell>
          <cell r="C3389" t="str">
            <v>LDYECS315S0044405</v>
          </cell>
          <cell r="D3389" t="str">
            <v>MDN35025020253</v>
          </cell>
          <cell r="E3389" t="str">
            <v>Zhong Thong</v>
          </cell>
          <cell r="F3389" t="str">
            <v>Lck6122evg</v>
          </cell>
          <cell r="G3389" t="str">
            <v>Zhong Thong</v>
          </cell>
          <cell r="H3389" t="str">
            <v>Lck6122evg</v>
          </cell>
          <cell r="I3389">
            <v>2026</v>
          </cell>
          <cell r="J3389" t="str">
            <v>B</v>
          </cell>
          <cell r="K3389" t="str">
            <v>Ducaud</v>
          </cell>
          <cell r="N3389" t="str">
            <v>B</v>
          </cell>
        </row>
        <row r="3390">
          <cell r="B3390" t="str">
            <v>VJKG-75|</v>
          </cell>
          <cell r="C3390" t="str">
            <v>LDYECS316S0044414</v>
          </cell>
          <cell r="D3390" t="str">
            <v>MDN35025020075</v>
          </cell>
          <cell r="E3390" t="str">
            <v>Zhong Thong</v>
          </cell>
          <cell r="F3390" t="str">
            <v>Lck6122evg</v>
          </cell>
          <cell r="G3390" t="str">
            <v>Zhong Thong</v>
          </cell>
          <cell r="H3390" t="str">
            <v>Lck6122evg</v>
          </cell>
          <cell r="I3390">
            <v>2026</v>
          </cell>
          <cell r="J3390" t="str">
            <v>B</v>
          </cell>
          <cell r="K3390" t="str">
            <v>Ducaud</v>
          </cell>
          <cell r="N3390" t="str">
            <v>B</v>
          </cell>
        </row>
        <row r="3391">
          <cell r="B3391" t="str">
            <v>VJKG-85|</v>
          </cell>
          <cell r="C3391" t="str">
            <v>LDYECS313S0044239</v>
          </cell>
          <cell r="D3391" t="str">
            <v>MDN35025020137</v>
          </cell>
          <cell r="E3391" t="str">
            <v>Zhong Thong</v>
          </cell>
          <cell r="F3391" t="str">
            <v>Lck6122evg</v>
          </cell>
          <cell r="G3391" t="str">
            <v>Zhong Thong</v>
          </cell>
          <cell r="H3391" t="str">
            <v>Lck6122evg</v>
          </cell>
          <cell r="I3391">
            <v>2026</v>
          </cell>
          <cell r="J3391" t="str">
            <v>B</v>
          </cell>
          <cell r="K3391" t="str">
            <v>Ducaud</v>
          </cell>
          <cell r="N3391" t="str">
            <v>B</v>
          </cell>
        </row>
        <row r="3392">
          <cell r="B3392" t="str">
            <v>VJKT-45|</v>
          </cell>
          <cell r="C3392" t="str">
            <v>LDYECS316S0044381</v>
          </cell>
          <cell r="D3392" t="str">
            <v>MDN35025030006</v>
          </cell>
          <cell r="E3392" t="str">
            <v>Zhong Thong</v>
          </cell>
          <cell r="F3392" t="str">
            <v>Lck6122evg</v>
          </cell>
          <cell r="G3392" t="str">
            <v>Zhong Thong</v>
          </cell>
          <cell r="H3392" t="str">
            <v>Lck6122evg</v>
          </cell>
          <cell r="I3392">
            <v>2026</v>
          </cell>
          <cell r="J3392" t="str">
            <v>B</v>
          </cell>
          <cell r="K3392" t="str">
            <v>Ducaud</v>
          </cell>
          <cell r="N3392" t="str">
            <v>B</v>
          </cell>
        </row>
        <row r="3393">
          <cell r="B3393" t="str">
            <v>VJKT-55|</v>
          </cell>
          <cell r="C3393" t="str">
            <v>LDYECS311S0044319</v>
          </cell>
          <cell r="D3393" t="str">
            <v>MDN35025010158</v>
          </cell>
          <cell r="E3393" t="str">
            <v>Zhong Thong</v>
          </cell>
          <cell r="F3393" t="str">
            <v>Lck6122evg</v>
          </cell>
          <cell r="G3393" t="str">
            <v>Zhong Thong</v>
          </cell>
          <cell r="H3393" t="str">
            <v>Lck6122evg</v>
          </cell>
          <cell r="I3393">
            <v>2026</v>
          </cell>
          <cell r="J3393" t="str">
            <v>B</v>
          </cell>
          <cell r="K3393" t="str">
            <v>Ducaud</v>
          </cell>
          <cell r="N3393" t="str">
            <v>B</v>
          </cell>
        </row>
        <row r="3394">
          <cell r="B3394" t="str">
            <v>VJKT-63|</v>
          </cell>
          <cell r="C3394" t="str">
            <v>LDYECS318S0044334</v>
          </cell>
          <cell r="D3394" t="str">
            <v>MDN35025030245</v>
          </cell>
          <cell r="E3394" t="str">
            <v>Zhong Thong</v>
          </cell>
          <cell r="F3394" t="str">
            <v>Lck6122evg</v>
          </cell>
          <cell r="G3394" t="str">
            <v>Zhong Thong</v>
          </cell>
          <cell r="H3394" t="str">
            <v>Lck6122evg</v>
          </cell>
          <cell r="I3394">
            <v>2026</v>
          </cell>
          <cell r="J3394" t="str">
            <v>B</v>
          </cell>
          <cell r="K3394" t="str">
            <v>Ducaud</v>
          </cell>
          <cell r="N3394" t="str">
            <v>B</v>
          </cell>
        </row>
        <row r="3395">
          <cell r="B3395" t="str">
            <v>VJKT-83|</v>
          </cell>
          <cell r="C3395" t="str">
            <v>LDYECS312S0044328</v>
          </cell>
          <cell r="D3395" t="str">
            <v>MDN35025030204</v>
          </cell>
          <cell r="E3395" t="str">
            <v>Zhong Thong</v>
          </cell>
          <cell r="F3395" t="str">
            <v>Lck6122evg</v>
          </cell>
          <cell r="G3395" t="str">
            <v>Zhong Thong</v>
          </cell>
          <cell r="H3395" t="str">
            <v>Lck6122evg</v>
          </cell>
          <cell r="I3395">
            <v>2026</v>
          </cell>
          <cell r="J3395" t="str">
            <v>B</v>
          </cell>
          <cell r="K3395" t="str">
            <v>Recoleta</v>
          </cell>
          <cell r="N3395" t="str">
            <v>B</v>
          </cell>
        </row>
        <row r="3396">
          <cell r="B3396" t="str">
            <v>VJKT-92|</v>
          </cell>
          <cell r="C3396" t="str">
            <v>LDYECS310S0044389</v>
          </cell>
          <cell r="D3396" t="str">
            <v>MDN35025010119</v>
          </cell>
          <cell r="E3396" t="str">
            <v>Zhong Thong</v>
          </cell>
          <cell r="F3396" t="str">
            <v>Lck6122evg</v>
          </cell>
          <cell r="G3396" t="str">
            <v>Zhong Thong</v>
          </cell>
          <cell r="H3396" t="str">
            <v>Lck6122evg</v>
          </cell>
          <cell r="I3396">
            <v>2026</v>
          </cell>
          <cell r="J3396" t="str">
            <v>B</v>
          </cell>
          <cell r="K3396" t="str">
            <v>Lo Blanco</v>
          </cell>
          <cell r="N3396" t="str">
            <v>B</v>
          </cell>
        </row>
        <row r="3397">
          <cell r="B3397" t="str">
            <v>VJKV-14|</v>
          </cell>
          <cell r="C3397" t="str">
            <v>LDYECS31XS0044321</v>
          </cell>
          <cell r="D3397" t="str">
            <v>MDN35025010152</v>
          </cell>
          <cell r="E3397" t="str">
            <v>Zhong Thong</v>
          </cell>
          <cell r="F3397" t="str">
            <v>Lck6122evg</v>
          </cell>
          <cell r="G3397" t="str">
            <v>Zhong Thong</v>
          </cell>
          <cell r="H3397" t="str">
            <v>Lck6122evg</v>
          </cell>
          <cell r="I3397">
            <v>2026</v>
          </cell>
          <cell r="J3397" t="str">
            <v>B</v>
          </cell>
          <cell r="K3397" t="str">
            <v>Lo Blanco</v>
          </cell>
          <cell r="N3397" t="str">
            <v>B</v>
          </cell>
        </row>
        <row r="3398">
          <cell r="B3398" t="str">
            <v>VJKV-58|</v>
          </cell>
          <cell r="C3398" t="str">
            <v>LDYECS318S0044396</v>
          </cell>
          <cell r="D3398" t="str">
            <v>MDN35025010167</v>
          </cell>
          <cell r="E3398" t="str">
            <v>Zhong Thong</v>
          </cell>
          <cell r="F3398" t="str">
            <v>Lck6122evg</v>
          </cell>
          <cell r="G3398" t="str">
            <v>Zhong Thong</v>
          </cell>
          <cell r="H3398" t="str">
            <v>Lck6122evg</v>
          </cell>
          <cell r="I3398">
            <v>2026</v>
          </cell>
          <cell r="J3398" t="str">
            <v>B</v>
          </cell>
          <cell r="K3398" t="str">
            <v>Lo Blanco</v>
          </cell>
          <cell r="N3398" t="str">
            <v>B</v>
          </cell>
        </row>
        <row r="3399">
          <cell r="B3399" t="str">
            <v>VJKV-78|</v>
          </cell>
          <cell r="C3399" t="str">
            <v>LDYECS315S0044341</v>
          </cell>
          <cell r="D3399" t="str">
            <v>MDN35025030185</v>
          </cell>
          <cell r="E3399" t="str">
            <v>Zhong Thong</v>
          </cell>
          <cell r="F3399" t="str">
            <v>Lck6122evg</v>
          </cell>
          <cell r="G3399" t="str">
            <v>Zhong Thong</v>
          </cell>
          <cell r="H3399" t="str">
            <v>Lck6122evg</v>
          </cell>
          <cell r="I3399">
            <v>2026</v>
          </cell>
          <cell r="J3399" t="str">
            <v>B</v>
          </cell>
          <cell r="K3399" t="str">
            <v>Lo Blanco</v>
          </cell>
          <cell r="N3399" t="str">
            <v>B</v>
          </cell>
        </row>
        <row r="3400">
          <cell r="B3400" t="str">
            <v>VJKV-88|</v>
          </cell>
          <cell r="C3400" t="str">
            <v>LDYECS316S0044333</v>
          </cell>
          <cell r="D3400" t="str">
            <v>MDN35025030188</v>
          </cell>
          <cell r="E3400" t="str">
            <v>Zhong Thong</v>
          </cell>
          <cell r="F3400" t="str">
            <v>Lck6122evg</v>
          </cell>
          <cell r="G3400" t="str">
            <v>Zhong Thong</v>
          </cell>
          <cell r="H3400" t="str">
            <v>Lck6122evg</v>
          </cell>
          <cell r="I3400">
            <v>2026</v>
          </cell>
          <cell r="J3400" t="str">
            <v>B</v>
          </cell>
          <cell r="K3400" t="str">
            <v>Lo Blanco</v>
          </cell>
          <cell r="N3400" t="str">
            <v>B</v>
          </cell>
        </row>
        <row r="3401">
          <cell r="B3401" t="str">
            <v>VJKW-68|</v>
          </cell>
          <cell r="C3401" t="str">
            <v>LDYECS311S0044417</v>
          </cell>
          <cell r="D3401" t="str">
            <v>MDN35025030119</v>
          </cell>
          <cell r="E3401" t="str">
            <v>Zhong Thong</v>
          </cell>
          <cell r="F3401" t="str">
            <v>Lck6122evg</v>
          </cell>
          <cell r="G3401" t="str">
            <v>Zhong Thong</v>
          </cell>
          <cell r="H3401" t="str">
            <v>Lck6122evg</v>
          </cell>
          <cell r="I3401">
            <v>2026</v>
          </cell>
          <cell r="J3401" t="str">
            <v>B</v>
          </cell>
          <cell r="K3401" t="str">
            <v>Lo Blanco</v>
          </cell>
          <cell r="N3401" t="str">
            <v>B</v>
          </cell>
        </row>
        <row r="3402">
          <cell r="B3402" t="str">
            <v>VJKX-18|</v>
          </cell>
          <cell r="C3402" t="str">
            <v>LDYECS31XS0044416</v>
          </cell>
          <cell r="D3402" t="str">
            <v>MDN35025020083</v>
          </cell>
          <cell r="E3402" t="str">
            <v>Zhong Thong</v>
          </cell>
          <cell r="F3402" t="str">
            <v>Lck6122evg</v>
          </cell>
          <cell r="G3402" t="str">
            <v>Zhong Thong</v>
          </cell>
          <cell r="H3402" t="str">
            <v>Lck6122evg</v>
          </cell>
          <cell r="I3402">
            <v>2026</v>
          </cell>
          <cell r="J3402" t="str">
            <v>B</v>
          </cell>
          <cell r="K3402" t="str">
            <v>Lo Blanco</v>
          </cell>
          <cell r="N3402" t="str">
            <v>B</v>
          </cell>
        </row>
        <row r="3403">
          <cell r="B3403" t="str">
            <v>VJKX-38|</v>
          </cell>
          <cell r="C3403" t="str">
            <v>LDYECS318S0044401</v>
          </cell>
          <cell r="D3403" t="str">
            <v>MDN35025030148</v>
          </cell>
          <cell r="E3403" t="str">
            <v>Zhong Thong</v>
          </cell>
          <cell r="F3403" t="str">
            <v>Lck6122evg</v>
          </cell>
          <cell r="G3403" t="str">
            <v>Zhong Thong</v>
          </cell>
          <cell r="H3403" t="str">
            <v>Lck6122evg</v>
          </cell>
          <cell r="I3403">
            <v>2026</v>
          </cell>
          <cell r="J3403" t="str">
            <v>B</v>
          </cell>
          <cell r="K3403" t="str">
            <v>Lo Blanco</v>
          </cell>
          <cell r="N3403" t="str">
            <v>B</v>
          </cell>
        </row>
        <row r="3404">
          <cell r="B3404" t="str">
            <v>VJKX-78|</v>
          </cell>
          <cell r="C3404" t="str">
            <v>LDYECS31XS0044402</v>
          </cell>
          <cell r="D3404" t="str">
            <v>MDN35025030252</v>
          </cell>
          <cell r="E3404" t="str">
            <v>Zhong Thong</v>
          </cell>
          <cell r="F3404" t="str">
            <v>Lck6122evg</v>
          </cell>
          <cell r="G3404" t="str">
            <v>Zhong Thong</v>
          </cell>
          <cell r="H3404" t="str">
            <v>Lck6122evg</v>
          </cell>
          <cell r="I3404">
            <v>2026</v>
          </cell>
          <cell r="J3404" t="str">
            <v>B</v>
          </cell>
          <cell r="K3404" t="str">
            <v>Lo Blanco</v>
          </cell>
          <cell r="N3404" t="str">
            <v>B</v>
          </cell>
        </row>
        <row r="3405">
          <cell r="B3405" t="str">
            <v>VJKY-18|</v>
          </cell>
          <cell r="C3405" t="str">
            <v>LDYECS318S0044415</v>
          </cell>
          <cell r="D3405" t="str">
            <v>MDN35025030034</v>
          </cell>
          <cell r="E3405" t="str">
            <v>Zhong Thong</v>
          </cell>
          <cell r="F3405" t="str">
            <v>Lck6122evg</v>
          </cell>
          <cell r="G3405" t="str">
            <v>Zhong Thong</v>
          </cell>
          <cell r="H3405" t="str">
            <v>Lck6122evg</v>
          </cell>
          <cell r="I3405">
            <v>2026</v>
          </cell>
          <cell r="J3405" t="str">
            <v>B</v>
          </cell>
          <cell r="K3405" t="str">
            <v>Lo Blanco</v>
          </cell>
          <cell r="N3405" t="str">
            <v>B</v>
          </cell>
        </row>
        <row r="3406">
          <cell r="B3406" t="str">
            <v>VJKY-58|</v>
          </cell>
          <cell r="C3406" t="str">
            <v>LDYECS314S0044413</v>
          </cell>
          <cell r="D3406" t="str">
            <v>MDN35025030256</v>
          </cell>
          <cell r="E3406" t="str">
            <v>Zhong Thong</v>
          </cell>
          <cell r="F3406" t="str">
            <v>Lck6122evg</v>
          </cell>
          <cell r="G3406" t="str">
            <v>Zhong Thong</v>
          </cell>
          <cell r="H3406" t="str">
            <v>Lck6122evg</v>
          </cell>
          <cell r="I3406">
            <v>2026</v>
          </cell>
          <cell r="J3406" t="str">
            <v>B</v>
          </cell>
          <cell r="K3406" t="str">
            <v>Lo Blanco</v>
          </cell>
          <cell r="N3406" t="str">
            <v>B</v>
          </cell>
        </row>
        <row r="3407">
          <cell r="B3407" t="str">
            <v>VJKZ-38|</v>
          </cell>
          <cell r="C3407" t="str">
            <v>LDYECS312S0044412</v>
          </cell>
          <cell r="D3407" t="str">
            <v>MDN35025020183</v>
          </cell>
          <cell r="E3407" t="str">
            <v>Zhong Thong</v>
          </cell>
          <cell r="F3407" t="str">
            <v>Lck6122evg</v>
          </cell>
          <cell r="G3407" t="str">
            <v>Zhong Thong</v>
          </cell>
          <cell r="H3407" t="str">
            <v>Lck6122evg</v>
          </cell>
          <cell r="I3407">
            <v>2026</v>
          </cell>
          <cell r="J3407" t="str">
            <v>B</v>
          </cell>
          <cell r="K3407" t="str">
            <v>Lo Blanco</v>
          </cell>
          <cell r="N3407" t="str">
            <v>B</v>
          </cell>
        </row>
        <row r="3408">
          <cell r="B3408" t="str">
            <v>VJKZ-78|</v>
          </cell>
          <cell r="C3408" t="str">
            <v>LDYECS315S0044162</v>
          </cell>
          <cell r="D3408" t="str">
            <v>MDN35025020184</v>
          </cell>
          <cell r="E3408" t="str">
            <v>Zhong Thong</v>
          </cell>
          <cell r="F3408" t="str">
            <v>Lck6122evg</v>
          </cell>
          <cell r="G3408" t="str">
            <v>Zhong Thong</v>
          </cell>
          <cell r="H3408" t="str">
            <v>Lck6122evg</v>
          </cell>
          <cell r="I3408">
            <v>2026</v>
          </cell>
          <cell r="J3408" t="str">
            <v>B</v>
          </cell>
          <cell r="K3408" t="str">
            <v>Lo Blanco</v>
          </cell>
          <cell r="N3408" t="str">
            <v>B</v>
          </cell>
        </row>
        <row r="3409">
          <cell r="B3409" t="str">
            <v>VJLH-14|</v>
          </cell>
          <cell r="C3409" t="str">
            <v>LDYECS311S0044174</v>
          </cell>
          <cell r="D3409" t="str">
            <v>MDN35025020232</v>
          </cell>
          <cell r="E3409" t="str">
            <v>Zhong Thong</v>
          </cell>
          <cell r="F3409" t="str">
            <v>Lck6122evg</v>
          </cell>
          <cell r="G3409" t="str">
            <v>Zhong Thong</v>
          </cell>
          <cell r="H3409" t="str">
            <v>Lck6122evg</v>
          </cell>
          <cell r="I3409">
            <v>2026</v>
          </cell>
          <cell r="J3409" t="str">
            <v>B</v>
          </cell>
          <cell r="K3409" t="str">
            <v>Ducaud</v>
          </cell>
          <cell r="N3409" t="str">
            <v>B</v>
          </cell>
        </row>
        <row r="3410">
          <cell r="B3410" t="str">
            <v>VJLH-24|</v>
          </cell>
          <cell r="C3410" t="str">
            <v>LDYECS310S0044179</v>
          </cell>
          <cell r="D3410" t="str">
            <v>MDN35025020240</v>
          </cell>
          <cell r="E3410" t="str">
            <v>Zhong Thong</v>
          </cell>
          <cell r="F3410" t="str">
            <v>Lck6122evg</v>
          </cell>
          <cell r="G3410" t="str">
            <v>Zhong Thong</v>
          </cell>
          <cell r="H3410" t="str">
            <v>Lck6122evg</v>
          </cell>
          <cell r="I3410">
            <v>2026</v>
          </cell>
          <cell r="J3410" t="str">
            <v>B</v>
          </cell>
          <cell r="K3410" t="str">
            <v>Ducaud</v>
          </cell>
          <cell r="N3410" t="str">
            <v>B</v>
          </cell>
        </row>
        <row r="3411">
          <cell r="B3411" t="str">
            <v>VJLH-33|</v>
          </cell>
          <cell r="C3411" t="str">
            <v>LDYECS316S0044171</v>
          </cell>
          <cell r="D3411" t="str">
            <v>MDN35025020235</v>
          </cell>
          <cell r="E3411" t="str">
            <v>Zhong Thong</v>
          </cell>
          <cell r="F3411" t="str">
            <v>Lck6122evg</v>
          </cell>
          <cell r="G3411" t="str">
            <v>Zhong Thong</v>
          </cell>
          <cell r="H3411" t="str">
            <v>Lck6122evg</v>
          </cell>
          <cell r="I3411">
            <v>2026</v>
          </cell>
          <cell r="J3411" t="str">
            <v>B</v>
          </cell>
          <cell r="K3411" t="str">
            <v>Ducaud</v>
          </cell>
          <cell r="N3411" t="str">
            <v>B</v>
          </cell>
        </row>
        <row r="3412">
          <cell r="B3412" t="str">
            <v>VJWZ-74|</v>
          </cell>
          <cell r="C3412" t="str">
            <v>LDYECS315S0044226</v>
          </cell>
          <cell r="D3412" t="str">
            <v>MDN35025020140</v>
          </cell>
          <cell r="E3412" t="str">
            <v>Zhong Thong</v>
          </cell>
          <cell r="F3412" t="str">
            <v>Lck6122evg</v>
          </cell>
          <cell r="G3412" t="str">
            <v>Zhong Thong</v>
          </cell>
          <cell r="H3412" t="str">
            <v>Lck6122evg</v>
          </cell>
          <cell r="I3412">
            <v>2026</v>
          </cell>
          <cell r="J3412" t="str">
            <v>B</v>
          </cell>
          <cell r="K3412" t="str">
            <v>Lo Blanco</v>
          </cell>
          <cell r="N3412" t="str">
            <v>B</v>
          </cell>
        </row>
        <row r="3413">
          <cell r="B3413" t="str">
            <v>VJWZ-95|</v>
          </cell>
          <cell r="C3413" t="str">
            <v>LDYECS311S0044241</v>
          </cell>
          <cell r="D3413" t="str">
            <v>MDN35025020192</v>
          </cell>
          <cell r="E3413" t="str">
            <v>Zhong Thong</v>
          </cell>
          <cell r="F3413" t="str">
            <v>Lck6122evg</v>
          </cell>
          <cell r="G3413" t="str">
            <v>Zhong Thong</v>
          </cell>
          <cell r="H3413" t="str">
            <v>Lck6122evg</v>
          </cell>
          <cell r="I3413">
            <v>2026</v>
          </cell>
          <cell r="J3413" t="str">
            <v>B</v>
          </cell>
          <cell r="K3413" t="str">
            <v>Lo Blanco</v>
          </cell>
          <cell r="N3413" t="str">
            <v>B</v>
          </cell>
        </row>
        <row r="3414">
          <cell r="B3414" t="str">
            <v>VJXB-27|</v>
          </cell>
          <cell r="C3414" t="str">
            <v>LDYECS310S0044148</v>
          </cell>
          <cell r="D3414" t="str">
            <v>MDN35025030010</v>
          </cell>
          <cell r="E3414" t="str">
            <v>Zhong Thong</v>
          </cell>
          <cell r="F3414" t="str">
            <v>Lck6122evg</v>
          </cell>
          <cell r="G3414" t="str">
            <v>Zhong Thong</v>
          </cell>
          <cell r="H3414" t="str">
            <v>Lck6122evg</v>
          </cell>
          <cell r="I3414">
            <v>2026</v>
          </cell>
          <cell r="J3414" t="str">
            <v>B</v>
          </cell>
          <cell r="K3414" t="str">
            <v>Lo Blanco</v>
          </cell>
          <cell r="N3414" t="str">
            <v>B</v>
          </cell>
        </row>
        <row r="3415">
          <cell r="B3415" t="str">
            <v>VJXB-56|</v>
          </cell>
          <cell r="C3415" t="str">
            <v>LDYECS315S0044159</v>
          </cell>
          <cell r="D3415" t="str">
            <v>MDN35025020161</v>
          </cell>
          <cell r="E3415" t="str">
            <v>Zhong Thong</v>
          </cell>
          <cell r="F3415" t="str">
            <v>Lck6122evg</v>
          </cell>
          <cell r="G3415" t="str">
            <v>Zhong Thong</v>
          </cell>
          <cell r="H3415" t="str">
            <v>Lck6122evg</v>
          </cell>
          <cell r="I3415">
            <v>2026</v>
          </cell>
          <cell r="J3415" t="str">
            <v>B</v>
          </cell>
          <cell r="K3415" t="str">
            <v>Lo Blanco</v>
          </cell>
          <cell r="N3415" t="str">
            <v>B</v>
          </cell>
        </row>
        <row r="3416">
          <cell r="B3416" t="str">
            <v>VJXB-87|</v>
          </cell>
          <cell r="C3416" t="str">
            <v>LDYECS310S0044232</v>
          </cell>
          <cell r="D3416" t="str">
            <v>MDN35025030039</v>
          </cell>
          <cell r="E3416" t="str">
            <v>Zhong Thong</v>
          </cell>
          <cell r="F3416" t="str">
            <v>Lck6122evg</v>
          </cell>
          <cell r="G3416" t="str">
            <v>Zhong Thong</v>
          </cell>
          <cell r="H3416" t="str">
            <v>Lck6122evg</v>
          </cell>
          <cell r="I3416">
            <v>2026</v>
          </cell>
          <cell r="J3416" t="str">
            <v>B</v>
          </cell>
          <cell r="K3416" t="str">
            <v>Lo Blanco</v>
          </cell>
          <cell r="N3416" t="str">
            <v>B</v>
          </cell>
        </row>
        <row r="3417">
          <cell r="B3417" t="str">
            <v>VJXC-26|</v>
          </cell>
          <cell r="C3417" t="str">
            <v>LDYECS311S0044157</v>
          </cell>
          <cell r="D3417" t="str">
            <v>MDN35025020182</v>
          </cell>
          <cell r="E3417" t="str">
            <v>Zhong Thong</v>
          </cell>
          <cell r="F3417" t="str">
            <v>Lck6122evg</v>
          </cell>
          <cell r="G3417" t="str">
            <v>Zhong Thong</v>
          </cell>
          <cell r="H3417" t="str">
            <v>Lck6122evg</v>
          </cell>
          <cell r="I3417">
            <v>2026</v>
          </cell>
          <cell r="J3417" t="str">
            <v>B</v>
          </cell>
          <cell r="K3417" t="str">
            <v>Lo Blanco</v>
          </cell>
          <cell r="N3417" t="str">
            <v>B</v>
          </cell>
        </row>
        <row r="3418">
          <cell r="B3418" t="str">
            <v>VJXC-42|</v>
          </cell>
          <cell r="C3418" t="str">
            <v>LDYECS319S0044150</v>
          </cell>
          <cell r="D3418" t="str">
            <v>MDN35025030054</v>
          </cell>
          <cell r="E3418" t="str">
            <v>Zhong Thong</v>
          </cell>
          <cell r="F3418" t="str">
            <v>Lck6122evg</v>
          </cell>
          <cell r="G3418" t="str">
            <v>Zhong Thong</v>
          </cell>
          <cell r="H3418" t="str">
            <v>Lck6122evg</v>
          </cell>
          <cell r="I3418">
            <v>2026</v>
          </cell>
          <cell r="J3418" t="str">
            <v>B</v>
          </cell>
          <cell r="K3418" t="str">
            <v>Lo Blanco</v>
          </cell>
          <cell r="N3418" t="str">
            <v>B</v>
          </cell>
        </row>
        <row r="3419">
          <cell r="B3419" t="str">
            <v>VJXC-53|</v>
          </cell>
          <cell r="C3419" t="str">
            <v>LDYECS319S0044164</v>
          </cell>
          <cell r="D3419" t="str">
            <v>MDN35025020178</v>
          </cell>
          <cell r="E3419" t="str">
            <v>Zhong Thong</v>
          </cell>
          <cell r="F3419" t="str">
            <v>Lck6122evg</v>
          </cell>
          <cell r="G3419" t="str">
            <v>Zhong Thong</v>
          </cell>
          <cell r="H3419" t="str">
            <v>Lck6122evg</v>
          </cell>
          <cell r="I3419">
            <v>2026</v>
          </cell>
          <cell r="J3419" t="str">
            <v>B</v>
          </cell>
          <cell r="K3419" t="str">
            <v>Lo Blanco</v>
          </cell>
          <cell r="N3419" t="str">
            <v>B</v>
          </cell>
        </row>
        <row r="3420">
          <cell r="B3420" t="str">
            <v>VJXC-75|</v>
          </cell>
          <cell r="C3420" t="str">
            <v>LDTECS314S0044234</v>
          </cell>
          <cell r="D3420" t="str">
            <v>MDN35025020193</v>
          </cell>
          <cell r="E3420" t="str">
            <v>Zhong Thong</v>
          </cell>
          <cell r="F3420" t="str">
            <v>Lck6122evg</v>
          </cell>
          <cell r="G3420" t="str">
            <v>Zhong Thong</v>
          </cell>
          <cell r="H3420" t="str">
            <v>Lck6122evg</v>
          </cell>
          <cell r="I3420">
            <v>2026</v>
          </cell>
          <cell r="J3420" t="str">
            <v>B</v>
          </cell>
          <cell r="K3420" t="str">
            <v>Lo Blanco</v>
          </cell>
          <cell r="N3420" t="str">
            <v>B</v>
          </cell>
        </row>
        <row r="3421">
          <cell r="B3421" t="str">
            <v>VJXC-91|</v>
          </cell>
          <cell r="C3421" t="str">
            <v>LDYECS31XS0044254</v>
          </cell>
          <cell r="D3421" t="str">
            <v>MDN35025020258</v>
          </cell>
          <cell r="E3421" t="str">
            <v>Zhong Thong</v>
          </cell>
          <cell r="F3421" t="str">
            <v>Lck6122evg</v>
          </cell>
          <cell r="G3421" t="str">
            <v>Zhong Thong</v>
          </cell>
          <cell r="H3421" t="str">
            <v>Lck6122evg</v>
          </cell>
          <cell r="I3421">
            <v>2026</v>
          </cell>
          <cell r="J3421" t="str">
            <v>B</v>
          </cell>
          <cell r="K3421" t="str">
            <v>Lo Blanco</v>
          </cell>
          <cell r="N3421" t="str">
            <v>B</v>
          </cell>
        </row>
        <row r="3422">
          <cell r="B3422" t="str">
            <v>VJXD-48|</v>
          </cell>
          <cell r="C3422" t="str">
            <v>LDYECS313S0044256</v>
          </cell>
          <cell r="D3422" t="str">
            <v>MDN35025020180</v>
          </cell>
          <cell r="E3422" t="str">
            <v>Zhong Thong</v>
          </cell>
          <cell r="F3422" t="str">
            <v>Lck6122evg</v>
          </cell>
          <cell r="G3422" t="str">
            <v>Zhong Thong</v>
          </cell>
          <cell r="H3422" t="str">
            <v>Lck6122evg</v>
          </cell>
          <cell r="I3422">
            <v>2026</v>
          </cell>
          <cell r="J3422" t="str">
            <v>B</v>
          </cell>
          <cell r="K3422" t="str">
            <v>Ducaud</v>
          </cell>
          <cell r="N3422" t="str">
            <v>B</v>
          </cell>
        </row>
        <row r="3423">
          <cell r="B3423" t="str">
            <v>VJXD-86|</v>
          </cell>
          <cell r="C3423" t="str">
            <v>LDYECS316S0044252</v>
          </cell>
          <cell r="D3423" t="str">
            <v>MDN35025020172</v>
          </cell>
          <cell r="E3423" t="str">
            <v>Zhong Thong</v>
          </cell>
          <cell r="F3423" t="str">
            <v>Lck6122evg</v>
          </cell>
          <cell r="G3423" t="str">
            <v>Zhong Thong</v>
          </cell>
          <cell r="H3423" t="str">
            <v>Lck6122evg</v>
          </cell>
          <cell r="I3423">
            <v>2026</v>
          </cell>
          <cell r="J3423" t="str">
            <v>B</v>
          </cell>
          <cell r="K3423" t="str">
            <v>Ducaud</v>
          </cell>
          <cell r="N3423" t="str">
            <v>B</v>
          </cell>
        </row>
        <row r="3424">
          <cell r="B3424" t="str">
            <v>VJXH-88|</v>
          </cell>
          <cell r="C3424" t="str">
            <v>LDYECS318S0044253</v>
          </cell>
          <cell r="D3424" t="str">
            <v>MDN35025010248</v>
          </cell>
          <cell r="E3424" t="str">
            <v>Zhong Thong</v>
          </cell>
          <cell r="F3424" t="str">
            <v>Lck6122evg</v>
          </cell>
          <cell r="G3424" t="str">
            <v>Zhong Thong</v>
          </cell>
          <cell r="H3424" t="str">
            <v>Lck6122evg</v>
          </cell>
          <cell r="I3424">
            <v>2026</v>
          </cell>
          <cell r="J3424" t="str">
            <v>B</v>
          </cell>
          <cell r="K3424" t="str">
            <v>Ducaud</v>
          </cell>
          <cell r="N3424" t="str">
            <v>B</v>
          </cell>
        </row>
        <row r="3425">
          <cell r="B3425" t="str">
            <v>VJXJ-27|</v>
          </cell>
          <cell r="C3425" t="str">
            <v>LDYECS318S0044186</v>
          </cell>
          <cell r="D3425" t="str">
            <v>MDN35025020159</v>
          </cell>
          <cell r="E3425" t="str">
            <v>Zhong Thong</v>
          </cell>
          <cell r="F3425" t="str">
            <v>Lck6122evg</v>
          </cell>
          <cell r="G3425" t="str">
            <v>Zhong Thong</v>
          </cell>
          <cell r="H3425" t="str">
            <v>Lck6122evg</v>
          </cell>
          <cell r="I3425">
            <v>2026</v>
          </cell>
          <cell r="J3425" t="str">
            <v>B</v>
          </cell>
          <cell r="K3425" t="str">
            <v>Ducaud</v>
          </cell>
          <cell r="N3425" t="str">
            <v>B</v>
          </cell>
        </row>
        <row r="3426">
          <cell r="B3426" t="str">
            <v>VJXJ-39|</v>
          </cell>
          <cell r="C3426" t="str">
            <v>LDYECS310S0044196</v>
          </cell>
          <cell r="D3426" t="str">
            <v>MDN35025020243</v>
          </cell>
          <cell r="E3426" t="str">
            <v>Zhong Thong</v>
          </cell>
          <cell r="F3426" t="str">
            <v>Lck6122evg</v>
          </cell>
          <cell r="G3426" t="str">
            <v>Zhong Thong</v>
          </cell>
          <cell r="H3426" t="str">
            <v>Lck6122evg</v>
          </cell>
          <cell r="I3426">
            <v>2026</v>
          </cell>
          <cell r="J3426" t="str">
            <v>B</v>
          </cell>
          <cell r="K3426" t="str">
            <v>Ducaud</v>
          </cell>
          <cell r="N3426" t="str">
            <v>B</v>
          </cell>
        </row>
        <row r="3427">
          <cell r="B3427" t="str">
            <v>VJXJ-44|</v>
          </cell>
          <cell r="C3427" t="str">
            <v>LDYECS317S0044308</v>
          </cell>
          <cell r="D3427" t="str">
            <v>MDN35025010207</v>
          </cell>
          <cell r="E3427" t="str">
            <v>Zhong Thong</v>
          </cell>
          <cell r="F3427" t="str">
            <v>Lck6122evg</v>
          </cell>
          <cell r="G3427" t="str">
            <v>Zhong Thong</v>
          </cell>
          <cell r="H3427" t="str">
            <v>Lck6122evg</v>
          </cell>
          <cell r="I3427">
            <v>2026</v>
          </cell>
          <cell r="J3427" t="str">
            <v>B</v>
          </cell>
          <cell r="K3427" t="str">
            <v>Ducaud</v>
          </cell>
          <cell r="N3427" t="str">
            <v>B</v>
          </cell>
        </row>
        <row r="3428">
          <cell r="B3428" t="str">
            <v>VJXJ-46|</v>
          </cell>
          <cell r="C3428" t="str">
            <v>LDYECS31XS0044366</v>
          </cell>
          <cell r="D3428" t="str">
            <v>MDN35025010076</v>
          </cell>
          <cell r="E3428" t="str">
            <v>Zhong Thong</v>
          </cell>
          <cell r="F3428" t="str">
            <v>Lck6122evg</v>
          </cell>
          <cell r="G3428" t="str">
            <v>Zhong Thong</v>
          </cell>
          <cell r="H3428" t="str">
            <v>Lck6122evg</v>
          </cell>
          <cell r="I3428">
            <v>2026</v>
          </cell>
          <cell r="J3428" t="str">
            <v>B</v>
          </cell>
          <cell r="K3428" t="str">
            <v>Ducaud</v>
          </cell>
          <cell r="N3428" t="str">
            <v>B</v>
          </cell>
        </row>
        <row r="3429">
          <cell r="B3429" t="str">
            <v>VJXJ-94|</v>
          </cell>
          <cell r="C3429" t="str">
            <v>LDYECS310S0044411</v>
          </cell>
          <cell r="D3429" t="str">
            <v>MDN35025010155</v>
          </cell>
          <cell r="E3429" t="str">
            <v>Zhong Thong</v>
          </cell>
          <cell r="F3429" t="str">
            <v>Lck6122evg</v>
          </cell>
          <cell r="G3429" t="str">
            <v>Zhong Thong</v>
          </cell>
          <cell r="H3429" t="str">
            <v>Lck6122evg</v>
          </cell>
          <cell r="I3429">
            <v>2026</v>
          </cell>
          <cell r="J3429" t="str">
            <v>B</v>
          </cell>
          <cell r="K3429" t="str">
            <v>Ducaud</v>
          </cell>
          <cell r="N3429" t="str">
            <v>B</v>
          </cell>
        </row>
        <row r="3430">
          <cell r="B3430" t="str">
            <v>VJXK-14|</v>
          </cell>
          <cell r="C3430" t="str">
            <v>LDYECS318S0044382</v>
          </cell>
          <cell r="D3430" t="str">
            <v>MDN35025030032</v>
          </cell>
          <cell r="E3430" t="str">
            <v>Zhong Thong</v>
          </cell>
          <cell r="F3430" t="str">
            <v>Lck6122evg</v>
          </cell>
          <cell r="G3430" t="str">
            <v>Zhong Thong</v>
          </cell>
          <cell r="H3430" t="str">
            <v>Lck6122evg</v>
          </cell>
          <cell r="I3430">
            <v>2026</v>
          </cell>
          <cell r="J3430" t="str">
            <v>B</v>
          </cell>
          <cell r="K3430" t="str">
            <v>Ducaud</v>
          </cell>
          <cell r="N3430" t="str">
            <v>B</v>
          </cell>
        </row>
        <row r="3431">
          <cell r="B3431" t="str">
            <v>VJXK-15|</v>
          </cell>
          <cell r="C3431" t="str">
            <v>LDYECS316S0044316</v>
          </cell>
          <cell r="D3431" t="str">
            <v>MDN35025030023</v>
          </cell>
          <cell r="E3431" t="str">
            <v>Zhong Thong</v>
          </cell>
          <cell r="F3431" t="str">
            <v>Lck6122evg</v>
          </cell>
          <cell r="G3431" t="str">
            <v>Zhong Thong</v>
          </cell>
          <cell r="H3431" t="str">
            <v>Lck6122evg</v>
          </cell>
          <cell r="I3431">
            <v>2026</v>
          </cell>
          <cell r="J3431" t="str">
            <v>B</v>
          </cell>
          <cell r="K3431" t="str">
            <v>Ducaud</v>
          </cell>
          <cell r="N3431" t="str">
            <v>B</v>
          </cell>
        </row>
        <row r="3432">
          <cell r="B3432" t="str">
            <v>VJYH-63|</v>
          </cell>
          <cell r="C3432" t="str">
            <v>LDYECS316S0044168</v>
          </cell>
          <cell r="D3432" t="str">
            <v>MDN35025020215</v>
          </cell>
          <cell r="E3432" t="str">
            <v>Zhong Thong</v>
          </cell>
          <cell r="F3432" t="str">
            <v>Lck6122evg</v>
          </cell>
          <cell r="G3432" t="str">
            <v>Zhong Thong</v>
          </cell>
          <cell r="H3432" t="str">
            <v>Lck6122evg</v>
          </cell>
          <cell r="I3432">
            <v>2026</v>
          </cell>
          <cell r="J3432" t="str">
            <v>B</v>
          </cell>
          <cell r="K3432" t="str">
            <v>Lo Blanco</v>
          </cell>
          <cell r="N3432" t="str">
            <v>B</v>
          </cell>
        </row>
        <row r="3433">
          <cell r="B3433" t="str">
            <v>VJYJ-15|</v>
          </cell>
          <cell r="C3433" t="str">
            <v>LDYECS311S0044160</v>
          </cell>
          <cell r="D3433" t="str">
            <v>MDN35025020177</v>
          </cell>
          <cell r="E3433" t="str">
            <v>Zhong Thong</v>
          </cell>
          <cell r="F3433" t="str">
            <v>Lck6122evg</v>
          </cell>
          <cell r="G3433" t="str">
            <v>Zhong Thong</v>
          </cell>
          <cell r="H3433" t="str">
            <v>Lck6122evg</v>
          </cell>
          <cell r="I3433">
            <v>2026</v>
          </cell>
          <cell r="J3433" t="str">
            <v>B</v>
          </cell>
          <cell r="K3433" t="str">
            <v>Lo Blanco</v>
          </cell>
          <cell r="N3433" t="str">
            <v>B</v>
          </cell>
        </row>
        <row r="3434">
          <cell r="B3434" t="str">
            <v>VJYJ-22|</v>
          </cell>
          <cell r="C3434" t="str">
            <v>LDYECS310S0044277</v>
          </cell>
          <cell r="D3434" t="str">
            <v>MDN35025020175</v>
          </cell>
          <cell r="E3434" t="str">
            <v>Zhong Thong</v>
          </cell>
          <cell r="F3434" t="str">
            <v>Lck6122evg</v>
          </cell>
          <cell r="G3434" t="str">
            <v>Zhong Thong</v>
          </cell>
          <cell r="H3434" t="str">
            <v>Lck6122evg</v>
          </cell>
          <cell r="I3434">
            <v>2026</v>
          </cell>
          <cell r="J3434" t="str">
            <v>B</v>
          </cell>
          <cell r="K3434" t="str">
            <v>Ducaud</v>
          </cell>
          <cell r="N3434" t="str">
            <v>B</v>
          </cell>
        </row>
        <row r="3435">
          <cell r="B3435" t="str">
            <v>VJYJ-35|</v>
          </cell>
          <cell r="C3435" t="str">
            <v>LDYECS312S0044166</v>
          </cell>
          <cell r="D3435" t="str">
            <v>MDN35025020222</v>
          </cell>
          <cell r="E3435" t="str">
            <v>Zhong Thong</v>
          </cell>
          <cell r="F3435" t="str">
            <v>Lck6122evg</v>
          </cell>
          <cell r="G3435" t="str">
            <v>Zhong Thong</v>
          </cell>
          <cell r="H3435" t="str">
            <v>Lck6122evg</v>
          </cell>
          <cell r="I3435">
            <v>2026</v>
          </cell>
          <cell r="J3435" t="str">
            <v>B</v>
          </cell>
          <cell r="K3435" t="str">
            <v>Lo Blanco</v>
          </cell>
          <cell r="N3435" t="str">
            <v>B</v>
          </cell>
        </row>
        <row r="3436">
          <cell r="B3436" t="str">
            <v>VJYJ-37|</v>
          </cell>
          <cell r="C3436" t="str">
            <v>LDYECS314S0044217</v>
          </cell>
          <cell r="D3436" t="str">
            <v>MDN35025010179</v>
          </cell>
          <cell r="E3436" t="str">
            <v>Zhong Thong</v>
          </cell>
          <cell r="F3436" t="str">
            <v>Lck6122evg</v>
          </cell>
          <cell r="G3436" t="str">
            <v>Zhong Thong</v>
          </cell>
          <cell r="H3436" t="str">
            <v>Lck6122evg</v>
          </cell>
          <cell r="I3436">
            <v>2026</v>
          </cell>
          <cell r="J3436" t="str">
            <v>B</v>
          </cell>
          <cell r="K3436" t="str">
            <v>Ducaud</v>
          </cell>
          <cell r="N3436" t="str">
            <v>B</v>
          </cell>
        </row>
        <row r="3437">
          <cell r="B3437" t="str">
            <v>VJYJ-44|</v>
          </cell>
          <cell r="C3437" t="str">
            <v>LDYECS313S0044273</v>
          </cell>
          <cell r="D3437" t="str">
            <v>MDN5025020155</v>
          </cell>
          <cell r="E3437" t="str">
            <v>Zhong Thong</v>
          </cell>
          <cell r="F3437" t="str">
            <v>Lck6122evg</v>
          </cell>
          <cell r="G3437" t="str">
            <v>Zhong Thong</v>
          </cell>
          <cell r="H3437" t="str">
            <v>Lck6122evg</v>
          </cell>
          <cell r="I3437">
            <v>2026</v>
          </cell>
          <cell r="J3437" t="str">
            <v>B</v>
          </cell>
          <cell r="K3437" t="str">
            <v>Ducaud</v>
          </cell>
          <cell r="N3437" t="str">
            <v>B</v>
          </cell>
        </row>
        <row r="3438">
          <cell r="B3438" t="str">
            <v>VJYJ-46|</v>
          </cell>
          <cell r="C3438" t="str">
            <v>LDYECS317S0044213</v>
          </cell>
          <cell r="D3438" t="str">
            <v>MDN35025030110</v>
          </cell>
          <cell r="E3438" t="str">
            <v>Zhong Thong</v>
          </cell>
          <cell r="F3438" t="str">
            <v>Lck6122evg</v>
          </cell>
          <cell r="G3438" t="str">
            <v>Zhong Thong</v>
          </cell>
          <cell r="H3438" t="str">
            <v>Lck6122evg</v>
          </cell>
          <cell r="I3438">
            <v>2026</v>
          </cell>
          <cell r="J3438" t="str">
            <v>B</v>
          </cell>
          <cell r="K3438" t="str">
            <v>Ducaud</v>
          </cell>
          <cell r="N3438" t="str">
            <v>B</v>
          </cell>
        </row>
        <row r="3439">
          <cell r="B3439" t="str">
            <v>VJYJ-68|</v>
          </cell>
          <cell r="C3439" t="str">
            <v>LDYECS311S0044210</v>
          </cell>
          <cell r="D3439" t="str">
            <v>MDN35025030109</v>
          </cell>
          <cell r="E3439" t="str">
            <v>Zhong Thong</v>
          </cell>
          <cell r="F3439" t="str">
            <v>Lck6122evg</v>
          </cell>
          <cell r="G3439" t="str">
            <v>Zhong Thong</v>
          </cell>
          <cell r="H3439" t="str">
            <v>Lck6122evg</v>
          </cell>
          <cell r="I3439">
            <v>2026</v>
          </cell>
          <cell r="J3439" t="str">
            <v>B</v>
          </cell>
          <cell r="K3439" t="str">
            <v>Ducaud</v>
          </cell>
          <cell r="N3439" t="str">
            <v>B</v>
          </cell>
        </row>
        <row r="3440">
          <cell r="B3440" t="str">
            <v>VJYJ-75|</v>
          </cell>
          <cell r="C3440" t="str">
            <v>LDYECS31XS0044285</v>
          </cell>
          <cell r="D3440" t="str">
            <v>MDN35025020245</v>
          </cell>
          <cell r="E3440" t="str">
            <v>Zhong Thong</v>
          </cell>
          <cell r="F3440" t="str">
            <v>Lck6122evg</v>
          </cell>
          <cell r="G3440" t="str">
            <v>Zhong Thong</v>
          </cell>
          <cell r="H3440" t="str">
            <v>Lck6122evg</v>
          </cell>
          <cell r="I3440">
            <v>2026</v>
          </cell>
          <cell r="J3440" t="str">
            <v>B</v>
          </cell>
          <cell r="K3440" t="str">
            <v>Ducaud</v>
          </cell>
          <cell r="N3440" t="str">
            <v>B</v>
          </cell>
        </row>
        <row r="3441">
          <cell r="B3441" t="str">
            <v>VJYJ-84|</v>
          </cell>
          <cell r="C3441" t="str">
            <v>LDYECS316S0044218</v>
          </cell>
          <cell r="D3441" t="str">
            <v>MDN35025010180</v>
          </cell>
          <cell r="E3441" t="str">
            <v>Zhong Thong</v>
          </cell>
          <cell r="F3441" t="str">
            <v>Lck6122evg</v>
          </cell>
          <cell r="G3441" t="str">
            <v>Zhong Thong</v>
          </cell>
          <cell r="H3441" t="str">
            <v>Lck6122evg</v>
          </cell>
          <cell r="I3441">
            <v>2026</v>
          </cell>
          <cell r="J3441" t="str">
            <v>B</v>
          </cell>
          <cell r="K3441" t="str">
            <v>Ducaud</v>
          </cell>
          <cell r="N3441" t="str">
            <v>B</v>
          </cell>
        </row>
        <row r="3442">
          <cell r="B3442" t="str">
            <v>VJYK-73|</v>
          </cell>
          <cell r="C3442" t="str">
            <v>LDYECS315S0044291</v>
          </cell>
          <cell r="D3442" t="str">
            <v>MDN35025010116</v>
          </cell>
          <cell r="E3442" t="str">
            <v>Zhong Thong</v>
          </cell>
          <cell r="F3442" t="str">
            <v>Lck6122evg</v>
          </cell>
          <cell r="G3442" t="str">
            <v>Zhong Thong</v>
          </cell>
          <cell r="H3442" t="str">
            <v>Lck6122evg</v>
          </cell>
          <cell r="I3442">
            <v>2026</v>
          </cell>
          <cell r="J3442" t="str">
            <v>B</v>
          </cell>
          <cell r="K3442" t="str">
            <v>Ducaud</v>
          </cell>
          <cell r="N3442" t="str">
            <v>B</v>
          </cell>
        </row>
        <row r="3443">
          <cell r="B3443" t="str">
            <v>VJYK-82|</v>
          </cell>
          <cell r="C3443" t="str">
            <v>LDYECS31XS0044335</v>
          </cell>
          <cell r="D3443" t="str">
            <v>MDN35025030151</v>
          </cell>
          <cell r="E3443" t="str">
            <v>Zhong Thong</v>
          </cell>
          <cell r="F3443" t="str">
            <v>Lck6122evg</v>
          </cell>
          <cell r="G3443" t="str">
            <v>Zhong Thong</v>
          </cell>
          <cell r="H3443" t="str">
            <v>Lck6122evg</v>
          </cell>
          <cell r="I3443">
            <v>2026</v>
          </cell>
          <cell r="J3443" t="str">
            <v>B</v>
          </cell>
          <cell r="K3443" t="str">
            <v>Ducaud</v>
          </cell>
          <cell r="N3443" t="str">
            <v>B</v>
          </cell>
        </row>
        <row r="3444">
          <cell r="B3444" t="str">
            <v>VJYK-83|</v>
          </cell>
          <cell r="C3444" t="str">
            <v>LDYECS317S0044342</v>
          </cell>
          <cell r="D3444" t="str">
            <v>MDN35025010144</v>
          </cell>
          <cell r="E3444" t="str">
            <v>Zhong Thong</v>
          </cell>
          <cell r="F3444" t="str">
            <v>Lck6122evg</v>
          </cell>
          <cell r="G3444" t="str">
            <v>Zhong Thong</v>
          </cell>
          <cell r="H3444" t="str">
            <v>Lck6122evg</v>
          </cell>
          <cell r="I3444">
            <v>2026</v>
          </cell>
          <cell r="J3444" t="str">
            <v>B</v>
          </cell>
          <cell r="K3444" t="str">
            <v>Ducaud</v>
          </cell>
          <cell r="N3444" t="str">
            <v>B</v>
          </cell>
        </row>
        <row r="3445">
          <cell r="B3445" t="str">
            <v>VJYK-86|</v>
          </cell>
          <cell r="C3445" t="str">
            <v>LDYECS313S0044368</v>
          </cell>
          <cell r="D3445" t="str">
            <v>MDN35025010047</v>
          </cell>
          <cell r="E3445" t="str">
            <v>Zhong Thong</v>
          </cell>
          <cell r="F3445" t="str">
            <v>Lck6122evg</v>
          </cell>
          <cell r="G3445" t="str">
            <v>Zhong Thong</v>
          </cell>
          <cell r="H3445" t="str">
            <v>Lck6122evg</v>
          </cell>
          <cell r="I3445">
            <v>2026</v>
          </cell>
          <cell r="J3445" t="str">
            <v>B</v>
          </cell>
          <cell r="K3445" t="str">
            <v>Ducaud</v>
          </cell>
          <cell r="N3445" t="str">
            <v>B</v>
          </cell>
        </row>
        <row r="3446">
          <cell r="B3446" t="str">
            <v>VJYK-89|</v>
          </cell>
          <cell r="C3446" t="str">
            <v>LDYECS316S0044364</v>
          </cell>
          <cell r="D3446" t="str">
            <v>MDN35025030062</v>
          </cell>
          <cell r="E3446" t="str">
            <v>Zhong Thong</v>
          </cell>
          <cell r="F3446" t="str">
            <v>Lck6122evg</v>
          </cell>
          <cell r="G3446" t="str">
            <v>Zhong Thong</v>
          </cell>
          <cell r="H3446" t="str">
            <v>Lck6122evg</v>
          </cell>
          <cell r="I3446">
            <v>2026</v>
          </cell>
          <cell r="J3446" t="str">
            <v>B</v>
          </cell>
          <cell r="K3446" t="str">
            <v>Ducaud</v>
          </cell>
          <cell r="N3446" t="str">
            <v>B</v>
          </cell>
        </row>
        <row r="3447">
          <cell r="B3447" t="str">
            <v>VJYK-91|</v>
          </cell>
          <cell r="C3447" t="str">
            <v>LDYECS312S0044295</v>
          </cell>
          <cell r="D3447" t="str">
            <v>MDN35025020211</v>
          </cell>
          <cell r="E3447" t="str">
            <v>Zhong Thong</v>
          </cell>
          <cell r="F3447" t="str">
            <v>Lck6122evg</v>
          </cell>
          <cell r="G3447" t="str">
            <v>Zhong Thong</v>
          </cell>
          <cell r="H3447" t="str">
            <v>Lck6122evg</v>
          </cell>
          <cell r="I3447">
            <v>2026</v>
          </cell>
          <cell r="J3447" t="str">
            <v>B</v>
          </cell>
          <cell r="K3447" t="str">
            <v>Ducaud</v>
          </cell>
          <cell r="N3447" t="str">
            <v>B</v>
          </cell>
        </row>
        <row r="3448">
          <cell r="B3448" t="str">
            <v>VJYK-95|</v>
          </cell>
          <cell r="C3448" t="str">
            <v>LDYECS312S0044362</v>
          </cell>
          <cell r="D3448" t="str">
            <v>MDN35025010110</v>
          </cell>
          <cell r="E3448" t="str">
            <v>Zhong Thong</v>
          </cell>
          <cell r="F3448" t="str">
            <v>Lck6122evg</v>
          </cell>
          <cell r="G3448" t="str">
            <v>Zhong Thong</v>
          </cell>
          <cell r="H3448" t="str">
            <v>Lck6122evg</v>
          </cell>
          <cell r="I3448">
            <v>2026</v>
          </cell>
          <cell r="J3448" t="str">
            <v>B</v>
          </cell>
          <cell r="K3448" t="str">
            <v>Ducaud</v>
          </cell>
          <cell r="N3448" t="str">
            <v>B</v>
          </cell>
        </row>
        <row r="3449">
          <cell r="B3449" t="str">
            <v>VJYK-97|</v>
          </cell>
          <cell r="C3449" t="str">
            <v>LDYECS314S0044380</v>
          </cell>
          <cell r="D3449" t="str">
            <v>MDN35025030033</v>
          </cell>
          <cell r="E3449" t="str">
            <v>Zhong Thong</v>
          </cell>
          <cell r="F3449" t="str">
            <v>Lck6122evg</v>
          </cell>
          <cell r="G3449" t="str">
            <v>Zhong Thong</v>
          </cell>
          <cell r="H3449" t="str">
            <v>Lck6122evg</v>
          </cell>
          <cell r="I3449">
            <v>2026</v>
          </cell>
          <cell r="J3449" t="str">
            <v>B</v>
          </cell>
          <cell r="K3449" t="str">
            <v>Ducaud</v>
          </cell>
          <cell r="N3449" t="str">
            <v>B</v>
          </cell>
        </row>
        <row r="3450">
          <cell r="B3450" t="str">
            <v>VJYK-98|</v>
          </cell>
          <cell r="C3450" t="str">
            <v>LDYECS312S0044300</v>
          </cell>
          <cell r="D3450" t="str">
            <v>MDN350025010178</v>
          </cell>
          <cell r="E3450" t="str">
            <v>Zhong Thong</v>
          </cell>
          <cell r="F3450" t="str">
            <v>Lck6122evg</v>
          </cell>
          <cell r="G3450" t="str">
            <v>Zhong Thong</v>
          </cell>
          <cell r="H3450" t="str">
            <v>Lck6122evg</v>
          </cell>
          <cell r="I3450">
            <v>2026</v>
          </cell>
          <cell r="J3450" t="str">
            <v>B</v>
          </cell>
          <cell r="K3450" t="str">
            <v>Ducaud</v>
          </cell>
          <cell r="N3450" t="str">
            <v>B</v>
          </cell>
        </row>
        <row r="3451">
          <cell r="B3451" t="str">
            <v>VJYL-12|</v>
          </cell>
          <cell r="C3451" t="str">
            <v>LDYECS313S0044290</v>
          </cell>
          <cell r="D3451" t="str">
            <v>MDN35025020214</v>
          </cell>
          <cell r="E3451" t="str">
            <v>Zhong Thong</v>
          </cell>
          <cell r="F3451" t="str">
            <v>Lck6122evg</v>
          </cell>
          <cell r="G3451" t="str">
            <v>Zhong Thong</v>
          </cell>
          <cell r="H3451" t="str">
            <v>Lck6122evg</v>
          </cell>
          <cell r="I3451">
            <v>2026</v>
          </cell>
          <cell r="J3451" t="str">
            <v>B</v>
          </cell>
          <cell r="K3451" t="str">
            <v>Ducaud</v>
          </cell>
          <cell r="N3451" t="str">
            <v>B</v>
          </cell>
        </row>
        <row r="3452">
          <cell r="B3452" t="str">
            <v>VJYL-17|</v>
          </cell>
          <cell r="C3452" t="str">
            <v>LDYECS317S0044356</v>
          </cell>
          <cell r="D3452" t="str">
            <v>MDN35025010073</v>
          </cell>
          <cell r="E3452" t="str">
            <v>Zhong Thong</v>
          </cell>
          <cell r="F3452" t="str">
            <v>Lck6122evg</v>
          </cell>
          <cell r="G3452" t="str">
            <v>Zhong Thong</v>
          </cell>
          <cell r="H3452" t="str">
            <v>Lck6122evg</v>
          </cell>
          <cell r="I3452">
            <v>2026</v>
          </cell>
          <cell r="J3452" t="str">
            <v>B</v>
          </cell>
          <cell r="K3452" t="str">
            <v>Ducaud</v>
          </cell>
          <cell r="N3452" t="str">
            <v>B</v>
          </cell>
        </row>
        <row r="3453">
          <cell r="B3453" t="str">
            <v>VJZB-37|</v>
          </cell>
          <cell r="C3453" t="str">
            <v>LDYECS31XS0044139</v>
          </cell>
          <cell r="D3453" t="str">
            <v>MDN35025030088</v>
          </cell>
          <cell r="E3453" t="str">
            <v>Zhong Thong</v>
          </cell>
          <cell r="F3453" t="str">
            <v>Lck6122evg</v>
          </cell>
          <cell r="G3453" t="str">
            <v>Zhong Thong</v>
          </cell>
          <cell r="H3453" t="str">
            <v>Lck6122evg</v>
          </cell>
          <cell r="I3453">
            <v>2026</v>
          </cell>
          <cell r="J3453" t="str">
            <v>B</v>
          </cell>
          <cell r="K3453" t="str">
            <v>Lo Blanco</v>
          </cell>
          <cell r="N3453" t="str">
            <v>B</v>
          </cell>
        </row>
        <row r="3454">
          <cell r="B3454" t="str">
            <v>VJZB-47|</v>
          </cell>
          <cell r="C3454" t="str">
            <v>LDYECS315S0044145</v>
          </cell>
          <cell r="D3454" t="str">
            <v>MDN35025030096</v>
          </cell>
          <cell r="E3454" t="str">
            <v>Zhong Thong</v>
          </cell>
          <cell r="F3454" t="str">
            <v>Lck6122evg</v>
          </cell>
          <cell r="G3454" t="str">
            <v>Zhong Thong</v>
          </cell>
          <cell r="H3454" t="str">
            <v>Lck6122evg</v>
          </cell>
          <cell r="I3454">
            <v>2026</v>
          </cell>
          <cell r="J3454" t="str">
            <v>B</v>
          </cell>
          <cell r="K3454" t="str">
            <v>Lo Blanco</v>
          </cell>
          <cell r="N3454" t="str">
            <v>B</v>
          </cell>
        </row>
        <row r="3455">
          <cell r="B3455" t="str">
            <v>VJZB-57|</v>
          </cell>
          <cell r="C3455" t="str">
            <v>LDYECS316S0044140</v>
          </cell>
          <cell r="D3455" t="str">
            <v>MDN35025030038</v>
          </cell>
          <cell r="E3455" t="str">
            <v>Zhong Thong</v>
          </cell>
          <cell r="F3455" t="str">
            <v>Lck6122evg</v>
          </cell>
          <cell r="G3455" t="str">
            <v>Zhong Thong</v>
          </cell>
          <cell r="H3455" t="str">
            <v>Lck6122evg</v>
          </cell>
          <cell r="I3455">
            <v>2026</v>
          </cell>
          <cell r="J3455" t="str">
            <v>B</v>
          </cell>
          <cell r="K3455" t="str">
            <v>Lo Blanco</v>
          </cell>
          <cell r="N3455" t="str">
            <v>B</v>
          </cell>
        </row>
        <row r="3456">
          <cell r="B3456" t="str">
            <v>VJZB-67|</v>
          </cell>
          <cell r="C3456" t="str">
            <v>LDYECS317S0044230</v>
          </cell>
          <cell r="D3456" t="str">
            <v>MDN35025020272</v>
          </cell>
          <cell r="E3456" t="str">
            <v>Zhong Thong</v>
          </cell>
          <cell r="F3456" t="str">
            <v>Lck6122evg</v>
          </cell>
          <cell r="G3456" t="str">
            <v>Zhong Thong</v>
          </cell>
          <cell r="H3456" t="str">
            <v>Lck6122evg</v>
          </cell>
          <cell r="I3456">
            <v>2026</v>
          </cell>
          <cell r="J3456" t="str">
            <v>B</v>
          </cell>
          <cell r="K3456" t="str">
            <v>Lo Blanco</v>
          </cell>
          <cell r="N3456" t="str">
            <v>B</v>
          </cell>
        </row>
        <row r="3457">
          <cell r="B3457" t="str">
            <v>VJZB-77|</v>
          </cell>
          <cell r="C3457" t="str">
            <v>LDYECS317S0044227</v>
          </cell>
          <cell r="D3457" t="str">
            <v>MDN35025020261</v>
          </cell>
          <cell r="E3457" t="str">
            <v>Zhong Thong</v>
          </cell>
          <cell r="F3457" t="str">
            <v>Lck6122evg</v>
          </cell>
          <cell r="G3457" t="str">
            <v>Zhong Thong</v>
          </cell>
          <cell r="H3457" t="str">
            <v>Lck6122evg</v>
          </cell>
          <cell r="I3457">
            <v>2026</v>
          </cell>
          <cell r="J3457" t="str">
            <v>B</v>
          </cell>
          <cell r="K3457" t="str">
            <v>Lo Blanco</v>
          </cell>
          <cell r="N3457" t="str">
            <v>B</v>
          </cell>
        </row>
        <row r="3458">
          <cell r="B3458" t="str">
            <v>VJZB-87|</v>
          </cell>
          <cell r="C3458" t="str">
            <v>LDYECS315S0044288</v>
          </cell>
          <cell r="D3458" t="str">
            <v>MDN35025020208</v>
          </cell>
          <cell r="E3458" t="str">
            <v>Zhong Thong</v>
          </cell>
          <cell r="F3458" t="str">
            <v>Lck6122evg</v>
          </cell>
          <cell r="G3458" t="str">
            <v>Zhong Thong</v>
          </cell>
          <cell r="H3458" t="str">
            <v>Lck6122evg</v>
          </cell>
          <cell r="I3458">
            <v>2026</v>
          </cell>
          <cell r="J3458" t="str">
            <v>B</v>
          </cell>
          <cell r="K3458" t="str">
            <v>Ducaud</v>
          </cell>
          <cell r="N3458" t="str">
            <v>B</v>
          </cell>
        </row>
        <row r="3459">
          <cell r="B3459" t="str">
            <v>VJZB-97|</v>
          </cell>
          <cell r="C3459" t="str">
            <v>LDYECS313S0044192</v>
          </cell>
          <cell r="D3459" t="str">
            <v>MDN35025020256</v>
          </cell>
          <cell r="E3459" t="str">
            <v>Zhong Thong</v>
          </cell>
          <cell r="F3459" t="str">
            <v>Lck6122evg</v>
          </cell>
          <cell r="G3459" t="str">
            <v>Zhong Thong</v>
          </cell>
          <cell r="H3459" t="str">
            <v>Lck6122evg</v>
          </cell>
          <cell r="I3459">
            <v>2026</v>
          </cell>
          <cell r="J3459" t="str">
            <v>B</v>
          </cell>
          <cell r="K3459" t="str">
            <v>Ducaud</v>
          </cell>
          <cell r="N3459" t="str">
            <v>B</v>
          </cell>
        </row>
        <row r="3460">
          <cell r="B3460" t="str">
            <v>VJZC-57|</v>
          </cell>
          <cell r="C3460" t="str">
            <v>LDYECS315S0044193</v>
          </cell>
          <cell r="D3460" t="str">
            <v>MDN35025020248</v>
          </cell>
          <cell r="E3460" t="str">
            <v>Zhong Thong</v>
          </cell>
          <cell r="F3460" t="str">
            <v>Lck6122evg</v>
          </cell>
          <cell r="G3460" t="str">
            <v>Zhong Thong</v>
          </cell>
          <cell r="H3460" t="str">
            <v>Lck6122evg</v>
          </cell>
          <cell r="I3460">
            <v>2026</v>
          </cell>
          <cell r="J3460" t="str">
            <v>B</v>
          </cell>
          <cell r="K3460" t="str">
            <v>Ducaud</v>
          </cell>
          <cell r="N3460" t="str">
            <v>B</v>
          </cell>
        </row>
        <row r="3461">
          <cell r="B3461" t="str">
            <v>VJZH-87|</v>
          </cell>
          <cell r="C3461" t="str">
            <v>LDYECS31XS0044271</v>
          </cell>
          <cell r="D3461" t="str">
            <v>MDN35025020210</v>
          </cell>
          <cell r="E3461" t="str">
            <v>Zhong Thong</v>
          </cell>
          <cell r="F3461" t="str">
            <v>Lck6122evg</v>
          </cell>
          <cell r="G3461" t="str">
            <v>Zhong Thong</v>
          </cell>
          <cell r="H3461" t="str">
            <v>Lck6122evg</v>
          </cell>
          <cell r="I3461">
            <v>2026</v>
          </cell>
          <cell r="J3461" t="str">
            <v>B</v>
          </cell>
          <cell r="K3461" t="str">
            <v>Ducaud</v>
          </cell>
          <cell r="N3461" t="str">
            <v>B</v>
          </cell>
        </row>
        <row r="3462">
          <cell r="B3462" t="str">
            <v>VJZH-97|</v>
          </cell>
          <cell r="C3462" t="str">
            <v>LDYECS31XS0044268</v>
          </cell>
          <cell r="D3462" t="str">
            <v>MDN3502520269</v>
          </cell>
          <cell r="E3462" t="str">
            <v>Zhong Thong</v>
          </cell>
          <cell r="F3462" t="str">
            <v>Lck6122evg</v>
          </cell>
          <cell r="G3462" t="str">
            <v>Zhong Thong</v>
          </cell>
          <cell r="H3462" t="str">
            <v>Lck6122evg</v>
          </cell>
          <cell r="I3462">
            <v>2026</v>
          </cell>
          <cell r="J3462" t="str">
            <v>B</v>
          </cell>
          <cell r="K3462" t="str">
            <v>Ducaud</v>
          </cell>
          <cell r="N3462" t="str">
            <v>B</v>
          </cell>
        </row>
        <row r="3463">
          <cell r="B3463" t="str">
            <v>VJZJ-56|</v>
          </cell>
          <cell r="C3463" t="str">
            <v>LDYECS319S0044262</v>
          </cell>
          <cell r="D3463" t="str">
            <v>MDN35025020247</v>
          </cell>
          <cell r="E3463" t="str">
            <v>Zhong Thong</v>
          </cell>
          <cell r="F3463" t="str">
            <v>Lck6122evg</v>
          </cell>
          <cell r="G3463" t="str">
            <v>Zhong Thong</v>
          </cell>
          <cell r="H3463" t="str">
            <v>Lck6122evg</v>
          </cell>
          <cell r="I3463">
            <v>2026</v>
          </cell>
          <cell r="J3463" t="str">
            <v>B</v>
          </cell>
          <cell r="K3463" t="str">
            <v>Ducaud</v>
          </cell>
          <cell r="N3463" t="str">
            <v>B</v>
          </cell>
        </row>
        <row r="3464">
          <cell r="B3464" t="str">
            <v>VJZJ-66|</v>
          </cell>
          <cell r="C3464" t="str">
            <v>LDYECS311S0044269</v>
          </cell>
          <cell r="D3464" t="str">
            <v>MDN35025020266</v>
          </cell>
          <cell r="E3464" t="str">
            <v>Zhong Thong</v>
          </cell>
          <cell r="F3464" t="str">
            <v>Lck6122evg</v>
          </cell>
          <cell r="G3464" t="str">
            <v>Zhong Thong</v>
          </cell>
          <cell r="H3464" t="str">
            <v>Lck6122evg</v>
          </cell>
          <cell r="I3464">
            <v>2026</v>
          </cell>
          <cell r="J3464" t="str">
            <v>B</v>
          </cell>
          <cell r="K3464" t="str">
            <v>Ducaud</v>
          </cell>
          <cell r="N3464" t="str">
            <v>B</v>
          </cell>
        </row>
        <row r="3465">
          <cell r="B3465" t="str">
            <v>VKFW-93|</v>
          </cell>
          <cell r="C3465" t="str">
            <v>LDYECS311S0044272</v>
          </cell>
          <cell r="D3465" t="str">
            <v>MDN35025020270</v>
          </cell>
          <cell r="E3465" t="str">
            <v>Zhong Thong</v>
          </cell>
          <cell r="F3465" t="str">
            <v>Lck6122evg</v>
          </cell>
          <cell r="G3465" t="str">
            <v>Zhong Thong</v>
          </cell>
          <cell r="H3465" t="str">
            <v>Lck6122evg</v>
          </cell>
          <cell r="I3465">
            <v>2026</v>
          </cell>
          <cell r="J3465" t="str">
            <v>B</v>
          </cell>
          <cell r="K3465" t="str">
            <v>Ducaud</v>
          </cell>
          <cell r="N3465" t="str">
            <v>B</v>
          </cell>
        </row>
        <row r="3466">
          <cell r="B3466" t="str">
            <v>VKFX-13|</v>
          </cell>
          <cell r="C3466" t="str">
            <v>LDYECS317S0044258</v>
          </cell>
          <cell r="D3466" t="str">
            <v>MDN35025020200</v>
          </cell>
          <cell r="E3466" t="str">
            <v>Zhong Thong</v>
          </cell>
          <cell r="F3466" t="str">
            <v>Lck6122evg</v>
          </cell>
          <cell r="G3466" t="str">
            <v>Zhong Thong</v>
          </cell>
          <cell r="H3466" t="str">
            <v>Lck6122evg</v>
          </cell>
          <cell r="I3466">
            <v>2026</v>
          </cell>
          <cell r="J3466" t="str">
            <v>B</v>
          </cell>
          <cell r="K3466" t="str">
            <v>Ducaud</v>
          </cell>
          <cell r="N3466" t="str">
            <v>B</v>
          </cell>
        </row>
        <row r="3467">
          <cell r="B3467" t="str">
            <v>VKFX-33|</v>
          </cell>
          <cell r="C3467" t="str">
            <v>LDYECS315S0044274</v>
          </cell>
          <cell r="D3467" t="str">
            <v>LDM35025020202</v>
          </cell>
          <cell r="E3467" t="str">
            <v>Zhong Thong</v>
          </cell>
          <cell r="F3467" t="str">
            <v>Lck6122evg</v>
          </cell>
          <cell r="G3467" t="str">
            <v>Zhong Thong</v>
          </cell>
          <cell r="H3467" t="str">
            <v>Lck6122evg</v>
          </cell>
          <cell r="I3467">
            <v>2026</v>
          </cell>
          <cell r="J3467" t="str">
            <v>B</v>
          </cell>
          <cell r="K3467" t="str">
            <v>Ducaud</v>
          </cell>
          <cell r="N3467" t="str">
            <v>B</v>
          </cell>
        </row>
        <row r="3468">
          <cell r="B3468" t="str">
            <v>VKFX-63|</v>
          </cell>
          <cell r="C3468" t="str">
            <v>LDYECS314S0044279</v>
          </cell>
          <cell r="D3468" t="str">
            <v>MDN35025020206</v>
          </cell>
          <cell r="E3468" t="str">
            <v>Zhong Thong</v>
          </cell>
          <cell r="F3468" t="str">
            <v>Lck6122evg</v>
          </cell>
          <cell r="G3468" t="str">
            <v>Zhong Thong</v>
          </cell>
          <cell r="H3468" t="str">
            <v>Lck6122evg</v>
          </cell>
          <cell r="I3468">
            <v>2026</v>
          </cell>
          <cell r="J3468" t="str">
            <v>B</v>
          </cell>
          <cell r="K3468" t="str">
            <v>Ducaud</v>
          </cell>
          <cell r="N3468" t="str">
            <v>B</v>
          </cell>
        </row>
        <row r="3469">
          <cell r="B3469" t="str">
            <v>VKFX-73|</v>
          </cell>
          <cell r="C3469" t="str">
            <v>LDYECS316S0044204</v>
          </cell>
          <cell r="D3469" t="str">
            <v>MDN35025020198</v>
          </cell>
          <cell r="E3469" t="str">
            <v>Zhong Thong</v>
          </cell>
          <cell r="F3469" t="str">
            <v>Lck6122evg</v>
          </cell>
          <cell r="G3469" t="str">
            <v>Zhong Thong</v>
          </cell>
          <cell r="H3469" t="str">
            <v>Lck6122evg</v>
          </cell>
          <cell r="I3469">
            <v>2026</v>
          </cell>
          <cell r="J3469" t="str">
            <v>B</v>
          </cell>
          <cell r="K3469" t="str">
            <v>Ducaud</v>
          </cell>
          <cell r="N3469" t="str">
            <v>B</v>
          </cell>
        </row>
        <row r="3470">
          <cell r="B3470" t="str">
            <v>VKFX-93|</v>
          </cell>
          <cell r="C3470" t="str">
            <v>LDYECS312S0044359</v>
          </cell>
          <cell r="D3470" t="str">
            <v>MDN35025020203</v>
          </cell>
          <cell r="E3470" t="str">
            <v>Zhong Thong</v>
          </cell>
          <cell r="F3470" t="str">
            <v>Lck6122evg</v>
          </cell>
          <cell r="G3470" t="str">
            <v>Zhong Thong</v>
          </cell>
          <cell r="H3470" t="str">
            <v>Lck6122evg</v>
          </cell>
          <cell r="I3470">
            <v>2026</v>
          </cell>
          <cell r="J3470" t="str">
            <v>B</v>
          </cell>
          <cell r="K3470" t="str">
            <v>Ducaud</v>
          </cell>
          <cell r="N3470" t="str">
            <v>B</v>
          </cell>
        </row>
        <row r="3471">
          <cell r="B3471" t="str">
            <v>VKFZ-33|</v>
          </cell>
          <cell r="C3471" t="str">
            <v>LDYECS314S0044363</v>
          </cell>
          <cell r="D3471" t="str">
            <v>MDN35025010121</v>
          </cell>
          <cell r="E3471" t="str">
            <v>Zhong Thong</v>
          </cell>
          <cell r="F3471" t="str">
            <v>Lck6122evg</v>
          </cell>
          <cell r="G3471" t="str">
            <v>Zhong Thong</v>
          </cell>
          <cell r="H3471" t="str">
            <v>Lck6122evg</v>
          </cell>
          <cell r="I3471">
            <v>2026</v>
          </cell>
          <cell r="J3471" t="str">
            <v>B</v>
          </cell>
          <cell r="K3471" t="str">
            <v>Ducaud</v>
          </cell>
          <cell r="N3471" t="str">
            <v>B</v>
          </cell>
        </row>
        <row r="3472">
          <cell r="B3472" t="str">
            <v>VKFZ-53|</v>
          </cell>
          <cell r="C3472" t="str">
            <v>LDYECS315S0044307</v>
          </cell>
          <cell r="D3472" t="str">
            <v>MDN35025030028</v>
          </cell>
          <cell r="E3472" t="str">
            <v>Zhong Thong</v>
          </cell>
          <cell r="F3472" t="str">
            <v>Lck6122evg</v>
          </cell>
          <cell r="G3472" t="str">
            <v>Zhong Thong</v>
          </cell>
          <cell r="H3472" t="str">
            <v>Lck6122evg</v>
          </cell>
          <cell r="I3472">
            <v>2026</v>
          </cell>
          <cell r="J3472" t="str">
            <v>B</v>
          </cell>
          <cell r="K3472" t="str">
            <v>Ducaud</v>
          </cell>
          <cell r="N3472" t="str">
            <v>B</v>
          </cell>
        </row>
        <row r="3473">
          <cell r="B3473" t="str">
            <v>VKFZ-93|</v>
          </cell>
          <cell r="C3473" t="str">
            <v>LDYECS317S0044311</v>
          </cell>
          <cell r="D3473" t="str">
            <v>MDN35025030043</v>
          </cell>
          <cell r="E3473" t="str">
            <v>Zhong Thong</v>
          </cell>
          <cell r="F3473" t="str">
            <v>Lck6122evg</v>
          </cell>
          <cell r="G3473" t="str">
            <v>Zhong Thong</v>
          </cell>
          <cell r="H3473" t="str">
            <v>Lck6122evg</v>
          </cell>
          <cell r="I3473">
            <v>2026</v>
          </cell>
          <cell r="J3473" t="str">
            <v>B</v>
          </cell>
          <cell r="K3473" t="str">
            <v>Ducaud</v>
          </cell>
          <cell r="N3473" t="str">
            <v>B</v>
          </cell>
        </row>
        <row r="3474">
          <cell r="B3474" t="str">
            <v>VKGB-43|</v>
          </cell>
          <cell r="C3474" t="str">
            <v>LDYECS31XS44318</v>
          </cell>
          <cell r="D3474" t="str">
            <v>MDN35025010176</v>
          </cell>
          <cell r="E3474" t="str">
            <v>Zhong Thong</v>
          </cell>
          <cell r="F3474" t="str">
            <v>Lck6122evg</v>
          </cell>
          <cell r="G3474" t="str">
            <v>Zhong Thong</v>
          </cell>
          <cell r="H3474" t="str">
            <v>Lck6122evg</v>
          </cell>
          <cell r="I3474">
            <v>2026</v>
          </cell>
          <cell r="J3474" t="str">
            <v>B</v>
          </cell>
          <cell r="K3474" t="str">
            <v>Ducaud</v>
          </cell>
          <cell r="N3474" t="str">
            <v>B</v>
          </cell>
        </row>
        <row r="3475">
          <cell r="B3475" t="str">
            <v>VKGB-83|</v>
          </cell>
          <cell r="C3475" t="str">
            <v>LDYECS312S0044314</v>
          </cell>
          <cell r="D3475" t="str">
            <v>MDN35025030094</v>
          </cell>
          <cell r="E3475" t="str">
            <v>Zhong Thong</v>
          </cell>
          <cell r="F3475" t="str">
            <v>Lck6122evg</v>
          </cell>
          <cell r="G3475" t="str">
            <v>Zhong Thong</v>
          </cell>
          <cell r="H3475" t="str">
            <v>Lck6122evg</v>
          </cell>
          <cell r="I3475">
            <v>2026</v>
          </cell>
          <cell r="J3475" t="str">
            <v>B</v>
          </cell>
          <cell r="K3475" t="str">
            <v>Ducaud</v>
          </cell>
          <cell r="N3475" t="str">
            <v>B</v>
          </cell>
        </row>
        <row r="3476">
          <cell r="B3476" t="str">
            <v>VKGC-23|</v>
          </cell>
          <cell r="C3476" t="str">
            <v>LDYECS319S0044391</v>
          </cell>
          <cell r="D3476" t="str">
            <v>MDN35025010114</v>
          </cell>
          <cell r="E3476" t="str">
            <v>Zhong Thong</v>
          </cell>
          <cell r="F3476" t="str">
            <v>Lck6122evg</v>
          </cell>
          <cell r="G3476" t="str">
            <v>Zhong Thong</v>
          </cell>
          <cell r="H3476" t="str">
            <v>Lck6122evg</v>
          </cell>
          <cell r="I3476">
            <v>2026</v>
          </cell>
          <cell r="J3476" t="str">
            <v>B</v>
          </cell>
          <cell r="K3476" t="str">
            <v>Ducaud</v>
          </cell>
          <cell r="N3476" t="str">
            <v>B</v>
          </cell>
        </row>
        <row r="3477">
          <cell r="B3477" t="str">
            <v>VKGC-63|</v>
          </cell>
          <cell r="C3477" t="str">
            <v>LDYECS317S0044387</v>
          </cell>
          <cell r="D3477" t="str">
            <v>MDN35025010083</v>
          </cell>
          <cell r="E3477" t="str">
            <v>Zhong Thong</v>
          </cell>
          <cell r="F3477" t="str">
            <v>Lck6122evg</v>
          </cell>
          <cell r="G3477" t="str">
            <v>Zhong Thong</v>
          </cell>
          <cell r="H3477" t="str">
            <v>Lck6122evg</v>
          </cell>
          <cell r="I3477">
            <v>2026</v>
          </cell>
          <cell r="J3477" t="str">
            <v>B</v>
          </cell>
          <cell r="K3477" t="str">
            <v>Ducaud</v>
          </cell>
          <cell r="N3477" t="str">
            <v>B</v>
          </cell>
        </row>
        <row r="3478">
          <cell r="B3478" t="str">
            <v>VKGC-73|</v>
          </cell>
          <cell r="C3478" t="str">
            <v>LDYECS314S0044315</v>
          </cell>
          <cell r="D3478" t="str">
            <v>MDN35025010082</v>
          </cell>
          <cell r="E3478" t="str">
            <v>Zhong Thong</v>
          </cell>
          <cell r="F3478" t="str">
            <v>Lck6122evg</v>
          </cell>
          <cell r="G3478" t="str">
            <v>Zhong Thong</v>
          </cell>
          <cell r="H3478" t="str">
            <v>Lck6122evg</v>
          </cell>
          <cell r="I3478">
            <v>2026</v>
          </cell>
          <cell r="J3478" t="str">
            <v>B</v>
          </cell>
          <cell r="K3478" t="str">
            <v>Ducaud</v>
          </cell>
          <cell r="N3478" t="str">
            <v>B</v>
          </cell>
        </row>
        <row r="3479">
          <cell r="B3479" t="str">
            <v>VKGD-33|</v>
          </cell>
          <cell r="C3479" t="str">
            <v>LDYECS312S0044393</v>
          </cell>
          <cell r="D3479" t="str">
            <v>MDN35025030149</v>
          </cell>
          <cell r="E3479" t="str">
            <v>Zhong Thong</v>
          </cell>
          <cell r="F3479" t="str">
            <v>Lck6122evg</v>
          </cell>
          <cell r="G3479" t="str">
            <v>Zhong Thong</v>
          </cell>
          <cell r="H3479" t="str">
            <v>Lck6122evg</v>
          </cell>
          <cell r="I3479">
            <v>2026</v>
          </cell>
          <cell r="J3479" t="str">
            <v>B</v>
          </cell>
          <cell r="K3479" t="str">
            <v>Ducaud</v>
          </cell>
          <cell r="N3479" t="str">
            <v>B</v>
          </cell>
        </row>
        <row r="3480">
          <cell r="B3480" t="str">
            <v>VKGD-43|</v>
          </cell>
          <cell r="C3480" t="str">
            <v>MDYECS315S0044386</v>
          </cell>
          <cell r="D3480" t="str">
            <v>MDN35025010084</v>
          </cell>
          <cell r="E3480" t="str">
            <v>Zhong Thong</v>
          </cell>
          <cell r="F3480" t="str">
            <v>Lck6122evg</v>
          </cell>
          <cell r="G3480" t="str">
            <v>Zhong Thong</v>
          </cell>
          <cell r="H3480" t="str">
            <v>Lck6122evg</v>
          </cell>
          <cell r="I3480">
            <v>2026</v>
          </cell>
          <cell r="J3480" t="str">
            <v>B</v>
          </cell>
          <cell r="K3480" t="str">
            <v>Ducaud</v>
          </cell>
          <cell r="N3480" t="str">
            <v>B</v>
          </cell>
        </row>
        <row r="3481">
          <cell r="B3481" t="str">
            <v>VKGF-93|</v>
          </cell>
          <cell r="C3481" t="str">
            <v>LDYECS318S0044320</v>
          </cell>
          <cell r="D3481" t="str">
            <v>MDN35025010160</v>
          </cell>
          <cell r="E3481" t="str">
            <v>Zhong Thong</v>
          </cell>
          <cell r="F3481" t="str">
            <v>Lck6122evg</v>
          </cell>
          <cell r="G3481" t="str">
            <v>Zhong Thong</v>
          </cell>
          <cell r="H3481" t="str">
            <v>Lck6122evg</v>
          </cell>
          <cell r="I3481">
            <v>2026</v>
          </cell>
          <cell r="J3481" t="str">
            <v>B</v>
          </cell>
          <cell r="K3481" t="str">
            <v>Ducaud</v>
          </cell>
          <cell r="N3481" t="str">
            <v>B</v>
          </cell>
        </row>
        <row r="3482">
          <cell r="B3482" t="str">
            <v>VKGG-13|</v>
          </cell>
          <cell r="C3482" t="str">
            <v>LDYECS316S0044395</v>
          </cell>
          <cell r="D3482" t="str">
            <v>MDN35025010172</v>
          </cell>
          <cell r="E3482" t="str">
            <v>Zhong Thong</v>
          </cell>
          <cell r="F3482" t="str">
            <v>Lck6122evg</v>
          </cell>
          <cell r="G3482" t="str">
            <v>Zhong Thong</v>
          </cell>
          <cell r="H3482" t="str">
            <v>Lck6122evg</v>
          </cell>
          <cell r="I3482">
            <v>2026</v>
          </cell>
          <cell r="J3482" t="str">
            <v>B</v>
          </cell>
          <cell r="K3482" t="str">
            <v>Ducaud</v>
          </cell>
          <cell r="N3482" t="str">
            <v>B</v>
          </cell>
        </row>
        <row r="3483">
          <cell r="B3483" t="str">
            <v>VKGG-23|</v>
          </cell>
          <cell r="C3483" t="str">
            <v>LDYECS314S0044329</v>
          </cell>
          <cell r="D3483" t="str">
            <v>MDN35025010145</v>
          </cell>
          <cell r="E3483" t="str">
            <v>Zhong Thong</v>
          </cell>
          <cell r="F3483" t="str">
            <v>Lck6122evg</v>
          </cell>
          <cell r="G3483" t="str">
            <v>Zhong Thong</v>
          </cell>
          <cell r="H3483" t="str">
            <v>Lck6122evg</v>
          </cell>
          <cell r="I3483">
            <v>2026</v>
          </cell>
          <cell r="J3483" t="str">
            <v>B</v>
          </cell>
          <cell r="K3483" t="str">
            <v>Ducaud</v>
          </cell>
          <cell r="N3483" t="str">
            <v>B</v>
          </cell>
        </row>
        <row r="3484">
          <cell r="B3484" t="str">
            <v>VKGG-33|</v>
          </cell>
          <cell r="C3484" t="str">
            <v>LDYECS319S0044326</v>
          </cell>
          <cell r="D3484" t="str">
            <v>MDN35025030181</v>
          </cell>
          <cell r="E3484" t="str">
            <v>Zhong Thong</v>
          </cell>
          <cell r="F3484" t="str">
            <v>Lck6122evg</v>
          </cell>
          <cell r="G3484" t="str">
            <v>Zhong Thong</v>
          </cell>
          <cell r="H3484" t="str">
            <v>Lck6122evg</v>
          </cell>
          <cell r="I3484">
            <v>2026</v>
          </cell>
          <cell r="J3484" t="str">
            <v>B</v>
          </cell>
          <cell r="K3484" t="str">
            <v>Ducaud</v>
          </cell>
          <cell r="N3484" t="str">
            <v>B</v>
          </cell>
        </row>
        <row r="3485">
          <cell r="B3485" t="str">
            <v>VKGG-53|</v>
          </cell>
          <cell r="C3485" t="str">
            <v>LDYECS310S0044330</v>
          </cell>
          <cell r="D3485" t="str">
            <v>MDN35025030253</v>
          </cell>
          <cell r="E3485" t="str">
            <v>Zhong Thong</v>
          </cell>
          <cell r="F3485" t="str">
            <v>Lck6122evg</v>
          </cell>
          <cell r="G3485" t="str">
            <v>Zhong Thong</v>
          </cell>
          <cell r="H3485" t="str">
            <v>Lck6122evg</v>
          </cell>
          <cell r="I3485">
            <v>2026</v>
          </cell>
          <cell r="J3485" t="str">
            <v>B</v>
          </cell>
          <cell r="K3485" t="str">
            <v>Ducaud</v>
          </cell>
          <cell r="N3485" t="str">
            <v>B</v>
          </cell>
        </row>
        <row r="3486">
          <cell r="B3486" t="str">
            <v>VKGG-73|</v>
          </cell>
          <cell r="C3486" t="str">
            <v>LDYECS319S0044410</v>
          </cell>
          <cell r="D3486" t="str">
            <v>MDN35025030046</v>
          </cell>
          <cell r="E3486" t="str">
            <v>Zhong Thong</v>
          </cell>
          <cell r="F3486" t="str">
            <v>Lck6122evg</v>
          </cell>
          <cell r="G3486" t="str">
            <v>Zhong Thong</v>
          </cell>
          <cell r="H3486" t="str">
            <v>Lck6122evg</v>
          </cell>
          <cell r="I3486">
            <v>2026</v>
          </cell>
          <cell r="J3486" t="str">
            <v>B</v>
          </cell>
          <cell r="K3486" t="str">
            <v>Ducaud</v>
          </cell>
          <cell r="N3486" t="str">
            <v>B</v>
          </cell>
        </row>
        <row r="3487">
          <cell r="B3487" t="str">
            <v>VKGG-83|</v>
          </cell>
          <cell r="C3487" t="str">
            <v>LDYECS31XS0044397</v>
          </cell>
          <cell r="D3487" t="str">
            <v>MDN35025030184</v>
          </cell>
          <cell r="E3487" t="str">
            <v>Zhong Thong</v>
          </cell>
          <cell r="F3487" t="str">
            <v>Lck6122evg</v>
          </cell>
          <cell r="G3487" t="str">
            <v>Zhong Thong</v>
          </cell>
          <cell r="H3487" t="str">
            <v>Lck6122evg</v>
          </cell>
          <cell r="I3487">
            <v>2026</v>
          </cell>
          <cell r="J3487" t="str">
            <v>B</v>
          </cell>
          <cell r="K3487" t="str">
            <v>Ducaud</v>
          </cell>
          <cell r="N3487" t="str">
            <v>B</v>
          </cell>
        </row>
        <row r="3488">
          <cell r="B3488" t="str">
            <v>VKGG-93|</v>
          </cell>
          <cell r="C3488" t="str">
            <v>LDYECS316S0044400</v>
          </cell>
          <cell r="D3488" t="str">
            <v>MDN35025030146</v>
          </cell>
          <cell r="E3488" t="str">
            <v>Zhong Thong</v>
          </cell>
          <cell r="F3488" t="str">
            <v>Lck6122evg</v>
          </cell>
          <cell r="G3488" t="str">
            <v>Zhong Thong</v>
          </cell>
          <cell r="H3488" t="str">
            <v>Lck6122evg</v>
          </cell>
          <cell r="I3488">
            <v>2026</v>
          </cell>
          <cell r="J3488" t="str">
            <v>B</v>
          </cell>
          <cell r="K3488" t="str">
            <v>Ducaud</v>
          </cell>
          <cell r="N3488" t="str">
            <v>B</v>
          </cell>
        </row>
        <row r="3489">
          <cell r="B3489" t="str">
            <v>VKGH-13|</v>
          </cell>
          <cell r="C3489" t="str">
            <v>LDYECS311S0044336</v>
          </cell>
          <cell r="D3489" t="str">
            <v>MDN35025030152</v>
          </cell>
          <cell r="E3489" t="str">
            <v>Zhong Thong</v>
          </cell>
          <cell r="F3489" t="str">
            <v>Lck6122evg</v>
          </cell>
          <cell r="G3489" t="str">
            <v>Zhong Thong</v>
          </cell>
          <cell r="H3489" t="str">
            <v>Lck6122evg</v>
          </cell>
          <cell r="I3489">
            <v>2026</v>
          </cell>
          <cell r="J3489" t="str">
            <v>B</v>
          </cell>
          <cell r="K3489" t="str">
            <v>Ducaud</v>
          </cell>
          <cell r="N3489" t="str">
            <v>B</v>
          </cell>
        </row>
        <row r="3490">
          <cell r="B3490" t="str">
            <v>VKGH-23|</v>
          </cell>
          <cell r="C3490" t="str">
            <v>LDYECS315S0044338</v>
          </cell>
          <cell r="D3490" t="str">
            <v>MDN35025010150</v>
          </cell>
          <cell r="E3490" t="str">
            <v>Zhong Thong</v>
          </cell>
          <cell r="F3490" t="str">
            <v>Lck6122evg</v>
          </cell>
          <cell r="G3490" t="str">
            <v>Zhong Thong</v>
          </cell>
          <cell r="H3490" t="str">
            <v>Lck6122evg</v>
          </cell>
          <cell r="I3490">
            <v>2026</v>
          </cell>
          <cell r="J3490" t="str">
            <v>B</v>
          </cell>
          <cell r="K3490" t="str">
            <v>Ducaud</v>
          </cell>
          <cell r="N3490" t="str">
            <v>B</v>
          </cell>
        </row>
        <row r="3491">
          <cell r="B3491" t="str">
            <v>VKGH-33|</v>
          </cell>
          <cell r="C3491" t="str">
            <v>LDYECS311S0044403</v>
          </cell>
          <cell r="D3491" t="str">
            <v>MDN35025030154</v>
          </cell>
          <cell r="E3491" t="str">
            <v>Zhong Thong</v>
          </cell>
          <cell r="F3491" t="str">
            <v>Lck6122evg</v>
          </cell>
          <cell r="G3491" t="str">
            <v>Zhong Thong</v>
          </cell>
          <cell r="H3491" t="str">
            <v>Lck6122evg</v>
          </cell>
          <cell r="I3491">
            <v>2026</v>
          </cell>
          <cell r="J3491" t="str">
            <v>B</v>
          </cell>
          <cell r="K3491" t="str">
            <v>Ducaud</v>
          </cell>
          <cell r="N3491" t="str">
            <v>B</v>
          </cell>
        </row>
        <row r="3492">
          <cell r="B3492" t="str">
            <v>VKGL-84|</v>
          </cell>
          <cell r="C3492" t="str">
            <v>LDYECS319S0044309</v>
          </cell>
          <cell r="D3492" t="str">
            <v>MDN35025030008</v>
          </cell>
          <cell r="E3492" t="str">
            <v>Zhong Thong</v>
          </cell>
          <cell r="F3492" t="str">
            <v>Lck6122evg</v>
          </cell>
          <cell r="G3492" t="str">
            <v>Zhong Thong</v>
          </cell>
          <cell r="H3492" t="str">
            <v>Lck6122evg</v>
          </cell>
          <cell r="I3492">
            <v>2026</v>
          </cell>
          <cell r="J3492" t="str">
            <v>B</v>
          </cell>
          <cell r="K3492" t="str">
            <v>Ducaud</v>
          </cell>
          <cell r="N3492" t="str">
            <v>B</v>
          </cell>
        </row>
        <row r="3493">
          <cell r="B3493" t="str">
            <v>VKGP-35|</v>
          </cell>
          <cell r="C3493" t="str">
            <v>LDYECS31XS0044190</v>
          </cell>
          <cell r="D3493" t="str">
            <v>MDN35025020179</v>
          </cell>
          <cell r="E3493" t="str">
            <v>Zhong Thong</v>
          </cell>
          <cell r="F3493" t="str">
            <v>Lck6122evg</v>
          </cell>
          <cell r="G3493" t="str">
            <v>Zhong Thong</v>
          </cell>
          <cell r="H3493" t="str">
            <v>Lck6122evg</v>
          </cell>
          <cell r="I3493">
            <v>2026</v>
          </cell>
          <cell r="J3493" t="str">
            <v>B</v>
          </cell>
          <cell r="K3493" t="str">
            <v>Ducaud</v>
          </cell>
          <cell r="N3493" t="str">
            <v>B</v>
          </cell>
        </row>
        <row r="3494">
          <cell r="B3494" t="str">
            <v>VKGP-45|</v>
          </cell>
          <cell r="C3494" t="str">
            <v>LDYECS312S0044264</v>
          </cell>
          <cell r="D3494" t="str">
            <v>MDN35025030090</v>
          </cell>
          <cell r="E3494" t="str">
            <v>Zhong Thong</v>
          </cell>
          <cell r="F3494" t="str">
            <v>Lck6122evg</v>
          </cell>
          <cell r="G3494" t="str">
            <v>Zhong Thong</v>
          </cell>
          <cell r="H3494" t="str">
            <v>Lck6122evg</v>
          </cell>
          <cell r="I3494">
            <v>2026</v>
          </cell>
          <cell r="J3494" t="str">
            <v>B</v>
          </cell>
          <cell r="K3494" t="str">
            <v>Ducaud</v>
          </cell>
          <cell r="N3494" t="str">
            <v>B</v>
          </cell>
        </row>
        <row r="3495">
          <cell r="B3495" t="str">
            <v>VKGP-55|</v>
          </cell>
          <cell r="C3495" t="str">
            <v>LDYECS315S0044355</v>
          </cell>
          <cell r="D3495" t="str">
            <v>MDN35025010086</v>
          </cell>
          <cell r="E3495" t="str">
            <v>Zhong Thong</v>
          </cell>
          <cell r="F3495" t="str">
            <v>Lck6122evg</v>
          </cell>
          <cell r="G3495" t="str">
            <v>Zhong Thong</v>
          </cell>
          <cell r="H3495" t="str">
            <v>Lck6122evg</v>
          </cell>
          <cell r="I3495">
            <v>2026</v>
          </cell>
          <cell r="J3495" t="str">
            <v>B</v>
          </cell>
          <cell r="K3495" t="str">
            <v>Ducaud</v>
          </cell>
          <cell r="N3495" t="str">
            <v>B</v>
          </cell>
        </row>
        <row r="3496">
          <cell r="B3496" t="str">
            <v>VKGP-75|</v>
          </cell>
          <cell r="C3496" t="str">
            <v>LDYECS311S0044367</v>
          </cell>
          <cell r="D3496" t="str">
            <v>MDN35025010046</v>
          </cell>
          <cell r="E3496" t="str">
            <v>Zhong Thong</v>
          </cell>
          <cell r="F3496" t="str">
            <v>Lck6122evg</v>
          </cell>
          <cell r="G3496" t="str">
            <v>Zhong Thong</v>
          </cell>
          <cell r="H3496" t="str">
            <v>Lck6122evg</v>
          </cell>
          <cell r="I3496">
            <v>2026</v>
          </cell>
          <cell r="J3496" t="str">
            <v>B</v>
          </cell>
          <cell r="K3496" t="str">
            <v>Ducaud</v>
          </cell>
          <cell r="N3496" t="str">
            <v>B</v>
          </cell>
        </row>
        <row r="3497">
          <cell r="B3497" t="str">
            <v>VLBP-23|</v>
          </cell>
          <cell r="C3497" t="str">
            <v>LDYECS311S0045762</v>
          </cell>
          <cell r="D3497" t="str">
            <v>MDN35025030168</v>
          </cell>
          <cell r="E3497" t="str">
            <v>Zhong Thong</v>
          </cell>
          <cell r="F3497" t="str">
            <v>Lck6122evg</v>
          </cell>
          <cell r="G3497" t="str">
            <v>Zhong Thong</v>
          </cell>
          <cell r="H3497" t="str">
            <v>Lck6122evg</v>
          </cell>
          <cell r="I3497">
            <v>2026</v>
          </cell>
          <cell r="J3497" t="str">
            <v>B</v>
          </cell>
          <cell r="K3497" t="str">
            <v>Ducaud</v>
          </cell>
          <cell r="N3497" t="str">
            <v>B</v>
          </cell>
        </row>
        <row r="3498">
          <cell r="B3498" t="str">
            <v>VLBP-73|</v>
          </cell>
          <cell r="C3498" t="str">
            <v>LDYECS318S0045760</v>
          </cell>
          <cell r="D3498" t="str">
            <v>MDN35025030276</v>
          </cell>
          <cell r="E3498" t="str">
            <v>Zhong Thong</v>
          </cell>
          <cell r="F3498" t="str">
            <v>Lck6122evg</v>
          </cell>
          <cell r="G3498" t="str">
            <v>Zhong Thong</v>
          </cell>
          <cell r="H3498" t="str">
            <v>Lck6122evg</v>
          </cell>
          <cell r="I3498">
            <v>2026</v>
          </cell>
          <cell r="J3498" t="str">
            <v>B</v>
          </cell>
          <cell r="K3498" t="str">
            <v>Ducaud</v>
          </cell>
          <cell r="N3498" t="str">
            <v>B</v>
          </cell>
        </row>
        <row r="3499">
          <cell r="B3499" t="str">
            <v>VLBZ-78|</v>
          </cell>
          <cell r="C3499" t="str">
            <v>LDYECS313S0045763</v>
          </cell>
          <cell r="D3499" t="str">
            <v>MDN35025030156</v>
          </cell>
          <cell r="E3499" t="str">
            <v>Zhong Thong</v>
          </cell>
          <cell r="F3499" t="str">
            <v>Lck6122evg</v>
          </cell>
          <cell r="G3499" t="str">
            <v>Zhong Thong</v>
          </cell>
          <cell r="H3499" t="str">
            <v>Lck6122evg</v>
          </cell>
          <cell r="I3499">
            <v>2026</v>
          </cell>
          <cell r="J3499" t="str">
            <v>B</v>
          </cell>
          <cell r="K3499" t="str">
            <v>Ducaud</v>
          </cell>
          <cell r="N3499" t="str">
            <v>B</v>
          </cell>
        </row>
        <row r="3500">
          <cell r="B3500" t="str">
            <v>VLBZ-96|</v>
          </cell>
          <cell r="C3500" t="str">
            <v>LDYECS314S0044394</v>
          </cell>
          <cell r="D3500" t="str">
            <v>MDN35025030249</v>
          </cell>
          <cell r="E3500" t="str">
            <v>Zhong Thong</v>
          </cell>
          <cell r="F3500" t="str">
            <v>Lck6122evg</v>
          </cell>
          <cell r="G3500" t="str">
            <v>Zhong Thong</v>
          </cell>
          <cell r="H3500" t="str">
            <v>Lck6122evg</v>
          </cell>
          <cell r="I3500">
            <v>2026</v>
          </cell>
          <cell r="J3500" t="str">
            <v>B</v>
          </cell>
          <cell r="K3500" t="str">
            <v>Ducaud</v>
          </cell>
          <cell r="N3500" t="str">
            <v>B</v>
          </cell>
        </row>
        <row r="3501">
          <cell r="B3501" t="str">
            <v>VLCB-26|</v>
          </cell>
          <cell r="C3501" t="str">
            <v>LDYECS315S0044257</v>
          </cell>
          <cell r="D3501" t="str">
            <v>MDN35025020147</v>
          </cell>
          <cell r="E3501" t="str">
            <v>Zhong Thong</v>
          </cell>
          <cell r="F3501" t="str">
            <v>Lck6122evg</v>
          </cell>
          <cell r="G3501" t="str">
            <v>Zhong Thong</v>
          </cell>
          <cell r="H3501" t="str">
            <v>Lck6122evg</v>
          </cell>
          <cell r="I3501">
            <v>2026</v>
          </cell>
          <cell r="J3501" t="str">
            <v>B</v>
          </cell>
          <cell r="K3501" t="str">
            <v>Ducaud</v>
          </cell>
          <cell r="N3501" t="str">
            <v>B</v>
          </cell>
        </row>
        <row r="3502">
          <cell r="B3502" t="str">
            <v>VLCB-56|</v>
          </cell>
          <cell r="C3502" t="str">
            <v>LDYECS31XS0045758</v>
          </cell>
          <cell r="D3502" t="str">
            <v>MDN35025030172</v>
          </cell>
          <cell r="E3502" t="str">
            <v>Zhong Thong</v>
          </cell>
          <cell r="F3502" t="str">
            <v>Lck6122evg</v>
          </cell>
          <cell r="G3502" t="str">
            <v>Zhong Thong</v>
          </cell>
          <cell r="H3502" t="str">
            <v>Lck6122evg</v>
          </cell>
          <cell r="I3502">
            <v>2026</v>
          </cell>
          <cell r="J3502" t="str">
            <v>B</v>
          </cell>
          <cell r="K3502" t="str">
            <v>Ducaud</v>
          </cell>
          <cell r="N3502" t="str">
            <v>B</v>
          </cell>
        </row>
        <row r="3503">
          <cell r="B3503" t="str">
            <v>VLCC-16|</v>
          </cell>
          <cell r="C3503" t="str">
            <v>LDYECS311S0045857</v>
          </cell>
          <cell r="D3503" t="str">
            <v>MDN35025030292</v>
          </cell>
          <cell r="E3503" t="str">
            <v>Zhong Thong</v>
          </cell>
          <cell r="F3503" t="str">
            <v>Lck6122evg</v>
          </cell>
          <cell r="G3503" t="str">
            <v>Zhong Thong</v>
          </cell>
          <cell r="H3503" t="str">
            <v>Lck6122evg</v>
          </cell>
          <cell r="I3503">
            <v>2026</v>
          </cell>
          <cell r="J3503" t="str">
            <v>B</v>
          </cell>
          <cell r="K3503" t="str">
            <v>Ducaud</v>
          </cell>
          <cell r="N3503" t="str">
            <v>B</v>
          </cell>
        </row>
        <row r="3504">
          <cell r="B3504" t="str">
            <v>VLCC-36|</v>
          </cell>
          <cell r="C3504" t="str">
            <v>LDYECS315S0045764</v>
          </cell>
          <cell r="D3504" t="str">
            <v>MDN35025030157</v>
          </cell>
          <cell r="E3504" t="str">
            <v>Zhong Thong</v>
          </cell>
          <cell r="F3504" t="str">
            <v>Lck6122evg</v>
          </cell>
          <cell r="G3504" t="str">
            <v>Zhong Thong</v>
          </cell>
          <cell r="H3504" t="str">
            <v>Lck6122evg</v>
          </cell>
          <cell r="I3504">
            <v>2026</v>
          </cell>
          <cell r="J3504" t="str">
            <v>B</v>
          </cell>
          <cell r="K3504" t="str">
            <v>Ducaud</v>
          </cell>
          <cell r="N3504" t="str">
            <v>B</v>
          </cell>
        </row>
        <row r="3505">
          <cell r="B3505" t="str">
            <v>VLCD-56|</v>
          </cell>
          <cell r="C3505" t="str">
            <v>LDYECS315S0045862</v>
          </cell>
          <cell r="D3505" t="str">
            <v>MDN35025030216</v>
          </cell>
          <cell r="E3505" t="str">
            <v>Zhong Thong</v>
          </cell>
          <cell r="F3505" t="str">
            <v>Lck6122evg</v>
          </cell>
          <cell r="G3505" t="str">
            <v>Zhong Thong</v>
          </cell>
          <cell r="H3505" t="str">
            <v>Lck6122evg</v>
          </cell>
          <cell r="I3505">
            <v>2026</v>
          </cell>
          <cell r="J3505" t="str">
            <v>B</v>
          </cell>
          <cell r="K3505" t="str">
            <v>Ducaud</v>
          </cell>
          <cell r="N3505" t="str">
            <v>B</v>
          </cell>
        </row>
        <row r="3506">
          <cell r="B3506" t="str">
            <v>VLCD-65|</v>
          </cell>
          <cell r="C3506" t="str">
            <v>LDYECS318S0044155</v>
          </cell>
          <cell r="D3506" t="str">
            <v>MDN35025020268</v>
          </cell>
          <cell r="E3506" t="str">
            <v>Zhong Thong</v>
          </cell>
          <cell r="F3506" t="str">
            <v>Lck6122evg</v>
          </cell>
          <cell r="G3506" t="str">
            <v>Zhong Thong</v>
          </cell>
          <cell r="H3506" t="str">
            <v>Lck6122evg</v>
          </cell>
          <cell r="I3506">
            <v>2026</v>
          </cell>
          <cell r="J3506" t="str">
            <v>B</v>
          </cell>
          <cell r="K3506" t="str">
            <v>Ducaud</v>
          </cell>
          <cell r="N3506" t="str">
            <v>B</v>
          </cell>
        </row>
        <row r="3507">
          <cell r="B3507" t="str">
            <v>VLCF-18|</v>
          </cell>
          <cell r="C3507" t="str">
            <v>LDYECS315S0045781</v>
          </cell>
          <cell r="D3507" t="str">
            <v>MDN35025030229</v>
          </cell>
          <cell r="E3507" t="str">
            <v>Zhong Thong</v>
          </cell>
          <cell r="F3507" t="str">
            <v>Lck6122evg</v>
          </cell>
          <cell r="G3507" t="str">
            <v>Zhong Thong</v>
          </cell>
          <cell r="H3507" t="str">
            <v>Lck6122evg</v>
          </cell>
          <cell r="I3507">
            <v>2026</v>
          </cell>
          <cell r="J3507" t="str">
            <v>B</v>
          </cell>
          <cell r="K3507" t="str">
            <v>Ducaud</v>
          </cell>
          <cell r="N3507" t="str">
            <v>B</v>
          </cell>
        </row>
        <row r="3508">
          <cell r="B3508" t="str">
            <v>VLCF-76|</v>
          </cell>
          <cell r="C3508" t="str">
            <v>LDYECS317S0045765</v>
          </cell>
          <cell r="D3508" t="str">
            <v>MDN35025030272</v>
          </cell>
          <cell r="E3508" t="str">
            <v>Zhong Thong</v>
          </cell>
          <cell r="F3508" t="str">
            <v>Lck6122evg</v>
          </cell>
          <cell r="G3508" t="str">
            <v>Zhong Thong</v>
          </cell>
          <cell r="H3508" t="str">
            <v>Lck6122evg</v>
          </cell>
          <cell r="I3508">
            <v>2026</v>
          </cell>
          <cell r="J3508" t="str">
            <v>B</v>
          </cell>
          <cell r="K3508" t="str">
            <v>Ducaud</v>
          </cell>
          <cell r="N3508" t="str">
            <v>B</v>
          </cell>
        </row>
        <row r="3509">
          <cell r="B3509" t="str">
            <v>VLCG-67|</v>
          </cell>
          <cell r="C3509" t="str">
            <v>LDYECS319S0045752</v>
          </cell>
          <cell r="D3509" t="str">
            <v>MDN35025030131</v>
          </cell>
          <cell r="E3509" t="str">
            <v>Zhong Thong</v>
          </cell>
          <cell r="F3509" t="str">
            <v>Lck6122evg</v>
          </cell>
          <cell r="G3509" t="str">
            <v>Zhong Thong</v>
          </cell>
          <cell r="H3509" t="str">
            <v>Lck6122evg</v>
          </cell>
          <cell r="I3509">
            <v>2026</v>
          </cell>
          <cell r="J3509" t="str">
            <v>B</v>
          </cell>
          <cell r="K3509" t="str">
            <v>Ducaud</v>
          </cell>
          <cell r="N3509" t="str">
            <v>B</v>
          </cell>
        </row>
        <row r="3510">
          <cell r="B3510" t="str">
            <v>VLCK-37|</v>
          </cell>
          <cell r="C3510" t="str">
            <v>LDYECS313S0045861</v>
          </cell>
          <cell r="D3510" t="str">
            <v>MDN35025030174</v>
          </cell>
          <cell r="E3510" t="str">
            <v>Zhong Thong</v>
          </cell>
          <cell r="F3510" t="str">
            <v>Lck6122evg</v>
          </cell>
          <cell r="G3510" t="str">
            <v>Zhong Thong</v>
          </cell>
          <cell r="H3510" t="str">
            <v>Lck6122evg</v>
          </cell>
          <cell r="I3510">
            <v>2026</v>
          </cell>
          <cell r="J3510" t="str">
            <v>B</v>
          </cell>
          <cell r="K3510" t="str">
            <v>Ducaud</v>
          </cell>
          <cell r="N3510" t="str">
            <v>B</v>
          </cell>
        </row>
        <row r="3511">
          <cell r="B3511" t="str">
            <v>VLCK-77|</v>
          </cell>
          <cell r="C3511" t="str">
            <v>LDYECS316S0045773</v>
          </cell>
          <cell r="D3511" t="str">
            <v>MDN35025030170</v>
          </cell>
          <cell r="E3511" t="str">
            <v>Zhong Thong</v>
          </cell>
          <cell r="F3511" t="str">
            <v>Lck6122evg</v>
          </cell>
          <cell r="G3511" t="str">
            <v>Zhong Thong</v>
          </cell>
          <cell r="H3511" t="str">
            <v>Lck6122evg</v>
          </cell>
          <cell r="I3511">
            <v>2026</v>
          </cell>
          <cell r="J3511" t="str">
            <v>B</v>
          </cell>
          <cell r="K3511" t="str">
            <v>Ducaud</v>
          </cell>
          <cell r="N3511" t="str">
            <v>B</v>
          </cell>
        </row>
        <row r="3512">
          <cell r="B3512" t="str">
            <v>VLFG-56|</v>
          </cell>
          <cell r="C3512" t="str">
            <v>LDYECS312S0045771</v>
          </cell>
          <cell r="D3512" t="str">
            <v>MDN35025030182</v>
          </cell>
          <cell r="E3512" t="str">
            <v>Zhong Thong</v>
          </cell>
          <cell r="F3512" t="str">
            <v>Lck6122evg</v>
          </cell>
          <cell r="G3512" t="str">
            <v>Zhong Thong</v>
          </cell>
          <cell r="H3512" t="str">
            <v>Lck6122evg</v>
          </cell>
          <cell r="I3512">
            <v>2026</v>
          </cell>
          <cell r="J3512" t="str">
            <v>B</v>
          </cell>
          <cell r="K3512" t="str">
            <v>Ducaud</v>
          </cell>
          <cell r="N3512" t="str">
            <v>B</v>
          </cell>
        </row>
        <row r="3513">
          <cell r="B3513" t="str">
            <v>VLFG-69|</v>
          </cell>
          <cell r="C3513" t="str">
            <v>LDYECS314S0045870</v>
          </cell>
          <cell r="D3513" t="str">
            <v>MDN35025030202</v>
          </cell>
          <cell r="E3513" t="str">
            <v>Zhong Thong</v>
          </cell>
          <cell r="F3513" t="str">
            <v>Lck6122evg</v>
          </cell>
          <cell r="G3513" t="str">
            <v>Zhong Thong</v>
          </cell>
          <cell r="H3513" t="str">
            <v>Lck6122evg</v>
          </cell>
          <cell r="I3513">
            <v>2026</v>
          </cell>
          <cell r="J3513" t="str">
            <v>B</v>
          </cell>
          <cell r="K3513" t="str">
            <v>Ducaud</v>
          </cell>
          <cell r="N3513" t="str">
            <v>B</v>
          </cell>
        </row>
        <row r="3514">
          <cell r="B3514" t="str">
            <v>VLFG-78|</v>
          </cell>
          <cell r="C3514" t="str">
            <v>LDYECS312S0045866</v>
          </cell>
          <cell r="D3514" t="str">
            <v>MDN35025030296</v>
          </cell>
          <cell r="E3514" t="str">
            <v>Zhong Thong</v>
          </cell>
          <cell r="F3514" t="str">
            <v>Lck6122evg</v>
          </cell>
          <cell r="G3514" t="str">
            <v>Zhong Thong</v>
          </cell>
          <cell r="H3514" t="str">
            <v>Lck6122evg</v>
          </cell>
          <cell r="I3514">
            <v>2026</v>
          </cell>
          <cell r="J3514" t="str">
            <v>B</v>
          </cell>
          <cell r="K3514" t="str">
            <v>Ducaud</v>
          </cell>
          <cell r="N3514" t="str">
            <v>B</v>
          </cell>
        </row>
        <row r="3515">
          <cell r="B3515" t="str">
            <v>VLFG-89|</v>
          </cell>
          <cell r="C3515" t="str">
            <v>LDYECS314S0045867</v>
          </cell>
          <cell r="D3515" t="str">
            <v>MDN35025030263</v>
          </cell>
          <cell r="E3515" t="str">
            <v>Zhong Thong</v>
          </cell>
          <cell r="F3515" t="str">
            <v>Lck6122evg</v>
          </cell>
          <cell r="G3515" t="str">
            <v>Zhong Thong</v>
          </cell>
          <cell r="H3515" t="str">
            <v>Lck6122evg</v>
          </cell>
          <cell r="I3515">
            <v>2026</v>
          </cell>
          <cell r="J3515" t="str">
            <v>B</v>
          </cell>
          <cell r="K3515" t="str">
            <v>Ducaud</v>
          </cell>
          <cell r="N3515" t="str">
            <v>B</v>
          </cell>
        </row>
        <row r="3516">
          <cell r="B3516" t="str">
            <v>VLFH-16|</v>
          </cell>
          <cell r="C3516" t="str">
            <v>LDYECS318S0045872</v>
          </cell>
          <cell r="D3516" t="str">
            <v>MDN35025030208</v>
          </cell>
          <cell r="E3516" t="str">
            <v>Zhong Thong</v>
          </cell>
          <cell r="F3516" t="str">
            <v>Lck6122evg</v>
          </cell>
          <cell r="G3516" t="str">
            <v>Zhong Thong</v>
          </cell>
          <cell r="H3516" t="str">
            <v>Lck6122evg</v>
          </cell>
          <cell r="I3516">
            <v>2026</v>
          </cell>
          <cell r="J3516" t="str">
            <v>B</v>
          </cell>
          <cell r="K3516" t="str">
            <v>Ducaud</v>
          </cell>
          <cell r="N3516" t="str">
            <v>B</v>
          </cell>
        </row>
        <row r="3517">
          <cell r="B3517" t="str">
            <v>VLFH-46|</v>
          </cell>
          <cell r="C3517" t="str">
            <v>LDYECS310S0045770</v>
          </cell>
          <cell r="D3517" t="str">
            <v>MDN35025030277</v>
          </cell>
          <cell r="E3517" t="str">
            <v>Zhong Thong</v>
          </cell>
          <cell r="F3517" t="str">
            <v>Lck6122evg</v>
          </cell>
          <cell r="G3517" t="str">
            <v>Zhong Thong</v>
          </cell>
          <cell r="H3517" t="str">
            <v>Lck6122evg</v>
          </cell>
          <cell r="I3517">
            <v>2026</v>
          </cell>
          <cell r="J3517" t="str">
            <v>B</v>
          </cell>
          <cell r="K3517" t="str">
            <v>Ducaud</v>
          </cell>
          <cell r="N3517" t="str">
            <v>B</v>
          </cell>
        </row>
        <row r="3518">
          <cell r="B3518" t="str">
            <v>VLFH-48|</v>
          </cell>
          <cell r="C3518" t="str">
            <v>LDYECS31XS0045713</v>
          </cell>
          <cell r="D3518" t="str">
            <v>MDN35025030118</v>
          </cell>
          <cell r="E3518" t="str">
            <v>Zhong Thong</v>
          </cell>
          <cell r="F3518" t="str">
            <v>Lck6122evg</v>
          </cell>
          <cell r="G3518" t="str">
            <v>Zhong Thong</v>
          </cell>
          <cell r="H3518" t="str">
            <v>Lck6122evg</v>
          </cell>
          <cell r="I3518">
            <v>2026</v>
          </cell>
          <cell r="J3518" t="str">
            <v>B</v>
          </cell>
          <cell r="K3518" t="str">
            <v>Las Acacias</v>
          </cell>
          <cell r="N3518" t="str">
            <v>B</v>
          </cell>
        </row>
        <row r="3519">
          <cell r="B3519" t="str">
            <v>VLFH-56|</v>
          </cell>
          <cell r="C3519" t="str">
            <v>LDYECS31XS0045808</v>
          </cell>
          <cell r="D3519" t="str">
            <v>MDN35025030192</v>
          </cell>
          <cell r="E3519" t="str">
            <v>Zhong Thong</v>
          </cell>
          <cell r="F3519" t="str">
            <v>Lck6122evg</v>
          </cell>
          <cell r="G3519" t="str">
            <v>Zhong Thong</v>
          </cell>
          <cell r="H3519" t="str">
            <v>Lck6122evg</v>
          </cell>
          <cell r="I3519">
            <v>2026</v>
          </cell>
          <cell r="J3519" t="str">
            <v>B</v>
          </cell>
          <cell r="K3519" t="str">
            <v>Las Acacias</v>
          </cell>
          <cell r="N3519" t="str">
            <v>B</v>
          </cell>
        </row>
        <row r="3520">
          <cell r="B3520" t="str">
            <v>VLFH-63|</v>
          </cell>
          <cell r="C3520" t="str">
            <v>8LDYECS314S004578</v>
          </cell>
          <cell r="D3520" t="str">
            <v>MDN35025030194</v>
          </cell>
          <cell r="E3520" t="str">
            <v>Zhong Thong</v>
          </cell>
          <cell r="F3520" t="str">
            <v>Lck6122evg</v>
          </cell>
          <cell r="G3520" t="str">
            <v>Zhong Thong</v>
          </cell>
          <cell r="H3520" t="str">
            <v>Lck6122evg</v>
          </cell>
          <cell r="I3520">
            <v>2026</v>
          </cell>
          <cell r="J3520" t="str">
            <v>B</v>
          </cell>
          <cell r="K3520" t="str">
            <v>Las Acacias</v>
          </cell>
          <cell r="N3520" t="str">
            <v>B</v>
          </cell>
        </row>
        <row r="3521">
          <cell r="B3521" t="str">
            <v>VLFJ-57|</v>
          </cell>
          <cell r="C3521" t="str">
            <v>LDYECS310S0045705</v>
          </cell>
          <cell r="D3521" t="str">
            <v>MDN35025030236</v>
          </cell>
          <cell r="E3521" t="str">
            <v>Zhong Thong</v>
          </cell>
          <cell r="F3521" t="str">
            <v>Lck6122evg</v>
          </cell>
          <cell r="G3521" t="str">
            <v>Zhong Thong</v>
          </cell>
          <cell r="H3521" t="str">
            <v>Lck6122evg</v>
          </cell>
          <cell r="I3521">
            <v>2026</v>
          </cell>
          <cell r="J3521" t="str">
            <v>B</v>
          </cell>
          <cell r="K3521" t="str">
            <v>Las Acacias</v>
          </cell>
          <cell r="N3521" t="str">
            <v>B</v>
          </cell>
        </row>
        <row r="3522">
          <cell r="B3522" t="str">
            <v>VLFJ-62|</v>
          </cell>
          <cell r="C3522" t="str">
            <v>LDYECS318S0045774</v>
          </cell>
          <cell r="D3522" t="str">
            <v>MDN35025030173</v>
          </cell>
          <cell r="E3522" t="str">
            <v>Zhong Thong</v>
          </cell>
          <cell r="F3522" t="str">
            <v>Lck6122evg</v>
          </cell>
          <cell r="G3522" t="str">
            <v>Zhong Thong</v>
          </cell>
          <cell r="H3522" t="str">
            <v>Lck6122evg</v>
          </cell>
          <cell r="I3522">
            <v>2026</v>
          </cell>
          <cell r="J3522" t="str">
            <v>B</v>
          </cell>
          <cell r="K3522" t="str">
            <v>Las Acacias</v>
          </cell>
          <cell r="N3522" t="str">
            <v>B</v>
          </cell>
        </row>
        <row r="3523">
          <cell r="B3523" t="str">
            <v>VLFJ-65|</v>
          </cell>
          <cell r="C3523" t="str">
            <v>LDYECS310S0045784</v>
          </cell>
          <cell r="D3523" t="str">
            <v>MDN35025030197</v>
          </cell>
          <cell r="E3523" t="str">
            <v>Zhong Thong</v>
          </cell>
          <cell r="F3523" t="str">
            <v>Lck6122evg</v>
          </cell>
          <cell r="G3523" t="str">
            <v>Zhong Thong</v>
          </cell>
          <cell r="H3523" t="str">
            <v>Lck6122evg</v>
          </cell>
          <cell r="I3523">
            <v>2026</v>
          </cell>
          <cell r="J3523" t="str">
            <v>B</v>
          </cell>
          <cell r="K3523" t="str">
            <v>Las Acacias</v>
          </cell>
          <cell r="N3523" t="str">
            <v>B</v>
          </cell>
        </row>
        <row r="3524">
          <cell r="B3524" t="str">
            <v>VLFJ-82|</v>
          </cell>
          <cell r="C3524" t="str">
            <v>LDYECS311S0045700</v>
          </cell>
          <cell r="D3524" t="str">
            <v>MDN35025030297</v>
          </cell>
          <cell r="E3524" t="str">
            <v>Zhong Thong</v>
          </cell>
          <cell r="F3524" t="str">
            <v>Lck6122evg</v>
          </cell>
          <cell r="G3524" t="str">
            <v>Zhong Thong</v>
          </cell>
          <cell r="H3524" t="str">
            <v>Lck6122evg</v>
          </cell>
          <cell r="I3524">
            <v>2026</v>
          </cell>
          <cell r="J3524" t="str">
            <v>B</v>
          </cell>
          <cell r="K3524" t="str">
            <v>Las Acacias</v>
          </cell>
          <cell r="N3524" t="str">
            <v>B</v>
          </cell>
        </row>
        <row r="3525">
          <cell r="B3525" t="str">
            <v>VLFJ-85|</v>
          </cell>
          <cell r="C3525" t="str">
            <v>LDYECS316S0045871</v>
          </cell>
          <cell r="D3525" t="str">
            <v>MDN35025030288</v>
          </cell>
          <cell r="E3525" t="str">
            <v>Zhong Thong</v>
          </cell>
          <cell r="F3525" t="str">
            <v>Lck6122evg</v>
          </cell>
          <cell r="G3525" t="str">
            <v>Zhong Thong</v>
          </cell>
          <cell r="H3525" t="str">
            <v>Lck6122evg</v>
          </cell>
          <cell r="I3525">
            <v>2026</v>
          </cell>
          <cell r="J3525" t="str">
            <v>B</v>
          </cell>
          <cell r="K3525" t="str">
            <v>Las Acacias</v>
          </cell>
          <cell r="N3525" t="str">
            <v>B</v>
          </cell>
        </row>
        <row r="3526">
          <cell r="B3526" t="str">
            <v>VLLY-27|</v>
          </cell>
          <cell r="C3526" t="str">
            <v>LDYECS312S0045768</v>
          </cell>
          <cell r="D3526" t="str">
            <v>MDN35025030284</v>
          </cell>
          <cell r="E3526" t="str">
            <v>Zhong Thong</v>
          </cell>
          <cell r="F3526" t="str">
            <v>Lck6122evg</v>
          </cell>
          <cell r="G3526" t="str">
            <v>Zhong Thong</v>
          </cell>
          <cell r="H3526" t="str">
            <v>Lck6122evg</v>
          </cell>
          <cell r="I3526">
            <v>2026</v>
          </cell>
          <cell r="J3526" t="str">
            <v>B</v>
          </cell>
          <cell r="K3526" t="str">
            <v>Las Acacias</v>
          </cell>
          <cell r="N3526" t="str">
            <v>B</v>
          </cell>
        </row>
        <row r="3527">
          <cell r="B3527" t="str">
            <v>VLPD-24|</v>
          </cell>
          <cell r="C3527" t="str">
            <v>LDYECS311S0045874</v>
          </cell>
          <cell r="D3527" t="str">
            <v>MDN35025030278</v>
          </cell>
          <cell r="E3527" t="str">
            <v>Zhong Thong</v>
          </cell>
          <cell r="F3527" t="str">
            <v>Lck6122evg</v>
          </cell>
          <cell r="G3527" t="str">
            <v>Zhong Thong</v>
          </cell>
          <cell r="H3527" t="str">
            <v>Lck6122evg</v>
          </cell>
          <cell r="I3527">
            <v>2026</v>
          </cell>
          <cell r="J3527" t="str">
            <v>B</v>
          </cell>
          <cell r="K3527" t="str">
            <v>Las Acacias</v>
          </cell>
          <cell r="N3527" t="str">
            <v>B</v>
          </cell>
        </row>
        <row r="3528">
          <cell r="B3528" t="str">
            <v>VLRS-46|</v>
          </cell>
          <cell r="C3528" t="str">
            <v>LDYECS311S0045759</v>
          </cell>
          <cell r="D3528" t="str">
            <v>MDN35025030145</v>
          </cell>
          <cell r="E3528" t="str">
            <v>Zhong Thong</v>
          </cell>
          <cell r="F3528" t="str">
            <v>Lck6122evg</v>
          </cell>
          <cell r="G3528" t="str">
            <v>Zhong Thong</v>
          </cell>
          <cell r="H3528" t="str">
            <v>Lck6122evg</v>
          </cell>
          <cell r="I3528">
            <v>2026</v>
          </cell>
          <cell r="J3528" t="str">
            <v>B</v>
          </cell>
          <cell r="K3528" t="str">
            <v>Las Acacias</v>
          </cell>
          <cell r="N3528" t="str">
            <v>B</v>
          </cell>
        </row>
        <row r="3529">
          <cell r="B3529" t="str">
            <v>VLSD-60|</v>
          </cell>
          <cell r="C3529" t="str">
            <v>LDYECS839S0045647</v>
          </cell>
          <cell r="D3529" t="str">
            <v>MJJ20025010022</v>
          </cell>
          <cell r="E3529" t="str">
            <v>Zhong Thong</v>
          </cell>
          <cell r="F3529" t="str">
            <v>Lck6850evg</v>
          </cell>
          <cell r="G3529" t="str">
            <v>Zhong Thong</v>
          </cell>
          <cell r="H3529" t="str">
            <v>Lck6850evg</v>
          </cell>
          <cell r="I3529">
            <v>2026</v>
          </cell>
          <cell r="J3529" t="str">
            <v>A</v>
          </cell>
          <cell r="K3529" t="str">
            <v>Las Acacias</v>
          </cell>
          <cell r="N3529" t="str">
            <v>A</v>
          </cell>
        </row>
        <row r="3530">
          <cell r="B3530" t="str">
            <v>VLSD-66|</v>
          </cell>
          <cell r="C3530" t="str">
            <v>LDYECS83XS0045642</v>
          </cell>
          <cell r="D3530" t="str">
            <v>MJJ20025010017</v>
          </cell>
          <cell r="E3530" t="str">
            <v>Zhong Thong</v>
          </cell>
          <cell r="F3530" t="str">
            <v>Lck6850evg</v>
          </cell>
          <cell r="G3530" t="str">
            <v>Zhong Thong</v>
          </cell>
          <cell r="H3530" t="str">
            <v>Lck6850evg</v>
          </cell>
          <cell r="I3530">
            <v>2026</v>
          </cell>
          <cell r="J3530" t="str">
            <v>A</v>
          </cell>
          <cell r="K3530" t="str">
            <v>Las Acacias</v>
          </cell>
          <cell r="N3530" t="str">
            <v>A</v>
          </cell>
        </row>
        <row r="3531">
          <cell r="B3531" t="str">
            <v>VLSD-67|</v>
          </cell>
          <cell r="C3531" t="str">
            <v>LDYECS835S0045645</v>
          </cell>
          <cell r="D3531" t="str">
            <v>MJJ20025010002</v>
          </cell>
          <cell r="E3531" t="str">
            <v>Zhong Thong</v>
          </cell>
          <cell r="F3531" t="str">
            <v>Lck6850evg</v>
          </cell>
          <cell r="G3531" t="str">
            <v>Zhong Thong</v>
          </cell>
          <cell r="H3531" t="str">
            <v>Lck6850evg</v>
          </cell>
          <cell r="I3531">
            <v>2026</v>
          </cell>
          <cell r="J3531" t="str">
            <v>A</v>
          </cell>
          <cell r="K3531" t="str">
            <v>Las Acacias</v>
          </cell>
          <cell r="N3531" t="str">
            <v>A</v>
          </cell>
        </row>
        <row r="3532">
          <cell r="B3532" t="str">
            <v>VLSD-68|</v>
          </cell>
          <cell r="C3532" t="str">
            <v>LDYECS838S0045638</v>
          </cell>
          <cell r="D3532" t="str">
            <v>MJJ20025010018</v>
          </cell>
          <cell r="E3532" t="str">
            <v>Zhong Thong</v>
          </cell>
          <cell r="F3532" t="str">
            <v>Lck6850evg</v>
          </cell>
          <cell r="G3532" t="str">
            <v>Zhong Thong</v>
          </cell>
          <cell r="H3532" t="str">
            <v>Lck6850evg</v>
          </cell>
          <cell r="I3532">
            <v>2026</v>
          </cell>
          <cell r="J3532" t="str">
            <v>A</v>
          </cell>
          <cell r="K3532" t="str">
            <v>Las Acacias</v>
          </cell>
          <cell r="N3532" t="str">
            <v>A</v>
          </cell>
        </row>
        <row r="3533">
          <cell r="B3533" t="str">
            <v>VLSD-70|</v>
          </cell>
          <cell r="C3533" t="str">
            <v>LDYECS838S0045641</v>
          </cell>
          <cell r="D3533" t="str">
            <v>MJJ20025010006</v>
          </cell>
          <cell r="E3533" t="str">
            <v>Zhong Thong</v>
          </cell>
          <cell r="F3533" t="str">
            <v>Lck6850evg</v>
          </cell>
          <cell r="G3533" t="str">
            <v>Zhong Thong</v>
          </cell>
          <cell r="H3533" t="str">
            <v>Lck6850evg</v>
          </cell>
          <cell r="I3533">
            <v>2026</v>
          </cell>
          <cell r="J3533" t="str">
            <v>A</v>
          </cell>
          <cell r="K3533" t="str">
            <v>Las Acacias</v>
          </cell>
          <cell r="N3533" t="str">
            <v>A</v>
          </cell>
        </row>
        <row r="3534">
          <cell r="B3534" t="str">
            <v>VLSD-77|</v>
          </cell>
          <cell r="C3534" t="str">
            <v>LDYECS831S0045643</v>
          </cell>
          <cell r="D3534" t="str">
            <v>MJJ20025010055</v>
          </cell>
          <cell r="E3534" t="str">
            <v>Zhong Thong</v>
          </cell>
          <cell r="F3534" t="str">
            <v>Lck6850evg</v>
          </cell>
          <cell r="G3534" t="str">
            <v>Zhong Thong</v>
          </cell>
          <cell r="H3534" t="str">
            <v>Lck6850evg</v>
          </cell>
          <cell r="I3534">
            <v>2026</v>
          </cell>
          <cell r="J3534" t="str">
            <v>A</v>
          </cell>
          <cell r="K3534" t="str">
            <v>Las Acacias</v>
          </cell>
          <cell r="N3534" t="str">
            <v>A</v>
          </cell>
        </row>
        <row r="3535">
          <cell r="B3535" t="str">
            <v>VLSJ-88|</v>
          </cell>
          <cell r="C3535" t="str">
            <v>LDYECS835S0044527</v>
          </cell>
          <cell r="D3535" t="str">
            <v>MJJ20025010038</v>
          </cell>
          <cell r="E3535" t="str">
            <v>Zhong Thong</v>
          </cell>
          <cell r="F3535" t="str">
            <v>Lck6850evg</v>
          </cell>
          <cell r="G3535" t="str">
            <v>Zhong Thong</v>
          </cell>
          <cell r="H3535" t="str">
            <v>Lck6850evg</v>
          </cell>
          <cell r="I3535">
            <v>2026</v>
          </cell>
          <cell r="J3535" t="str">
            <v>A</v>
          </cell>
          <cell r="K3535" t="str">
            <v>Las Acacias</v>
          </cell>
          <cell r="N3535" t="str">
            <v>A</v>
          </cell>
        </row>
        <row r="3536">
          <cell r="B3536" t="str">
            <v>VLSK-17|</v>
          </cell>
          <cell r="C3536" t="str">
            <v>LDYECS837S0044528</v>
          </cell>
          <cell r="D3536" t="str">
            <v>MJJ20025010031</v>
          </cell>
          <cell r="E3536" t="str">
            <v>Zhong Thong</v>
          </cell>
          <cell r="F3536" t="str">
            <v>Lck6850evg</v>
          </cell>
          <cell r="G3536" t="str">
            <v>Zhong Thong</v>
          </cell>
          <cell r="H3536" t="str">
            <v>Lck6850evg</v>
          </cell>
          <cell r="I3536">
            <v>2026</v>
          </cell>
          <cell r="J3536" t="str">
            <v>A</v>
          </cell>
          <cell r="K3536" t="str">
            <v>Las Acacias</v>
          </cell>
          <cell r="N3536" t="str">
            <v>A</v>
          </cell>
        </row>
        <row r="3537">
          <cell r="B3537" t="str">
            <v>VLSK-18|</v>
          </cell>
          <cell r="C3537" t="str">
            <v>LDYECS835S0045614</v>
          </cell>
          <cell r="D3537" t="str">
            <v>MJJ20025010009</v>
          </cell>
          <cell r="E3537" t="str">
            <v>Zhong Thong</v>
          </cell>
          <cell r="F3537" t="str">
            <v>Lck6850evg</v>
          </cell>
          <cell r="G3537" t="str">
            <v>Zhong Thong</v>
          </cell>
          <cell r="H3537" t="str">
            <v>Lck6850evg</v>
          </cell>
          <cell r="I3537">
            <v>2026</v>
          </cell>
          <cell r="J3537" t="str">
            <v>A</v>
          </cell>
          <cell r="K3537" t="str">
            <v>Las Acacias</v>
          </cell>
          <cell r="N3537" t="str">
            <v>A</v>
          </cell>
        </row>
        <row r="3538">
          <cell r="B3538" t="str">
            <v>VLSK-19|</v>
          </cell>
          <cell r="C3538" t="str">
            <v>LDYECS319S0045797</v>
          </cell>
          <cell r="D3538" t="str">
            <v>MDN35025030308</v>
          </cell>
          <cell r="E3538" t="str">
            <v>Zhong Thong</v>
          </cell>
          <cell r="F3538" t="str">
            <v>Lck6122evg</v>
          </cell>
          <cell r="G3538" t="str">
            <v>Zhong Thong</v>
          </cell>
          <cell r="H3538" t="str">
            <v>Lck6122evg</v>
          </cell>
          <cell r="I3538">
            <v>2026</v>
          </cell>
          <cell r="J3538" t="str">
            <v>B</v>
          </cell>
          <cell r="K3538" t="str">
            <v>Las Acacias</v>
          </cell>
          <cell r="N3538" t="str">
            <v>B</v>
          </cell>
        </row>
        <row r="3539">
          <cell r="B3539" t="str">
            <v>VLSK-23|</v>
          </cell>
          <cell r="C3539" t="str">
            <v>LDYECS315S0045800</v>
          </cell>
          <cell r="D3539" t="str">
            <v>MDN35025030258</v>
          </cell>
          <cell r="E3539" t="str">
            <v>Zhong Thong</v>
          </cell>
          <cell r="F3539" t="str">
            <v>Lck6122evg</v>
          </cell>
          <cell r="G3539" t="str">
            <v>Zhong Thong</v>
          </cell>
          <cell r="H3539" t="str">
            <v>Lck6122evg</v>
          </cell>
          <cell r="I3539">
            <v>2026</v>
          </cell>
          <cell r="J3539" t="str">
            <v>B</v>
          </cell>
          <cell r="K3539" t="str">
            <v>Las Acacias</v>
          </cell>
          <cell r="N3539" t="str">
            <v>B</v>
          </cell>
        </row>
        <row r="3540">
          <cell r="B3540" t="str">
            <v>VLSK-25|</v>
          </cell>
          <cell r="C3540" t="str">
            <v>LDYECS315S0045795</v>
          </cell>
          <cell r="D3540" t="str">
            <v>MDN35025030264</v>
          </cell>
          <cell r="E3540" t="str">
            <v>Zhong Thong</v>
          </cell>
          <cell r="F3540" t="str">
            <v>Lck6122evg</v>
          </cell>
          <cell r="G3540" t="str">
            <v>Zhong Thong</v>
          </cell>
          <cell r="H3540" t="str">
            <v>Lck6122evg</v>
          </cell>
          <cell r="I3540">
            <v>2026</v>
          </cell>
          <cell r="J3540" t="str">
            <v>B</v>
          </cell>
          <cell r="K3540" t="str">
            <v>Las Acacias</v>
          </cell>
          <cell r="N3540" t="str">
            <v>B</v>
          </cell>
        </row>
        <row r="3541">
          <cell r="B3541" t="str">
            <v>VLSK-26|</v>
          </cell>
          <cell r="C3541" t="str">
            <v>LDYECS310S0045722</v>
          </cell>
          <cell r="D3541" t="str">
            <v>MDN35025030123</v>
          </cell>
          <cell r="E3541" t="str">
            <v>Zhong Thong</v>
          </cell>
          <cell r="F3541" t="str">
            <v>Lck6122evg</v>
          </cell>
          <cell r="G3541" t="str">
            <v>Zhong Thong</v>
          </cell>
          <cell r="H3541" t="str">
            <v>Lck6122evg</v>
          </cell>
          <cell r="I3541">
            <v>2026</v>
          </cell>
          <cell r="J3541" t="str">
            <v>B</v>
          </cell>
          <cell r="K3541" t="str">
            <v>Las Acacias</v>
          </cell>
          <cell r="N3541" t="str">
            <v>B</v>
          </cell>
        </row>
        <row r="3542">
          <cell r="B3542" t="str">
            <v>VLSK-29|</v>
          </cell>
          <cell r="C3542" t="str">
            <v>LDYECS310S0045798</v>
          </cell>
          <cell r="D3542" t="str">
            <v>MDN35025030250</v>
          </cell>
          <cell r="E3542" t="str">
            <v>Zhong Thong</v>
          </cell>
          <cell r="F3542" t="str">
            <v>Lck6122evg</v>
          </cell>
          <cell r="G3542" t="str">
            <v>Zhong Thong</v>
          </cell>
          <cell r="H3542" t="str">
            <v>Lck6122evg</v>
          </cell>
          <cell r="I3542">
            <v>2026</v>
          </cell>
          <cell r="J3542" t="str">
            <v>B</v>
          </cell>
          <cell r="K3542" t="str">
            <v>Las Acacias</v>
          </cell>
          <cell r="N3542" t="str">
            <v>B</v>
          </cell>
        </row>
        <row r="3543">
          <cell r="B3543" t="str">
            <v>VLSK-30|</v>
          </cell>
          <cell r="C3543" t="str">
            <v>LDYECS313S0045813</v>
          </cell>
          <cell r="D3543" t="str">
            <v>MDN35025030268</v>
          </cell>
          <cell r="E3543" t="str">
            <v>Zhong Thong</v>
          </cell>
          <cell r="F3543" t="str">
            <v>Lck6122evg</v>
          </cell>
          <cell r="G3543" t="str">
            <v>Zhong Thong</v>
          </cell>
          <cell r="H3543" t="str">
            <v>Lck6122evg</v>
          </cell>
          <cell r="I3543">
            <v>2026</v>
          </cell>
          <cell r="J3543" t="str">
            <v>B</v>
          </cell>
          <cell r="K3543" t="str">
            <v>Las Acacias</v>
          </cell>
          <cell r="N3543" t="str">
            <v>B</v>
          </cell>
        </row>
        <row r="3544">
          <cell r="B3544" t="str">
            <v>VLSK-39|</v>
          </cell>
          <cell r="C3544" t="str">
            <v>LDYECS315S0045814</v>
          </cell>
          <cell r="D3544" t="str">
            <v>MDN35025030040</v>
          </cell>
          <cell r="E3544" t="str">
            <v>Zhong Thong</v>
          </cell>
          <cell r="F3544" t="str">
            <v>Lck6122evg</v>
          </cell>
          <cell r="G3544" t="str">
            <v>Zhong Thong</v>
          </cell>
          <cell r="H3544" t="str">
            <v>Lck6122evg</v>
          </cell>
          <cell r="I3544">
            <v>2026</v>
          </cell>
          <cell r="J3544" t="str">
            <v>B</v>
          </cell>
          <cell r="K3544" t="str">
            <v>Las Acacias</v>
          </cell>
          <cell r="N3544" t="str">
            <v>B</v>
          </cell>
        </row>
        <row r="3545">
          <cell r="B3545" t="str">
            <v>VLSK-44|</v>
          </cell>
          <cell r="C3545" t="str">
            <v>LDYECS317S0045779</v>
          </cell>
          <cell r="D3545" t="str">
            <v>MDN35025030160</v>
          </cell>
          <cell r="E3545" t="str">
            <v>Zhong Thong</v>
          </cell>
          <cell r="F3545" t="str">
            <v>Lck6122evg</v>
          </cell>
          <cell r="G3545" t="str">
            <v>Zhong Thong</v>
          </cell>
          <cell r="H3545" t="str">
            <v>Lck6122evg</v>
          </cell>
          <cell r="I3545">
            <v>2026</v>
          </cell>
          <cell r="J3545" t="str">
            <v>B</v>
          </cell>
          <cell r="K3545" t="str">
            <v>Las Acacias</v>
          </cell>
          <cell r="N3545" t="str">
            <v>B</v>
          </cell>
        </row>
        <row r="3546">
          <cell r="B3546" t="str">
            <v>VLSK-46|</v>
          </cell>
          <cell r="C3546" t="str">
            <v>LDYECS311S0045809</v>
          </cell>
          <cell r="D3546" t="str">
            <v>MDN35025030257</v>
          </cell>
          <cell r="E3546" t="str">
            <v>Zhong Thong</v>
          </cell>
          <cell r="F3546" t="str">
            <v>Lck6122evg</v>
          </cell>
          <cell r="G3546" t="str">
            <v>Zhong Thong</v>
          </cell>
          <cell r="H3546" t="str">
            <v>Lck6122evg</v>
          </cell>
          <cell r="I3546">
            <v>2026</v>
          </cell>
          <cell r="J3546" t="str">
            <v>B</v>
          </cell>
          <cell r="K3546" t="str">
            <v>Las Acacias</v>
          </cell>
          <cell r="N3546" t="str">
            <v>B</v>
          </cell>
        </row>
        <row r="3547">
          <cell r="B3547" t="str">
            <v>VLSK-53|</v>
          </cell>
          <cell r="C3547" t="str">
            <v>LDYECS314S0045724</v>
          </cell>
          <cell r="D3547" t="str">
            <v>MDN35025030060</v>
          </cell>
          <cell r="E3547" t="str">
            <v>Zhong Thong</v>
          </cell>
          <cell r="F3547" t="str">
            <v>Lck6122evg</v>
          </cell>
          <cell r="G3547" t="str">
            <v>Zhong Thong</v>
          </cell>
          <cell r="H3547" t="str">
            <v>Lck6122evg</v>
          </cell>
          <cell r="I3547">
            <v>2026</v>
          </cell>
          <cell r="J3547" t="str">
            <v>B</v>
          </cell>
          <cell r="K3547" t="str">
            <v>Las Acacias</v>
          </cell>
          <cell r="N3547" t="str">
            <v>B</v>
          </cell>
        </row>
        <row r="3548">
          <cell r="B3548" t="str">
            <v>VLSK-64|</v>
          </cell>
          <cell r="C3548" t="str">
            <v>LDYECS318S0045810</v>
          </cell>
          <cell r="D3548" t="str">
            <v>MDN35025030195</v>
          </cell>
          <cell r="E3548" t="str">
            <v>Zhong Thong</v>
          </cell>
          <cell r="F3548" t="str">
            <v>Lck6122evg</v>
          </cell>
          <cell r="G3548" t="str">
            <v>Zhong Thong</v>
          </cell>
          <cell r="H3548" t="str">
            <v>Lck6122evg</v>
          </cell>
          <cell r="I3548">
            <v>2026</v>
          </cell>
          <cell r="J3548" t="str">
            <v>B</v>
          </cell>
          <cell r="K3548" t="str">
            <v>Las Acacias</v>
          </cell>
          <cell r="N3548" t="str">
            <v>B</v>
          </cell>
        </row>
        <row r="3549">
          <cell r="B3549" t="str">
            <v>VLSK-70|</v>
          </cell>
          <cell r="C3549" t="str">
            <v>LDYECS31XS0045727</v>
          </cell>
          <cell r="D3549" t="str">
            <v>MDN35025030224</v>
          </cell>
          <cell r="E3549" t="str">
            <v>Zhong Thong</v>
          </cell>
          <cell r="F3549" t="str">
            <v>Lck6122evg</v>
          </cell>
          <cell r="G3549" t="str">
            <v>Zhong Thong</v>
          </cell>
          <cell r="H3549" t="str">
            <v>Lck6122evg</v>
          </cell>
          <cell r="I3549">
            <v>2026</v>
          </cell>
          <cell r="J3549" t="str">
            <v>B</v>
          </cell>
          <cell r="K3549" t="str">
            <v>Las Acacias</v>
          </cell>
          <cell r="N3549" t="str">
            <v>B</v>
          </cell>
        </row>
        <row r="3550">
          <cell r="B3550" t="str">
            <v>VLSK-77|</v>
          </cell>
          <cell r="C3550" t="str">
            <v>LDYECS31XS0045811</v>
          </cell>
          <cell r="D3550" t="str">
            <v>MDN35025030077</v>
          </cell>
          <cell r="E3550" t="str">
            <v>Zhong Thong</v>
          </cell>
          <cell r="F3550" t="str">
            <v>Lck6122evg</v>
          </cell>
          <cell r="G3550" t="str">
            <v>Zhong Thong</v>
          </cell>
          <cell r="H3550" t="str">
            <v>Lck6122evg</v>
          </cell>
          <cell r="I3550">
            <v>2026</v>
          </cell>
          <cell r="J3550" t="str">
            <v>B</v>
          </cell>
          <cell r="K3550" t="str">
            <v>Las Acacias</v>
          </cell>
          <cell r="N3550" t="str">
            <v>B</v>
          </cell>
        </row>
        <row r="3551">
          <cell r="B3551" t="str">
            <v>VLSK-86|</v>
          </cell>
          <cell r="C3551" t="str">
            <v>LDYECS314S0045819</v>
          </cell>
          <cell r="D3551" t="str">
            <v>MDN35025030081</v>
          </cell>
          <cell r="E3551" t="str">
            <v>Zhong Thong</v>
          </cell>
          <cell r="F3551" t="str">
            <v>Lck6122evg</v>
          </cell>
          <cell r="G3551" t="str">
            <v>Zhong Thong</v>
          </cell>
          <cell r="H3551" t="str">
            <v>Lck6122evg</v>
          </cell>
          <cell r="I3551">
            <v>2026</v>
          </cell>
          <cell r="J3551" t="str">
            <v>B</v>
          </cell>
          <cell r="K3551" t="str">
            <v>Las Acacias</v>
          </cell>
          <cell r="N3551" t="str">
            <v>B</v>
          </cell>
        </row>
        <row r="3552">
          <cell r="B3552" t="str">
            <v>VLSK-93|</v>
          </cell>
          <cell r="C3552" t="str">
            <v>LDYECS311S0045728</v>
          </cell>
          <cell r="D3552" t="str">
            <v>MDN35025030126</v>
          </cell>
          <cell r="E3552" t="str">
            <v>Zhong Thong</v>
          </cell>
          <cell r="F3552" t="str">
            <v>Lck6122evg</v>
          </cell>
          <cell r="G3552" t="str">
            <v>Zhong Thong</v>
          </cell>
          <cell r="H3552" t="str">
            <v>Lck6122evg</v>
          </cell>
          <cell r="I3552">
            <v>2026</v>
          </cell>
          <cell r="J3552" t="str">
            <v>B</v>
          </cell>
          <cell r="K3552" t="str">
            <v>Las Acacias</v>
          </cell>
          <cell r="N3552" t="str">
            <v>B</v>
          </cell>
        </row>
        <row r="3553">
          <cell r="B3553" t="str">
            <v>VLSK-95|</v>
          </cell>
          <cell r="C3553" t="str">
            <v>LDYECS316S0045840</v>
          </cell>
          <cell r="D3553" t="str">
            <v>MDN35025030254</v>
          </cell>
          <cell r="E3553" t="str">
            <v>Zhong Thong</v>
          </cell>
          <cell r="F3553" t="str">
            <v>Lck6122evg</v>
          </cell>
          <cell r="G3553" t="str">
            <v>Zhong Thong</v>
          </cell>
          <cell r="H3553" t="str">
            <v>Lck6122evg</v>
          </cell>
          <cell r="I3553">
            <v>2026</v>
          </cell>
          <cell r="J3553" t="str">
            <v>B</v>
          </cell>
          <cell r="K3553" t="str">
            <v>Las Acacias</v>
          </cell>
          <cell r="N3553" t="str">
            <v>B</v>
          </cell>
        </row>
        <row r="3554">
          <cell r="B3554" t="str">
            <v>VLSK-99|</v>
          </cell>
          <cell r="C3554" t="str">
            <v>LDYECS314S0045822</v>
          </cell>
          <cell r="D3554" t="str">
            <v>MDN35025030089</v>
          </cell>
          <cell r="E3554" t="str">
            <v>Zhong Thong</v>
          </cell>
          <cell r="F3554" t="str">
            <v>Lck6122evg</v>
          </cell>
          <cell r="G3554" t="str">
            <v>Zhong Thong</v>
          </cell>
          <cell r="H3554" t="str">
            <v>Lck6122evg</v>
          </cell>
          <cell r="I3554">
            <v>2026</v>
          </cell>
          <cell r="J3554" t="str">
            <v>B</v>
          </cell>
          <cell r="K3554" t="str">
            <v>Las Acacias</v>
          </cell>
          <cell r="N3554" t="str">
            <v>B</v>
          </cell>
        </row>
        <row r="3555">
          <cell r="B3555" t="str">
            <v>VLSL-10|</v>
          </cell>
          <cell r="C3555" t="str">
            <v>LDYECS315S0045828</v>
          </cell>
          <cell r="D3555" t="str">
            <v>MDN35025030269</v>
          </cell>
          <cell r="E3555" t="str">
            <v>Zhong Thong</v>
          </cell>
          <cell r="F3555" t="str">
            <v>Lck6122evg</v>
          </cell>
          <cell r="G3555" t="str">
            <v>Zhong Thong</v>
          </cell>
          <cell r="H3555" t="str">
            <v>Lck6122evg</v>
          </cell>
          <cell r="I3555">
            <v>2026</v>
          </cell>
          <cell r="J3555" t="str">
            <v>B</v>
          </cell>
          <cell r="K3555" t="str">
            <v>Las Acacias</v>
          </cell>
          <cell r="N3555" t="str">
            <v>B</v>
          </cell>
        </row>
        <row r="3556">
          <cell r="B3556" t="str">
            <v>VLSL-16|</v>
          </cell>
          <cell r="C3556" t="str">
            <v>LDYECS31XS0045825</v>
          </cell>
          <cell r="D3556" t="str">
            <v>MDN35025030210</v>
          </cell>
          <cell r="E3556" t="str">
            <v>Zhong Thong</v>
          </cell>
          <cell r="F3556" t="str">
            <v>Lck6122evg</v>
          </cell>
          <cell r="G3556" t="str">
            <v>Zhong Thong</v>
          </cell>
          <cell r="H3556" t="str">
            <v>Lck6122evg</v>
          </cell>
          <cell r="I3556">
            <v>2026</v>
          </cell>
          <cell r="J3556" t="str">
            <v>B</v>
          </cell>
          <cell r="K3556" t="str">
            <v>Las Acacias</v>
          </cell>
          <cell r="N3556" t="str">
            <v>B</v>
          </cell>
        </row>
        <row r="3557">
          <cell r="B3557" t="str">
            <v>VLSL-25|</v>
          </cell>
          <cell r="C3557" t="str">
            <v>LDYECS317S0045734</v>
          </cell>
          <cell r="D3557" t="str">
            <v>MDN35025030214</v>
          </cell>
          <cell r="E3557" t="str">
            <v>Zhong Thong</v>
          </cell>
          <cell r="F3557" t="str">
            <v>Lck6122evg</v>
          </cell>
          <cell r="G3557" t="str">
            <v>Zhong Thong</v>
          </cell>
          <cell r="H3557" t="str">
            <v>Lck6122evg</v>
          </cell>
          <cell r="I3557">
            <v>2026</v>
          </cell>
          <cell r="J3557" t="str">
            <v>B</v>
          </cell>
          <cell r="K3557" t="str">
            <v>Las Acacias</v>
          </cell>
          <cell r="N3557" t="str">
            <v>B</v>
          </cell>
        </row>
        <row r="3558">
          <cell r="B3558" t="str">
            <v>VLSS-34|</v>
          </cell>
          <cell r="C3558" t="str">
            <v>LDYECS311S0045731</v>
          </cell>
          <cell r="D3558" t="str">
            <v>MDN35025030130</v>
          </cell>
          <cell r="E3558" t="str">
            <v>Zhong Thong</v>
          </cell>
          <cell r="F3558" t="str">
            <v>Lck6122evg</v>
          </cell>
          <cell r="G3558" t="str">
            <v>Zhong Thong</v>
          </cell>
          <cell r="H3558" t="str">
            <v>Lck6122evg</v>
          </cell>
          <cell r="I3558">
            <v>2026</v>
          </cell>
          <cell r="J3558" t="str">
            <v>B</v>
          </cell>
          <cell r="K3558" t="str">
            <v>Las Acacias</v>
          </cell>
          <cell r="N3558" t="str">
            <v>B</v>
          </cell>
        </row>
        <row r="3559">
          <cell r="B3559" t="str">
            <v>VLSS-37|</v>
          </cell>
          <cell r="C3559" t="str">
            <v>LDYECS312S0045835</v>
          </cell>
          <cell r="D3559" t="str">
            <v>MDN35025030316</v>
          </cell>
          <cell r="E3559" t="str">
            <v>Zhong Thong</v>
          </cell>
          <cell r="F3559" t="str">
            <v>Lck6122evg</v>
          </cell>
          <cell r="G3559" t="str">
            <v>Zhong Thong</v>
          </cell>
          <cell r="H3559" t="str">
            <v>Lck6122evg</v>
          </cell>
          <cell r="I3559">
            <v>2026</v>
          </cell>
          <cell r="J3559" t="str">
            <v>B</v>
          </cell>
          <cell r="K3559" t="str">
            <v>Las Acacias</v>
          </cell>
          <cell r="N3559" t="str">
            <v>B</v>
          </cell>
        </row>
        <row r="3560">
          <cell r="B3560" t="str">
            <v>VLSS-45|</v>
          </cell>
          <cell r="C3560" t="str">
            <v>LDYECS314S0045738</v>
          </cell>
          <cell r="D3560" t="str">
            <v>MDN35025030247</v>
          </cell>
          <cell r="E3560" t="str">
            <v>Zhong Thong</v>
          </cell>
          <cell r="F3560" t="str">
            <v>Lck6122evg</v>
          </cell>
          <cell r="G3560" t="str">
            <v>Zhong Thong</v>
          </cell>
          <cell r="H3560" t="str">
            <v>Lck6122evg</v>
          </cell>
          <cell r="I3560">
            <v>2026</v>
          </cell>
          <cell r="J3560" t="str">
            <v>B</v>
          </cell>
          <cell r="K3560" t="str">
            <v>Las Acacias</v>
          </cell>
          <cell r="N3560" t="str">
            <v>B</v>
          </cell>
        </row>
        <row r="3561">
          <cell r="B3561" t="str">
            <v>VLSS-69|</v>
          </cell>
          <cell r="C3561" t="str">
            <v>LDYECS318S0045824</v>
          </cell>
          <cell r="D3561" t="str">
            <v>MDN35025030189</v>
          </cell>
          <cell r="E3561" t="str">
            <v>Zhong Thong</v>
          </cell>
          <cell r="F3561" t="str">
            <v>Lck6122evg</v>
          </cell>
          <cell r="G3561" t="str">
            <v>Zhong Thong</v>
          </cell>
          <cell r="H3561" t="str">
            <v>Lck6122evg</v>
          </cell>
          <cell r="I3561">
            <v>2026</v>
          </cell>
          <cell r="J3561" t="str">
            <v>B</v>
          </cell>
          <cell r="K3561" t="str">
            <v>Las Acacias</v>
          </cell>
          <cell r="N3561" t="str">
            <v>B</v>
          </cell>
        </row>
        <row r="3562">
          <cell r="B3562" t="str">
            <v>VLSS-88|</v>
          </cell>
          <cell r="C3562" t="str">
            <v>LDYECS310S0045851</v>
          </cell>
          <cell r="D3562" t="str">
            <v>MDN35025030193</v>
          </cell>
          <cell r="E3562" t="str">
            <v>Zhong Thong</v>
          </cell>
          <cell r="F3562" t="str">
            <v>Lck6122evg</v>
          </cell>
          <cell r="G3562" t="str">
            <v>Zhong Thong</v>
          </cell>
          <cell r="H3562" t="str">
            <v>Lck6122evg</v>
          </cell>
          <cell r="I3562">
            <v>2026</v>
          </cell>
          <cell r="J3562" t="str">
            <v>B</v>
          </cell>
          <cell r="K3562" t="str">
            <v>Las Acacias</v>
          </cell>
          <cell r="N3562" t="str">
            <v>B</v>
          </cell>
        </row>
        <row r="3563">
          <cell r="B3563" t="str">
            <v>VLST-15|</v>
          </cell>
          <cell r="C3563" t="str">
            <v>LDYECS319S0045850</v>
          </cell>
          <cell r="D3563" t="str">
            <v>MDN35025030244</v>
          </cell>
          <cell r="E3563" t="str">
            <v>Zhong Thong</v>
          </cell>
          <cell r="F3563" t="str">
            <v>Lck6122evg</v>
          </cell>
          <cell r="G3563" t="str">
            <v>Zhong Thong</v>
          </cell>
          <cell r="H3563" t="str">
            <v>Lck6122evg</v>
          </cell>
          <cell r="I3563">
            <v>2026</v>
          </cell>
          <cell r="J3563" t="str">
            <v>B</v>
          </cell>
          <cell r="K3563" t="str">
            <v>Las Acacias</v>
          </cell>
          <cell r="N3563" t="str">
            <v>B</v>
          </cell>
        </row>
        <row r="3564">
          <cell r="B3564" t="str">
            <v>VLST-23|</v>
          </cell>
          <cell r="C3564" t="str">
            <v>LDYECS318S0045841</v>
          </cell>
          <cell r="D3564" t="str">
            <v>MDN35025030300</v>
          </cell>
          <cell r="E3564" t="str">
            <v>Zhong Thong</v>
          </cell>
          <cell r="F3564" t="str">
            <v>Lck6122evg</v>
          </cell>
          <cell r="G3564" t="str">
            <v>Zhong Thong</v>
          </cell>
          <cell r="H3564" t="str">
            <v>Lck6122evg</v>
          </cell>
          <cell r="I3564">
            <v>2026</v>
          </cell>
          <cell r="J3564" t="str">
            <v>B</v>
          </cell>
          <cell r="K3564" t="str">
            <v>Las Acacias</v>
          </cell>
          <cell r="N3564" t="str">
            <v>B</v>
          </cell>
        </row>
        <row r="3565">
          <cell r="B3565" t="str">
            <v>VLST-92|</v>
          </cell>
          <cell r="C3565" t="str">
            <v>LDYECS318S0045838</v>
          </cell>
          <cell r="D3565" t="str">
            <v>MDN35025030084</v>
          </cell>
          <cell r="E3565" t="str">
            <v>Zhong Thong</v>
          </cell>
          <cell r="F3565" t="str">
            <v>Lck6122evg</v>
          </cell>
          <cell r="G3565" t="str">
            <v>Zhong Thong</v>
          </cell>
          <cell r="H3565" t="str">
            <v>Lck6122evg</v>
          </cell>
          <cell r="I3565">
            <v>2026</v>
          </cell>
          <cell r="J3565" t="str">
            <v>B</v>
          </cell>
          <cell r="K3565" t="str">
            <v>Las Acacias</v>
          </cell>
          <cell r="N3565" t="str">
            <v>B</v>
          </cell>
        </row>
        <row r="3566">
          <cell r="B3566" t="str">
            <v>VLSV-15|</v>
          </cell>
          <cell r="C3566" t="str">
            <v>LDYECS31XS0045744</v>
          </cell>
          <cell r="D3566" t="str">
            <v>MDN35025030099</v>
          </cell>
          <cell r="E3566" t="str">
            <v>Zhong Thong</v>
          </cell>
          <cell r="F3566" t="str">
            <v>Lck6122evg</v>
          </cell>
          <cell r="G3566" t="str">
            <v>Zhong Thong</v>
          </cell>
          <cell r="H3566" t="str">
            <v>Lck6122evg</v>
          </cell>
          <cell r="I3566">
            <v>2026</v>
          </cell>
          <cell r="J3566" t="str">
            <v>B</v>
          </cell>
          <cell r="K3566" t="str">
            <v>Las Acacias</v>
          </cell>
          <cell r="N3566" t="str">
            <v>B</v>
          </cell>
        </row>
        <row r="3567">
          <cell r="B3567" t="str">
            <v>VLSV-32|</v>
          </cell>
          <cell r="C3567" t="str">
            <v>LDYECS311S0045843</v>
          </cell>
          <cell r="D3567" t="str">
            <v>MDN35025030281</v>
          </cell>
          <cell r="E3567" t="str">
            <v>Zhong Thong</v>
          </cell>
          <cell r="F3567" t="str">
            <v>Lck6122evg</v>
          </cell>
          <cell r="G3567" t="str">
            <v>Zhong Thong</v>
          </cell>
          <cell r="H3567" t="str">
            <v>Lck6122evg</v>
          </cell>
          <cell r="I3567">
            <v>2026</v>
          </cell>
          <cell r="J3567" t="str">
            <v>B</v>
          </cell>
          <cell r="K3567" t="str">
            <v>Las Acacias</v>
          </cell>
          <cell r="N3567" t="str">
            <v>B</v>
          </cell>
        </row>
        <row r="3568">
          <cell r="B3568" t="str">
            <v>VLSW-32|</v>
          </cell>
          <cell r="C3568" t="str">
            <v>LDYECS31XS0045887</v>
          </cell>
          <cell r="D3568" t="str">
            <v>MDN35025010014</v>
          </cell>
          <cell r="E3568" t="str">
            <v>Zhong Thong</v>
          </cell>
          <cell r="F3568" t="str">
            <v>Lck6122evg</v>
          </cell>
          <cell r="G3568" t="str">
            <v>Zhong Thong</v>
          </cell>
          <cell r="H3568" t="str">
            <v>Lck6122evg</v>
          </cell>
          <cell r="I3568">
            <v>2026</v>
          </cell>
          <cell r="J3568" t="str">
            <v>B</v>
          </cell>
          <cell r="K3568" t="str">
            <v>Las Acacias</v>
          </cell>
          <cell r="N3568" t="str">
            <v>B</v>
          </cell>
        </row>
        <row r="3569">
          <cell r="B3569" t="str">
            <v>VLSY-93|</v>
          </cell>
          <cell r="C3569" t="str">
            <v>LDYECS314S0045755</v>
          </cell>
          <cell r="D3569" t="str">
            <v>MDN35025030243</v>
          </cell>
          <cell r="E3569" t="str">
            <v>Zhong Thong</v>
          </cell>
          <cell r="F3569" t="str">
            <v>Lck6122evg</v>
          </cell>
          <cell r="G3569" t="str">
            <v>Zhong Thong</v>
          </cell>
          <cell r="H3569" t="str">
            <v>Lck6122evg</v>
          </cell>
          <cell r="I3569">
            <v>2026</v>
          </cell>
          <cell r="J3569" t="str">
            <v>B</v>
          </cell>
          <cell r="K3569" t="str">
            <v>Las Acacias</v>
          </cell>
          <cell r="N3569" t="str">
            <v>B</v>
          </cell>
        </row>
        <row r="3570">
          <cell r="B3570" t="str">
            <v>VLSY-95|</v>
          </cell>
          <cell r="C3570" t="str">
            <v>LDYECS319S0045847</v>
          </cell>
          <cell r="D3570" t="str">
            <v>MDN35025030242</v>
          </cell>
          <cell r="E3570" t="str">
            <v>Zhong Thong</v>
          </cell>
          <cell r="F3570" t="str">
            <v>Lck6122evg</v>
          </cell>
          <cell r="G3570" t="str">
            <v>Zhong Thong</v>
          </cell>
          <cell r="H3570" t="str">
            <v>Lck6122evg</v>
          </cell>
          <cell r="I3570">
            <v>2026</v>
          </cell>
          <cell r="J3570" t="str">
            <v>B</v>
          </cell>
          <cell r="K3570" t="str">
            <v>Las Acacias</v>
          </cell>
          <cell r="N3570" t="str">
            <v>B</v>
          </cell>
        </row>
        <row r="3571">
          <cell r="B3571" t="str">
            <v>VLSY-96|</v>
          </cell>
          <cell r="C3571" t="str">
            <v>LDYECS316S0045854</v>
          </cell>
          <cell r="D3571" t="str">
            <v>MDN35025030125</v>
          </cell>
          <cell r="E3571" t="str">
            <v>Zhong Thong</v>
          </cell>
          <cell r="F3571" t="str">
            <v>Lck6122evg</v>
          </cell>
          <cell r="G3571" t="str">
            <v>Zhong Thong</v>
          </cell>
          <cell r="H3571" t="str">
            <v>Lck6122evg</v>
          </cell>
          <cell r="I3571">
            <v>2026</v>
          </cell>
          <cell r="J3571" t="str">
            <v>B</v>
          </cell>
          <cell r="K3571" t="str">
            <v>Las Acacias</v>
          </cell>
          <cell r="N3571" t="str">
            <v>B</v>
          </cell>
        </row>
        <row r="3572">
          <cell r="B3572" t="str">
            <v>VLSY-97|</v>
          </cell>
          <cell r="C3572" t="str">
            <v>LDYECS318S0045757</v>
          </cell>
          <cell r="D3572" t="str">
            <v>MDN35025030175</v>
          </cell>
          <cell r="E3572" t="str">
            <v>Zhong Thong</v>
          </cell>
          <cell r="F3572" t="str">
            <v>Lck6122evg</v>
          </cell>
          <cell r="G3572" t="str">
            <v>Zhong Thong</v>
          </cell>
          <cell r="H3572" t="str">
            <v>Lck6122evg</v>
          </cell>
          <cell r="I3572">
            <v>2026</v>
          </cell>
          <cell r="J3572" t="str">
            <v>B</v>
          </cell>
          <cell r="K3572" t="str">
            <v>Las Acacias</v>
          </cell>
          <cell r="N3572" t="str">
            <v>B</v>
          </cell>
        </row>
        <row r="3573">
          <cell r="B3573" t="str">
            <v>VLSY-98|</v>
          </cell>
          <cell r="C3573" t="str">
            <v>LDYECS31XS0045856</v>
          </cell>
          <cell r="D3573" t="str">
            <v>MDN35025030127</v>
          </cell>
          <cell r="E3573" t="str">
            <v>Zhong Thong</v>
          </cell>
          <cell r="F3573" t="str">
            <v>Lck6122evg</v>
          </cell>
          <cell r="G3573" t="str">
            <v>Zhong Thong</v>
          </cell>
          <cell r="H3573" t="str">
            <v>Lck6122evg</v>
          </cell>
          <cell r="I3573">
            <v>2026</v>
          </cell>
          <cell r="J3573" t="str">
            <v>B</v>
          </cell>
          <cell r="K3573" t="str">
            <v>Las Acacias</v>
          </cell>
          <cell r="N3573" t="str">
            <v>B</v>
          </cell>
        </row>
        <row r="3574">
          <cell r="B3574" t="str">
            <v>VLSZ-15|</v>
          </cell>
          <cell r="C3574" t="str">
            <v>LDYECS312S0045849</v>
          </cell>
          <cell r="D3574" t="str">
            <v>MDN35025030294</v>
          </cell>
          <cell r="E3574" t="str">
            <v>Zhong Thong</v>
          </cell>
          <cell r="F3574" t="str">
            <v>Lck6122evg</v>
          </cell>
          <cell r="G3574" t="str">
            <v>Zhong Thong</v>
          </cell>
          <cell r="H3574" t="str">
            <v>Lck6122evg</v>
          </cell>
          <cell r="I3574">
            <v>2026</v>
          </cell>
          <cell r="J3574" t="str">
            <v>B</v>
          </cell>
          <cell r="K3574" t="str">
            <v>Las Acacias</v>
          </cell>
          <cell r="N3574" t="str">
            <v>B</v>
          </cell>
        </row>
        <row r="3575">
          <cell r="B3575" t="str">
            <v>VLSZ-16|</v>
          </cell>
          <cell r="C3575" t="str">
            <v>LDYECS312S0045754</v>
          </cell>
          <cell r="D3575" t="str">
            <v>MDN35025030177</v>
          </cell>
          <cell r="E3575" t="str">
            <v>Zhong Thong</v>
          </cell>
          <cell r="F3575" t="str">
            <v>Lck6122evg</v>
          </cell>
          <cell r="G3575" t="str">
            <v>Zhong Thong</v>
          </cell>
          <cell r="H3575" t="str">
            <v>Lck6122evg</v>
          </cell>
          <cell r="I3575">
            <v>2026</v>
          </cell>
          <cell r="J3575" t="str">
            <v>B</v>
          </cell>
          <cell r="K3575" t="str">
            <v>Las Acacias</v>
          </cell>
          <cell r="N3575" t="str">
            <v>B</v>
          </cell>
        </row>
        <row r="3576">
          <cell r="B3576" t="str">
            <v>VLSZ-23|</v>
          </cell>
          <cell r="C3576" t="str">
            <v>LDYECS310S0045865</v>
          </cell>
          <cell r="D3576" t="str">
            <v>MDN35025030267</v>
          </cell>
          <cell r="E3576" t="str">
            <v>Zhong Thong</v>
          </cell>
          <cell r="F3576" t="str">
            <v>Lck6122evg</v>
          </cell>
          <cell r="G3576" t="str">
            <v>Zhong Thong</v>
          </cell>
          <cell r="H3576" t="str">
            <v>Lck6122evg</v>
          </cell>
          <cell r="I3576">
            <v>2026</v>
          </cell>
          <cell r="J3576" t="str">
            <v>B</v>
          </cell>
          <cell r="K3576" t="str">
            <v>Las Acacias</v>
          </cell>
          <cell r="N3576" t="str">
            <v>B</v>
          </cell>
        </row>
        <row r="3577">
          <cell r="B3577" t="str">
            <v>FLXZ-95|</v>
          </cell>
          <cell r="C3577" t="str">
            <v>LC9LC30F5JALA6109</v>
          </cell>
          <cell r="D3577" t="str">
            <v>G174J60001</v>
          </cell>
          <cell r="E3577" t="str">
            <v>KING LONG</v>
          </cell>
          <cell r="F3577" t="str">
            <v>XMQ 6127</v>
          </cell>
          <cell r="G3577" t="str">
            <v>KING LONG</v>
          </cell>
          <cell r="H3577" t="str">
            <v>XMQ 6127G E TECH</v>
          </cell>
          <cell r="I3577">
            <v>2019</v>
          </cell>
          <cell r="J3577" t="str">
            <v>B</v>
          </cell>
          <cell r="K3577" t="str">
            <v>Recoleta</v>
          </cell>
          <cell r="N3577" t="str">
            <v>B</v>
          </cell>
        </row>
        <row r="3578">
          <cell r="B3578" t="str">
            <v>GCBC-24|</v>
          </cell>
          <cell r="C3578" t="str">
            <v>YV3T7U52XKA195288</v>
          </cell>
          <cell r="D3578">
            <v>482342</v>
          </cell>
          <cell r="E3578" t="str">
            <v>VOLVO</v>
          </cell>
          <cell r="F3578" t="str">
            <v>B8R</v>
          </cell>
          <cell r="G3578" t="str">
            <v>MARCOPOLO</v>
          </cell>
          <cell r="H3578" t="str">
            <v>TORINO</v>
          </cell>
          <cell r="I3578">
            <v>2019</v>
          </cell>
          <cell r="J3578" t="str">
            <v>BPAL</v>
          </cell>
          <cell r="K3578" t="str">
            <v>Santa Rosa</v>
          </cell>
          <cell r="N3578" t="str">
            <v>B</v>
          </cell>
        </row>
        <row r="3579">
          <cell r="B3579" t="str">
            <v>GCBC-25|</v>
          </cell>
          <cell r="C3579" t="str">
            <v>YV3T7U520KA195591</v>
          </cell>
          <cell r="D3579">
            <v>483878</v>
          </cell>
          <cell r="E3579" t="str">
            <v>VOLVO</v>
          </cell>
          <cell r="F3579" t="str">
            <v>B8R</v>
          </cell>
          <cell r="G3579" t="str">
            <v>MARCOPOLO</v>
          </cell>
          <cell r="H3579" t="str">
            <v>TORINO</v>
          </cell>
          <cell r="I3579">
            <v>2019</v>
          </cell>
          <cell r="J3579" t="str">
            <v>BPAL</v>
          </cell>
          <cell r="K3579" t="str">
            <v>Recoleta</v>
          </cell>
          <cell r="N3579" t="str">
            <v>B</v>
          </cell>
        </row>
        <row r="3580">
          <cell r="B3580" t="str">
            <v>GCBC-26|</v>
          </cell>
          <cell r="C3580" t="str">
            <v>YV3T7U529KA195640</v>
          </cell>
          <cell r="D3580">
            <v>479849</v>
          </cell>
          <cell r="E3580" t="str">
            <v>VOLVO</v>
          </cell>
          <cell r="F3580" t="str">
            <v>B8R</v>
          </cell>
          <cell r="G3580" t="str">
            <v>MARCOPOLO</v>
          </cell>
          <cell r="H3580" t="str">
            <v>TORINO</v>
          </cell>
          <cell r="I3580">
            <v>2019</v>
          </cell>
          <cell r="J3580" t="str">
            <v>BPAL</v>
          </cell>
          <cell r="K3580" t="str">
            <v>Recoleta</v>
          </cell>
          <cell r="N3580" t="str">
            <v>B</v>
          </cell>
        </row>
        <row r="3581">
          <cell r="B3581" t="str">
            <v>GCBC-27|</v>
          </cell>
          <cell r="C3581" t="str">
            <v>YV3T7U526KA195689</v>
          </cell>
          <cell r="D3581">
            <v>484541</v>
          </cell>
          <cell r="E3581" t="str">
            <v>VOLVO</v>
          </cell>
          <cell r="F3581" t="str">
            <v>B8R</v>
          </cell>
          <cell r="G3581" t="str">
            <v>MARCOPOLO</v>
          </cell>
          <cell r="H3581" t="str">
            <v>TORINO</v>
          </cell>
          <cell r="I3581">
            <v>2019</v>
          </cell>
          <cell r="J3581" t="str">
            <v>BPAL</v>
          </cell>
          <cell r="K3581" t="str">
            <v>Recoleta</v>
          </cell>
          <cell r="N3581" t="str">
            <v>B</v>
          </cell>
        </row>
        <row r="3582">
          <cell r="B3582" t="str">
            <v>GCBC-28|</v>
          </cell>
          <cell r="C3582" t="str">
            <v>YV3T7U528KA195189</v>
          </cell>
          <cell r="D3582">
            <v>481662</v>
          </cell>
          <cell r="E3582" t="str">
            <v>VOLVO</v>
          </cell>
          <cell r="F3582" t="str">
            <v>B8R</v>
          </cell>
          <cell r="G3582" t="str">
            <v>MARCOPOLO</v>
          </cell>
          <cell r="H3582" t="str">
            <v>TORINO</v>
          </cell>
          <cell r="I3582">
            <v>2019</v>
          </cell>
          <cell r="J3582" t="str">
            <v>BPAL</v>
          </cell>
          <cell r="K3582" t="str">
            <v>Santa Rosa</v>
          </cell>
          <cell r="N3582" t="str">
            <v>B</v>
          </cell>
        </row>
        <row r="3583">
          <cell r="B3583" t="str">
            <v>GCBC-29|</v>
          </cell>
          <cell r="C3583" t="str">
            <v>YV3T7U527KA195149</v>
          </cell>
          <cell r="D3583">
            <v>478253</v>
          </cell>
          <cell r="E3583" t="str">
            <v>VOLVO</v>
          </cell>
          <cell r="F3583" t="str">
            <v>B8R</v>
          </cell>
          <cell r="G3583" t="str">
            <v>MARCOPOLO</v>
          </cell>
          <cell r="H3583" t="str">
            <v>TORINO</v>
          </cell>
          <cell r="I3583">
            <v>2019</v>
          </cell>
          <cell r="J3583" t="str">
            <v>BPAL</v>
          </cell>
          <cell r="K3583" t="str">
            <v>Santa Rosa</v>
          </cell>
          <cell r="N3583" t="str">
            <v>B</v>
          </cell>
        </row>
        <row r="3584">
          <cell r="B3584" t="str">
            <v>GCBC-30|</v>
          </cell>
          <cell r="C3584" t="str">
            <v>YV3T7U528KA195354</v>
          </cell>
          <cell r="D3584">
            <v>482584</v>
          </cell>
          <cell r="E3584" t="str">
            <v>VOLVO</v>
          </cell>
          <cell r="F3584" t="str">
            <v>B8R</v>
          </cell>
          <cell r="G3584" t="str">
            <v>MARCOPOLO</v>
          </cell>
          <cell r="H3584" t="str">
            <v>TORINO</v>
          </cell>
          <cell r="I3584">
            <v>2019</v>
          </cell>
          <cell r="J3584" t="str">
            <v>BPAL</v>
          </cell>
          <cell r="K3584" t="str">
            <v>Santa Rosa</v>
          </cell>
          <cell r="N3584" t="str">
            <v>B</v>
          </cell>
        </row>
        <row r="3585">
          <cell r="B3585" t="str">
            <v>GCBC-31|</v>
          </cell>
          <cell r="C3585" t="str">
            <v>YV3T7U525KA195358</v>
          </cell>
          <cell r="D3585">
            <v>482487</v>
          </cell>
          <cell r="E3585" t="str">
            <v>VOLVO</v>
          </cell>
          <cell r="F3585" t="str">
            <v>B8R</v>
          </cell>
          <cell r="G3585" t="str">
            <v>MARCOPOLO</v>
          </cell>
          <cell r="H3585" t="str">
            <v>TORINO</v>
          </cell>
          <cell r="I3585">
            <v>2019</v>
          </cell>
          <cell r="J3585" t="str">
            <v>BPAL</v>
          </cell>
          <cell r="K3585" t="str">
            <v>Santa Rosa</v>
          </cell>
          <cell r="N3585" t="str">
            <v>B</v>
          </cell>
        </row>
        <row r="3586">
          <cell r="B3586" t="str">
            <v>GCBC-33|</v>
          </cell>
          <cell r="C3586" t="str">
            <v>YV3T7U529KA195573</v>
          </cell>
          <cell r="D3586">
            <v>483422</v>
          </cell>
          <cell r="E3586" t="str">
            <v>VOLVO</v>
          </cell>
          <cell r="F3586" t="str">
            <v>B8R</v>
          </cell>
          <cell r="G3586" t="str">
            <v>MARCOPOLO</v>
          </cell>
          <cell r="H3586" t="str">
            <v>TORINO</v>
          </cell>
          <cell r="I3586">
            <v>2019</v>
          </cell>
          <cell r="J3586" t="str">
            <v>BPAL</v>
          </cell>
          <cell r="K3586" t="str">
            <v>Recoleta</v>
          </cell>
          <cell r="N3586" t="str">
            <v>B</v>
          </cell>
        </row>
        <row r="3587">
          <cell r="B3587" t="str">
            <v>GCBC-34|</v>
          </cell>
          <cell r="C3587" t="str">
            <v>YV3T7U526KA195711</v>
          </cell>
          <cell r="D3587">
            <v>484639</v>
          </cell>
          <cell r="E3587" t="str">
            <v>VOLVO</v>
          </cell>
          <cell r="F3587" t="str">
            <v>B8R</v>
          </cell>
          <cell r="G3587" t="str">
            <v>MARCOPOLO</v>
          </cell>
          <cell r="H3587" t="str">
            <v>TORINO</v>
          </cell>
          <cell r="I3587">
            <v>2019</v>
          </cell>
          <cell r="J3587" t="str">
            <v>BPAL</v>
          </cell>
          <cell r="K3587" t="str">
            <v>Recoleta</v>
          </cell>
          <cell r="N3587" t="str">
            <v>B</v>
          </cell>
        </row>
        <row r="3588">
          <cell r="B3588" t="str">
            <v>GCBC-35|</v>
          </cell>
          <cell r="C3588" t="str">
            <v>YV3T7U522KA195687</v>
          </cell>
          <cell r="D3588">
            <v>484547</v>
          </cell>
          <cell r="E3588" t="str">
            <v>VOLVO</v>
          </cell>
          <cell r="F3588" t="str">
            <v>B8R</v>
          </cell>
          <cell r="G3588" t="str">
            <v>MARCOPOLO</v>
          </cell>
          <cell r="H3588" t="str">
            <v>TORINO</v>
          </cell>
          <cell r="I3588">
            <v>2019</v>
          </cell>
          <cell r="J3588" t="str">
            <v>BPAL</v>
          </cell>
          <cell r="K3588" t="str">
            <v>Recoleta</v>
          </cell>
          <cell r="N3588" t="str">
            <v>B</v>
          </cell>
        </row>
        <row r="3589">
          <cell r="B3589" t="str">
            <v>GCBF-43|</v>
          </cell>
          <cell r="C3589" t="str">
            <v>YV3T7U520LA200970</v>
          </cell>
          <cell r="D3589">
            <v>506294</v>
          </cell>
          <cell r="E3589" t="str">
            <v>VOLVO</v>
          </cell>
          <cell r="F3589" t="str">
            <v>B8RLEA</v>
          </cell>
          <cell r="G3589" t="str">
            <v>MARCOPOLO</v>
          </cell>
          <cell r="H3589" t="str">
            <v>GRAN VIALE</v>
          </cell>
          <cell r="I3589">
            <v>2020</v>
          </cell>
          <cell r="J3589" t="str">
            <v>C</v>
          </cell>
          <cell r="K3589" t="str">
            <v>Recoleta</v>
          </cell>
          <cell r="N3589" t="str">
            <v>C</v>
          </cell>
        </row>
        <row r="3590">
          <cell r="B3590" t="str">
            <v>GCBF-44|</v>
          </cell>
          <cell r="C3590" t="str">
            <v>YV3T7U524LA200874</v>
          </cell>
          <cell r="D3590">
            <v>505924</v>
          </cell>
          <cell r="E3590" t="str">
            <v>VOLVO</v>
          </cell>
          <cell r="F3590" t="str">
            <v>B8RLEA</v>
          </cell>
          <cell r="G3590" t="str">
            <v>MARCOPOLO</v>
          </cell>
          <cell r="H3590" t="str">
            <v>GRAN VIALE</v>
          </cell>
          <cell r="I3590">
            <v>2020</v>
          </cell>
          <cell r="J3590" t="str">
            <v>C</v>
          </cell>
          <cell r="K3590" t="str">
            <v>Recoleta</v>
          </cell>
          <cell r="N3590" t="str">
            <v>C</v>
          </cell>
        </row>
        <row r="3591">
          <cell r="B3591" t="str">
            <v>GCBF-45|</v>
          </cell>
          <cell r="C3591" t="str">
            <v>YV3T7U526LA200875</v>
          </cell>
          <cell r="D3591">
            <v>505881</v>
          </cell>
          <cell r="E3591" t="str">
            <v>VOLVO</v>
          </cell>
          <cell r="F3591" t="str">
            <v>B8RLEA</v>
          </cell>
          <cell r="G3591" t="str">
            <v>MARCOPOLO</v>
          </cell>
          <cell r="H3591" t="str">
            <v>GRAN VIALE</v>
          </cell>
          <cell r="I3591">
            <v>2020</v>
          </cell>
          <cell r="J3591" t="str">
            <v>C</v>
          </cell>
          <cell r="K3591" t="str">
            <v>Lo Blanco</v>
          </cell>
          <cell r="N3591" t="str">
            <v>C</v>
          </cell>
        </row>
        <row r="3592">
          <cell r="B3592" t="str">
            <v>GCBF-46|</v>
          </cell>
          <cell r="C3592" t="str">
            <v>YV3T7U528LA200876</v>
          </cell>
          <cell r="D3592">
            <v>505895</v>
          </cell>
          <cell r="E3592" t="str">
            <v>VOLVO</v>
          </cell>
          <cell r="F3592" t="str">
            <v>B8RLEA</v>
          </cell>
          <cell r="G3592" t="str">
            <v>MARCOPOLO</v>
          </cell>
          <cell r="H3592" t="str">
            <v>GRAN VIALE</v>
          </cell>
          <cell r="I3592">
            <v>2020</v>
          </cell>
          <cell r="J3592" t="str">
            <v>C</v>
          </cell>
          <cell r="K3592" t="str">
            <v>Recoleta</v>
          </cell>
          <cell r="N3592" t="str">
            <v>C</v>
          </cell>
        </row>
        <row r="3593">
          <cell r="B3593" t="str">
            <v>GCBF-47|</v>
          </cell>
          <cell r="C3593" t="str">
            <v>YV3T7U520LA200886</v>
          </cell>
          <cell r="D3593">
            <v>506176</v>
          </cell>
          <cell r="E3593" t="str">
            <v>VOLVO</v>
          </cell>
          <cell r="F3593" t="str">
            <v>B8RLEA</v>
          </cell>
          <cell r="G3593" t="str">
            <v>MARCOPOLO</v>
          </cell>
          <cell r="H3593" t="str">
            <v>GRAN VIALE</v>
          </cell>
          <cell r="I3593">
            <v>2020</v>
          </cell>
          <cell r="J3593" t="str">
            <v>C</v>
          </cell>
          <cell r="K3593" t="str">
            <v>Recoleta</v>
          </cell>
          <cell r="N3593" t="str">
            <v>C</v>
          </cell>
        </row>
        <row r="3594">
          <cell r="B3594" t="str">
            <v>GCBF-48|</v>
          </cell>
          <cell r="C3594" t="str">
            <v>YV3T7U522LA200887</v>
          </cell>
          <cell r="D3594">
            <v>506197</v>
          </cell>
          <cell r="E3594" t="str">
            <v>VOLVO</v>
          </cell>
          <cell r="F3594" t="str">
            <v>B8RLEA</v>
          </cell>
          <cell r="G3594" t="str">
            <v>MARCOPOLO</v>
          </cell>
          <cell r="H3594" t="str">
            <v>GRAN VIALE</v>
          </cell>
          <cell r="I3594">
            <v>2020</v>
          </cell>
          <cell r="J3594" t="str">
            <v>C</v>
          </cell>
          <cell r="K3594" t="str">
            <v>Recoleta</v>
          </cell>
          <cell r="N3594" t="str">
            <v>C</v>
          </cell>
        </row>
        <row r="3595">
          <cell r="B3595" t="str">
            <v>GCBF-49|</v>
          </cell>
          <cell r="C3595" t="str">
            <v>YV3T7U526LA200925</v>
          </cell>
          <cell r="D3595">
            <v>506187</v>
          </cell>
          <cell r="E3595" t="str">
            <v>VOLVO</v>
          </cell>
          <cell r="F3595" t="str">
            <v>B8RLEA</v>
          </cell>
          <cell r="G3595" t="str">
            <v>MARCOPOLO</v>
          </cell>
          <cell r="H3595" t="str">
            <v>GRAN VIALE</v>
          </cell>
          <cell r="I3595">
            <v>2020</v>
          </cell>
          <cell r="J3595" t="str">
            <v>C</v>
          </cell>
          <cell r="K3595" t="str">
            <v>Recoleta</v>
          </cell>
          <cell r="N3595" t="str">
            <v>C</v>
          </cell>
        </row>
        <row r="3596">
          <cell r="B3596" t="str">
            <v>GCBF-50|</v>
          </cell>
          <cell r="C3596" t="str">
            <v>YV3T7U527LA200934</v>
          </cell>
          <cell r="D3596">
            <v>506345</v>
          </cell>
          <cell r="E3596" t="str">
            <v>VOLVO</v>
          </cell>
          <cell r="F3596" t="str">
            <v>B8RLEA</v>
          </cell>
          <cell r="G3596" t="str">
            <v>MARCOPOLO</v>
          </cell>
          <cell r="H3596" t="str">
            <v>GRAN VIALE</v>
          </cell>
          <cell r="I3596">
            <v>2020</v>
          </cell>
          <cell r="J3596" t="str">
            <v>C</v>
          </cell>
          <cell r="K3596" t="str">
            <v>Recoleta</v>
          </cell>
          <cell r="N3596" t="str">
            <v>C</v>
          </cell>
        </row>
        <row r="3597">
          <cell r="B3597" t="str">
            <v>GCBF-51|</v>
          </cell>
          <cell r="C3597" t="str">
            <v>YV3T7U529LA200935</v>
          </cell>
          <cell r="D3597">
            <v>506403</v>
          </cell>
          <cell r="E3597" t="str">
            <v>VOLVO</v>
          </cell>
          <cell r="F3597" t="str">
            <v>B8RLEA</v>
          </cell>
          <cell r="G3597" t="str">
            <v>MARCOPOLO</v>
          </cell>
          <cell r="H3597" t="str">
            <v>GRAN VIALE</v>
          </cell>
          <cell r="I3597">
            <v>2020</v>
          </cell>
          <cell r="J3597" t="str">
            <v>C</v>
          </cell>
          <cell r="K3597" t="str">
            <v>Recoleta</v>
          </cell>
          <cell r="N3597" t="str">
            <v>C</v>
          </cell>
        </row>
        <row r="3598">
          <cell r="B3598" t="str">
            <v>GCBF-52|</v>
          </cell>
          <cell r="C3598" t="str">
            <v>YV3T7U520LA200936</v>
          </cell>
          <cell r="D3598">
            <v>506358</v>
          </cell>
          <cell r="E3598" t="str">
            <v>VOLVO</v>
          </cell>
          <cell r="F3598" t="str">
            <v>B8RLEA</v>
          </cell>
          <cell r="G3598" t="str">
            <v>MARCOPOLO</v>
          </cell>
          <cell r="H3598" t="str">
            <v>GRAN VIALE</v>
          </cell>
          <cell r="I3598">
            <v>2020</v>
          </cell>
          <cell r="J3598" t="str">
            <v>C</v>
          </cell>
          <cell r="K3598" t="str">
            <v>Recoleta</v>
          </cell>
          <cell r="N3598" t="str">
            <v>C</v>
          </cell>
        </row>
        <row r="3599">
          <cell r="B3599" t="str">
            <v>GCBF-53|</v>
          </cell>
          <cell r="C3599" t="str">
            <v>YV3T7U524LA200969</v>
          </cell>
          <cell r="D3599">
            <v>506311</v>
          </cell>
          <cell r="E3599" t="str">
            <v>VOLVO</v>
          </cell>
          <cell r="F3599" t="str">
            <v>B8RLEA</v>
          </cell>
          <cell r="G3599" t="str">
            <v>MARCOPOLO</v>
          </cell>
          <cell r="H3599" t="str">
            <v>GRAN VIALE</v>
          </cell>
          <cell r="I3599">
            <v>2020</v>
          </cell>
          <cell r="J3599" t="str">
            <v>C</v>
          </cell>
          <cell r="K3599" t="str">
            <v>Recoleta</v>
          </cell>
          <cell r="N3599" t="str">
            <v>C</v>
          </cell>
        </row>
        <row r="3600">
          <cell r="B3600" t="str">
            <v>LXWT-82|</v>
          </cell>
          <cell r="C3600" t="str">
            <v>YV3T7U524LA200924</v>
          </cell>
          <cell r="D3600">
            <v>506179</v>
          </cell>
          <cell r="E3600" t="str">
            <v>VOLVO</v>
          </cell>
          <cell r="F3600" t="str">
            <v>B8RLEA</v>
          </cell>
          <cell r="G3600" t="str">
            <v>MARCOPOLO</v>
          </cell>
          <cell r="H3600" t="str">
            <v>GRAN VIALE</v>
          </cell>
          <cell r="I3600">
            <v>2020</v>
          </cell>
          <cell r="J3600" t="str">
            <v>C</v>
          </cell>
          <cell r="K3600" t="str">
            <v>Recoleta</v>
          </cell>
          <cell r="N3600" t="str">
            <v>C</v>
          </cell>
        </row>
        <row r="3601">
          <cell r="B3601" t="str">
            <v>LXWT-83|</v>
          </cell>
          <cell r="C3601" t="str">
            <v>YV3T7U522LA200873</v>
          </cell>
          <cell r="D3601">
            <v>505882</v>
          </cell>
          <cell r="E3601" t="str">
            <v>VOLVO</v>
          </cell>
          <cell r="F3601" t="str">
            <v>B8RLEA</v>
          </cell>
          <cell r="G3601" t="str">
            <v>MARCOPOLO</v>
          </cell>
          <cell r="H3601" t="str">
            <v>GRAN VIALE</v>
          </cell>
          <cell r="I3601">
            <v>2020</v>
          </cell>
          <cell r="J3601" t="str">
            <v>C</v>
          </cell>
          <cell r="K3601" t="str">
            <v>Recoleta</v>
          </cell>
          <cell r="N3601" t="str">
            <v>C</v>
          </cell>
        </row>
        <row r="3602">
          <cell r="B3602" t="str">
            <v>LXWT-84|</v>
          </cell>
          <cell r="C3602" t="str">
            <v>YV3T7U520LA198721</v>
          </cell>
          <cell r="D3602">
            <v>500916</v>
          </cell>
          <cell r="E3602" t="str">
            <v>VOLVO</v>
          </cell>
          <cell r="F3602" t="str">
            <v>B8RLEA</v>
          </cell>
          <cell r="G3602" t="str">
            <v>MARCOPOLO</v>
          </cell>
          <cell r="H3602" t="str">
            <v>GRAN VIALE</v>
          </cell>
          <cell r="I3602">
            <v>2020</v>
          </cell>
          <cell r="J3602" t="str">
            <v>C</v>
          </cell>
          <cell r="K3602" t="str">
            <v>Lo Blanco</v>
          </cell>
          <cell r="N3602" t="str">
            <v>C</v>
          </cell>
        </row>
        <row r="3603">
          <cell r="B3603" t="str">
            <v>LXWT-85|</v>
          </cell>
          <cell r="C3603" t="str">
            <v>YV3T7U52XLA200832</v>
          </cell>
          <cell r="D3603">
            <v>505962</v>
          </cell>
          <cell r="E3603" t="str">
            <v>VOLVO</v>
          </cell>
          <cell r="F3603" t="str">
            <v>B8RLEA</v>
          </cell>
          <cell r="G3603" t="str">
            <v>MARCOPOLO</v>
          </cell>
          <cell r="H3603" t="str">
            <v>GRAN VIALE</v>
          </cell>
          <cell r="I3603">
            <v>2020</v>
          </cell>
          <cell r="J3603" t="str">
            <v>C</v>
          </cell>
          <cell r="K3603" t="str">
            <v>Recoleta</v>
          </cell>
          <cell r="N3603" t="str">
            <v>C</v>
          </cell>
        </row>
        <row r="3604">
          <cell r="B3604" t="str">
            <v>LXWT-86|</v>
          </cell>
          <cell r="C3604" t="str">
            <v>YV3T7U52XLA200863</v>
          </cell>
          <cell r="D3604">
            <v>505947</v>
          </cell>
          <cell r="E3604" t="str">
            <v>VOLVO</v>
          </cell>
          <cell r="F3604" t="str">
            <v>B8RLEA</v>
          </cell>
          <cell r="G3604" t="str">
            <v>MARCOPOLO</v>
          </cell>
          <cell r="H3604" t="str">
            <v>GRAN VIALE</v>
          </cell>
          <cell r="I3604">
            <v>2020</v>
          </cell>
          <cell r="J3604" t="str">
            <v>C</v>
          </cell>
          <cell r="K3604" t="str">
            <v>Recoleta</v>
          </cell>
          <cell r="N3604" t="str">
            <v>C</v>
          </cell>
        </row>
        <row r="3605">
          <cell r="B3605" t="str">
            <v>LXWT-87|</v>
          </cell>
          <cell r="C3605" t="str">
            <v>YV3T7U528LA200831</v>
          </cell>
          <cell r="D3605">
            <v>505956</v>
          </cell>
          <cell r="E3605" t="str">
            <v>VOLVO</v>
          </cell>
          <cell r="F3605" t="str">
            <v>B8RLEA</v>
          </cell>
          <cell r="G3605" t="str">
            <v>MARCOPOLO</v>
          </cell>
          <cell r="H3605" t="str">
            <v>GRAN VIALE</v>
          </cell>
          <cell r="I3605">
            <v>2020</v>
          </cell>
          <cell r="J3605" t="str">
            <v>C</v>
          </cell>
          <cell r="K3605" t="str">
            <v>Recoleta</v>
          </cell>
          <cell r="N3605" t="str">
            <v>C</v>
          </cell>
        </row>
        <row r="3606">
          <cell r="B3606" t="str">
            <v>LXWT-88|</v>
          </cell>
          <cell r="C3606" t="str">
            <v>YV3T7U528LA200862</v>
          </cell>
          <cell r="D3606">
            <v>505976</v>
          </cell>
          <cell r="E3606" t="str">
            <v>VOLVO</v>
          </cell>
          <cell r="F3606" t="str">
            <v>B8RLEA</v>
          </cell>
          <cell r="G3606" t="str">
            <v>MARCOPOLO</v>
          </cell>
          <cell r="H3606" t="str">
            <v>GRAN VIALE</v>
          </cell>
          <cell r="I3606">
            <v>2020</v>
          </cell>
          <cell r="J3606" t="str">
            <v>C</v>
          </cell>
          <cell r="K3606" t="str">
            <v>Recoleta</v>
          </cell>
          <cell r="N3606" t="str">
            <v>C</v>
          </cell>
        </row>
        <row r="3607">
          <cell r="B3607" t="str">
            <v>LXWT-89|</v>
          </cell>
          <cell r="C3607" t="str">
            <v>YV3T7U521LA201271</v>
          </cell>
          <cell r="D3607">
            <v>507683</v>
          </cell>
          <cell r="E3607" t="str">
            <v>VOLVO</v>
          </cell>
          <cell r="F3607" t="str">
            <v>B8RLEA</v>
          </cell>
          <cell r="G3607" t="str">
            <v>MARCOPOLO</v>
          </cell>
          <cell r="H3607" t="str">
            <v>GRAN VIALE</v>
          </cell>
          <cell r="I3607">
            <v>2020</v>
          </cell>
          <cell r="J3607" t="str">
            <v>C</v>
          </cell>
          <cell r="K3607" t="str">
            <v>Lo Blanco</v>
          </cell>
          <cell r="N3607" t="str">
            <v>C</v>
          </cell>
        </row>
        <row r="3608">
          <cell r="B3608" t="str">
            <v>LXWT-90|</v>
          </cell>
          <cell r="C3608" t="str">
            <v>YV3T7U525LA201208</v>
          </cell>
          <cell r="D3608">
            <v>507344</v>
          </cell>
          <cell r="E3608" t="str">
            <v>VOLVO</v>
          </cell>
          <cell r="F3608" t="str">
            <v>B8RLEA</v>
          </cell>
          <cell r="G3608" t="str">
            <v>MARCOPOLO</v>
          </cell>
          <cell r="H3608" t="str">
            <v>GRAN VIALE</v>
          </cell>
          <cell r="I3608">
            <v>2020</v>
          </cell>
          <cell r="J3608" t="str">
            <v>C</v>
          </cell>
          <cell r="K3608" t="str">
            <v>Lo Blanco</v>
          </cell>
          <cell r="N3608" t="str">
            <v>C</v>
          </cell>
        </row>
        <row r="3609">
          <cell r="B3609" t="str">
            <v>LXWT-91|</v>
          </cell>
          <cell r="C3609" t="str">
            <v>YV3T7U524LA200888</v>
          </cell>
          <cell r="D3609">
            <v>506177</v>
          </cell>
          <cell r="E3609" t="str">
            <v>VOLVO</v>
          </cell>
          <cell r="F3609" t="str">
            <v>B8RLEA</v>
          </cell>
          <cell r="G3609" t="str">
            <v>MARCOPOLO</v>
          </cell>
          <cell r="H3609" t="str">
            <v>GRAN VIALE</v>
          </cell>
          <cell r="I3609">
            <v>2020</v>
          </cell>
          <cell r="J3609" t="str">
            <v>C</v>
          </cell>
          <cell r="K3609" t="str">
            <v>Recoleta</v>
          </cell>
          <cell r="N3609" t="str">
            <v>C</v>
          </cell>
        </row>
        <row r="3610">
          <cell r="B3610" t="str">
            <v>LXWT-92|</v>
          </cell>
          <cell r="C3610" t="str">
            <v>YV3T7U522LA200923</v>
          </cell>
          <cell r="D3610">
            <v>506195</v>
          </cell>
          <cell r="E3610" t="str">
            <v>VOLVO</v>
          </cell>
          <cell r="F3610" t="str">
            <v>B8RLEA</v>
          </cell>
          <cell r="G3610" t="str">
            <v>MARCOPOLO</v>
          </cell>
          <cell r="H3610" t="str">
            <v>GRAN VIALE</v>
          </cell>
          <cell r="I3610">
            <v>2020</v>
          </cell>
          <cell r="J3610" t="str">
            <v>C</v>
          </cell>
          <cell r="K3610" t="str">
            <v>Lo Blanco</v>
          </cell>
          <cell r="N3610" t="str">
            <v>C</v>
          </cell>
        </row>
        <row r="3611">
          <cell r="B3611" t="str">
            <v>LXWT-93|</v>
          </cell>
          <cell r="C3611" t="str">
            <v>YV3T7U525LA201211</v>
          </cell>
          <cell r="D3611">
            <v>507350</v>
          </cell>
          <cell r="E3611" t="str">
            <v>VOLVO</v>
          </cell>
          <cell r="F3611" t="str">
            <v>B8RLEA</v>
          </cell>
          <cell r="G3611" t="str">
            <v>MARCOPOLO</v>
          </cell>
          <cell r="H3611" t="str">
            <v>GRAN VIALE</v>
          </cell>
          <cell r="I3611">
            <v>2020</v>
          </cell>
          <cell r="J3611" t="str">
            <v>C</v>
          </cell>
          <cell r="K3611" t="str">
            <v>Lo Blanco</v>
          </cell>
          <cell r="N3611" t="str">
            <v>C</v>
          </cell>
        </row>
        <row r="3612">
          <cell r="B3612" t="str">
            <v>LXWT-94|</v>
          </cell>
          <cell r="C3612" t="str">
            <v>YV3T7U52XLA201317</v>
          </cell>
          <cell r="D3612">
            <v>507672</v>
          </cell>
          <cell r="E3612" t="str">
            <v>VOLVO</v>
          </cell>
          <cell r="F3612" t="str">
            <v>B8RLEA</v>
          </cell>
          <cell r="G3612" t="str">
            <v>MARCOPOLO</v>
          </cell>
          <cell r="H3612" t="str">
            <v>GRAN VIALE</v>
          </cell>
          <cell r="I3612">
            <v>2020</v>
          </cell>
          <cell r="J3612" t="str">
            <v>C</v>
          </cell>
          <cell r="K3612" t="str">
            <v>Lo Blanco</v>
          </cell>
          <cell r="N3612" t="str">
            <v>C</v>
          </cell>
        </row>
        <row r="3613">
          <cell r="B3613" t="str">
            <v>LXWT-95|</v>
          </cell>
          <cell r="C3613" t="str">
            <v>YV3T7U523LA201269</v>
          </cell>
          <cell r="D3613">
            <v>507437</v>
          </cell>
          <cell r="E3613" t="str">
            <v>VOLVO</v>
          </cell>
          <cell r="F3613" t="str">
            <v>B8RLEA</v>
          </cell>
          <cell r="G3613" t="str">
            <v>MARCOPOLO</v>
          </cell>
          <cell r="H3613" t="str">
            <v>GRAN VIALE</v>
          </cell>
          <cell r="I3613">
            <v>2020</v>
          </cell>
          <cell r="J3613" t="str">
            <v>C</v>
          </cell>
          <cell r="K3613" t="str">
            <v>Lo Blanco</v>
          </cell>
          <cell r="N3613" t="str">
            <v>C</v>
          </cell>
        </row>
        <row r="3614">
          <cell r="B3614" t="str">
            <v>LXWT-96|</v>
          </cell>
          <cell r="C3614" t="str">
            <v>YV3T7U528LA201252</v>
          </cell>
          <cell r="D3614">
            <v>506904</v>
          </cell>
          <cell r="E3614" t="str">
            <v>VOLVO</v>
          </cell>
          <cell r="F3614" t="str">
            <v>B8RLEA</v>
          </cell>
          <cell r="G3614" t="str">
            <v>MARCOPOLO</v>
          </cell>
          <cell r="H3614" t="str">
            <v>GRAN VIALE</v>
          </cell>
          <cell r="I3614">
            <v>2020</v>
          </cell>
          <cell r="J3614" t="str">
            <v>C</v>
          </cell>
          <cell r="K3614" t="str">
            <v>Lo Blanco</v>
          </cell>
          <cell r="N3614" t="str">
            <v>C</v>
          </cell>
        </row>
        <row r="3615">
          <cell r="B3615" t="str">
            <v>LXWT-97|</v>
          </cell>
          <cell r="C3615" t="str">
            <v>YV3T7U523LA201210</v>
          </cell>
          <cell r="D3615">
            <v>507372</v>
          </cell>
          <cell r="E3615" t="str">
            <v>VOLVO</v>
          </cell>
          <cell r="F3615" t="str">
            <v>B8RLEA</v>
          </cell>
          <cell r="G3615" t="str">
            <v>MARCOPOLO</v>
          </cell>
          <cell r="H3615" t="str">
            <v>GRAN VIALE</v>
          </cell>
          <cell r="I3615">
            <v>2020</v>
          </cell>
          <cell r="J3615" t="str">
            <v>C</v>
          </cell>
          <cell r="K3615" t="str">
            <v>Lo Blanco</v>
          </cell>
          <cell r="N3615" t="str">
            <v>C</v>
          </cell>
        </row>
        <row r="3616">
          <cell r="B3616" t="str">
            <v>LXWT-98|</v>
          </cell>
          <cell r="C3616" t="str">
            <v>YV3T7U522LA201182</v>
          </cell>
          <cell r="D3616">
            <v>506843</v>
          </cell>
          <cell r="E3616" t="str">
            <v>VOLVO</v>
          </cell>
          <cell r="F3616" t="str">
            <v>B8RLEA</v>
          </cell>
          <cell r="G3616" t="str">
            <v>MARCOPOLO</v>
          </cell>
          <cell r="H3616" t="str">
            <v>GRAN VIALE</v>
          </cell>
          <cell r="I3616">
            <v>2020</v>
          </cell>
          <cell r="J3616" t="str">
            <v>C</v>
          </cell>
          <cell r="K3616" t="str">
            <v>Lo Blanco</v>
          </cell>
          <cell r="N3616" t="str">
            <v>C</v>
          </cell>
        </row>
        <row r="3617">
          <cell r="B3617" t="str">
            <v>LXWT-99|</v>
          </cell>
          <cell r="C3617" t="str">
            <v>YV3T7U527LA201212</v>
          </cell>
          <cell r="D3617">
            <v>507397</v>
          </cell>
          <cell r="E3617" t="str">
            <v>VOLVO</v>
          </cell>
          <cell r="F3617" t="str">
            <v>B8RLEA</v>
          </cell>
          <cell r="G3617" t="str">
            <v>MARCOPOLO</v>
          </cell>
          <cell r="H3617" t="str">
            <v>GRAN VIALE</v>
          </cell>
          <cell r="I3617">
            <v>2020</v>
          </cell>
          <cell r="J3617" t="str">
            <v>C</v>
          </cell>
          <cell r="K3617" t="str">
            <v>Lo Blanco</v>
          </cell>
          <cell r="N3617" t="str">
            <v>C</v>
          </cell>
        </row>
        <row r="3618">
          <cell r="B3618" t="str">
            <v>LZPG-10|</v>
          </cell>
          <cell r="C3618" t="str">
            <v>YV3T7U521LA201254</v>
          </cell>
          <cell r="D3618">
            <v>507451</v>
          </cell>
          <cell r="E3618" t="str">
            <v>VOLVO</v>
          </cell>
          <cell r="F3618" t="str">
            <v>B8RLEA</v>
          </cell>
          <cell r="G3618" t="str">
            <v>MARCOPOLO</v>
          </cell>
          <cell r="H3618" t="str">
            <v>GRAN VIALE</v>
          </cell>
          <cell r="I3618">
            <v>2020</v>
          </cell>
          <cell r="J3618" t="str">
            <v>C</v>
          </cell>
          <cell r="K3618" t="str">
            <v>Lo Blanco</v>
          </cell>
          <cell r="N3618" t="str">
            <v>C</v>
          </cell>
        </row>
        <row r="3619">
          <cell r="B3619" t="str">
            <v>LZPG-11|</v>
          </cell>
          <cell r="C3619" t="str">
            <v>YV3T7U523LA201255</v>
          </cell>
          <cell r="D3619">
            <v>507423</v>
          </cell>
          <cell r="E3619" t="str">
            <v>VOLVO</v>
          </cell>
          <cell r="F3619" t="str">
            <v>B8RLEA</v>
          </cell>
          <cell r="G3619" t="str">
            <v>MARCOPOLO</v>
          </cell>
          <cell r="H3619" t="str">
            <v>GRAN VIALE</v>
          </cell>
          <cell r="I3619">
            <v>2020</v>
          </cell>
          <cell r="J3619" t="str">
            <v>C</v>
          </cell>
          <cell r="K3619" t="str">
            <v>Lo Blanco</v>
          </cell>
          <cell r="N3619" t="str">
            <v>C</v>
          </cell>
        </row>
        <row r="3620">
          <cell r="B3620" t="str">
            <v>LZPG-12|</v>
          </cell>
          <cell r="C3620" t="str">
            <v>YV3T7U527LA201257</v>
          </cell>
          <cell r="D3620">
            <v>507427</v>
          </cell>
          <cell r="E3620" t="str">
            <v>VOLVO</v>
          </cell>
          <cell r="F3620" t="str">
            <v>B8RLEA</v>
          </cell>
          <cell r="G3620" t="str">
            <v>MARCOPOLO</v>
          </cell>
          <cell r="H3620" t="str">
            <v>GRAN VIALE</v>
          </cell>
          <cell r="I3620">
            <v>2020</v>
          </cell>
          <cell r="J3620" t="str">
            <v>C</v>
          </cell>
          <cell r="K3620" t="str">
            <v>Lo Blanco</v>
          </cell>
          <cell r="N3620" t="str">
            <v>C</v>
          </cell>
        </row>
        <row r="3621">
          <cell r="B3621" t="str">
            <v>LZPG-13|</v>
          </cell>
          <cell r="C3621" t="str">
            <v>YV3T7U520LA198718</v>
          </cell>
          <cell r="D3621">
            <v>499868</v>
          </cell>
          <cell r="E3621" t="str">
            <v>VOLVO</v>
          </cell>
          <cell r="F3621" t="str">
            <v>B8RLEA</v>
          </cell>
          <cell r="G3621" t="str">
            <v>MARCOPOLO</v>
          </cell>
          <cell r="H3621" t="str">
            <v>GRAN VIALE</v>
          </cell>
          <cell r="I3621">
            <v>2020</v>
          </cell>
          <cell r="J3621" t="str">
            <v>C</v>
          </cell>
          <cell r="K3621" t="str">
            <v>Lo Blanco</v>
          </cell>
          <cell r="N3621" t="str">
            <v>C</v>
          </cell>
        </row>
        <row r="3622">
          <cell r="B3622" t="str">
            <v>LZPG-14|</v>
          </cell>
          <cell r="C3622" t="str">
            <v>YV3T7U522LA198719</v>
          </cell>
          <cell r="D3622">
            <v>499801</v>
          </cell>
          <cell r="E3622" t="str">
            <v>VOLVO</v>
          </cell>
          <cell r="F3622" t="str">
            <v>B8RLEA</v>
          </cell>
          <cell r="G3622" t="str">
            <v>MARCOPOLO</v>
          </cell>
          <cell r="H3622" t="str">
            <v>GRAN VIALE</v>
          </cell>
          <cell r="I3622">
            <v>2020</v>
          </cell>
          <cell r="J3622" t="str">
            <v>C</v>
          </cell>
          <cell r="K3622" t="str">
            <v>Lo Blanco</v>
          </cell>
          <cell r="N3622" t="str">
            <v>C</v>
          </cell>
        </row>
        <row r="3623">
          <cell r="B3623" t="str">
            <v>LZPG-15|</v>
          </cell>
          <cell r="C3623" t="str">
            <v>YV3T7U52XLA200989</v>
          </cell>
          <cell r="D3623">
            <v>506525</v>
          </cell>
          <cell r="E3623" t="str">
            <v>VOLVO</v>
          </cell>
          <cell r="F3623" t="str">
            <v>B8RLEA</v>
          </cell>
          <cell r="G3623" t="str">
            <v>MARCOPOLO</v>
          </cell>
          <cell r="H3623" t="str">
            <v>GRAN VIALE</v>
          </cell>
          <cell r="I3623">
            <v>2020</v>
          </cell>
          <cell r="J3623" t="str">
            <v>C</v>
          </cell>
          <cell r="K3623" t="str">
            <v>Recoleta</v>
          </cell>
          <cell r="N3623" t="str">
            <v>C</v>
          </cell>
        </row>
        <row r="3624">
          <cell r="B3624" t="str">
            <v>LZPG-16|</v>
          </cell>
          <cell r="C3624" t="str">
            <v>YV3T7U529LA198717</v>
          </cell>
          <cell r="D3624">
            <v>501057</v>
          </cell>
          <cell r="E3624" t="str">
            <v>VOLVO</v>
          </cell>
          <cell r="F3624" t="str">
            <v>B8RLEA</v>
          </cell>
          <cell r="G3624" t="str">
            <v>MARCOPOLO</v>
          </cell>
          <cell r="H3624" t="str">
            <v>GRAN VIALE</v>
          </cell>
          <cell r="I3624">
            <v>2020</v>
          </cell>
          <cell r="J3624" t="str">
            <v>C</v>
          </cell>
          <cell r="K3624" t="str">
            <v>Recoleta</v>
          </cell>
          <cell r="N3624" t="str">
            <v>C</v>
          </cell>
        </row>
        <row r="3625">
          <cell r="B3625" t="str">
            <v>LZPG-17|</v>
          </cell>
          <cell r="C3625" t="str">
            <v>YV3T7U529LA198720</v>
          </cell>
          <cell r="D3625">
            <v>500912</v>
          </cell>
          <cell r="E3625" t="str">
            <v>VOLVO</v>
          </cell>
          <cell r="F3625" t="str">
            <v>B8RLEA</v>
          </cell>
          <cell r="G3625" t="str">
            <v>MARCOPOLO</v>
          </cell>
          <cell r="H3625" t="str">
            <v>GRAN VIALE</v>
          </cell>
          <cell r="I3625">
            <v>2020</v>
          </cell>
          <cell r="J3625" t="str">
            <v>C</v>
          </cell>
          <cell r="K3625" t="str">
            <v>Lo Blanco</v>
          </cell>
          <cell r="N3625" t="str">
            <v>C</v>
          </cell>
        </row>
        <row r="3626">
          <cell r="B3626" t="str">
            <v>LZPG-18|</v>
          </cell>
          <cell r="C3626" t="str">
            <v>YV3T7U525LA201256</v>
          </cell>
          <cell r="D3626">
            <v>507442</v>
          </cell>
          <cell r="E3626" t="str">
            <v>VOLVO</v>
          </cell>
          <cell r="F3626" t="str">
            <v>B8RLEA</v>
          </cell>
          <cell r="G3626" t="str">
            <v>MARCOPOLO</v>
          </cell>
          <cell r="H3626" t="str">
            <v>GRAN VIALE</v>
          </cell>
          <cell r="I3626">
            <v>2020</v>
          </cell>
          <cell r="J3626" t="str">
            <v>C</v>
          </cell>
          <cell r="K3626" t="str">
            <v>Lo Blanco</v>
          </cell>
          <cell r="N3626" t="str">
            <v>C</v>
          </cell>
        </row>
        <row r="3627">
          <cell r="B3627" t="str">
            <v>LZPG-19|</v>
          </cell>
          <cell r="C3627" t="str">
            <v>YV3T7U528LA200988</v>
          </cell>
          <cell r="D3627">
            <v>506479</v>
          </cell>
          <cell r="E3627" t="str">
            <v>VOLVO</v>
          </cell>
          <cell r="F3627" t="str">
            <v>B8RLEA</v>
          </cell>
          <cell r="G3627" t="str">
            <v>MARCOPOLO</v>
          </cell>
          <cell r="H3627" t="str">
            <v>GRAN VIALE</v>
          </cell>
          <cell r="I3627">
            <v>2020</v>
          </cell>
          <cell r="J3627" t="str">
            <v>C</v>
          </cell>
          <cell r="K3627" t="str">
            <v>Lo Blanco</v>
          </cell>
          <cell r="N3627" t="str">
            <v>C</v>
          </cell>
        </row>
        <row r="3628">
          <cell r="B3628" t="str">
            <v>LZPG-20|</v>
          </cell>
          <cell r="C3628" t="str">
            <v>YV3T7U525LA201032</v>
          </cell>
          <cell r="D3628">
            <v>506651</v>
          </cell>
          <cell r="E3628" t="str">
            <v>VOLVO</v>
          </cell>
          <cell r="F3628" t="str">
            <v>B8RLEA</v>
          </cell>
          <cell r="G3628" t="str">
            <v>MARCOPOLO</v>
          </cell>
          <cell r="H3628" t="str">
            <v>GRAN VIALE</v>
          </cell>
          <cell r="I3628">
            <v>2020</v>
          </cell>
          <cell r="J3628" t="str">
            <v>C</v>
          </cell>
          <cell r="K3628" t="str">
            <v>Lo Blanco</v>
          </cell>
          <cell r="N3628" t="str">
            <v>C</v>
          </cell>
        </row>
        <row r="3629">
          <cell r="B3629" t="str">
            <v>LZPG-21|</v>
          </cell>
          <cell r="C3629" t="str">
            <v>YV3T7U528LA201266</v>
          </cell>
          <cell r="D3629">
            <v>507458</v>
          </cell>
          <cell r="E3629" t="str">
            <v>VOLVO</v>
          </cell>
          <cell r="F3629" t="str">
            <v>B8RLEA</v>
          </cell>
          <cell r="G3629" t="str">
            <v>MARCOPOLO</v>
          </cell>
          <cell r="H3629" t="str">
            <v>GRAN VIALE</v>
          </cell>
          <cell r="I3629">
            <v>2020</v>
          </cell>
          <cell r="J3629" t="str">
            <v>C</v>
          </cell>
          <cell r="K3629" t="str">
            <v>Lo Blanco</v>
          </cell>
          <cell r="N3629" t="str">
            <v>C</v>
          </cell>
        </row>
        <row r="3630">
          <cell r="B3630" t="str">
            <v>LZPG-22|</v>
          </cell>
          <cell r="C3630" t="str">
            <v>YV3T7U523LA201272</v>
          </cell>
          <cell r="D3630">
            <v>507661</v>
          </cell>
          <cell r="E3630" t="str">
            <v>VOLVO</v>
          </cell>
          <cell r="F3630" t="str">
            <v>B8RLEA</v>
          </cell>
          <cell r="G3630" t="str">
            <v>MARCOPOLO</v>
          </cell>
          <cell r="H3630" t="str">
            <v>GRAN VIALE</v>
          </cell>
          <cell r="I3630">
            <v>2020</v>
          </cell>
          <cell r="J3630" t="str">
            <v>C</v>
          </cell>
          <cell r="K3630" t="str">
            <v>Lo Blanco</v>
          </cell>
          <cell r="N3630" t="str">
            <v>C</v>
          </cell>
        </row>
        <row r="3631">
          <cell r="B3631" t="str">
            <v>LZPG-23|</v>
          </cell>
          <cell r="C3631" t="str">
            <v>YV3T7U526LA200990</v>
          </cell>
          <cell r="D3631">
            <v>506530</v>
          </cell>
          <cell r="E3631" t="str">
            <v>VOLVO</v>
          </cell>
          <cell r="F3631" t="str">
            <v>B8RLEA</v>
          </cell>
          <cell r="G3631" t="str">
            <v>MARCOPOLO</v>
          </cell>
          <cell r="H3631" t="str">
            <v>GRAN VIALE</v>
          </cell>
          <cell r="I3631">
            <v>2020</v>
          </cell>
          <cell r="J3631" t="str">
            <v>C</v>
          </cell>
          <cell r="K3631" t="str">
            <v>Recoleta</v>
          </cell>
          <cell r="N3631" t="str">
            <v>C</v>
          </cell>
        </row>
        <row r="3632">
          <cell r="B3632" t="str">
            <v>LZPG-24|</v>
          </cell>
          <cell r="C3632" t="str">
            <v>YV3T7U528LA200991</v>
          </cell>
          <cell r="D3632">
            <v>506543</v>
          </cell>
          <cell r="E3632" t="str">
            <v>VOLVO</v>
          </cell>
          <cell r="F3632" t="str">
            <v>B8RLEA</v>
          </cell>
          <cell r="G3632" t="str">
            <v>MARCOPOLO</v>
          </cell>
          <cell r="H3632" t="str">
            <v>GRAN VIALE</v>
          </cell>
          <cell r="I3632">
            <v>2020</v>
          </cell>
          <cell r="J3632" t="str">
            <v>C</v>
          </cell>
          <cell r="K3632" t="str">
            <v>Lo Blanco</v>
          </cell>
          <cell r="N3632" t="str">
            <v>C</v>
          </cell>
        </row>
        <row r="3633">
          <cell r="B3633" t="str">
            <v>LZPG-25|</v>
          </cell>
          <cell r="C3633" t="str">
            <v>YV3T7U52XLA201267</v>
          </cell>
          <cell r="D3633">
            <v>507419</v>
          </cell>
          <cell r="E3633" t="str">
            <v>VOLVO</v>
          </cell>
          <cell r="F3633" t="str">
            <v>B8RLEA</v>
          </cell>
          <cell r="G3633" t="str">
            <v>MARCOPOLO</v>
          </cell>
          <cell r="H3633" t="str">
            <v>GRAN VIALE</v>
          </cell>
          <cell r="I3633">
            <v>2020</v>
          </cell>
          <cell r="J3633" t="str">
            <v>C</v>
          </cell>
          <cell r="K3633" t="str">
            <v>Lo Blanco</v>
          </cell>
          <cell r="N3633" t="str">
            <v>C</v>
          </cell>
        </row>
        <row r="3634">
          <cell r="B3634" t="str">
            <v>LZPG-26|</v>
          </cell>
          <cell r="C3634" t="str">
            <v>YV3T7U521LA201268</v>
          </cell>
          <cell r="D3634">
            <v>507446</v>
          </cell>
          <cell r="E3634" t="str">
            <v>VOLVO</v>
          </cell>
          <cell r="F3634" t="str">
            <v>B8RLEA</v>
          </cell>
          <cell r="G3634" t="str">
            <v>MARCOPOLO</v>
          </cell>
          <cell r="H3634" t="str">
            <v>GRAN VIALE</v>
          </cell>
          <cell r="I3634">
            <v>2020</v>
          </cell>
          <cell r="J3634" t="str">
            <v>C</v>
          </cell>
          <cell r="K3634" t="str">
            <v>Lo Blanco</v>
          </cell>
          <cell r="N3634" t="str">
            <v>C</v>
          </cell>
        </row>
        <row r="3635">
          <cell r="B3635" t="str">
            <v>LZPG-27|</v>
          </cell>
          <cell r="C3635" t="str">
            <v>YV3T7U520LA200922</v>
          </cell>
          <cell r="D3635">
            <v>506223</v>
          </cell>
          <cell r="E3635" t="str">
            <v>VOLVO</v>
          </cell>
          <cell r="F3635" t="str">
            <v>B8RLEA</v>
          </cell>
          <cell r="G3635" t="str">
            <v>MARCOPOLO</v>
          </cell>
          <cell r="H3635" t="str">
            <v>GRAN VIALE</v>
          </cell>
          <cell r="I3635">
            <v>2020</v>
          </cell>
          <cell r="J3635" t="str">
            <v>C</v>
          </cell>
          <cell r="K3635" t="str">
            <v>Lo Blanco</v>
          </cell>
          <cell r="N3635" t="str">
            <v>C</v>
          </cell>
        </row>
        <row r="3636">
          <cell r="B3636" t="str">
            <v>LZPR-78|</v>
          </cell>
          <cell r="C3636" t="str">
            <v>YV3T7U52XLA201253</v>
          </cell>
          <cell r="D3636">
            <v>507455</v>
          </cell>
          <cell r="E3636" t="str">
            <v>VOLVO</v>
          </cell>
          <cell r="F3636" t="str">
            <v>B8RLEA</v>
          </cell>
          <cell r="G3636" t="str">
            <v>MARCOPOLO</v>
          </cell>
          <cell r="H3636" t="str">
            <v>GRAN VIALE</v>
          </cell>
          <cell r="I3636">
            <v>2020</v>
          </cell>
          <cell r="J3636" t="str">
            <v>C</v>
          </cell>
          <cell r="K3636" t="str">
            <v>Recoleta</v>
          </cell>
          <cell r="N3636" t="str">
            <v>C</v>
          </cell>
        </row>
        <row r="3637">
          <cell r="B3637" t="str">
            <v>LZPR-79|</v>
          </cell>
          <cell r="C3637" t="str">
            <v>YV3T7U521LA201044</v>
          </cell>
          <cell r="D3637">
            <v>506662</v>
          </cell>
          <cell r="E3637" t="str">
            <v>VOLVO</v>
          </cell>
          <cell r="F3637" t="str">
            <v>B8RLEA</v>
          </cell>
          <cell r="G3637" t="str">
            <v>MARCOPOLO</v>
          </cell>
          <cell r="H3637" t="str">
            <v>GRAN VIALE</v>
          </cell>
          <cell r="I3637">
            <v>2020</v>
          </cell>
          <cell r="J3637" t="str">
            <v>C</v>
          </cell>
          <cell r="K3637" t="str">
            <v>Recoleta</v>
          </cell>
          <cell r="N3637" t="str">
            <v>C</v>
          </cell>
        </row>
        <row r="3638">
          <cell r="B3638" t="str">
            <v>LZPR-80|</v>
          </cell>
          <cell r="C3638" t="str">
            <v>YV3T7U528LA201171</v>
          </cell>
          <cell r="D3638">
            <v>507173</v>
          </cell>
          <cell r="E3638" t="str">
            <v>VOLVO</v>
          </cell>
          <cell r="F3638" t="str">
            <v>B8RLEA</v>
          </cell>
          <cell r="G3638" t="str">
            <v>MARCOPOLO</v>
          </cell>
          <cell r="H3638" t="str">
            <v>GRAN VIALE</v>
          </cell>
          <cell r="I3638">
            <v>2020</v>
          </cell>
          <cell r="J3638" t="str">
            <v>C</v>
          </cell>
          <cell r="K3638" t="str">
            <v>Recoleta</v>
          </cell>
          <cell r="N3638" t="str">
            <v>C</v>
          </cell>
        </row>
        <row r="3639">
          <cell r="B3639" t="str">
            <v>LZPR-81|</v>
          </cell>
          <cell r="C3639" t="str">
            <v>YV3T7U526LA201167</v>
          </cell>
          <cell r="D3639">
            <v>507153</v>
          </cell>
          <cell r="E3639" t="str">
            <v>VOLVO</v>
          </cell>
          <cell r="F3639" t="str">
            <v>B8RLEA</v>
          </cell>
          <cell r="G3639" t="str">
            <v>MARCOPOLO</v>
          </cell>
          <cell r="H3639" t="str">
            <v>GRAN VIALE</v>
          </cell>
          <cell r="I3639">
            <v>2020</v>
          </cell>
          <cell r="J3639" t="str">
            <v>C</v>
          </cell>
          <cell r="K3639" t="str">
            <v>Recoleta</v>
          </cell>
          <cell r="N3639" t="str">
            <v>C</v>
          </cell>
        </row>
        <row r="3640">
          <cell r="B3640" t="str">
            <v>LZPR-82|</v>
          </cell>
          <cell r="C3640" t="str">
            <v>YV3T7U528LA201168</v>
          </cell>
          <cell r="D3640">
            <v>507167</v>
          </cell>
          <cell r="E3640" t="str">
            <v>VOLVO</v>
          </cell>
          <cell r="F3640" t="str">
            <v>B8RLEA</v>
          </cell>
          <cell r="G3640" t="str">
            <v>MARCOPOLO</v>
          </cell>
          <cell r="H3640" t="str">
            <v>GRAN VIALE</v>
          </cell>
          <cell r="I3640">
            <v>2020</v>
          </cell>
          <cell r="J3640" t="str">
            <v>C</v>
          </cell>
          <cell r="K3640" t="str">
            <v>Recoleta</v>
          </cell>
          <cell r="N3640" t="str">
            <v>C</v>
          </cell>
        </row>
        <row r="3641">
          <cell r="B3641" t="str">
            <v>LZPR-83|</v>
          </cell>
          <cell r="C3641" t="str">
            <v>YV3T7U525LA201144</v>
          </cell>
          <cell r="D3641">
            <v>507082</v>
          </cell>
          <cell r="E3641" t="str">
            <v>VOLVO</v>
          </cell>
          <cell r="F3641" t="str">
            <v>B8RLEA</v>
          </cell>
          <cell r="G3641" t="str">
            <v>MARCOPOLO</v>
          </cell>
          <cell r="H3641" t="str">
            <v>GRAN VIALE</v>
          </cell>
          <cell r="I3641">
            <v>2020</v>
          </cell>
          <cell r="J3641" t="str">
            <v>C</v>
          </cell>
          <cell r="K3641" t="str">
            <v>Recoleta</v>
          </cell>
          <cell r="N3641" t="str">
            <v>C</v>
          </cell>
        </row>
        <row r="3642">
          <cell r="B3642" t="str">
            <v>LZPR-84|</v>
          </cell>
          <cell r="C3642" t="str">
            <v>YV3T7U520LA201035</v>
          </cell>
          <cell r="D3642">
            <v>506645</v>
          </cell>
          <cell r="E3642" t="str">
            <v>VOLVO</v>
          </cell>
          <cell r="F3642" t="str">
            <v>B8RLEA</v>
          </cell>
          <cell r="G3642" t="str">
            <v>MARCOPOLO</v>
          </cell>
          <cell r="H3642" t="str">
            <v>GRAN VIALE</v>
          </cell>
          <cell r="I3642">
            <v>2020</v>
          </cell>
          <cell r="J3642" t="str">
            <v>C</v>
          </cell>
          <cell r="K3642" t="str">
            <v>Recoleta</v>
          </cell>
          <cell r="N3642" t="str">
            <v>C</v>
          </cell>
        </row>
        <row r="3643">
          <cell r="B3643" t="str">
            <v>LZPR-85|</v>
          </cell>
          <cell r="C3643" t="str">
            <v>YV3T7U527LA201209</v>
          </cell>
          <cell r="D3643">
            <v>507402</v>
          </cell>
          <cell r="E3643" t="str">
            <v>VOLVO</v>
          </cell>
          <cell r="F3643" t="str">
            <v>B8RLEA</v>
          </cell>
          <cell r="G3643" t="str">
            <v>MARCOPOLO</v>
          </cell>
          <cell r="H3643" t="str">
            <v>GRAN VIALE</v>
          </cell>
          <cell r="I3643">
            <v>2020</v>
          </cell>
          <cell r="J3643" t="str">
            <v>C</v>
          </cell>
          <cell r="K3643" t="str">
            <v>Recoleta</v>
          </cell>
          <cell r="N3643" t="str">
            <v>C</v>
          </cell>
        </row>
        <row r="3644">
          <cell r="B3644" t="str">
            <v>LZPR-86|</v>
          </cell>
          <cell r="C3644" t="str">
            <v>YV3T7U52XLA201186</v>
          </cell>
          <cell r="D3644">
            <v>507277</v>
          </cell>
          <cell r="E3644" t="str">
            <v>VOLVO</v>
          </cell>
          <cell r="F3644" t="str">
            <v>B8RLEA</v>
          </cell>
          <cell r="G3644" t="str">
            <v>MARCOPOLO</v>
          </cell>
          <cell r="H3644" t="str">
            <v>GRAN VIALE</v>
          </cell>
          <cell r="I3644">
            <v>2020</v>
          </cell>
          <cell r="J3644" t="str">
            <v>C</v>
          </cell>
          <cell r="K3644" t="str">
            <v>Recoleta</v>
          </cell>
          <cell r="N3644" t="str">
            <v>C</v>
          </cell>
        </row>
        <row r="3645">
          <cell r="B3645" t="str">
            <v>LZPR-87|</v>
          </cell>
          <cell r="C3645" t="str">
            <v>YV3T7U528LA201185</v>
          </cell>
          <cell r="D3645">
            <v>506865</v>
          </cell>
          <cell r="E3645" t="str">
            <v>VOLVO</v>
          </cell>
          <cell r="F3645" t="str">
            <v>B8RLEA</v>
          </cell>
          <cell r="G3645" t="str">
            <v>MARCOPOLO</v>
          </cell>
          <cell r="H3645" t="str">
            <v>GRAN VIALE</v>
          </cell>
          <cell r="I3645">
            <v>2020</v>
          </cell>
          <cell r="J3645" t="str">
            <v>C</v>
          </cell>
          <cell r="K3645" t="str">
            <v>Recoleta</v>
          </cell>
          <cell r="N3645" t="str">
            <v>C</v>
          </cell>
        </row>
        <row r="3646">
          <cell r="B3646" t="str">
            <v>LZPR-88|</v>
          </cell>
          <cell r="C3646" t="str">
            <v>YV3T7U523LA201059</v>
          </cell>
          <cell r="D3646">
            <v>506732</v>
          </cell>
          <cell r="E3646" t="str">
            <v>VOLVO</v>
          </cell>
          <cell r="F3646" t="str">
            <v>B8RLEA</v>
          </cell>
          <cell r="G3646" t="str">
            <v>MARCOPOLO</v>
          </cell>
          <cell r="H3646" t="str">
            <v>GRAN VIALE</v>
          </cell>
          <cell r="I3646">
            <v>2020</v>
          </cell>
          <cell r="J3646" t="str">
            <v>C</v>
          </cell>
          <cell r="K3646" t="str">
            <v>Recoleta</v>
          </cell>
          <cell r="N3646" t="str">
            <v>C</v>
          </cell>
        </row>
        <row r="3647">
          <cell r="B3647" t="str">
            <v>LZPR-89|</v>
          </cell>
          <cell r="C3647" t="str">
            <v>YV3T7U527LA201033</v>
          </cell>
          <cell r="D3647">
            <v>506661</v>
          </cell>
          <cell r="E3647" t="str">
            <v>VOLVO</v>
          </cell>
          <cell r="F3647" t="str">
            <v>B8RLEA</v>
          </cell>
          <cell r="G3647" t="str">
            <v>MARCOPOLO</v>
          </cell>
          <cell r="H3647" t="str">
            <v>GRAN VIALE</v>
          </cell>
          <cell r="I3647">
            <v>2020</v>
          </cell>
          <cell r="J3647" t="str">
            <v>C</v>
          </cell>
          <cell r="K3647" t="str">
            <v>Recoleta</v>
          </cell>
          <cell r="N3647" t="str">
            <v>C</v>
          </cell>
        </row>
        <row r="3648">
          <cell r="B3648" t="str">
            <v>LZPR-90|</v>
          </cell>
          <cell r="C3648" t="str">
            <v>YV3T7U52XLA200992</v>
          </cell>
          <cell r="D3648">
            <v>506598</v>
          </cell>
          <cell r="E3648" t="str">
            <v>VOLVO</v>
          </cell>
          <cell r="F3648" t="str">
            <v>B8RLEA</v>
          </cell>
          <cell r="G3648" t="str">
            <v>MARCOPOLO</v>
          </cell>
          <cell r="H3648" t="str">
            <v>GRAN VIALE</v>
          </cell>
          <cell r="I3648">
            <v>2020</v>
          </cell>
          <cell r="J3648" t="str">
            <v>C</v>
          </cell>
          <cell r="K3648" t="str">
            <v>Recoleta</v>
          </cell>
          <cell r="N3648" t="str">
            <v>C</v>
          </cell>
        </row>
        <row r="3649">
          <cell r="B3649" t="str">
            <v>LZPR-92|</v>
          </cell>
          <cell r="C3649" t="str">
            <v>YV3T7U522LA200971</v>
          </cell>
          <cell r="D3649">
            <v>506305</v>
          </cell>
          <cell r="E3649" t="str">
            <v>VOLVO</v>
          </cell>
          <cell r="F3649" t="str">
            <v>B8RLEA</v>
          </cell>
          <cell r="G3649" t="str">
            <v>MARCOPOLO</v>
          </cell>
          <cell r="H3649" t="str">
            <v>GRAN VIALE</v>
          </cell>
          <cell r="I3649">
            <v>2020</v>
          </cell>
          <cell r="J3649" t="str">
            <v>C</v>
          </cell>
          <cell r="K3649" t="str">
            <v>Recoleta</v>
          </cell>
          <cell r="N3649" t="str">
            <v>C</v>
          </cell>
        </row>
        <row r="3650">
          <cell r="B3650" t="str">
            <v>LZPR-93|</v>
          </cell>
          <cell r="C3650" t="str">
            <v>YV3T7U525LA201046</v>
          </cell>
          <cell r="D3650">
            <v>506647</v>
          </cell>
          <cell r="E3650" t="str">
            <v>VOLVO</v>
          </cell>
          <cell r="F3650" t="str">
            <v>B8RLEA</v>
          </cell>
          <cell r="G3650" t="str">
            <v>MARCOPOLO</v>
          </cell>
          <cell r="H3650" t="str">
            <v>GRAN VIALE</v>
          </cell>
          <cell r="I3650">
            <v>2020</v>
          </cell>
          <cell r="J3650" t="str">
            <v>C</v>
          </cell>
          <cell r="K3650" t="str">
            <v>Recoleta</v>
          </cell>
          <cell r="N3650" t="str">
            <v>C</v>
          </cell>
        </row>
        <row r="3651">
          <cell r="B3651" t="str">
            <v>LZPR-94|</v>
          </cell>
          <cell r="C3651" t="str">
            <v>YV3T7U521LA201156</v>
          </cell>
          <cell r="D3651">
            <v>507078</v>
          </cell>
          <cell r="E3651" t="str">
            <v>VOLVO</v>
          </cell>
          <cell r="F3651" t="str">
            <v>B8RLEA</v>
          </cell>
          <cell r="G3651" t="str">
            <v>MARCOPOLO</v>
          </cell>
          <cell r="H3651" t="str">
            <v>GRAN VIALE</v>
          </cell>
          <cell r="I3651">
            <v>2020</v>
          </cell>
          <cell r="J3651" t="str">
            <v>C</v>
          </cell>
          <cell r="K3651" t="str">
            <v>Recoleta</v>
          </cell>
          <cell r="N3651" t="str">
            <v>C</v>
          </cell>
        </row>
        <row r="3652">
          <cell r="B3652" t="str">
            <v>LZPR-95|</v>
          </cell>
          <cell r="C3652" t="str">
            <v>YV3T7U521LA201058</v>
          </cell>
          <cell r="D3652">
            <v>506749</v>
          </cell>
          <cell r="E3652" t="str">
            <v>VOLVO</v>
          </cell>
          <cell r="F3652" t="str">
            <v>B8RLEA</v>
          </cell>
          <cell r="G3652" t="str">
            <v>MARCOPOLO</v>
          </cell>
          <cell r="H3652" t="str">
            <v>GRAN VIALE</v>
          </cell>
          <cell r="I3652">
            <v>2020</v>
          </cell>
          <cell r="J3652" t="str">
            <v>C</v>
          </cell>
          <cell r="K3652" t="str">
            <v>Recoleta</v>
          </cell>
          <cell r="N3652" t="str">
            <v>C</v>
          </cell>
        </row>
        <row r="3653">
          <cell r="B3653" t="str">
            <v>LZPR-96|</v>
          </cell>
          <cell r="C3653" t="str">
            <v>YV3T7U528LA201073</v>
          </cell>
          <cell r="D3653">
            <v>507040</v>
          </cell>
          <cell r="E3653" t="str">
            <v>VOLVO</v>
          </cell>
          <cell r="F3653" t="str">
            <v>B8RLEA</v>
          </cell>
          <cell r="G3653" t="str">
            <v>MARCOPOLO</v>
          </cell>
          <cell r="H3653" t="str">
            <v>GRAN VIALE</v>
          </cell>
          <cell r="I3653">
            <v>2020</v>
          </cell>
          <cell r="J3653" t="str">
            <v>C</v>
          </cell>
          <cell r="K3653" t="str">
            <v>Recoleta</v>
          </cell>
          <cell r="N3653" t="str">
            <v>C</v>
          </cell>
        </row>
        <row r="3654">
          <cell r="B3654" t="str">
            <v>LZPR-97|</v>
          </cell>
          <cell r="C3654" t="str">
            <v>YV3T7U524LA201071</v>
          </cell>
          <cell r="D3654">
            <v>506999</v>
          </cell>
          <cell r="E3654" t="str">
            <v>VOLVO</v>
          </cell>
          <cell r="F3654" t="str">
            <v>B8RLEA</v>
          </cell>
          <cell r="G3654" t="str">
            <v>MARCOPOLO</v>
          </cell>
          <cell r="H3654" t="str">
            <v>GRAN VIALE</v>
          </cell>
          <cell r="I3654">
            <v>2020</v>
          </cell>
          <cell r="J3654" t="str">
            <v>C</v>
          </cell>
          <cell r="K3654" t="str">
            <v>Recoleta</v>
          </cell>
          <cell r="N3654" t="str">
            <v>C</v>
          </cell>
        </row>
        <row r="3655">
          <cell r="B3655" t="str">
            <v>LZPR-98|</v>
          </cell>
          <cell r="C3655" t="str">
            <v>YV3T7U529LA201048</v>
          </cell>
          <cell r="D3655">
            <v>506686</v>
          </cell>
          <cell r="E3655" t="str">
            <v>VOLVO</v>
          </cell>
          <cell r="F3655" t="str">
            <v>B8RLEA</v>
          </cell>
          <cell r="G3655" t="str">
            <v>MARCOPOLO</v>
          </cell>
          <cell r="H3655" t="str">
            <v>GRAN VIALE</v>
          </cell>
          <cell r="I3655">
            <v>2020</v>
          </cell>
          <cell r="J3655" t="str">
            <v>C</v>
          </cell>
          <cell r="K3655" t="str">
            <v>Recoleta</v>
          </cell>
          <cell r="N3655" t="str">
            <v>C</v>
          </cell>
        </row>
        <row r="3656">
          <cell r="B3656" t="str">
            <v>LZPR-99|</v>
          </cell>
          <cell r="C3656" t="str">
            <v>YV3T7U52XLA201155</v>
          </cell>
          <cell r="D3656">
            <v>507117</v>
          </cell>
          <cell r="E3656" t="str">
            <v>VOLVO</v>
          </cell>
          <cell r="F3656" t="str">
            <v>B8RLEA</v>
          </cell>
          <cell r="G3656" t="str">
            <v>MARCOPOLO</v>
          </cell>
          <cell r="H3656" t="str">
            <v>GRAN VIALE</v>
          </cell>
          <cell r="I3656">
            <v>2020</v>
          </cell>
          <cell r="J3656" t="str">
            <v>C</v>
          </cell>
          <cell r="K3656" t="str">
            <v>Recoleta</v>
          </cell>
          <cell r="N3656" t="str">
            <v>C</v>
          </cell>
        </row>
        <row r="3657">
          <cell r="B3657" t="str">
            <v>LZPS-10|</v>
          </cell>
          <cell r="C3657" t="str">
            <v>YV3T7U527LA201100</v>
          </cell>
          <cell r="D3657">
            <v>507055</v>
          </cell>
          <cell r="E3657" t="str">
            <v>VOLVO</v>
          </cell>
          <cell r="F3657" t="str">
            <v>B8RLEA</v>
          </cell>
          <cell r="G3657" t="str">
            <v>MARCOPOLO</v>
          </cell>
          <cell r="H3657" t="str">
            <v>GRAN VIALE</v>
          </cell>
          <cell r="I3657">
            <v>2020</v>
          </cell>
          <cell r="J3657" t="str">
            <v>C</v>
          </cell>
          <cell r="K3657" t="str">
            <v>Recoleta</v>
          </cell>
          <cell r="N3657" t="str">
            <v>C</v>
          </cell>
        </row>
        <row r="3658">
          <cell r="B3658" t="str">
            <v>LZPS-11|</v>
          </cell>
          <cell r="C3658" t="str">
            <v>YV3T7U521LA201142</v>
          </cell>
          <cell r="D3658">
            <v>507102</v>
          </cell>
          <cell r="E3658" t="str">
            <v>VOLVO</v>
          </cell>
          <cell r="F3658" t="str">
            <v>B8RLEA</v>
          </cell>
          <cell r="G3658" t="str">
            <v>MARCOPOLO</v>
          </cell>
          <cell r="H3658" t="str">
            <v>GRAN VIALE</v>
          </cell>
          <cell r="I3658">
            <v>2020</v>
          </cell>
          <cell r="J3658" t="str">
            <v>C</v>
          </cell>
          <cell r="K3658" t="str">
            <v>Recoleta</v>
          </cell>
          <cell r="N3658" t="str">
            <v>C</v>
          </cell>
        </row>
        <row r="3659">
          <cell r="B3659" t="str">
            <v>LZPS-12|</v>
          </cell>
          <cell r="C3659" t="str">
            <v>YV3T7U52XLA201141</v>
          </cell>
          <cell r="D3659">
            <v>507075</v>
          </cell>
          <cell r="E3659" t="str">
            <v>VOLVO</v>
          </cell>
          <cell r="F3659" t="str">
            <v>B8RLEA</v>
          </cell>
          <cell r="G3659" t="str">
            <v>MARCOPOLO</v>
          </cell>
          <cell r="H3659" t="str">
            <v>GRAN VIALE</v>
          </cell>
          <cell r="I3659">
            <v>2020</v>
          </cell>
          <cell r="J3659" t="str">
            <v>C</v>
          </cell>
          <cell r="K3659" t="str">
            <v>Recoleta</v>
          </cell>
          <cell r="N3659" t="str">
            <v>C</v>
          </cell>
        </row>
        <row r="3660">
          <cell r="B3660" t="str">
            <v>LZPS-13|</v>
          </cell>
          <cell r="C3660" t="str">
            <v>YV3T7U526LA201153</v>
          </cell>
          <cell r="D3660">
            <v>507106</v>
          </cell>
          <cell r="E3660" t="str">
            <v>VOLVO</v>
          </cell>
          <cell r="F3660" t="str">
            <v>B8RLEA</v>
          </cell>
          <cell r="G3660" t="str">
            <v>MARCOPOLO</v>
          </cell>
          <cell r="H3660" t="str">
            <v>GRAN VIALE</v>
          </cell>
          <cell r="I3660">
            <v>2020</v>
          </cell>
          <cell r="J3660" t="str">
            <v>C</v>
          </cell>
          <cell r="K3660" t="str">
            <v>Recoleta</v>
          </cell>
          <cell r="N3660" t="str">
            <v>C</v>
          </cell>
        </row>
        <row r="3661">
          <cell r="B3661" t="str">
            <v>LZPS-14|</v>
          </cell>
          <cell r="C3661" t="str">
            <v>YV3T7U529LA201034</v>
          </cell>
          <cell r="D3661">
            <v>506644</v>
          </cell>
          <cell r="E3661" t="str">
            <v>VOLVO</v>
          </cell>
          <cell r="F3661" t="str">
            <v>B8RLEA</v>
          </cell>
          <cell r="G3661" t="str">
            <v>MARCOPOLO</v>
          </cell>
          <cell r="H3661" t="str">
            <v>GRAN VIALE</v>
          </cell>
          <cell r="I3661">
            <v>2020</v>
          </cell>
          <cell r="J3661" t="str">
            <v>C</v>
          </cell>
          <cell r="K3661" t="str">
            <v>Recoleta</v>
          </cell>
          <cell r="N3661" t="str">
            <v>C</v>
          </cell>
        </row>
        <row r="3662">
          <cell r="B3662" t="str">
            <v>LZPS-15|</v>
          </cell>
          <cell r="C3662" t="str">
            <v>YV3T7U523LA201045</v>
          </cell>
          <cell r="D3662">
            <v>506671</v>
          </cell>
          <cell r="E3662" t="str">
            <v>VOLVO</v>
          </cell>
          <cell r="F3662" t="str">
            <v>B8RLEA</v>
          </cell>
          <cell r="G3662" t="str">
            <v>MARCOPOLO</v>
          </cell>
          <cell r="H3662" t="str">
            <v>GRAN VIALE</v>
          </cell>
          <cell r="I3662">
            <v>2020</v>
          </cell>
          <cell r="J3662" t="str">
            <v>C</v>
          </cell>
          <cell r="K3662" t="str">
            <v>Recoleta</v>
          </cell>
          <cell r="N3662" t="str">
            <v>C</v>
          </cell>
        </row>
        <row r="3663">
          <cell r="B3663" t="str">
            <v>LZPS-16|</v>
          </cell>
          <cell r="C3663" t="str">
            <v>YV3T7U52XLA201074</v>
          </cell>
          <cell r="D3663">
            <v>507033</v>
          </cell>
          <cell r="E3663" t="str">
            <v>VOLVO</v>
          </cell>
          <cell r="F3663" t="str">
            <v>B8RLEA</v>
          </cell>
          <cell r="G3663" t="str">
            <v>MARCOPOLO</v>
          </cell>
          <cell r="H3663" t="str">
            <v>GRAN VIALE</v>
          </cell>
          <cell r="I3663">
            <v>2020</v>
          </cell>
          <cell r="J3663" t="str">
            <v>C</v>
          </cell>
          <cell r="K3663" t="str">
            <v>Recoleta</v>
          </cell>
          <cell r="N3663" t="str">
            <v>C</v>
          </cell>
        </row>
        <row r="3664">
          <cell r="B3664" t="str">
            <v>LZPS-17|</v>
          </cell>
          <cell r="C3664" t="str">
            <v>YV3T7U526LA201072</v>
          </cell>
          <cell r="D3664">
            <v>506988</v>
          </cell>
          <cell r="E3664" t="str">
            <v>VOLVO</v>
          </cell>
          <cell r="F3664" t="str">
            <v>B8RLEA</v>
          </cell>
          <cell r="G3664" t="str">
            <v>MARCOPOLO</v>
          </cell>
          <cell r="H3664" t="str">
            <v>GRAN VIALE</v>
          </cell>
          <cell r="I3664">
            <v>2020</v>
          </cell>
          <cell r="J3664" t="str">
            <v>C</v>
          </cell>
          <cell r="K3664" t="str">
            <v>Recoleta</v>
          </cell>
          <cell r="N3664" t="str">
            <v>C</v>
          </cell>
        </row>
        <row r="3665">
          <cell r="B3665" t="str">
            <v>LZPS-18|</v>
          </cell>
          <cell r="C3665" t="str">
            <v>YV3T7U520LA201181</v>
          </cell>
          <cell r="D3665">
            <v>506841</v>
          </cell>
          <cell r="E3665" t="str">
            <v>VOLVO</v>
          </cell>
          <cell r="F3665" t="str">
            <v>B8RLEA</v>
          </cell>
          <cell r="G3665" t="str">
            <v>MARCOPOLO</v>
          </cell>
          <cell r="H3665" t="str">
            <v>GRAN VIALE</v>
          </cell>
          <cell r="I3665">
            <v>2020</v>
          </cell>
          <cell r="J3665" t="str">
            <v>C</v>
          </cell>
          <cell r="K3665" t="str">
            <v>Santa Rosa</v>
          </cell>
          <cell r="N3665" t="str">
            <v>C</v>
          </cell>
        </row>
        <row r="3666">
          <cell r="B3666" t="str">
            <v>LZPS-19|</v>
          </cell>
          <cell r="C3666" t="str">
            <v>YV3T7U522LA201098</v>
          </cell>
          <cell r="D3666">
            <v>507058</v>
          </cell>
          <cell r="E3666" t="str">
            <v>VOLVO</v>
          </cell>
          <cell r="F3666" t="str">
            <v>B8RLEA</v>
          </cell>
          <cell r="G3666" t="str">
            <v>MARCOPOLO</v>
          </cell>
          <cell r="H3666" t="str">
            <v>GRAN VIALE</v>
          </cell>
          <cell r="I3666">
            <v>2020</v>
          </cell>
          <cell r="J3666" t="str">
            <v>C</v>
          </cell>
          <cell r="K3666" t="str">
            <v>Recoleta</v>
          </cell>
          <cell r="N3666" t="str">
            <v>C</v>
          </cell>
        </row>
        <row r="3667">
          <cell r="B3667" t="str">
            <v>LZPS-20|</v>
          </cell>
          <cell r="C3667" t="str">
            <v>YV3T7U52XLA201060</v>
          </cell>
          <cell r="D3667">
            <v>506731</v>
          </cell>
          <cell r="E3667" t="str">
            <v>VOLVO</v>
          </cell>
          <cell r="F3667" t="str">
            <v>B8RLEA</v>
          </cell>
          <cell r="G3667" t="str">
            <v>MARCOPOLO</v>
          </cell>
          <cell r="H3667" t="str">
            <v>GRAN VIALE</v>
          </cell>
          <cell r="I3667">
            <v>2020</v>
          </cell>
          <cell r="J3667" t="str">
            <v>C</v>
          </cell>
          <cell r="K3667" t="str">
            <v>Santa Rosa</v>
          </cell>
          <cell r="N3667" t="str">
            <v>C</v>
          </cell>
        </row>
        <row r="3668">
          <cell r="B3668" t="str">
            <v>LZPS-21|</v>
          </cell>
          <cell r="C3668" t="str">
            <v>YV3T7U523LA201143</v>
          </cell>
          <cell r="D3668">
            <v>507121</v>
          </cell>
          <cell r="E3668" t="str">
            <v>VOLVO</v>
          </cell>
          <cell r="F3668" t="str">
            <v>B8RLEA</v>
          </cell>
          <cell r="G3668" t="str">
            <v>MARCOPOLO</v>
          </cell>
          <cell r="H3668" t="str">
            <v>GRAN VIALE</v>
          </cell>
          <cell r="I3668">
            <v>2020</v>
          </cell>
          <cell r="J3668" t="str">
            <v>C</v>
          </cell>
          <cell r="K3668" t="str">
            <v>Recoleta</v>
          </cell>
          <cell r="N3668" t="str">
            <v>C</v>
          </cell>
        </row>
        <row r="3669">
          <cell r="B3669" t="str">
            <v>LZPS-22|</v>
          </cell>
          <cell r="C3669" t="str">
            <v>YV3T7U52XLA201169</v>
          </cell>
          <cell r="D3669">
            <v>507144</v>
          </cell>
          <cell r="E3669" t="str">
            <v>VOLVO</v>
          </cell>
          <cell r="F3669" t="str">
            <v>B8RLEA</v>
          </cell>
          <cell r="G3669" t="str">
            <v>MARCOPOLO</v>
          </cell>
          <cell r="H3669" t="str">
            <v>GRAN VIALE</v>
          </cell>
          <cell r="I3669">
            <v>2020</v>
          </cell>
          <cell r="J3669" t="str">
            <v>C</v>
          </cell>
          <cell r="K3669" t="str">
            <v>Santa Rosa</v>
          </cell>
          <cell r="N3669" t="str">
            <v>C</v>
          </cell>
        </row>
        <row r="3670">
          <cell r="B3670" t="str">
            <v>LZPS-23|</v>
          </cell>
          <cell r="C3670" t="str">
            <v>YV3T7U524LA201099</v>
          </cell>
          <cell r="D3670">
            <v>507047</v>
          </cell>
          <cell r="E3670" t="str">
            <v>VOLVO</v>
          </cell>
          <cell r="F3670" t="str">
            <v>B8RLEA</v>
          </cell>
          <cell r="G3670" t="str">
            <v>MARCOPOLO</v>
          </cell>
          <cell r="H3670" t="str">
            <v>GRAN VIALE</v>
          </cell>
          <cell r="I3670">
            <v>2020</v>
          </cell>
          <cell r="J3670" t="str">
            <v>C</v>
          </cell>
          <cell r="K3670" t="str">
            <v>Recoleta</v>
          </cell>
          <cell r="N3670" t="str">
            <v>C</v>
          </cell>
        </row>
        <row r="3671">
          <cell r="B3671" t="str">
            <v>LZPS-24|</v>
          </cell>
          <cell r="C3671" t="str">
            <v>YV3T7U52XLA201270</v>
          </cell>
          <cell r="D3671">
            <v>507680</v>
          </cell>
          <cell r="E3671" t="str">
            <v>VOLVO</v>
          </cell>
          <cell r="F3671" t="str">
            <v>B8RLEA</v>
          </cell>
          <cell r="G3671" t="str">
            <v>MARCOPOLO</v>
          </cell>
          <cell r="H3671" t="str">
            <v>GRAN VIALE</v>
          </cell>
          <cell r="I3671">
            <v>2020</v>
          </cell>
          <cell r="J3671" t="str">
            <v>C</v>
          </cell>
          <cell r="K3671" t="str">
            <v>Santa Rosa</v>
          </cell>
          <cell r="N3671" t="str">
            <v>C</v>
          </cell>
        </row>
        <row r="3672">
          <cell r="B3672" t="str">
            <v>LZPS-25|</v>
          </cell>
          <cell r="C3672" t="str">
            <v>YV3T7U521LA201061</v>
          </cell>
          <cell r="D3672">
            <v>506696</v>
          </cell>
          <cell r="E3672" t="str">
            <v>VOLVO</v>
          </cell>
          <cell r="F3672" t="str">
            <v>B8RLEA</v>
          </cell>
          <cell r="G3672" t="str">
            <v>MARCOPOLO</v>
          </cell>
          <cell r="H3672" t="str">
            <v>GRAN VIALE</v>
          </cell>
          <cell r="I3672">
            <v>2020</v>
          </cell>
          <cell r="J3672" t="str">
            <v>C</v>
          </cell>
          <cell r="K3672" t="str">
            <v>Recoleta</v>
          </cell>
          <cell r="N3672" t="str">
            <v>C</v>
          </cell>
        </row>
        <row r="3673">
          <cell r="B3673" t="str">
            <v>LZPT-38|</v>
          </cell>
          <cell r="C3673" t="str">
            <v>YV3T7U526LA201184</v>
          </cell>
          <cell r="D3673">
            <v>506823</v>
          </cell>
          <cell r="E3673" t="str">
            <v>VOLVO</v>
          </cell>
          <cell r="F3673" t="str">
            <v>B8RLEA</v>
          </cell>
          <cell r="G3673" t="str">
            <v>MARCOPOLO</v>
          </cell>
          <cell r="H3673" t="str">
            <v>GRAN VIALE</v>
          </cell>
          <cell r="I3673">
            <v>2020</v>
          </cell>
          <cell r="J3673" t="str">
            <v>C</v>
          </cell>
          <cell r="K3673" t="str">
            <v>Santa Rosa</v>
          </cell>
          <cell r="N3673" t="str">
            <v>C</v>
          </cell>
        </row>
        <row r="3674">
          <cell r="B3674" t="str">
            <v>LZPT-39|</v>
          </cell>
          <cell r="C3674" t="str">
            <v>YV3T7U524LA201183</v>
          </cell>
          <cell r="D3674">
            <v>506866</v>
          </cell>
          <cell r="E3674" t="str">
            <v>VOLVO</v>
          </cell>
          <cell r="F3674" t="str">
            <v>B8RLEA</v>
          </cell>
          <cell r="G3674" t="str">
            <v>MARCOPOLO</v>
          </cell>
          <cell r="H3674" t="str">
            <v>GRAN VIALE</v>
          </cell>
          <cell r="I3674">
            <v>2020</v>
          </cell>
          <cell r="J3674" t="str">
            <v>C</v>
          </cell>
          <cell r="K3674" t="str">
            <v>Santa Rosa</v>
          </cell>
          <cell r="N3674" t="str">
            <v>C</v>
          </cell>
        </row>
        <row r="3675">
          <cell r="B3675" t="str">
            <v>LZPT-40|</v>
          </cell>
          <cell r="C3675" t="str">
            <v>YV3T7U523LA201157</v>
          </cell>
          <cell r="D3675">
            <v>507134</v>
          </cell>
          <cell r="E3675" t="str">
            <v>VOLVO</v>
          </cell>
          <cell r="F3675" t="str">
            <v>B8RLEA</v>
          </cell>
          <cell r="G3675" t="str">
            <v>MARCOPOLO</v>
          </cell>
          <cell r="H3675" t="str">
            <v>GRAN VIALE</v>
          </cell>
          <cell r="I3675">
            <v>2020</v>
          </cell>
          <cell r="J3675" t="str">
            <v>C</v>
          </cell>
          <cell r="K3675" t="str">
            <v>Santa Rosa</v>
          </cell>
          <cell r="N3675" t="str">
            <v>C</v>
          </cell>
        </row>
        <row r="3676">
          <cell r="B3676" t="str">
            <v>LZPT-41|</v>
          </cell>
          <cell r="C3676" t="str">
            <v>YV3T7U526LA201170</v>
          </cell>
          <cell r="D3676">
            <v>507160</v>
          </cell>
          <cell r="E3676" t="str">
            <v>VOLVO</v>
          </cell>
          <cell r="F3676" t="str">
            <v>B8RLEA</v>
          </cell>
          <cell r="G3676" t="str">
            <v>MARCOPOLO</v>
          </cell>
          <cell r="H3676" t="str">
            <v>GRAN VIALE</v>
          </cell>
          <cell r="I3676">
            <v>2020</v>
          </cell>
          <cell r="J3676" t="str">
            <v>C</v>
          </cell>
          <cell r="K3676" t="str">
            <v>Santa Rosa</v>
          </cell>
          <cell r="N3676" t="str">
            <v>C</v>
          </cell>
        </row>
        <row r="3677">
          <cell r="B3677" t="str">
            <v>LZPT-42|</v>
          </cell>
          <cell r="C3677" t="str">
            <v>YV3T7U528LA201140</v>
          </cell>
          <cell r="D3677">
            <v>507108</v>
          </cell>
          <cell r="E3677" t="str">
            <v>VOLVO</v>
          </cell>
          <cell r="F3677" t="str">
            <v>B8RLEA</v>
          </cell>
          <cell r="G3677" t="str">
            <v>MARCOPOLO</v>
          </cell>
          <cell r="H3677" t="str">
            <v>GRAN VIALE</v>
          </cell>
          <cell r="I3677">
            <v>2020</v>
          </cell>
          <cell r="J3677" t="str">
            <v>C</v>
          </cell>
          <cell r="K3677" t="str">
            <v>Santa Rosa</v>
          </cell>
          <cell r="N3677" t="str">
            <v>C</v>
          </cell>
        </row>
        <row r="3678">
          <cell r="B3678" t="str">
            <v>LZPT-43|</v>
          </cell>
          <cell r="C3678" t="str">
            <v>YV3T7U521LA201075</v>
          </cell>
          <cell r="D3678">
            <v>507057</v>
          </cell>
          <cell r="E3678" t="str">
            <v>VOLVO</v>
          </cell>
          <cell r="F3678" t="str">
            <v>B8RLEA</v>
          </cell>
          <cell r="G3678" t="str">
            <v>MARCOPOLO</v>
          </cell>
          <cell r="H3678" t="str">
            <v>GRAN VIALE</v>
          </cell>
          <cell r="I3678">
            <v>2020</v>
          </cell>
          <cell r="J3678" t="str">
            <v>C</v>
          </cell>
          <cell r="K3678" t="str">
            <v>Recoleta</v>
          </cell>
          <cell r="N3678" t="str">
            <v>C</v>
          </cell>
        </row>
        <row r="3679">
          <cell r="B3679" t="str">
            <v>LZPT-44|</v>
          </cell>
          <cell r="C3679" t="str">
            <v>YV3T7U529LA201101</v>
          </cell>
          <cell r="D3679">
            <v>507062</v>
          </cell>
          <cell r="E3679" t="str">
            <v>VOLVO</v>
          </cell>
          <cell r="F3679" t="str">
            <v>B8RLEA</v>
          </cell>
          <cell r="G3679" t="str">
            <v>MARCOPOLO</v>
          </cell>
          <cell r="H3679" t="str">
            <v>GRAN VIALE</v>
          </cell>
          <cell r="I3679">
            <v>2020</v>
          </cell>
          <cell r="J3679" t="str">
            <v>C</v>
          </cell>
          <cell r="K3679" t="str">
            <v>Recoleta</v>
          </cell>
          <cell r="N3679" t="str">
            <v>C</v>
          </cell>
        </row>
        <row r="3680">
          <cell r="B3680" t="str">
            <v>LZPT-45|</v>
          </cell>
          <cell r="C3680" t="str">
            <v>YV3T7U526LA201850</v>
          </cell>
          <cell r="D3680">
            <v>507971</v>
          </cell>
          <cell r="E3680" t="str">
            <v>VOLVO</v>
          </cell>
          <cell r="F3680" t="str">
            <v>B8RLEA</v>
          </cell>
          <cell r="G3680" t="str">
            <v>MARCOPOLO</v>
          </cell>
          <cell r="H3680" t="str">
            <v>GRAN VIALE</v>
          </cell>
          <cell r="I3680">
            <v>2020</v>
          </cell>
          <cell r="J3680" t="str">
            <v>C</v>
          </cell>
          <cell r="K3680" t="str">
            <v>Santa Rosa</v>
          </cell>
          <cell r="N3680" t="str">
            <v>C</v>
          </cell>
        </row>
        <row r="3681">
          <cell r="B3681" t="str">
            <v>LZPT-46|</v>
          </cell>
          <cell r="C3681" t="str">
            <v>YV3T7U527LA201713</v>
          </cell>
          <cell r="D3681">
            <v>508481</v>
          </cell>
          <cell r="E3681" t="str">
            <v>VOLVO</v>
          </cell>
          <cell r="F3681" t="str">
            <v>B8RLEA</v>
          </cell>
          <cell r="G3681" t="str">
            <v>MARCOPOLO</v>
          </cell>
          <cell r="H3681" t="str">
            <v>GRAN VIALE</v>
          </cell>
          <cell r="I3681">
            <v>2020</v>
          </cell>
          <cell r="J3681" t="str">
            <v>C</v>
          </cell>
          <cell r="K3681" t="str">
            <v>Recoleta</v>
          </cell>
          <cell r="N3681" t="str">
            <v>C</v>
          </cell>
        </row>
        <row r="3682">
          <cell r="B3682" t="str">
            <v>LZPT-47|</v>
          </cell>
          <cell r="C3682" t="str">
            <v>YV3T7U524LA201801</v>
          </cell>
          <cell r="D3682">
            <v>509156</v>
          </cell>
          <cell r="E3682" t="str">
            <v>VOLVO</v>
          </cell>
          <cell r="F3682" t="str">
            <v>B8RLEA</v>
          </cell>
          <cell r="G3682" t="str">
            <v>MARCOPOLO</v>
          </cell>
          <cell r="H3682" t="str">
            <v>GRAN VIALE</v>
          </cell>
          <cell r="I3682">
            <v>2020</v>
          </cell>
          <cell r="J3682" t="str">
            <v>C</v>
          </cell>
          <cell r="K3682" t="str">
            <v>Recoleta</v>
          </cell>
          <cell r="N3682" t="str">
            <v>C</v>
          </cell>
        </row>
        <row r="3683">
          <cell r="B3683" t="str">
            <v>LZPT-48|</v>
          </cell>
          <cell r="C3683" t="str">
            <v>YV3T7U529LA201812</v>
          </cell>
          <cell r="D3683">
            <v>509224</v>
          </cell>
          <cell r="E3683" t="str">
            <v>VOLVO</v>
          </cell>
          <cell r="F3683" t="str">
            <v>B8RLEA</v>
          </cell>
          <cell r="G3683" t="str">
            <v>MARCOPOLO</v>
          </cell>
          <cell r="H3683" t="str">
            <v>GRAN VIALE</v>
          </cell>
          <cell r="I3683">
            <v>2020</v>
          </cell>
          <cell r="J3683" t="str">
            <v>C</v>
          </cell>
          <cell r="K3683" t="str">
            <v>Recoleta</v>
          </cell>
          <cell r="N3683" t="str">
            <v>C</v>
          </cell>
        </row>
        <row r="3684">
          <cell r="B3684" t="str">
            <v>LZPT-49|</v>
          </cell>
          <cell r="C3684" t="str">
            <v>YV3T7U520LA201813</v>
          </cell>
          <cell r="D3684">
            <v>509231</v>
          </cell>
          <cell r="E3684" t="str">
            <v>VOLVO</v>
          </cell>
          <cell r="F3684" t="str">
            <v>B8RLEA</v>
          </cell>
          <cell r="G3684" t="str">
            <v>MARCOPOLO</v>
          </cell>
          <cell r="H3684" t="str">
            <v>GRAN VIALE</v>
          </cell>
          <cell r="I3684">
            <v>2020</v>
          </cell>
          <cell r="J3684" t="str">
            <v>C</v>
          </cell>
          <cell r="K3684" t="str">
            <v>Santa Rosa</v>
          </cell>
          <cell r="N3684" t="str">
            <v>C</v>
          </cell>
        </row>
        <row r="3685">
          <cell r="B3685" t="str">
            <v>LZPT-50|</v>
          </cell>
          <cell r="C3685" t="str">
            <v>YV3T7U522LA201814</v>
          </cell>
          <cell r="D3685">
            <v>509235</v>
          </cell>
          <cell r="E3685" t="str">
            <v>VOLVO</v>
          </cell>
          <cell r="F3685" t="str">
            <v>B8RLEA</v>
          </cell>
          <cell r="G3685" t="str">
            <v>MARCOPOLO</v>
          </cell>
          <cell r="H3685" t="str">
            <v>GRAN VIALE</v>
          </cell>
          <cell r="I3685">
            <v>2020</v>
          </cell>
          <cell r="J3685" t="str">
            <v>C</v>
          </cell>
          <cell r="K3685" t="str">
            <v>Recoleta</v>
          </cell>
          <cell r="N3685" t="str">
            <v>C</v>
          </cell>
        </row>
        <row r="3686">
          <cell r="B3686" t="str">
            <v>LZPT-51|</v>
          </cell>
          <cell r="C3686" t="str">
            <v>YV3T7U52XLA201849</v>
          </cell>
          <cell r="D3686">
            <v>507983</v>
          </cell>
          <cell r="E3686" t="str">
            <v>VOLVO</v>
          </cell>
          <cell r="F3686" t="str">
            <v>B8RLEA</v>
          </cell>
          <cell r="G3686" t="str">
            <v>MARCOPOLO</v>
          </cell>
          <cell r="H3686" t="str">
            <v>GRAN VIALE</v>
          </cell>
          <cell r="I3686">
            <v>2020</v>
          </cell>
          <cell r="J3686" t="str">
            <v>C</v>
          </cell>
          <cell r="K3686" t="str">
            <v>Santa Rosa</v>
          </cell>
          <cell r="N3686" t="str">
            <v>C</v>
          </cell>
        </row>
        <row r="3687">
          <cell r="B3687" t="str">
            <v>LZPT-52|</v>
          </cell>
          <cell r="C3687" t="str">
            <v>YV3T7U527LA201811</v>
          </cell>
          <cell r="D3687">
            <v>509204</v>
          </cell>
          <cell r="E3687" t="str">
            <v>VOLVO</v>
          </cell>
          <cell r="F3687" t="str">
            <v>B8RLEA</v>
          </cell>
          <cell r="G3687" t="str">
            <v>MARCOPOLO</v>
          </cell>
          <cell r="H3687" t="str">
            <v>GRAN VIALE</v>
          </cell>
          <cell r="I3687">
            <v>2020</v>
          </cell>
          <cell r="J3687" t="str">
            <v>C</v>
          </cell>
          <cell r="K3687" t="str">
            <v>Recoleta</v>
          </cell>
          <cell r="N3687" t="str">
            <v>C</v>
          </cell>
        </row>
        <row r="3688">
          <cell r="B3688" t="str">
            <v>LZPT-53|</v>
          </cell>
          <cell r="C3688" t="str">
            <v>YV3T7U526LA201475</v>
          </cell>
          <cell r="D3688">
            <v>507876</v>
          </cell>
          <cell r="E3688" t="str">
            <v>VOLVO</v>
          </cell>
          <cell r="F3688" t="str">
            <v>B8RLEA</v>
          </cell>
          <cell r="G3688" t="str">
            <v>MARCOPOLO</v>
          </cell>
          <cell r="H3688" t="str">
            <v>GRAN VIALE</v>
          </cell>
          <cell r="I3688">
            <v>2020</v>
          </cell>
          <cell r="J3688" t="str">
            <v>C</v>
          </cell>
          <cell r="K3688" t="str">
            <v>Santa Rosa</v>
          </cell>
          <cell r="N3688" t="str">
            <v>C</v>
          </cell>
        </row>
        <row r="3689">
          <cell r="B3689" t="str">
            <v>LZPT-54|</v>
          </cell>
          <cell r="C3689" t="str">
            <v>YV3T7U525LA201404</v>
          </cell>
          <cell r="D3689">
            <v>507532</v>
          </cell>
          <cell r="E3689" t="str">
            <v>VOLVO</v>
          </cell>
          <cell r="F3689" t="str">
            <v>B8RLEA</v>
          </cell>
          <cell r="G3689" t="str">
            <v>MARCOPOLO</v>
          </cell>
          <cell r="H3689" t="str">
            <v>GRAN VIALE</v>
          </cell>
          <cell r="I3689">
            <v>2020</v>
          </cell>
          <cell r="J3689" t="str">
            <v>C</v>
          </cell>
          <cell r="K3689" t="str">
            <v>Santa Rosa</v>
          </cell>
          <cell r="N3689" t="str">
            <v>C</v>
          </cell>
        </row>
        <row r="3690">
          <cell r="B3690" t="str">
            <v>LZPT-55|</v>
          </cell>
          <cell r="C3690" t="str">
            <v>YV3T7U524LA201460</v>
          </cell>
          <cell r="D3690">
            <v>508062</v>
          </cell>
          <cell r="E3690" t="str">
            <v>VOLVO</v>
          </cell>
          <cell r="F3690" t="str">
            <v>B8RLEA</v>
          </cell>
          <cell r="G3690" t="str">
            <v>MARCOPOLO</v>
          </cell>
          <cell r="H3690" t="str">
            <v>GRAN VIALE</v>
          </cell>
          <cell r="I3690">
            <v>2020</v>
          </cell>
          <cell r="J3690" t="str">
            <v>C</v>
          </cell>
          <cell r="K3690" t="str">
            <v>Santa Rosa</v>
          </cell>
          <cell r="N3690" t="str">
            <v>C</v>
          </cell>
        </row>
        <row r="3691">
          <cell r="B3691" t="str">
            <v>LZPT-56|</v>
          </cell>
          <cell r="C3691" t="str">
            <v>YV3T7U526LA201346</v>
          </cell>
          <cell r="D3691">
            <v>507705</v>
          </cell>
          <cell r="E3691" t="str">
            <v>VOLVO</v>
          </cell>
          <cell r="F3691" t="str">
            <v>B8RLEA</v>
          </cell>
          <cell r="G3691" t="str">
            <v>MARCOPOLO</v>
          </cell>
          <cell r="H3691" t="str">
            <v>GRAN VIALE</v>
          </cell>
          <cell r="I3691">
            <v>2020</v>
          </cell>
          <cell r="J3691" t="str">
            <v>C</v>
          </cell>
          <cell r="K3691" t="str">
            <v>Santa Rosa</v>
          </cell>
          <cell r="N3691" t="str">
            <v>C</v>
          </cell>
        </row>
        <row r="3692">
          <cell r="B3692" t="str">
            <v>LZPT-57|</v>
          </cell>
          <cell r="C3692" t="str">
            <v>YV3T7U520LA201388</v>
          </cell>
          <cell r="D3692">
            <v>507636</v>
          </cell>
          <cell r="E3692" t="str">
            <v>VOLVO</v>
          </cell>
          <cell r="F3692" t="str">
            <v>B8RLEA</v>
          </cell>
          <cell r="G3692" t="str">
            <v>MARCOPOLO</v>
          </cell>
          <cell r="H3692" t="str">
            <v>GRAN VIALE</v>
          </cell>
          <cell r="I3692">
            <v>2020</v>
          </cell>
          <cell r="J3692" t="str">
            <v>C</v>
          </cell>
          <cell r="K3692" t="str">
            <v>Santa Rosa</v>
          </cell>
          <cell r="N3692" t="str">
            <v>C</v>
          </cell>
        </row>
        <row r="3693">
          <cell r="B3693" t="str">
            <v>LZPT-58|</v>
          </cell>
          <cell r="C3693" t="str">
            <v>YV3T7U528LA201459</v>
          </cell>
          <cell r="D3693">
            <v>508054</v>
          </cell>
          <cell r="E3693" t="str">
            <v>VOLVO</v>
          </cell>
          <cell r="F3693" t="str">
            <v>B8RLEA</v>
          </cell>
          <cell r="G3693" t="str">
            <v>MARCOPOLO</v>
          </cell>
          <cell r="H3693" t="str">
            <v>GRAN VIALE</v>
          </cell>
          <cell r="I3693">
            <v>2020</v>
          </cell>
          <cell r="J3693" t="str">
            <v>C</v>
          </cell>
          <cell r="K3693" t="str">
            <v>Santa Rosa</v>
          </cell>
          <cell r="N3693" t="str">
            <v>C</v>
          </cell>
        </row>
        <row r="3694">
          <cell r="B3694" t="str">
            <v>LZPT-59|</v>
          </cell>
          <cell r="C3694" t="str">
            <v>YV3T7U522LA201456</v>
          </cell>
          <cell r="D3694">
            <v>508070</v>
          </cell>
          <cell r="E3694" t="str">
            <v>VOLVO</v>
          </cell>
          <cell r="F3694" t="str">
            <v>B8RLEA</v>
          </cell>
          <cell r="G3694" t="str">
            <v>MARCOPOLO</v>
          </cell>
          <cell r="H3694" t="str">
            <v>GRAN VIALE</v>
          </cell>
          <cell r="I3694">
            <v>2020</v>
          </cell>
          <cell r="J3694" t="str">
            <v>C</v>
          </cell>
          <cell r="K3694" t="str">
            <v>Santa Rosa</v>
          </cell>
          <cell r="N3694" t="str">
            <v>C</v>
          </cell>
        </row>
        <row r="3695">
          <cell r="B3695" t="str">
            <v>LZPT-60|</v>
          </cell>
          <cell r="C3695" t="str">
            <v>YV3T7U522LA201408</v>
          </cell>
          <cell r="D3695">
            <v>507800</v>
          </cell>
          <cell r="E3695" t="str">
            <v>VOLVO</v>
          </cell>
          <cell r="F3695" t="str">
            <v>B8RLEA</v>
          </cell>
          <cell r="G3695" t="str">
            <v>MARCOPOLO</v>
          </cell>
          <cell r="H3695" t="str">
            <v>GRAN VIALE</v>
          </cell>
          <cell r="I3695">
            <v>2020</v>
          </cell>
          <cell r="J3695" t="str">
            <v>C</v>
          </cell>
          <cell r="K3695" t="str">
            <v>Santa Rosa</v>
          </cell>
          <cell r="N3695" t="str">
            <v>C</v>
          </cell>
        </row>
        <row r="3696">
          <cell r="B3696" t="str">
            <v>LZPT-61|</v>
          </cell>
          <cell r="C3696" t="str">
            <v>YV3T7U520LA201472</v>
          </cell>
          <cell r="D3696">
            <v>508092</v>
          </cell>
          <cell r="E3696" t="str">
            <v>VOLVO</v>
          </cell>
          <cell r="F3696" t="str">
            <v>B8RLEA</v>
          </cell>
          <cell r="G3696" t="str">
            <v>MARCOPOLO</v>
          </cell>
          <cell r="H3696" t="str">
            <v>GRAN VIALE</v>
          </cell>
          <cell r="I3696">
            <v>2020</v>
          </cell>
          <cell r="J3696" t="str">
            <v>C</v>
          </cell>
          <cell r="K3696" t="str">
            <v>Santa Rosa</v>
          </cell>
          <cell r="N3696" t="str">
            <v>C</v>
          </cell>
        </row>
        <row r="3697">
          <cell r="B3697" t="str">
            <v>LZPT-62|</v>
          </cell>
          <cell r="C3697" t="str">
            <v>YV3T7U524LA201474</v>
          </cell>
          <cell r="D3697">
            <v>507827</v>
          </cell>
          <cell r="E3697" t="str">
            <v>VOLVO</v>
          </cell>
          <cell r="F3697" t="str">
            <v>B8RLEA</v>
          </cell>
          <cell r="G3697" t="str">
            <v>MARCOPOLO</v>
          </cell>
          <cell r="H3697" t="str">
            <v>GRAN VIALE</v>
          </cell>
          <cell r="I3697">
            <v>2020</v>
          </cell>
          <cell r="J3697" t="str">
            <v>C</v>
          </cell>
          <cell r="K3697" t="str">
            <v>Santa Rosa</v>
          </cell>
          <cell r="N3697" t="str">
            <v>C</v>
          </cell>
        </row>
        <row r="3698">
          <cell r="B3698" t="str">
            <v>LZPT-63|</v>
          </cell>
          <cell r="C3698" t="str">
            <v>YV3T7U526LA201458</v>
          </cell>
          <cell r="D3698">
            <v>508067</v>
          </cell>
          <cell r="E3698" t="str">
            <v>VOLVO</v>
          </cell>
          <cell r="F3698" t="str">
            <v>B8RLEA</v>
          </cell>
          <cell r="G3698" t="str">
            <v>MARCOPOLO</v>
          </cell>
          <cell r="H3698" t="str">
            <v>GRAN VIALE</v>
          </cell>
          <cell r="I3698">
            <v>2020</v>
          </cell>
          <cell r="J3698" t="str">
            <v>C</v>
          </cell>
          <cell r="K3698" t="str">
            <v>Santa Rosa</v>
          </cell>
          <cell r="N3698" t="str">
            <v>C</v>
          </cell>
        </row>
        <row r="3699">
          <cell r="B3699" t="str">
            <v>LZPT-64|</v>
          </cell>
          <cell r="C3699" t="str">
            <v>YV3T7U522LA201473</v>
          </cell>
          <cell r="D3699">
            <v>507830</v>
          </cell>
          <cell r="E3699" t="str">
            <v>VOLVO</v>
          </cell>
          <cell r="F3699" t="str">
            <v>B8RLEA</v>
          </cell>
          <cell r="G3699" t="str">
            <v>MARCOPOLO</v>
          </cell>
          <cell r="H3699" t="str">
            <v>GRAN VIALE</v>
          </cell>
          <cell r="I3699">
            <v>2020</v>
          </cell>
          <cell r="J3699" t="str">
            <v>C</v>
          </cell>
          <cell r="K3699" t="str">
            <v>Santa Rosa</v>
          </cell>
          <cell r="N3699" t="str">
            <v>C</v>
          </cell>
        </row>
        <row r="3700">
          <cell r="B3700" t="str">
            <v>LZPT-65|</v>
          </cell>
          <cell r="C3700" t="str">
            <v>YV3T7U521LA201495</v>
          </cell>
          <cell r="D3700">
            <v>507813</v>
          </cell>
          <cell r="E3700" t="str">
            <v>VOLVO</v>
          </cell>
          <cell r="F3700" t="str">
            <v>B8RLEA</v>
          </cell>
          <cell r="G3700" t="str">
            <v>MARCOPOLO</v>
          </cell>
          <cell r="H3700" t="str">
            <v>GRAN VIALE</v>
          </cell>
          <cell r="I3700">
            <v>2020</v>
          </cell>
          <cell r="J3700" t="str">
            <v>C</v>
          </cell>
          <cell r="K3700" t="str">
            <v>Santa Rosa</v>
          </cell>
          <cell r="N3700" t="str">
            <v>C</v>
          </cell>
        </row>
        <row r="3701">
          <cell r="B3701" t="str">
            <v>LZPT-66|</v>
          </cell>
          <cell r="C3701" t="str">
            <v>YV3T7U525LA201497</v>
          </cell>
          <cell r="D3701">
            <v>507862</v>
          </cell>
          <cell r="E3701" t="str">
            <v>VOLVO</v>
          </cell>
          <cell r="F3701" t="str">
            <v>B8RLEA</v>
          </cell>
          <cell r="G3701" t="str">
            <v>MARCOPOLO</v>
          </cell>
          <cell r="H3701" t="str">
            <v>GRAN VIALE</v>
          </cell>
          <cell r="I3701">
            <v>2020</v>
          </cell>
          <cell r="J3701" t="str">
            <v>C</v>
          </cell>
          <cell r="K3701" t="str">
            <v>Santa Rosa</v>
          </cell>
          <cell r="N3701" t="str">
            <v>C</v>
          </cell>
        </row>
        <row r="3702">
          <cell r="B3702" t="str">
            <v>LZPT-67|</v>
          </cell>
          <cell r="C3702" t="str">
            <v>YV3T7U52XLA201320</v>
          </cell>
          <cell r="D3702">
            <v>507688</v>
          </cell>
          <cell r="E3702" t="str">
            <v>VOLVO</v>
          </cell>
          <cell r="F3702" t="str">
            <v>B8RLEA</v>
          </cell>
          <cell r="G3702" t="str">
            <v>MARCOPOLO</v>
          </cell>
          <cell r="H3702" t="str">
            <v>GRAN VIALE</v>
          </cell>
          <cell r="I3702">
            <v>2020</v>
          </cell>
          <cell r="J3702" t="str">
            <v>C</v>
          </cell>
          <cell r="K3702" t="str">
            <v>Santa Rosa</v>
          </cell>
          <cell r="N3702" t="str">
            <v>C</v>
          </cell>
        </row>
        <row r="3703">
          <cell r="B3703" t="str">
            <v>LZPT-69|</v>
          </cell>
          <cell r="C3703" t="str">
            <v>YV3T7U521LA201402</v>
          </cell>
          <cell r="D3703">
            <v>507514</v>
          </cell>
          <cell r="E3703" t="str">
            <v>VOLVO</v>
          </cell>
          <cell r="F3703" t="str">
            <v>B8RLEA</v>
          </cell>
          <cell r="G3703" t="str">
            <v>MARCOPOLO</v>
          </cell>
          <cell r="H3703" t="str">
            <v>GRAN VIALE</v>
          </cell>
          <cell r="I3703">
            <v>2020</v>
          </cell>
          <cell r="J3703" t="str">
            <v>C</v>
          </cell>
          <cell r="K3703" t="str">
            <v>Santa Rosa</v>
          </cell>
          <cell r="N3703" t="str">
            <v>C</v>
          </cell>
        </row>
        <row r="3704">
          <cell r="B3704" t="str">
            <v>LZPT-70|</v>
          </cell>
          <cell r="C3704" t="str">
            <v>YV3T7U526LA201461</v>
          </cell>
          <cell r="D3704">
            <v>508059</v>
          </cell>
          <cell r="E3704" t="str">
            <v>VOLVO</v>
          </cell>
          <cell r="F3704" t="str">
            <v>B8RLEA</v>
          </cell>
          <cell r="G3704" t="str">
            <v>MARCOPOLO</v>
          </cell>
          <cell r="H3704" t="str">
            <v>GRAN VIALE</v>
          </cell>
          <cell r="I3704">
            <v>2020</v>
          </cell>
          <cell r="J3704" t="str">
            <v>C</v>
          </cell>
          <cell r="K3704" t="str">
            <v>Santa Rosa</v>
          </cell>
          <cell r="N3704" t="str">
            <v>C</v>
          </cell>
        </row>
        <row r="3705">
          <cell r="B3705" t="str">
            <v>LZPT-71|</v>
          </cell>
          <cell r="C3705" t="str">
            <v>YV3T7U522LA201392</v>
          </cell>
          <cell r="D3705">
            <v>507493</v>
          </cell>
          <cell r="E3705" t="str">
            <v>VOLVO</v>
          </cell>
          <cell r="F3705" t="str">
            <v>B8RLEA</v>
          </cell>
          <cell r="G3705" t="str">
            <v>MARCOPOLO</v>
          </cell>
          <cell r="H3705" t="str">
            <v>GRAN VIALE</v>
          </cell>
          <cell r="I3705">
            <v>2020</v>
          </cell>
          <cell r="J3705" t="str">
            <v>C</v>
          </cell>
          <cell r="K3705" t="str">
            <v>Santa Rosa</v>
          </cell>
          <cell r="N3705" t="str">
            <v>C</v>
          </cell>
        </row>
        <row r="3706">
          <cell r="B3706" t="str">
            <v>LZPT-72|</v>
          </cell>
          <cell r="C3706" t="str">
            <v>YV3T7U524LA201457</v>
          </cell>
          <cell r="D3706">
            <v>508050</v>
          </cell>
          <cell r="E3706" t="str">
            <v>VOLVO</v>
          </cell>
          <cell r="F3706" t="str">
            <v>B8RLEA</v>
          </cell>
          <cell r="G3706" t="str">
            <v>MARCOPOLO</v>
          </cell>
          <cell r="H3706" t="str">
            <v>GRAN VIALE</v>
          </cell>
          <cell r="I3706">
            <v>2020</v>
          </cell>
          <cell r="J3706" t="str">
            <v>C</v>
          </cell>
          <cell r="K3706" t="str">
            <v>Santa Rosa</v>
          </cell>
          <cell r="N3706" t="str">
            <v>C</v>
          </cell>
        </row>
        <row r="3707">
          <cell r="B3707" t="str">
            <v>LZPT-73|</v>
          </cell>
          <cell r="C3707" t="str">
            <v>YV3T7U522LA201389</v>
          </cell>
          <cell r="D3707">
            <v>507531</v>
          </cell>
          <cell r="E3707" t="str">
            <v>VOLVO</v>
          </cell>
          <cell r="F3707" t="str">
            <v>B8RLEA</v>
          </cell>
          <cell r="G3707" t="str">
            <v>MARCOPOLO</v>
          </cell>
          <cell r="H3707" t="str">
            <v>GRAN VIALE</v>
          </cell>
          <cell r="I3707">
            <v>2020</v>
          </cell>
          <cell r="J3707" t="str">
            <v>C</v>
          </cell>
          <cell r="K3707" t="str">
            <v>Santa Rosa</v>
          </cell>
          <cell r="N3707" t="str">
            <v>C</v>
          </cell>
        </row>
        <row r="3708">
          <cell r="B3708" t="str">
            <v>LZPT-74|</v>
          </cell>
          <cell r="C3708" t="str">
            <v>YV3T7U524LA201345</v>
          </cell>
          <cell r="D3708">
            <v>507748</v>
          </cell>
          <cell r="E3708" t="str">
            <v>VOLVO</v>
          </cell>
          <cell r="F3708" t="str">
            <v>B8RLEA</v>
          </cell>
          <cell r="G3708" t="str">
            <v>MARCOPOLO</v>
          </cell>
          <cell r="H3708" t="str">
            <v>GRAN VIALE</v>
          </cell>
          <cell r="I3708">
            <v>2020</v>
          </cell>
          <cell r="J3708" t="str">
            <v>C</v>
          </cell>
          <cell r="K3708" t="str">
            <v>Santa Rosa</v>
          </cell>
          <cell r="N3708" t="str">
            <v>C</v>
          </cell>
        </row>
        <row r="3709">
          <cell r="B3709" t="str">
            <v>LZPT-75|</v>
          </cell>
          <cell r="C3709" t="str">
            <v>YV3T7U529LA201471</v>
          </cell>
          <cell r="D3709">
            <v>508084</v>
          </cell>
          <cell r="E3709" t="str">
            <v>VOLVO</v>
          </cell>
          <cell r="F3709" t="str">
            <v>B8RLEA</v>
          </cell>
          <cell r="G3709" t="str">
            <v>MARCOPOLO</v>
          </cell>
          <cell r="H3709" t="str">
            <v>GRAN VIALE</v>
          </cell>
          <cell r="I3709">
            <v>2020</v>
          </cell>
          <cell r="J3709" t="str">
            <v>C</v>
          </cell>
          <cell r="K3709" t="str">
            <v>Santa Rosa</v>
          </cell>
          <cell r="N3709" t="str">
            <v>C</v>
          </cell>
        </row>
        <row r="3710">
          <cell r="B3710" t="str">
            <v>LZPT-76|</v>
          </cell>
          <cell r="C3710" t="str">
            <v>YV3T7U529LA201406</v>
          </cell>
          <cell r="D3710">
            <v>507795</v>
          </cell>
          <cell r="E3710" t="str">
            <v>VOLVO</v>
          </cell>
          <cell r="F3710" t="str">
            <v>B8RLEA</v>
          </cell>
          <cell r="G3710" t="str">
            <v>MARCOPOLO</v>
          </cell>
          <cell r="H3710" t="str">
            <v>GRAN VIALE</v>
          </cell>
          <cell r="I3710">
            <v>2020</v>
          </cell>
          <cell r="J3710" t="str">
            <v>C</v>
          </cell>
          <cell r="K3710" t="str">
            <v>Santa Rosa</v>
          </cell>
          <cell r="N3710" t="str">
            <v>C</v>
          </cell>
        </row>
        <row r="3711">
          <cell r="B3711" t="str">
            <v>LZPT-77|</v>
          </cell>
          <cell r="C3711" t="str">
            <v>YV3T7U524LA201393</v>
          </cell>
          <cell r="D3711">
            <v>507522</v>
          </cell>
          <cell r="E3711" t="str">
            <v>VOLVO</v>
          </cell>
          <cell r="F3711" t="str">
            <v>B8RLEA</v>
          </cell>
          <cell r="G3711" t="str">
            <v>MARCOPOLO</v>
          </cell>
          <cell r="H3711" t="str">
            <v>GRAN VIALE</v>
          </cell>
          <cell r="I3711">
            <v>2020</v>
          </cell>
          <cell r="J3711" t="str">
            <v>C</v>
          </cell>
          <cell r="K3711" t="str">
            <v>Santa Rosa</v>
          </cell>
          <cell r="N3711" t="str">
            <v>C</v>
          </cell>
        </row>
        <row r="3712">
          <cell r="B3712" t="str">
            <v>LZPV-98|</v>
          </cell>
          <cell r="C3712" t="str">
            <v>YV3T7U527LA201047</v>
          </cell>
          <cell r="D3712">
            <v>506628</v>
          </cell>
          <cell r="E3712" t="str">
            <v>VOLVO</v>
          </cell>
          <cell r="F3712" t="str">
            <v>B8RLEA</v>
          </cell>
          <cell r="G3712" t="str">
            <v>MARCOPOLO</v>
          </cell>
          <cell r="H3712" t="str">
            <v>GRAN VIALE</v>
          </cell>
          <cell r="I3712">
            <v>2020</v>
          </cell>
          <cell r="J3712" t="str">
            <v>C</v>
          </cell>
          <cell r="K3712" t="str">
            <v>Recoleta</v>
          </cell>
          <cell r="N3712" t="str">
            <v>C</v>
          </cell>
        </row>
        <row r="3713">
          <cell r="B3713" t="str">
            <v>LZPV-99|</v>
          </cell>
          <cell r="C3713" t="str">
            <v>YV3T7U528LA201347</v>
          </cell>
          <cell r="D3713">
            <v>507710</v>
          </cell>
          <cell r="E3713" t="str">
            <v>VOLVO</v>
          </cell>
          <cell r="F3713" t="str">
            <v>B8RLEA</v>
          </cell>
          <cell r="G3713" t="str">
            <v>MARCOPOLO</v>
          </cell>
          <cell r="H3713" t="str">
            <v>GRAN VIALE</v>
          </cell>
          <cell r="I3713">
            <v>2020</v>
          </cell>
          <cell r="J3713" t="str">
            <v>C</v>
          </cell>
          <cell r="K3713" t="str">
            <v>Santa Rosa</v>
          </cell>
          <cell r="N3713" t="str">
            <v>C</v>
          </cell>
        </row>
        <row r="3714">
          <cell r="B3714" t="str">
            <v>LZPW-10|</v>
          </cell>
          <cell r="C3714" t="str">
            <v>YV3T7U529LA201390</v>
          </cell>
          <cell r="D3714">
            <v>507489</v>
          </cell>
          <cell r="E3714" t="str">
            <v>VOLVO</v>
          </cell>
          <cell r="F3714" t="str">
            <v>B8RLEA</v>
          </cell>
          <cell r="G3714" t="str">
            <v>MARCOPOLO</v>
          </cell>
          <cell r="H3714" t="str">
            <v>GRAN VIALE</v>
          </cell>
          <cell r="I3714">
            <v>2020</v>
          </cell>
          <cell r="J3714" t="str">
            <v>C</v>
          </cell>
          <cell r="K3714" t="str">
            <v>Santa Rosa</v>
          </cell>
          <cell r="N3714" t="str">
            <v>C</v>
          </cell>
        </row>
        <row r="3715">
          <cell r="B3715" t="str">
            <v>LZPW-11|</v>
          </cell>
          <cell r="C3715" t="str">
            <v>YV3T7U520LA201407</v>
          </cell>
          <cell r="D3715">
            <v>507762</v>
          </cell>
          <cell r="E3715" t="str">
            <v>VOLVO</v>
          </cell>
          <cell r="F3715" t="str">
            <v>B8RLEA</v>
          </cell>
          <cell r="G3715" t="str">
            <v>MARCOPOLO</v>
          </cell>
          <cell r="H3715" t="str">
            <v>GRAN VIALE</v>
          </cell>
          <cell r="I3715">
            <v>2020</v>
          </cell>
          <cell r="J3715" t="str">
            <v>C</v>
          </cell>
          <cell r="K3715" t="str">
            <v>Santa Rosa</v>
          </cell>
          <cell r="N3715" t="str">
            <v>C</v>
          </cell>
        </row>
        <row r="3716">
          <cell r="B3716" t="str">
            <v>LZPW-12|</v>
          </cell>
          <cell r="C3716" t="str">
            <v>YV3T7U523LA201496</v>
          </cell>
          <cell r="D3716">
            <v>507817</v>
          </cell>
          <cell r="E3716" t="str">
            <v>VOLVO</v>
          </cell>
          <cell r="F3716" t="str">
            <v>B8RLEA</v>
          </cell>
          <cell r="G3716" t="str">
            <v>MARCOPOLO</v>
          </cell>
          <cell r="H3716" t="str">
            <v>GRAN VIALE</v>
          </cell>
          <cell r="I3716">
            <v>2020</v>
          </cell>
          <cell r="J3716" t="str">
            <v>C</v>
          </cell>
          <cell r="K3716" t="str">
            <v>Santa Rosa</v>
          </cell>
          <cell r="N3716" t="str">
            <v>C</v>
          </cell>
        </row>
        <row r="3717">
          <cell r="B3717" t="str">
            <v>LZPW-13|</v>
          </cell>
          <cell r="C3717" t="str">
            <v>YV3T7U526LA201816</v>
          </cell>
          <cell r="D3717">
            <v>509236</v>
          </cell>
          <cell r="E3717" t="str">
            <v>VOLVO</v>
          </cell>
          <cell r="F3717" t="str">
            <v>B8RLEA</v>
          </cell>
          <cell r="G3717" t="str">
            <v>MARCOPOLO</v>
          </cell>
          <cell r="H3717" t="str">
            <v>GRAN VIALE</v>
          </cell>
          <cell r="I3717">
            <v>2020</v>
          </cell>
          <cell r="J3717" t="str">
            <v>C</v>
          </cell>
          <cell r="K3717" t="str">
            <v>Santa Rosa</v>
          </cell>
          <cell r="N3717" t="str">
            <v>C</v>
          </cell>
        </row>
        <row r="3718">
          <cell r="B3718" t="str">
            <v>LZPW-14|</v>
          </cell>
          <cell r="C3718" t="str">
            <v>YV3T7U528LA201154</v>
          </cell>
          <cell r="D3718">
            <v>507070</v>
          </cell>
          <cell r="E3718" t="str">
            <v>VOLVO</v>
          </cell>
          <cell r="F3718" t="str">
            <v>B8RLEA</v>
          </cell>
          <cell r="G3718" t="str">
            <v>MARCOPOLO</v>
          </cell>
          <cell r="H3718" t="str">
            <v>GRAN VIALE</v>
          </cell>
          <cell r="I3718">
            <v>2020</v>
          </cell>
          <cell r="J3718" t="str">
            <v>C</v>
          </cell>
          <cell r="K3718" t="str">
            <v>Recoleta</v>
          </cell>
          <cell r="N3718" t="str">
            <v>C</v>
          </cell>
        </row>
        <row r="3719">
          <cell r="B3719" t="str">
            <v>LZPW-15|</v>
          </cell>
          <cell r="C3719" t="str">
            <v>YV3T7U521LA201318</v>
          </cell>
          <cell r="D3719">
            <v>507658</v>
          </cell>
          <cell r="E3719" t="str">
            <v>VOLVO</v>
          </cell>
          <cell r="F3719" t="str">
            <v>B8RLEA</v>
          </cell>
          <cell r="G3719" t="str">
            <v>MARCOPOLO</v>
          </cell>
          <cell r="H3719" t="str">
            <v>GRAN VIALE</v>
          </cell>
          <cell r="I3719">
            <v>2020</v>
          </cell>
          <cell r="J3719" t="str">
            <v>C</v>
          </cell>
          <cell r="K3719" t="str">
            <v>Santa Rosa</v>
          </cell>
          <cell r="N3719" t="str">
            <v>C</v>
          </cell>
        </row>
        <row r="3720">
          <cell r="B3720" t="str">
            <v>LZPW-16|</v>
          </cell>
          <cell r="C3720" t="str">
            <v>YV3T7U523LA201319</v>
          </cell>
          <cell r="D3720">
            <v>507679</v>
          </cell>
          <cell r="E3720" t="str">
            <v>VOLVO</v>
          </cell>
          <cell r="F3720" t="str">
            <v>B8RLEA</v>
          </cell>
          <cell r="G3720" t="str">
            <v>MARCOPOLO</v>
          </cell>
          <cell r="H3720" t="str">
            <v>GRAN VIALE</v>
          </cell>
          <cell r="I3720">
            <v>2020</v>
          </cell>
          <cell r="J3720" t="str">
            <v>C</v>
          </cell>
          <cell r="K3720" t="str">
            <v>Santa Rosa</v>
          </cell>
          <cell r="N3720" t="str">
            <v>C</v>
          </cell>
        </row>
        <row r="3721">
          <cell r="B3721" t="str">
            <v>LZPW-17|</v>
          </cell>
          <cell r="C3721" t="str">
            <v>YV3T7U521LA201321</v>
          </cell>
          <cell r="D3721">
            <v>507655</v>
          </cell>
          <cell r="E3721" t="str">
            <v>VOLVO</v>
          </cell>
          <cell r="F3721" t="str">
            <v>B8RLEA</v>
          </cell>
          <cell r="G3721" t="str">
            <v>MARCOPOLO</v>
          </cell>
          <cell r="H3721" t="str">
            <v>GRAN VIALE</v>
          </cell>
          <cell r="I3721">
            <v>2020</v>
          </cell>
          <cell r="J3721" t="str">
            <v>C</v>
          </cell>
          <cell r="K3721" t="str">
            <v>Santa Rosa</v>
          </cell>
          <cell r="N3721" t="str">
            <v>C</v>
          </cell>
        </row>
        <row r="3722">
          <cell r="B3722" t="str">
            <v>LZPW-18|</v>
          </cell>
          <cell r="C3722" t="str">
            <v>YV3T7U52XLA201348</v>
          </cell>
          <cell r="D3722">
            <v>507719</v>
          </cell>
          <cell r="E3722" t="str">
            <v>VOLVO</v>
          </cell>
          <cell r="F3722" t="str">
            <v>B8RLEA</v>
          </cell>
          <cell r="G3722" t="str">
            <v>MARCOPOLO</v>
          </cell>
          <cell r="H3722" t="str">
            <v>GRAN VIALE</v>
          </cell>
          <cell r="I3722">
            <v>2020</v>
          </cell>
          <cell r="J3722" t="str">
            <v>C</v>
          </cell>
          <cell r="K3722" t="str">
            <v>Santa Rosa</v>
          </cell>
          <cell r="N3722" t="str">
            <v>C</v>
          </cell>
        </row>
        <row r="3723">
          <cell r="B3723" t="str">
            <v>LZPW-19|</v>
          </cell>
          <cell r="C3723" t="str">
            <v>YV3T7U527LA201405</v>
          </cell>
          <cell r="D3723">
            <v>507775</v>
          </cell>
          <cell r="E3723" t="str">
            <v>VOLVO</v>
          </cell>
          <cell r="F3723" t="str">
            <v>B8RLEA</v>
          </cell>
          <cell r="G3723" t="str">
            <v>MARCOPOLO</v>
          </cell>
          <cell r="H3723" t="str">
            <v>GRAN VIALE</v>
          </cell>
          <cell r="I3723">
            <v>2020</v>
          </cell>
          <cell r="J3723" t="str">
            <v>C</v>
          </cell>
          <cell r="K3723" t="str">
            <v>Santa Rosa</v>
          </cell>
          <cell r="N3723" t="str">
            <v>C</v>
          </cell>
        </row>
        <row r="3724">
          <cell r="B3724" t="str">
            <v>LZPW-20|</v>
          </cell>
          <cell r="C3724" t="str">
            <v>YV3T7U521LA198727</v>
          </cell>
          <cell r="D3724">
            <v>508214</v>
          </cell>
          <cell r="E3724" t="str">
            <v>VOLVO</v>
          </cell>
          <cell r="F3724" t="str">
            <v>B8RLEA</v>
          </cell>
          <cell r="G3724" t="str">
            <v>MARCOPOLO</v>
          </cell>
          <cell r="H3724" t="str">
            <v>GRAN VIALE</v>
          </cell>
          <cell r="I3724">
            <v>2020</v>
          </cell>
          <cell r="J3724" t="str">
            <v>C</v>
          </cell>
          <cell r="K3724" t="str">
            <v>Santa Rosa</v>
          </cell>
          <cell r="N3724" t="str">
            <v>C</v>
          </cell>
        </row>
        <row r="3725">
          <cell r="B3725" t="str">
            <v>LZPW-21|</v>
          </cell>
          <cell r="C3725" t="str">
            <v>YV3T7U528LA201669</v>
          </cell>
          <cell r="D3725">
            <v>508621</v>
          </cell>
          <cell r="E3725" t="str">
            <v>VOLVO</v>
          </cell>
          <cell r="F3725" t="str">
            <v>B8RLEA</v>
          </cell>
          <cell r="G3725" t="str">
            <v>MARCOPOLO</v>
          </cell>
          <cell r="H3725" t="str">
            <v>GRAN VIALE</v>
          </cell>
          <cell r="I3725">
            <v>2020</v>
          </cell>
          <cell r="J3725" t="str">
            <v>C</v>
          </cell>
          <cell r="K3725" t="str">
            <v>Santa Rosa</v>
          </cell>
          <cell r="N3725" t="str">
            <v>C</v>
          </cell>
        </row>
        <row r="3726">
          <cell r="B3726" t="str">
            <v>LZPW-22|</v>
          </cell>
          <cell r="C3726" t="str">
            <v>YV3T7U520LA201391</v>
          </cell>
          <cell r="D3726">
            <v>507509</v>
          </cell>
          <cell r="E3726" t="str">
            <v>VOLVO</v>
          </cell>
          <cell r="F3726" t="str">
            <v>B8RLEA</v>
          </cell>
          <cell r="G3726" t="str">
            <v>MARCOPOLO</v>
          </cell>
          <cell r="H3726" t="str">
            <v>GRAN VIALE</v>
          </cell>
          <cell r="I3726">
            <v>2020</v>
          </cell>
          <cell r="J3726" t="str">
            <v>C</v>
          </cell>
          <cell r="K3726" t="str">
            <v>Santa Rosa</v>
          </cell>
          <cell r="N3726" t="str">
            <v>C</v>
          </cell>
        </row>
        <row r="3727">
          <cell r="B3727" t="str">
            <v>LZRB-82|</v>
          </cell>
          <cell r="C3727" t="str">
            <v>YV3T7U520LA201097</v>
          </cell>
          <cell r="D3727">
            <v>507017</v>
          </cell>
          <cell r="E3727" t="str">
            <v>VOLVO</v>
          </cell>
          <cell r="F3727" t="str">
            <v>B8RLEA</v>
          </cell>
          <cell r="G3727" t="str">
            <v>MARCOPOLO</v>
          </cell>
          <cell r="H3727" t="str">
            <v>GRAN VIALE</v>
          </cell>
          <cell r="I3727">
            <v>2020</v>
          </cell>
          <cell r="J3727" t="str">
            <v>C</v>
          </cell>
          <cell r="K3727" t="str">
            <v>Recoleta</v>
          </cell>
          <cell r="N3727" t="str">
            <v>C</v>
          </cell>
        </row>
        <row r="3728">
          <cell r="B3728" t="str">
            <v>LZRB-83|</v>
          </cell>
          <cell r="C3728" t="str">
            <v>YV3T7U528LA201476</v>
          </cell>
          <cell r="D3728">
            <v>507871</v>
          </cell>
          <cell r="E3728" t="str">
            <v>VOLVO</v>
          </cell>
          <cell r="F3728" t="str">
            <v>B8RLEA</v>
          </cell>
          <cell r="G3728" t="str">
            <v>MARCOPOLO</v>
          </cell>
          <cell r="H3728" t="str">
            <v>GRAN VIALE</v>
          </cell>
          <cell r="I3728">
            <v>2020</v>
          </cell>
          <cell r="J3728" t="str">
            <v>C</v>
          </cell>
          <cell r="K3728" t="str">
            <v>Santa Rosa</v>
          </cell>
          <cell r="N3728" t="str">
            <v>C</v>
          </cell>
        </row>
        <row r="3729">
          <cell r="B3729" t="str">
            <v>LZRB-84|</v>
          </cell>
          <cell r="C3729" t="str">
            <v>YV3T7U524LA201815</v>
          </cell>
          <cell r="D3729">
            <v>509217</v>
          </cell>
          <cell r="E3729" t="str">
            <v>VOLVO</v>
          </cell>
          <cell r="F3729" t="str">
            <v>B8RLEA</v>
          </cell>
          <cell r="G3729" t="str">
            <v>MARCOPOLO</v>
          </cell>
          <cell r="H3729" t="str">
            <v>GRAN VIALE</v>
          </cell>
          <cell r="I3729">
            <v>2020</v>
          </cell>
          <cell r="J3729" t="str">
            <v>C</v>
          </cell>
          <cell r="K3729" t="str">
            <v>Santa Rosa</v>
          </cell>
          <cell r="N3729" t="str">
            <v>C</v>
          </cell>
        </row>
        <row r="3730">
          <cell r="B3730" t="str">
            <v>LZRB-85|</v>
          </cell>
          <cell r="C3730" t="str">
            <v>YV3T7U522LA201666</v>
          </cell>
          <cell r="D3730">
            <v>508593</v>
          </cell>
          <cell r="E3730" t="str">
            <v>VOLVO</v>
          </cell>
          <cell r="F3730" t="str">
            <v>B8RLEA</v>
          </cell>
          <cell r="G3730" t="str">
            <v>MARCOPOLO</v>
          </cell>
          <cell r="H3730" t="str">
            <v>GRAN VIALE</v>
          </cell>
          <cell r="I3730">
            <v>2020</v>
          </cell>
          <cell r="J3730" t="str">
            <v>C</v>
          </cell>
          <cell r="K3730" t="str">
            <v>Santa Rosa</v>
          </cell>
          <cell r="N3730" t="str">
            <v>C</v>
          </cell>
        </row>
        <row r="3731">
          <cell r="B3731" t="str">
            <v>LZRB-86|</v>
          </cell>
          <cell r="C3731" t="str">
            <v>YV3T7U529LA201924</v>
          </cell>
          <cell r="D3731">
            <v>509325</v>
          </cell>
          <cell r="E3731" t="str">
            <v>VOLVO</v>
          </cell>
          <cell r="F3731" t="str">
            <v>B8RLEA</v>
          </cell>
          <cell r="G3731" t="str">
            <v>MARCOPOLO</v>
          </cell>
          <cell r="H3731" t="str">
            <v>GRAN VIALE</v>
          </cell>
          <cell r="I3731">
            <v>2020</v>
          </cell>
          <cell r="J3731" t="str">
            <v>C</v>
          </cell>
          <cell r="K3731" t="str">
            <v>Santa Rosa</v>
          </cell>
          <cell r="N3731" t="str">
            <v>C</v>
          </cell>
        </row>
        <row r="3732">
          <cell r="B3732" t="str">
            <v>LZRB-87|</v>
          </cell>
          <cell r="C3732" t="str">
            <v>YV3T7U521LA201903</v>
          </cell>
          <cell r="D3732">
            <v>509608</v>
          </cell>
          <cell r="E3732" t="str">
            <v>VOLVO</v>
          </cell>
          <cell r="F3732" t="str">
            <v>B8RLEA</v>
          </cell>
          <cell r="G3732" t="str">
            <v>MARCOPOLO</v>
          </cell>
          <cell r="H3732" t="str">
            <v>GRAN VIALE</v>
          </cell>
          <cell r="I3732">
            <v>2020</v>
          </cell>
          <cell r="J3732" t="str">
            <v>C</v>
          </cell>
          <cell r="K3732" t="str">
            <v>Santa Rosa</v>
          </cell>
          <cell r="N3732" t="str">
            <v>C</v>
          </cell>
        </row>
        <row r="3733">
          <cell r="B3733" t="str">
            <v>LZRB-88|</v>
          </cell>
          <cell r="C3733" t="str">
            <v>YV3T7U523LA201921</v>
          </cell>
          <cell r="D3733">
            <v>509543</v>
          </cell>
          <cell r="E3733" t="str">
            <v>VOLVO</v>
          </cell>
          <cell r="F3733" t="str">
            <v>B8RLEA</v>
          </cell>
          <cell r="G3733" t="str">
            <v>MARCOPOLO</v>
          </cell>
          <cell r="H3733" t="str">
            <v>GRAN VIALE</v>
          </cell>
          <cell r="I3733">
            <v>2020</v>
          </cell>
          <cell r="J3733" t="str">
            <v>C</v>
          </cell>
          <cell r="K3733" t="str">
            <v>Santa Rosa</v>
          </cell>
          <cell r="N3733" t="str">
            <v>C</v>
          </cell>
        </row>
        <row r="3734">
          <cell r="B3734" t="str">
            <v>SFVZ-29|</v>
          </cell>
          <cell r="C3734" t="str">
            <v>LVCB4L4DXMM003870</v>
          </cell>
          <cell r="D3734" t="str">
            <v>M221100546</v>
          </cell>
          <cell r="E3734" t="str">
            <v>FOTON</v>
          </cell>
          <cell r="F3734" t="str">
            <v>EBUS U12 SC</v>
          </cell>
          <cell r="G3734" t="str">
            <v>FOTON</v>
          </cell>
          <cell r="H3734" t="str">
            <v>EBUS U12 SC</v>
          </cell>
          <cell r="I3734">
            <v>2022</v>
          </cell>
          <cell r="J3734" t="str">
            <v>B</v>
          </cell>
          <cell r="K3734" t="str">
            <v>Ducaud</v>
          </cell>
          <cell r="N3734" t="str">
            <v>B</v>
          </cell>
        </row>
        <row r="3735">
          <cell r="B3735" t="str">
            <v>SFVZ-39|</v>
          </cell>
          <cell r="C3735" t="str">
            <v>LVCB4L4D5MM003646</v>
          </cell>
          <cell r="D3735" t="str">
            <v>M221100541</v>
          </cell>
          <cell r="E3735" t="str">
            <v>FOTON</v>
          </cell>
          <cell r="F3735" t="str">
            <v>EBUS U12 SC</v>
          </cell>
          <cell r="G3735" t="str">
            <v>FOTON</v>
          </cell>
          <cell r="H3735" t="str">
            <v>EBUS U12 SC</v>
          </cell>
          <cell r="I3735">
            <v>2022</v>
          </cell>
          <cell r="J3735" t="str">
            <v>B</v>
          </cell>
          <cell r="K3735" t="str">
            <v>Ducaud</v>
          </cell>
          <cell r="N3735" t="str">
            <v>B</v>
          </cell>
        </row>
        <row r="3736">
          <cell r="B3736" t="str">
            <v>SFVZ-40|</v>
          </cell>
          <cell r="C3736" t="str">
            <v>LVCB4L4D3MM003872</v>
          </cell>
          <cell r="D3736" t="str">
            <v>M221100304</v>
          </cell>
          <cell r="E3736" t="str">
            <v>FOTON</v>
          </cell>
          <cell r="F3736" t="str">
            <v>EBUS U12 SC</v>
          </cell>
          <cell r="G3736" t="str">
            <v>FOTON</v>
          </cell>
          <cell r="H3736" t="str">
            <v>EBUS U12 SC</v>
          </cell>
          <cell r="I3736">
            <v>2022</v>
          </cell>
          <cell r="J3736" t="str">
            <v>B</v>
          </cell>
          <cell r="K3736" t="str">
            <v>Santa Rosa</v>
          </cell>
          <cell r="N3736" t="str">
            <v>B</v>
          </cell>
        </row>
        <row r="3737">
          <cell r="B3737" t="str">
            <v>SFVZ-44|</v>
          </cell>
          <cell r="C3737" t="str">
            <v>LVCB4L4D9MM003875</v>
          </cell>
          <cell r="D3737" t="str">
            <v>M221100438</v>
          </cell>
          <cell r="E3737" t="str">
            <v>FOTON</v>
          </cell>
          <cell r="F3737" t="str">
            <v>EBUS U12 SC</v>
          </cell>
          <cell r="G3737" t="str">
            <v>FOTON</v>
          </cell>
          <cell r="H3737" t="str">
            <v>EBUS U12 SC</v>
          </cell>
          <cell r="I3737">
            <v>2022</v>
          </cell>
          <cell r="J3737" t="str">
            <v>B</v>
          </cell>
          <cell r="K3737" t="str">
            <v>Santa Rosa</v>
          </cell>
          <cell r="N3737" t="str">
            <v>B</v>
          </cell>
        </row>
        <row r="3738">
          <cell r="B3738" t="str">
            <v>SFVZ-49|</v>
          </cell>
          <cell r="C3738" t="str">
            <v>LVCB4L4D0MM003876</v>
          </cell>
          <cell r="D3738" t="str">
            <v>M221100544</v>
          </cell>
          <cell r="E3738" t="str">
            <v>FOTON</v>
          </cell>
          <cell r="F3738" t="str">
            <v>EBUS U12 SC</v>
          </cell>
          <cell r="G3738" t="str">
            <v>FOTON</v>
          </cell>
          <cell r="H3738" t="str">
            <v>EBUS U12 SC</v>
          </cell>
          <cell r="I3738">
            <v>2022</v>
          </cell>
          <cell r="J3738" t="str">
            <v>B</v>
          </cell>
          <cell r="K3738" t="str">
            <v>Santa Rosa</v>
          </cell>
          <cell r="N3738" t="str">
            <v>B</v>
          </cell>
        </row>
        <row r="3739">
          <cell r="B3739" t="str">
            <v>SFVZ-56|</v>
          </cell>
          <cell r="C3739" t="str">
            <v>LVCB4L4D2MM003877</v>
          </cell>
          <cell r="D3739" t="str">
            <v>M221100558</v>
          </cell>
          <cell r="E3739" t="str">
            <v>FOTON</v>
          </cell>
          <cell r="F3739" t="str">
            <v>EBUS U12 SC</v>
          </cell>
          <cell r="G3739" t="str">
            <v>FOTON</v>
          </cell>
          <cell r="H3739" t="str">
            <v>EBUS U12 SC</v>
          </cell>
          <cell r="I3739">
            <v>2022</v>
          </cell>
          <cell r="J3739" t="str">
            <v>B</v>
          </cell>
          <cell r="K3739" t="str">
            <v>Santa Rosa</v>
          </cell>
          <cell r="N3739" t="str">
            <v>B</v>
          </cell>
        </row>
        <row r="3740">
          <cell r="B3740" t="str">
            <v>SFVZ-60|</v>
          </cell>
          <cell r="C3740" t="str">
            <v>LVCB4L4D6MM003879</v>
          </cell>
          <cell r="D3740" t="str">
            <v>M221110022</v>
          </cell>
          <cell r="E3740" t="str">
            <v>FOTON</v>
          </cell>
          <cell r="F3740" t="str">
            <v>EBUS U12 SC</v>
          </cell>
          <cell r="G3740" t="str">
            <v>FOTON</v>
          </cell>
          <cell r="H3740" t="str">
            <v>EBUS U12 SC</v>
          </cell>
          <cell r="I3740">
            <v>2022</v>
          </cell>
          <cell r="J3740" t="str">
            <v>B</v>
          </cell>
          <cell r="K3740" t="str">
            <v>Lo Blanco</v>
          </cell>
          <cell r="N3740" t="str">
            <v>B</v>
          </cell>
        </row>
        <row r="3741">
          <cell r="B3741" t="str">
            <v>SFVZ-63|</v>
          </cell>
          <cell r="C3741" t="str">
            <v>LVCB4L4D2MM003880</v>
          </cell>
          <cell r="D3741" t="str">
            <v>M221100408</v>
          </cell>
          <cell r="E3741" t="str">
            <v>FOTON</v>
          </cell>
          <cell r="F3741" t="str">
            <v>EBUS U12 SC</v>
          </cell>
          <cell r="G3741" t="str">
            <v>FOTON</v>
          </cell>
          <cell r="H3741" t="str">
            <v>EBUS U12 SC</v>
          </cell>
          <cell r="I3741">
            <v>2022</v>
          </cell>
          <cell r="J3741" t="str">
            <v>B</v>
          </cell>
          <cell r="K3741" t="str">
            <v>Santa Rosa</v>
          </cell>
          <cell r="N3741" t="str">
            <v>B</v>
          </cell>
        </row>
        <row r="3742">
          <cell r="B3742" t="str">
            <v>SFVZ-67|</v>
          </cell>
          <cell r="C3742" t="str">
            <v>LVCB4L4D4MM003881</v>
          </cell>
          <cell r="D3742" t="str">
            <v>M221110108</v>
          </cell>
          <cell r="E3742" t="str">
            <v>FOTON</v>
          </cell>
          <cell r="F3742" t="str">
            <v>EBUS U12 SC</v>
          </cell>
          <cell r="G3742" t="str">
            <v>FOTON</v>
          </cell>
          <cell r="H3742" t="str">
            <v>EBUS U12 SC</v>
          </cell>
          <cell r="I3742">
            <v>2022</v>
          </cell>
          <cell r="J3742" t="str">
            <v>B</v>
          </cell>
          <cell r="K3742" t="str">
            <v>Santa Rosa</v>
          </cell>
          <cell r="N3742" t="str">
            <v>B</v>
          </cell>
        </row>
        <row r="3743">
          <cell r="B3743" t="str">
            <v>SFVZ-70|</v>
          </cell>
          <cell r="C3743" t="str">
            <v>LVCB4L4D6MM003882</v>
          </cell>
          <cell r="D3743" t="str">
            <v>M221100437</v>
          </cell>
          <cell r="E3743" t="str">
            <v>FOTON</v>
          </cell>
          <cell r="F3743" t="str">
            <v>EBUS U12 SC</v>
          </cell>
          <cell r="G3743" t="str">
            <v>FOTON</v>
          </cell>
          <cell r="H3743" t="str">
            <v>EBUS U12 SC</v>
          </cell>
          <cell r="I3743">
            <v>2022</v>
          </cell>
          <cell r="J3743" t="str">
            <v>B</v>
          </cell>
          <cell r="K3743" t="str">
            <v>Santa Rosa</v>
          </cell>
          <cell r="N3743" t="str">
            <v>B</v>
          </cell>
        </row>
        <row r="3744">
          <cell r="B3744" t="str">
            <v>SFVZ-80|</v>
          </cell>
          <cell r="C3744" t="str">
            <v>LVCB4L4D8MM003883</v>
          </cell>
          <cell r="D3744" t="str">
            <v>M221100477</v>
          </cell>
          <cell r="E3744" t="str">
            <v>FOTON</v>
          </cell>
          <cell r="F3744" t="str">
            <v>EBUS U12 SC</v>
          </cell>
          <cell r="G3744" t="str">
            <v>FOTON</v>
          </cell>
          <cell r="H3744" t="str">
            <v>EBUS U12 SC</v>
          </cell>
          <cell r="I3744">
            <v>2022</v>
          </cell>
          <cell r="J3744" t="str">
            <v>B</v>
          </cell>
          <cell r="K3744" t="str">
            <v>Santa Rosa</v>
          </cell>
          <cell r="N3744" t="str">
            <v>B</v>
          </cell>
        </row>
        <row r="3745">
          <cell r="B3745" t="str">
            <v>SFVZ-81|</v>
          </cell>
          <cell r="C3745" t="str">
            <v>LVCB4L4D1MM003885</v>
          </cell>
          <cell r="D3745" t="str">
            <v>M221100475</v>
          </cell>
          <cell r="E3745" t="str">
            <v>FOTON</v>
          </cell>
          <cell r="F3745" t="str">
            <v>EBUS U12 SC</v>
          </cell>
          <cell r="G3745" t="str">
            <v>FOTON</v>
          </cell>
          <cell r="H3745" t="str">
            <v>EBUS U12 SC</v>
          </cell>
          <cell r="I3745">
            <v>2022</v>
          </cell>
          <cell r="J3745" t="str">
            <v>B</v>
          </cell>
          <cell r="K3745" t="str">
            <v>Santa Rosa</v>
          </cell>
          <cell r="N3745" t="str">
            <v>B</v>
          </cell>
        </row>
        <row r="3746">
          <cell r="B3746" t="str">
            <v>SFVZ-85|</v>
          </cell>
          <cell r="C3746" t="str">
            <v>LVCB4L4D3MM003886</v>
          </cell>
          <cell r="D3746" t="str">
            <v>M221100543</v>
          </cell>
          <cell r="E3746" t="str">
            <v>FOTON</v>
          </cell>
          <cell r="F3746" t="str">
            <v>EBUS U12 SC</v>
          </cell>
          <cell r="G3746" t="str">
            <v>FOTON</v>
          </cell>
          <cell r="H3746" t="str">
            <v>EBUS U12 SC</v>
          </cell>
          <cell r="I3746">
            <v>2022</v>
          </cell>
          <cell r="J3746" t="str">
            <v>B</v>
          </cell>
          <cell r="K3746" t="str">
            <v>Santa Rosa</v>
          </cell>
          <cell r="N3746" t="str">
            <v>B</v>
          </cell>
        </row>
        <row r="3747">
          <cell r="B3747" t="str">
            <v>SFVZ-86|</v>
          </cell>
          <cell r="C3747" t="str">
            <v>LVCB4L4D5MM003887</v>
          </cell>
          <cell r="D3747" t="str">
            <v>M221110021</v>
          </cell>
          <cell r="E3747" t="str">
            <v>FOTON</v>
          </cell>
          <cell r="F3747" t="str">
            <v>EBUS U12 SC</v>
          </cell>
          <cell r="G3747" t="str">
            <v>FOTON</v>
          </cell>
          <cell r="H3747" t="str">
            <v>EBUS U12 SC</v>
          </cell>
          <cell r="I3747">
            <v>2022</v>
          </cell>
          <cell r="J3747" t="str">
            <v>B</v>
          </cell>
          <cell r="K3747" t="str">
            <v>Santa Rosa</v>
          </cell>
          <cell r="N3747" t="str">
            <v>B</v>
          </cell>
        </row>
        <row r="3748">
          <cell r="B3748" t="str">
            <v>SFVZ-87|</v>
          </cell>
          <cell r="C3748" t="str">
            <v>LVCB4L4D7MM003888</v>
          </cell>
          <cell r="D3748" t="str">
            <v>M221100297</v>
          </cell>
          <cell r="E3748" t="str">
            <v>FOTON</v>
          </cell>
          <cell r="F3748" t="str">
            <v>EBUS U12 SC</v>
          </cell>
          <cell r="G3748" t="str">
            <v>FOTON</v>
          </cell>
          <cell r="H3748" t="str">
            <v>EBUS U12 SC</v>
          </cell>
          <cell r="I3748">
            <v>2022</v>
          </cell>
          <cell r="J3748" t="str">
            <v>B</v>
          </cell>
          <cell r="K3748" t="str">
            <v>Lo Blanco</v>
          </cell>
          <cell r="N3748" t="str">
            <v>B</v>
          </cell>
        </row>
        <row r="3749">
          <cell r="B3749" t="str">
            <v>SFVZ-94|</v>
          </cell>
          <cell r="C3749" t="str">
            <v>LVCB4L4D9MM003889</v>
          </cell>
          <cell r="D3749" t="str">
            <v>M221100396</v>
          </cell>
          <cell r="E3749" t="str">
            <v>FOTON</v>
          </cell>
          <cell r="F3749" t="str">
            <v>EBUS U12 SC</v>
          </cell>
          <cell r="G3749" t="str">
            <v>FOTON</v>
          </cell>
          <cell r="H3749" t="str">
            <v>EBUS U12 SC</v>
          </cell>
          <cell r="I3749">
            <v>2022</v>
          </cell>
          <cell r="J3749" t="str">
            <v>B</v>
          </cell>
          <cell r="K3749" t="str">
            <v>Recoleta</v>
          </cell>
          <cell r="N3749" t="str">
            <v>B</v>
          </cell>
        </row>
        <row r="3750">
          <cell r="B3750" t="str">
            <v>SFVZ-96|</v>
          </cell>
          <cell r="C3750" t="str">
            <v>LVCB4L4D5MM003890</v>
          </cell>
          <cell r="D3750" t="str">
            <v>M221100305</v>
          </cell>
          <cell r="E3750" t="str">
            <v>FOTON</v>
          </cell>
          <cell r="F3750" t="str">
            <v>EBUS U12 SC</v>
          </cell>
          <cell r="G3750" t="str">
            <v>FOTON</v>
          </cell>
          <cell r="H3750" t="str">
            <v>EBUS U12 SC</v>
          </cell>
          <cell r="I3750">
            <v>2022</v>
          </cell>
          <cell r="J3750" t="str">
            <v>B</v>
          </cell>
          <cell r="K3750" t="str">
            <v>Santa Rosa</v>
          </cell>
          <cell r="N3750" t="str">
            <v>B</v>
          </cell>
        </row>
        <row r="3751">
          <cell r="B3751" t="str">
            <v>SFWB-10|</v>
          </cell>
          <cell r="C3751" t="str">
            <v>LVCB4L4D9MM003892</v>
          </cell>
          <cell r="D3751" t="str">
            <v>M221110101</v>
          </cell>
          <cell r="E3751" t="str">
            <v>FOTON</v>
          </cell>
          <cell r="F3751" t="str">
            <v>EBUS U12 SC</v>
          </cell>
          <cell r="G3751" t="str">
            <v>FOTON</v>
          </cell>
          <cell r="H3751" t="str">
            <v>EBUS U12 SC</v>
          </cell>
          <cell r="I3751">
            <v>2022</v>
          </cell>
          <cell r="J3751" t="str">
            <v>B</v>
          </cell>
          <cell r="K3751" t="str">
            <v>Recoleta</v>
          </cell>
          <cell r="N3751" t="str">
            <v>B</v>
          </cell>
        </row>
        <row r="3752">
          <cell r="B3752" t="str">
            <v>SFWB-14|</v>
          </cell>
          <cell r="C3752" t="str">
            <v>LVCB4L4D0MM003893</v>
          </cell>
          <cell r="D3752" t="str">
            <v>M221100547</v>
          </cell>
          <cell r="E3752" t="str">
            <v>FOTON</v>
          </cell>
          <cell r="F3752" t="str">
            <v>EBUS U12 SC</v>
          </cell>
          <cell r="G3752" t="str">
            <v>FOTON</v>
          </cell>
          <cell r="H3752" t="str">
            <v>EBUS U12 SC</v>
          </cell>
          <cell r="I3752">
            <v>2022</v>
          </cell>
          <cell r="J3752" t="str">
            <v>B</v>
          </cell>
          <cell r="K3752" t="str">
            <v>Santa Rosa</v>
          </cell>
          <cell r="N3752" t="str">
            <v>B</v>
          </cell>
        </row>
        <row r="3753">
          <cell r="B3753" t="str">
            <v>SFWB-16|</v>
          </cell>
          <cell r="C3753" t="str">
            <v>LVCB4L4D4MM003895</v>
          </cell>
          <cell r="D3753" t="str">
            <v>M221100515</v>
          </cell>
          <cell r="E3753" t="str">
            <v>FOTON</v>
          </cell>
          <cell r="F3753" t="str">
            <v>EBUS U12 SC</v>
          </cell>
          <cell r="G3753" t="str">
            <v>FOTON</v>
          </cell>
          <cell r="H3753" t="str">
            <v>EBUS U12 SC</v>
          </cell>
          <cell r="I3753">
            <v>2022</v>
          </cell>
          <cell r="J3753" t="str">
            <v>B</v>
          </cell>
          <cell r="K3753" t="str">
            <v>Recoleta</v>
          </cell>
          <cell r="N3753" t="str">
            <v>B</v>
          </cell>
        </row>
        <row r="3754">
          <cell r="B3754" t="str">
            <v>SFWB-21|</v>
          </cell>
          <cell r="C3754" t="str">
            <v>LVCB4L4DXMM003898</v>
          </cell>
          <cell r="D3754" t="str">
            <v>M221110024</v>
          </cell>
          <cell r="E3754" t="str">
            <v>FOTON</v>
          </cell>
          <cell r="F3754" t="str">
            <v>EBUS U12 SC</v>
          </cell>
          <cell r="G3754" t="str">
            <v>FOTON</v>
          </cell>
          <cell r="H3754" t="str">
            <v>EBUS U12 SC</v>
          </cell>
          <cell r="I3754">
            <v>2022</v>
          </cell>
          <cell r="J3754" t="str">
            <v>B</v>
          </cell>
          <cell r="K3754" t="str">
            <v>Santa Rosa</v>
          </cell>
          <cell r="N3754" t="str">
            <v>B</v>
          </cell>
        </row>
        <row r="3755">
          <cell r="B3755" t="str">
            <v>SFWB-24|</v>
          </cell>
          <cell r="C3755" t="str">
            <v>LVCB4L4D1MM003899</v>
          </cell>
          <cell r="D3755" t="str">
            <v>M221100443</v>
          </cell>
          <cell r="E3755" t="str">
            <v>FOTON</v>
          </cell>
          <cell r="F3755" t="str">
            <v>EBUS U12 SC</v>
          </cell>
          <cell r="G3755" t="str">
            <v>FOTON</v>
          </cell>
          <cell r="H3755" t="str">
            <v>EBUS U12 SC</v>
          </cell>
          <cell r="I3755">
            <v>2022</v>
          </cell>
          <cell r="J3755" t="str">
            <v>B</v>
          </cell>
          <cell r="K3755" t="str">
            <v>Santa Rosa</v>
          </cell>
          <cell r="N3755" t="str">
            <v>B</v>
          </cell>
        </row>
        <row r="3756">
          <cell r="B3756" t="str">
            <v>SFWB-28|</v>
          </cell>
          <cell r="C3756" t="str">
            <v>LVCB4L4D8MM003902</v>
          </cell>
          <cell r="D3756" t="str">
            <v>M221100309</v>
          </cell>
          <cell r="E3756" t="str">
            <v>FOTON</v>
          </cell>
          <cell r="F3756" t="str">
            <v>EBUS U12 SC</v>
          </cell>
          <cell r="G3756" t="str">
            <v>FOTON</v>
          </cell>
          <cell r="H3756" t="str">
            <v>EBUS U12 SC</v>
          </cell>
          <cell r="I3756">
            <v>2022</v>
          </cell>
          <cell r="J3756" t="str">
            <v>B</v>
          </cell>
          <cell r="K3756" t="str">
            <v>Santa Rosa</v>
          </cell>
          <cell r="N3756" t="str">
            <v>B</v>
          </cell>
        </row>
        <row r="3757">
          <cell r="B3757" t="str">
            <v>SFWB-29|</v>
          </cell>
          <cell r="C3757" t="str">
            <v>LVCB4L4DXMM003903</v>
          </cell>
          <cell r="D3757" t="str">
            <v>M221110578</v>
          </cell>
          <cell r="E3757" t="str">
            <v>FOTON</v>
          </cell>
          <cell r="F3757" t="str">
            <v>EBUS U12 SC</v>
          </cell>
          <cell r="G3757" t="str">
            <v>FOTON</v>
          </cell>
          <cell r="H3757" t="str">
            <v>EBUS U12 SC</v>
          </cell>
          <cell r="I3757">
            <v>2022</v>
          </cell>
          <cell r="J3757" t="str">
            <v>B</v>
          </cell>
          <cell r="K3757" t="str">
            <v>Santa Rosa</v>
          </cell>
          <cell r="N3757" t="str">
            <v>B</v>
          </cell>
        </row>
        <row r="3758">
          <cell r="B3758" t="str">
            <v>SFWB-31|</v>
          </cell>
          <cell r="C3758" t="str">
            <v>LVCB4L4D3MM003905</v>
          </cell>
          <cell r="D3758" t="str">
            <v>M221100400</v>
          </cell>
          <cell r="E3758" t="str">
            <v>FOTON</v>
          </cell>
          <cell r="F3758" t="str">
            <v>EBUS U12 SC</v>
          </cell>
          <cell r="G3758" t="str">
            <v>FOTON</v>
          </cell>
          <cell r="H3758" t="str">
            <v>EBUS U12 SC</v>
          </cell>
          <cell r="I3758">
            <v>2022</v>
          </cell>
          <cell r="J3758" t="str">
            <v>B</v>
          </cell>
          <cell r="K3758" t="str">
            <v>Recoleta</v>
          </cell>
          <cell r="N3758" t="str">
            <v>B</v>
          </cell>
        </row>
        <row r="3759">
          <cell r="B3759" t="str">
            <v>SFWB-33|</v>
          </cell>
          <cell r="C3759" t="str">
            <v>LVCB4L4D5MM003906</v>
          </cell>
          <cell r="D3759" t="str">
            <v>M221100516</v>
          </cell>
          <cell r="E3759" t="str">
            <v>FOTON</v>
          </cell>
          <cell r="F3759" t="str">
            <v>EBUS U12 SC</v>
          </cell>
          <cell r="G3759" t="str">
            <v>FOTON</v>
          </cell>
          <cell r="H3759" t="str">
            <v>EBUS U12 SC</v>
          </cell>
          <cell r="I3759">
            <v>2022</v>
          </cell>
          <cell r="J3759" t="str">
            <v>B</v>
          </cell>
          <cell r="K3759" t="str">
            <v>Santa Rosa</v>
          </cell>
          <cell r="N3759" t="str">
            <v>B</v>
          </cell>
        </row>
        <row r="3760">
          <cell r="B3760" t="str">
            <v>SFWB-35|</v>
          </cell>
          <cell r="C3760" t="str">
            <v>LVCB4L4D7MM003907</v>
          </cell>
          <cell r="D3760" t="str">
            <v>M221100306</v>
          </cell>
          <cell r="E3760" t="str">
            <v>FOTON</v>
          </cell>
          <cell r="F3760" t="str">
            <v>EBUS U12 SC</v>
          </cell>
          <cell r="G3760" t="str">
            <v>FOTON</v>
          </cell>
          <cell r="H3760" t="str">
            <v>EBUS U12 SC</v>
          </cell>
          <cell r="I3760">
            <v>2022</v>
          </cell>
          <cell r="J3760" t="str">
            <v>B</v>
          </cell>
          <cell r="K3760" t="str">
            <v>Recoleta</v>
          </cell>
          <cell r="N3760" t="str">
            <v>B</v>
          </cell>
        </row>
        <row r="3761">
          <cell r="B3761" t="str">
            <v>SFWB-42|</v>
          </cell>
          <cell r="C3761" t="str">
            <v>LVCB4L4D0MM003909</v>
          </cell>
          <cell r="D3761" t="str">
            <v>M221110025</v>
          </cell>
          <cell r="E3761" t="str">
            <v>FOTON</v>
          </cell>
          <cell r="F3761" t="str">
            <v>EBUS U12 SC</v>
          </cell>
          <cell r="G3761" t="str">
            <v>FOTON</v>
          </cell>
          <cell r="H3761" t="str">
            <v>EBUS U12 SC</v>
          </cell>
          <cell r="I3761">
            <v>2022</v>
          </cell>
          <cell r="J3761" t="str">
            <v>B</v>
          </cell>
          <cell r="K3761" t="str">
            <v>Santa Rosa</v>
          </cell>
          <cell r="N3761" t="str">
            <v>B</v>
          </cell>
        </row>
        <row r="3762">
          <cell r="B3762" t="str">
            <v>SFWB-44|</v>
          </cell>
          <cell r="C3762" t="str">
            <v>LVCB4L4D9MM003911</v>
          </cell>
          <cell r="D3762" t="str">
            <v>M221100549</v>
          </cell>
          <cell r="E3762" t="str">
            <v>FOTON</v>
          </cell>
          <cell r="F3762" t="str">
            <v>EBUS U12 SC</v>
          </cell>
          <cell r="G3762" t="str">
            <v>FOTON</v>
          </cell>
          <cell r="H3762" t="str">
            <v>EBUS U12 SC</v>
          </cell>
          <cell r="I3762">
            <v>2022</v>
          </cell>
          <cell r="J3762" t="str">
            <v>B</v>
          </cell>
          <cell r="K3762" t="str">
            <v>Santa Rosa</v>
          </cell>
          <cell r="N3762" t="str">
            <v>B</v>
          </cell>
        </row>
        <row r="3763">
          <cell r="B3763" t="str">
            <v>SFWB-46|</v>
          </cell>
          <cell r="C3763" t="str">
            <v>LVCB4L4D3MM003631</v>
          </cell>
          <cell r="D3763" t="str">
            <v>M221100523</v>
          </cell>
          <cell r="E3763" t="str">
            <v>FOTON</v>
          </cell>
          <cell r="F3763" t="str">
            <v>EBUS U12 SC</v>
          </cell>
          <cell r="G3763" t="str">
            <v>FOTON</v>
          </cell>
          <cell r="H3763" t="str">
            <v>EBUS U12 SC</v>
          </cell>
          <cell r="I3763">
            <v>2022</v>
          </cell>
          <cell r="J3763" t="str">
            <v>B</v>
          </cell>
          <cell r="K3763" t="str">
            <v>Santa Rosa</v>
          </cell>
          <cell r="N3763" t="str">
            <v>B</v>
          </cell>
        </row>
        <row r="3764">
          <cell r="B3764" t="str">
            <v>SFWB-48|</v>
          </cell>
          <cell r="C3764" t="str">
            <v>LVCB4L4D8MM003916</v>
          </cell>
          <cell r="D3764" t="str">
            <v>M221100441</v>
          </cell>
          <cell r="E3764" t="str">
            <v>FOTON</v>
          </cell>
          <cell r="F3764" t="str">
            <v>EBUS U12 SC</v>
          </cell>
          <cell r="G3764" t="str">
            <v>FOTON</v>
          </cell>
          <cell r="H3764" t="str">
            <v>EBUS U12 SC</v>
          </cell>
          <cell r="I3764">
            <v>2022</v>
          </cell>
          <cell r="J3764" t="str">
            <v>B</v>
          </cell>
          <cell r="K3764" t="str">
            <v>Santa Rosa</v>
          </cell>
          <cell r="N3764" t="str">
            <v>B</v>
          </cell>
        </row>
        <row r="3765">
          <cell r="B3765" t="str">
            <v>SFWB-50|</v>
          </cell>
          <cell r="C3765" t="str">
            <v>LVCB4L4D3MM003919</v>
          </cell>
          <cell r="D3765" t="str">
            <v>M221110656</v>
          </cell>
          <cell r="E3765" t="str">
            <v>FOTON</v>
          </cell>
          <cell r="F3765" t="str">
            <v>EBUS U12 SC</v>
          </cell>
          <cell r="G3765" t="str">
            <v>FOTON</v>
          </cell>
          <cell r="H3765" t="str">
            <v>EBUS U12 SC</v>
          </cell>
          <cell r="I3765">
            <v>2022</v>
          </cell>
          <cell r="J3765" t="str">
            <v>B</v>
          </cell>
          <cell r="K3765" t="str">
            <v>Recoleta</v>
          </cell>
          <cell r="N3765" t="str">
            <v>B</v>
          </cell>
        </row>
        <row r="3766">
          <cell r="B3766" t="str">
            <v>SFWB-51|</v>
          </cell>
          <cell r="C3766" t="str">
            <v>LVCB4L4D1MM003921</v>
          </cell>
          <cell r="D3766" t="str">
            <v>M221100522</v>
          </cell>
          <cell r="E3766" t="str">
            <v>FOTON</v>
          </cell>
          <cell r="F3766" t="str">
            <v>EBUS U12 SC</v>
          </cell>
          <cell r="G3766" t="str">
            <v>FOTON</v>
          </cell>
          <cell r="H3766" t="str">
            <v>EBUS U12 SC</v>
          </cell>
          <cell r="I3766">
            <v>2022</v>
          </cell>
          <cell r="J3766" t="str">
            <v>B</v>
          </cell>
          <cell r="K3766" t="str">
            <v>Santa Rosa</v>
          </cell>
          <cell r="N3766" t="str">
            <v>B</v>
          </cell>
        </row>
        <row r="3767">
          <cell r="B3767" t="str">
            <v>SFWB-58|</v>
          </cell>
          <cell r="C3767" t="str">
            <v>LVCB4L4D3MM003922</v>
          </cell>
          <cell r="D3767" t="str">
            <v>M221100487</v>
          </cell>
          <cell r="E3767" t="str">
            <v>FOTON</v>
          </cell>
          <cell r="F3767" t="str">
            <v>EBUS U12 SC</v>
          </cell>
          <cell r="G3767" t="str">
            <v>FOTON</v>
          </cell>
          <cell r="H3767" t="str">
            <v>EBUS U12 SC</v>
          </cell>
          <cell r="I3767">
            <v>2022</v>
          </cell>
          <cell r="J3767" t="str">
            <v>B</v>
          </cell>
          <cell r="K3767" t="str">
            <v>Recoleta</v>
          </cell>
          <cell r="N3767" t="str">
            <v>B</v>
          </cell>
        </row>
        <row r="3768">
          <cell r="B3768" t="str">
            <v>SFWB-61|</v>
          </cell>
          <cell r="C3768" t="str">
            <v>LVCB4L4D2MM003927</v>
          </cell>
          <cell r="D3768" t="str">
            <v>M221100560</v>
          </cell>
          <cell r="E3768" t="str">
            <v>FOTON</v>
          </cell>
          <cell r="F3768" t="str">
            <v>EBUS U12 SC</v>
          </cell>
          <cell r="G3768" t="str">
            <v>FOTON</v>
          </cell>
          <cell r="H3768" t="str">
            <v>EBUS U12 SC</v>
          </cell>
          <cell r="I3768">
            <v>2022</v>
          </cell>
          <cell r="J3768" t="str">
            <v>B</v>
          </cell>
          <cell r="K3768" t="str">
            <v>Santa Rosa</v>
          </cell>
          <cell r="N3768" t="str">
            <v>B</v>
          </cell>
        </row>
        <row r="3769">
          <cell r="B3769" t="str">
            <v>SFWB-64|</v>
          </cell>
          <cell r="C3769" t="str">
            <v>LVCB4L4D4MM003928</v>
          </cell>
          <cell r="D3769" t="str">
            <v>M221110528</v>
          </cell>
          <cell r="E3769" t="str">
            <v>FOTON</v>
          </cell>
          <cell r="F3769" t="str">
            <v>EBUS U12 SC</v>
          </cell>
          <cell r="G3769" t="str">
            <v>FOTON</v>
          </cell>
          <cell r="H3769" t="str">
            <v>EBUS U12 SC</v>
          </cell>
          <cell r="I3769">
            <v>2022</v>
          </cell>
          <cell r="J3769" t="str">
            <v>B</v>
          </cell>
          <cell r="K3769" t="str">
            <v>Santa Rosa</v>
          </cell>
          <cell r="N3769" t="str">
            <v>B</v>
          </cell>
        </row>
        <row r="3770">
          <cell r="B3770" t="str">
            <v>SFWB-68|</v>
          </cell>
          <cell r="C3770" t="str">
            <v>LVCB4L4D6MM003929</v>
          </cell>
          <cell r="D3770" t="str">
            <v>M221100439</v>
          </cell>
          <cell r="E3770" t="str">
            <v>FOTON</v>
          </cell>
          <cell r="F3770" t="str">
            <v>EBUS U12 SC</v>
          </cell>
          <cell r="G3770" t="str">
            <v>FOTON</v>
          </cell>
          <cell r="H3770" t="str">
            <v>EBUS U12 SC</v>
          </cell>
          <cell r="I3770">
            <v>2022</v>
          </cell>
          <cell r="J3770" t="str">
            <v>B</v>
          </cell>
          <cell r="K3770" t="str">
            <v>Recoleta</v>
          </cell>
          <cell r="N3770" t="str">
            <v>B</v>
          </cell>
        </row>
        <row r="3771">
          <cell r="B3771" t="str">
            <v>SFWB-72|</v>
          </cell>
          <cell r="C3771" t="str">
            <v>LVCB4L4D2MM003930</v>
          </cell>
          <cell r="D3771" t="str">
            <v>M221100374</v>
          </cell>
          <cell r="E3771" t="str">
            <v>FOTON</v>
          </cell>
          <cell r="F3771" t="str">
            <v>EBUS U12 SC</v>
          </cell>
          <cell r="G3771" t="str">
            <v>FOTON</v>
          </cell>
          <cell r="H3771" t="str">
            <v>EBUS U12 SC</v>
          </cell>
          <cell r="I3771">
            <v>2022</v>
          </cell>
          <cell r="J3771" t="str">
            <v>B</v>
          </cell>
          <cell r="K3771" t="str">
            <v>Santa Rosa</v>
          </cell>
          <cell r="N3771" t="str">
            <v>B</v>
          </cell>
        </row>
        <row r="3772">
          <cell r="B3772" t="str">
            <v>SFWB-73|</v>
          </cell>
          <cell r="C3772" t="str">
            <v>LVCB4L4D4MM003931</v>
          </cell>
          <cell r="D3772" t="str">
            <v>M221100407</v>
          </cell>
          <cell r="E3772" t="str">
            <v>FOTON</v>
          </cell>
          <cell r="F3772" t="str">
            <v>EBUS U12 SC</v>
          </cell>
          <cell r="G3772" t="str">
            <v>FOTON</v>
          </cell>
          <cell r="H3772" t="str">
            <v>EBUS U12 SC</v>
          </cell>
          <cell r="I3772">
            <v>2022</v>
          </cell>
          <cell r="J3772" t="str">
            <v>B</v>
          </cell>
          <cell r="K3772" t="str">
            <v>Santa Rosa</v>
          </cell>
          <cell r="N3772" t="str">
            <v>B</v>
          </cell>
        </row>
        <row r="3773">
          <cell r="B3773" t="str">
            <v>SFWB-75|</v>
          </cell>
          <cell r="C3773" t="str">
            <v>LVCB4L4D8MM003933</v>
          </cell>
          <cell r="D3773" t="str">
            <v>M221110652</v>
          </cell>
          <cell r="E3773" t="str">
            <v>FOTON</v>
          </cell>
          <cell r="F3773" t="str">
            <v>EBUS U12 SC</v>
          </cell>
          <cell r="G3773" t="str">
            <v>FOTON</v>
          </cell>
          <cell r="H3773" t="str">
            <v>EBUS U12 SC</v>
          </cell>
          <cell r="I3773">
            <v>2022</v>
          </cell>
          <cell r="J3773" t="str">
            <v>B</v>
          </cell>
          <cell r="K3773" t="str">
            <v>Santa Rosa</v>
          </cell>
          <cell r="N3773" t="str">
            <v>B</v>
          </cell>
        </row>
        <row r="3774">
          <cell r="B3774" t="str">
            <v>SFWB-76|</v>
          </cell>
          <cell r="C3774" t="str">
            <v>LVCB4L4D3MM003936</v>
          </cell>
          <cell r="D3774" t="str">
            <v>M221110487</v>
          </cell>
          <cell r="E3774" t="str">
            <v>FOTON</v>
          </cell>
          <cell r="F3774" t="str">
            <v>EBUS U12 SC</v>
          </cell>
          <cell r="G3774" t="str">
            <v>FOTON</v>
          </cell>
          <cell r="H3774" t="str">
            <v>EBUS U12 SC</v>
          </cell>
          <cell r="I3774">
            <v>2022</v>
          </cell>
          <cell r="J3774" t="str">
            <v>B</v>
          </cell>
          <cell r="K3774" t="str">
            <v>Santa Rosa</v>
          </cell>
          <cell r="N3774" t="str">
            <v>B</v>
          </cell>
        </row>
        <row r="3775">
          <cell r="B3775" t="str">
            <v>SFWB-77|</v>
          </cell>
          <cell r="C3775" t="str">
            <v>LVCB4L4D5MM003937</v>
          </cell>
          <cell r="D3775" t="str">
            <v>M221120003</v>
          </cell>
          <cell r="E3775" t="str">
            <v>FOTON</v>
          </cell>
          <cell r="F3775" t="str">
            <v>EBUS U12 SC</v>
          </cell>
          <cell r="G3775" t="str">
            <v>FOTON</v>
          </cell>
          <cell r="H3775" t="str">
            <v>EBUS U12 SC</v>
          </cell>
          <cell r="I3775">
            <v>2022</v>
          </cell>
          <cell r="J3775" t="str">
            <v>B</v>
          </cell>
          <cell r="K3775" t="str">
            <v>Santa Rosa</v>
          </cell>
          <cell r="N3775" t="str">
            <v>B</v>
          </cell>
        </row>
        <row r="3776">
          <cell r="B3776" t="str">
            <v>SFWB-82|</v>
          </cell>
          <cell r="C3776" t="str">
            <v>LVCB4L4D7MM003938</v>
          </cell>
          <cell r="D3776" t="str">
            <v>M221100406</v>
          </cell>
          <cell r="E3776" t="str">
            <v>FOTON</v>
          </cell>
          <cell r="F3776" t="str">
            <v>EBUS U12 SC</v>
          </cell>
          <cell r="G3776" t="str">
            <v>FOTON</v>
          </cell>
          <cell r="H3776" t="str">
            <v>EBUS U12 SC</v>
          </cell>
          <cell r="I3776">
            <v>2022</v>
          </cell>
          <cell r="J3776" t="str">
            <v>B</v>
          </cell>
          <cell r="K3776" t="str">
            <v>Santa Rosa</v>
          </cell>
          <cell r="N3776" t="str">
            <v>B</v>
          </cell>
        </row>
        <row r="3777">
          <cell r="B3777" t="str">
            <v>SFWB-84|</v>
          </cell>
          <cell r="C3777" t="str">
            <v>LVCB4L4D9MM003939</v>
          </cell>
          <cell r="D3777" t="str">
            <v>M221100435</v>
          </cell>
          <cell r="E3777" t="str">
            <v>FOTON</v>
          </cell>
          <cell r="F3777" t="str">
            <v>EBUS U12 SC</v>
          </cell>
          <cell r="G3777" t="str">
            <v>FOTON</v>
          </cell>
          <cell r="H3777" t="str">
            <v>EBUS U12 SC</v>
          </cell>
          <cell r="I3777">
            <v>2022</v>
          </cell>
          <cell r="J3777" t="str">
            <v>B</v>
          </cell>
          <cell r="K3777" t="str">
            <v>Recoleta</v>
          </cell>
          <cell r="N3777" t="str">
            <v>B</v>
          </cell>
        </row>
        <row r="3778">
          <cell r="B3778" t="str">
            <v>SFWB-85|</v>
          </cell>
          <cell r="C3778" t="str">
            <v>LVCB4L4D5MM003940</v>
          </cell>
          <cell r="D3778" t="str">
            <v>M221100409</v>
          </cell>
          <cell r="E3778" t="str">
            <v>FOTON</v>
          </cell>
          <cell r="F3778" t="str">
            <v>EBUS U12 SC</v>
          </cell>
          <cell r="G3778" t="str">
            <v>FOTON</v>
          </cell>
          <cell r="H3778" t="str">
            <v>EBUS U12 SC</v>
          </cell>
          <cell r="I3778">
            <v>2022</v>
          </cell>
          <cell r="J3778" t="str">
            <v>B</v>
          </cell>
          <cell r="K3778" t="str">
            <v>Santa Rosa</v>
          </cell>
          <cell r="N3778" t="str">
            <v>B</v>
          </cell>
        </row>
        <row r="3779">
          <cell r="B3779" t="str">
            <v>SFWB-87|</v>
          </cell>
          <cell r="C3779" t="str">
            <v>LVCB4L4D7MM003941</v>
          </cell>
          <cell r="D3779" t="str">
            <v>M221110529</v>
          </cell>
          <cell r="E3779" t="str">
            <v>FOTON</v>
          </cell>
          <cell r="F3779" t="str">
            <v>EBUS U12 SC</v>
          </cell>
          <cell r="G3779" t="str">
            <v>FOTON</v>
          </cell>
          <cell r="H3779" t="str">
            <v>EBUS U12 SC</v>
          </cell>
          <cell r="I3779">
            <v>2022</v>
          </cell>
          <cell r="J3779" t="str">
            <v>B</v>
          </cell>
          <cell r="K3779" t="str">
            <v>Santa Rosa</v>
          </cell>
          <cell r="N3779" t="str">
            <v>B</v>
          </cell>
        </row>
        <row r="3780">
          <cell r="B3780" t="str">
            <v>SFWB-89|</v>
          </cell>
          <cell r="C3780" t="str">
            <v>LVCB4L4D0MM003943</v>
          </cell>
          <cell r="D3780" t="str">
            <v>M221100548</v>
          </cell>
          <cell r="E3780" t="str">
            <v>FOTON</v>
          </cell>
          <cell r="F3780" t="str">
            <v>EBUS U12 SC</v>
          </cell>
          <cell r="G3780" t="str">
            <v>FOTON</v>
          </cell>
          <cell r="H3780" t="str">
            <v>EBUS U12 SC</v>
          </cell>
          <cell r="I3780">
            <v>2022</v>
          </cell>
          <cell r="J3780" t="str">
            <v>B</v>
          </cell>
          <cell r="K3780" t="str">
            <v>Recoleta</v>
          </cell>
          <cell r="N3780" t="str">
            <v>B</v>
          </cell>
        </row>
        <row r="3781">
          <cell r="B3781" t="str">
            <v>SFWB-90|</v>
          </cell>
          <cell r="C3781" t="str">
            <v>LVCB4L4D8MM003947</v>
          </cell>
          <cell r="D3781" t="str">
            <v>M221110648</v>
          </cell>
          <cell r="E3781" t="str">
            <v>FOTON</v>
          </cell>
          <cell r="F3781" t="str">
            <v>EBUS U12 SC</v>
          </cell>
          <cell r="G3781" t="str">
            <v>FOTON</v>
          </cell>
          <cell r="H3781" t="str">
            <v>EBUS U12 SC</v>
          </cell>
          <cell r="I3781">
            <v>2022</v>
          </cell>
          <cell r="J3781" t="str">
            <v>B</v>
          </cell>
          <cell r="K3781" t="str">
            <v>Santa Rosa</v>
          </cell>
          <cell r="N3781" t="str">
            <v>B</v>
          </cell>
        </row>
        <row r="3782">
          <cell r="B3782" t="str">
            <v>SFWB-95|</v>
          </cell>
          <cell r="C3782" t="str">
            <v>LVCB4L4D8MM003950</v>
          </cell>
          <cell r="D3782" t="str">
            <v>M221100399</v>
          </cell>
          <cell r="E3782" t="str">
            <v>FOTON</v>
          </cell>
          <cell r="F3782" t="str">
            <v>EBUS U12 SC</v>
          </cell>
          <cell r="G3782" t="str">
            <v>FOTON</v>
          </cell>
          <cell r="H3782" t="str">
            <v>EBUS U12 SC</v>
          </cell>
          <cell r="I3782">
            <v>2022</v>
          </cell>
          <cell r="J3782" t="str">
            <v>B</v>
          </cell>
          <cell r="K3782" t="str">
            <v>Santa Rosa</v>
          </cell>
          <cell r="N3782" t="str">
            <v>B</v>
          </cell>
        </row>
        <row r="3783">
          <cell r="B3783" t="str">
            <v>SFWB-96|</v>
          </cell>
          <cell r="C3783" t="str">
            <v>LVCB4L4DXMM003951</v>
          </cell>
          <cell r="D3783" t="str">
            <v>M221110650</v>
          </cell>
          <cell r="E3783" t="str">
            <v>FOTON</v>
          </cell>
          <cell r="F3783" t="str">
            <v>EBUS U12 SC</v>
          </cell>
          <cell r="G3783" t="str">
            <v>FOTON</v>
          </cell>
          <cell r="H3783" t="str">
            <v>EBUS U12 SC</v>
          </cell>
          <cell r="I3783">
            <v>2022</v>
          </cell>
          <cell r="J3783" t="str">
            <v>B</v>
          </cell>
          <cell r="K3783" t="str">
            <v>Santa Rosa</v>
          </cell>
          <cell r="N3783" t="str">
            <v>B</v>
          </cell>
        </row>
        <row r="3784">
          <cell r="B3784" t="str">
            <v>SFWB-98|</v>
          </cell>
          <cell r="C3784" t="str">
            <v>LVCB4L4D1MM003952</v>
          </cell>
          <cell r="D3784" t="str">
            <v>M221100302</v>
          </cell>
          <cell r="E3784" t="str">
            <v>FOTON</v>
          </cell>
          <cell r="F3784" t="str">
            <v>EBUS U12 SC</v>
          </cell>
          <cell r="G3784" t="str">
            <v>FOTON</v>
          </cell>
          <cell r="H3784" t="str">
            <v>EBUS U12 SC</v>
          </cell>
          <cell r="I3784">
            <v>2022</v>
          </cell>
          <cell r="J3784" t="str">
            <v>B</v>
          </cell>
          <cell r="K3784" t="str">
            <v>Santa Rosa</v>
          </cell>
          <cell r="N3784" t="str">
            <v>B</v>
          </cell>
        </row>
        <row r="3785">
          <cell r="B3785" t="str">
            <v>SFWZ-10|</v>
          </cell>
          <cell r="C3785" t="str">
            <v>LVCB4L4D3MM003953</v>
          </cell>
          <cell r="D3785" t="str">
            <v>M221100373</v>
          </cell>
          <cell r="E3785" t="str">
            <v>FOTON</v>
          </cell>
          <cell r="F3785" t="str">
            <v>EBUS U12 SC</v>
          </cell>
          <cell r="G3785" t="str">
            <v>FOTON</v>
          </cell>
          <cell r="H3785" t="str">
            <v>EBUS U12 SC</v>
          </cell>
          <cell r="I3785">
            <v>2022</v>
          </cell>
          <cell r="J3785" t="str">
            <v>B</v>
          </cell>
          <cell r="K3785" t="str">
            <v>Santa Rosa</v>
          </cell>
          <cell r="N3785" t="str">
            <v>B</v>
          </cell>
        </row>
        <row r="3786">
          <cell r="B3786" t="str">
            <v>SFWZ-13|</v>
          </cell>
          <cell r="C3786" t="str">
            <v>LVCB4L4D7MM003955</v>
          </cell>
          <cell r="D3786" t="str">
            <v>M221100404</v>
          </cell>
          <cell r="E3786" t="str">
            <v>FOTON</v>
          </cell>
          <cell r="F3786" t="str">
            <v>EBUS U12 SC</v>
          </cell>
          <cell r="G3786" t="str">
            <v>FOTON</v>
          </cell>
          <cell r="H3786" t="str">
            <v>EBUS U12 SC</v>
          </cell>
          <cell r="I3786">
            <v>2022</v>
          </cell>
          <cell r="J3786" t="str">
            <v>B</v>
          </cell>
          <cell r="K3786" t="str">
            <v>Santa Rosa</v>
          </cell>
          <cell r="N3786" t="str">
            <v>B</v>
          </cell>
        </row>
        <row r="3787">
          <cell r="B3787" t="str">
            <v>SFWZ-14|</v>
          </cell>
          <cell r="C3787" t="str">
            <v>LVCB4L4D2MM003958</v>
          </cell>
          <cell r="D3787" t="str">
            <v>M221100512</v>
          </cell>
          <cell r="E3787" t="str">
            <v>FOTON</v>
          </cell>
          <cell r="F3787" t="str">
            <v>EBUS U12 SC</v>
          </cell>
          <cell r="G3787" t="str">
            <v>FOTON</v>
          </cell>
          <cell r="H3787" t="str">
            <v>EBUS U12 SC</v>
          </cell>
          <cell r="I3787">
            <v>2022</v>
          </cell>
          <cell r="J3787" t="str">
            <v>B</v>
          </cell>
          <cell r="K3787" t="str">
            <v>Santa Rosa</v>
          </cell>
          <cell r="N3787" t="str">
            <v>B</v>
          </cell>
        </row>
        <row r="3788">
          <cell r="B3788" t="str">
            <v>SFWZ-16|</v>
          </cell>
          <cell r="C3788" t="str">
            <v>LVCB4L4D0MM003960</v>
          </cell>
          <cell r="D3788" t="str">
            <v>M221110581</v>
          </cell>
          <cell r="E3788" t="str">
            <v>FOTON</v>
          </cell>
          <cell r="F3788" t="str">
            <v>EBUS U12 SC</v>
          </cell>
          <cell r="G3788" t="str">
            <v>FOTON</v>
          </cell>
          <cell r="H3788" t="str">
            <v>EBUS U12 SC</v>
          </cell>
          <cell r="I3788">
            <v>2022</v>
          </cell>
          <cell r="J3788" t="str">
            <v>B</v>
          </cell>
          <cell r="K3788" t="str">
            <v>Recoleta</v>
          </cell>
          <cell r="N3788" t="str">
            <v>B</v>
          </cell>
        </row>
        <row r="3789">
          <cell r="B3789" t="str">
            <v>SFWZ-17|</v>
          </cell>
          <cell r="C3789" t="str">
            <v>LVCB4L4D2MM003961</v>
          </cell>
          <cell r="D3789" t="str">
            <v>M221100478</v>
          </cell>
          <cell r="E3789" t="str">
            <v>FOTON</v>
          </cell>
          <cell r="F3789" t="str">
            <v>EBUS U12 SC</v>
          </cell>
          <cell r="G3789" t="str">
            <v>FOTON</v>
          </cell>
          <cell r="H3789" t="str">
            <v>EBUS U12 SC</v>
          </cell>
          <cell r="I3789">
            <v>2022</v>
          </cell>
          <cell r="J3789" t="str">
            <v>B</v>
          </cell>
          <cell r="K3789" t="str">
            <v>Recoleta</v>
          </cell>
          <cell r="N3789" t="str">
            <v>B</v>
          </cell>
        </row>
        <row r="3790">
          <cell r="B3790" t="str">
            <v>SFWZ-18|</v>
          </cell>
          <cell r="C3790" t="str">
            <v>LVCB4L4D4MM003962</v>
          </cell>
          <cell r="D3790" t="str">
            <v>M221100440</v>
          </cell>
          <cell r="E3790" t="str">
            <v>FOTON</v>
          </cell>
          <cell r="F3790" t="str">
            <v>EBUS U12 SC</v>
          </cell>
          <cell r="G3790" t="str">
            <v>FOTON</v>
          </cell>
          <cell r="H3790" t="str">
            <v>EBUS U12 SC</v>
          </cell>
          <cell r="I3790">
            <v>2022</v>
          </cell>
          <cell r="J3790" t="str">
            <v>B</v>
          </cell>
          <cell r="K3790" t="str">
            <v>Santa Rosa</v>
          </cell>
          <cell r="N3790" t="str">
            <v>B</v>
          </cell>
        </row>
        <row r="3791">
          <cell r="B3791" t="str">
            <v>SFWZ-20|</v>
          </cell>
          <cell r="C3791" t="str">
            <v>LVCB4L4D3MM003967</v>
          </cell>
          <cell r="D3791" t="str">
            <v>M221110579</v>
          </cell>
          <cell r="E3791" t="str">
            <v>FOTON</v>
          </cell>
          <cell r="F3791" t="str">
            <v>EBUS U12 SC</v>
          </cell>
          <cell r="G3791" t="str">
            <v>FOTON</v>
          </cell>
          <cell r="H3791" t="str">
            <v>EBUS U12 SC</v>
          </cell>
          <cell r="I3791">
            <v>2022</v>
          </cell>
          <cell r="J3791" t="str">
            <v>B</v>
          </cell>
          <cell r="K3791" t="str">
            <v>Santa Rosa</v>
          </cell>
          <cell r="N3791" t="str">
            <v>B</v>
          </cell>
        </row>
        <row r="3792">
          <cell r="B3792" t="str">
            <v>SFWZ-21|</v>
          </cell>
          <cell r="C3792" t="str">
            <v>LVCB4L4D5MM003968</v>
          </cell>
          <cell r="D3792" t="str">
            <v>M221110110</v>
          </cell>
          <cell r="E3792" t="str">
            <v>FOTON</v>
          </cell>
          <cell r="F3792" t="str">
            <v>EBUS U12 SC</v>
          </cell>
          <cell r="G3792" t="str">
            <v>FOTON</v>
          </cell>
          <cell r="H3792" t="str">
            <v>EBUS U12 SC</v>
          </cell>
          <cell r="I3792">
            <v>2022</v>
          </cell>
          <cell r="J3792" t="str">
            <v>B</v>
          </cell>
          <cell r="K3792" t="str">
            <v>Santa Rosa</v>
          </cell>
          <cell r="N3792" t="str">
            <v>B</v>
          </cell>
        </row>
        <row r="3793">
          <cell r="B3793" t="str">
            <v>SFWZ-23|</v>
          </cell>
          <cell r="C3793" t="str">
            <v>LVCB4L4D7MM003969</v>
          </cell>
          <cell r="D3793" t="str">
            <v>M221100513</v>
          </cell>
          <cell r="E3793" t="str">
            <v>FOTON</v>
          </cell>
          <cell r="F3793" t="str">
            <v>EBUS U12 SC</v>
          </cell>
          <cell r="G3793" t="str">
            <v>FOTON</v>
          </cell>
          <cell r="H3793" t="str">
            <v>EBUS U12 SC</v>
          </cell>
          <cell r="I3793">
            <v>2022</v>
          </cell>
          <cell r="J3793" t="str">
            <v>B</v>
          </cell>
          <cell r="K3793" t="str">
            <v>Santa Rosa</v>
          </cell>
          <cell r="N3793" t="str">
            <v>B</v>
          </cell>
        </row>
        <row r="3794">
          <cell r="B3794" t="str">
            <v>SFWZ-25|</v>
          </cell>
          <cell r="C3794" t="str">
            <v>LVCB4L4D3MM003970</v>
          </cell>
          <cell r="D3794" t="str">
            <v>M221110654</v>
          </cell>
          <cell r="E3794" t="str">
            <v>FOTON</v>
          </cell>
          <cell r="F3794" t="str">
            <v>EBUS U12 SC</v>
          </cell>
          <cell r="G3794" t="str">
            <v>FOTON</v>
          </cell>
          <cell r="H3794" t="str">
            <v>EBUS U12 SC</v>
          </cell>
          <cell r="I3794">
            <v>2022</v>
          </cell>
          <cell r="J3794" t="str">
            <v>B</v>
          </cell>
          <cell r="K3794" t="str">
            <v>Santa Rosa</v>
          </cell>
          <cell r="N3794" t="str">
            <v>B</v>
          </cell>
        </row>
        <row r="3795">
          <cell r="B3795" t="str">
            <v>SFWZ-26|</v>
          </cell>
          <cell r="C3795" t="str">
            <v>LVCB4L4D5MM003971</v>
          </cell>
          <cell r="D3795" t="str">
            <v>M221100476</v>
          </cell>
          <cell r="E3795" t="str">
            <v>FOTON</v>
          </cell>
          <cell r="F3795" t="str">
            <v>EBUS U12 SC</v>
          </cell>
          <cell r="G3795" t="str">
            <v>FOTON</v>
          </cell>
          <cell r="H3795" t="str">
            <v>EBUS U12 SC</v>
          </cell>
          <cell r="I3795">
            <v>2022</v>
          </cell>
          <cell r="J3795" t="str">
            <v>B</v>
          </cell>
          <cell r="K3795" t="str">
            <v>Santa Rosa</v>
          </cell>
          <cell r="N3795" t="str">
            <v>B</v>
          </cell>
        </row>
        <row r="3796">
          <cell r="B3796" t="str">
            <v>SFWZ-27|</v>
          </cell>
          <cell r="C3796" t="str">
            <v>LVCB4L4D9MM003973</v>
          </cell>
          <cell r="D3796" t="str">
            <v>M221100410</v>
          </cell>
          <cell r="E3796" t="str">
            <v>FOTON</v>
          </cell>
          <cell r="F3796" t="str">
            <v>EBUS U12 SC</v>
          </cell>
          <cell r="G3796" t="str">
            <v>FOTON</v>
          </cell>
          <cell r="H3796" t="str">
            <v>EBUS U12 SC</v>
          </cell>
          <cell r="I3796">
            <v>2022</v>
          </cell>
          <cell r="J3796" t="str">
            <v>B</v>
          </cell>
          <cell r="K3796" t="str">
            <v>Recoleta</v>
          </cell>
          <cell r="N3796" t="str">
            <v>B</v>
          </cell>
        </row>
        <row r="3797">
          <cell r="B3797" t="str">
            <v>SFWZ-29|</v>
          </cell>
          <cell r="C3797" t="str">
            <v>LVCB4L4D4MM003976</v>
          </cell>
          <cell r="D3797" t="str">
            <v>M221120001</v>
          </cell>
          <cell r="E3797" t="str">
            <v>FOTON</v>
          </cell>
          <cell r="F3797" t="str">
            <v>EBUS U12 SC</v>
          </cell>
          <cell r="G3797" t="str">
            <v>FOTON</v>
          </cell>
          <cell r="H3797" t="str">
            <v>EBUS U12 SC</v>
          </cell>
          <cell r="I3797">
            <v>2022</v>
          </cell>
          <cell r="J3797" t="str">
            <v>B</v>
          </cell>
          <cell r="K3797" t="str">
            <v>Recoleta</v>
          </cell>
          <cell r="N3797" t="str">
            <v>B</v>
          </cell>
        </row>
        <row r="3798">
          <cell r="B3798" t="str">
            <v>SFWZ-31|</v>
          </cell>
          <cell r="C3798" t="str">
            <v>LVCB4L4D6MM003977</v>
          </cell>
          <cell r="D3798" t="str">
            <v>M221110536</v>
          </cell>
          <cell r="E3798" t="str">
            <v>FOTON</v>
          </cell>
          <cell r="F3798" t="str">
            <v>EBUS U12 SC</v>
          </cell>
          <cell r="G3798" t="str">
            <v>FOTON</v>
          </cell>
          <cell r="H3798" t="str">
            <v>EBUS U12 SC</v>
          </cell>
          <cell r="I3798">
            <v>2022</v>
          </cell>
          <cell r="J3798" t="str">
            <v>B</v>
          </cell>
          <cell r="K3798" t="str">
            <v>Recoleta</v>
          </cell>
          <cell r="N3798" t="str">
            <v>B</v>
          </cell>
        </row>
        <row r="3799">
          <cell r="B3799" t="str">
            <v>SFWZ-32|</v>
          </cell>
          <cell r="C3799" t="str">
            <v>LVCB4L4DXMM003979</v>
          </cell>
          <cell r="D3799" t="str">
            <v>M221110535</v>
          </cell>
          <cell r="E3799" t="str">
            <v>FOTON</v>
          </cell>
          <cell r="F3799" t="str">
            <v>EBUS U12 SC</v>
          </cell>
          <cell r="G3799" t="str">
            <v>FOTON</v>
          </cell>
          <cell r="H3799" t="str">
            <v>EBUS U12 SC</v>
          </cell>
          <cell r="I3799">
            <v>2022</v>
          </cell>
          <cell r="J3799" t="str">
            <v>B</v>
          </cell>
          <cell r="K3799" t="str">
            <v>Santa Rosa</v>
          </cell>
          <cell r="N3799" t="str">
            <v>B</v>
          </cell>
        </row>
        <row r="3800">
          <cell r="B3800" t="str">
            <v>SFWZ-33|</v>
          </cell>
          <cell r="C3800" t="str">
            <v>LVCB4L4D8MM003981</v>
          </cell>
          <cell r="D3800" t="str">
            <v>M221100514</v>
          </cell>
          <cell r="E3800" t="str">
            <v>FOTON</v>
          </cell>
          <cell r="F3800" t="str">
            <v>EBUS U12 SC</v>
          </cell>
          <cell r="G3800" t="str">
            <v>FOTON</v>
          </cell>
          <cell r="H3800" t="str">
            <v>EBUS U12 SC</v>
          </cell>
          <cell r="I3800">
            <v>2022</v>
          </cell>
          <cell r="J3800" t="str">
            <v>B</v>
          </cell>
          <cell r="K3800" t="str">
            <v>Recoleta</v>
          </cell>
          <cell r="N3800" t="str">
            <v>B</v>
          </cell>
        </row>
        <row r="3801">
          <cell r="B3801" t="str">
            <v>SFWZ-34|</v>
          </cell>
          <cell r="C3801" t="str">
            <v>LVCB4L4DXMM003982</v>
          </cell>
          <cell r="D3801" t="str">
            <v>M221110115</v>
          </cell>
          <cell r="E3801" t="str">
            <v>FOTON</v>
          </cell>
          <cell r="F3801" t="str">
            <v>EBUS U12 SC</v>
          </cell>
          <cell r="G3801" t="str">
            <v>FOTON</v>
          </cell>
          <cell r="H3801" t="str">
            <v>EBUS U12 SC</v>
          </cell>
          <cell r="I3801">
            <v>2022</v>
          </cell>
          <cell r="J3801" t="str">
            <v>B</v>
          </cell>
          <cell r="K3801" t="str">
            <v>Santa Rosa</v>
          </cell>
          <cell r="N3801" t="str">
            <v>B</v>
          </cell>
        </row>
        <row r="3802">
          <cell r="B3802" t="str">
            <v>SFWZ-36|</v>
          </cell>
          <cell r="C3802" t="str">
            <v>LVCB4L4D5MM003985</v>
          </cell>
          <cell r="D3802" t="str">
            <v>M221100525</v>
          </cell>
          <cell r="E3802" t="str">
            <v>FOTON</v>
          </cell>
          <cell r="F3802" t="str">
            <v>EBUS U12 SC</v>
          </cell>
          <cell r="G3802" t="str">
            <v>FOTON</v>
          </cell>
          <cell r="H3802" t="str">
            <v>EBUS U12 SC</v>
          </cell>
          <cell r="I3802">
            <v>2022</v>
          </cell>
          <cell r="J3802" t="str">
            <v>B</v>
          </cell>
          <cell r="K3802" t="str">
            <v>Santa Rosa</v>
          </cell>
          <cell r="N3802" t="str">
            <v>B</v>
          </cell>
        </row>
        <row r="3803">
          <cell r="B3803" t="str">
            <v>SFWZ-37|</v>
          </cell>
          <cell r="C3803" t="str">
            <v>LVCB4L4D8NM002640</v>
          </cell>
          <cell r="D3803" t="str">
            <v>M221100490</v>
          </cell>
          <cell r="E3803" t="str">
            <v>FOTON</v>
          </cell>
          <cell r="F3803" t="str">
            <v>EBUS U12 SC</v>
          </cell>
          <cell r="G3803" t="str">
            <v>FOTON</v>
          </cell>
          <cell r="H3803" t="str">
            <v>EBUS U12 SC</v>
          </cell>
          <cell r="I3803">
            <v>2022</v>
          </cell>
          <cell r="J3803" t="str">
            <v>B</v>
          </cell>
          <cell r="K3803" t="str">
            <v>Recoleta</v>
          </cell>
          <cell r="N3803" t="str">
            <v>B</v>
          </cell>
        </row>
        <row r="3804">
          <cell r="B3804" t="str">
            <v>SFWZ-38|</v>
          </cell>
          <cell r="C3804" t="str">
            <v>LVCB4L4D7MM003986</v>
          </cell>
          <cell r="D3804" t="str">
            <v>M221120002</v>
          </cell>
          <cell r="E3804" t="str">
            <v>FOTON</v>
          </cell>
          <cell r="F3804" t="str">
            <v>EBUS U12 SC</v>
          </cell>
          <cell r="G3804" t="str">
            <v>FOTON</v>
          </cell>
          <cell r="H3804" t="str">
            <v>EBUS U12 SC</v>
          </cell>
          <cell r="I3804">
            <v>2022</v>
          </cell>
          <cell r="J3804" t="str">
            <v>B</v>
          </cell>
          <cell r="K3804" t="str">
            <v>Santa Rosa</v>
          </cell>
          <cell r="N3804" t="str">
            <v>B</v>
          </cell>
        </row>
        <row r="3805">
          <cell r="B3805" t="str">
            <v>SFWZ-39|</v>
          </cell>
          <cell r="C3805" t="str">
            <v>LVCB4L4D9MM003987</v>
          </cell>
          <cell r="D3805" t="str">
            <v>M221110655</v>
          </cell>
          <cell r="E3805" t="str">
            <v>FOTON</v>
          </cell>
          <cell r="F3805" t="str">
            <v>EBUS U12 SC</v>
          </cell>
          <cell r="G3805" t="str">
            <v>FOTON</v>
          </cell>
          <cell r="H3805" t="str">
            <v>EBUS U12 SC</v>
          </cell>
          <cell r="I3805">
            <v>2022</v>
          </cell>
          <cell r="J3805" t="str">
            <v>B</v>
          </cell>
          <cell r="K3805" t="str">
            <v>Recoleta</v>
          </cell>
          <cell r="N3805" t="str">
            <v>B</v>
          </cell>
        </row>
        <row r="3806">
          <cell r="B3806" t="str">
            <v>SFWZ-40|</v>
          </cell>
          <cell r="C3806" t="str">
            <v>LVCB4L4D7NM002631</v>
          </cell>
          <cell r="D3806" t="str">
            <v>M221110657</v>
          </cell>
          <cell r="E3806" t="str">
            <v>FOTON</v>
          </cell>
          <cell r="F3806" t="str">
            <v>EBUS U12 SC</v>
          </cell>
          <cell r="G3806" t="str">
            <v>FOTON</v>
          </cell>
          <cell r="H3806" t="str">
            <v>EBUS U12 SC</v>
          </cell>
          <cell r="I3806">
            <v>2022</v>
          </cell>
          <cell r="J3806" t="str">
            <v>B</v>
          </cell>
          <cell r="K3806" t="str">
            <v>Santa Rosa</v>
          </cell>
          <cell r="N3806" t="str">
            <v>B</v>
          </cell>
        </row>
        <row r="3807">
          <cell r="B3807" t="str">
            <v>SFWZ-42|</v>
          </cell>
          <cell r="C3807" t="str">
            <v>LVCB4L4D9NM002632</v>
          </cell>
          <cell r="D3807" t="str">
            <v>M221100550</v>
          </cell>
          <cell r="E3807" t="str">
            <v>FOTON</v>
          </cell>
          <cell r="F3807" t="str">
            <v>EBUS U12 SC</v>
          </cell>
          <cell r="G3807" t="str">
            <v>FOTON</v>
          </cell>
          <cell r="H3807" t="str">
            <v>EBUS U12 SC</v>
          </cell>
          <cell r="I3807">
            <v>2022</v>
          </cell>
          <cell r="J3807" t="str">
            <v>B</v>
          </cell>
          <cell r="K3807" t="str">
            <v>Recoleta</v>
          </cell>
          <cell r="N3807" t="str">
            <v>B</v>
          </cell>
        </row>
        <row r="3808">
          <cell r="B3808" t="str">
            <v>SFWZ-45|</v>
          </cell>
          <cell r="C3808" t="str">
            <v>LVCB4L4D0NM002633</v>
          </cell>
          <cell r="D3808" t="str">
            <v>M221110538</v>
          </cell>
          <cell r="E3808" t="str">
            <v>FOTON</v>
          </cell>
          <cell r="F3808" t="str">
            <v>EBUS U12 SC</v>
          </cell>
          <cell r="G3808" t="str">
            <v>FOTON</v>
          </cell>
          <cell r="H3808" t="str">
            <v>EBUS U12 SC</v>
          </cell>
          <cell r="I3808">
            <v>2022</v>
          </cell>
          <cell r="J3808" t="str">
            <v>B</v>
          </cell>
          <cell r="K3808" t="str">
            <v>Santa Rosa</v>
          </cell>
          <cell r="N3808" t="str">
            <v>B</v>
          </cell>
        </row>
        <row r="3809">
          <cell r="B3809" t="str">
            <v>SFWZ-48|</v>
          </cell>
          <cell r="C3809" t="str">
            <v>LVCB4L4D4NM002635</v>
          </cell>
          <cell r="D3809" t="str">
            <v>M221110653</v>
          </cell>
          <cell r="E3809" t="str">
            <v>FOTON</v>
          </cell>
          <cell r="F3809" t="str">
            <v>EBUS U12 SC</v>
          </cell>
          <cell r="G3809" t="str">
            <v>FOTON</v>
          </cell>
          <cell r="H3809" t="str">
            <v>EBUS U12 SC</v>
          </cell>
          <cell r="I3809">
            <v>2022</v>
          </cell>
          <cell r="J3809" t="str">
            <v>B</v>
          </cell>
          <cell r="K3809" t="str">
            <v>Recoleta</v>
          </cell>
          <cell r="N3809" t="str">
            <v>B</v>
          </cell>
        </row>
        <row r="3810">
          <cell r="B3810" t="str">
            <v>SFWZ-49|</v>
          </cell>
          <cell r="C3810" t="str">
            <v>LVCB4L4D6NM002636</v>
          </cell>
          <cell r="D3810" t="str">
            <v>M221110109</v>
          </cell>
          <cell r="E3810" t="str">
            <v>FOTON</v>
          </cell>
          <cell r="F3810" t="str">
            <v>EBUS U12 SC</v>
          </cell>
          <cell r="G3810" t="str">
            <v>FOTON</v>
          </cell>
          <cell r="H3810" t="str">
            <v>EBUS U12 SC</v>
          </cell>
          <cell r="I3810">
            <v>2022</v>
          </cell>
          <cell r="J3810" t="str">
            <v>B</v>
          </cell>
          <cell r="K3810" t="str">
            <v>Recoleta</v>
          </cell>
          <cell r="N3810" t="str">
            <v>B</v>
          </cell>
        </row>
        <row r="3811">
          <cell r="B3811" t="str">
            <v>SFWZ-50|</v>
          </cell>
          <cell r="C3811" t="str">
            <v>LVCB4L4D8NM002637</v>
          </cell>
          <cell r="D3811" t="str">
            <v>M221100545</v>
          </cell>
          <cell r="E3811" t="str">
            <v>FOTON</v>
          </cell>
          <cell r="F3811" t="str">
            <v>EBUS U12 SC</v>
          </cell>
          <cell r="G3811" t="str">
            <v>FOTON</v>
          </cell>
          <cell r="H3811" t="str">
            <v>EBUS U12 SC</v>
          </cell>
          <cell r="I3811">
            <v>2022</v>
          </cell>
          <cell r="J3811" t="str">
            <v>B</v>
          </cell>
          <cell r="K3811" t="str">
            <v>Recoleta</v>
          </cell>
          <cell r="N3811" t="str">
            <v>B</v>
          </cell>
        </row>
        <row r="3812">
          <cell r="B3812" t="str">
            <v>SFWZ-52|</v>
          </cell>
          <cell r="C3812" t="str">
            <v>LVCB4L4DXNM002638</v>
          </cell>
          <cell r="D3812" t="str">
            <v>M221110095</v>
          </cell>
          <cell r="E3812" t="str">
            <v>FOTON</v>
          </cell>
          <cell r="F3812" t="str">
            <v>EBUS U12 SC</v>
          </cell>
          <cell r="G3812" t="str">
            <v>FOTON</v>
          </cell>
          <cell r="H3812" t="str">
            <v>EBUS U12 SC</v>
          </cell>
          <cell r="I3812">
            <v>2022</v>
          </cell>
          <cell r="J3812" t="str">
            <v>B</v>
          </cell>
          <cell r="K3812" t="str">
            <v>Recoleta</v>
          </cell>
          <cell r="N3812" t="str">
            <v>B</v>
          </cell>
        </row>
        <row r="3813">
          <cell r="B3813" t="str">
            <v>SFWZ-53|</v>
          </cell>
          <cell r="C3813" t="str">
            <v>LVCB4L4D1NM002639</v>
          </cell>
          <cell r="D3813" t="str">
            <v>M221110580</v>
          </cell>
          <cell r="E3813" t="str">
            <v>FOTON</v>
          </cell>
          <cell r="F3813" t="str">
            <v>EBUS U12 SC</v>
          </cell>
          <cell r="G3813" t="str">
            <v>FOTON</v>
          </cell>
          <cell r="H3813" t="str">
            <v>EBUS U12 SC</v>
          </cell>
          <cell r="I3813">
            <v>2022</v>
          </cell>
          <cell r="J3813" t="str">
            <v>B</v>
          </cell>
          <cell r="K3813" t="str">
            <v>Recoleta</v>
          </cell>
          <cell r="N3813" t="str">
            <v>B</v>
          </cell>
        </row>
        <row r="3814">
          <cell r="B3814" t="str">
            <v>SFWZ-54|</v>
          </cell>
          <cell r="C3814" t="str">
            <v>LVCB4L4DXNM002641</v>
          </cell>
          <cell r="D3814" t="str">
            <v>M221100298</v>
          </cell>
          <cell r="E3814" t="str">
            <v>FOTON</v>
          </cell>
          <cell r="F3814" t="str">
            <v>EBUS U12 SC</v>
          </cell>
          <cell r="G3814" t="str">
            <v>FOTON</v>
          </cell>
          <cell r="H3814" t="str">
            <v>EBUS U12 SC</v>
          </cell>
          <cell r="I3814">
            <v>2022</v>
          </cell>
          <cell r="J3814" t="str">
            <v>B</v>
          </cell>
          <cell r="K3814" t="str">
            <v>Recoleta</v>
          </cell>
          <cell r="N3814" t="str">
            <v>B</v>
          </cell>
        </row>
        <row r="3815">
          <cell r="B3815" t="str">
            <v>SFWZ-55|</v>
          </cell>
          <cell r="C3815" t="str">
            <v>LVCB4L4D1NM002642</v>
          </cell>
          <cell r="D3815" t="str">
            <v>M221100436</v>
          </cell>
          <cell r="E3815" t="str">
            <v>FOTON</v>
          </cell>
          <cell r="F3815" t="str">
            <v>EBUS U12 SC</v>
          </cell>
          <cell r="G3815" t="str">
            <v>FOTON</v>
          </cell>
          <cell r="H3815" t="str">
            <v>EBUS U12 SC</v>
          </cell>
          <cell r="I3815">
            <v>2022</v>
          </cell>
          <cell r="J3815" t="str">
            <v>B</v>
          </cell>
          <cell r="K3815" t="str">
            <v>Recoleta</v>
          </cell>
          <cell r="N3815" t="str">
            <v>B</v>
          </cell>
        </row>
        <row r="3816">
          <cell r="B3816" t="str">
            <v>SFWZ-56|</v>
          </cell>
          <cell r="C3816" t="str">
            <v>LVCB4L4D3NM002643</v>
          </cell>
          <cell r="D3816" t="str">
            <v>M221100488</v>
          </cell>
          <cell r="E3816" t="str">
            <v>FOTON</v>
          </cell>
          <cell r="F3816" t="str">
            <v>EBUS U12 SC</v>
          </cell>
          <cell r="G3816" t="str">
            <v>FOTON</v>
          </cell>
          <cell r="H3816" t="str">
            <v>EBUS U12 SC</v>
          </cell>
          <cell r="I3816">
            <v>2022</v>
          </cell>
          <cell r="J3816" t="str">
            <v>B</v>
          </cell>
          <cell r="K3816" t="str">
            <v>Recoleta</v>
          </cell>
          <cell r="N3816" t="str">
            <v>B</v>
          </cell>
        </row>
        <row r="3817">
          <cell r="B3817" t="str">
            <v>SFWZ-58|</v>
          </cell>
          <cell r="C3817" t="str">
            <v>LVCB4L4D7NM002645</v>
          </cell>
          <cell r="D3817" t="str">
            <v>M221100401</v>
          </cell>
          <cell r="E3817" t="str">
            <v>FOTON</v>
          </cell>
          <cell r="F3817" t="str">
            <v>EBUS U12 SC</v>
          </cell>
          <cell r="G3817" t="str">
            <v>FOTON</v>
          </cell>
          <cell r="H3817" t="str">
            <v>EBUS U12 SC</v>
          </cell>
          <cell r="I3817">
            <v>2022</v>
          </cell>
          <cell r="J3817" t="str">
            <v>B</v>
          </cell>
          <cell r="K3817" t="str">
            <v>Santa Rosa</v>
          </cell>
          <cell r="N3817" t="str">
            <v>B</v>
          </cell>
        </row>
        <row r="3818">
          <cell r="B3818" t="str">
            <v>SFWZ-59|</v>
          </cell>
          <cell r="C3818" t="str">
            <v>LVCB4L4D9NM002646</v>
          </cell>
          <cell r="D3818" t="str">
            <v>M221110103</v>
          </cell>
          <cell r="E3818" t="str">
            <v>FOTON</v>
          </cell>
          <cell r="F3818" t="str">
            <v>EBUS U12 SC</v>
          </cell>
          <cell r="G3818" t="str">
            <v>FOTON</v>
          </cell>
          <cell r="H3818" t="str">
            <v>EBUS U12 SC</v>
          </cell>
          <cell r="I3818">
            <v>2022</v>
          </cell>
          <cell r="J3818" t="str">
            <v>B</v>
          </cell>
          <cell r="K3818" t="str">
            <v>Recoleta</v>
          </cell>
          <cell r="N3818" t="str">
            <v>B</v>
          </cell>
        </row>
        <row r="3819">
          <cell r="B3819" t="str">
            <v>SFWZ-61|</v>
          </cell>
          <cell r="C3819" t="str">
            <v>LVCB4L4D0NM002647</v>
          </cell>
          <cell r="D3819" t="str">
            <v>M221100524</v>
          </cell>
          <cell r="E3819" t="str">
            <v>FOTON</v>
          </cell>
          <cell r="F3819" t="str">
            <v>EBUS U12 SC</v>
          </cell>
          <cell r="G3819" t="str">
            <v>FOTON</v>
          </cell>
          <cell r="H3819" t="str">
            <v>EBUS U12 SC</v>
          </cell>
          <cell r="I3819">
            <v>2022</v>
          </cell>
          <cell r="J3819" t="str">
            <v>B</v>
          </cell>
          <cell r="K3819" t="str">
            <v>Recoleta</v>
          </cell>
          <cell r="N3819" t="str">
            <v>B</v>
          </cell>
        </row>
        <row r="3820">
          <cell r="B3820" t="str">
            <v>SFWZ-62|</v>
          </cell>
          <cell r="C3820" t="str">
            <v>LVCB4L4D2NM002648</v>
          </cell>
          <cell r="D3820" t="str">
            <v>M221100442</v>
          </cell>
          <cell r="E3820" t="str">
            <v>FOTON</v>
          </cell>
          <cell r="F3820" t="str">
            <v>EBUS U12 SC</v>
          </cell>
          <cell r="G3820" t="str">
            <v>FOTON</v>
          </cell>
          <cell r="H3820" t="str">
            <v>EBUS U12 SC</v>
          </cell>
          <cell r="I3820">
            <v>2022</v>
          </cell>
          <cell r="J3820" t="str">
            <v>B</v>
          </cell>
          <cell r="K3820" t="str">
            <v>Recoleta</v>
          </cell>
          <cell r="N3820" t="str">
            <v>B</v>
          </cell>
        </row>
        <row r="3821">
          <cell r="B3821" t="str">
            <v>SFWZ-63|</v>
          </cell>
          <cell r="C3821" t="str">
            <v>LVCB4L4D4NM002649</v>
          </cell>
          <cell r="D3821" t="str">
            <v>M221100412</v>
          </cell>
          <cell r="E3821" t="str">
            <v>FOTON</v>
          </cell>
          <cell r="F3821" t="str">
            <v>EBUS U12 SC</v>
          </cell>
          <cell r="G3821" t="str">
            <v>FOTON</v>
          </cell>
          <cell r="H3821" t="str">
            <v>EBUS U12 SC</v>
          </cell>
          <cell r="I3821">
            <v>2022</v>
          </cell>
          <cell r="J3821" t="str">
            <v>B</v>
          </cell>
          <cell r="K3821" t="str">
            <v>Santa Rosa</v>
          </cell>
          <cell r="N3821" t="str">
            <v>B</v>
          </cell>
        </row>
        <row r="3822">
          <cell r="B3822" t="str">
            <v>SFWZ-64|</v>
          </cell>
          <cell r="C3822" t="str">
            <v>LVCB4L4D0NM002650</v>
          </cell>
          <cell r="D3822" t="str">
            <v>M221110537</v>
          </cell>
          <cell r="E3822" t="str">
            <v>FOTON</v>
          </cell>
          <cell r="F3822" t="str">
            <v>EBUS U12 SC</v>
          </cell>
          <cell r="G3822" t="str">
            <v>FOTON</v>
          </cell>
          <cell r="H3822" t="str">
            <v>EBUS U12 SC</v>
          </cell>
          <cell r="I3822">
            <v>2022</v>
          </cell>
          <cell r="J3822" t="str">
            <v>B</v>
          </cell>
          <cell r="K3822" t="str">
            <v>Recoleta</v>
          </cell>
          <cell r="N3822" t="str">
            <v>B</v>
          </cell>
        </row>
        <row r="3823">
          <cell r="B3823" t="str">
            <v>SFWZ-65|</v>
          </cell>
          <cell r="C3823" t="str">
            <v>LVCB4L4D2NM002651</v>
          </cell>
          <cell r="D3823" t="str">
            <v>M221100486</v>
          </cell>
          <cell r="E3823" t="str">
            <v>FOTON</v>
          </cell>
          <cell r="F3823" t="str">
            <v>EBUS U12 SC</v>
          </cell>
          <cell r="G3823" t="str">
            <v>FOTON</v>
          </cell>
          <cell r="H3823" t="str">
            <v>EBUS U12 SC</v>
          </cell>
          <cell r="I3823">
            <v>2022</v>
          </cell>
          <cell r="J3823" t="str">
            <v>B</v>
          </cell>
          <cell r="K3823" t="str">
            <v>Recoleta</v>
          </cell>
          <cell r="N3823" t="str">
            <v>B</v>
          </cell>
        </row>
        <row r="3824">
          <cell r="B3824" t="str">
            <v>SFWZ-66|</v>
          </cell>
          <cell r="C3824" t="str">
            <v>LVCB4L4D4NM002652</v>
          </cell>
          <cell r="D3824" t="str">
            <v>M221110530</v>
          </cell>
          <cell r="E3824" t="str">
            <v>FOTON</v>
          </cell>
          <cell r="F3824" t="str">
            <v>EBUS U12 SC</v>
          </cell>
          <cell r="G3824" t="str">
            <v>FOTON</v>
          </cell>
          <cell r="H3824" t="str">
            <v>EBUS U12 SC</v>
          </cell>
          <cell r="I3824">
            <v>2022</v>
          </cell>
          <cell r="J3824" t="str">
            <v>B</v>
          </cell>
          <cell r="K3824" t="str">
            <v>Recoleta</v>
          </cell>
          <cell r="N3824" t="str">
            <v>B</v>
          </cell>
        </row>
        <row r="3825">
          <cell r="B3825" t="str">
            <v>SFWZ-67|</v>
          </cell>
          <cell r="C3825" t="str">
            <v>LVCB4L4D6NM002653</v>
          </cell>
          <cell r="D3825" t="str">
            <v>M221100474</v>
          </cell>
          <cell r="E3825" t="str">
            <v>FOTON</v>
          </cell>
          <cell r="F3825" t="str">
            <v>EBUS U12 SC</v>
          </cell>
          <cell r="G3825" t="str">
            <v>FOTON</v>
          </cell>
          <cell r="H3825" t="str">
            <v>EBUS U12 SC</v>
          </cell>
          <cell r="I3825">
            <v>2022</v>
          </cell>
          <cell r="J3825" t="str">
            <v>B</v>
          </cell>
          <cell r="K3825" t="str">
            <v>Santa Rosa</v>
          </cell>
          <cell r="N3825" t="str">
            <v>B</v>
          </cell>
        </row>
        <row r="3826">
          <cell r="B3826" t="str">
            <v>SFWZ-68|</v>
          </cell>
          <cell r="C3826" t="str">
            <v>LVCB4L4DXNM002655</v>
          </cell>
          <cell r="D3826" t="str">
            <v>M221100411</v>
          </cell>
          <cell r="E3826" t="str">
            <v>FOTON</v>
          </cell>
          <cell r="F3826" t="str">
            <v>EBUS U12 SC</v>
          </cell>
          <cell r="G3826" t="str">
            <v>FOTON</v>
          </cell>
          <cell r="H3826" t="str">
            <v>EBUS U12 SC</v>
          </cell>
          <cell r="I3826">
            <v>2022</v>
          </cell>
          <cell r="J3826" t="str">
            <v>B</v>
          </cell>
          <cell r="K3826" t="str">
            <v>Santa Rosa</v>
          </cell>
          <cell r="N3826" t="str">
            <v>B</v>
          </cell>
        </row>
        <row r="3827">
          <cell r="B3827" t="str">
            <v>SFWZ-69|</v>
          </cell>
          <cell r="C3827" t="str">
            <v>LVCB4L4D1NM002656</v>
          </cell>
          <cell r="D3827" t="str">
            <v>M221100301</v>
          </cell>
          <cell r="E3827" t="str">
            <v>FOTON</v>
          </cell>
          <cell r="F3827" t="str">
            <v>EBUS U12 SC</v>
          </cell>
          <cell r="G3827" t="str">
            <v>FOTON</v>
          </cell>
          <cell r="H3827" t="str">
            <v>EBUS U12 SC</v>
          </cell>
          <cell r="I3827">
            <v>2022</v>
          </cell>
          <cell r="J3827" t="str">
            <v>B</v>
          </cell>
          <cell r="K3827" t="str">
            <v>Recoleta</v>
          </cell>
          <cell r="N3827" t="str">
            <v>B</v>
          </cell>
        </row>
        <row r="3828">
          <cell r="B3828" t="str">
            <v>SFWZ-70|</v>
          </cell>
          <cell r="C3828" t="str">
            <v>LVCB4L4D3NM002657</v>
          </cell>
          <cell r="D3828" t="str">
            <v>M221110532</v>
          </cell>
          <cell r="E3828" t="str">
            <v>FOTON</v>
          </cell>
          <cell r="F3828" t="str">
            <v>EBUS U12 SC</v>
          </cell>
          <cell r="G3828" t="str">
            <v>FOTON</v>
          </cell>
          <cell r="H3828" t="str">
            <v>EBUS U12 SC</v>
          </cell>
          <cell r="I3828">
            <v>2022</v>
          </cell>
          <cell r="J3828" t="str">
            <v>B</v>
          </cell>
          <cell r="K3828" t="str">
            <v>Santa Rosa</v>
          </cell>
          <cell r="N3828" t="str">
            <v>B</v>
          </cell>
        </row>
        <row r="3829">
          <cell r="B3829" t="str">
            <v>SFWZ-73|</v>
          </cell>
          <cell r="C3829" t="str">
            <v>LVCB4L4D5NM002658</v>
          </cell>
          <cell r="D3829" t="str">
            <v>M221100527</v>
          </cell>
          <cell r="E3829" t="str">
            <v>FOTON</v>
          </cell>
          <cell r="F3829" t="str">
            <v>EBUS U12 SC</v>
          </cell>
          <cell r="G3829" t="str">
            <v>FOTON</v>
          </cell>
          <cell r="H3829" t="str">
            <v>EBUS U12 SC</v>
          </cell>
          <cell r="I3829">
            <v>2022</v>
          </cell>
          <cell r="J3829" t="str">
            <v>B</v>
          </cell>
          <cell r="K3829" t="str">
            <v>Recoleta</v>
          </cell>
          <cell r="N3829" t="str">
            <v>B</v>
          </cell>
        </row>
        <row r="3830">
          <cell r="B3830" t="str">
            <v>SFWZ-74|</v>
          </cell>
          <cell r="C3830" t="str">
            <v>LVCB4L4D7NM002659</v>
          </cell>
          <cell r="D3830" t="str">
            <v>M221100403</v>
          </cell>
          <cell r="E3830" t="str">
            <v>FOTON</v>
          </cell>
          <cell r="F3830" t="str">
            <v>EBUS U12 SC</v>
          </cell>
          <cell r="G3830" t="str">
            <v>FOTON</v>
          </cell>
          <cell r="H3830" t="str">
            <v>EBUS U12 SC</v>
          </cell>
          <cell r="I3830">
            <v>2022</v>
          </cell>
          <cell r="J3830" t="str">
            <v>B</v>
          </cell>
          <cell r="K3830" t="str">
            <v>Santa Rosa</v>
          </cell>
          <cell r="N3830" t="str">
            <v>B</v>
          </cell>
        </row>
        <row r="3831">
          <cell r="B3831" t="str">
            <v>SFWZ-75|</v>
          </cell>
          <cell r="C3831" t="str">
            <v>LVCB4L4D3NM002660</v>
          </cell>
          <cell r="D3831" t="str">
            <v>M221100542</v>
          </cell>
          <cell r="E3831" t="str">
            <v>FOTON</v>
          </cell>
          <cell r="F3831" t="str">
            <v>EBUS U12 SC</v>
          </cell>
          <cell r="G3831" t="str">
            <v>FOTON</v>
          </cell>
          <cell r="H3831" t="str">
            <v>EBUS U12 SC</v>
          </cell>
          <cell r="I3831">
            <v>2022</v>
          </cell>
          <cell r="J3831" t="str">
            <v>B</v>
          </cell>
          <cell r="K3831" t="str">
            <v>Santa Rosa</v>
          </cell>
          <cell r="N3831" t="str">
            <v>B</v>
          </cell>
        </row>
        <row r="3832">
          <cell r="B3832" t="str">
            <v>SFWZ-76|</v>
          </cell>
          <cell r="C3832" t="str">
            <v>LVCB4L4D5NM002661</v>
          </cell>
          <cell r="D3832" t="str">
            <v>M221110527</v>
          </cell>
          <cell r="E3832" t="str">
            <v>FOTON</v>
          </cell>
          <cell r="F3832" t="str">
            <v>EBUS U12 SC</v>
          </cell>
          <cell r="G3832" t="str">
            <v>FOTON</v>
          </cell>
          <cell r="H3832" t="str">
            <v>EBUS U12 SC</v>
          </cell>
          <cell r="I3832">
            <v>2022</v>
          </cell>
          <cell r="J3832" t="str">
            <v>B</v>
          </cell>
          <cell r="K3832" t="str">
            <v>Santa Rosa</v>
          </cell>
          <cell r="N3832" t="str">
            <v>B</v>
          </cell>
        </row>
        <row r="3833">
          <cell r="B3833" t="str">
            <v>SFWZ-77|</v>
          </cell>
          <cell r="C3833" t="str">
            <v>LVCB4L4D7NM002662</v>
          </cell>
          <cell r="D3833" t="str">
            <v>M221100402</v>
          </cell>
          <cell r="E3833" t="str">
            <v>FOTON</v>
          </cell>
          <cell r="F3833" t="str">
            <v>EBUS U12 SC</v>
          </cell>
          <cell r="G3833" t="str">
            <v>FOTON</v>
          </cell>
          <cell r="H3833" t="str">
            <v>EBUS U12 SC</v>
          </cell>
          <cell r="I3833">
            <v>2022</v>
          </cell>
          <cell r="J3833" t="str">
            <v>B</v>
          </cell>
          <cell r="K3833" t="str">
            <v>Santa Rosa</v>
          </cell>
          <cell r="N3833" t="str">
            <v>B</v>
          </cell>
        </row>
        <row r="3834">
          <cell r="B3834" t="str">
            <v>SFWZ-78|</v>
          </cell>
          <cell r="C3834" t="str">
            <v>LVCB4L4D9NM002663</v>
          </cell>
          <cell r="D3834" t="str">
            <v>M221110019</v>
          </cell>
          <cell r="E3834" t="str">
            <v>FOTON</v>
          </cell>
          <cell r="F3834" t="str">
            <v>EBUS U12 SC</v>
          </cell>
          <cell r="G3834" t="str">
            <v>FOTON</v>
          </cell>
          <cell r="H3834" t="str">
            <v>EBUS U12 SC</v>
          </cell>
          <cell r="I3834">
            <v>2022</v>
          </cell>
          <cell r="J3834" t="str">
            <v>B</v>
          </cell>
          <cell r="K3834" t="str">
            <v>Santa Rosa</v>
          </cell>
          <cell r="N3834" t="str">
            <v>B</v>
          </cell>
        </row>
        <row r="3835">
          <cell r="B3835" t="str">
            <v>SFWZ-80|</v>
          </cell>
          <cell r="C3835" t="str">
            <v>LVCB4L4D2NM002665</v>
          </cell>
          <cell r="D3835" t="str">
            <v>M221100489</v>
          </cell>
          <cell r="E3835" t="str">
            <v>FOTON</v>
          </cell>
          <cell r="F3835" t="str">
            <v>EBUS U12 SC</v>
          </cell>
          <cell r="G3835" t="str">
            <v>FOTON</v>
          </cell>
          <cell r="H3835" t="str">
            <v>EBUS U12 SC</v>
          </cell>
          <cell r="I3835">
            <v>2022</v>
          </cell>
          <cell r="J3835" t="str">
            <v>B</v>
          </cell>
          <cell r="K3835" t="str">
            <v>Recoleta</v>
          </cell>
          <cell r="N3835" t="str">
            <v>B</v>
          </cell>
        </row>
        <row r="3836">
          <cell r="B3836" t="str">
            <v>SFWZ-81|</v>
          </cell>
          <cell r="C3836" t="str">
            <v>LVCB4L4D4NM002666</v>
          </cell>
          <cell r="D3836" t="str">
            <v>M221110651</v>
          </cell>
          <cell r="E3836" t="str">
            <v>FOTON</v>
          </cell>
          <cell r="F3836" t="str">
            <v>EBUS U12 SC</v>
          </cell>
          <cell r="G3836" t="str">
            <v>FOTON</v>
          </cell>
          <cell r="H3836" t="str">
            <v>EBUS U12 SC</v>
          </cell>
          <cell r="I3836">
            <v>2022</v>
          </cell>
          <cell r="J3836" t="str">
            <v>B</v>
          </cell>
          <cell r="K3836" t="str">
            <v>Recoleta</v>
          </cell>
          <cell r="N3836" t="str">
            <v>B</v>
          </cell>
        </row>
        <row r="3837">
          <cell r="B3837" t="str">
            <v>SFWZ-82|</v>
          </cell>
          <cell r="C3837" t="str">
            <v>LVCB4L4D6NM002667</v>
          </cell>
          <cell r="D3837" t="str">
            <v>M221100405</v>
          </cell>
          <cell r="E3837" t="str">
            <v>FOTON</v>
          </cell>
          <cell r="F3837" t="str">
            <v>EBUS U12 SC</v>
          </cell>
          <cell r="G3837" t="str">
            <v>FOTON</v>
          </cell>
          <cell r="H3837" t="str">
            <v>EBUS U12 SC</v>
          </cell>
          <cell r="I3837">
            <v>2022</v>
          </cell>
          <cell r="J3837" t="str">
            <v>B</v>
          </cell>
          <cell r="K3837" t="str">
            <v>Recoleta</v>
          </cell>
          <cell r="N3837" t="str">
            <v>B</v>
          </cell>
        </row>
        <row r="3838">
          <cell r="B3838" t="str">
            <v>SFWZ-83|</v>
          </cell>
          <cell r="C3838" t="str">
            <v>LVCB4L4D8NM002668</v>
          </cell>
          <cell r="D3838" t="str">
            <v>M221100526</v>
          </cell>
          <cell r="E3838" t="str">
            <v>FOTON</v>
          </cell>
          <cell r="F3838" t="str">
            <v>EBUS U12 SC</v>
          </cell>
          <cell r="G3838" t="str">
            <v>FOTON</v>
          </cell>
          <cell r="H3838" t="str">
            <v>EBUS U12 SC</v>
          </cell>
          <cell r="I3838">
            <v>2022</v>
          </cell>
          <cell r="J3838" t="str">
            <v>B</v>
          </cell>
          <cell r="K3838" t="str">
            <v>Recoleta</v>
          </cell>
          <cell r="N3838" t="str">
            <v>B</v>
          </cell>
        </row>
        <row r="3839">
          <cell r="B3839" t="str">
            <v>SFWZ-85|</v>
          </cell>
          <cell r="C3839" t="str">
            <v>LVCB4L4DXNM002669</v>
          </cell>
          <cell r="D3839" t="str">
            <v>M221110534</v>
          </cell>
          <cell r="E3839" t="str">
            <v>FOTON</v>
          </cell>
          <cell r="F3839" t="str">
            <v>EBUS U12 SC</v>
          </cell>
          <cell r="G3839" t="str">
            <v>FOTON</v>
          </cell>
          <cell r="H3839" t="str">
            <v>EBUS U12 SC</v>
          </cell>
          <cell r="I3839">
            <v>2022</v>
          </cell>
          <cell r="J3839" t="str">
            <v>B</v>
          </cell>
          <cell r="K3839" t="str">
            <v>Santa Rosa</v>
          </cell>
          <cell r="N3839" t="str">
            <v>B</v>
          </cell>
        </row>
        <row r="3840">
          <cell r="B3840" t="str">
            <v>SXKV-97|</v>
          </cell>
          <cell r="C3840" t="str">
            <v>YV3T7U520RA212108</v>
          </cell>
          <cell r="D3840">
            <v>593521</v>
          </cell>
          <cell r="E3840" t="str">
            <v>VOLVO</v>
          </cell>
          <cell r="F3840" t="str">
            <v>B8RLEA</v>
          </cell>
          <cell r="G3840" t="str">
            <v>MARCOPOLO</v>
          </cell>
          <cell r="H3840" t="str">
            <v>GRAN VIALE</v>
          </cell>
          <cell r="I3840">
            <v>2023</v>
          </cell>
          <cell r="J3840" t="str">
            <v>C</v>
          </cell>
          <cell r="K3840" t="str">
            <v>Santa Rosa</v>
          </cell>
          <cell r="N3840" t="str">
            <v>C</v>
          </cell>
        </row>
        <row r="3841">
          <cell r="B3841" t="str">
            <v>SXKV-98|</v>
          </cell>
          <cell r="C3841" t="str">
            <v>YV3T7U522RA212112</v>
          </cell>
          <cell r="D3841">
            <v>593751</v>
          </cell>
          <cell r="E3841" t="str">
            <v>VOLVO</v>
          </cell>
          <cell r="F3841" t="str">
            <v>B8RLEA</v>
          </cell>
          <cell r="G3841" t="str">
            <v>MARCOPOLO</v>
          </cell>
          <cell r="H3841" t="str">
            <v>GRAN VIALE</v>
          </cell>
          <cell r="I3841">
            <v>2023</v>
          </cell>
          <cell r="J3841" t="str">
            <v>C</v>
          </cell>
          <cell r="K3841" t="str">
            <v>Santa Rosa</v>
          </cell>
          <cell r="N3841" t="str">
            <v>C</v>
          </cell>
        </row>
        <row r="3842">
          <cell r="B3842" t="str">
            <v>SXKV-99|</v>
          </cell>
          <cell r="C3842" t="str">
            <v>YV3T7U525RA212217</v>
          </cell>
          <cell r="D3842">
            <v>595002</v>
          </cell>
          <cell r="E3842" t="str">
            <v>VOLVO</v>
          </cell>
          <cell r="F3842" t="str">
            <v>B8RLEA</v>
          </cell>
          <cell r="G3842" t="str">
            <v>MARCOPOLO</v>
          </cell>
          <cell r="H3842" t="str">
            <v>GRAN VIALE</v>
          </cell>
          <cell r="I3842">
            <v>2023</v>
          </cell>
          <cell r="J3842" t="str">
            <v>C</v>
          </cell>
          <cell r="K3842" t="str">
            <v>Santa Rosa</v>
          </cell>
          <cell r="N3842" t="str">
            <v>C</v>
          </cell>
        </row>
        <row r="3843">
          <cell r="B3843" t="str">
            <v>TBZB-24|</v>
          </cell>
          <cell r="C3843" t="str">
            <v>YV3T7U523RA212314</v>
          </cell>
          <cell r="D3843">
            <v>598537</v>
          </cell>
          <cell r="E3843" t="str">
            <v>VOLVO</v>
          </cell>
          <cell r="F3843" t="str">
            <v>B8RLEA</v>
          </cell>
          <cell r="G3843" t="str">
            <v>MARCOPOLO</v>
          </cell>
          <cell r="H3843" t="str">
            <v>GRAN VIALE</v>
          </cell>
          <cell r="I3843">
            <v>2023</v>
          </cell>
          <cell r="J3843" t="str">
            <v>C</v>
          </cell>
          <cell r="K3843" t="str">
            <v>Santa Rosa</v>
          </cell>
          <cell r="N3843" t="str">
            <v>C</v>
          </cell>
        </row>
        <row r="3844">
          <cell r="B3844" t="str">
            <v>VLSZ-25|</v>
          </cell>
          <cell r="C3844" t="str">
            <v>LDYECS315S0045859</v>
          </cell>
          <cell r="D3844" t="str">
            <v>MDN35025030200</v>
          </cell>
          <cell r="E3844" t="str">
            <v>Zhong Thong</v>
          </cell>
          <cell r="F3844" t="str">
            <v>Lck6122evg</v>
          </cell>
          <cell r="G3844" t="str">
            <v>Zhong Thong</v>
          </cell>
          <cell r="H3844" t="str">
            <v>Lck6122evg</v>
          </cell>
          <cell r="I3844">
            <v>2026</v>
          </cell>
          <cell r="J3844" t="str">
            <v>B</v>
          </cell>
          <cell r="K3844" t="str">
            <v>Las Acacias</v>
          </cell>
          <cell r="N3844" t="str">
            <v>B</v>
          </cell>
        </row>
        <row r="3845">
          <cell r="B3845" t="str">
            <v>VLSZ-26|</v>
          </cell>
          <cell r="C3845" t="str">
            <v>LDYECS313S0045858</v>
          </cell>
          <cell r="D3845" t="str">
            <v>MDN35025030201</v>
          </cell>
          <cell r="E3845" t="str">
            <v>Zhong Thong</v>
          </cell>
          <cell r="F3845" t="str">
            <v>Lck6122evg</v>
          </cell>
          <cell r="G3845" t="str">
            <v>Zhong Thong</v>
          </cell>
          <cell r="H3845" t="str">
            <v>Lck6122evg</v>
          </cell>
          <cell r="I3845">
            <v>2026</v>
          </cell>
          <cell r="J3845" t="str">
            <v>B</v>
          </cell>
          <cell r="K3845" t="str">
            <v>Las Acacias</v>
          </cell>
          <cell r="N3845" t="str">
            <v>B</v>
          </cell>
        </row>
        <row r="3846">
          <cell r="B3846" t="str">
            <v>VLSZ-46|</v>
          </cell>
          <cell r="C3846" t="str">
            <v>LDYECS313S0045777</v>
          </cell>
          <cell r="D3846" t="str">
            <v>MDN35025030141</v>
          </cell>
          <cell r="E3846" t="str">
            <v>Zhong Thong</v>
          </cell>
          <cell r="F3846" t="str">
            <v>Lck6122evg</v>
          </cell>
          <cell r="G3846" t="str">
            <v>Zhong Thong</v>
          </cell>
          <cell r="H3846" t="str">
            <v>Lck6122evg</v>
          </cell>
          <cell r="I3846">
            <v>2026</v>
          </cell>
          <cell r="J3846" t="str">
            <v>B</v>
          </cell>
          <cell r="K3846" t="str">
            <v>Las Acacias</v>
          </cell>
          <cell r="N3846" t="str">
            <v>B</v>
          </cell>
        </row>
        <row r="3847">
          <cell r="B3847" t="str">
            <v>VLSZ-52|</v>
          </cell>
          <cell r="C3847" t="str">
            <v>LDYECS314S0045772</v>
          </cell>
          <cell r="D3847" t="str">
            <v>MDN35025030143</v>
          </cell>
          <cell r="E3847" t="str">
            <v>Zhong Thong</v>
          </cell>
          <cell r="F3847" t="str">
            <v>Lck6122evg</v>
          </cell>
          <cell r="G3847" t="str">
            <v>Zhong Thong</v>
          </cell>
          <cell r="H3847" t="str">
            <v>Lck6122evg</v>
          </cell>
          <cell r="I3847">
            <v>2026</v>
          </cell>
          <cell r="J3847" t="str">
            <v>B</v>
          </cell>
          <cell r="K3847" t="str">
            <v>Las Acacias</v>
          </cell>
          <cell r="N3847" t="str">
            <v>B</v>
          </cell>
        </row>
        <row r="3848">
          <cell r="B3848" t="str">
            <v>VLSZ-54|</v>
          </cell>
          <cell r="C3848" t="str">
            <v>LDYECS318S0045869</v>
          </cell>
          <cell r="D3848" t="str">
            <v>MDN35025030203</v>
          </cell>
          <cell r="E3848" t="str">
            <v>Zhong Thong</v>
          </cell>
          <cell r="F3848" t="str">
            <v>Lck6122evg</v>
          </cell>
          <cell r="G3848" t="str">
            <v>Zhong Thong</v>
          </cell>
          <cell r="H3848" t="str">
            <v>Lck6122evg</v>
          </cell>
          <cell r="I3848">
            <v>2026</v>
          </cell>
          <cell r="J3848" t="str">
            <v>B</v>
          </cell>
          <cell r="K3848" t="str">
            <v>Las Acacias</v>
          </cell>
          <cell r="N3848" t="str">
            <v>B</v>
          </cell>
        </row>
        <row r="3849">
          <cell r="B3849" t="str">
            <v>VLSZ-65|</v>
          </cell>
          <cell r="C3849" t="str">
            <v>LDYECS311S0045860</v>
          </cell>
          <cell r="D3849" t="str">
            <v>MDN35025030275</v>
          </cell>
          <cell r="E3849" t="str">
            <v>Zhong Thong</v>
          </cell>
          <cell r="F3849" t="str">
            <v>Lck6122evg</v>
          </cell>
          <cell r="G3849" t="str">
            <v>Zhong Thong</v>
          </cell>
          <cell r="H3849" t="str">
            <v>Lck6122evg</v>
          </cell>
          <cell r="I3849">
            <v>2026</v>
          </cell>
          <cell r="J3849" t="str">
            <v>B</v>
          </cell>
          <cell r="K3849" t="str">
            <v>Las Acacias</v>
          </cell>
          <cell r="N3849" t="str">
            <v>B</v>
          </cell>
        </row>
        <row r="3850">
          <cell r="B3850" t="str">
            <v>VLSZ-68|</v>
          </cell>
          <cell r="C3850" t="str">
            <v>LDYECS316S0045868</v>
          </cell>
          <cell r="D3850" t="str">
            <v>MDN35025030262</v>
          </cell>
          <cell r="E3850" t="str">
            <v>Zhong Thong</v>
          </cell>
          <cell r="F3850" t="str">
            <v>Lck6122evg</v>
          </cell>
          <cell r="G3850" t="str">
            <v>Zhong Thong</v>
          </cell>
          <cell r="H3850" t="str">
            <v>Lck6122evg</v>
          </cell>
          <cell r="I3850">
            <v>2026</v>
          </cell>
          <cell r="J3850" t="str">
            <v>B</v>
          </cell>
          <cell r="K3850" t="str">
            <v>Las Acacias</v>
          </cell>
          <cell r="N3850" t="str">
            <v>B</v>
          </cell>
        </row>
        <row r="3851">
          <cell r="B3851" t="str">
            <v>VLSZ-75|</v>
          </cell>
          <cell r="C3851" t="str">
            <v>LDYECS312S0045785</v>
          </cell>
          <cell r="D3851" t="str">
            <v>MDN35025030159</v>
          </cell>
          <cell r="E3851" t="str">
            <v>Zhong Thong</v>
          </cell>
          <cell r="F3851" t="str">
            <v>Lck6122evg</v>
          </cell>
          <cell r="G3851" t="str">
            <v>Zhong Thong</v>
          </cell>
          <cell r="H3851" t="str">
            <v>Lck6122evg</v>
          </cell>
          <cell r="I3851">
            <v>2026</v>
          </cell>
          <cell r="J3851" t="str">
            <v>B</v>
          </cell>
          <cell r="K3851" t="str">
            <v>Las Acacias</v>
          </cell>
          <cell r="N3851" t="str">
            <v>B</v>
          </cell>
        </row>
        <row r="3852">
          <cell r="B3852" t="str">
            <v>VLTB-15|</v>
          </cell>
          <cell r="C3852" t="str">
            <v>LDYECS31XS0045873</v>
          </cell>
          <cell r="D3852" t="str">
            <v>MDN35025030290</v>
          </cell>
          <cell r="E3852" t="str">
            <v>Zhong Thong</v>
          </cell>
          <cell r="F3852" t="str">
            <v>Lck6122evg</v>
          </cell>
          <cell r="G3852" t="str">
            <v>Zhong Thong</v>
          </cell>
          <cell r="H3852" t="str">
            <v>Lck6122evg</v>
          </cell>
          <cell r="I3852">
            <v>2026</v>
          </cell>
          <cell r="J3852" t="str">
            <v>B</v>
          </cell>
          <cell r="K3852" t="str">
            <v>Las Acacias</v>
          </cell>
          <cell r="N3852" t="str">
            <v>B</v>
          </cell>
        </row>
        <row r="3853">
          <cell r="B3853" t="str">
            <v>VLTB-35|</v>
          </cell>
          <cell r="C3853" t="str">
            <v>LDYECS319S0045783</v>
          </cell>
          <cell r="D3853" t="str">
            <v>MDN35025030314</v>
          </cell>
          <cell r="E3853" t="str">
            <v>Zhong Thong</v>
          </cell>
          <cell r="F3853" t="str">
            <v>Lck6122evg</v>
          </cell>
          <cell r="G3853" t="str">
            <v>Zhong Thong</v>
          </cell>
          <cell r="H3853" t="str">
            <v>Lck6122evg</v>
          </cell>
          <cell r="I3853">
            <v>2026</v>
          </cell>
          <cell r="J3853" t="str">
            <v>B</v>
          </cell>
          <cell r="K3853" t="str">
            <v>Las Acacias</v>
          </cell>
          <cell r="N3853" t="str">
            <v>B</v>
          </cell>
        </row>
        <row r="3854">
          <cell r="B3854" t="str">
            <v>VLTB-43|</v>
          </cell>
          <cell r="C3854" t="str">
            <v>LDYECS315S0045778</v>
          </cell>
          <cell r="D3854" t="str">
            <v>MDN35025030280</v>
          </cell>
          <cell r="E3854" t="str">
            <v>Zhong Thong</v>
          </cell>
          <cell r="F3854" t="str">
            <v>Lck6122evg</v>
          </cell>
          <cell r="G3854" t="str">
            <v>Zhong Thong</v>
          </cell>
          <cell r="H3854" t="str">
            <v>Lck6122evg</v>
          </cell>
          <cell r="I3854">
            <v>2026</v>
          </cell>
          <cell r="J3854" t="str">
            <v>B</v>
          </cell>
          <cell r="K3854" t="str">
            <v>Las Acacias</v>
          </cell>
          <cell r="N3854" t="str">
            <v>B</v>
          </cell>
        </row>
        <row r="3855">
          <cell r="B3855" t="str">
            <v>VLTB-85|</v>
          </cell>
          <cell r="C3855" t="str">
            <v>LDYECS316S0045787</v>
          </cell>
          <cell r="D3855" t="str">
            <v>MDN35025030176</v>
          </cell>
          <cell r="E3855" t="str">
            <v>Zhong Thong</v>
          </cell>
          <cell r="F3855" t="str">
            <v>Lck6122evg</v>
          </cell>
          <cell r="G3855" t="str">
            <v>Zhong Thong</v>
          </cell>
          <cell r="H3855" t="str">
            <v>Lck6122evg</v>
          </cell>
          <cell r="I3855">
            <v>2026</v>
          </cell>
          <cell r="J3855" t="str">
            <v>B</v>
          </cell>
          <cell r="K3855" t="str">
            <v>Las Acacias</v>
          </cell>
          <cell r="N3855" t="str">
            <v>B</v>
          </cell>
        </row>
        <row r="3856">
          <cell r="B3856" t="str">
            <v>VLTB-93|</v>
          </cell>
          <cell r="C3856" t="str">
            <v>LDYECS313S0045780</v>
          </cell>
          <cell r="D3856" t="str">
            <v>MDN35025030190</v>
          </cell>
          <cell r="E3856" t="str">
            <v>Zhong Thong</v>
          </cell>
          <cell r="F3856" t="str">
            <v>Lck6122evg</v>
          </cell>
          <cell r="G3856" t="str">
            <v>Zhong Thong</v>
          </cell>
          <cell r="H3856" t="str">
            <v>Lck6122evg</v>
          </cell>
          <cell r="I3856">
            <v>2026</v>
          </cell>
          <cell r="J3856" t="str">
            <v>B</v>
          </cell>
          <cell r="K3856" t="str">
            <v>Las Acacias</v>
          </cell>
          <cell r="N3856" t="str">
            <v>B</v>
          </cell>
        </row>
        <row r="3857">
          <cell r="B3857" t="str">
            <v>VLTB-94|</v>
          </cell>
          <cell r="C3857" t="str">
            <v>LDYECS311S0045776</v>
          </cell>
          <cell r="D3857" t="str">
            <v>MDN35025030167</v>
          </cell>
          <cell r="E3857" t="str">
            <v>Zhong Thong</v>
          </cell>
          <cell r="F3857" t="str">
            <v>Lck6122evg</v>
          </cell>
          <cell r="G3857" t="str">
            <v>Zhong Thong</v>
          </cell>
          <cell r="H3857" t="str">
            <v>Lck6122evg</v>
          </cell>
          <cell r="I3857">
            <v>2026</v>
          </cell>
          <cell r="J3857" t="str">
            <v>B</v>
          </cell>
          <cell r="K3857" t="str">
            <v>Las Acacias</v>
          </cell>
          <cell r="N3857" t="str">
            <v>B</v>
          </cell>
        </row>
        <row r="3858">
          <cell r="B3858" t="str">
            <v>VLTC-16|</v>
          </cell>
          <cell r="C3858" t="str">
            <v>LDYECS317S0045782</v>
          </cell>
          <cell r="D3858" t="str">
            <v>MDN35025030212</v>
          </cell>
          <cell r="E3858" t="str">
            <v>Zhong Thong</v>
          </cell>
          <cell r="F3858" t="str">
            <v>Lck6122evg</v>
          </cell>
          <cell r="G3858" t="str">
            <v>Zhong Thong</v>
          </cell>
          <cell r="H3858" t="str">
            <v>Lck6122evg</v>
          </cell>
          <cell r="I3858">
            <v>2026</v>
          </cell>
          <cell r="J3858" t="str">
            <v>B</v>
          </cell>
          <cell r="K3858" t="str">
            <v>Las Acacias</v>
          </cell>
          <cell r="N3858" t="str">
            <v>B</v>
          </cell>
        </row>
        <row r="3859">
          <cell r="B3859" t="str">
            <v>VLTC-17|</v>
          </cell>
          <cell r="C3859" t="str">
            <v>LDYECS316S0045885</v>
          </cell>
          <cell r="D3859" t="str">
            <v>MDN35025030187</v>
          </cell>
          <cell r="E3859" t="str">
            <v>Zhong Thong</v>
          </cell>
          <cell r="F3859" t="str">
            <v>Lck6122evg</v>
          </cell>
          <cell r="G3859" t="str">
            <v>Zhong Thong</v>
          </cell>
          <cell r="H3859" t="str">
            <v>Lck6122evg</v>
          </cell>
          <cell r="I3859">
            <v>2026</v>
          </cell>
          <cell r="J3859" t="str">
            <v>B</v>
          </cell>
          <cell r="K3859" t="str">
            <v>Las Acacias</v>
          </cell>
          <cell r="N3859" t="str">
            <v>B</v>
          </cell>
        </row>
        <row r="3860">
          <cell r="B3860" t="str">
            <v>VLTC-21|</v>
          </cell>
          <cell r="C3860" t="str">
            <v>LDYECS311S0045745</v>
          </cell>
          <cell r="D3860" t="str">
            <v>MDN35025030007</v>
          </cell>
          <cell r="E3860" t="str">
            <v>Zhong Thong</v>
          </cell>
          <cell r="F3860" t="str">
            <v>Lck6122evg</v>
          </cell>
          <cell r="G3860" t="str">
            <v>Zhong Thong</v>
          </cell>
          <cell r="H3860" t="str">
            <v>Lck6122evg</v>
          </cell>
          <cell r="I3860">
            <v>2026</v>
          </cell>
          <cell r="J3860" t="str">
            <v>B</v>
          </cell>
          <cell r="K3860" t="str">
            <v>Las Acacias</v>
          </cell>
          <cell r="N3860" t="str">
            <v>B</v>
          </cell>
        </row>
        <row r="3861">
          <cell r="B3861" t="str">
            <v>VLTC-23|</v>
          </cell>
          <cell r="C3861" t="str">
            <v>LDYECS31XS0045789</v>
          </cell>
          <cell r="D3861" t="str">
            <v>MDN35025030164</v>
          </cell>
          <cell r="E3861" t="str">
            <v>Zhong Thong</v>
          </cell>
          <cell r="F3861" t="str">
            <v>Lck6122evg</v>
          </cell>
          <cell r="G3861" t="str">
            <v>Zhong Thong</v>
          </cell>
          <cell r="H3861" t="str">
            <v>Lck6122evg</v>
          </cell>
          <cell r="I3861">
            <v>2026</v>
          </cell>
          <cell r="J3861" t="str">
            <v>B</v>
          </cell>
          <cell r="K3861" t="str">
            <v>Las Acacias</v>
          </cell>
          <cell r="N3861" t="str">
            <v>B</v>
          </cell>
        </row>
        <row r="3862">
          <cell r="B3862" t="str">
            <v>VLTC-32|</v>
          </cell>
          <cell r="C3862" t="str">
            <v>LDYECS311S0045888</v>
          </cell>
          <cell r="D3862" t="str">
            <v>MDN35025010010</v>
          </cell>
          <cell r="E3862" t="str">
            <v>Zhong Thong</v>
          </cell>
          <cell r="F3862" t="str">
            <v>Lck6122evg</v>
          </cell>
          <cell r="G3862" t="str">
            <v>Zhong Thong</v>
          </cell>
          <cell r="H3862" t="str">
            <v>Lck6122evg</v>
          </cell>
          <cell r="I3862">
            <v>2026</v>
          </cell>
          <cell r="J3862" t="str">
            <v>B</v>
          </cell>
          <cell r="K3862" t="str">
            <v>Las Acacias</v>
          </cell>
          <cell r="N3862" t="str">
            <v>B</v>
          </cell>
        </row>
        <row r="3863">
          <cell r="B3863" t="str">
            <v>VLTC-33|</v>
          </cell>
          <cell r="C3863" t="str">
            <v>LDYECS312S0045883</v>
          </cell>
          <cell r="D3863" t="str">
            <v>MDN35025010007</v>
          </cell>
          <cell r="E3863" t="str">
            <v>Zhong Thong</v>
          </cell>
          <cell r="F3863" t="str">
            <v>Lck6122evg</v>
          </cell>
          <cell r="G3863" t="str">
            <v>Zhong Thong</v>
          </cell>
          <cell r="H3863" t="str">
            <v>Lck6122evg</v>
          </cell>
          <cell r="I3863">
            <v>2026</v>
          </cell>
          <cell r="J3863" t="str">
            <v>B</v>
          </cell>
          <cell r="K3863" t="str">
            <v>Las Acacias</v>
          </cell>
          <cell r="N3863" t="str">
            <v>B</v>
          </cell>
        </row>
        <row r="3864">
          <cell r="B3864" t="str">
            <v>VLTC-34|</v>
          </cell>
          <cell r="C3864" t="str">
            <v>LDYECS315S0045876</v>
          </cell>
          <cell r="D3864" t="str">
            <v>MDN35025030057</v>
          </cell>
          <cell r="E3864" t="str">
            <v>Zhong Thong</v>
          </cell>
          <cell r="F3864" t="str">
            <v>Lck6122evg</v>
          </cell>
          <cell r="G3864" t="str">
            <v>Zhong Thong</v>
          </cell>
          <cell r="H3864" t="str">
            <v>Lck6122evg</v>
          </cell>
          <cell r="I3864">
            <v>2026</v>
          </cell>
          <cell r="J3864" t="str">
            <v>B</v>
          </cell>
          <cell r="K3864" t="str">
            <v>Las Acacias</v>
          </cell>
          <cell r="N3864" t="str">
            <v>B</v>
          </cell>
        </row>
        <row r="3865">
          <cell r="B3865" t="str">
            <v>VLTC-35|</v>
          </cell>
          <cell r="C3865" t="str">
            <v>LDYECS319S0045881</v>
          </cell>
          <cell r="D3865" t="str">
            <v>MDN35025030161</v>
          </cell>
          <cell r="E3865" t="str">
            <v>Zhong Thong</v>
          </cell>
          <cell r="F3865" t="str">
            <v>Lck6122evg</v>
          </cell>
          <cell r="G3865" t="str">
            <v>Zhong Thong</v>
          </cell>
          <cell r="H3865" t="str">
            <v>Lck6122evg</v>
          </cell>
          <cell r="I3865">
            <v>2026</v>
          </cell>
          <cell r="J3865" t="str">
            <v>B</v>
          </cell>
          <cell r="K3865" t="str">
            <v>Las Acacias</v>
          </cell>
          <cell r="N3865" t="str">
            <v>B</v>
          </cell>
        </row>
        <row r="3866">
          <cell r="B3866" t="str">
            <v>VLTC-36|</v>
          </cell>
          <cell r="C3866" t="str">
            <v>LDYECS318S0045788</v>
          </cell>
          <cell r="D3866" t="str">
            <v>MDN35025030139</v>
          </cell>
          <cell r="E3866" t="str">
            <v>Zhong Thong</v>
          </cell>
          <cell r="F3866" t="str">
            <v>Lck6122evg</v>
          </cell>
          <cell r="G3866" t="str">
            <v>Zhong Thong</v>
          </cell>
          <cell r="H3866" t="str">
            <v>Lck6122evg</v>
          </cell>
          <cell r="I3866">
            <v>2026</v>
          </cell>
          <cell r="J3866" t="str">
            <v>B</v>
          </cell>
          <cell r="K3866" t="str">
            <v>Las Acacias</v>
          </cell>
          <cell r="N3866" t="str">
            <v>B</v>
          </cell>
        </row>
        <row r="3867">
          <cell r="B3867" t="str">
            <v>VLTC-37|</v>
          </cell>
          <cell r="C3867" t="str">
            <v>LDYECS317S0045877</v>
          </cell>
          <cell r="D3867" t="str">
            <v>MDN35025030162</v>
          </cell>
          <cell r="E3867" t="str">
            <v>Zhong Thong</v>
          </cell>
          <cell r="F3867" t="str">
            <v>Lck6122evg</v>
          </cell>
          <cell r="G3867" t="str">
            <v>Zhong Thong</v>
          </cell>
          <cell r="H3867" t="str">
            <v>Lck6122evg</v>
          </cell>
          <cell r="I3867">
            <v>2026</v>
          </cell>
          <cell r="J3867" t="str">
            <v>B</v>
          </cell>
          <cell r="K3867" t="str">
            <v>Las Acacias</v>
          </cell>
          <cell r="N3867" t="str">
            <v>B</v>
          </cell>
        </row>
        <row r="3868">
          <cell r="B3868" t="str">
            <v>VLTC-43|</v>
          </cell>
          <cell r="C3868" t="str">
            <v>LDYECS313S0045875</v>
          </cell>
          <cell r="D3868" t="str">
            <v>MDN35025030129</v>
          </cell>
          <cell r="E3868" t="str">
            <v>Zhong Thong</v>
          </cell>
          <cell r="F3868" t="str">
            <v>Lck6122evg</v>
          </cell>
          <cell r="G3868" t="str">
            <v>Zhong Thong</v>
          </cell>
          <cell r="H3868" t="str">
            <v>Lck6122evg</v>
          </cell>
          <cell r="I3868">
            <v>2026</v>
          </cell>
          <cell r="J3868" t="str">
            <v>B</v>
          </cell>
          <cell r="K3868" t="str">
            <v>Las Acacias</v>
          </cell>
          <cell r="N3868" t="str">
            <v>B</v>
          </cell>
        </row>
        <row r="3869">
          <cell r="B3869" t="str">
            <v>VLTC-44|</v>
          </cell>
          <cell r="C3869" t="str">
            <v>LDYECS314S0045884</v>
          </cell>
          <cell r="D3869" t="str">
            <v>MDN35025030150</v>
          </cell>
          <cell r="E3869" t="str">
            <v>Zhong Thong</v>
          </cell>
          <cell r="F3869" t="str">
            <v>Lck6122evg</v>
          </cell>
          <cell r="G3869" t="str">
            <v>Zhong Thong</v>
          </cell>
          <cell r="H3869" t="str">
            <v>Lck6122evg</v>
          </cell>
          <cell r="I3869">
            <v>2026</v>
          </cell>
          <cell r="J3869" t="str">
            <v>B</v>
          </cell>
          <cell r="K3869" t="str">
            <v>Las Acacias</v>
          </cell>
          <cell r="N3869" t="str">
            <v>B</v>
          </cell>
        </row>
        <row r="3870">
          <cell r="B3870" t="str">
            <v>VLTC-45|</v>
          </cell>
          <cell r="C3870" t="str">
            <v>LDYECS310S0045879</v>
          </cell>
          <cell r="D3870" t="str">
            <v>MDN35025030061</v>
          </cell>
          <cell r="E3870" t="str">
            <v>Zhong Thong</v>
          </cell>
          <cell r="F3870" t="str">
            <v>Lck6122evg</v>
          </cell>
          <cell r="G3870" t="str">
            <v>Zhong Thong</v>
          </cell>
          <cell r="H3870" t="str">
            <v>Lck6122evg</v>
          </cell>
          <cell r="I3870">
            <v>2026</v>
          </cell>
          <cell r="J3870" t="str">
            <v>B</v>
          </cell>
          <cell r="K3870" t="str">
            <v>Las Acacias</v>
          </cell>
          <cell r="N3870" t="str">
            <v>B</v>
          </cell>
        </row>
        <row r="3871">
          <cell r="B3871" t="str">
            <v>VLTC-53|</v>
          </cell>
          <cell r="C3871" t="str">
            <v>LDYECS317S0045880</v>
          </cell>
          <cell r="D3871" t="str">
            <v>MDN35025030304</v>
          </cell>
          <cell r="E3871" t="str">
            <v>Zhong Thong</v>
          </cell>
          <cell r="F3871" t="str">
            <v>Lck6122evg</v>
          </cell>
          <cell r="G3871" t="str">
            <v>Zhong Thong</v>
          </cell>
          <cell r="H3871" t="str">
            <v>Lck6122evg</v>
          </cell>
          <cell r="I3871">
            <v>2026</v>
          </cell>
          <cell r="J3871" t="str">
            <v>B</v>
          </cell>
          <cell r="K3871" t="str">
            <v>Las Acacias</v>
          </cell>
          <cell r="N3871" t="str">
            <v>B</v>
          </cell>
        </row>
        <row r="3872">
          <cell r="B3872" t="str">
            <v>VLTC-62|</v>
          </cell>
          <cell r="C3872" t="str">
            <v>LDYECS319S0045878</v>
          </cell>
          <cell r="D3872" t="str">
            <v>MDN35025030083</v>
          </cell>
          <cell r="E3872" t="str">
            <v>Zhong Thong</v>
          </cell>
          <cell r="F3872" t="str">
            <v>Lck6122evg</v>
          </cell>
          <cell r="G3872" t="str">
            <v>Zhong Thong</v>
          </cell>
          <cell r="H3872" t="str">
            <v>Lck6122evg</v>
          </cell>
          <cell r="I3872">
            <v>2026</v>
          </cell>
          <cell r="J3872" t="str">
            <v>B</v>
          </cell>
          <cell r="K3872" t="str">
            <v>Las Acacias</v>
          </cell>
          <cell r="N3872" t="str">
            <v>B</v>
          </cell>
        </row>
        <row r="3873">
          <cell r="B3873" t="str">
            <v>VLTC-92|</v>
          </cell>
          <cell r="C3873" t="str">
            <v>LDYECS310S0045882</v>
          </cell>
          <cell r="D3873" t="str">
            <v>MDN35025030289</v>
          </cell>
          <cell r="E3873" t="str">
            <v>Zhong Thong</v>
          </cell>
          <cell r="F3873" t="str">
            <v>Lck6122evg</v>
          </cell>
          <cell r="G3873" t="str">
            <v>Zhong Thong</v>
          </cell>
          <cell r="H3873" t="str">
            <v>Lck6122evg</v>
          </cell>
          <cell r="I3873">
            <v>2026</v>
          </cell>
          <cell r="J3873" t="str">
            <v>B</v>
          </cell>
          <cell r="K3873" t="str">
            <v>Las Acacias</v>
          </cell>
          <cell r="N3873" t="str">
            <v>B</v>
          </cell>
        </row>
        <row r="3874">
          <cell r="B3874" t="str">
            <v>VPBC-75|</v>
          </cell>
          <cell r="C3874" t="str">
            <v>LDYECS316S0045899</v>
          </cell>
          <cell r="D3874" t="str">
            <v>MDN35025030166</v>
          </cell>
          <cell r="E3874" t="str">
            <v>Zhong Thong</v>
          </cell>
          <cell r="F3874" t="str">
            <v>Lck6122evg</v>
          </cell>
          <cell r="G3874" t="str">
            <v>Zhong Thong</v>
          </cell>
          <cell r="H3874" t="str">
            <v>Lck6122evg</v>
          </cell>
          <cell r="I3874">
            <v>2026</v>
          </cell>
          <cell r="J3874" t="str">
            <v>B</v>
          </cell>
          <cell r="K3874" t="str">
            <v>Las Acacias</v>
          </cell>
          <cell r="N3874" t="str">
            <v>B</v>
          </cell>
        </row>
        <row r="3875">
          <cell r="B3875" t="str">
            <v>VPBD-15|</v>
          </cell>
          <cell r="C3875" t="str">
            <v>LDYECS311S0045891</v>
          </cell>
          <cell r="D3875" t="str">
            <v>MDN35025030095</v>
          </cell>
          <cell r="E3875" t="str">
            <v>Zhong Thong</v>
          </cell>
          <cell r="F3875" t="str">
            <v>Lck6122evg</v>
          </cell>
          <cell r="G3875" t="str">
            <v>Zhong Thong</v>
          </cell>
          <cell r="H3875" t="str">
            <v>Lck6122evg</v>
          </cell>
          <cell r="I3875">
            <v>2026</v>
          </cell>
          <cell r="J3875" t="str">
            <v>B</v>
          </cell>
          <cell r="K3875" t="str">
            <v>Las Acacias</v>
          </cell>
          <cell r="N3875" t="str">
            <v>B</v>
          </cell>
        </row>
        <row r="3876">
          <cell r="B3876" t="str">
            <v>VPBD-25|</v>
          </cell>
          <cell r="C3876" t="str">
            <v>LDYECS312S0045897</v>
          </cell>
          <cell r="D3876" t="str">
            <v>MDN35025030274</v>
          </cell>
          <cell r="E3876" t="str">
            <v>Zhong Thong</v>
          </cell>
          <cell r="F3876" t="str">
            <v>Lck6122evg</v>
          </cell>
          <cell r="G3876" t="str">
            <v>Zhong Thong</v>
          </cell>
          <cell r="H3876" t="str">
            <v>Lck6122evg</v>
          </cell>
          <cell r="I3876">
            <v>2026</v>
          </cell>
          <cell r="J3876" t="str">
            <v>B</v>
          </cell>
          <cell r="K3876" t="str">
            <v>Las Acacias</v>
          </cell>
          <cell r="N3876" t="str">
            <v>B</v>
          </cell>
        </row>
        <row r="3877">
          <cell r="B3877" t="str">
            <v>VPBD-64|</v>
          </cell>
          <cell r="C3877" t="str">
            <v>LDYECS313S0045892</v>
          </cell>
          <cell r="D3877" t="str">
            <v>MDN35025010003</v>
          </cell>
          <cell r="E3877" t="str">
            <v>Zhong Thong</v>
          </cell>
          <cell r="F3877" t="str">
            <v>Lck6122evg</v>
          </cell>
          <cell r="G3877" t="str">
            <v>Zhong Thong</v>
          </cell>
          <cell r="H3877" t="str">
            <v>Lck6122evg</v>
          </cell>
          <cell r="I3877">
            <v>2026</v>
          </cell>
          <cell r="J3877" t="str">
            <v>B</v>
          </cell>
          <cell r="K3877" t="str">
            <v>Las Acacias</v>
          </cell>
          <cell r="N3877" t="str">
            <v>B</v>
          </cell>
        </row>
        <row r="3878">
          <cell r="B3878" t="str">
            <v>VPBD-84|</v>
          </cell>
          <cell r="C3878" t="str">
            <v>LDYECS319S0045900</v>
          </cell>
          <cell r="D3878" t="str">
            <v>MDN35025030309</v>
          </cell>
          <cell r="E3878" t="str">
            <v>Zhong Thong</v>
          </cell>
          <cell r="F3878" t="str">
            <v>Lck6122evg</v>
          </cell>
          <cell r="G3878" t="str">
            <v>Zhong Thong</v>
          </cell>
          <cell r="H3878" t="str">
            <v>Lck6122evg</v>
          </cell>
          <cell r="I3878">
            <v>2026</v>
          </cell>
          <cell r="J3878" t="str">
            <v>B</v>
          </cell>
          <cell r="K3878" t="str">
            <v>Las Acacias</v>
          </cell>
          <cell r="N3878" t="str">
            <v>B</v>
          </cell>
        </row>
        <row r="3879">
          <cell r="B3879" t="str">
            <v>VPBF-11|</v>
          </cell>
          <cell r="C3879" t="str">
            <v>LDYECS310S0045901</v>
          </cell>
          <cell r="D3879" t="str">
            <v>MDN35025030140</v>
          </cell>
          <cell r="E3879" t="str">
            <v>Zhong Thong</v>
          </cell>
          <cell r="F3879" t="str">
            <v>Lck6122evg</v>
          </cell>
          <cell r="G3879" t="str">
            <v>Zhong Thong</v>
          </cell>
          <cell r="H3879" t="str">
            <v>Lck6122evg</v>
          </cell>
          <cell r="I3879">
            <v>2026</v>
          </cell>
          <cell r="J3879" t="str">
            <v>B</v>
          </cell>
          <cell r="K3879" t="str">
            <v>Las Acacias</v>
          </cell>
          <cell r="N3879" t="str">
            <v>B</v>
          </cell>
        </row>
        <row r="3880">
          <cell r="B3880" t="str">
            <v>VPBF-13|</v>
          </cell>
          <cell r="C3880" t="str">
            <v>LDYECS317S0045894</v>
          </cell>
          <cell r="D3880" t="str">
            <v>MDN35025010015</v>
          </cell>
          <cell r="E3880" t="str">
            <v>Zhong Thong</v>
          </cell>
          <cell r="F3880" t="str">
            <v>Lck6122evg</v>
          </cell>
          <cell r="G3880" t="str">
            <v>Zhong Thong</v>
          </cell>
          <cell r="H3880" t="str">
            <v>Lck6122evg</v>
          </cell>
          <cell r="I3880">
            <v>2026</v>
          </cell>
          <cell r="J3880" t="str">
            <v>B</v>
          </cell>
          <cell r="K3880" t="str">
            <v>Las Acacias</v>
          </cell>
          <cell r="N3880" t="str">
            <v>B</v>
          </cell>
        </row>
        <row r="3881">
          <cell r="B3881" t="str">
            <v>VPBF-14|</v>
          </cell>
          <cell r="C3881" t="str">
            <v>LDYECS310S0045896</v>
          </cell>
          <cell r="D3881" t="str">
            <v>MDN35025030169</v>
          </cell>
          <cell r="E3881" t="str">
            <v>Zhong Thong</v>
          </cell>
          <cell r="F3881" t="str">
            <v>Lck6122evg</v>
          </cell>
          <cell r="G3881" t="str">
            <v>Zhong Thong</v>
          </cell>
          <cell r="H3881" t="str">
            <v>Lck6122evg</v>
          </cell>
          <cell r="I3881">
            <v>2026</v>
          </cell>
          <cell r="J3881" t="str">
            <v>B</v>
          </cell>
          <cell r="K3881" t="str">
            <v>Las Acacias</v>
          </cell>
          <cell r="N3881" t="str">
            <v>B</v>
          </cell>
        </row>
        <row r="3882">
          <cell r="B3882" t="str">
            <v>VPBF-41|</v>
          </cell>
          <cell r="C3882" t="str">
            <v>LDYECS319S0045895</v>
          </cell>
          <cell r="D3882" t="str">
            <v>MDN35025030282</v>
          </cell>
          <cell r="E3882" t="str">
            <v>Zhong Thong</v>
          </cell>
          <cell r="F3882" t="str">
            <v>Lck6122evg</v>
          </cell>
          <cell r="G3882" t="str">
            <v>Zhong Thong</v>
          </cell>
          <cell r="H3882" t="str">
            <v>Lck6122evg</v>
          </cell>
          <cell r="I3882">
            <v>2026</v>
          </cell>
          <cell r="J3882" t="str">
            <v>B</v>
          </cell>
          <cell r="K3882" t="str">
            <v>Las Acacias</v>
          </cell>
          <cell r="N3882" t="str">
            <v>B</v>
          </cell>
        </row>
        <row r="3883">
          <cell r="B3883" t="str">
            <v>VPBF-51|</v>
          </cell>
          <cell r="C3883" t="str">
            <v>LDYECS313S0045889</v>
          </cell>
          <cell r="D3883" t="str">
            <v>MDN35025010009</v>
          </cell>
          <cell r="E3883" t="str">
            <v>Zhong Thong</v>
          </cell>
          <cell r="F3883" t="str">
            <v>Lck6122evg</v>
          </cell>
          <cell r="G3883" t="str">
            <v>Zhong Thong</v>
          </cell>
          <cell r="H3883" t="str">
            <v>Lck6122evg</v>
          </cell>
          <cell r="I3883">
            <v>2026</v>
          </cell>
          <cell r="J3883" t="str">
            <v>B</v>
          </cell>
          <cell r="K3883" t="str">
            <v>Las Acacias</v>
          </cell>
          <cell r="N3883" t="str">
            <v>B</v>
          </cell>
        </row>
        <row r="3884">
          <cell r="B3884" t="str">
            <v>VPBF-63|</v>
          </cell>
          <cell r="C3884" t="str">
            <v>LDYECS314S0045898</v>
          </cell>
          <cell r="D3884" t="str">
            <v>MDN35025030165</v>
          </cell>
          <cell r="E3884" t="str">
            <v>Zhong Thong</v>
          </cell>
          <cell r="F3884" t="str">
            <v>Lck6122evg</v>
          </cell>
          <cell r="G3884" t="str">
            <v>Zhong Thong</v>
          </cell>
          <cell r="H3884" t="str">
            <v>Lck6122evg</v>
          </cell>
          <cell r="I3884">
            <v>2026</v>
          </cell>
          <cell r="J3884" t="str">
            <v>B</v>
          </cell>
          <cell r="K3884" t="str">
            <v>Las Acacias</v>
          </cell>
          <cell r="N3884" t="str">
            <v>B</v>
          </cell>
        </row>
        <row r="3885">
          <cell r="B3885" t="str">
            <v>VPBF-71|</v>
          </cell>
          <cell r="C3885" t="str">
            <v>LDYECS318S0045886</v>
          </cell>
          <cell r="D3885" t="str">
            <v>MDN35025010011</v>
          </cell>
          <cell r="E3885" t="str">
            <v>Zhong Thong</v>
          </cell>
          <cell r="F3885" t="str">
            <v>Lck6122evg</v>
          </cell>
          <cell r="G3885" t="str">
            <v>Zhong Thong</v>
          </cell>
          <cell r="H3885" t="str">
            <v>Lck6122evg</v>
          </cell>
          <cell r="I3885">
            <v>2026</v>
          </cell>
          <cell r="J3885" t="str">
            <v>B</v>
          </cell>
          <cell r="K3885" t="str">
            <v>Las Acacias</v>
          </cell>
          <cell r="N3885" t="str">
            <v>B</v>
          </cell>
        </row>
        <row r="3886">
          <cell r="B3886" t="str">
            <v>VPBF-93|</v>
          </cell>
          <cell r="C3886" t="str">
            <v>LDYECS310S0040231</v>
          </cell>
          <cell r="D3886" t="str">
            <v>MDN35024090002</v>
          </cell>
          <cell r="E3886" t="str">
            <v>Zhong Thong</v>
          </cell>
          <cell r="F3886" t="str">
            <v>Lck6122evg</v>
          </cell>
          <cell r="G3886" t="str">
            <v>Zhong Thong</v>
          </cell>
          <cell r="H3886" t="str">
            <v>Lck6122evg</v>
          </cell>
          <cell r="I3886">
            <v>2026</v>
          </cell>
          <cell r="J3886" t="str">
            <v>B</v>
          </cell>
          <cell r="K3886" t="str">
            <v>Las Acacias</v>
          </cell>
          <cell r="N3886" t="str">
            <v>B</v>
          </cell>
        </row>
        <row r="3887">
          <cell r="B3887" t="str">
            <v>VPBG-88|</v>
          </cell>
          <cell r="C3887" t="str">
            <v>LDYECS315S0045893</v>
          </cell>
          <cell r="D3887" t="str">
            <v>MDN35025010002</v>
          </cell>
          <cell r="E3887" t="str">
            <v>Zhong Thong</v>
          </cell>
          <cell r="F3887" t="str">
            <v>Lck6122evg</v>
          </cell>
          <cell r="G3887" t="str">
            <v>Zhong Thong</v>
          </cell>
          <cell r="H3887" t="str">
            <v>Lck6122evg</v>
          </cell>
          <cell r="I3887">
            <v>2026</v>
          </cell>
          <cell r="J3887" t="str">
            <v>B</v>
          </cell>
          <cell r="K3887" t="str">
            <v>Las Acacias</v>
          </cell>
          <cell r="N3887" t="str">
            <v>B</v>
          </cell>
        </row>
        <row r="3888">
          <cell r="B3888" t="str">
            <v>VPBK-91|</v>
          </cell>
          <cell r="C3888" t="str">
            <v>LDYECS31XS0045890</v>
          </cell>
          <cell r="D3888" t="str">
            <v>MDN35025030147</v>
          </cell>
          <cell r="E3888" t="str">
            <v>Zhong Thong</v>
          </cell>
          <cell r="F3888" t="str">
            <v>Lck6122evg</v>
          </cell>
          <cell r="G3888" t="str">
            <v>Zhong Thong</v>
          </cell>
          <cell r="H3888" t="str">
            <v>Lck6122evg</v>
          </cell>
          <cell r="I3888">
            <v>2026</v>
          </cell>
          <cell r="J3888" t="str">
            <v>B</v>
          </cell>
          <cell r="K3888" t="str">
            <v>Las Acacias</v>
          </cell>
          <cell r="N3888" t="str">
            <v>B</v>
          </cell>
        </row>
        <row r="3890">
          <cell r="B3890" t="str">
            <v>FLXZ-94|</v>
          </cell>
          <cell r="C3890" t="str">
            <v>D8478292K2PL</v>
          </cell>
          <cell r="D3890" t="str">
            <v>YV3T7U524KA195142</v>
          </cell>
          <cell r="E3890" t="str">
            <v>Volvo</v>
          </cell>
          <cell r="F3890" t="str">
            <v>B8R</v>
          </cell>
          <cell r="G3890" t="str">
            <v>MARCOPOLO</v>
          </cell>
          <cell r="H3890" t="str">
            <v>TORINO</v>
          </cell>
          <cell r="I3890">
            <v>2019</v>
          </cell>
          <cell r="J3890" t="str">
            <v>B2PAL</v>
          </cell>
          <cell r="K3890" t="str">
            <v>LOS LIBERTADORES</v>
          </cell>
          <cell r="L3890" t="str">
            <v>Los Liberadores 6450, Lote 4A</v>
          </cell>
          <cell r="M3890" t="str">
            <v>Huechuraba</v>
          </cell>
          <cell r="N3890" t="str">
            <v>B</v>
          </cell>
        </row>
        <row r="3891">
          <cell r="B3891" t="str">
            <v>GCBB-13|</v>
          </cell>
          <cell r="C3891" t="str">
            <v>D8482685K2PL</v>
          </cell>
          <cell r="D3891" t="str">
            <v>YV3T7U521KA195230</v>
          </cell>
          <cell r="E3891" t="str">
            <v>Volvo</v>
          </cell>
          <cell r="F3891" t="str">
            <v>B8R</v>
          </cell>
          <cell r="G3891" t="str">
            <v>MARCOPOLO</v>
          </cell>
          <cell r="H3891" t="str">
            <v>TORINO</v>
          </cell>
          <cell r="I3891">
            <v>2019</v>
          </cell>
          <cell r="J3891" t="str">
            <v>B2PAL</v>
          </cell>
          <cell r="K3891" t="str">
            <v>LOS LIBERTADORES</v>
          </cell>
          <cell r="L3891" t="str">
            <v>Los Liberadores 6450, Lote 4A</v>
          </cell>
          <cell r="M3891" t="str">
            <v>Huechuraba</v>
          </cell>
          <cell r="N3891" t="str">
            <v>B</v>
          </cell>
        </row>
        <row r="3892">
          <cell r="B3892" t="str">
            <v>GCBC-16|</v>
          </cell>
          <cell r="C3892" t="str">
            <v>D8483833K2PL</v>
          </cell>
          <cell r="D3892" t="str">
            <v>YV3T7U520KA195641</v>
          </cell>
          <cell r="E3892" t="str">
            <v>Volvo</v>
          </cell>
          <cell r="F3892" t="str">
            <v>B8R</v>
          </cell>
          <cell r="G3892" t="str">
            <v>MARCOPOLO</v>
          </cell>
          <cell r="H3892" t="str">
            <v>TORINO</v>
          </cell>
          <cell r="I3892">
            <v>2019</v>
          </cell>
          <cell r="J3892" t="str">
            <v>B2PAL</v>
          </cell>
          <cell r="K3892" t="str">
            <v>LOS LIBERTADORES</v>
          </cell>
          <cell r="L3892" t="str">
            <v>Los Liberadores 6450, Lote 4A</v>
          </cell>
          <cell r="M3892" t="str">
            <v>Huechuraba</v>
          </cell>
          <cell r="N3892" t="str">
            <v>B</v>
          </cell>
        </row>
        <row r="3893">
          <cell r="B3893" t="str">
            <v>GCBC-17|</v>
          </cell>
          <cell r="C3893" t="str">
            <v>D8483530K2PL</v>
          </cell>
          <cell r="D3893" t="str">
            <v>YV3T7U522KA195642</v>
          </cell>
          <cell r="E3893" t="str">
            <v>Volvo</v>
          </cell>
          <cell r="F3893" t="str">
            <v>B8R</v>
          </cell>
          <cell r="G3893" t="str">
            <v>MARCOPOLO</v>
          </cell>
          <cell r="H3893" t="str">
            <v>TORINO</v>
          </cell>
          <cell r="I3893">
            <v>2019</v>
          </cell>
          <cell r="J3893" t="str">
            <v>B2PAL</v>
          </cell>
          <cell r="K3893" t="str">
            <v>LOS LIBERTADORES</v>
          </cell>
          <cell r="L3893" t="str">
            <v>Los Liberadores 6450, Lote 4A</v>
          </cell>
          <cell r="M3893" t="str">
            <v>Huechuraba</v>
          </cell>
          <cell r="N3893" t="str">
            <v>B</v>
          </cell>
        </row>
        <row r="3894">
          <cell r="B3894" t="str">
            <v>GCBC-18|</v>
          </cell>
          <cell r="C3894" t="str">
            <v>D8483789K2PL</v>
          </cell>
          <cell r="D3894" t="str">
            <v>YV3T7U524KA195643</v>
          </cell>
          <cell r="E3894" t="str">
            <v>Volvo</v>
          </cell>
          <cell r="F3894" t="str">
            <v>B8R</v>
          </cell>
          <cell r="G3894" t="str">
            <v>MARCOPOLO</v>
          </cell>
          <cell r="H3894" t="str">
            <v>TORINO</v>
          </cell>
          <cell r="I3894">
            <v>2019</v>
          </cell>
          <cell r="J3894" t="str">
            <v>B2PAL</v>
          </cell>
          <cell r="K3894" t="str">
            <v>SAN JOSE</v>
          </cell>
          <cell r="L3894" t="str">
            <v>San José 030 (José Besa 669)</v>
          </cell>
          <cell r="M3894" t="str">
            <v>San Bernardo</v>
          </cell>
          <cell r="N3894" t="str">
            <v>B</v>
          </cell>
        </row>
        <row r="3895">
          <cell r="B3895" t="str">
            <v>GCBC-19|</v>
          </cell>
          <cell r="C3895" t="str">
            <v>D8484480K2PL</v>
          </cell>
          <cell r="D3895" t="str">
            <v>YV3T7U524KA195688</v>
          </cell>
          <cell r="E3895" t="str">
            <v>Volvo</v>
          </cell>
          <cell r="F3895" t="str">
            <v>B8R</v>
          </cell>
          <cell r="G3895" t="str">
            <v>MARCOPOLO</v>
          </cell>
          <cell r="H3895" t="str">
            <v>TORINO</v>
          </cell>
          <cell r="I3895">
            <v>2019</v>
          </cell>
          <cell r="J3895" t="str">
            <v>B2PAL</v>
          </cell>
          <cell r="K3895" t="str">
            <v>SAN JOSE</v>
          </cell>
          <cell r="L3895" t="str">
            <v>San José 030 (José Besa 669)</v>
          </cell>
          <cell r="M3895" t="str">
            <v>San Bernardo</v>
          </cell>
          <cell r="N3895" t="str">
            <v>B</v>
          </cell>
        </row>
        <row r="3896">
          <cell r="B3896" t="str">
            <v>GCBC-20|</v>
          </cell>
          <cell r="C3896" t="str">
            <v>D8484637K2PL</v>
          </cell>
          <cell r="D3896" t="str">
            <v>YV3T7U528KA195712</v>
          </cell>
          <cell r="E3896" t="str">
            <v>Volvo</v>
          </cell>
          <cell r="F3896" t="str">
            <v>B8R</v>
          </cell>
          <cell r="G3896" t="str">
            <v>MARCOPOLO</v>
          </cell>
          <cell r="H3896" t="str">
            <v>TORINO</v>
          </cell>
          <cell r="I3896">
            <v>2019</v>
          </cell>
          <cell r="J3896" t="str">
            <v>B2PAL</v>
          </cell>
          <cell r="K3896" t="str">
            <v>SAN JOSE</v>
          </cell>
          <cell r="L3896" t="str">
            <v>San José 030 (José Besa 669)</v>
          </cell>
          <cell r="M3896" t="str">
            <v>San Bernardo</v>
          </cell>
          <cell r="N3896" t="str">
            <v>B</v>
          </cell>
        </row>
        <row r="3897">
          <cell r="B3897" t="str">
            <v>GCBC-21|</v>
          </cell>
          <cell r="C3897" t="str">
            <v>D8484676K2PL</v>
          </cell>
          <cell r="D3897" t="str">
            <v>YV3T7U52XKA195713</v>
          </cell>
          <cell r="E3897" t="str">
            <v>Volvo</v>
          </cell>
          <cell r="F3897" t="str">
            <v>B8R</v>
          </cell>
          <cell r="G3897" t="str">
            <v>MARCOPOLO</v>
          </cell>
          <cell r="H3897" t="str">
            <v>TORINO</v>
          </cell>
          <cell r="I3897">
            <v>2019</v>
          </cell>
          <cell r="J3897" t="str">
            <v>B2PAL</v>
          </cell>
          <cell r="K3897" t="str">
            <v>LOS LIBERTADORES</v>
          </cell>
          <cell r="L3897" t="str">
            <v>Los Liberadores 6450, Lote 4A</v>
          </cell>
          <cell r="M3897" t="str">
            <v>Huechuraba</v>
          </cell>
          <cell r="N3897" t="str">
            <v>B</v>
          </cell>
        </row>
        <row r="3898">
          <cell r="B3898" t="str">
            <v>GCBC-22|</v>
          </cell>
          <cell r="C3898" t="str">
            <v>D8484733K2PL</v>
          </cell>
          <cell r="D3898" t="str">
            <v>YV3T7U526KA195742</v>
          </cell>
          <cell r="E3898" t="str">
            <v>Volvo</v>
          </cell>
          <cell r="F3898" t="str">
            <v>B8R</v>
          </cell>
          <cell r="G3898" t="str">
            <v>MARCOPOLO</v>
          </cell>
          <cell r="H3898" t="str">
            <v>TORINO</v>
          </cell>
          <cell r="I3898">
            <v>2019</v>
          </cell>
          <cell r="J3898" t="str">
            <v>B2PAL</v>
          </cell>
          <cell r="K3898" t="str">
            <v>LOS LIBERTADORES</v>
          </cell>
          <cell r="L3898" t="str">
            <v>Los Liberadores 6450, Lote 4A</v>
          </cell>
          <cell r="M3898" t="str">
            <v>Huechuraba</v>
          </cell>
          <cell r="N3898" t="str">
            <v>B</v>
          </cell>
        </row>
        <row r="3899">
          <cell r="B3899" t="str">
            <v>GCBC-23|</v>
          </cell>
          <cell r="C3899" t="str">
            <v>D8481621K2PL</v>
          </cell>
          <cell r="D3899" t="str">
            <v>YV3T7U528KA195175</v>
          </cell>
          <cell r="E3899" t="str">
            <v>Volvo</v>
          </cell>
          <cell r="F3899" t="str">
            <v>B8R</v>
          </cell>
          <cell r="G3899" t="str">
            <v>MARCOPOLO</v>
          </cell>
          <cell r="H3899" t="str">
            <v>TORINO</v>
          </cell>
          <cell r="I3899">
            <v>2019</v>
          </cell>
          <cell r="J3899" t="str">
            <v>B2PAL</v>
          </cell>
          <cell r="K3899" t="str">
            <v>LOS LIBERTADORES</v>
          </cell>
          <cell r="L3899" t="str">
            <v>Los Liberadores 6450, Lote 4A</v>
          </cell>
          <cell r="M3899" t="str">
            <v>Huechuraba</v>
          </cell>
          <cell r="N3899" t="str">
            <v>B</v>
          </cell>
        </row>
        <row r="3900">
          <cell r="B3900" t="str">
            <v>GCBB-16|</v>
          </cell>
          <cell r="C3900" t="str">
            <v>D8482769K2PL</v>
          </cell>
          <cell r="D3900" t="str">
            <v>YV3T7U522KA195303</v>
          </cell>
          <cell r="E3900" t="str">
            <v>Volvo</v>
          </cell>
          <cell r="F3900" t="str">
            <v>B8R</v>
          </cell>
          <cell r="G3900" t="str">
            <v>MARCOPOLO</v>
          </cell>
          <cell r="H3900" t="str">
            <v>TORINO</v>
          </cell>
          <cell r="I3900">
            <v>2019</v>
          </cell>
          <cell r="J3900" t="str">
            <v>B2PAL</v>
          </cell>
          <cell r="K3900" t="str">
            <v>LOS LIBERTADORES</v>
          </cell>
          <cell r="L3900" t="str">
            <v>Los Liberadores 6450, Lote 4A</v>
          </cell>
          <cell r="M3900" t="str">
            <v>Huechuraba</v>
          </cell>
          <cell r="N3900" t="str">
            <v>B</v>
          </cell>
        </row>
        <row r="3901">
          <cell r="B3901" t="str">
            <v>GCBB-17|</v>
          </cell>
          <cell r="C3901" t="str">
            <v>D8478205K2PL</v>
          </cell>
          <cell r="D3901" t="str">
            <v>YV3T7U520KA195140</v>
          </cell>
          <cell r="E3901" t="str">
            <v>Volvo</v>
          </cell>
          <cell r="F3901" t="str">
            <v>B8R</v>
          </cell>
          <cell r="G3901" t="str">
            <v>MARCOPOLO</v>
          </cell>
          <cell r="H3901" t="str">
            <v>TORINO</v>
          </cell>
          <cell r="I3901">
            <v>2019</v>
          </cell>
          <cell r="J3901" t="str">
            <v>B2PAL</v>
          </cell>
          <cell r="K3901" t="str">
            <v>LOS LIBERTADORES</v>
          </cell>
          <cell r="L3901" t="str">
            <v>Los Liberadores 6450, Lote 4A</v>
          </cell>
          <cell r="M3901" t="str">
            <v>Huechuraba</v>
          </cell>
          <cell r="N3901" t="str">
            <v>B</v>
          </cell>
        </row>
        <row r="3902">
          <cell r="B3902" t="str">
            <v>GCBB-18|</v>
          </cell>
          <cell r="C3902" t="str">
            <v>D8481556K2PL</v>
          </cell>
          <cell r="D3902" t="str">
            <v>YV3T7U521KA195177</v>
          </cell>
          <cell r="E3902" t="str">
            <v>Volvo</v>
          </cell>
          <cell r="F3902" t="str">
            <v>B8R</v>
          </cell>
          <cell r="G3902" t="str">
            <v>MARCOPOLO</v>
          </cell>
          <cell r="H3902" t="str">
            <v>TORINO</v>
          </cell>
          <cell r="I3902">
            <v>2019</v>
          </cell>
          <cell r="J3902" t="str">
            <v>B2PAL</v>
          </cell>
          <cell r="K3902" t="str">
            <v>SAN JOSE</v>
          </cell>
          <cell r="L3902" t="str">
            <v>San José 030 (José Besa 669)</v>
          </cell>
          <cell r="M3902" t="str">
            <v>San Bernardo</v>
          </cell>
          <cell r="N3902" t="str">
            <v>B</v>
          </cell>
        </row>
        <row r="3903">
          <cell r="B3903" t="str">
            <v>GCBB-19|</v>
          </cell>
          <cell r="C3903" t="str">
            <v>D8482482K2PL</v>
          </cell>
          <cell r="D3903" t="str">
            <v>YV3T7U523KA195326</v>
          </cell>
          <cell r="E3903" t="str">
            <v>Volvo</v>
          </cell>
          <cell r="F3903" t="str">
            <v>B8R</v>
          </cell>
          <cell r="G3903" t="str">
            <v>MARCOPOLO</v>
          </cell>
          <cell r="H3903" t="str">
            <v>TORINO</v>
          </cell>
          <cell r="I3903">
            <v>2019</v>
          </cell>
          <cell r="J3903" t="str">
            <v>B2PAL</v>
          </cell>
          <cell r="K3903" t="str">
            <v>LOS LIBERTADORES</v>
          </cell>
          <cell r="L3903" t="str">
            <v>Los Liberadores 6450, Lote 4A</v>
          </cell>
          <cell r="M3903" t="str">
            <v>Huechuraba</v>
          </cell>
          <cell r="N3903" t="str">
            <v>B</v>
          </cell>
        </row>
        <row r="3904">
          <cell r="B3904" t="str">
            <v>GCBB-20|</v>
          </cell>
          <cell r="C3904" t="str">
            <v>D8482478K2PL</v>
          </cell>
          <cell r="D3904" t="str">
            <v>YV3T7U525KA195327</v>
          </cell>
          <cell r="E3904" t="str">
            <v>Volvo</v>
          </cell>
          <cell r="F3904" t="str">
            <v>B8R</v>
          </cell>
          <cell r="G3904" t="str">
            <v>MARCOPOLO</v>
          </cell>
          <cell r="H3904" t="str">
            <v>TORINO</v>
          </cell>
          <cell r="I3904">
            <v>2019</v>
          </cell>
          <cell r="J3904" t="str">
            <v>B2PAL</v>
          </cell>
          <cell r="K3904" t="str">
            <v>LOS LIBERTADORES</v>
          </cell>
          <cell r="L3904" t="str">
            <v>Los Liberadores 6450, Lote 4A</v>
          </cell>
          <cell r="M3904" t="str">
            <v>Huechuraba</v>
          </cell>
          <cell r="N3904" t="str">
            <v>B</v>
          </cell>
        </row>
        <row r="3905">
          <cell r="B3905" t="str">
            <v>GCBB-21|</v>
          </cell>
          <cell r="C3905" t="str">
            <v>D8482400K2PL</v>
          </cell>
          <cell r="D3905" t="str">
            <v>YV3T7U527KA195328</v>
          </cell>
          <cell r="E3905" t="str">
            <v>Volvo</v>
          </cell>
          <cell r="F3905" t="str">
            <v>B8R</v>
          </cell>
          <cell r="G3905" t="str">
            <v>MARCOPOLO</v>
          </cell>
          <cell r="H3905" t="str">
            <v>TORINO</v>
          </cell>
          <cell r="I3905">
            <v>2019</v>
          </cell>
          <cell r="J3905" t="str">
            <v>B2PAL</v>
          </cell>
          <cell r="K3905" t="str">
            <v>LOS LIBERTADORES</v>
          </cell>
          <cell r="L3905" t="str">
            <v>Los Liberadores 6450, Lote 4A</v>
          </cell>
          <cell r="M3905" t="str">
            <v>Huechuraba</v>
          </cell>
          <cell r="N3905" t="str">
            <v>B</v>
          </cell>
        </row>
        <row r="3906">
          <cell r="B3906" t="str">
            <v>GCBB-22|</v>
          </cell>
          <cell r="C3906" t="str">
            <v>D8482554K2PL</v>
          </cell>
          <cell r="D3906" t="str">
            <v>YV3T7U520KA195350</v>
          </cell>
          <cell r="E3906" t="str">
            <v>Volvo</v>
          </cell>
          <cell r="F3906" t="str">
            <v>B8R</v>
          </cell>
          <cell r="G3906" t="str">
            <v>MARCOPOLO</v>
          </cell>
          <cell r="H3906" t="str">
            <v>TORINO</v>
          </cell>
          <cell r="I3906">
            <v>2019</v>
          </cell>
          <cell r="J3906" t="str">
            <v>B2PAL</v>
          </cell>
          <cell r="K3906" t="str">
            <v>LOS LIBERTADORES</v>
          </cell>
          <cell r="L3906" t="str">
            <v>Los Liberadores 6450, Lote 4A</v>
          </cell>
          <cell r="M3906" t="str">
            <v>Huechuraba</v>
          </cell>
          <cell r="N3906" t="str">
            <v>B</v>
          </cell>
        </row>
        <row r="3907">
          <cell r="B3907" t="str">
            <v>GCBB-23|</v>
          </cell>
          <cell r="C3907" t="str">
            <v>D8482519K2PL</v>
          </cell>
          <cell r="D3907" t="str">
            <v>YV3T7U522KA195351</v>
          </cell>
          <cell r="E3907" t="str">
            <v>Volvo</v>
          </cell>
          <cell r="F3907" t="str">
            <v>B8R</v>
          </cell>
          <cell r="G3907" t="str">
            <v>MARCOPOLO</v>
          </cell>
          <cell r="H3907" t="str">
            <v>TORINO</v>
          </cell>
          <cell r="I3907">
            <v>2019</v>
          </cell>
          <cell r="J3907" t="str">
            <v>B2PAL</v>
          </cell>
          <cell r="K3907" t="str">
            <v>LOS LIBERTADORES</v>
          </cell>
          <cell r="L3907" t="str">
            <v>Los Liberadores 6450, Lote 4A</v>
          </cell>
          <cell r="M3907" t="str">
            <v>Huechuraba</v>
          </cell>
          <cell r="N3907" t="str">
            <v>B</v>
          </cell>
        </row>
        <row r="3908">
          <cell r="B3908" t="str">
            <v>GCBB-24|</v>
          </cell>
          <cell r="C3908" t="str">
            <v>D8482509K2PL</v>
          </cell>
          <cell r="D3908" t="str">
            <v>YV3T7U524KA195352</v>
          </cell>
          <cell r="E3908" t="str">
            <v>Volvo</v>
          </cell>
          <cell r="F3908" t="str">
            <v>B8R</v>
          </cell>
          <cell r="G3908" t="str">
            <v>MARCOPOLO</v>
          </cell>
          <cell r="H3908" t="str">
            <v>TORINO</v>
          </cell>
          <cell r="I3908">
            <v>2019</v>
          </cell>
          <cell r="J3908" t="str">
            <v>B2PAL</v>
          </cell>
          <cell r="K3908" t="str">
            <v>LOS LIBERTADORES</v>
          </cell>
          <cell r="L3908" t="str">
            <v>Los Liberadores 6450, Lote 4A</v>
          </cell>
          <cell r="M3908" t="str">
            <v>Huechuraba</v>
          </cell>
          <cell r="N3908" t="str">
            <v>B</v>
          </cell>
        </row>
        <row r="3909">
          <cell r="B3909" t="str">
            <v>FLXZ-96|</v>
          </cell>
          <cell r="C3909" t="str">
            <v>D8478282K2PL</v>
          </cell>
          <cell r="D3909" t="str">
            <v>YV3T7U526KA195143</v>
          </cell>
          <cell r="E3909" t="str">
            <v>Volvo</v>
          </cell>
          <cell r="F3909" t="str">
            <v>B8R</v>
          </cell>
          <cell r="G3909" t="str">
            <v>MARCOPOLO</v>
          </cell>
          <cell r="H3909" t="str">
            <v>TORINO</v>
          </cell>
          <cell r="I3909">
            <v>2019</v>
          </cell>
          <cell r="J3909" t="str">
            <v>B2PAL</v>
          </cell>
          <cell r="K3909" t="str">
            <v>LOS LIBERTADORES</v>
          </cell>
          <cell r="L3909" t="str">
            <v>Los Liberadores 6450, Lote 4A</v>
          </cell>
          <cell r="M3909" t="str">
            <v>Huechuraba</v>
          </cell>
          <cell r="N3909" t="str">
            <v>B</v>
          </cell>
        </row>
        <row r="3910">
          <cell r="B3910" t="str">
            <v>GCBB-25|</v>
          </cell>
          <cell r="C3910" t="str">
            <v>D8482576K2PL</v>
          </cell>
          <cell r="D3910" t="str">
            <v>YV3T7U523KA195357</v>
          </cell>
          <cell r="E3910" t="str">
            <v>Volvo</v>
          </cell>
          <cell r="F3910" t="str">
            <v>B8R</v>
          </cell>
          <cell r="G3910" t="str">
            <v>MARCOPOLO</v>
          </cell>
          <cell r="H3910" t="str">
            <v>TORINO</v>
          </cell>
          <cell r="I3910">
            <v>2019</v>
          </cell>
          <cell r="J3910" t="str">
            <v>B2PAL</v>
          </cell>
          <cell r="K3910" t="str">
            <v>LOS LIBERTADORES</v>
          </cell>
          <cell r="L3910" t="str">
            <v>Los Liberadores 6450, Lote 4A</v>
          </cell>
          <cell r="M3910" t="str">
            <v>Huechuraba</v>
          </cell>
          <cell r="N3910" t="str">
            <v>B</v>
          </cell>
        </row>
        <row r="3911">
          <cell r="B3911" t="str">
            <v>GCBB-26|</v>
          </cell>
          <cell r="C3911" t="str">
            <v>D8482502K2PL</v>
          </cell>
          <cell r="D3911" t="str">
            <v>YV3T7U523KA195360</v>
          </cell>
          <cell r="E3911" t="str">
            <v>Volvo</v>
          </cell>
          <cell r="F3911" t="str">
            <v>B8R</v>
          </cell>
          <cell r="G3911" t="str">
            <v>MARCOPOLO</v>
          </cell>
          <cell r="H3911" t="str">
            <v>TORINO</v>
          </cell>
          <cell r="I3911">
            <v>2019</v>
          </cell>
          <cell r="J3911" t="str">
            <v>B2PAL</v>
          </cell>
          <cell r="K3911" t="str">
            <v>LOS LIBERTADORES</v>
          </cell>
          <cell r="L3911" t="str">
            <v>Los Liberadores 6450, Lote 4A</v>
          </cell>
          <cell r="M3911" t="str">
            <v>Huechuraba</v>
          </cell>
          <cell r="N3911" t="str">
            <v>B</v>
          </cell>
        </row>
        <row r="3912">
          <cell r="B3912" t="str">
            <v>GCBB-27|</v>
          </cell>
          <cell r="C3912" t="str">
            <v>D8482597K2PL</v>
          </cell>
          <cell r="D3912" t="str">
            <v>YV3T7U525KA195361</v>
          </cell>
          <cell r="E3912" t="str">
            <v>Volvo</v>
          </cell>
          <cell r="F3912" t="str">
            <v>B8R</v>
          </cell>
          <cell r="G3912" t="str">
            <v>MARCOPOLO</v>
          </cell>
          <cell r="H3912" t="str">
            <v>TORINO</v>
          </cell>
          <cell r="I3912">
            <v>2019</v>
          </cell>
          <cell r="J3912" t="str">
            <v>B2PAL</v>
          </cell>
          <cell r="K3912" t="str">
            <v>LOS LIBERTADORES</v>
          </cell>
          <cell r="L3912" t="str">
            <v>Los Liberadores 6450, Lote 4A</v>
          </cell>
          <cell r="M3912" t="str">
            <v>Huechuraba</v>
          </cell>
          <cell r="N3912" t="str">
            <v>B</v>
          </cell>
        </row>
        <row r="3913">
          <cell r="B3913" t="str">
            <v>GCBB-28|</v>
          </cell>
          <cell r="C3913" t="str">
            <v>D8481798K2PL</v>
          </cell>
          <cell r="D3913" t="str">
            <v>YV3T7U527KA195460</v>
          </cell>
          <cell r="E3913" t="str">
            <v>Volvo</v>
          </cell>
          <cell r="F3913" t="str">
            <v>B8R</v>
          </cell>
          <cell r="G3913" t="str">
            <v>MARCOPOLO</v>
          </cell>
          <cell r="H3913" t="str">
            <v>TORINO</v>
          </cell>
          <cell r="I3913">
            <v>2019</v>
          </cell>
          <cell r="J3913" t="str">
            <v>B2PAL</v>
          </cell>
          <cell r="K3913" t="str">
            <v>LOS LIBERTADORES</v>
          </cell>
          <cell r="L3913" t="str">
            <v>Los Liberadores 6450, Lote 4A</v>
          </cell>
          <cell r="M3913" t="str">
            <v>Huechuraba</v>
          </cell>
          <cell r="N3913" t="str">
            <v>B</v>
          </cell>
        </row>
        <row r="3914">
          <cell r="B3914" t="str">
            <v>GCBB-29|</v>
          </cell>
          <cell r="C3914" t="str">
            <v>D8481794K2PL</v>
          </cell>
          <cell r="D3914" t="str">
            <v>YV3T7U529KA195461</v>
          </cell>
          <cell r="E3914" t="str">
            <v>Volvo</v>
          </cell>
          <cell r="F3914" t="str">
            <v>B8R</v>
          </cell>
          <cell r="G3914" t="str">
            <v>MARCOPOLO</v>
          </cell>
          <cell r="H3914" t="str">
            <v>TORINO</v>
          </cell>
          <cell r="I3914">
            <v>2019</v>
          </cell>
          <cell r="J3914" t="str">
            <v>B2PAL</v>
          </cell>
          <cell r="K3914" t="str">
            <v>LOS LIBERTADORES</v>
          </cell>
          <cell r="L3914" t="str">
            <v>Los Liberadores 6450, Lote 4A</v>
          </cell>
          <cell r="M3914" t="str">
            <v>Huechuraba</v>
          </cell>
          <cell r="N3914" t="str">
            <v>B</v>
          </cell>
        </row>
        <row r="3915">
          <cell r="B3915" t="str">
            <v>GCBB-30|</v>
          </cell>
          <cell r="C3915" t="str">
            <v>D8483045K2PL</v>
          </cell>
          <cell r="D3915" t="str">
            <v>YV3T7U520KA195462</v>
          </cell>
          <cell r="E3915" t="str">
            <v>Volvo</v>
          </cell>
          <cell r="F3915" t="str">
            <v>B8R</v>
          </cell>
          <cell r="G3915" t="str">
            <v>MARCOPOLO</v>
          </cell>
          <cell r="H3915" t="str">
            <v>TORINO</v>
          </cell>
          <cell r="I3915">
            <v>2019</v>
          </cell>
          <cell r="J3915" t="str">
            <v>B2PAL</v>
          </cell>
          <cell r="K3915" t="str">
            <v>LOS LIBERTADORES</v>
          </cell>
          <cell r="L3915" t="str">
            <v>Los Liberadores 6450, Lote 4A</v>
          </cell>
          <cell r="M3915" t="str">
            <v>Huechuraba</v>
          </cell>
          <cell r="N3915" t="str">
            <v>B</v>
          </cell>
        </row>
        <row r="3916">
          <cell r="B3916" t="str">
            <v>GCBB-31|</v>
          </cell>
          <cell r="C3916" t="str">
            <v>D8483063K2PL</v>
          </cell>
          <cell r="D3916" t="str">
            <v>YV3T7U522KA195463</v>
          </cell>
          <cell r="E3916" t="str">
            <v>Volvo</v>
          </cell>
          <cell r="F3916" t="str">
            <v>B8R</v>
          </cell>
          <cell r="G3916" t="str">
            <v>MARCOPOLO</v>
          </cell>
          <cell r="H3916" t="str">
            <v>TORINO</v>
          </cell>
          <cell r="I3916">
            <v>2019</v>
          </cell>
          <cell r="J3916" t="str">
            <v>B2PAL</v>
          </cell>
          <cell r="K3916" t="str">
            <v>LOS LIBERTADORES</v>
          </cell>
          <cell r="L3916" t="str">
            <v>Los Liberadores 6450, Lote 4A</v>
          </cell>
          <cell r="M3916" t="str">
            <v>Huechuraba</v>
          </cell>
          <cell r="N3916" t="str">
            <v>B</v>
          </cell>
        </row>
        <row r="3917">
          <cell r="B3917" t="str">
            <v>GCBB-32|</v>
          </cell>
          <cell r="C3917" t="str">
            <v>D8483109K2PL</v>
          </cell>
          <cell r="D3917" t="str">
            <v>YV3T7U523KA195486</v>
          </cell>
          <cell r="E3917" t="str">
            <v>Volvo</v>
          </cell>
          <cell r="F3917" t="str">
            <v>B8R</v>
          </cell>
          <cell r="G3917" t="str">
            <v>MARCOPOLO</v>
          </cell>
          <cell r="H3917" t="str">
            <v>TORINO</v>
          </cell>
          <cell r="I3917">
            <v>2019</v>
          </cell>
          <cell r="J3917" t="str">
            <v>B2PAL</v>
          </cell>
          <cell r="K3917" t="str">
            <v>LOS LIBERTADORES</v>
          </cell>
          <cell r="L3917" t="str">
            <v>Los Liberadores 6450, Lote 4A</v>
          </cell>
          <cell r="M3917" t="str">
            <v>Huechuraba</v>
          </cell>
          <cell r="N3917" t="str">
            <v>B</v>
          </cell>
        </row>
        <row r="3918">
          <cell r="B3918" t="str">
            <v>GCBC-33|</v>
          </cell>
          <cell r="C3918" t="str">
            <v>D8483197K2PL</v>
          </cell>
          <cell r="D3918" t="str">
            <v>YV3T7U526KA195532</v>
          </cell>
          <cell r="E3918" t="str">
            <v>Volvo</v>
          </cell>
          <cell r="F3918" t="str">
            <v>B8R</v>
          </cell>
          <cell r="G3918" t="str">
            <v>MARCOPOLO</v>
          </cell>
          <cell r="H3918" t="str">
            <v>TORINO</v>
          </cell>
          <cell r="I3918">
            <v>2019</v>
          </cell>
          <cell r="J3918" t="str">
            <v>B2PAL</v>
          </cell>
          <cell r="K3918" t="str">
            <v>LOS LIBERTADORES</v>
          </cell>
          <cell r="L3918" t="str">
            <v>Los Liberadores 6450, Lote 4A</v>
          </cell>
          <cell r="M3918" t="str">
            <v>Huechuraba</v>
          </cell>
          <cell r="N3918" t="str">
            <v>B</v>
          </cell>
        </row>
        <row r="3919">
          <cell r="B3919" t="str">
            <v>GCBB-34|</v>
          </cell>
          <cell r="C3919" t="str">
            <v>D8483194K2PL</v>
          </cell>
          <cell r="D3919" t="str">
            <v>YV3T7U528KA195533</v>
          </cell>
          <cell r="E3919" t="str">
            <v>Volvo</v>
          </cell>
          <cell r="F3919" t="str">
            <v>B8R</v>
          </cell>
          <cell r="G3919" t="str">
            <v>MARCOPOLO</v>
          </cell>
          <cell r="H3919" t="str">
            <v>TORINO</v>
          </cell>
          <cell r="I3919">
            <v>2019</v>
          </cell>
          <cell r="J3919" t="str">
            <v>B2PAL</v>
          </cell>
          <cell r="K3919" t="str">
            <v>LOS LIBERTADORES</v>
          </cell>
          <cell r="L3919" t="str">
            <v>Los Liberadores 6450, Lote 4A</v>
          </cell>
          <cell r="M3919" t="str">
            <v>Huechuraba</v>
          </cell>
          <cell r="N3919" t="str">
            <v>B</v>
          </cell>
        </row>
        <row r="3920">
          <cell r="B3920" t="str">
            <v>FLXZ-97|</v>
          </cell>
          <cell r="C3920" t="str">
            <v>D8478297K2PL</v>
          </cell>
          <cell r="D3920" t="str">
            <v>YV3T7U528KA195144</v>
          </cell>
          <cell r="E3920" t="str">
            <v>Volvo</v>
          </cell>
          <cell r="F3920" t="str">
            <v>B8R</v>
          </cell>
          <cell r="G3920" t="str">
            <v>MARCOPOLO</v>
          </cell>
          <cell r="H3920" t="str">
            <v>TORINO</v>
          </cell>
          <cell r="I3920">
            <v>2019</v>
          </cell>
          <cell r="J3920" t="str">
            <v>B2PAL</v>
          </cell>
          <cell r="K3920" t="str">
            <v>LOS LIBERTADORES</v>
          </cell>
          <cell r="L3920" t="str">
            <v>Los Liberadores 6450, Lote 4A</v>
          </cell>
          <cell r="M3920" t="str">
            <v>Huechuraba</v>
          </cell>
          <cell r="N3920" t="str">
            <v>B</v>
          </cell>
        </row>
        <row r="3921">
          <cell r="B3921" t="str">
            <v>GCBB-35|</v>
          </cell>
          <cell r="C3921" t="str">
            <v>D8483221K2PL</v>
          </cell>
          <cell r="D3921" t="str">
            <v>YV3T7U521KA195535</v>
          </cell>
          <cell r="E3921" t="str">
            <v>Volvo</v>
          </cell>
          <cell r="F3921" t="str">
            <v>B8R</v>
          </cell>
          <cell r="G3921" t="str">
            <v>MARCOPOLO</v>
          </cell>
          <cell r="H3921" t="str">
            <v>TORINO</v>
          </cell>
          <cell r="I3921">
            <v>2019</v>
          </cell>
          <cell r="J3921" t="str">
            <v>B2PAL</v>
          </cell>
          <cell r="K3921" t="str">
            <v>LOS LIBERTADORES</v>
          </cell>
          <cell r="L3921" t="str">
            <v>Los Liberadores 6450, Lote 4A</v>
          </cell>
          <cell r="M3921" t="str">
            <v>Huechuraba</v>
          </cell>
          <cell r="N3921" t="str">
            <v>B</v>
          </cell>
        </row>
        <row r="3922">
          <cell r="B3922" t="str">
            <v>GCBB-36|</v>
          </cell>
          <cell r="C3922" t="str">
            <v>D89303077</v>
          </cell>
          <cell r="D3922" t="str">
            <v>YV3T7U523KA195553</v>
          </cell>
          <cell r="E3922" t="str">
            <v>Volvo</v>
          </cell>
          <cell r="F3922" t="str">
            <v>B8R</v>
          </cell>
          <cell r="G3922" t="str">
            <v>MARCOPOLO</v>
          </cell>
          <cell r="H3922" t="str">
            <v>TORINO</v>
          </cell>
          <cell r="I3922">
            <v>2019</v>
          </cell>
          <cell r="J3922" t="str">
            <v>B2PAL</v>
          </cell>
          <cell r="K3922" t="str">
            <v>LOS LIBERTADORES</v>
          </cell>
          <cell r="L3922" t="str">
            <v>Los Liberadores 6450, Lote 4A</v>
          </cell>
          <cell r="M3922" t="str">
            <v>Huechuraba</v>
          </cell>
          <cell r="N3922" t="str">
            <v>B</v>
          </cell>
        </row>
        <row r="3923">
          <cell r="B3923" t="str">
            <v>GCBB-37|</v>
          </cell>
          <cell r="C3923" t="str">
            <v>D8483453K2PL</v>
          </cell>
          <cell r="D3923" t="str">
            <v>YV3T7U527KA195572</v>
          </cell>
          <cell r="E3923" t="str">
            <v>Volvo</v>
          </cell>
          <cell r="F3923" t="str">
            <v>B8R</v>
          </cell>
          <cell r="G3923" t="str">
            <v>MARCOPOLO</v>
          </cell>
          <cell r="H3923" t="str">
            <v>TORINO</v>
          </cell>
          <cell r="I3923">
            <v>2019</v>
          </cell>
          <cell r="J3923" t="str">
            <v>B2PAL</v>
          </cell>
          <cell r="K3923" t="str">
            <v>LOS LIBERTADORES</v>
          </cell>
          <cell r="L3923" t="str">
            <v>Los Liberadores 6450, Lote 4A</v>
          </cell>
          <cell r="M3923" t="str">
            <v>Huechuraba</v>
          </cell>
          <cell r="N3923" t="str">
            <v>B</v>
          </cell>
        </row>
        <row r="3924">
          <cell r="B3924" t="str">
            <v>GCBB-38|</v>
          </cell>
          <cell r="C3924" t="str">
            <v>D8483890K2PL</v>
          </cell>
          <cell r="D3924" t="str">
            <v>YV3T7U520KA195574</v>
          </cell>
          <cell r="E3924" t="str">
            <v>Volvo</v>
          </cell>
          <cell r="F3924" t="str">
            <v>B8R</v>
          </cell>
          <cell r="G3924" t="str">
            <v>MARCOPOLO</v>
          </cell>
          <cell r="H3924" t="str">
            <v>TORINO</v>
          </cell>
          <cell r="I3924">
            <v>2019</v>
          </cell>
          <cell r="J3924" t="str">
            <v>B2PAL</v>
          </cell>
          <cell r="K3924" t="str">
            <v>LOS LIBERTADORES</v>
          </cell>
          <cell r="L3924" t="str">
            <v>Los Liberadores 6450, Lote 4A</v>
          </cell>
          <cell r="M3924" t="str">
            <v>Huechuraba</v>
          </cell>
          <cell r="N3924" t="str">
            <v>B</v>
          </cell>
        </row>
        <row r="3925">
          <cell r="B3925" t="str">
            <v>GCBB-39|</v>
          </cell>
          <cell r="C3925" t="str">
            <v>D8478276K2PL</v>
          </cell>
          <cell r="D3925" t="str">
            <v>YV3T7U522KA195141</v>
          </cell>
          <cell r="E3925" t="str">
            <v>Volvo</v>
          </cell>
          <cell r="F3925" t="str">
            <v>B8R</v>
          </cell>
          <cell r="G3925" t="str">
            <v>MARCOPOLO</v>
          </cell>
          <cell r="H3925" t="str">
            <v>TORINO</v>
          </cell>
          <cell r="I3925">
            <v>2019</v>
          </cell>
          <cell r="J3925" t="str">
            <v>B2PAL</v>
          </cell>
          <cell r="K3925" t="str">
            <v>LOS LIBERTADORES</v>
          </cell>
          <cell r="L3925" t="str">
            <v>Los Liberadores 6450, Lote 4A</v>
          </cell>
          <cell r="M3925" t="str">
            <v>Huechuraba</v>
          </cell>
          <cell r="N3925" t="str">
            <v>B</v>
          </cell>
        </row>
        <row r="3926">
          <cell r="B3926" t="str">
            <v>GCBB-40|</v>
          </cell>
          <cell r="C3926" t="str">
            <v>D8481604K2PL</v>
          </cell>
          <cell r="D3926" t="str">
            <v>YV3T7U52XKA195145</v>
          </cell>
          <cell r="E3926" t="str">
            <v>Volvo</v>
          </cell>
          <cell r="F3926" t="str">
            <v>B8R</v>
          </cell>
          <cell r="G3926" t="str">
            <v>MARCOPOLO</v>
          </cell>
          <cell r="H3926" t="str">
            <v>TORINO</v>
          </cell>
          <cell r="I3926">
            <v>2019</v>
          </cell>
          <cell r="J3926" t="str">
            <v>B2PAL</v>
          </cell>
          <cell r="K3926" t="str">
            <v>LOS LIBERTADORES</v>
          </cell>
          <cell r="L3926" t="str">
            <v>Los Liberadores 6450, Lote 4A</v>
          </cell>
          <cell r="M3926" t="str">
            <v>Huechuraba</v>
          </cell>
          <cell r="N3926" t="str">
            <v>B</v>
          </cell>
        </row>
        <row r="3927">
          <cell r="B3927" t="str">
            <v>GCBB-41|</v>
          </cell>
          <cell r="C3927" t="str">
            <v>D8481609K2PL</v>
          </cell>
          <cell r="D3927" t="str">
            <v>YV3T7U521KA195146</v>
          </cell>
          <cell r="E3927" t="str">
            <v>Volvo</v>
          </cell>
          <cell r="F3927" t="str">
            <v>B8R</v>
          </cell>
          <cell r="G3927" t="str">
            <v>MARCOPOLO</v>
          </cell>
          <cell r="H3927" t="str">
            <v>TORINO</v>
          </cell>
          <cell r="I3927">
            <v>2019</v>
          </cell>
          <cell r="J3927" t="str">
            <v>B2PAL</v>
          </cell>
          <cell r="K3927" t="str">
            <v>LOS LIBERTADORES</v>
          </cell>
          <cell r="L3927" t="str">
            <v>Los Liberadores 6450, Lote 4A</v>
          </cell>
          <cell r="M3927" t="str">
            <v>Huechuraba</v>
          </cell>
          <cell r="N3927" t="str">
            <v>B</v>
          </cell>
        </row>
        <row r="3928">
          <cell r="B3928" t="str">
            <v>GCBB-42|</v>
          </cell>
          <cell r="C3928" t="str">
            <v>D8478221K2PL</v>
          </cell>
          <cell r="D3928" t="str">
            <v>YV3T7U523KA195147</v>
          </cell>
          <cell r="E3928" t="str">
            <v>Volvo</v>
          </cell>
          <cell r="F3928" t="str">
            <v>B8R</v>
          </cell>
          <cell r="G3928" t="str">
            <v>MARCOPOLO</v>
          </cell>
          <cell r="H3928" t="str">
            <v>TORINO</v>
          </cell>
          <cell r="I3928">
            <v>2019</v>
          </cell>
          <cell r="J3928" t="str">
            <v>B2PAL</v>
          </cell>
          <cell r="K3928" t="str">
            <v>LOS LIBERTADORES</v>
          </cell>
          <cell r="L3928" t="str">
            <v>Los Liberadores 6450, Lote 4A</v>
          </cell>
          <cell r="M3928" t="str">
            <v>Huechuraba</v>
          </cell>
          <cell r="N3928" t="str">
            <v>B</v>
          </cell>
        </row>
        <row r="3929">
          <cell r="B3929" t="str">
            <v>GCBB-43|</v>
          </cell>
          <cell r="C3929" t="str">
            <v>D8478290K2PL</v>
          </cell>
          <cell r="D3929" t="str">
            <v>YV3T7U525KA195148</v>
          </cell>
          <cell r="E3929" t="str">
            <v>Volvo</v>
          </cell>
          <cell r="F3929" t="str">
            <v>B8R</v>
          </cell>
          <cell r="G3929" t="str">
            <v>MARCOPOLO</v>
          </cell>
          <cell r="H3929" t="str">
            <v>TORINO</v>
          </cell>
          <cell r="I3929">
            <v>2019</v>
          </cell>
          <cell r="J3929" t="str">
            <v>B2PAL</v>
          </cell>
          <cell r="K3929" t="str">
            <v>LOS LIBERTADORES</v>
          </cell>
          <cell r="L3929" t="str">
            <v>Los Liberadores 6450, Lote 4A</v>
          </cell>
          <cell r="M3929" t="str">
            <v>Huechuraba</v>
          </cell>
          <cell r="N3929" t="str">
            <v>B</v>
          </cell>
        </row>
        <row r="3930">
          <cell r="B3930" t="str">
            <v>GCBB-44|</v>
          </cell>
          <cell r="C3930" t="str">
            <v>D8481517K2PL</v>
          </cell>
          <cell r="D3930" t="str">
            <v>YV3T7U520KA195171</v>
          </cell>
          <cell r="E3930" t="str">
            <v>Volvo</v>
          </cell>
          <cell r="F3930" t="str">
            <v>B8R</v>
          </cell>
          <cell r="G3930" t="str">
            <v>MARCOPOLO</v>
          </cell>
          <cell r="H3930" t="str">
            <v>TORINO</v>
          </cell>
          <cell r="I3930">
            <v>2019</v>
          </cell>
          <cell r="J3930" t="str">
            <v>B2PAL</v>
          </cell>
          <cell r="K3930" t="str">
            <v>LOS LIBERTADORES</v>
          </cell>
          <cell r="L3930" t="str">
            <v>Los Liberadores 6450, Lote 4A</v>
          </cell>
          <cell r="M3930" t="str">
            <v>Huechuraba</v>
          </cell>
          <cell r="N3930" t="str">
            <v>B</v>
          </cell>
        </row>
        <row r="3931">
          <cell r="B3931" t="str">
            <v>FLXZ-98|</v>
          </cell>
          <cell r="C3931" t="str">
            <v>D8481625K2PL</v>
          </cell>
          <cell r="D3931" t="str">
            <v>YV3T7U526KA195174</v>
          </cell>
          <cell r="E3931" t="str">
            <v>Volvo</v>
          </cell>
          <cell r="F3931" t="str">
            <v>B8R</v>
          </cell>
          <cell r="G3931" t="str">
            <v>MARCOPOLO</v>
          </cell>
          <cell r="H3931" t="str">
            <v>TORINO</v>
          </cell>
          <cell r="I3931">
            <v>2019</v>
          </cell>
          <cell r="J3931" t="str">
            <v>B2PAL</v>
          </cell>
          <cell r="K3931" t="str">
            <v>LOS LIBERTADORES</v>
          </cell>
          <cell r="L3931" t="str">
            <v>Los Liberadores 6450, Lote 4A</v>
          </cell>
          <cell r="M3931" t="str">
            <v>Huechuraba</v>
          </cell>
          <cell r="N3931" t="str">
            <v>B</v>
          </cell>
        </row>
        <row r="3932">
          <cell r="B3932" t="str">
            <v>GCBB-45|</v>
          </cell>
          <cell r="C3932" t="str">
            <v>D8481615K2PL</v>
          </cell>
          <cell r="D3932" t="str">
            <v>YV3T7U524KA195173</v>
          </cell>
          <cell r="E3932" t="str">
            <v>Volvo</v>
          </cell>
          <cell r="F3932" t="str">
            <v>B8R</v>
          </cell>
          <cell r="G3932" t="str">
            <v>MARCOPOLO</v>
          </cell>
          <cell r="H3932" t="str">
            <v>TORINO</v>
          </cell>
          <cell r="I3932">
            <v>2019</v>
          </cell>
          <cell r="J3932" t="str">
            <v>B2PAL</v>
          </cell>
          <cell r="K3932" t="str">
            <v>LOS LIBERTADORES</v>
          </cell>
          <cell r="L3932" t="str">
            <v>Los Liberadores 6450, Lote 4A</v>
          </cell>
          <cell r="M3932" t="str">
            <v>Huechuraba</v>
          </cell>
          <cell r="N3932" t="str">
            <v>B</v>
          </cell>
        </row>
        <row r="3933">
          <cell r="B3933" t="str">
            <v>GCBB-46|</v>
          </cell>
          <cell r="C3933" t="str">
            <v>D8481618K2PL</v>
          </cell>
          <cell r="D3933" t="str">
            <v>YV3T7U52XKA195176</v>
          </cell>
          <cell r="E3933" t="str">
            <v>Volvo</v>
          </cell>
          <cell r="F3933" t="str">
            <v>B8R</v>
          </cell>
          <cell r="G3933" t="str">
            <v>MARCOPOLO</v>
          </cell>
          <cell r="H3933" t="str">
            <v>TORINO</v>
          </cell>
          <cell r="I3933">
            <v>2019</v>
          </cell>
          <cell r="J3933" t="str">
            <v>B2PAL</v>
          </cell>
          <cell r="K3933" t="str">
            <v>LOS LIBERTADORES</v>
          </cell>
          <cell r="L3933" t="str">
            <v>Los Liberadores 6450, Lote 4A</v>
          </cell>
          <cell r="M3933" t="str">
            <v>Huechuraba</v>
          </cell>
          <cell r="N3933" t="str">
            <v>B</v>
          </cell>
        </row>
        <row r="3934">
          <cell r="B3934" t="str">
            <v>GCBB-47|</v>
          </cell>
          <cell r="C3934" t="str">
            <v>D8481639K2PL</v>
          </cell>
          <cell r="D3934" t="str">
            <v>YV3T7U523KA195178</v>
          </cell>
          <cell r="E3934" t="str">
            <v>Volvo</v>
          </cell>
          <cell r="F3934" t="str">
            <v>B8R</v>
          </cell>
          <cell r="G3934" t="str">
            <v>MARCOPOLO</v>
          </cell>
          <cell r="H3934" t="str">
            <v>TORINO</v>
          </cell>
          <cell r="I3934">
            <v>2019</v>
          </cell>
          <cell r="J3934" t="str">
            <v>B2PAL</v>
          </cell>
          <cell r="K3934" t="str">
            <v>LOS LIBERTADORES</v>
          </cell>
          <cell r="L3934" t="str">
            <v>Los Liberadores 6450, Lote 4A</v>
          </cell>
          <cell r="M3934" t="str">
            <v>Huechuraba</v>
          </cell>
          <cell r="N3934" t="str">
            <v>B</v>
          </cell>
        </row>
        <row r="3935">
          <cell r="B3935" t="str">
            <v>GCBB-48|</v>
          </cell>
          <cell r="C3935" t="str">
            <v>D8481597K2PL</v>
          </cell>
          <cell r="D3935" t="str">
            <v>YV3T7U523KA195181</v>
          </cell>
          <cell r="E3935" t="str">
            <v>Volvo</v>
          </cell>
          <cell r="F3935" t="str">
            <v>B8R</v>
          </cell>
          <cell r="G3935" t="str">
            <v>MARCOPOLO</v>
          </cell>
          <cell r="H3935" t="str">
            <v>TORINO</v>
          </cell>
          <cell r="I3935">
            <v>2019</v>
          </cell>
          <cell r="J3935" t="str">
            <v>B2PAL</v>
          </cell>
          <cell r="K3935" t="str">
            <v>LOS LIBERTADORES</v>
          </cell>
          <cell r="L3935" t="str">
            <v>Los Liberadores 6450, Lote 4A</v>
          </cell>
          <cell r="M3935" t="str">
            <v>Huechuraba</v>
          </cell>
          <cell r="N3935" t="str">
            <v>B</v>
          </cell>
        </row>
        <row r="3936">
          <cell r="B3936" t="str">
            <v>GCBB-49|</v>
          </cell>
          <cell r="C3936" t="str">
            <v>D8481673K2PL</v>
          </cell>
          <cell r="D3936" t="str">
            <v>YV3T7U524KA195190</v>
          </cell>
          <cell r="E3936" t="str">
            <v>Volvo</v>
          </cell>
          <cell r="F3936" t="str">
            <v>B8R</v>
          </cell>
          <cell r="G3936" t="str">
            <v>MARCOPOLO</v>
          </cell>
          <cell r="H3936" t="str">
            <v>TORINO</v>
          </cell>
          <cell r="I3936">
            <v>2019</v>
          </cell>
          <cell r="J3936" t="str">
            <v>B2PAL</v>
          </cell>
          <cell r="K3936" t="str">
            <v>LOS LIBERTADORES</v>
          </cell>
          <cell r="L3936" t="str">
            <v>Los Liberadores 6450, Lote 4A</v>
          </cell>
          <cell r="M3936" t="str">
            <v>Huechuraba</v>
          </cell>
          <cell r="N3936" t="str">
            <v>B</v>
          </cell>
        </row>
        <row r="3937">
          <cell r="B3937" t="str">
            <v>GCBB-50|</v>
          </cell>
          <cell r="C3937" t="str">
            <v>D8481885K2PL</v>
          </cell>
          <cell r="D3937" t="str">
            <v>YV3T7U526KA195191</v>
          </cell>
          <cell r="E3937" t="str">
            <v>Volvo</v>
          </cell>
          <cell r="F3937" t="str">
            <v>B8R</v>
          </cell>
          <cell r="G3937" t="str">
            <v>MARCOPOLO</v>
          </cell>
          <cell r="H3937" t="str">
            <v>TORINO</v>
          </cell>
          <cell r="I3937">
            <v>2019</v>
          </cell>
          <cell r="J3937" t="str">
            <v>B2PAL</v>
          </cell>
          <cell r="K3937" t="str">
            <v>LOS LIBERTADORES</v>
          </cell>
          <cell r="L3937" t="str">
            <v>Los Liberadores 6450, Lote 4A</v>
          </cell>
          <cell r="M3937" t="str">
            <v>Huechuraba</v>
          </cell>
          <cell r="N3937" t="str">
            <v>B</v>
          </cell>
        </row>
        <row r="3938">
          <cell r="B3938" t="str">
            <v>GCBB-51|</v>
          </cell>
          <cell r="C3938" t="str">
            <v>D8481866K2PL</v>
          </cell>
          <cell r="D3938" t="str">
            <v>YV3T7U528KA195192</v>
          </cell>
          <cell r="E3938" t="str">
            <v>Volvo</v>
          </cell>
          <cell r="F3938" t="str">
            <v>B8R</v>
          </cell>
          <cell r="G3938" t="str">
            <v>MARCOPOLO</v>
          </cell>
          <cell r="H3938" t="str">
            <v>TORINO</v>
          </cell>
          <cell r="I3938">
            <v>2019</v>
          </cell>
          <cell r="J3938" t="str">
            <v>B2PAL</v>
          </cell>
          <cell r="K3938" t="str">
            <v>LOS LIBERTADORES</v>
          </cell>
          <cell r="L3938" t="str">
            <v>Los Liberadores 6450, Lote 4A</v>
          </cell>
          <cell r="M3938" t="str">
            <v>Huechuraba</v>
          </cell>
          <cell r="N3938" t="str">
            <v>B</v>
          </cell>
        </row>
        <row r="3939">
          <cell r="B3939" t="str">
            <v>GCBB-52|</v>
          </cell>
          <cell r="C3939" t="str">
            <v>D8481887K2PL</v>
          </cell>
          <cell r="D3939" t="str">
            <v>YV3T7U52XKA195193</v>
          </cell>
          <cell r="E3939" t="str">
            <v>Volvo</v>
          </cell>
          <cell r="F3939" t="str">
            <v>B8R</v>
          </cell>
          <cell r="G3939" t="str">
            <v>MARCOPOLO</v>
          </cell>
          <cell r="H3939" t="str">
            <v>TORINO</v>
          </cell>
          <cell r="I3939">
            <v>2019</v>
          </cell>
          <cell r="J3939" t="str">
            <v>B2PAL</v>
          </cell>
          <cell r="K3939" t="str">
            <v>LOS LIBERTADORES</v>
          </cell>
          <cell r="L3939" t="str">
            <v>Los Liberadores 6450, Lote 4A</v>
          </cell>
          <cell r="M3939" t="str">
            <v>Huechuraba</v>
          </cell>
          <cell r="N3939" t="str">
            <v>B</v>
          </cell>
        </row>
        <row r="3940">
          <cell r="B3940" t="str">
            <v>GCBB-53|</v>
          </cell>
          <cell r="C3940" t="str">
            <v>D8481478K2PL</v>
          </cell>
          <cell r="D3940" t="str">
            <v>YV3T7U527KA195197</v>
          </cell>
          <cell r="E3940" t="str">
            <v>Volvo</v>
          </cell>
          <cell r="F3940" t="str">
            <v>B8R</v>
          </cell>
          <cell r="G3940" t="str">
            <v>MARCOPOLO</v>
          </cell>
          <cell r="H3940" t="str">
            <v>TORINO</v>
          </cell>
          <cell r="I3940">
            <v>2019</v>
          </cell>
          <cell r="J3940" t="str">
            <v>B2PAL</v>
          </cell>
          <cell r="K3940" t="str">
            <v>LOS LIBERTADORES</v>
          </cell>
          <cell r="L3940" t="str">
            <v>Los Liberadores 6450, Lote 4A</v>
          </cell>
          <cell r="M3940" t="str">
            <v>Huechuraba</v>
          </cell>
          <cell r="N3940" t="str">
            <v>B</v>
          </cell>
        </row>
        <row r="3941">
          <cell r="B3941" t="str">
            <v>GCBB-54|</v>
          </cell>
          <cell r="C3941" t="str">
            <v>D8481635K2PL</v>
          </cell>
          <cell r="D3941" t="str">
            <v>YV3T7U529KA195198</v>
          </cell>
          <cell r="E3941" t="str">
            <v>Volvo</v>
          </cell>
          <cell r="F3941" t="str">
            <v>B8R</v>
          </cell>
          <cell r="G3941" t="str">
            <v>MARCOPOLO</v>
          </cell>
          <cell r="H3941" t="str">
            <v>TORINO</v>
          </cell>
          <cell r="I3941">
            <v>2019</v>
          </cell>
          <cell r="J3941" t="str">
            <v>B2PAL</v>
          </cell>
          <cell r="K3941" t="str">
            <v>LOS LIBERTADORES</v>
          </cell>
          <cell r="L3941" t="str">
            <v>Los Liberadores 6450, Lote 4A</v>
          </cell>
          <cell r="M3941" t="str">
            <v>Huechuraba</v>
          </cell>
          <cell r="N3941" t="str">
            <v>B</v>
          </cell>
        </row>
        <row r="3942">
          <cell r="B3942" t="str">
            <v>FLXZ-99|</v>
          </cell>
          <cell r="C3942" t="str">
            <v>D8481607K2PL</v>
          </cell>
          <cell r="D3942" t="str">
            <v>YV3T7U521KA195180</v>
          </cell>
          <cell r="E3942" t="str">
            <v>Volvo</v>
          </cell>
          <cell r="F3942" t="str">
            <v>B8R</v>
          </cell>
          <cell r="G3942" t="str">
            <v>MARCOPOLO</v>
          </cell>
          <cell r="H3942" t="str">
            <v>TORINO</v>
          </cell>
          <cell r="I3942">
            <v>2019</v>
          </cell>
          <cell r="J3942" t="str">
            <v>B2PAL</v>
          </cell>
          <cell r="K3942" t="str">
            <v>LOS LIBERTADORES</v>
          </cell>
          <cell r="L3942" t="str">
            <v>Los Liberadores 6450, Lote 4A</v>
          </cell>
          <cell r="M3942" t="str">
            <v>Huechuraba</v>
          </cell>
          <cell r="N3942" t="str">
            <v>B</v>
          </cell>
        </row>
        <row r="3943">
          <cell r="B3943" t="str">
            <v>GCBB-55|</v>
          </cell>
          <cell r="C3943" t="str">
            <v>D8481488K2PL</v>
          </cell>
          <cell r="D3943" t="str">
            <v>YV3T7U525KA195229</v>
          </cell>
          <cell r="E3943" t="str">
            <v>Volvo</v>
          </cell>
          <cell r="F3943" t="str">
            <v>B8R</v>
          </cell>
          <cell r="G3943" t="str">
            <v>MARCOPOLO</v>
          </cell>
          <cell r="H3943" t="str">
            <v>TORINO</v>
          </cell>
          <cell r="I3943">
            <v>2019</v>
          </cell>
          <cell r="J3943" t="str">
            <v>B2PAL</v>
          </cell>
          <cell r="K3943" t="str">
            <v>LOS LIBERTADORES</v>
          </cell>
          <cell r="L3943" t="str">
            <v>Los Liberadores 6450, Lote 4A</v>
          </cell>
          <cell r="M3943" t="str">
            <v>Huechuraba</v>
          </cell>
          <cell r="N3943" t="str">
            <v>B</v>
          </cell>
        </row>
        <row r="3944">
          <cell r="B3944" t="str">
            <v>GCBB-56|</v>
          </cell>
          <cell r="C3944" t="str">
            <v>D8482670K2PL</v>
          </cell>
          <cell r="D3944" t="str">
            <v>YV3T7U523KA195231</v>
          </cell>
          <cell r="E3944" t="str">
            <v>Volvo</v>
          </cell>
          <cell r="F3944" t="str">
            <v>B8R</v>
          </cell>
          <cell r="G3944" t="str">
            <v>MARCOPOLO</v>
          </cell>
          <cell r="H3944" t="str">
            <v>TORINO</v>
          </cell>
          <cell r="I3944">
            <v>2019</v>
          </cell>
          <cell r="J3944" t="str">
            <v>B2PAL</v>
          </cell>
          <cell r="K3944" t="str">
            <v>LOS LIBERTADORES</v>
          </cell>
          <cell r="L3944" t="str">
            <v>Los Liberadores 6450, Lote 4A</v>
          </cell>
          <cell r="M3944" t="str">
            <v>Huechuraba</v>
          </cell>
          <cell r="N3944" t="str">
            <v>B</v>
          </cell>
        </row>
        <row r="3945">
          <cell r="B3945" t="str">
            <v>GCBB-57|</v>
          </cell>
          <cell r="C3945" t="str">
            <v>D8481984K2PL</v>
          </cell>
          <cell r="D3945" t="str">
            <v>YV3T7U524KA195268</v>
          </cell>
          <cell r="E3945" t="str">
            <v>Volvo</v>
          </cell>
          <cell r="F3945" t="str">
            <v>B8R</v>
          </cell>
          <cell r="G3945" t="str">
            <v>MARCOPOLO</v>
          </cell>
          <cell r="H3945" t="str">
            <v>TORINO</v>
          </cell>
          <cell r="I3945">
            <v>2019</v>
          </cell>
          <cell r="J3945" t="str">
            <v>B2PAL</v>
          </cell>
          <cell r="K3945" t="str">
            <v>LOS LIBERTADORES</v>
          </cell>
          <cell r="L3945" t="str">
            <v>Los Liberadores 6450, Lote 4A</v>
          </cell>
          <cell r="M3945" t="str">
            <v>Huechuraba</v>
          </cell>
          <cell r="N3945" t="str">
            <v>B</v>
          </cell>
        </row>
        <row r="3946">
          <cell r="B3946" t="str">
            <v>GCBB-58|</v>
          </cell>
          <cell r="C3946" t="str">
            <v>D8481907K2PL</v>
          </cell>
          <cell r="D3946" t="str">
            <v>YV3T7U526KA195269</v>
          </cell>
          <cell r="E3946" t="str">
            <v>Volvo</v>
          </cell>
          <cell r="F3946" t="str">
            <v>B8R</v>
          </cell>
          <cell r="G3946" t="str">
            <v>MARCOPOLO</v>
          </cell>
          <cell r="H3946" t="str">
            <v>TORINO</v>
          </cell>
          <cell r="I3946">
            <v>2019</v>
          </cell>
          <cell r="J3946" t="str">
            <v>B2PAL</v>
          </cell>
          <cell r="K3946" t="str">
            <v>LOS LIBERTADORES</v>
          </cell>
          <cell r="L3946" t="str">
            <v>Los Liberadores 6450, Lote 4A</v>
          </cell>
          <cell r="M3946" t="str">
            <v>Huechuraba</v>
          </cell>
          <cell r="N3946" t="str">
            <v>B</v>
          </cell>
        </row>
        <row r="3947">
          <cell r="B3947" t="str">
            <v>GCBB-59|</v>
          </cell>
          <cell r="C3947" t="str">
            <v>D8481955K2PL</v>
          </cell>
          <cell r="D3947" t="str">
            <v>YV3T7U522KA195270</v>
          </cell>
          <cell r="E3947" t="str">
            <v>Volvo</v>
          </cell>
          <cell r="F3947" t="str">
            <v>B8R</v>
          </cell>
          <cell r="G3947" t="str">
            <v>MARCOPOLO</v>
          </cell>
          <cell r="H3947" t="str">
            <v>TORINO</v>
          </cell>
          <cell r="I3947">
            <v>2019</v>
          </cell>
          <cell r="J3947" t="str">
            <v>B2PAL</v>
          </cell>
          <cell r="K3947" t="str">
            <v>LOS LIBERTADORES</v>
          </cell>
          <cell r="L3947" t="str">
            <v>Los Liberadores 6450, Lote 4A</v>
          </cell>
          <cell r="M3947" t="str">
            <v>Huechuraba</v>
          </cell>
          <cell r="N3947" t="str">
            <v>B</v>
          </cell>
        </row>
        <row r="3948">
          <cell r="B3948" t="str">
            <v>GCBB-60|</v>
          </cell>
          <cell r="C3948" t="str">
            <v>D8482733K2PL</v>
          </cell>
          <cell r="D3948" t="str">
            <v>YV3T7U524KA195299</v>
          </cell>
          <cell r="E3948" t="str">
            <v>Volvo</v>
          </cell>
          <cell r="F3948" t="str">
            <v>B8R</v>
          </cell>
          <cell r="G3948" t="str">
            <v>MARCOPOLO</v>
          </cell>
          <cell r="H3948" t="str">
            <v>TORINO</v>
          </cell>
          <cell r="I3948">
            <v>2019</v>
          </cell>
          <cell r="J3948" t="str">
            <v>B2PAL</v>
          </cell>
          <cell r="K3948" t="str">
            <v>LOS LIBERTADORES</v>
          </cell>
          <cell r="L3948" t="str">
            <v>Los Liberadores 6450, Lote 4A</v>
          </cell>
          <cell r="M3948" t="str">
            <v>Huechuraba</v>
          </cell>
          <cell r="N3948" t="str">
            <v>B</v>
          </cell>
        </row>
        <row r="3949">
          <cell r="B3949" t="str">
            <v>GCBB-61|</v>
          </cell>
          <cell r="C3949" t="str">
            <v>D8482727K2PL</v>
          </cell>
          <cell r="D3949" t="str">
            <v>YV3T7U527KA195300</v>
          </cell>
          <cell r="E3949" t="str">
            <v>Volvo</v>
          </cell>
          <cell r="F3949" t="str">
            <v>B8R</v>
          </cell>
          <cell r="G3949" t="str">
            <v>MARCOPOLO</v>
          </cell>
          <cell r="H3949" t="str">
            <v>TORINO</v>
          </cell>
          <cell r="I3949">
            <v>2019</v>
          </cell>
          <cell r="J3949" t="str">
            <v>B2PAL</v>
          </cell>
          <cell r="K3949" t="str">
            <v>LOS LIBERTADORES</v>
          </cell>
          <cell r="L3949" t="str">
            <v>Los Liberadores 6450, Lote 4A</v>
          </cell>
          <cell r="M3949" t="str">
            <v>Huechuraba</v>
          </cell>
          <cell r="N3949" t="str">
            <v>B</v>
          </cell>
        </row>
        <row r="3950">
          <cell r="B3950" t="str">
            <v>GCBB-62|</v>
          </cell>
          <cell r="C3950" t="str">
            <v>D8482362K2PL</v>
          </cell>
          <cell r="D3950" t="str">
            <v>YV3T7U526KA195286</v>
          </cell>
          <cell r="E3950" t="str">
            <v>Volvo</v>
          </cell>
          <cell r="F3950" t="str">
            <v>B8R</v>
          </cell>
          <cell r="G3950" t="str">
            <v>MARCOPOLO</v>
          </cell>
          <cell r="H3950" t="str">
            <v>TORINO</v>
          </cell>
          <cell r="I3950">
            <v>2019</v>
          </cell>
          <cell r="J3950" t="str">
            <v>B2PAL</v>
          </cell>
          <cell r="K3950" t="str">
            <v>LOS LIBERTADORES</v>
          </cell>
          <cell r="L3950" t="str">
            <v>Los Liberadores 6450, Lote 4A</v>
          </cell>
          <cell r="M3950" t="str">
            <v>Huechuraba</v>
          </cell>
          <cell r="N3950" t="str">
            <v>B</v>
          </cell>
        </row>
        <row r="3951">
          <cell r="B3951" t="str">
            <v>GCBB-63|</v>
          </cell>
          <cell r="C3951" t="str">
            <v>D8482765K2PL</v>
          </cell>
          <cell r="D3951" t="str">
            <v>YV3T7U520KA195302</v>
          </cell>
          <cell r="E3951" t="str">
            <v>Volvo</v>
          </cell>
          <cell r="F3951" t="str">
            <v>B8R</v>
          </cell>
          <cell r="G3951" t="str">
            <v>MARCOPOLO</v>
          </cell>
          <cell r="H3951" t="str">
            <v>TORINO</v>
          </cell>
          <cell r="I3951">
            <v>2019</v>
          </cell>
          <cell r="J3951" t="str">
            <v>B2PAL</v>
          </cell>
          <cell r="K3951" t="str">
            <v>LOS LIBERTADORES</v>
          </cell>
          <cell r="L3951" t="str">
            <v>Los Liberadores 6450, Lote 4A</v>
          </cell>
          <cell r="M3951" t="str">
            <v>Huechuraba</v>
          </cell>
          <cell r="N3951" t="str">
            <v>B</v>
          </cell>
        </row>
        <row r="3952">
          <cell r="B3952" t="str">
            <v>GCBB-64|</v>
          </cell>
          <cell r="C3952" t="str">
            <v>D8482772K2PL</v>
          </cell>
          <cell r="D3952" t="str">
            <v>YV3T7U526KA195305</v>
          </cell>
          <cell r="E3952" t="str">
            <v>Volvo</v>
          </cell>
          <cell r="F3952" t="str">
            <v>B8R</v>
          </cell>
          <cell r="G3952" t="str">
            <v>MARCOPOLO</v>
          </cell>
          <cell r="H3952" t="str">
            <v>TORINO</v>
          </cell>
          <cell r="I3952">
            <v>2019</v>
          </cell>
          <cell r="J3952" t="str">
            <v>B2PAL</v>
          </cell>
          <cell r="K3952" t="str">
            <v>LOS LIBERTADORES</v>
          </cell>
          <cell r="L3952" t="str">
            <v>Los Liberadores 6450, Lote 4A</v>
          </cell>
          <cell r="M3952" t="str">
            <v>Huechuraba</v>
          </cell>
          <cell r="N3952" t="str">
            <v>B</v>
          </cell>
        </row>
        <row r="3953">
          <cell r="B3953" t="str">
            <v>GCBB-10|</v>
          </cell>
          <cell r="C3953" t="str">
            <v>D8481853K2PL</v>
          </cell>
          <cell r="D3953" t="str">
            <v>YV3T7U523KA195195</v>
          </cell>
          <cell r="E3953" t="str">
            <v>Volvo</v>
          </cell>
          <cell r="F3953" t="str">
            <v>B8R</v>
          </cell>
          <cell r="G3953" t="str">
            <v>MARCOPOLO</v>
          </cell>
          <cell r="H3953" t="str">
            <v>TORINO</v>
          </cell>
          <cell r="I3953">
            <v>2019</v>
          </cell>
          <cell r="J3953" t="str">
            <v>B2PAL</v>
          </cell>
          <cell r="K3953" t="str">
            <v>LOS LIBERTADORES</v>
          </cell>
          <cell r="L3953" t="str">
            <v>Los Liberadores 6450, Lote 4A</v>
          </cell>
          <cell r="M3953" t="str">
            <v>Huechuraba</v>
          </cell>
          <cell r="N3953" t="str">
            <v>B</v>
          </cell>
        </row>
        <row r="3954">
          <cell r="B3954" t="str">
            <v>GCBB-65|</v>
          </cell>
          <cell r="C3954" t="str">
            <v>D8482473K2PL</v>
          </cell>
          <cell r="D3954" t="str">
            <v>YV3T7U520KA195316</v>
          </cell>
          <cell r="E3954" t="str">
            <v>Volvo</v>
          </cell>
          <cell r="F3954" t="str">
            <v>B8R</v>
          </cell>
          <cell r="G3954" t="str">
            <v>MARCOPOLO</v>
          </cell>
          <cell r="H3954" t="str">
            <v>TORINO</v>
          </cell>
          <cell r="I3954">
            <v>2019</v>
          </cell>
          <cell r="J3954" t="str">
            <v>B2PAL</v>
          </cell>
          <cell r="K3954" t="str">
            <v>LOS LIBERTADORES</v>
          </cell>
          <cell r="L3954" t="str">
            <v>Los Liberadores 6450, Lote 4A</v>
          </cell>
          <cell r="M3954" t="str">
            <v>Huechuraba</v>
          </cell>
          <cell r="N3954" t="str">
            <v>B</v>
          </cell>
        </row>
        <row r="3955">
          <cell r="B3955" t="str">
            <v>GCBB-66|</v>
          </cell>
          <cell r="C3955" t="str">
            <v>D8484011K2PL</v>
          </cell>
          <cell r="D3955" t="str">
            <v>YV3T7U522KA195592</v>
          </cell>
          <cell r="E3955" t="str">
            <v>Volvo</v>
          </cell>
          <cell r="F3955" t="str">
            <v>B8R</v>
          </cell>
          <cell r="G3955" t="str">
            <v>MARCOPOLO</v>
          </cell>
          <cell r="H3955" t="str">
            <v>TORINO</v>
          </cell>
          <cell r="I3955">
            <v>2019</v>
          </cell>
          <cell r="J3955" t="str">
            <v>B2PAL</v>
          </cell>
          <cell r="K3955" t="str">
            <v>LOS LIBERTADORES</v>
          </cell>
          <cell r="L3955" t="str">
            <v>Los Liberadores 6450, Lote 4A</v>
          </cell>
          <cell r="M3955" t="str">
            <v>Huechuraba</v>
          </cell>
          <cell r="N3955" t="str">
            <v>B</v>
          </cell>
        </row>
        <row r="3956">
          <cell r="B3956" t="str">
            <v>GCBB-67|</v>
          </cell>
          <cell r="C3956" t="str">
            <v>D8483863K2PL</v>
          </cell>
          <cell r="D3956" t="str">
            <v>YV3T7U526KA195594</v>
          </cell>
          <cell r="E3956" t="str">
            <v>Volvo</v>
          </cell>
          <cell r="F3956" t="str">
            <v>B8R</v>
          </cell>
          <cell r="G3956" t="str">
            <v>MARCOPOLO</v>
          </cell>
          <cell r="H3956" t="str">
            <v>TORINO</v>
          </cell>
          <cell r="I3956">
            <v>2019</v>
          </cell>
          <cell r="J3956" t="str">
            <v>B2PAL</v>
          </cell>
          <cell r="K3956" t="str">
            <v>LOS LIBERTADORES</v>
          </cell>
          <cell r="L3956" t="str">
            <v>Los Liberadores 6450, Lote 4A</v>
          </cell>
          <cell r="M3956" t="str">
            <v>Huechuraba</v>
          </cell>
          <cell r="N3956" t="str">
            <v>B</v>
          </cell>
        </row>
        <row r="3957">
          <cell r="B3957" t="str">
            <v>GCBB-68|</v>
          </cell>
          <cell r="C3957" t="str">
            <v>D8452415K2PL</v>
          </cell>
          <cell r="D3957" t="str">
            <v>YV3T7U529JA189190</v>
          </cell>
          <cell r="E3957" t="str">
            <v>Volvo</v>
          </cell>
          <cell r="F3957" t="str">
            <v>B8R</v>
          </cell>
          <cell r="G3957" t="str">
            <v>MARCOPOLO</v>
          </cell>
          <cell r="H3957" t="str">
            <v>TORINO</v>
          </cell>
          <cell r="I3957">
            <v>2019</v>
          </cell>
          <cell r="J3957" t="str">
            <v>B2PAL</v>
          </cell>
          <cell r="K3957" t="str">
            <v>SAN JOSE</v>
          </cell>
          <cell r="L3957" t="str">
            <v>San José 030 (José Besa 669)</v>
          </cell>
          <cell r="M3957" t="str">
            <v>San Bernardo</v>
          </cell>
          <cell r="N3957" t="str">
            <v>B</v>
          </cell>
        </row>
        <row r="3958">
          <cell r="B3958" t="str">
            <v>GCBB-69|</v>
          </cell>
          <cell r="C3958" t="str">
            <v>D8481542K2PL</v>
          </cell>
          <cell r="D3958" t="str">
            <v>YV3T7U522KA195172</v>
          </cell>
          <cell r="E3958" t="str">
            <v>Volvo</v>
          </cell>
          <cell r="F3958" t="str">
            <v>B8R</v>
          </cell>
          <cell r="G3958" t="str">
            <v>MARCOPOLO</v>
          </cell>
          <cell r="H3958" t="str">
            <v>TORINO</v>
          </cell>
          <cell r="I3958">
            <v>2019</v>
          </cell>
          <cell r="J3958" t="str">
            <v>B2PAL</v>
          </cell>
          <cell r="K3958" t="str">
            <v>LOS LIBERTADORES</v>
          </cell>
          <cell r="L3958" t="str">
            <v>Los Liberadores 6450, Lote 4A</v>
          </cell>
          <cell r="M3958" t="str">
            <v>Huechuraba</v>
          </cell>
          <cell r="N3958" t="str">
            <v>B</v>
          </cell>
        </row>
        <row r="3959">
          <cell r="B3959" t="str">
            <v>GCBB-70|</v>
          </cell>
          <cell r="C3959" t="str">
            <v>D8482361K2PL</v>
          </cell>
          <cell r="D3959" t="str">
            <v>YV3T7U528KA195287</v>
          </cell>
          <cell r="E3959" t="str">
            <v>Volvo</v>
          </cell>
          <cell r="F3959" t="str">
            <v>B8R</v>
          </cell>
          <cell r="G3959" t="str">
            <v>MARCOPOLO</v>
          </cell>
          <cell r="H3959" t="str">
            <v>TORINO</v>
          </cell>
          <cell r="I3959">
            <v>2019</v>
          </cell>
          <cell r="J3959" t="str">
            <v>B2PAL</v>
          </cell>
          <cell r="K3959" t="str">
            <v>LOS LIBERTADORES</v>
          </cell>
          <cell r="L3959" t="str">
            <v>Los Liberadores 6450, Lote 4A</v>
          </cell>
          <cell r="M3959" t="str">
            <v>Huechuraba</v>
          </cell>
          <cell r="N3959" t="str">
            <v>B</v>
          </cell>
        </row>
        <row r="3960">
          <cell r="B3960" t="str">
            <v>GCBB-71|</v>
          </cell>
          <cell r="C3960" t="str">
            <v>D8482775K2PL</v>
          </cell>
          <cell r="D3960" t="str">
            <v>YV3T7U528KA195306</v>
          </cell>
          <cell r="E3960" t="str">
            <v>Volvo</v>
          </cell>
          <cell r="F3960" t="str">
            <v>B8R</v>
          </cell>
          <cell r="G3960" t="str">
            <v>MARCOPOLO</v>
          </cell>
          <cell r="H3960" t="str">
            <v>TORINO</v>
          </cell>
          <cell r="I3960">
            <v>2019</v>
          </cell>
          <cell r="J3960" t="str">
            <v>B2PAL</v>
          </cell>
          <cell r="K3960" t="str">
            <v>LOS LIBERTADORES</v>
          </cell>
          <cell r="L3960" t="str">
            <v>Los Liberadores 6450, Lote 4A</v>
          </cell>
          <cell r="M3960" t="str">
            <v>Huechuraba</v>
          </cell>
          <cell r="N3960" t="str">
            <v>B</v>
          </cell>
        </row>
        <row r="3961">
          <cell r="B3961" t="str">
            <v>GCBB-72|</v>
          </cell>
          <cell r="C3961" t="str">
            <v>D8482721K2PL</v>
          </cell>
          <cell r="D3961" t="str">
            <v>YV3T7U52XKA195307</v>
          </cell>
          <cell r="E3961" t="str">
            <v>Volvo</v>
          </cell>
          <cell r="F3961" t="str">
            <v>B8R</v>
          </cell>
          <cell r="G3961" t="str">
            <v>MARCOPOLO</v>
          </cell>
          <cell r="H3961" t="str">
            <v>TORINO</v>
          </cell>
          <cell r="I3961">
            <v>2019</v>
          </cell>
          <cell r="J3961" t="str">
            <v>B2PAL</v>
          </cell>
          <cell r="K3961" t="str">
            <v>LOS LIBERTADORES</v>
          </cell>
          <cell r="L3961" t="str">
            <v>Los Liberadores 6450, Lote 4A</v>
          </cell>
          <cell r="M3961" t="str">
            <v>Huechuraba</v>
          </cell>
          <cell r="N3961" t="str">
            <v>B</v>
          </cell>
        </row>
        <row r="3962">
          <cell r="B3962" t="str">
            <v>GCBB-73|</v>
          </cell>
          <cell r="C3962" t="str">
            <v>D8482748K2PL</v>
          </cell>
          <cell r="D3962" t="str">
            <v>YV3T7U521KA195308</v>
          </cell>
          <cell r="E3962" t="str">
            <v>Volvo</v>
          </cell>
          <cell r="F3962" t="str">
            <v>B8R</v>
          </cell>
          <cell r="G3962" t="str">
            <v>MARCOPOLO</v>
          </cell>
          <cell r="H3962" t="str">
            <v>TORINO</v>
          </cell>
          <cell r="I3962">
            <v>2019</v>
          </cell>
          <cell r="J3962" t="str">
            <v>B2PAL</v>
          </cell>
          <cell r="K3962" t="str">
            <v>SAN JOSE</v>
          </cell>
          <cell r="L3962" t="str">
            <v>San José 030 (José Besa 669)</v>
          </cell>
          <cell r="M3962" t="str">
            <v>San Bernardo</v>
          </cell>
          <cell r="N3962" t="str">
            <v>B</v>
          </cell>
        </row>
        <row r="3963">
          <cell r="B3963" t="str">
            <v>GCBB-74|</v>
          </cell>
          <cell r="C3963" t="str">
            <v>D8482485K2PL</v>
          </cell>
          <cell r="D3963" t="str">
            <v>YV3T7U522KA195317</v>
          </cell>
          <cell r="E3963" t="str">
            <v>Volvo</v>
          </cell>
          <cell r="F3963" t="str">
            <v>B8R</v>
          </cell>
          <cell r="G3963" t="str">
            <v>MARCOPOLO</v>
          </cell>
          <cell r="H3963" t="str">
            <v>TORINO</v>
          </cell>
          <cell r="I3963">
            <v>2019</v>
          </cell>
          <cell r="J3963" t="str">
            <v>B2PAL</v>
          </cell>
          <cell r="K3963" t="str">
            <v>LOS LIBERTADORES</v>
          </cell>
          <cell r="L3963" t="str">
            <v>Los Liberadores 6450, Lote 4A</v>
          </cell>
          <cell r="M3963" t="str">
            <v>Huechuraba</v>
          </cell>
          <cell r="N3963" t="str">
            <v>B</v>
          </cell>
        </row>
        <row r="3964">
          <cell r="B3964" t="str">
            <v>GCBB-11|</v>
          </cell>
          <cell r="C3964" t="str">
            <v>D8481452K2PL</v>
          </cell>
          <cell r="D3964" t="str">
            <v>YV3T7U525KA195196</v>
          </cell>
          <cell r="E3964" t="str">
            <v>Volvo</v>
          </cell>
          <cell r="F3964" t="str">
            <v>B8R</v>
          </cell>
          <cell r="G3964" t="str">
            <v>MARCOPOLO</v>
          </cell>
          <cell r="H3964" t="str">
            <v>TORINO</v>
          </cell>
          <cell r="I3964">
            <v>2019</v>
          </cell>
          <cell r="J3964" t="str">
            <v>B2PAL</v>
          </cell>
          <cell r="K3964" t="str">
            <v>LOS LIBERTADORES</v>
          </cell>
          <cell r="L3964" t="str">
            <v>Los Liberadores 6450, Lote 4A</v>
          </cell>
          <cell r="M3964" t="str">
            <v>Huechuraba</v>
          </cell>
          <cell r="N3964" t="str">
            <v>B</v>
          </cell>
        </row>
        <row r="3965">
          <cell r="B3965" t="str">
            <v>GCBB-75|</v>
          </cell>
          <cell r="C3965" t="str">
            <v>D8482455K2PL</v>
          </cell>
          <cell r="D3965" t="str">
            <v>YV3T7U524KA195318</v>
          </cell>
          <cell r="E3965" t="str">
            <v>Volvo</v>
          </cell>
          <cell r="F3965" t="str">
            <v>B8R</v>
          </cell>
          <cell r="G3965" t="str">
            <v>MARCOPOLO</v>
          </cell>
          <cell r="H3965" t="str">
            <v>TORINO</v>
          </cell>
          <cell r="I3965">
            <v>2019</v>
          </cell>
          <cell r="J3965" t="str">
            <v>B2PAL</v>
          </cell>
          <cell r="K3965" t="str">
            <v>LOS LIBERTADORES</v>
          </cell>
          <cell r="L3965" t="str">
            <v>Los Liberadores 6450, Lote 4A</v>
          </cell>
          <cell r="M3965" t="str">
            <v>Huechuraba</v>
          </cell>
          <cell r="N3965" t="str">
            <v>B</v>
          </cell>
        </row>
        <row r="3966">
          <cell r="B3966" t="str">
            <v>GCBB-76|</v>
          </cell>
          <cell r="C3966" t="str">
            <v>D8482471K2PL</v>
          </cell>
          <cell r="D3966" t="str">
            <v>YV3T7U526KA195319</v>
          </cell>
          <cell r="E3966" t="str">
            <v>Volvo</v>
          </cell>
          <cell r="F3966" t="str">
            <v>B8R</v>
          </cell>
          <cell r="G3966" t="str">
            <v>MARCOPOLO</v>
          </cell>
          <cell r="H3966" t="str">
            <v>TORINO</v>
          </cell>
          <cell r="I3966">
            <v>2019</v>
          </cell>
          <cell r="J3966" t="str">
            <v>B2PAL</v>
          </cell>
          <cell r="K3966" t="str">
            <v>SAN JOSE</v>
          </cell>
          <cell r="L3966" t="str">
            <v>San José 030 (José Besa 669)</v>
          </cell>
          <cell r="M3966" t="str">
            <v>San Bernardo</v>
          </cell>
          <cell r="N3966" t="str">
            <v>B</v>
          </cell>
        </row>
        <row r="3967">
          <cell r="B3967" t="str">
            <v>GCBB-77|</v>
          </cell>
          <cell r="C3967" t="str">
            <v>D8482458K2PL</v>
          </cell>
          <cell r="D3967" t="str">
            <v>YV3T7U522KA195320</v>
          </cell>
          <cell r="E3967" t="str">
            <v>Volvo</v>
          </cell>
          <cell r="F3967" t="str">
            <v>B8R</v>
          </cell>
          <cell r="G3967" t="str">
            <v>MARCOPOLO</v>
          </cell>
          <cell r="H3967" t="str">
            <v>TORINO</v>
          </cell>
          <cell r="I3967">
            <v>2019</v>
          </cell>
          <cell r="J3967" t="str">
            <v>B2PAL</v>
          </cell>
          <cell r="K3967" t="str">
            <v>LOS LIBERTADORES</v>
          </cell>
          <cell r="L3967" t="str">
            <v>Los Liberadores 6450, Lote 4A</v>
          </cell>
          <cell r="M3967" t="str">
            <v>Huechuraba</v>
          </cell>
          <cell r="N3967" t="str">
            <v>B</v>
          </cell>
        </row>
        <row r="3968">
          <cell r="B3968" t="str">
            <v>GCBB-78|</v>
          </cell>
          <cell r="C3968" t="str">
            <v>D8482397K2PL</v>
          </cell>
          <cell r="D3968" t="str">
            <v>YV3T7U524KA195321</v>
          </cell>
          <cell r="E3968" t="str">
            <v>Volvo</v>
          </cell>
          <cell r="F3968" t="str">
            <v>B8R</v>
          </cell>
          <cell r="G3968" t="str">
            <v>MARCOPOLO</v>
          </cell>
          <cell r="H3968" t="str">
            <v>TORINO</v>
          </cell>
          <cell r="I3968">
            <v>2019</v>
          </cell>
          <cell r="J3968" t="str">
            <v>B2PAL</v>
          </cell>
          <cell r="K3968" t="str">
            <v>LOS LIBERTADORES</v>
          </cell>
          <cell r="L3968" t="str">
            <v>Los Liberadores 6450, Lote 4A</v>
          </cell>
          <cell r="M3968" t="str">
            <v>Huechuraba</v>
          </cell>
          <cell r="N3968" t="str">
            <v>B</v>
          </cell>
        </row>
        <row r="3969">
          <cell r="B3969" t="str">
            <v>GCBB-79|</v>
          </cell>
          <cell r="C3969" t="str">
            <v>D8482405K2PL</v>
          </cell>
          <cell r="D3969" t="str">
            <v>YV3T7U526KA195322</v>
          </cell>
          <cell r="E3969" t="str">
            <v>Volvo</v>
          </cell>
          <cell r="F3969" t="str">
            <v>B8R</v>
          </cell>
          <cell r="G3969" t="str">
            <v>MARCOPOLO</v>
          </cell>
          <cell r="H3969" t="str">
            <v>TORINO</v>
          </cell>
          <cell r="I3969">
            <v>2019</v>
          </cell>
          <cell r="J3969" t="str">
            <v>B2PAL</v>
          </cell>
          <cell r="K3969" t="str">
            <v>SAN JOSE</v>
          </cell>
          <cell r="L3969" t="str">
            <v>San José 030 (José Besa 669)</v>
          </cell>
          <cell r="M3969" t="str">
            <v>San Bernardo</v>
          </cell>
          <cell r="N3969" t="str">
            <v>B</v>
          </cell>
        </row>
        <row r="3970">
          <cell r="B3970" t="str">
            <v>GCBB-80|</v>
          </cell>
          <cell r="C3970" t="str">
            <v>D8482402K2PL</v>
          </cell>
          <cell r="D3970" t="str">
            <v>YV3T7U528KA195323</v>
          </cell>
          <cell r="E3970" t="str">
            <v>Volvo</v>
          </cell>
          <cell r="F3970" t="str">
            <v>B8R</v>
          </cell>
          <cell r="G3970" t="str">
            <v>MARCOPOLO</v>
          </cell>
          <cell r="H3970" t="str">
            <v>TORINO</v>
          </cell>
          <cell r="I3970">
            <v>2019</v>
          </cell>
          <cell r="J3970" t="str">
            <v>B2PAL</v>
          </cell>
          <cell r="K3970" t="str">
            <v>SAN JOSE</v>
          </cell>
          <cell r="L3970" t="str">
            <v>San José 030 (José Besa 669)</v>
          </cell>
          <cell r="M3970" t="str">
            <v>San Bernardo</v>
          </cell>
          <cell r="N3970" t="str">
            <v>B</v>
          </cell>
        </row>
        <row r="3971">
          <cell r="B3971" t="str">
            <v>GCBB-81|</v>
          </cell>
          <cell r="C3971" t="str">
            <v>D8482422K2PL</v>
          </cell>
          <cell r="D3971" t="str">
            <v>YV3T7U521KA195325</v>
          </cell>
          <cell r="E3971" t="str">
            <v>Volvo</v>
          </cell>
          <cell r="F3971" t="str">
            <v>B8R</v>
          </cell>
          <cell r="G3971" t="str">
            <v>MARCOPOLO</v>
          </cell>
          <cell r="H3971" t="str">
            <v>TORINO</v>
          </cell>
          <cell r="I3971">
            <v>2019</v>
          </cell>
          <cell r="J3971" t="str">
            <v>B2PAL</v>
          </cell>
          <cell r="K3971" t="str">
            <v>SAN JOSE</v>
          </cell>
          <cell r="L3971" t="str">
            <v>San José 030 (José Besa 669)</v>
          </cell>
          <cell r="M3971" t="str">
            <v>San Bernardo</v>
          </cell>
          <cell r="N3971" t="str">
            <v>B</v>
          </cell>
        </row>
        <row r="3972">
          <cell r="B3972" t="str">
            <v>GCBB-82|</v>
          </cell>
          <cell r="C3972" t="str">
            <v>D8482534K2PL</v>
          </cell>
          <cell r="D3972" t="str">
            <v>YV3T7U527KA195359</v>
          </cell>
          <cell r="E3972" t="str">
            <v>Volvo</v>
          </cell>
          <cell r="F3972" t="str">
            <v>B8R</v>
          </cell>
          <cell r="G3972" t="str">
            <v>MARCOPOLO</v>
          </cell>
          <cell r="H3972" t="str">
            <v>TORINO</v>
          </cell>
          <cell r="I3972">
            <v>2019</v>
          </cell>
          <cell r="J3972" t="str">
            <v>B2PAL</v>
          </cell>
          <cell r="K3972" t="str">
            <v>SAN JOSE</v>
          </cell>
          <cell r="L3972" t="str">
            <v>San José 030 (José Besa 669)</v>
          </cell>
          <cell r="M3972" t="str">
            <v>San Bernardo</v>
          </cell>
          <cell r="N3972" t="str">
            <v>B</v>
          </cell>
        </row>
        <row r="3973">
          <cell r="B3973" t="str">
            <v>GCBB-83|</v>
          </cell>
          <cell r="C3973" t="str">
            <v>D8482872K2PL</v>
          </cell>
          <cell r="D3973" t="str">
            <v>YV3T7U52XKA195405</v>
          </cell>
          <cell r="E3973" t="str">
            <v>Volvo</v>
          </cell>
          <cell r="F3973" t="str">
            <v>B8R</v>
          </cell>
          <cell r="G3973" t="str">
            <v>MARCOPOLO</v>
          </cell>
          <cell r="H3973" t="str">
            <v>TORINO</v>
          </cell>
          <cell r="I3973">
            <v>2019</v>
          </cell>
          <cell r="J3973" t="str">
            <v>B2PAL</v>
          </cell>
          <cell r="K3973" t="str">
            <v>LOS LIBERTADORES</v>
          </cell>
          <cell r="L3973" t="str">
            <v>Los Liberadores 6450, Lote 4A</v>
          </cell>
          <cell r="M3973" t="str">
            <v>Huechuraba</v>
          </cell>
          <cell r="N3973" t="str">
            <v>B</v>
          </cell>
        </row>
        <row r="3974">
          <cell r="B3974" t="str">
            <v>GCBB-84|</v>
          </cell>
          <cell r="C3974" t="str">
            <v>D8482892K2PL</v>
          </cell>
          <cell r="D3974" t="str">
            <v>YV3T7U521KA195406</v>
          </cell>
          <cell r="E3974" t="str">
            <v>Volvo</v>
          </cell>
          <cell r="F3974" t="str">
            <v>B8R</v>
          </cell>
          <cell r="G3974" t="str">
            <v>MARCOPOLO</v>
          </cell>
          <cell r="H3974" t="str">
            <v>TORINO</v>
          </cell>
          <cell r="I3974">
            <v>2019</v>
          </cell>
          <cell r="J3974" t="str">
            <v>B2PAL</v>
          </cell>
          <cell r="K3974" t="str">
            <v>SAN JOSE</v>
          </cell>
          <cell r="L3974" t="str">
            <v>San José 030 (José Besa 669)</v>
          </cell>
          <cell r="M3974" t="str">
            <v>San Bernardo</v>
          </cell>
          <cell r="N3974" t="str">
            <v>B</v>
          </cell>
        </row>
        <row r="3975">
          <cell r="B3975" t="str">
            <v>GCBB-12|</v>
          </cell>
          <cell r="C3975" t="str">
            <v>D8481676K2PL</v>
          </cell>
          <cell r="D3975" t="str">
            <v>YV3T7U520KA195199</v>
          </cell>
          <cell r="E3975" t="str">
            <v>Volvo</v>
          </cell>
          <cell r="F3975" t="str">
            <v>B8R</v>
          </cell>
          <cell r="G3975" t="str">
            <v>MARCOPOLO</v>
          </cell>
          <cell r="H3975" t="str">
            <v>TORINO</v>
          </cell>
          <cell r="I3975">
            <v>2019</v>
          </cell>
          <cell r="J3975" t="str">
            <v>B2PAL</v>
          </cell>
          <cell r="K3975" t="str">
            <v>LOS LIBERTADORES</v>
          </cell>
          <cell r="L3975" t="str">
            <v>Los Liberadores 6450, Lote 4A</v>
          </cell>
          <cell r="M3975" t="str">
            <v>Huechuraba</v>
          </cell>
          <cell r="N3975" t="str">
            <v>B</v>
          </cell>
        </row>
        <row r="3976">
          <cell r="B3976" t="str">
            <v>GCBB-85|</v>
          </cell>
          <cell r="C3976" t="str">
            <v>D8481773K2PL</v>
          </cell>
          <cell r="D3976" t="str">
            <v>YV3T7U522KA195429</v>
          </cell>
          <cell r="E3976" t="str">
            <v>Volvo</v>
          </cell>
          <cell r="F3976" t="str">
            <v>B8R</v>
          </cell>
          <cell r="G3976" t="str">
            <v>MARCOPOLO</v>
          </cell>
          <cell r="H3976" t="str">
            <v>TORINO</v>
          </cell>
          <cell r="I3976">
            <v>2019</v>
          </cell>
          <cell r="J3976" t="str">
            <v>B2PAL</v>
          </cell>
          <cell r="K3976" t="str">
            <v>LOS LIBERTADORES</v>
          </cell>
          <cell r="L3976" t="str">
            <v>Los Liberadores 6450, Lote 4A</v>
          </cell>
          <cell r="M3976" t="str">
            <v>Huechuraba</v>
          </cell>
          <cell r="N3976" t="str">
            <v>B</v>
          </cell>
        </row>
        <row r="3977">
          <cell r="B3977" t="str">
            <v>GCBB-86|</v>
          </cell>
          <cell r="C3977" t="str">
            <v>D8483496K2PL</v>
          </cell>
          <cell r="D3977" t="str">
            <v>YV3T7U52XKA195551</v>
          </cell>
          <cell r="E3977" t="str">
            <v>Volvo</v>
          </cell>
          <cell r="F3977" t="str">
            <v>B8R</v>
          </cell>
          <cell r="G3977" t="str">
            <v>MARCOPOLO</v>
          </cell>
          <cell r="H3977" t="str">
            <v>TORINO</v>
          </cell>
          <cell r="I3977">
            <v>2019</v>
          </cell>
          <cell r="J3977" t="str">
            <v>B2PAL</v>
          </cell>
          <cell r="K3977" t="str">
            <v>SAN JOSE</v>
          </cell>
          <cell r="L3977" t="str">
            <v>San José 030 (José Besa 669)</v>
          </cell>
          <cell r="M3977" t="str">
            <v>San Bernardo</v>
          </cell>
          <cell r="N3977" t="str">
            <v>B</v>
          </cell>
        </row>
        <row r="3978">
          <cell r="B3978" t="str">
            <v>GCBB-87|</v>
          </cell>
          <cell r="C3978" t="str">
            <v>D8483527K2PL</v>
          </cell>
          <cell r="D3978" t="str">
            <v>YV3T7U521KA195552</v>
          </cell>
          <cell r="E3978" t="str">
            <v>Volvo</v>
          </cell>
          <cell r="F3978" t="str">
            <v>B8R</v>
          </cell>
          <cell r="G3978" t="str">
            <v>MARCOPOLO</v>
          </cell>
          <cell r="H3978" t="str">
            <v>TORINO</v>
          </cell>
          <cell r="I3978">
            <v>2019</v>
          </cell>
          <cell r="J3978" t="str">
            <v>B2PAL</v>
          </cell>
          <cell r="K3978" t="str">
            <v>SAN JOSE</v>
          </cell>
          <cell r="L3978" t="str">
            <v>San José 030 (José Besa 669)</v>
          </cell>
          <cell r="M3978" t="str">
            <v>San Bernardo</v>
          </cell>
          <cell r="N3978" t="str">
            <v>B</v>
          </cell>
        </row>
        <row r="3979">
          <cell r="B3979" t="str">
            <v>GCBB-88|</v>
          </cell>
          <cell r="C3979" t="str">
            <v>D8483438K2PL</v>
          </cell>
          <cell r="D3979" t="str">
            <v>YV3T7U525KA195554</v>
          </cell>
          <cell r="E3979" t="str">
            <v>Volvo</v>
          </cell>
          <cell r="F3979" t="str">
            <v>B8R</v>
          </cell>
          <cell r="G3979" t="str">
            <v>MARCOPOLO</v>
          </cell>
          <cell r="H3979" t="str">
            <v>TORINO</v>
          </cell>
          <cell r="I3979">
            <v>2019</v>
          </cell>
          <cell r="J3979" t="str">
            <v>B2PAL</v>
          </cell>
          <cell r="K3979" t="str">
            <v>SAN JOSE</v>
          </cell>
          <cell r="L3979" t="str">
            <v>San José 030 (José Besa 669)</v>
          </cell>
          <cell r="M3979" t="str">
            <v>San Bernardo</v>
          </cell>
          <cell r="N3979" t="str">
            <v>B</v>
          </cell>
        </row>
        <row r="3980">
          <cell r="B3980" t="str">
            <v>GCBB-89|</v>
          </cell>
          <cell r="C3980" t="str">
            <v>D8484688K2PL</v>
          </cell>
          <cell r="D3980" t="str">
            <v>YV3T7U521KA195714</v>
          </cell>
          <cell r="E3980" t="str">
            <v>Volvo</v>
          </cell>
          <cell r="F3980" t="str">
            <v>B8R</v>
          </cell>
          <cell r="G3980" t="str">
            <v>MARCOPOLO</v>
          </cell>
          <cell r="H3980" t="str">
            <v>TORINO</v>
          </cell>
          <cell r="I3980">
            <v>2019</v>
          </cell>
          <cell r="J3980" t="str">
            <v>B2PAL</v>
          </cell>
          <cell r="K3980" t="str">
            <v>SAN JOSE</v>
          </cell>
          <cell r="L3980" t="str">
            <v>San José 030 (José Besa 669)</v>
          </cell>
          <cell r="M3980" t="str">
            <v>San Bernardo</v>
          </cell>
          <cell r="N3980" t="str">
            <v>B</v>
          </cell>
        </row>
        <row r="3981">
          <cell r="B3981" t="str">
            <v>GCBB-91|</v>
          </cell>
          <cell r="C3981" t="str">
            <v>D8482515K2PL</v>
          </cell>
          <cell r="D3981" t="str">
            <v>YV3T7U524KA195349</v>
          </cell>
          <cell r="E3981" t="str">
            <v>Volvo</v>
          </cell>
          <cell r="F3981" t="str">
            <v>B8R</v>
          </cell>
          <cell r="G3981" t="str">
            <v>MARCOPOLO</v>
          </cell>
          <cell r="H3981" t="str">
            <v>TORINO</v>
          </cell>
          <cell r="I3981">
            <v>2019</v>
          </cell>
          <cell r="J3981" t="str">
            <v>B2PAL</v>
          </cell>
          <cell r="K3981" t="str">
            <v>LOS LIBERTADORES</v>
          </cell>
          <cell r="L3981" t="str">
            <v>Los Liberadores 6450, Lote 4A</v>
          </cell>
          <cell r="M3981" t="str">
            <v>Huechuraba</v>
          </cell>
          <cell r="N3981" t="str">
            <v>B</v>
          </cell>
        </row>
        <row r="3982">
          <cell r="B3982" t="str">
            <v>GCBB-92|</v>
          </cell>
          <cell r="C3982" t="str">
            <v>D8482526K2PL</v>
          </cell>
          <cell r="D3982" t="str">
            <v>YV3T7U526KA195353</v>
          </cell>
          <cell r="E3982" t="str">
            <v>Volvo</v>
          </cell>
          <cell r="F3982" t="str">
            <v>B8R</v>
          </cell>
          <cell r="G3982" t="str">
            <v>MARCOPOLO</v>
          </cell>
          <cell r="H3982" t="str">
            <v>TORINO</v>
          </cell>
          <cell r="I3982">
            <v>2019</v>
          </cell>
          <cell r="J3982" t="str">
            <v>B2PAL</v>
          </cell>
          <cell r="K3982" t="str">
            <v>SAN JOSE</v>
          </cell>
          <cell r="L3982" t="str">
            <v>San José 030 (José Besa 669)</v>
          </cell>
          <cell r="M3982" t="str">
            <v>San Bernardo</v>
          </cell>
          <cell r="N3982" t="str">
            <v>B</v>
          </cell>
        </row>
        <row r="3983">
          <cell r="B3983" t="str">
            <v>GCBB-93|</v>
          </cell>
          <cell r="C3983" t="str">
            <v>D8482598K2PL</v>
          </cell>
          <cell r="D3983" t="str">
            <v>YV3T7U52XKA195355</v>
          </cell>
          <cell r="E3983" t="str">
            <v>Volvo</v>
          </cell>
          <cell r="F3983" t="str">
            <v>B8R</v>
          </cell>
          <cell r="G3983" t="str">
            <v>MARCOPOLO</v>
          </cell>
          <cell r="H3983" t="str">
            <v>TORINO</v>
          </cell>
          <cell r="I3983">
            <v>2019</v>
          </cell>
          <cell r="J3983" t="str">
            <v>B2PAL</v>
          </cell>
          <cell r="K3983" t="str">
            <v>SAN JOSE</v>
          </cell>
          <cell r="L3983" t="str">
            <v>San José 030 (José Besa 669)</v>
          </cell>
          <cell r="M3983" t="str">
            <v>San Bernardo</v>
          </cell>
          <cell r="N3983" t="str">
            <v>B</v>
          </cell>
        </row>
        <row r="3984">
          <cell r="B3984" t="str">
            <v>GCBB-94|</v>
          </cell>
          <cell r="C3984" t="str">
            <v>D8483001K2PL</v>
          </cell>
          <cell r="D3984" t="str">
            <v>YV3T7U526KA195403</v>
          </cell>
          <cell r="E3984" t="str">
            <v>Volvo</v>
          </cell>
          <cell r="F3984" t="str">
            <v>B8R</v>
          </cell>
          <cell r="G3984" t="str">
            <v>MARCOPOLO</v>
          </cell>
          <cell r="H3984" t="str">
            <v>TORINO</v>
          </cell>
          <cell r="I3984">
            <v>2019</v>
          </cell>
          <cell r="J3984" t="str">
            <v>B2PAL</v>
          </cell>
          <cell r="K3984" t="str">
            <v>LOS LIBERTADORES</v>
          </cell>
          <cell r="L3984" t="str">
            <v>Los Liberadores 6450, Lote 4A</v>
          </cell>
          <cell r="M3984" t="str">
            <v>Huechuraba</v>
          </cell>
          <cell r="N3984" t="str">
            <v>B</v>
          </cell>
        </row>
        <row r="3985">
          <cell r="B3985" t="str">
            <v>GCBB-95|</v>
          </cell>
          <cell r="C3985" t="str">
            <v>D8483444K2PL</v>
          </cell>
          <cell r="D3985" t="str">
            <v>YV3T7U528KA195404</v>
          </cell>
          <cell r="E3985" t="str">
            <v>Volvo</v>
          </cell>
          <cell r="F3985" t="str">
            <v>B8R</v>
          </cell>
          <cell r="G3985" t="str">
            <v>MARCOPOLO</v>
          </cell>
          <cell r="H3985" t="str">
            <v>TORINO</v>
          </cell>
          <cell r="I3985">
            <v>2019</v>
          </cell>
          <cell r="J3985" t="str">
            <v>B2PAL</v>
          </cell>
          <cell r="K3985" t="str">
            <v>SAN JOSE</v>
          </cell>
          <cell r="L3985" t="str">
            <v>San José 030 (José Besa 669)</v>
          </cell>
          <cell r="M3985" t="str">
            <v>San Bernardo</v>
          </cell>
          <cell r="N3985" t="str">
            <v>B</v>
          </cell>
        </row>
        <row r="3986">
          <cell r="B3986" t="str">
            <v>GCBB-13|</v>
          </cell>
          <cell r="C3986" t="str">
            <v>D8481462K2PL</v>
          </cell>
          <cell r="D3986" t="str">
            <v>YV3T7U523KA195200</v>
          </cell>
          <cell r="E3986" t="str">
            <v>Volvo</v>
          </cell>
          <cell r="F3986" t="str">
            <v>B8R</v>
          </cell>
          <cell r="G3986" t="str">
            <v>MARCOPOLO</v>
          </cell>
          <cell r="H3986" t="str">
            <v>TORINO</v>
          </cell>
          <cell r="I3986">
            <v>2019</v>
          </cell>
          <cell r="J3986" t="str">
            <v>B2PAL</v>
          </cell>
          <cell r="K3986" t="str">
            <v>LOS LIBERTADORES</v>
          </cell>
          <cell r="L3986" t="str">
            <v>Los Liberadores 6450, Lote 4A</v>
          </cell>
          <cell r="M3986" t="str">
            <v>Huechuraba</v>
          </cell>
          <cell r="N3986" t="str">
            <v>B</v>
          </cell>
        </row>
        <row r="3987">
          <cell r="B3987" t="str">
            <v>GCBB-96|</v>
          </cell>
          <cell r="C3987" t="str">
            <v>D8481807K2PL</v>
          </cell>
          <cell r="D3987" t="str">
            <v>YV3T7U520KA195428</v>
          </cell>
          <cell r="E3987" t="str">
            <v>Volvo</v>
          </cell>
          <cell r="F3987" t="str">
            <v>B8R</v>
          </cell>
          <cell r="G3987" t="str">
            <v>MARCOPOLO</v>
          </cell>
          <cell r="H3987" t="str">
            <v>TORINO</v>
          </cell>
          <cell r="I3987">
            <v>2019</v>
          </cell>
          <cell r="J3987" t="str">
            <v>B2PAL</v>
          </cell>
          <cell r="K3987" t="str">
            <v>SAN JOSE</v>
          </cell>
          <cell r="L3987" t="str">
            <v>San José 030 (José Besa 669)</v>
          </cell>
          <cell r="M3987" t="str">
            <v>San Bernardo</v>
          </cell>
          <cell r="N3987" t="str">
            <v>B</v>
          </cell>
        </row>
        <row r="3988">
          <cell r="B3988" t="str">
            <v>GCBB-97|</v>
          </cell>
          <cell r="C3988" t="str">
            <v>D8481802K2PL</v>
          </cell>
          <cell r="D3988" t="str">
            <v>YV3T7U529KA195430</v>
          </cell>
          <cell r="E3988" t="str">
            <v>Volvo</v>
          </cell>
          <cell r="F3988" t="str">
            <v>B8R</v>
          </cell>
          <cell r="G3988" t="str">
            <v>MARCOPOLO</v>
          </cell>
          <cell r="H3988" t="str">
            <v>TORINO</v>
          </cell>
          <cell r="I3988">
            <v>2019</v>
          </cell>
          <cell r="J3988" t="str">
            <v>B2PAL</v>
          </cell>
          <cell r="K3988" t="str">
            <v>SAN JOSE</v>
          </cell>
          <cell r="L3988" t="str">
            <v>San José 030 (José Besa 669)</v>
          </cell>
          <cell r="M3988" t="str">
            <v>San Bernardo</v>
          </cell>
          <cell r="N3988" t="str">
            <v>B</v>
          </cell>
        </row>
        <row r="3989">
          <cell r="B3989" t="str">
            <v>GCBB-98|</v>
          </cell>
          <cell r="C3989" t="str">
            <v>D8481788K2PL</v>
          </cell>
          <cell r="D3989" t="str">
            <v>YV3T7U520KA195431</v>
          </cell>
          <cell r="E3989" t="str">
            <v>Volvo</v>
          </cell>
          <cell r="F3989" t="str">
            <v>B8R</v>
          </cell>
          <cell r="G3989" t="str">
            <v>MARCOPOLO</v>
          </cell>
          <cell r="H3989" t="str">
            <v>TORINO</v>
          </cell>
          <cell r="I3989">
            <v>2019</v>
          </cell>
          <cell r="J3989" t="str">
            <v>B2PAL</v>
          </cell>
          <cell r="K3989" t="str">
            <v>SAN JOSE</v>
          </cell>
          <cell r="L3989" t="str">
            <v>San José 030 (José Besa 669)</v>
          </cell>
          <cell r="M3989" t="str">
            <v>San Bernardo</v>
          </cell>
          <cell r="N3989" t="str">
            <v>B</v>
          </cell>
        </row>
        <row r="3990">
          <cell r="B3990" t="str">
            <v>GCBB-33|</v>
          </cell>
          <cell r="C3990" t="str">
            <v>D8483123K2PL</v>
          </cell>
          <cell r="D3990" t="str">
            <v>YV3T7U525KA195487</v>
          </cell>
          <cell r="E3990" t="str">
            <v>Volvo</v>
          </cell>
          <cell r="F3990" t="str">
            <v>B8R</v>
          </cell>
          <cell r="G3990" t="str">
            <v>MARCOPOLO</v>
          </cell>
          <cell r="H3990" t="str">
            <v>TORINO</v>
          </cell>
          <cell r="I3990">
            <v>2019</v>
          </cell>
          <cell r="J3990" t="str">
            <v>B2PAL</v>
          </cell>
          <cell r="K3990" t="str">
            <v>SAN JOSE</v>
          </cell>
          <cell r="L3990" t="str">
            <v>San José 030 (José Besa 669)</v>
          </cell>
          <cell r="M3990" t="str">
            <v>San Bernardo</v>
          </cell>
          <cell r="N3990" t="str">
            <v>B</v>
          </cell>
        </row>
        <row r="3991">
          <cell r="B3991" t="str">
            <v>GCBC-10|</v>
          </cell>
          <cell r="C3991" t="str">
            <v>D8483090K2PL</v>
          </cell>
          <cell r="D3991" t="str">
            <v>YV3T7U527KA195488</v>
          </cell>
          <cell r="E3991" t="str">
            <v>Volvo</v>
          </cell>
          <cell r="F3991" t="str">
            <v>B8R</v>
          </cell>
          <cell r="G3991" t="str">
            <v>MARCOPOLO</v>
          </cell>
          <cell r="H3991" t="str">
            <v>TORINO</v>
          </cell>
          <cell r="I3991">
            <v>2019</v>
          </cell>
          <cell r="J3991" t="str">
            <v>B2PAL</v>
          </cell>
          <cell r="K3991" t="str">
            <v>SAN JOSE</v>
          </cell>
          <cell r="L3991" t="str">
            <v>San José 030 (José Besa 669)</v>
          </cell>
          <cell r="M3991" t="str">
            <v>San Bernardo</v>
          </cell>
          <cell r="N3991" t="str">
            <v>B</v>
          </cell>
        </row>
        <row r="3992">
          <cell r="B3992" t="str">
            <v>GCBC-11|</v>
          </cell>
          <cell r="C3992" t="str">
            <v>D8483468K2PL</v>
          </cell>
          <cell r="D3992" t="str">
            <v>YV3T7U525KA195571</v>
          </cell>
          <cell r="E3992" t="str">
            <v>Volvo</v>
          </cell>
          <cell r="F3992" t="str">
            <v>B8R</v>
          </cell>
          <cell r="G3992" t="str">
            <v>MARCOPOLO</v>
          </cell>
          <cell r="H3992" t="str">
            <v>TORINO</v>
          </cell>
          <cell r="I3992">
            <v>2019</v>
          </cell>
          <cell r="J3992" t="str">
            <v>B2PAL</v>
          </cell>
          <cell r="K3992" t="str">
            <v>SAN JOSE</v>
          </cell>
          <cell r="L3992" t="str">
            <v>San José 030 (José Besa 669)</v>
          </cell>
          <cell r="M3992" t="str">
            <v>San Bernardo</v>
          </cell>
          <cell r="N3992" t="str">
            <v>B</v>
          </cell>
        </row>
        <row r="3993">
          <cell r="B3993" t="str">
            <v>GCBC-12|</v>
          </cell>
          <cell r="C3993" t="str">
            <v>D8483819K2PL</v>
          </cell>
          <cell r="D3993" t="str">
            <v>YV3T7U520KA195686</v>
          </cell>
          <cell r="E3993" t="str">
            <v>Volvo</v>
          </cell>
          <cell r="F3993" t="str">
            <v>B8R</v>
          </cell>
          <cell r="G3993" t="str">
            <v>MARCOPOLO</v>
          </cell>
          <cell r="H3993" t="str">
            <v>TORINO</v>
          </cell>
          <cell r="I3993">
            <v>2019</v>
          </cell>
          <cell r="J3993" t="str">
            <v>B2PAL</v>
          </cell>
          <cell r="K3993" t="str">
            <v>SAN JOSE</v>
          </cell>
          <cell r="L3993" t="str">
            <v>San José 030 (José Besa 669)</v>
          </cell>
          <cell r="M3993" t="str">
            <v>San Bernardo</v>
          </cell>
          <cell r="N3993" t="str">
            <v>B</v>
          </cell>
        </row>
        <row r="3994">
          <cell r="B3994" t="str">
            <v>GCBC-13|</v>
          </cell>
          <cell r="C3994" t="str">
            <v>D8481869K2PL</v>
          </cell>
          <cell r="D3994" t="str">
            <v>YV3T7U521KA195194</v>
          </cell>
          <cell r="E3994" t="str">
            <v>Volvo</v>
          </cell>
          <cell r="F3994" t="str">
            <v>B8R</v>
          </cell>
          <cell r="G3994" t="str">
            <v>MARCOPOLO</v>
          </cell>
          <cell r="H3994" t="str">
            <v>TORINO</v>
          </cell>
          <cell r="I3994">
            <v>2019</v>
          </cell>
          <cell r="J3994" t="str">
            <v>B2PAL</v>
          </cell>
          <cell r="K3994" t="str">
            <v>SAN JOSE</v>
          </cell>
          <cell r="L3994" t="str">
            <v>San José 030 (José Besa 669)</v>
          </cell>
          <cell r="M3994" t="str">
            <v>San Bernardo</v>
          </cell>
          <cell r="N3994" t="str">
            <v>B</v>
          </cell>
        </row>
        <row r="3995">
          <cell r="B3995" t="str">
            <v>GCBC-14|</v>
          </cell>
          <cell r="C3995" t="str">
            <v>D8483079K2PL</v>
          </cell>
          <cell r="D3995" t="str">
            <v>YV3T7U529KA195489</v>
          </cell>
          <cell r="E3995" t="str">
            <v>Volvo</v>
          </cell>
          <cell r="F3995" t="str">
            <v>B8R</v>
          </cell>
          <cell r="G3995" t="str">
            <v>MARCOPOLO</v>
          </cell>
          <cell r="H3995" t="str">
            <v>TORINO</v>
          </cell>
          <cell r="I3995">
            <v>2019</v>
          </cell>
          <cell r="J3995" t="str">
            <v>B2PAL</v>
          </cell>
          <cell r="K3995" t="str">
            <v>SAN JOSE</v>
          </cell>
          <cell r="L3995" t="str">
            <v>San José 030 (José Besa 669)</v>
          </cell>
          <cell r="M3995" t="str">
            <v>San Bernardo</v>
          </cell>
          <cell r="N3995" t="str">
            <v>B</v>
          </cell>
        </row>
        <row r="3996">
          <cell r="B3996" t="str">
            <v>GCBC-15|</v>
          </cell>
          <cell r="C3996" t="str">
            <v>D8483914K2PL</v>
          </cell>
          <cell r="D3996" t="str">
            <v>YV3T7U524KA195593</v>
          </cell>
          <cell r="E3996" t="str">
            <v>Volvo</v>
          </cell>
          <cell r="F3996" t="str">
            <v>B8R</v>
          </cell>
          <cell r="G3996" t="str">
            <v>MARCOPOLO</v>
          </cell>
          <cell r="H3996" t="str">
            <v>TORINO</v>
          </cell>
          <cell r="I3996">
            <v>2019</v>
          </cell>
          <cell r="J3996" t="str">
            <v>B2PAL</v>
          </cell>
          <cell r="K3996" t="str">
            <v>SAN JOSE</v>
          </cell>
          <cell r="L3996" t="str">
            <v>San José 030 (José Besa 669)</v>
          </cell>
          <cell r="M3996" t="str">
            <v>San Bernardo</v>
          </cell>
          <cell r="N3996" t="str">
            <v>B</v>
          </cell>
        </row>
        <row r="3997">
          <cell r="B3997" t="str">
            <v>VFHJ-88|</v>
          </cell>
          <cell r="C3997" t="str">
            <v>LDYECS31XS0043931</v>
          </cell>
          <cell r="D3997" t="str">
            <v>MDN35025010058</v>
          </cell>
          <cell r="E3997" t="str">
            <v>Zhong Tong</v>
          </cell>
          <cell r="F3997" t="str">
            <v>Lck6122evg</v>
          </cell>
          <cell r="G3997" t="str">
            <v>ZHONGTONG</v>
          </cell>
          <cell r="H3997" t="str">
            <v>LCK6122EVG</v>
          </cell>
          <cell r="I3997">
            <v>2025</v>
          </cell>
          <cell r="J3997" t="str">
            <v>B</v>
          </cell>
          <cell r="K3997" t="str">
            <v>SAN JOSE</v>
          </cell>
          <cell r="L3997" t="str">
            <v>San José 030 (José Besa 669)</v>
          </cell>
          <cell r="M3997" t="str">
            <v>San Bernardo</v>
          </cell>
          <cell r="N3997" t="str">
            <v>B</v>
          </cell>
        </row>
        <row r="3998">
          <cell r="B3998" t="str">
            <v>VFHL-33|</v>
          </cell>
          <cell r="C3998" t="str">
            <v>LDYECS315S0043917</v>
          </cell>
          <cell r="D3998" t="str">
            <v>MDN35025010105</v>
          </cell>
          <cell r="E3998" t="str">
            <v>Zhong Tong</v>
          </cell>
          <cell r="F3998" t="str">
            <v>Lck6122evg</v>
          </cell>
          <cell r="G3998" t="str">
            <v>ZHONGTONG</v>
          </cell>
          <cell r="H3998" t="str">
            <v>LCK6122EVG</v>
          </cell>
          <cell r="I3998">
            <v>2025</v>
          </cell>
          <cell r="J3998" t="str">
            <v>B</v>
          </cell>
          <cell r="K3998" t="str">
            <v>SAN JOSE</v>
          </cell>
          <cell r="L3998" t="str">
            <v>San José 030 (José Besa 669)</v>
          </cell>
          <cell r="M3998" t="str">
            <v>San Bernardo</v>
          </cell>
          <cell r="N3998" t="str">
            <v>B</v>
          </cell>
        </row>
        <row r="3999">
          <cell r="B3999" t="str">
            <v>VFHL-39|</v>
          </cell>
          <cell r="C3999" t="str">
            <v>LDYECS319S0043970</v>
          </cell>
          <cell r="D3999" t="str">
            <v>MDN35025010061</v>
          </cell>
          <cell r="E3999" t="str">
            <v>Zhong Tong</v>
          </cell>
          <cell r="F3999" t="str">
            <v>Lck6122evg</v>
          </cell>
          <cell r="G3999" t="str">
            <v>ZHONGTONG</v>
          </cell>
          <cell r="H3999" t="str">
            <v>LCK6122EVG</v>
          </cell>
          <cell r="I3999">
            <v>2025</v>
          </cell>
          <cell r="J3999" t="str">
            <v>B</v>
          </cell>
          <cell r="K3999" t="str">
            <v>SAN JOSE</v>
          </cell>
          <cell r="L3999" t="str">
            <v>San José 030 (José Besa 669)</v>
          </cell>
          <cell r="M3999" t="str">
            <v>San Bernardo</v>
          </cell>
          <cell r="N3999" t="str">
            <v>B</v>
          </cell>
        </row>
        <row r="4000">
          <cell r="B4000" t="str">
            <v>VFHL-46|</v>
          </cell>
          <cell r="C4000" t="str">
            <v>LDYECS318S0043930</v>
          </cell>
          <cell r="D4000" t="str">
            <v>MDN35025010059</v>
          </cell>
          <cell r="E4000" t="str">
            <v>Zhong Tong</v>
          </cell>
          <cell r="F4000" t="str">
            <v>Lck6122evg</v>
          </cell>
          <cell r="G4000" t="str">
            <v>ZHONGTONG</v>
          </cell>
          <cell r="H4000" t="str">
            <v>LCK6122EVG</v>
          </cell>
          <cell r="I4000">
            <v>2025</v>
          </cell>
          <cell r="J4000" t="str">
            <v>B</v>
          </cell>
          <cell r="K4000" t="str">
            <v>SAN JOSE</v>
          </cell>
          <cell r="L4000" t="str">
            <v>San José 030 (José Besa 669)</v>
          </cell>
          <cell r="M4000" t="str">
            <v>San Bernardo</v>
          </cell>
          <cell r="N4000" t="str">
            <v>B</v>
          </cell>
        </row>
        <row r="4001">
          <cell r="B4001" t="str">
            <v>VFHL-56|</v>
          </cell>
          <cell r="C4001" t="str">
            <v>LDYECS319S0043919</v>
          </cell>
          <cell r="D4001" t="str">
            <v>MDN35025010112</v>
          </cell>
          <cell r="E4001" t="str">
            <v>Zhong Tong</v>
          </cell>
          <cell r="F4001" t="str">
            <v>Lck6122evg</v>
          </cell>
          <cell r="G4001" t="str">
            <v>ZHONGTONG</v>
          </cell>
          <cell r="H4001" t="str">
            <v>LCK6122EVG</v>
          </cell>
          <cell r="I4001">
            <v>2025</v>
          </cell>
          <cell r="J4001" t="str">
            <v>B</v>
          </cell>
          <cell r="K4001" t="str">
            <v>SAN JOSE</v>
          </cell>
          <cell r="L4001" t="str">
            <v>San José 030 (José Besa 669)</v>
          </cell>
          <cell r="M4001" t="str">
            <v>San Bernardo</v>
          </cell>
          <cell r="N4001" t="str">
            <v>B</v>
          </cell>
        </row>
        <row r="4002">
          <cell r="B4002" t="str">
            <v>VFHG-99|</v>
          </cell>
          <cell r="C4002" t="str">
            <v>LDYECS314S0043908</v>
          </cell>
          <cell r="D4002" t="str">
            <v>MDN35025010130</v>
          </cell>
          <cell r="E4002" t="str">
            <v>Zhong Tong</v>
          </cell>
          <cell r="F4002" t="str">
            <v>Lck6122evg</v>
          </cell>
          <cell r="G4002" t="str">
            <v>ZHONGTONG</v>
          </cell>
          <cell r="H4002" t="str">
            <v>LCK6122EVG</v>
          </cell>
          <cell r="I4002">
            <v>2025</v>
          </cell>
          <cell r="J4002" t="str">
            <v>B</v>
          </cell>
          <cell r="K4002" t="str">
            <v>SAN JOSE</v>
          </cell>
          <cell r="L4002" t="str">
            <v>San José 030 (José Besa 669)</v>
          </cell>
          <cell r="M4002" t="str">
            <v>San Bernardo</v>
          </cell>
          <cell r="N4002" t="str">
            <v>B</v>
          </cell>
        </row>
        <row r="4003">
          <cell r="B4003" t="str">
            <v>VFHH-49|</v>
          </cell>
          <cell r="C4003" t="str">
            <v>LDYECS312S0043924</v>
          </cell>
          <cell r="D4003" t="str">
            <v>MDN35025010050</v>
          </cell>
          <cell r="E4003" t="str">
            <v>Zhong Tong</v>
          </cell>
          <cell r="F4003" t="str">
            <v>Lck6122evg</v>
          </cell>
          <cell r="G4003" t="str">
            <v>ZHONGTONG</v>
          </cell>
          <cell r="H4003" t="str">
            <v>LCK6122EVG</v>
          </cell>
          <cell r="I4003">
            <v>2025</v>
          </cell>
          <cell r="J4003" t="str">
            <v>B</v>
          </cell>
          <cell r="K4003" t="str">
            <v>SAN JOSE</v>
          </cell>
          <cell r="L4003" t="str">
            <v>San José 030 (José Besa 669)</v>
          </cell>
          <cell r="M4003" t="str">
            <v>San Bernardo</v>
          </cell>
          <cell r="N4003" t="str">
            <v>B</v>
          </cell>
        </row>
        <row r="4004">
          <cell r="B4004" t="str">
            <v>VFHH-65|</v>
          </cell>
          <cell r="C4004" t="str">
            <v>LDYECS311S0043946</v>
          </cell>
          <cell r="D4004" t="str">
            <v>MDN35025010056</v>
          </cell>
          <cell r="E4004" t="str">
            <v>Zhong Tong</v>
          </cell>
          <cell r="F4004" t="str">
            <v>Lck6122evg</v>
          </cell>
          <cell r="G4004" t="str">
            <v>ZHONGTONG</v>
          </cell>
          <cell r="H4004" t="str">
            <v>LCK6122EVG</v>
          </cell>
          <cell r="I4004">
            <v>2025</v>
          </cell>
          <cell r="J4004" t="str">
            <v>B</v>
          </cell>
          <cell r="K4004" t="str">
            <v>SAN JOSE</v>
          </cell>
          <cell r="L4004" t="str">
            <v>San José 030 (José Besa 669)</v>
          </cell>
          <cell r="M4004" t="str">
            <v>San Bernardo</v>
          </cell>
          <cell r="N4004" t="str">
            <v>B</v>
          </cell>
        </row>
        <row r="4005">
          <cell r="B4005" t="str">
            <v>VFHJ-21|</v>
          </cell>
          <cell r="C4005" t="str">
            <v>LDYECS318S0043913</v>
          </cell>
          <cell r="D4005" t="str">
            <v>MDN35025010045</v>
          </cell>
          <cell r="E4005" t="str">
            <v>Zhong Tong</v>
          </cell>
          <cell r="F4005" t="str">
            <v>Lck6122evg</v>
          </cell>
          <cell r="G4005" t="str">
            <v>ZHONGTONG</v>
          </cell>
          <cell r="H4005" t="str">
            <v>LCK6122EVG</v>
          </cell>
          <cell r="I4005">
            <v>2025</v>
          </cell>
          <cell r="J4005" t="str">
            <v>B</v>
          </cell>
          <cell r="K4005" t="str">
            <v>SAN JOSE</v>
          </cell>
          <cell r="L4005" t="str">
            <v>San José 030 (José Besa 669)</v>
          </cell>
          <cell r="M4005" t="str">
            <v>San Bernardo</v>
          </cell>
          <cell r="N4005" t="str">
            <v>B</v>
          </cell>
        </row>
        <row r="4006">
          <cell r="B4006" t="str">
            <v>VFHJ-43|</v>
          </cell>
          <cell r="C4006" t="str">
            <v>LDYECS31XS0043895</v>
          </cell>
          <cell r="D4006" t="str">
            <v>MDN35025010235</v>
          </cell>
          <cell r="E4006" t="str">
            <v>Zhong Tong</v>
          </cell>
          <cell r="F4006" t="str">
            <v>Lck6122evg</v>
          </cell>
          <cell r="G4006" t="str">
            <v>ZHONGTONG</v>
          </cell>
          <cell r="H4006" t="str">
            <v>LCK6122EVG</v>
          </cell>
          <cell r="I4006">
            <v>2025</v>
          </cell>
          <cell r="J4006" t="str">
            <v>B</v>
          </cell>
          <cell r="K4006" t="str">
            <v>SAN JOSE</v>
          </cell>
          <cell r="L4006" t="str">
            <v>San José 030 (José Besa 669)</v>
          </cell>
          <cell r="M4006" t="str">
            <v>San Bernardo</v>
          </cell>
          <cell r="N4006" t="str">
            <v>B</v>
          </cell>
        </row>
        <row r="4007">
          <cell r="B4007" t="str">
            <v>VFHJ-59|</v>
          </cell>
          <cell r="C4007" t="str">
            <v>LDYECS317S0043935</v>
          </cell>
          <cell r="D4007" t="str">
            <v>MDN35025010210</v>
          </cell>
          <cell r="E4007" t="str">
            <v>Zhong Tong</v>
          </cell>
          <cell r="F4007" t="str">
            <v>Lck6122evg</v>
          </cell>
          <cell r="G4007" t="str">
            <v>ZHONGTONG</v>
          </cell>
          <cell r="H4007" t="str">
            <v>LCK6122EVG</v>
          </cell>
          <cell r="I4007">
            <v>2025</v>
          </cell>
          <cell r="J4007" t="str">
            <v>B</v>
          </cell>
          <cell r="K4007" t="str">
            <v>SAN JOSE</v>
          </cell>
          <cell r="L4007" t="str">
            <v>San José 030 (José Besa 669)</v>
          </cell>
          <cell r="M4007" t="str">
            <v>San Bernardo</v>
          </cell>
          <cell r="N4007" t="str">
            <v>B</v>
          </cell>
        </row>
        <row r="4008">
          <cell r="B4008" t="str">
            <v>VFHJ-92|</v>
          </cell>
          <cell r="C4008" t="str">
            <v>LDYECS316S0043926</v>
          </cell>
          <cell r="D4008" t="str">
            <v>MDN35025010044</v>
          </cell>
          <cell r="E4008" t="str">
            <v>Zhong Tong</v>
          </cell>
          <cell r="F4008" t="str">
            <v>Lck6122evg</v>
          </cell>
          <cell r="G4008" t="str">
            <v>ZHONGTONG</v>
          </cell>
          <cell r="H4008" t="str">
            <v>LCK6122EVG</v>
          </cell>
          <cell r="I4008">
            <v>2025</v>
          </cell>
          <cell r="J4008" t="str">
            <v>B</v>
          </cell>
          <cell r="K4008" t="str">
            <v>SAN JOSE</v>
          </cell>
          <cell r="L4008" t="str">
            <v>San José 030 (José Besa 669)</v>
          </cell>
          <cell r="M4008" t="str">
            <v>San Bernardo</v>
          </cell>
          <cell r="N4008" t="str">
            <v>B</v>
          </cell>
        </row>
        <row r="4009">
          <cell r="B4009" t="str">
            <v>VFHJ-69|</v>
          </cell>
          <cell r="C4009" t="str">
            <v>LDYECS31XS0043914</v>
          </cell>
          <cell r="D4009" t="str">
            <v>MDN35025010074</v>
          </cell>
          <cell r="E4009" t="str">
            <v>Zhong Tong</v>
          </cell>
          <cell r="F4009" t="str">
            <v>Lck6122evg</v>
          </cell>
          <cell r="G4009" t="str">
            <v>ZHONGTONG</v>
          </cell>
          <cell r="H4009" t="str">
            <v>LCK6122EVG</v>
          </cell>
          <cell r="I4009">
            <v>2025</v>
          </cell>
          <cell r="J4009" t="str">
            <v>B</v>
          </cell>
          <cell r="K4009" t="str">
            <v>SAN JOSE</v>
          </cell>
          <cell r="L4009" t="str">
            <v>San José 030 (José Besa 669)</v>
          </cell>
          <cell r="M4009" t="str">
            <v>San Bernardo</v>
          </cell>
          <cell r="N4009" t="str">
            <v>B</v>
          </cell>
        </row>
        <row r="4010">
          <cell r="B4010" t="str">
            <v>VFHJ-77|</v>
          </cell>
          <cell r="C4010" t="str">
            <v>LDYECS310S0043906</v>
          </cell>
          <cell r="D4010" t="str">
            <v>MDN35025010080</v>
          </cell>
          <cell r="E4010" t="str">
            <v>Zhong Tong</v>
          </cell>
          <cell r="F4010" t="str">
            <v>Lck6122evg</v>
          </cell>
          <cell r="G4010" t="str">
            <v>ZHONGTONG</v>
          </cell>
          <cell r="H4010" t="str">
            <v>LCK6122EVG</v>
          </cell>
          <cell r="I4010">
            <v>2025</v>
          </cell>
          <cell r="J4010" t="str">
            <v>B</v>
          </cell>
          <cell r="K4010" t="str">
            <v>SAN JOSE</v>
          </cell>
          <cell r="L4010" t="str">
            <v>San José 030 (José Besa 669)</v>
          </cell>
          <cell r="M4010" t="str">
            <v>San Bernardo</v>
          </cell>
          <cell r="N4010" t="str">
            <v>B</v>
          </cell>
        </row>
        <row r="4011">
          <cell r="B4011" t="str">
            <v>VFHL-62|</v>
          </cell>
          <cell r="C4011" t="str">
            <v>LDYECS31XS0043928</v>
          </cell>
          <cell r="D4011" t="str">
            <v>MDN35025010051</v>
          </cell>
          <cell r="E4011" t="str">
            <v>Zhong Tong</v>
          </cell>
          <cell r="F4011" t="str">
            <v>Lck6122evg</v>
          </cell>
          <cell r="G4011" t="str">
            <v>ZHONGTONG</v>
          </cell>
          <cell r="H4011" t="str">
            <v>LCK6122EVG</v>
          </cell>
          <cell r="I4011">
            <v>2025</v>
          </cell>
          <cell r="J4011" t="str">
            <v>B</v>
          </cell>
          <cell r="K4011" t="str">
            <v>SAN JOSE</v>
          </cell>
          <cell r="L4011" t="str">
            <v>San José 030 (José Besa 669)</v>
          </cell>
          <cell r="M4011" t="str">
            <v>San Bernardo</v>
          </cell>
          <cell r="N4011" t="str">
            <v>B</v>
          </cell>
        </row>
        <row r="4012">
          <cell r="B4012" t="str">
            <v>VFHL-66|</v>
          </cell>
          <cell r="C4012" t="str">
            <v>LDYECS315S0043934</v>
          </cell>
          <cell r="D4012" t="str">
            <v>MDN35025010214</v>
          </cell>
          <cell r="E4012" t="str">
            <v>Zhong Tong</v>
          </cell>
          <cell r="F4012" t="str">
            <v>Lck6122evg</v>
          </cell>
          <cell r="G4012" t="str">
            <v>ZHONGTONG</v>
          </cell>
          <cell r="H4012" t="str">
            <v>LCK6122EVG</v>
          </cell>
          <cell r="I4012">
            <v>2025</v>
          </cell>
          <cell r="J4012" t="str">
            <v>B</v>
          </cell>
          <cell r="K4012" t="str">
            <v>CERRILLOS</v>
          </cell>
          <cell r="L4012" t="str">
            <v>Calle Uno 7371</v>
          </cell>
          <cell r="M4012" t="str">
            <v>Huechuraba</v>
          </cell>
          <cell r="N4012" t="str">
            <v>B</v>
          </cell>
        </row>
        <row r="4013">
          <cell r="B4013" t="str">
            <v>VFHL-81|</v>
          </cell>
          <cell r="C4013" t="str">
            <v>LDYECS317S0043983</v>
          </cell>
          <cell r="D4013" t="str">
            <v>MDN35025020100</v>
          </cell>
          <cell r="E4013" t="str">
            <v>Zhong Tong</v>
          </cell>
          <cell r="F4013" t="str">
            <v>Lck6122evg</v>
          </cell>
          <cell r="G4013" t="str">
            <v>ZHONGTONG</v>
          </cell>
          <cell r="H4013" t="str">
            <v>LCK6122EVG</v>
          </cell>
          <cell r="I4013">
            <v>2025</v>
          </cell>
          <cell r="J4013" t="str">
            <v>B</v>
          </cell>
          <cell r="K4013" t="str">
            <v>LOS LIBERTADORES</v>
          </cell>
          <cell r="L4013" t="str">
            <v>Los Liberadores 6450, Lote 4A</v>
          </cell>
          <cell r="M4013" t="str">
            <v>Huechuraba</v>
          </cell>
          <cell r="N4013" t="str">
            <v>B</v>
          </cell>
        </row>
        <row r="4014">
          <cell r="B4014" t="str">
            <v>VFHS-85|</v>
          </cell>
          <cell r="C4014" t="str">
            <v>LDYECS315S0043979</v>
          </cell>
          <cell r="D4014" t="str">
            <v>MDN35025020094</v>
          </cell>
          <cell r="E4014" t="str">
            <v>Zhong Tong</v>
          </cell>
          <cell r="F4014" t="str">
            <v>Lck6122evg</v>
          </cell>
          <cell r="G4014" t="str">
            <v>ZHONGTONG</v>
          </cell>
          <cell r="H4014" t="str">
            <v>LCK6122EVG</v>
          </cell>
          <cell r="I4014">
            <v>2025</v>
          </cell>
          <cell r="J4014" t="str">
            <v>B</v>
          </cell>
          <cell r="K4014" t="str">
            <v>LOS LIBERTADORES</v>
          </cell>
          <cell r="L4014" t="str">
            <v>Los Liberadores 6450, Lote 4A</v>
          </cell>
          <cell r="M4014" t="str">
            <v>Huechuraba</v>
          </cell>
          <cell r="N4014" t="str">
            <v>B</v>
          </cell>
        </row>
        <row r="4015">
          <cell r="B4015" t="str">
            <v>VFHS-95|</v>
          </cell>
          <cell r="C4015" t="str">
            <v>LDYECS314S0043956</v>
          </cell>
          <cell r="D4015" t="str">
            <v>MDN35025020090</v>
          </cell>
          <cell r="E4015" t="str">
            <v>Zhong Tong</v>
          </cell>
          <cell r="F4015" t="str">
            <v>Lck6122evg</v>
          </cell>
          <cell r="G4015" t="str">
            <v>ZHONGTONG</v>
          </cell>
          <cell r="H4015" t="str">
            <v>LCK6122EVG</v>
          </cell>
          <cell r="I4015">
            <v>2025</v>
          </cell>
          <cell r="J4015" t="str">
            <v>B</v>
          </cell>
          <cell r="K4015" t="str">
            <v>LOS LIBERTADORES</v>
          </cell>
          <cell r="L4015" t="str">
            <v>Los Liberadores 6450, Lote 4A</v>
          </cell>
          <cell r="M4015" t="str">
            <v>Huechuraba</v>
          </cell>
          <cell r="N4015" t="str">
            <v>B</v>
          </cell>
        </row>
        <row r="4016">
          <cell r="B4016" t="str">
            <v>VFHS-98|</v>
          </cell>
          <cell r="C4016" t="str">
            <v>LDYECS316S0043957</v>
          </cell>
          <cell r="D4016" t="str">
            <v>MDN35025020069</v>
          </cell>
          <cell r="E4016" t="str">
            <v>Zhong Tong</v>
          </cell>
          <cell r="F4016" t="str">
            <v>Lck6122evg</v>
          </cell>
          <cell r="G4016" t="str">
            <v>ZHONGTONG</v>
          </cell>
          <cell r="H4016" t="str">
            <v>LCK6122EVG</v>
          </cell>
          <cell r="I4016">
            <v>2025</v>
          </cell>
          <cell r="J4016" t="str">
            <v>B</v>
          </cell>
          <cell r="K4016" t="str">
            <v>SAN JOSE</v>
          </cell>
          <cell r="L4016" t="str">
            <v>San José 030 (José Besa 669)</v>
          </cell>
          <cell r="M4016" t="str">
            <v>San Bernardo</v>
          </cell>
          <cell r="N4016" t="str">
            <v>B</v>
          </cell>
        </row>
        <row r="4017">
          <cell r="B4017" t="str">
            <v>VFHT-45|</v>
          </cell>
          <cell r="C4017" t="str">
            <v>LDYECS319S0043953</v>
          </cell>
          <cell r="D4017" t="str">
            <v>MDN35025020052</v>
          </cell>
          <cell r="E4017" t="str">
            <v>Zhong Tong</v>
          </cell>
          <cell r="F4017" t="str">
            <v>Lck6122evg</v>
          </cell>
          <cell r="G4017" t="str">
            <v>ZHONGTONG</v>
          </cell>
          <cell r="H4017" t="str">
            <v>LCK6122EVG</v>
          </cell>
          <cell r="I4017">
            <v>2025</v>
          </cell>
          <cell r="J4017" t="str">
            <v>B</v>
          </cell>
          <cell r="K4017" t="str">
            <v>SAN JOSE</v>
          </cell>
          <cell r="L4017" t="str">
            <v>San José 030 (José Besa 669)</v>
          </cell>
          <cell r="M4017" t="str">
            <v>San Bernardo</v>
          </cell>
          <cell r="N4017" t="str">
            <v>B</v>
          </cell>
        </row>
        <row r="4018">
          <cell r="B4018" t="str">
            <v>VFHT-55|</v>
          </cell>
          <cell r="C4018" t="str">
            <v>LDYECS310S0043954</v>
          </cell>
          <cell r="D4018" t="str">
            <v>MDN35025020088</v>
          </cell>
          <cell r="E4018" t="str">
            <v>Zhong Tong</v>
          </cell>
          <cell r="F4018" t="str">
            <v>Lck6122evg</v>
          </cell>
          <cell r="G4018" t="str">
            <v>ZHONGTONG</v>
          </cell>
          <cell r="H4018" t="str">
            <v>LCK6122EVG</v>
          </cell>
          <cell r="I4018">
            <v>2025</v>
          </cell>
          <cell r="J4018" t="str">
            <v>B</v>
          </cell>
          <cell r="K4018" t="str">
            <v>SAN JOSE</v>
          </cell>
          <cell r="L4018" t="str">
            <v>San José 030 (José Besa 669)</v>
          </cell>
          <cell r="M4018" t="str">
            <v>San Bernardo</v>
          </cell>
          <cell r="N4018" t="str">
            <v>B</v>
          </cell>
        </row>
        <row r="4019">
          <cell r="B4019" t="str">
            <v>VFHK-16|</v>
          </cell>
          <cell r="C4019" t="str">
            <v>LDYECS311S0043915</v>
          </cell>
          <cell r="D4019" t="str">
            <v>MDN35025010066</v>
          </cell>
          <cell r="E4019" t="str">
            <v>Zhong Tong</v>
          </cell>
          <cell r="F4019" t="str">
            <v>Lck6122evg</v>
          </cell>
          <cell r="G4019" t="str">
            <v>ZHONGTONG</v>
          </cell>
          <cell r="H4019" t="str">
            <v>LCK6122EVG</v>
          </cell>
          <cell r="I4019">
            <v>2025</v>
          </cell>
          <cell r="J4019" t="str">
            <v>B</v>
          </cell>
          <cell r="K4019" t="str">
            <v>SAN JOSE</v>
          </cell>
          <cell r="L4019" t="str">
            <v>San José 030 (José Besa 669)</v>
          </cell>
          <cell r="M4019" t="str">
            <v>San Bernardo</v>
          </cell>
          <cell r="N4019" t="str">
            <v>B</v>
          </cell>
        </row>
        <row r="4020">
          <cell r="B4020" t="str">
            <v>VFHT-73|</v>
          </cell>
          <cell r="C4020" t="str">
            <v>LDYECS319S0043984</v>
          </cell>
          <cell r="D4020" t="str">
            <v>MDN35025020097</v>
          </cell>
          <cell r="E4020" t="str">
            <v>Zhong Tong</v>
          </cell>
          <cell r="F4020" t="str">
            <v>Lck6122evg</v>
          </cell>
          <cell r="G4020" t="str">
            <v>ZHONGTONG</v>
          </cell>
          <cell r="H4020" t="str">
            <v>LCK6122EVG</v>
          </cell>
          <cell r="I4020">
            <v>2025</v>
          </cell>
          <cell r="J4020" t="str">
            <v>B</v>
          </cell>
          <cell r="K4020" t="str">
            <v>CERRILLOS</v>
          </cell>
          <cell r="L4020" t="str">
            <v>Calle Uno 7371</v>
          </cell>
          <cell r="M4020" t="str">
            <v>Cerrillos</v>
          </cell>
          <cell r="N4020" t="str">
            <v>B</v>
          </cell>
        </row>
        <row r="4021">
          <cell r="B4021" t="str">
            <v>VFHT-80|</v>
          </cell>
          <cell r="C4021" t="str">
            <v>LDYECS314S0043987</v>
          </cell>
          <cell r="D4021" t="str">
            <v>MDN35025020056</v>
          </cell>
          <cell r="E4021" t="str">
            <v>Zhong Tong</v>
          </cell>
          <cell r="F4021" t="str">
            <v>Lck6122evg</v>
          </cell>
          <cell r="G4021" t="str">
            <v>ZHONGTONG</v>
          </cell>
          <cell r="H4021" t="str">
            <v>LCK6122EVG</v>
          </cell>
          <cell r="I4021">
            <v>2025</v>
          </cell>
          <cell r="J4021" t="str">
            <v>B</v>
          </cell>
          <cell r="K4021" t="str">
            <v>LOS LIBERTADORES</v>
          </cell>
          <cell r="L4021" t="str">
            <v>Los Liberadores 6450, Lote 4A</v>
          </cell>
          <cell r="M4021" t="str">
            <v>Huechuraba</v>
          </cell>
          <cell r="N4021" t="str">
            <v>B</v>
          </cell>
        </row>
        <row r="4022">
          <cell r="B4022" t="str">
            <v>VFHT-81|</v>
          </cell>
          <cell r="C4022" t="str">
            <v>LDYECS314S0043973</v>
          </cell>
          <cell r="D4022" t="str">
            <v>MDN35025020087</v>
          </cell>
          <cell r="E4022" t="str">
            <v>Zhong Tong</v>
          </cell>
          <cell r="F4022" t="str">
            <v>Lck6122evg</v>
          </cell>
          <cell r="G4022" t="str">
            <v>ZHONGTONG</v>
          </cell>
          <cell r="H4022" t="str">
            <v>LCK6122EVG</v>
          </cell>
          <cell r="I4022">
            <v>2025</v>
          </cell>
          <cell r="J4022" t="str">
            <v>B</v>
          </cell>
          <cell r="K4022" t="str">
            <v>LOS LIBERTADORES</v>
          </cell>
          <cell r="L4022" t="str">
            <v>Los Liberadores 6450, Lote 4A</v>
          </cell>
          <cell r="M4022" t="str">
            <v>Huechuraba</v>
          </cell>
          <cell r="N4022" t="str">
            <v>B</v>
          </cell>
        </row>
        <row r="4023">
          <cell r="B4023" t="str">
            <v>VFHV-57|</v>
          </cell>
          <cell r="C4023" t="str">
            <v>LDYECS316S0043974</v>
          </cell>
          <cell r="D4023" t="str">
            <v>MDN35025020079</v>
          </cell>
          <cell r="E4023" t="str">
            <v>Zhong Tong</v>
          </cell>
          <cell r="F4023" t="str">
            <v>Lck6122evg</v>
          </cell>
          <cell r="G4023" t="str">
            <v>ZHONGTONG</v>
          </cell>
          <cell r="H4023" t="str">
            <v>LCK6122EVG</v>
          </cell>
          <cell r="I4023">
            <v>2025</v>
          </cell>
          <cell r="J4023" t="str">
            <v>B</v>
          </cell>
          <cell r="K4023" t="str">
            <v>LOS LIBERTADORES</v>
          </cell>
          <cell r="L4023" t="str">
            <v>Los Liberadores 6450, Lote 4A</v>
          </cell>
          <cell r="M4023" t="str">
            <v>Huechuraba</v>
          </cell>
          <cell r="N4023" t="str">
            <v>B</v>
          </cell>
        </row>
        <row r="4024">
          <cell r="B4024" t="str">
            <v>VFHV-67|</v>
          </cell>
          <cell r="C4024" t="str">
            <v>LDYECS311S0043980</v>
          </cell>
          <cell r="D4024" t="str">
            <v>MDN35025020095</v>
          </cell>
          <cell r="E4024" t="str">
            <v>Zhong Tong</v>
          </cell>
          <cell r="F4024" t="str">
            <v>Lck6122evg</v>
          </cell>
          <cell r="G4024" t="str">
            <v>ZHONGTONG</v>
          </cell>
          <cell r="H4024" t="str">
            <v>LCK6122EVG</v>
          </cell>
          <cell r="I4024">
            <v>2025</v>
          </cell>
          <cell r="J4024" t="str">
            <v>B</v>
          </cell>
          <cell r="K4024" t="str">
            <v>LOS LIBERTADORES</v>
          </cell>
          <cell r="L4024" t="str">
            <v>Los Liberadores 6450, Lote 4A</v>
          </cell>
          <cell r="M4024" t="str">
            <v>Huechuraba</v>
          </cell>
          <cell r="N4024" t="str">
            <v>B</v>
          </cell>
        </row>
        <row r="4025">
          <cell r="B4025" t="str">
            <v>VFHV-82|</v>
          </cell>
          <cell r="C4025" t="str">
            <v>LDYECS319S0044004</v>
          </cell>
          <cell r="D4025" t="str">
            <v>MDN35025020057</v>
          </cell>
          <cell r="E4025" t="str">
            <v>Zhong Tong</v>
          </cell>
          <cell r="F4025" t="str">
            <v>Lck6122evg</v>
          </cell>
          <cell r="G4025" t="str">
            <v>ZHONGTONG</v>
          </cell>
          <cell r="H4025" t="str">
            <v>LCK6122EVG</v>
          </cell>
          <cell r="I4025">
            <v>2025</v>
          </cell>
          <cell r="J4025" t="str">
            <v>B</v>
          </cell>
          <cell r="K4025" t="str">
            <v>LOS LIBERTADORES</v>
          </cell>
          <cell r="L4025" t="str">
            <v>Los Liberadores 6450, Lote 4A</v>
          </cell>
          <cell r="M4025" t="str">
            <v>Huechuraba</v>
          </cell>
          <cell r="N4025" t="str">
            <v>B</v>
          </cell>
        </row>
        <row r="4026">
          <cell r="B4026" t="str">
            <v>VFHV-87|</v>
          </cell>
          <cell r="C4026" t="str">
            <v>LDYECS312S0043955</v>
          </cell>
          <cell r="D4026" t="str">
            <v>MDN35025020084</v>
          </cell>
          <cell r="E4026" t="str">
            <v>Zhong Tong</v>
          </cell>
          <cell r="F4026" t="str">
            <v>Lck6122evg</v>
          </cell>
          <cell r="G4026" t="str">
            <v>ZHONGTONG</v>
          </cell>
          <cell r="H4026" t="str">
            <v>LCK6122EVG</v>
          </cell>
          <cell r="I4026">
            <v>2025</v>
          </cell>
          <cell r="J4026" t="str">
            <v>B</v>
          </cell>
          <cell r="K4026" t="str">
            <v>LOS LIBERTADORES</v>
          </cell>
          <cell r="L4026" t="str">
            <v>Los Liberadores 6450, Lote 4A</v>
          </cell>
          <cell r="M4026" t="str">
            <v>Huechuraba</v>
          </cell>
          <cell r="N4026" t="str">
            <v>B</v>
          </cell>
        </row>
        <row r="4027">
          <cell r="B4027" t="str">
            <v>VFHW-46|</v>
          </cell>
          <cell r="C4027" t="str">
            <v>LDYECS318S0043989</v>
          </cell>
          <cell r="D4027" t="str">
            <v>MDN35025020060</v>
          </cell>
          <cell r="E4027" t="str">
            <v>Zhong Tong</v>
          </cell>
          <cell r="F4027" t="str">
            <v>Lck6122evg</v>
          </cell>
          <cell r="G4027" t="str">
            <v>ZHONGTONG</v>
          </cell>
          <cell r="H4027" t="str">
            <v>LCK6122EVG</v>
          </cell>
          <cell r="I4027">
            <v>2025</v>
          </cell>
          <cell r="J4027" t="str">
            <v>B</v>
          </cell>
          <cell r="K4027" t="str">
            <v>LOS LIBERTADORES</v>
          </cell>
          <cell r="L4027" t="str">
            <v>Los Liberadores 6450, Lote 4A</v>
          </cell>
          <cell r="M4027" t="str">
            <v>Huechuraba</v>
          </cell>
          <cell r="N4027" t="str">
            <v>B</v>
          </cell>
        </row>
        <row r="4028">
          <cell r="B4028" t="str">
            <v>VFHW-51|</v>
          </cell>
          <cell r="C4028" t="str">
            <v>LDYECS311S0043977</v>
          </cell>
          <cell r="D4028" t="str">
            <v>MDN35025020058</v>
          </cell>
          <cell r="E4028" t="str">
            <v>Zhong Tong</v>
          </cell>
          <cell r="F4028" t="str">
            <v>Lck6122evg</v>
          </cell>
          <cell r="G4028" t="str">
            <v>ZHONGTONG</v>
          </cell>
          <cell r="H4028" t="str">
            <v>LCK6122EVG</v>
          </cell>
          <cell r="I4028">
            <v>2025</v>
          </cell>
          <cell r="J4028" t="str">
            <v>B</v>
          </cell>
          <cell r="K4028" t="str">
            <v>LOS LIBERTADORES</v>
          </cell>
          <cell r="L4028" t="str">
            <v>Los Liberadores 6450, Lote 4A</v>
          </cell>
          <cell r="M4028" t="str">
            <v>Huechuraba</v>
          </cell>
          <cell r="N4028" t="str">
            <v>B</v>
          </cell>
        </row>
        <row r="4029">
          <cell r="B4029" t="str">
            <v>VFHW-63|</v>
          </cell>
          <cell r="C4029" t="str">
            <v>LDYECS318S0043975</v>
          </cell>
          <cell r="D4029" t="str">
            <v>MDN35025020063</v>
          </cell>
          <cell r="E4029" t="str">
            <v>Zhong Tong</v>
          </cell>
          <cell r="F4029" t="str">
            <v>Lck6122evg</v>
          </cell>
          <cell r="G4029" t="str">
            <v>ZHONGTONG</v>
          </cell>
          <cell r="H4029" t="str">
            <v>LCK6122EVG</v>
          </cell>
          <cell r="I4029">
            <v>2025</v>
          </cell>
          <cell r="J4029" t="str">
            <v>B</v>
          </cell>
          <cell r="K4029" t="str">
            <v>LOS LIBERTADORES</v>
          </cell>
          <cell r="L4029" t="str">
            <v>Los Liberadores 6450, Lote 4A</v>
          </cell>
          <cell r="M4029" t="str">
            <v>Huechuraba</v>
          </cell>
          <cell r="N4029" t="str">
            <v>B</v>
          </cell>
        </row>
        <row r="4030">
          <cell r="B4030" t="str">
            <v>VFHK-27|</v>
          </cell>
          <cell r="C4030" t="str">
            <v>LDYECS312S0043910</v>
          </cell>
          <cell r="D4030" t="str">
            <v>MDN35025010079</v>
          </cell>
          <cell r="E4030" t="str">
            <v>Zhong Tong</v>
          </cell>
          <cell r="F4030" t="str">
            <v>Lck6122evg</v>
          </cell>
          <cell r="G4030" t="str">
            <v>ZHONGTONG</v>
          </cell>
          <cell r="H4030" t="str">
            <v>LCK6122EVG</v>
          </cell>
          <cell r="I4030">
            <v>2025</v>
          </cell>
          <cell r="J4030" t="str">
            <v>B</v>
          </cell>
          <cell r="K4030" t="str">
            <v>SAN JOSE</v>
          </cell>
          <cell r="L4030" t="str">
            <v>San José 030 (José Besa 669)</v>
          </cell>
          <cell r="M4030" t="str">
            <v>San Bernardo</v>
          </cell>
          <cell r="N4030" t="str">
            <v>B</v>
          </cell>
        </row>
        <row r="4031">
          <cell r="B4031" t="str">
            <v>VFPB-70|</v>
          </cell>
          <cell r="C4031" t="str">
            <v>LDYECS316S0043991</v>
          </cell>
          <cell r="D4031" t="str">
            <v>MDN35025020122</v>
          </cell>
          <cell r="E4031" t="str">
            <v>Zhong Tong</v>
          </cell>
          <cell r="F4031" t="str">
            <v>Lck6122evg</v>
          </cell>
          <cell r="G4031" t="str">
            <v>ZHONGTONG</v>
          </cell>
          <cell r="H4031" t="str">
            <v>LCK6122EVG</v>
          </cell>
          <cell r="I4031">
            <v>2025</v>
          </cell>
          <cell r="J4031" t="str">
            <v>B</v>
          </cell>
          <cell r="K4031" t="str">
            <v>LOS LIBERTADORES</v>
          </cell>
          <cell r="L4031" t="str">
            <v>Los Liberadores 6450, Lote 4A</v>
          </cell>
          <cell r="M4031" t="str">
            <v>Huechuraba</v>
          </cell>
          <cell r="N4031" t="str">
            <v>B</v>
          </cell>
        </row>
        <row r="4032">
          <cell r="B4032" t="str">
            <v>VFPC-10|</v>
          </cell>
          <cell r="C4032" t="str">
            <v>LDYECS317S0044115</v>
          </cell>
          <cell r="D4032" t="str">
            <v>MDN35025010018</v>
          </cell>
          <cell r="E4032" t="str">
            <v>Zhong Tong</v>
          </cell>
          <cell r="F4032" t="str">
            <v>Lck6122evg</v>
          </cell>
          <cell r="G4032" t="str">
            <v>ZHONGTONG</v>
          </cell>
          <cell r="H4032" t="str">
            <v>LCK6122EVG</v>
          </cell>
          <cell r="I4032">
            <v>2025</v>
          </cell>
          <cell r="J4032" t="str">
            <v>B</v>
          </cell>
          <cell r="K4032" t="str">
            <v>LOS LIBERTADORES</v>
          </cell>
          <cell r="L4032" t="str">
            <v>Los Liberadores 6450, Lote 4A</v>
          </cell>
          <cell r="M4032" t="str">
            <v>Huechuraba</v>
          </cell>
          <cell r="N4032" t="str">
            <v>B</v>
          </cell>
        </row>
        <row r="4033">
          <cell r="B4033" t="str">
            <v>VFPC-31|</v>
          </cell>
          <cell r="C4033" t="str">
            <v>LDYECS315S0043996</v>
          </cell>
          <cell r="D4033" t="str">
            <v>MDN35025020055</v>
          </cell>
          <cell r="E4033" t="str">
            <v>Zhong Tong</v>
          </cell>
          <cell r="F4033" t="str">
            <v>Lck6122evg</v>
          </cell>
          <cell r="G4033" t="str">
            <v>ZHONGTONG</v>
          </cell>
          <cell r="H4033" t="str">
            <v>LCK6122EVG</v>
          </cell>
          <cell r="I4033">
            <v>2025</v>
          </cell>
          <cell r="J4033" t="str">
            <v>B</v>
          </cell>
          <cell r="K4033" t="str">
            <v>LOS LIBERTADORES</v>
          </cell>
          <cell r="L4033" t="str">
            <v>Los Liberadores 6450, Lote 4A</v>
          </cell>
          <cell r="M4033" t="str">
            <v>Huechuraba</v>
          </cell>
          <cell r="N4033" t="str">
            <v>B</v>
          </cell>
        </row>
        <row r="4034">
          <cell r="B4034" t="str">
            <v>VFPC-80|</v>
          </cell>
          <cell r="C4034" t="str">
            <v>LDYECS313S0043978</v>
          </cell>
          <cell r="D4034" t="str">
            <v>MDN35025020093</v>
          </cell>
          <cell r="E4034" t="str">
            <v>Zhong Tong</v>
          </cell>
          <cell r="F4034" t="str">
            <v>Lck6122evg</v>
          </cell>
          <cell r="G4034" t="str">
            <v>ZHONGTONG</v>
          </cell>
          <cell r="H4034" t="str">
            <v>LCK6122EVG</v>
          </cell>
          <cell r="I4034">
            <v>2025</v>
          </cell>
          <cell r="J4034" t="str">
            <v>B</v>
          </cell>
          <cell r="K4034" t="str">
            <v>LOS LIBERTADORES</v>
          </cell>
          <cell r="L4034" t="str">
            <v>Los Liberadores 6450, Lote 4A</v>
          </cell>
          <cell r="M4034" t="str">
            <v>Huechuraba</v>
          </cell>
          <cell r="N4034" t="str">
            <v>B</v>
          </cell>
        </row>
        <row r="4035">
          <cell r="B4035" t="str">
            <v>VFPC-51|</v>
          </cell>
          <cell r="C4035" t="str">
            <v>LDYECS31XS0044027</v>
          </cell>
          <cell r="D4035" t="str">
            <v>MDN35025020112</v>
          </cell>
          <cell r="E4035" t="str">
            <v>Zhong Tong</v>
          </cell>
          <cell r="F4035" t="str">
            <v>Lck6122evg</v>
          </cell>
          <cell r="G4035" t="str">
            <v>ZHONGTONG</v>
          </cell>
          <cell r="H4035" t="str">
            <v>LCK6122EVG</v>
          </cell>
          <cell r="I4035">
            <v>2025</v>
          </cell>
          <cell r="J4035" t="str">
            <v>B</v>
          </cell>
          <cell r="K4035" t="str">
            <v>LOS LIBERTADORES</v>
          </cell>
          <cell r="L4035" t="str">
            <v>Los Liberadores 6450, Lote 4A</v>
          </cell>
          <cell r="M4035" t="str">
            <v>Huechuraba</v>
          </cell>
          <cell r="N4035" t="str">
            <v>B</v>
          </cell>
        </row>
        <row r="4036">
          <cell r="B4036" t="str">
            <v>VFPD-84|</v>
          </cell>
          <cell r="C4036" t="str">
            <v>LDYECS315S0043982</v>
          </cell>
          <cell r="D4036" t="str">
            <v>MDN35025020067</v>
          </cell>
          <cell r="E4036" t="str">
            <v>Zhong Tong</v>
          </cell>
          <cell r="F4036" t="str">
            <v>Lck6122evg</v>
          </cell>
          <cell r="G4036" t="str">
            <v>ZHONGTONG</v>
          </cell>
          <cell r="H4036" t="str">
            <v>LCK6122EVG</v>
          </cell>
          <cell r="I4036">
            <v>2025</v>
          </cell>
          <cell r="J4036" t="str">
            <v>B</v>
          </cell>
          <cell r="K4036" t="str">
            <v>LOS LIBERTADORES</v>
          </cell>
          <cell r="L4036" t="str">
            <v>Los Liberadores 6450, Lote 4A</v>
          </cell>
          <cell r="M4036" t="str">
            <v>Huechuraba</v>
          </cell>
          <cell r="N4036" t="str">
            <v>B</v>
          </cell>
        </row>
        <row r="4037">
          <cell r="B4037" t="str">
            <v>VFPD-94|</v>
          </cell>
          <cell r="C4037" t="str">
            <v>LDYECS317S0043997</v>
          </cell>
          <cell r="D4037" t="str">
            <v>MDN35025020022</v>
          </cell>
          <cell r="E4037" t="str">
            <v>Zhong Tong</v>
          </cell>
          <cell r="F4037" t="str">
            <v>Lck6122evg</v>
          </cell>
          <cell r="G4037" t="str">
            <v>ZHONGTONG</v>
          </cell>
          <cell r="H4037" t="str">
            <v>LCK6122EVG</v>
          </cell>
          <cell r="I4037">
            <v>2025</v>
          </cell>
          <cell r="J4037" t="str">
            <v>B</v>
          </cell>
          <cell r="K4037" t="str">
            <v>LOS LIBERTADORES</v>
          </cell>
          <cell r="L4037" t="str">
            <v>Los Liberadores 6450, Lote 4A</v>
          </cell>
          <cell r="M4037" t="str">
            <v>Huechuraba</v>
          </cell>
          <cell r="N4037" t="str">
            <v>B</v>
          </cell>
        </row>
        <row r="4038">
          <cell r="B4038" t="str">
            <v>VFHL-60|</v>
          </cell>
          <cell r="C4038" t="str">
            <v>LDYECS314S0043911</v>
          </cell>
          <cell r="D4038" t="str">
            <v>MDN35025010115</v>
          </cell>
          <cell r="E4038" t="str">
            <v>Zhong Tong</v>
          </cell>
          <cell r="F4038" t="str">
            <v>Lck6122evg</v>
          </cell>
          <cell r="G4038" t="str">
            <v>ZHONGTONG</v>
          </cell>
          <cell r="H4038" t="str">
            <v>LCK6122EVG</v>
          </cell>
          <cell r="I4038">
            <v>2025</v>
          </cell>
          <cell r="J4038" t="str">
            <v>B</v>
          </cell>
          <cell r="K4038" t="str">
            <v>LOS LIBERTADORES</v>
          </cell>
          <cell r="L4038" t="str">
            <v>Los Liberadores 6450, Lote 4A</v>
          </cell>
          <cell r="M4038" t="str">
            <v>Huechuraba</v>
          </cell>
          <cell r="N4038" t="str">
            <v>B</v>
          </cell>
        </row>
        <row r="4039">
          <cell r="B4039" t="str">
            <v>VFHK-31|</v>
          </cell>
          <cell r="C4039" t="str">
            <v>LDYECS314S0043925</v>
          </cell>
          <cell r="D4039" t="str">
            <v>MDN35025010120</v>
          </cell>
          <cell r="E4039" t="str">
            <v>Zhong Tong</v>
          </cell>
          <cell r="F4039" t="str">
            <v>Lck6122evg</v>
          </cell>
          <cell r="G4039" t="str">
            <v>ZHONGTONG</v>
          </cell>
          <cell r="H4039" t="str">
            <v>LCK6122EVG</v>
          </cell>
          <cell r="I4039">
            <v>2025</v>
          </cell>
          <cell r="J4039" t="str">
            <v>B</v>
          </cell>
          <cell r="K4039" t="str">
            <v>SAN JOSE</v>
          </cell>
          <cell r="L4039" t="str">
            <v>San José 030 (José Besa 669)</v>
          </cell>
          <cell r="M4039" t="str">
            <v>San Bernardo</v>
          </cell>
          <cell r="N4039" t="str">
            <v>B</v>
          </cell>
        </row>
        <row r="4040">
          <cell r="B4040" t="str">
            <v>VFHK-58|</v>
          </cell>
          <cell r="C4040" t="str">
            <v>LDYECS315S0043898</v>
          </cell>
          <cell r="D4040" t="str">
            <v>MDN35025010184</v>
          </cell>
          <cell r="E4040" t="str">
            <v>Zhong Tong</v>
          </cell>
          <cell r="F4040" t="str">
            <v>Lck6122evg</v>
          </cell>
          <cell r="G4040" t="str">
            <v>ZHONGTONG</v>
          </cell>
          <cell r="H4040" t="str">
            <v>LCK6122EVG</v>
          </cell>
          <cell r="I4040">
            <v>2025</v>
          </cell>
          <cell r="J4040" t="str">
            <v>B</v>
          </cell>
          <cell r="K4040" t="str">
            <v>SAN JOSE</v>
          </cell>
          <cell r="L4040" t="str">
            <v>San José 030 (José Besa 669)</v>
          </cell>
          <cell r="M4040" t="str">
            <v>San Bernardo</v>
          </cell>
          <cell r="N4040" t="str">
            <v>B</v>
          </cell>
        </row>
        <row r="4041">
          <cell r="B4041" t="str">
            <v>VFHK-69|</v>
          </cell>
          <cell r="C4041" t="str">
            <v>LDYECS316S0043909</v>
          </cell>
          <cell r="D4041" t="str">
            <v>MDN35025010068</v>
          </cell>
          <cell r="E4041" t="str">
            <v>Zhong Tong</v>
          </cell>
          <cell r="F4041" t="str">
            <v>Lck6122evg</v>
          </cell>
          <cell r="G4041" t="str">
            <v>ZHONGTONG</v>
          </cell>
          <cell r="H4041" t="str">
            <v>LCK6122EVG</v>
          </cell>
          <cell r="I4041">
            <v>2025</v>
          </cell>
          <cell r="J4041" t="str">
            <v>B</v>
          </cell>
          <cell r="K4041" t="str">
            <v>SAN JOSE</v>
          </cell>
          <cell r="L4041" t="str">
            <v>San José 030 (José Besa 669)</v>
          </cell>
          <cell r="M4041" t="str">
            <v>San Bernardo</v>
          </cell>
          <cell r="N4041" t="str">
            <v>B</v>
          </cell>
        </row>
        <row r="4042">
          <cell r="B4042" t="str">
            <v>VFHK-89|</v>
          </cell>
          <cell r="C4042" t="str">
            <v>LDYECS316S0043943</v>
          </cell>
          <cell r="D4042" t="str">
            <v>MDN35025010049</v>
          </cell>
          <cell r="E4042" t="str">
            <v>Zhong Tong</v>
          </cell>
          <cell r="F4042" t="str">
            <v>Lck6122evg</v>
          </cell>
          <cell r="G4042" t="str">
            <v>ZHONGTONG</v>
          </cell>
          <cell r="H4042" t="str">
            <v>LCK6122EVG</v>
          </cell>
          <cell r="I4042">
            <v>2025</v>
          </cell>
          <cell r="J4042" t="str">
            <v>B</v>
          </cell>
          <cell r="K4042" t="str">
            <v>CERRILLOS</v>
          </cell>
          <cell r="L4042" t="str">
            <v>Calle Uno 7371</v>
          </cell>
          <cell r="M4042" t="str">
            <v>Estacion Central</v>
          </cell>
          <cell r="N4042" t="str">
            <v>B</v>
          </cell>
        </row>
        <row r="4043">
          <cell r="B4043" t="str">
            <v>VFHK-96|</v>
          </cell>
          <cell r="C4043" t="str">
            <v>LDYECS319S0043905</v>
          </cell>
          <cell r="D4043" t="str">
            <v>MDN35025010108</v>
          </cell>
          <cell r="E4043" t="str">
            <v>Zhong Tong</v>
          </cell>
          <cell r="F4043" t="str">
            <v>Lck6122evg</v>
          </cell>
          <cell r="G4043" t="str">
            <v>ZHONGTONG</v>
          </cell>
          <cell r="H4043" t="str">
            <v>LCK6122EVG</v>
          </cell>
          <cell r="I4043">
            <v>2025</v>
          </cell>
          <cell r="J4043" t="str">
            <v>B</v>
          </cell>
          <cell r="K4043" t="str">
            <v>SAN ALFONSO</v>
          </cell>
          <cell r="L4043" t="str">
            <v>San Alfonso 2141 (Ramón Subercaseaux 3060)</v>
          </cell>
          <cell r="M4043" t="str">
            <v>Estacion Central</v>
          </cell>
          <cell r="N4043" t="str">
            <v>B</v>
          </cell>
        </row>
        <row r="4044">
          <cell r="B4044" t="str">
            <v>GCBF-42|</v>
          </cell>
          <cell r="C4044" t="str">
            <v>YV3T7U520JA189191</v>
          </cell>
          <cell r="D4044">
            <v>451887</v>
          </cell>
          <cell r="E4044" t="str">
            <v>Volvo</v>
          </cell>
          <cell r="F4044" t="str">
            <v>B8RLEA</v>
          </cell>
          <cell r="G4044" t="str">
            <v>MARCOPOLO</v>
          </cell>
          <cell r="H4044" t="str">
            <v>TORINO</v>
          </cell>
          <cell r="I4044">
            <v>2020</v>
          </cell>
          <cell r="J4044" t="str">
            <v>C</v>
          </cell>
          <cell r="K4044" t="str">
            <v>SAN ALFONSO</v>
          </cell>
          <cell r="L4044" t="str">
            <v>San Alfonso 2141 (Ramón Subercaseaux 3060)</v>
          </cell>
          <cell r="M4044" t="str">
            <v>Estacion Central</v>
          </cell>
          <cell r="N4044" t="str">
            <v>C</v>
          </cell>
        </row>
        <row r="4045">
          <cell r="B4045" t="str">
            <v>LZRB-89|</v>
          </cell>
          <cell r="C4045" t="str">
            <v>YV3T7U523LA201711</v>
          </cell>
          <cell r="D4045">
            <v>508408</v>
          </cell>
          <cell r="E4045" t="str">
            <v>Volvo</v>
          </cell>
          <cell r="F4045" t="str">
            <v>B8RLEA</v>
          </cell>
          <cell r="G4045" t="str">
            <v>MARCOPOLO</v>
          </cell>
          <cell r="H4045" t="str">
            <v>GRAN VIALE</v>
          </cell>
          <cell r="I4045">
            <v>2020</v>
          </cell>
          <cell r="J4045" t="str">
            <v>C</v>
          </cell>
          <cell r="K4045" t="str">
            <v>PIE ANDINO</v>
          </cell>
          <cell r="L4045" t="str">
            <v>Pie Andino 31 (Pie Andino 383)</v>
          </cell>
          <cell r="M4045" t="str">
            <v>Puente Alto</v>
          </cell>
          <cell r="N4045" t="str">
            <v>C</v>
          </cell>
        </row>
        <row r="4046">
          <cell r="B4046" t="str">
            <v>LZRB-90|</v>
          </cell>
          <cell r="C4046" t="str">
            <v>YV3T7U527LA201923</v>
          </cell>
          <cell r="D4046">
            <v>509327</v>
          </cell>
          <cell r="E4046" t="str">
            <v>Volvo</v>
          </cell>
          <cell r="F4046" t="str">
            <v>B8RLEA</v>
          </cell>
          <cell r="G4046" t="str">
            <v>MARCOPOLO</v>
          </cell>
          <cell r="H4046" t="str">
            <v>GRAN VIALE</v>
          </cell>
          <cell r="I4046">
            <v>2020</v>
          </cell>
          <cell r="J4046" t="str">
            <v>C</v>
          </cell>
          <cell r="K4046" t="str">
            <v>PIE ANDINO</v>
          </cell>
          <cell r="L4046" t="str">
            <v>Pie Andino 31 (Pie Andino 383)</v>
          </cell>
          <cell r="M4046" t="str">
            <v>Puente Alto</v>
          </cell>
          <cell r="N4046" t="str">
            <v>C</v>
          </cell>
        </row>
        <row r="4047">
          <cell r="B4047" t="str">
            <v>LZRB-91|</v>
          </cell>
          <cell r="C4047" t="str">
            <v>YV3T7U525LA201709</v>
          </cell>
          <cell r="D4047">
            <v>508437</v>
          </cell>
          <cell r="E4047" t="str">
            <v>Volvo</v>
          </cell>
          <cell r="F4047" t="str">
            <v>B8RLEA</v>
          </cell>
          <cell r="G4047" t="str">
            <v>MARCOPOLO</v>
          </cell>
          <cell r="H4047" t="str">
            <v>GRAN VIALE</v>
          </cell>
          <cell r="I4047">
            <v>2020</v>
          </cell>
          <cell r="J4047" t="str">
            <v>C</v>
          </cell>
          <cell r="K4047" t="str">
            <v>PIE ANDINO</v>
          </cell>
          <cell r="L4047" t="str">
            <v>Pie Andino 31 (Pie Andino 383)</v>
          </cell>
          <cell r="M4047" t="str">
            <v>Puente Alto</v>
          </cell>
          <cell r="N4047" t="str">
            <v>C</v>
          </cell>
        </row>
        <row r="4048">
          <cell r="B4048" t="str">
            <v>LZRB-92|</v>
          </cell>
          <cell r="C4048" t="str">
            <v>YV3T7U520LA201665</v>
          </cell>
          <cell r="D4048">
            <v>508572</v>
          </cell>
          <cell r="E4048" t="str">
            <v>Volvo</v>
          </cell>
          <cell r="F4048" t="str">
            <v>B8RLEA</v>
          </cell>
          <cell r="G4048" t="str">
            <v>MARCOPOLO</v>
          </cell>
          <cell r="H4048" t="str">
            <v>GRAN VIALE</v>
          </cell>
          <cell r="I4048">
            <v>2020</v>
          </cell>
          <cell r="J4048" t="str">
            <v>C</v>
          </cell>
          <cell r="K4048" t="str">
            <v>PIE ANDINO</v>
          </cell>
          <cell r="L4048" t="str">
            <v>Pie Andino 31 (Pie Andino 383)</v>
          </cell>
          <cell r="M4048" t="str">
            <v>Puente Alto</v>
          </cell>
          <cell r="N4048" t="str">
            <v>C</v>
          </cell>
        </row>
        <row r="4049">
          <cell r="B4049" t="str">
            <v>LZRB-93|</v>
          </cell>
          <cell r="C4049" t="str">
            <v>YV3T7U521LA201710</v>
          </cell>
          <cell r="D4049">
            <v>508361</v>
          </cell>
          <cell r="E4049" t="str">
            <v>Volvo</v>
          </cell>
          <cell r="F4049" t="str">
            <v>B8RLEA</v>
          </cell>
          <cell r="G4049" t="str">
            <v>MARCOPOLO</v>
          </cell>
          <cell r="H4049" t="str">
            <v>GRAN VIALE</v>
          </cell>
          <cell r="I4049">
            <v>2020</v>
          </cell>
          <cell r="J4049" t="str">
            <v>C</v>
          </cell>
          <cell r="K4049" t="str">
            <v>PIE ANDINO</v>
          </cell>
          <cell r="L4049" t="str">
            <v>Pie Andino 31 (Pie Andino 383)</v>
          </cell>
          <cell r="M4049" t="str">
            <v>Puente Alto</v>
          </cell>
          <cell r="N4049" t="str">
            <v>C</v>
          </cell>
        </row>
        <row r="4050">
          <cell r="B4050" t="str">
            <v>LZRB-94|</v>
          </cell>
          <cell r="C4050" t="str">
            <v>YV3T7U526LA201699</v>
          </cell>
          <cell r="D4050">
            <v>508380</v>
          </cell>
          <cell r="E4050" t="str">
            <v>Volvo</v>
          </cell>
          <cell r="F4050" t="str">
            <v>B8RLEA</v>
          </cell>
          <cell r="G4050" t="str">
            <v>MARCOPOLO</v>
          </cell>
          <cell r="H4050" t="str">
            <v>GRAN VIALE</v>
          </cell>
          <cell r="I4050">
            <v>2020</v>
          </cell>
          <cell r="J4050" t="str">
            <v>C</v>
          </cell>
          <cell r="K4050" t="str">
            <v>PIE ANDINO</v>
          </cell>
          <cell r="L4050" t="str">
            <v>Pie Andino 31 (Pie Andino 383)</v>
          </cell>
          <cell r="M4050" t="str">
            <v>Puente Alto</v>
          </cell>
          <cell r="N4050" t="str">
            <v>C</v>
          </cell>
        </row>
        <row r="4051">
          <cell r="B4051" t="str">
            <v>LZRB-95|</v>
          </cell>
          <cell r="C4051" t="str">
            <v>YV3T7U522LA201697</v>
          </cell>
          <cell r="D4051">
            <v>508444</v>
          </cell>
          <cell r="E4051" t="str">
            <v>Volvo</v>
          </cell>
          <cell r="F4051" t="str">
            <v>B8RLEA</v>
          </cell>
          <cell r="G4051" t="str">
            <v>MARCOPOLO</v>
          </cell>
          <cell r="H4051" t="str">
            <v>GRAN VIALE</v>
          </cell>
          <cell r="I4051">
            <v>2020</v>
          </cell>
          <cell r="J4051" t="str">
            <v>C</v>
          </cell>
          <cell r="K4051" t="str">
            <v>PIE ANDINO</v>
          </cell>
          <cell r="L4051" t="str">
            <v>Pie Andino 31 (Pie Andino 383)</v>
          </cell>
          <cell r="M4051" t="str">
            <v>Puente Alto</v>
          </cell>
          <cell r="N4051" t="str">
            <v>C</v>
          </cell>
        </row>
        <row r="4052">
          <cell r="B4052" t="str">
            <v>LZRB-96|</v>
          </cell>
          <cell r="C4052" t="str">
            <v>YV3T7U524LA201698</v>
          </cell>
          <cell r="D4052">
            <v>508467</v>
          </cell>
          <cell r="E4052" t="str">
            <v>Volvo</v>
          </cell>
          <cell r="F4052" t="str">
            <v>B8RLEA</v>
          </cell>
          <cell r="G4052" t="str">
            <v>MARCOPOLO</v>
          </cell>
          <cell r="H4052" t="str">
            <v>GRAN VIALE</v>
          </cell>
          <cell r="I4052">
            <v>2020</v>
          </cell>
          <cell r="J4052" t="str">
            <v>C</v>
          </cell>
          <cell r="K4052" t="str">
            <v>PIE ANDINO</v>
          </cell>
          <cell r="L4052" t="str">
            <v>Pie Andino 31 (Pie Andino 383)</v>
          </cell>
          <cell r="M4052" t="str">
            <v>Puente Alto</v>
          </cell>
          <cell r="N4052" t="str">
            <v>C</v>
          </cell>
        </row>
        <row r="4053">
          <cell r="B4053" t="str">
            <v>LZRD-61|</v>
          </cell>
          <cell r="C4053" t="str">
            <v>YV3T7U523LA198728</v>
          </cell>
          <cell r="D4053">
            <v>508196</v>
          </cell>
          <cell r="E4053" t="str">
            <v>Volvo</v>
          </cell>
          <cell r="F4053" t="str">
            <v>B8RLEA</v>
          </cell>
          <cell r="G4053" t="str">
            <v>MARCOPOLO</v>
          </cell>
          <cell r="H4053" t="str">
            <v>GRAN VIALE</v>
          </cell>
          <cell r="I4053">
            <v>2020</v>
          </cell>
          <cell r="J4053" t="str">
            <v>C</v>
          </cell>
          <cell r="K4053" t="str">
            <v>PIE ANDINO</v>
          </cell>
          <cell r="L4053" t="str">
            <v>Pie Andino 31 (Pie Andino 383)</v>
          </cell>
          <cell r="M4053" t="str">
            <v>Puente Alto</v>
          </cell>
          <cell r="N4053" t="str">
            <v>C</v>
          </cell>
        </row>
        <row r="4054">
          <cell r="B4054" t="str">
            <v>LZRD-62|</v>
          </cell>
          <cell r="C4054" t="str">
            <v>YV3T7U526LA201623</v>
          </cell>
          <cell r="D4054">
            <v>508277</v>
          </cell>
          <cell r="E4054" t="str">
            <v>Volvo</v>
          </cell>
          <cell r="F4054" t="str">
            <v>B8RLEA</v>
          </cell>
          <cell r="G4054" t="str">
            <v>MARCOPOLO</v>
          </cell>
          <cell r="H4054" t="str">
            <v>GRAN VIALE</v>
          </cell>
          <cell r="I4054">
            <v>2020</v>
          </cell>
          <cell r="J4054" t="str">
            <v>C</v>
          </cell>
          <cell r="K4054" t="str">
            <v>PIE ANDINO</v>
          </cell>
          <cell r="L4054" t="str">
            <v>Pie Andino 31 (Pie Andino 383)</v>
          </cell>
          <cell r="M4054" t="str">
            <v>Puente Alto</v>
          </cell>
          <cell r="N4054" t="str">
            <v>C</v>
          </cell>
        </row>
        <row r="4055">
          <cell r="B4055" t="str">
            <v>LZRD-63|</v>
          </cell>
          <cell r="C4055" t="str">
            <v>YV3T7U52XLA198726</v>
          </cell>
          <cell r="D4055">
            <v>508208</v>
          </cell>
          <cell r="E4055" t="str">
            <v>Volvo</v>
          </cell>
          <cell r="F4055" t="str">
            <v>B8RLEA</v>
          </cell>
          <cell r="G4055" t="str">
            <v>MARCOPOLO</v>
          </cell>
          <cell r="H4055" t="str">
            <v>GRAN VIALE</v>
          </cell>
          <cell r="I4055">
            <v>2020</v>
          </cell>
          <cell r="J4055" t="str">
            <v>C</v>
          </cell>
          <cell r="K4055" t="str">
            <v>PIE ANDINO</v>
          </cell>
          <cell r="L4055" t="str">
            <v>Pie Andino 31 (Pie Andino 383)</v>
          </cell>
          <cell r="M4055" t="str">
            <v>Puente Alto</v>
          </cell>
          <cell r="N4055" t="str">
            <v>C</v>
          </cell>
        </row>
        <row r="4056">
          <cell r="B4056" t="str">
            <v>LZRD-64|</v>
          </cell>
          <cell r="C4056" t="str">
            <v>YV3T7U526LA198724</v>
          </cell>
          <cell r="D4056">
            <v>508167</v>
          </cell>
          <cell r="E4056" t="str">
            <v>Volvo</v>
          </cell>
          <cell r="F4056" t="str">
            <v>B8RLEA</v>
          </cell>
          <cell r="G4056" t="str">
            <v>MARCOPOLO</v>
          </cell>
          <cell r="H4056" t="str">
            <v>GRAN VIALE</v>
          </cell>
          <cell r="I4056">
            <v>2020</v>
          </cell>
          <cell r="J4056" t="str">
            <v>C</v>
          </cell>
          <cell r="K4056" t="str">
            <v>PIE ANDINO</v>
          </cell>
          <cell r="L4056" t="str">
            <v>Pie Andino 31 (Pie Andino 383)</v>
          </cell>
          <cell r="M4056" t="str">
            <v>Puente Alto</v>
          </cell>
          <cell r="N4056" t="str">
            <v>C</v>
          </cell>
        </row>
        <row r="4057">
          <cell r="B4057" t="str">
            <v>LZRD-65|</v>
          </cell>
          <cell r="C4057" t="str">
            <v>YV3T7U521LA201500</v>
          </cell>
          <cell r="D4057">
            <v>507859</v>
          </cell>
          <cell r="E4057" t="str">
            <v>Volvo</v>
          </cell>
          <cell r="F4057" t="str">
            <v>B8RLEA</v>
          </cell>
          <cell r="G4057" t="str">
            <v>MARCOPOLO</v>
          </cell>
          <cell r="H4057" t="str">
            <v>GRAN VIALE</v>
          </cell>
          <cell r="I4057">
            <v>2020</v>
          </cell>
          <cell r="J4057" t="str">
            <v>C</v>
          </cell>
          <cell r="K4057" t="str">
            <v>PIE ANDINO</v>
          </cell>
          <cell r="L4057" t="str">
            <v>Pie Andino 31 (Pie Andino 383)</v>
          </cell>
          <cell r="M4057" t="str">
            <v>Puente Alto</v>
          </cell>
          <cell r="N4057" t="str">
            <v>C</v>
          </cell>
        </row>
        <row r="4058">
          <cell r="B4058" t="str">
            <v>LZRD-66|</v>
          </cell>
          <cell r="C4058" t="str">
            <v>YV3T7U522LA198722</v>
          </cell>
          <cell r="D4058">
            <v>508172</v>
          </cell>
          <cell r="E4058" t="str">
            <v>Volvo</v>
          </cell>
          <cell r="F4058" t="str">
            <v>B8RLEA</v>
          </cell>
          <cell r="G4058" t="str">
            <v>MARCOPOLO</v>
          </cell>
          <cell r="H4058" t="str">
            <v>GRAN VIALE</v>
          </cell>
          <cell r="I4058">
            <v>2020</v>
          </cell>
          <cell r="J4058" t="str">
            <v>C</v>
          </cell>
          <cell r="K4058" t="str">
            <v>PIE ANDINO</v>
          </cell>
          <cell r="L4058" t="str">
            <v>Pie Andino 31 (Pie Andino 383)</v>
          </cell>
          <cell r="M4058" t="str">
            <v>Puente Alto</v>
          </cell>
          <cell r="N4058" t="str">
            <v>C</v>
          </cell>
        </row>
        <row r="4059">
          <cell r="B4059" t="str">
            <v>LZRD-67|</v>
          </cell>
          <cell r="C4059" t="str">
            <v>YV3T7U520LA201696</v>
          </cell>
          <cell r="D4059">
            <v>508690</v>
          </cell>
          <cell r="E4059" t="str">
            <v>Volvo</v>
          </cell>
          <cell r="F4059" t="str">
            <v>B8RLEA</v>
          </cell>
          <cell r="G4059" t="str">
            <v>MARCOPOLO</v>
          </cell>
          <cell r="H4059" t="str">
            <v>GRAN VIALE</v>
          </cell>
          <cell r="I4059">
            <v>2020</v>
          </cell>
          <cell r="J4059" t="str">
            <v>C</v>
          </cell>
          <cell r="K4059" t="str">
            <v>SAN ALFONSO</v>
          </cell>
          <cell r="L4059" t="str">
            <v>San Alfonso 2141 (Ramón Subercaseaux 3060)</v>
          </cell>
          <cell r="M4059" t="str">
            <v>Estacion Central</v>
          </cell>
          <cell r="N4059" t="str">
            <v>C</v>
          </cell>
        </row>
        <row r="4060">
          <cell r="B4060" t="str">
            <v>LZRD-68|</v>
          </cell>
          <cell r="C4060" t="str">
            <v>YV3T7U52XLA201608</v>
          </cell>
          <cell r="D4060">
            <v>508223</v>
          </cell>
          <cell r="E4060" t="str">
            <v>Volvo</v>
          </cell>
          <cell r="F4060" t="str">
            <v>B8RLEA</v>
          </cell>
          <cell r="G4060" t="str">
            <v>MARCOPOLO</v>
          </cell>
          <cell r="H4060" t="str">
            <v>GRAN VIALE</v>
          </cell>
          <cell r="I4060">
            <v>2020</v>
          </cell>
          <cell r="J4060" t="str">
            <v>C</v>
          </cell>
          <cell r="K4060" t="str">
            <v>PIE ANDINO</v>
          </cell>
          <cell r="L4060" t="str">
            <v>Pie Andino 31 (Pie Andino 383)</v>
          </cell>
          <cell r="M4060" t="str">
            <v>Puente Alto</v>
          </cell>
          <cell r="N4060" t="str">
            <v>C</v>
          </cell>
        </row>
        <row r="4061">
          <cell r="B4061" t="str">
            <v>LZRD-69|</v>
          </cell>
          <cell r="C4061" t="str">
            <v>YV3T7U521LA201545</v>
          </cell>
          <cell r="D4061">
            <v>508144</v>
          </cell>
          <cell r="E4061" t="str">
            <v>Volvo</v>
          </cell>
          <cell r="F4061" t="str">
            <v>B8RLEA</v>
          </cell>
          <cell r="G4061" t="str">
            <v>MARCOPOLO</v>
          </cell>
          <cell r="H4061" t="str">
            <v>GRAN VIALE</v>
          </cell>
          <cell r="I4061">
            <v>2020</v>
          </cell>
          <cell r="J4061" t="str">
            <v>C</v>
          </cell>
          <cell r="K4061" t="str">
            <v>PIE ANDINO</v>
          </cell>
          <cell r="L4061" t="str">
            <v>Pie Andino 31 (Pie Andino 383)</v>
          </cell>
          <cell r="M4061" t="str">
            <v>Puente Alto</v>
          </cell>
          <cell r="N4061" t="str">
            <v>C</v>
          </cell>
        </row>
        <row r="4062">
          <cell r="B4062" t="str">
            <v>LZRD-70|</v>
          </cell>
          <cell r="C4062" t="str">
            <v>YV3T7U528LA201543</v>
          </cell>
          <cell r="D4062">
            <v>508132</v>
          </cell>
          <cell r="E4062" t="str">
            <v>Volvo</v>
          </cell>
          <cell r="F4062" t="str">
            <v>B8RLEA</v>
          </cell>
          <cell r="G4062" t="str">
            <v>MARCOPOLO</v>
          </cell>
          <cell r="H4062" t="str">
            <v>GRAN VIALE</v>
          </cell>
          <cell r="I4062">
            <v>2020</v>
          </cell>
          <cell r="J4062" t="str">
            <v>C</v>
          </cell>
          <cell r="K4062" t="str">
            <v>PIE ANDINO</v>
          </cell>
          <cell r="L4062" t="str">
            <v>Pie Andino 31 (Pie Andino 383)</v>
          </cell>
          <cell r="M4062" t="str">
            <v>Puente Alto</v>
          </cell>
          <cell r="N4062" t="str">
            <v>C</v>
          </cell>
        </row>
        <row r="4063">
          <cell r="B4063" t="str">
            <v>LZRD-71|</v>
          </cell>
          <cell r="C4063" t="str">
            <v>YV3T7U528LA201624</v>
          </cell>
          <cell r="D4063">
            <v>508345</v>
          </cell>
          <cell r="E4063" t="str">
            <v>Volvo</v>
          </cell>
          <cell r="F4063" t="str">
            <v>B8RLEA</v>
          </cell>
          <cell r="G4063" t="str">
            <v>MARCOPOLO</v>
          </cell>
          <cell r="H4063" t="str">
            <v>GRAN VIALE</v>
          </cell>
          <cell r="I4063">
            <v>2020</v>
          </cell>
          <cell r="J4063" t="str">
            <v>C</v>
          </cell>
          <cell r="K4063" t="str">
            <v>PIE ANDINO</v>
          </cell>
          <cell r="L4063" t="str">
            <v>Pie Andino 31 (Pie Andino 383)</v>
          </cell>
          <cell r="M4063" t="str">
            <v>Puente Alto</v>
          </cell>
          <cell r="N4063" t="str">
            <v>C</v>
          </cell>
        </row>
        <row r="4064">
          <cell r="B4064" t="str">
            <v>LZRD-72|</v>
          </cell>
          <cell r="C4064" t="str">
            <v>YV3T7U525LA198729</v>
          </cell>
          <cell r="D4064">
            <v>508201</v>
          </cell>
          <cell r="E4064" t="str">
            <v>Volvo</v>
          </cell>
          <cell r="F4064" t="str">
            <v>B8RLEA</v>
          </cell>
          <cell r="G4064" t="str">
            <v>MARCOPOLO</v>
          </cell>
          <cell r="H4064" t="str">
            <v>GRAN VIALE</v>
          </cell>
          <cell r="I4064">
            <v>2020</v>
          </cell>
          <cell r="J4064" t="str">
            <v>C</v>
          </cell>
          <cell r="K4064" t="str">
            <v>PIE ANDINO</v>
          </cell>
          <cell r="L4064" t="str">
            <v>Pie Andino 31 (Pie Andino 383)</v>
          </cell>
          <cell r="M4064" t="str">
            <v>Puente Alto</v>
          </cell>
          <cell r="N4064" t="str">
            <v>C</v>
          </cell>
        </row>
        <row r="4065">
          <cell r="B4065" t="str">
            <v>LZRD-73|</v>
          </cell>
          <cell r="C4065" t="str">
            <v>YV3T7U526LA201542</v>
          </cell>
          <cell r="D4065">
            <v>508119</v>
          </cell>
          <cell r="E4065" t="str">
            <v>Volvo</v>
          </cell>
          <cell r="F4065" t="str">
            <v>B8RLEA</v>
          </cell>
          <cell r="G4065" t="str">
            <v>MARCOPOLO</v>
          </cell>
          <cell r="H4065" t="str">
            <v>GRAN VIALE</v>
          </cell>
          <cell r="I4065">
            <v>2020</v>
          </cell>
          <cell r="J4065" t="str">
            <v>C</v>
          </cell>
          <cell r="K4065" t="str">
            <v>PIE ANDINO</v>
          </cell>
          <cell r="L4065" t="str">
            <v>Pie Andino 31 (Pie Andino 383)</v>
          </cell>
          <cell r="M4065" t="str">
            <v>Puente Alto</v>
          </cell>
          <cell r="N4065" t="str">
            <v>C</v>
          </cell>
        </row>
        <row r="4066">
          <cell r="B4066" t="str">
            <v>LZRD-74|</v>
          </cell>
          <cell r="C4066" t="str">
            <v>YV3T7U524LA201622</v>
          </cell>
          <cell r="D4066">
            <v>508282</v>
          </cell>
          <cell r="E4066" t="str">
            <v>Volvo</v>
          </cell>
          <cell r="F4066" t="str">
            <v>B8RLEA</v>
          </cell>
          <cell r="G4066" t="str">
            <v>MARCOPOLO</v>
          </cell>
          <cell r="H4066" t="str">
            <v>GRAN VIALE</v>
          </cell>
          <cell r="I4066">
            <v>2020</v>
          </cell>
          <cell r="J4066" t="str">
            <v>C</v>
          </cell>
          <cell r="K4066" t="str">
            <v>PIE ANDINO</v>
          </cell>
          <cell r="L4066" t="str">
            <v>Pie Andino 31 (Pie Andino 383)</v>
          </cell>
          <cell r="M4066" t="str">
            <v>Puente Alto</v>
          </cell>
          <cell r="N4066" t="str">
            <v>C</v>
          </cell>
        </row>
        <row r="4067">
          <cell r="B4067" t="str">
            <v>LZRD-75|</v>
          </cell>
          <cell r="C4067" t="str">
            <v>YV3T7U52XLA201544</v>
          </cell>
          <cell r="D4067">
            <v>508121</v>
          </cell>
          <cell r="E4067" t="str">
            <v>Volvo</v>
          </cell>
          <cell r="F4067" t="str">
            <v>B8RLEA</v>
          </cell>
          <cell r="G4067" t="str">
            <v>MARCOPOLO</v>
          </cell>
          <cell r="H4067" t="str">
            <v>GRAN VIALE</v>
          </cell>
          <cell r="I4067">
            <v>2020</v>
          </cell>
          <cell r="J4067" t="str">
            <v>C</v>
          </cell>
          <cell r="K4067" t="str">
            <v>SAN ALFONSO</v>
          </cell>
          <cell r="L4067" t="str">
            <v>San Alfonso 2141 (Ramón Subercaseaux 3060)</v>
          </cell>
          <cell r="M4067" t="str">
            <v>Estacion Central</v>
          </cell>
          <cell r="N4067" t="str">
            <v>C</v>
          </cell>
        </row>
        <row r="4068">
          <cell r="B4068" t="str">
            <v>LZRD-76|</v>
          </cell>
          <cell r="C4068" t="str">
            <v>YV3T7U528LA198725</v>
          </cell>
          <cell r="D4068">
            <v>508224</v>
          </cell>
          <cell r="E4068" t="str">
            <v>Volvo</v>
          </cell>
          <cell r="F4068" t="str">
            <v>B8RLEA</v>
          </cell>
          <cell r="G4068" t="str">
            <v>MARCOPOLO</v>
          </cell>
          <cell r="H4068" t="str">
            <v>GRAN VIALE</v>
          </cell>
          <cell r="I4068">
            <v>2020</v>
          </cell>
          <cell r="J4068" t="str">
            <v>C</v>
          </cell>
          <cell r="K4068" t="str">
            <v>SAN ALFONSO</v>
          </cell>
          <cell r="L4068" t="str">
            <v>San Alfonso 2141 (Ramón Subercaseaux 3060)</v>
          </cell>
          <cell r="M4068" t="str">
            <v>Estacion Central</v>
          </cell>
          <cell r="N4068" t="str">
            <v>C</v>
          </cell>
        </row>
        <row r="4069">
          <cell r="B4069" t="str">
            <v>LZRD-77|</v>
          </cell>
          <cell r="C4069" t="str">
            <v>YV3T7U524LA201667</v>
          </cell>
          <cell r="D4069">
            <v>508615</v>
          </cell>
          <cell r="E4069" t="str">
            <v>Volvo</v>
          </cell>
          <cell r="F4069" t="str">
            <v>B8RLEA</v>
          </cell>
          <cell r="G4069" t="str">
            <v>MARCOPOLO</v>
          </cell>
          <cell r="H4069" t="str">
            <v>GRAN VIALE</v>
          </cell>
          <cell r="I4069">
            <v>2020</v>
          </cell>
          <cell r="J4069" t="str">
            <v>C</v>
          </cell>
          <cell r="K4069" t="str">
            <v>PIE ANDINO</v>
          </cell>
          <cell r="L4069" t="str">
            <v>Pie Andino 31 (Pie Andino 383)</v>
          </cell>
          <cell r="M4069" t="str">
            <v>Puente Alto</v>
          </cell>
          <cell r="N4069" t="str">
            <v>C</v>
          </cell>
        </row>
        <row r="4070">
          <cell r="B4070" t="str">
            <v>LZRD-78|</v>
          </cell>
          <cell r="C4070" t="str">
            <v>YV3T7U524LA201670</v>
          </cell>
          <cell r="D4070">
            <v>508569</v>
          </cell>
          <cell r="E4070" t="str">
            <v>Volvo</v>
          </cell>
          <cell r="F4070" t="str">
            <v>B8RLEA</v>
          </cell>
          <cell r="G4070" t="str">
            <v>MARCOPOLO</v>
          </cell>
          <cell r="H4070" t="str">
            <v>GRAN VIALE</v>
          </cell>
          <cell r="I4070">
            <v>2020</v>
          </cell>
          <cell r="J4070" t="str">
            <v>C</v>
          </cell>
          <cell r="K4070" t="str">
            <v>SAN ALFONSO</v>
          </cell>
          <cell r="L4070" t="str">
            <v>San Alfonso 2141 (Ramón Subercaseaux 3060)</v>
          </cell>
          <cell r="M4070" t="str">
            <v>Estacion Central</v>
          </cell>
          <cell r="N4070" t="str">
            <v>C</v>
          </cell>
        </row>
        <row r="4071">
          <cell r="B4071" t="str">
            <v>LZRD-79|</v>
          </cell>
          <cell r="C4071" t="str">
            <v>YV3T7U52XLA201625</v>
          </cell>
          <cell r="D4071">
            <v>508297</v>
          </cell>
          <cell r="E4071" t="str">
            <v>Volvo</v>
          </cell>
          <cell r="F4071" t="str">
            <v>B8RLEA</v>
          </cell>
          <cell r="G4071" t="str">
            <v>MARCOPOLO</v>
          </cell>
          <cell r="H4071" t="str">
            <v>GRAN VIALE</v>
          </cell>
          <cell r="I4071">
            <v>2020</v>
          </cell>
          <cell r="J4071" t="str">
            <v>C</v>
          </cell>
          <cell r="K4071" t="str">
            <v>PIE ANDINO</v>
          </cell>
          <cell r="L4071" t="str">
            <v>Pie Andino 31 (Pie Andino 383)</v>
          </cell>
          <cell r="M4071" t="str">
            <v>Puente Alto</v>
          </cell>
          <cell r="N4071" t="str">
            <v>C</v>
          </cell>
        </row>
        <row r="4072">
          <cell r="B4072" t="str">
            <v>LZRD-80|</v>
          </cell>
          <cell r="C4072" t="str">
            <v>YV3T7U520LA201620</v>
          </cell>
          <cell r="D4072">
            <v>508303</v>
          </cell>
          <cell r="E4072" t="str">
            <v>Volvo</v>
          </cell>
          <cell r="F4072" t="str">
            <v>B8RLEA</v>
          </cell>
          <cell r="G4072" t="str">
            <v>MARCOPOLO</v>
          </cell>
          <cell r="H4072" t="str">
            <v>GRAN VIALE</v>
          </cell>
          <cell r="I4072">
            <v>2020</v>
          </cell>
          <cell r="J4072" t="str">
            <v>C</v>
          </cell>
          <cell r="K4072" t="str">
            <v>PIE ANDINO</v>
          </cell>
          <cell r="L4072" t="str">
            <v>Pie Andino 31 (Pie Andino 383)</v>
          </cell>
          <cell r="M4072" t="str">
            <v>Puente Alto</v>
          </cell>
          <cell r="N4072" t="str">
            <v>C</v>
          </cell>
        </row>
        <row r="4073">
          <cell r="B4073" t="str">
            <v>LZRD-81|</v>
          </cell>
          <cell r="C4073" t="str">
            <v>YV3T7U526LA201606</v>
          </cell>
          <cell r="D4073">
            <v>508235</v>
          </cell>
          <cell r="E4073" t="str">
            <v>Volvo</v>
          </cell>
          <cell r="F4073" t="str">
            <v>B8RLEA</v>
          </cell>
          <cell r="G4073" t="str">
            <v>MARCOPOLO</v>
          </cell>
          <cell r="H4073" t="str">
            <v>GRAN VIALE</v>
          </cell>
          <cell r="I4073">
            <v>2020</v>
          </cell>
          <cell r="J4073" t="str">
            <v>C</v>
          </cell>
          <cell r="K4073" t="str">
            <v>PIE ANDINO</v>
          </cell>
          <cell r="L4073" t="str">
            <v>Pie Andino 31 (Pie Andino 383)</v>
          </cell>
          <cell r="M4073" t="str">
            <v>Puente Alto</v>
          </cell>
          <cell r="N4073" t="str">
            <v>C</v>
          </cell>
        </row>
        <row r="4074">
          <cell r="B4074" t="str">
            <v>LZRD-82|</v>
          </cell>
          <cell r="C4074" t="str">
            <v>YV3T7U527LA201498</v>
          </cell>
          <cell r="D4074">
            <v>507854</v>
          </cell>
          <cell r="E4074" t="str">
            <v>Volvo</v>
          </cell>
          <cell r="F4074" t="str">
            <v>B8RLEA</v>
          </cell>
          <cell r="G4074" t="str">
            <v>MARCOPOLO</v>
          </cell>
          <cell r="H4074" t="str">
            <v>GRAN VIALE</v>
          </cell>
          <cell r="I4074">
            <v>2020</v>
          </cell>
          <cell r="J4074" t="str">
            <v>C</v>
          </cell>
          <cell r="K4074" t="str">
            <v>PIE ANDINO</v>
          </cell>
          <cell r="L4074" t="str">
            <v>Pie Andino 31 (Pie Andino 383)</v>
          </cell>
          <cell r="M4074" t="str">
            <v>Puente Alto</v>
          </cell>
          <cell r="N4074" t="str">
            <v>C</v>
          </cell>
        </row>
        <row r="4075">
          <cell r="B4075" t="str">
            <v>LZRD-83|</v>
          </cell>
          <cell r="C4075" t="str">
            <v>YV3T7U522LA201540</v>
          </cell>
          <cell r="D4075">
            <v>507955</v>
          </cell>
          <cell r="E4075" t="str">
            <v>Volvo</v>
          </cell>
          <cell r="F4075" t="str">
            <v>B8RLEA</v>
          </cell>
          <cell r="G4075" t="str">
            <v>MARCOPOLO</v>
          </cell>
          <cell r="H4075" t="str">
            <v>GRAN VIALE</v>
          </cell>
          <cell r="I4075">
            <v>2020</v>
          </cell>
          <cell r="J4075" t="str">
            <v>C</v>
          </cell>
          <cell r="K4075" t="str">
            <v>SAN ALFONSO</v>
          </cell>
          <cell r="L4075" t="str">
            <v>San Alfonso 2141 (Ramón Subercaseaux 3060)</v>
          </cell>
          <cell r="M4075" t="str">
            <v>Estacion Central</v>
          </cell>
          <cell r="N4075" t="str">
            <v>C</v>
          </cell>
        </row>
        <row r="4076">
          <cell r="B4076" t="str">
            <v>LZRD-84|</v>
          </cell>
          <cell r="C4076" t="str">
            <v>YV3T7U526LA201668</v>
          </cell>
          <cell r="D4076">
            <v>508633</v>
          </cell>
          <cell r="E4076" t="str">
            <v>Volvo</v>
          </cell>
          <cell r="F4076" t="str">
            <v>B8RLEA</v>
          </cell>
          <cell r="G4076" t="str">
            <v>MARCOPOLO</v>
          </cell>
          <cell r="H4076" t="str">
            <v>GRAN VIALE</v>
          </cell>
          <cell r="I4076">
            <v>2020</v>
          </cell>
          <cell r="J4076" t="str">
            <v>C</v>
          </cell>
          <cell r="K4076" t="str">
            <v>PIE ANDINO</v>
          </cell>
          <cell r="L4076" t="str">
            <v>Pie Andino 31 (Pie Andino 383)</v>
          </cell>
          <cell r="M4076" t="str">
            <v>Puente Alto</v>
          </cell>
          <cell r="N4076" t="str">
            <v>C</v>
          </cell>
        </row>
        <row r="4077">
          <cell r="B4077" t="str">
            <v>LZRD-85|</v>
          </cell>
          <cell r="C4077" t="str">
            <v>YV3T7U529LA201695</v>
          </cell>
          <cell r="D4077">
            <v>508651</v>
          </cell>
          <cell r="E4077" t="str">
            <v>Volvo</v>
          </cell>
          <cell r="F4077" t="str">
            <v>B8RLEA</v>
          </cell>
          <cell r="G4077" t="str">
            <v>MARCOPOLO</v>
          </cell>
          <cell r="H4077" t="str">
            <v>GRAN VIALE</v>
          </cell>
          <cell r="I4077">
            <v>2020</v>
          </cell>
          <cell r="J4077" t="str">
            <v>C</v>
          </cell>
          <cell r="K4077" t="str">
            <v>PIE ANDINO</v>
          </cell>
          <cell r="L4077" t="str">
            <v>Pie Andino 31 (Pie Andino 383)</v>
          </cell>
          <cell r="M4077" t="str">
            <v>Puente Alto</v>
          </cell>
          <cell r="N4077" t="str">
            <v>C</v>
          </cell>
        </row>
        <row r="4078">
          <cell r="B4078" t="str">
            <v>LZRD-86|</v>
          </cell>
          <cell r="C4078" t="str">
            <v>YV3T7U521LA201609</v>
          </cell>
          <cell r="D4078">
            <v>508236</v>
          </cell>
          <cell r="E4078" t="str">
            <v>Volvo</v>
          </cell>
          <cell r="F4078" t="str">
            <v>B8RLEA</v>
          </cell>
          <cell r="G4078" t="str">
            <v>MARCOPOLO</v>
          </cell>
          <cell r="H4078" t="str">
            <v>GRAN VIALE</v>
          </cell>
          <cell r="I4078">
            <v>2020</v>
          </cell>
          <cell r="J4078" t="str">
            <v>C</v>
          </cell>
          <cell r="K4078" t="str">
            <v>PIE ANDINO</v>
          </cell>
          <cell r="L4078" t="str">
            <v>Pie Andino 31 (Pie Andino 383)</v>
          </cell>
          <cell r="M4078" t="str">
            <v>Puente Alto</v>
          </cell>
          <cell r="N4078" t="str">
            <v>C</v>
          </cell>
        </row>
        <row r="4079">
          <cell r="B4079" t="str">
            <v>LZRD-87|</v>
          </cell>
          <cell r="C4079" t="str">
            <v>YV3T7U522LA201621</v>
          </cell>
          <cell r="D4079">
            <v>508307</v>
          </cell>
          <cell r="E4079" t="str">
            <v>Volvo</v>
          </cell>
          <cell r="F4079" t="str">
            <v>B8RLEA</v>
          </cell>
          <cell r="G4079" t="str">
            <v>MARCOPOLO</v>
          </cell>
          <cell r="H4079" t="str">
            <v>GRAN VIALE</v>
          </cell>
          <cell r="I4079">
            <v>2020</v>
          </cell>
          <cell r="J4079" t="str">
            <v>C</v>
          </cell>
          <cell r="K4079" t="str">
            <v>PIE ANDINO</v>
          </cell>
          <cell r="L4079" t="str">
            <v>Pie Andino 31 (Pie Andino 383)</v>
          </cell>
          <cell r="M4079" t="str">
            <v>Puente Alto</v>
          </cell>
          <cell r="N4079" t="str">
            <v>C</v>
          </cell>
        </row>
        <row r="4080">
          <cell r="B4080" t="str">
            <v>LZRD-88|</v>
          </cell>
          <cell r="C4080" t="str">
            <v>YV3T7U528LA201607</v>
          </cell>
          <cell r="D4080">
            <v>508215</v>
          </cell>
          <cell r="E4080" t="str">
            <v>Volvo</v>
          </cell>
          <cell r="F4080" t="str">
            <v>B8RLEA</v>
          </cell>
          <cell r="G4080" t="str">
            <v>MARCOPOLO</v>
          </cell>
          <cell r="H4080" t="str">
            <v>GRAN VIALE</v>
          </cell>
          <cell r="I4080">
            <v>2020</v>
          </cell>
          <cell r="J4080" t="str">
            <v>C</v>
          </cell>
          <cell r="K4080" t="str">
            <v>SAN ALFONSO</v>
          </cell>
          <cell r="L4080" t="str">
            <v>San Alfonso 2141 (Ramón Subercaseaux 3060)</v>
          </cell>
          <cell r="M4080" t="str">
            <v>Estacion Central</v>
          </cell>
          <cell r="N4080" t="str">
            <v>C</v>
          </cell>
        </row>
        <row r="4081">
          <cell r="B4081" t="str">
            <v>LZRD-89|</v>
          </cell>
          <cell r="C4081" t="str">
            <v>YV3T7U527LA201694</v>
          </cell>
          <cell r="D4081">
            <v>508655</v>
          </cell>
          <cell r="E4081" t="str">
            <v>Volvo</v>
          </cell>
          <cell r="F4081" t="str">
            <v>B8RLEA</v>
          </cell>
          <cell r="G4081" t="str">
            <v>MARCOPOLO</v>
          </cell>
          <cell r="H4081" t="str">
            <v>GRAN VIALE</v>
          </cell>
          <cell r="I4081">
            <v>2020</v>
          </cell>
          <cell r="J4081" t="str">
            <v>C</v>
          </cell>
          <cell r="K4081" t="str">
            <v>PIE ANDINO</v>
          </cell>
          <cell r="L4081" t="str">
            <v>Pie Andino 31 (Pie Andino 383)</v>
          </cell>
          <cell r="M4081" t="str">
            <v>Puente Alto</v>
          </cell>
          <cell r="N4081" t="str">
            <v>C</v>
          </cell>
        </row>
        <row r="4082">
          <cell r="B4082" t="str">
            <v>LZRD-90|</v>
          </cell>
          <cell r="C4082" t="str">
            <v>YV3T7U528LA201610</v>
          </cell>
          <cell r="D4082">
            <v>508198</v>
          </cell>
          <cell r="E4082" t="str">
            <v>Volvo</v>
          </cell>
          <cell r="F4082" t="str">
            <v>B8RLEA</v>
          </cell>
          <cell r="G4082" t="str">
            <v>MARCOPOLO</v>
          </cell>
          <cell r="H4082" t="str">
            <v>GRAN VIALE</v>
          </cell>
          <cell r="I4082">
            <v>2020</v>
          </cell>
          <cell r="J4082" t="str">
            <v>C</v>
          </cell>
          <cell r="K4082" t="str">
            <v>PIE ANDINO</v>
          </cell>
          <cell r="L4082" t="str">
            <v>Pie Andino 31 (Pie Andino 383)</v>
          </cell>
          <cell r="M4082" t="str">
            <v>Puente Alto</v>
          </cell>
          <cell r="N4082" t="str">
            <v>C</v>
          </cell>
        </row>
        <row r="4083">
          <cell r="B4083" t="str">
            <v>LZRD-91|</v>
          </cell>
          <cell r="C4083" t="str">
            <v>YV3T7U525LA201922</v>
          </cell>
          <cell r="D4083">
            <v>509348</v>
          </cell>
          <cell r="E4083" t="str">
            <v>Volvo</v>
          </cell>
          <cell r="F4083" t="str">
            <v>B8RLEA</v>
          </cell>
          <cell r="G4083" t="str">
            <v>MARCOPOLO</v>
          </cell>
          <cell r="H4083" t="str">
            <v>GRAN VIALE</v>
          </cell>
          <cell r="I4083">
            <v>2020</v>
          </cell>
          <cell r="J4083" t="str">
            <v>C</v>
          </cell>
          <cell r="K4083" t="str">
            <v>SAN ALFONSO</v>
          </cell>
          <cell r="L4083" t="str">
            <v>San Alfonso 2141 (Ramón Subercaseaux 3060)</v>
          </cell>
          <cell r="M4083" t="str">
            <v>Estacion Central</v>
          </cell>
          <cell r="N4083" t="str">
            <v>C</v>
          </cell>
        </row>
        <row r="4084">
          <cell r="B4084" t="str">
            <v>LZRD-92|</v>
          </cell>
          <cell r="C4084" t="str">
            <v>YV3T7U527LA201906</v>
          </cell>
          <cell r="D4084">
            <v>509467</v>
          </cell>
          <cell r="E4084" t="str">
            <v>Volvo</v>
          </cell>
          <cell r="F4084" t="str">
            <v>B8RLEA</v>
          </cell>
          <cell r="G4084" t="str">
            <v>MARCOPOLO</v>
          </cell>
          <cell r="H4084" t="str">
            <v>GRAN VIALE</v>
          </cell>
          <cell r="I4084">
            <v>2020</v>
          </cell>
          <cell r="J4084" t="str">
            <v>C</v>
          </cell>
          <cell r="K4084" t="str">
            <v>SAN ALFONSO</v>
          </cell>
          <cell r="L4084" t="str">
            <v>San Alfonso 2141 (Ramón Subercaseaux 3060)</v>
          </cell>
          <cell r="M4084" t="str">
            <v>Estacion Central</v>
          </cell>
          <cell r="N4084" t="str">
            <v>C</v>
          </cell>
        </row>
        <row r="4085">
          <cell r="B4085" t="str">
            <v>LZRD-61|</v>
          </cell>
          <cell r="C4085" t="str">
            <v>YV3T7U528LA201848</v>
          </cell>
          <cell r="D4085">
            <v>507981</v>
          </cell>
          <cell r="E4085" t="str">
            <v>Volvo</v>
          </cell>
          <cell r="F4085" t="str">
            <v>B8RLEA</v>
          </cell>
          <cell r="G4085" t="str">
            <v>MARCOPOLO</v>
          </cell>
          <cell r="H4085" t="str">
            <v>GRAN VIALE</v>
          </cell>
          <cell r="I4085">
            <v>2020</v>
          </cell>
          <cell r="J4085" t="str">
            <v>C</v>
          </cell>
          <cell r="K4085" t="str">
            <v>PIE ANDINO</v>
          </cell>
          <cell r="L4085" t="str">
            <v>Pie Andino 31 (Pie Andino 383)</v>
          </cell>
          <cell r="M4085" t="str">
            <v>Puente Alto</v>
          </cell>
          <cell r="N4085" t="str">
            <v>C</v>
          </cell>
        </row>
        <row r="4086">
          <cell r="B4086" t="str">
            <v>LZRD-94|</v>
          </cell>
          <cell r="C4086" t="str">
            <v>YV3T7U523LA201708</v>
          </cell>
          <cell r="D4086">
            <v>508404</v>
          </cell>
          <cell r="E4086" t="str">
            <v>Volvo</v>
          </cell>
          <cell r="F4086" t="str">
            <v>B8RLEA</v>
          </cell>
          <cell r="G4086" t="str">
            <v>MARCOPOLO</v>
          </cell>
          <cell r="H4086" t="str">
            <v>GRAN VIALE</v>
          </cell>
          <cell r="I4086">
            <v>2020</v>
          </cell>
          <cell r="J4086" t="str">
            <v>C</v>
          </cell>
          <cell r="K4086" t="str">
            <v>PIE ANDINO</v>
          </cell>
          <cell r="L4086" t="str">
            <v>Pie Andino 31 (Pie Andino 383)</v>
          </cell>
          <cell r="M4086" t="str">
            <v>Puente Alto</v>
          </cell>
          <cell r="N4086" t="str">
            <v>C</v>
          </cell>
        </row>
        <row r="4087">
          <cell r="B4087" t="str">
            <v>LZRD-95|</v>
          </cell>
          <cell r="C4087" t="str">
            <v>YV3T7U525LA201905</v>
          </cell>
          <cell r="D4087">
            <v>509585</v>
          </cell>
          <cell r="E4087" t="str">
            <v>Volvo</v>
          </cell>
          <cell r="F4087" t="str">
            <v>B8RLEA</v>
          </cell>
          <cell r="G4087" t="str">
            <v>MARCOPOLO</v>
          </cell>
          <cell r="H4087" t="str">
            <v>GRAN VIALE</v>
          </cell>
          <cell r="I4087">
            <v>2020</v>
          </cell>
          <cell r="J4087" t="str">
            <v>C</v>
          </cell>
          <cell r="K4087" t="str">
            <v>PIE ANDINO</v>
          </cell>
          <cell r="L4087" t="str">
            <v>Pie Andino 31 (Pie Andino 383)</v>
          </cell>
          <cell r="M4087" t="str">
            <v>Puente Alto</v>
          </cell>
          <cell r="N4087" t="str">
            <v>C</v>
          </cell>
        </row>
        <row r="4088">
          <cell r="B4088" t="str">
            <v>LZRD-96|</v>
          </cell>
          <cell r="C4088" t="str">
            <v>YV3T7U520LA201908</v>
          </cell>
          <cell r="D4088">
            <v>509583</v>
          </cell>
          <cell r="E4088" t="str">
            <v>Volvo</v>
          </cell>
          <cell r="F4088" t="str">
            <v>B8RLEA</v>
          </cell>
          <cell r="G4088" t="str">
            <v>MARCOPOLO</v>
          </cell>
          <cell r="H4088" t="str">
            <v>GRAN VIALE</v>
          </cell>
          <cell r="I4088">
            <v>2020</v>
          </cell>
          <cell r="J4088" t="str">
            <v>C</v>
          </cell>
          <cell r="K4088" t="str">
            <v>PIE ANDINO</v>
          </cell>
          <cell r="L4088" t="str">
            <v>Pie Andino 31 (Pie Andino 383)</v>
          </cell>
          <cell r="M4088" t="str">
            <v>Puente Alto</v>
          </cell>
          <cell r="N4088" t="str">
            <v>C</v>
          </cell>
        </row>
        <row r="4089">
          <cell r="B4089" t="str">
            <v>LZRD-97|</v>
          </cell>
          <cell r="C4089" t="str">
            <v>YV3T7U529LA201907</v>
          </cell>
          <cell r="D4089">
            <v>509444</v>
          </cell>
          <cell r="E4089" t="str">
            <v>Volvo</v>
          </cell>
          <cell r="F4089" t="str">
            <v>B8RLEA</v>
          </cell>
          <cell r="G4089" t="str">
            <v>MARCOPOLO</v>
          </cell>
          <cell r="H4089" t="str">
            <v>GRAN VIALE</v>
          </cell>
          <cell r="I4089">
            <v>2020</v>
          </cell>
          <cell r="J4089" t="str">
            <v>C</v>
          </cell>
          <cell r="K4089" t="str">
            <v>PIE ANDINO</v>
          </cell>
          <cell r="L4089" t="str">
            <v>Pie Andino 31 (Pie Andino 383)</v>
          </cell>
          <cell r="M4089" t="str">
            <v>Puente Alto</v>
          </cell>
          <cell r="N4089" t="str">
            <v>C</v>
          </cell>
        </row>
        <row r="4090">
          <cell r="B4090" t="str">
            <v>LZRD-98|</v>
          </cell>
          <cell r="C4090" t="str">
            <v>YV3T7U526LA201802</v>
          </cell>
          <cell r="D4090">
            <v>509171</v>
          </cell>
          <cell r="E4090" t="str">
            <v>Volvo</v>
          </cell>
          <cell r="F4090" t="str">
            <v>B8RLEA</v>
          </cell>
          <cell r="G4090" t="str">
            <v>MARCOPOLO</v>
          </cell>
          <cell r="H4090" t="str">
            <v>GRAN VIALE</v>
          </cell>
          <cell r="I4090">
            <v>2020</v>
          </cell>
          <cell r="J4090" t="str">
            <v>C</v>
          </cell>
          <cell r="K4090" t="str">
            <v>PIE ANDINO</v>
          </cell>
          <cell r="L4090" t="str">
            <v>Pie Andino 31 (Pie Andino 383)</v>
          </cell>
          <cell r="M4090" t="str">
            <v>Puente Alto</v>
          </cell>
          <cell r="N4090" t="str">
            <v>C</v>
          </cell>
        </row>
        <row r="4091">
          <cell r="B4091" t="str">
            <v>LZRD-99|</v>
          </cell>
          <cell r="C4091" t="str">
            <v>YV3T7U523LA201904</v>
          </cell>
          <cell r="D4091">
            <v>509572</v>
          </cell>
          <cell r="E4091" t="str">
            <v>Volvo</v>
          </cell>
          <cell r="F4091" t="str">
            <v>B8RLEA</v>
          </cell>
          <cell r="G4091" t="str">
            <v>MARCOPOLO</v>
          </cell>
          <cell r="H4091" t="str">
            <v>GRAN VIALE</v>
          </cell>
          <cell r="I4091">
            <v>2020</v>
          </cell>
          <cell r="J4091" t="str">
            <v>C</v>
          </cell>
          <cell r="K4091" t="str">
            <v>PIE ANDINO</v>
          </cell>
          <cell r="L4091" t="str">
            <v>Pie Andino 31 (Pie Andino 383)</v>
          </cell>
          <cell r="M4091" t="str">
            <v>Puente Alto</v>
          </cell>
          <cell r="N4091" t="str">
            <v>C</v>
          </cell>
        </row>
        <row r="4092">
          <cell r="B4092" t="str">
            <v>LZRF-10|</v>
          </cell>
          <cell r="C4092" t="str">
            <v>YV3T7U525LA201712</v>
          </cell>
          <cell r="D4092">
            <v>508475</v>
          </cell>
          <cell r="E4092" t="str">
            <v>Volvo</v>
          </cell>
          <cell r="F4092" t="str">
            <v>B8RLEA</v>
          </cell>
          <cell r="G4092" t="str">
            <v>MARCOPOLO</v>
          </cell>
          <cell r="H4092" t="str">
            <v>GRAN VIALE</v>
          </cell>
          <cell r="I4092">
            <v>2020</v>
          </cell>
          <cell r="J4092" t="str">
            <v>C</v>
          </cell>
          <cell r="K4092" t="str">
            <v>PIE ANDINO</v>
          </cell>
          <cell r="L4092" t="str">
            <v>Pie Andino 31 (Pie Andino 383)</v>
          </cell>
          <cell r="M4092" t="str">
            <v>Puente Alto</v>
          </cell>
          <cell r="N4092" t="str">
            <v>C</v>
          </cell>
        </row>
        <row r="4093">
          <cell r="B4093" t="str">
            <v>LZRF-11|</v>
          </cell>
          <cell r="C4093" t="str">
            <v>YV3T7U526LA201847</v>
          </cell>
          <cell r="D4093">
            <v>507974</v>
          </cell>
          <cell r="E4093" t="str">
            <v>Volvo</v>
          </cell>
          <cell r="F4093" t="str">
            <v>B8RLEA</v>
          </cell>
          <cell r="G4093" t="str">
            <v>MARCOPOLO</v>
          </cell>
          <cell r="H4093" t="str">
            <v>GRAN VIALE</v>
          </cell>
          <cell r="I4093">
            <v>2020</v>
          </cell>
          <cell r="J4093" t="str">
            <v>C</v>
          </cell>
          <cell r="K4093" t="str">
            <v>PIE ANDINO</v>
          </cell>
          <cell r="L4093" t="str">
            <v>Pie Andino 31 (Pie Andino 383)</v>
          </cell>
          <cell r="M4093" t="str">
            <v>Puente Alto</v>
          </cell>
          <cell r="N4093" t="str">
            <v>C</v>
          </cell>
        </row>
        <row r="4094">
          <cell r="B4094" t="str">
            <v>LZRF-12|</v>
          </cell>
          <cell r="C4094" t="str">
            <v>YV3T7U528LA201851</v>
          </cell>
          <cell r="D4094">
            <v>508008</v>
          </cell>
          <cell r="E4094" t="str">
            <v>Volvo</v>
          </cell>
          <cell r="F4094" t="str">
            <v>B8RLEA</v>
          </cell>
          <cell r="G4094" t="str">
            <v>MARCOPOLO</v>
          </cell>
          <cell r="H4094" t="str">
            <v>GRAN VIALE</v>
          </cell>
          <cell r="I4094">
            <v>2020</v>
          </cell>
          <cell r="J4094" t="str">
            <v>C</v>
          </cell>
          <cell r="K4094" t="str">
            <v>PIE ANDINO</v>
          </cell>
          <cell r="L4094" t="str">
            <v>Pie Andino 31 (Pie Andino 383)</v>
          </cell>
          <cell r="M4094" t="str">
            <v>Puente Alto</v>
          </cell>
          <cell r="N4094" t="str">
            <v>C</v>
          </cell>
        </row>
        <row r="4095">
          <cell r="B4095" t="str">
            <v>LZRF-13|</v>
          </cell>
          <cell r="C4095" t="str">
            <v>YV3T7U529LA201499</v>
          </cell>
          <cell r="D4095">
            <v>507878</v>
          </cell>
          <cell r="E4095" t="str">
            <v>Volvo</v>
          </cell>
          <cell r="F4095" t="str">
            <v>B8RLEA</v>
          </cell>
          <cell r="G4095" t="str">
            <v>MARCOPOLO</v>
          </cell>
          <cell r="H4095" t="str">
            <v>GRAN VIALE</v>
          </cell>
          <cell r="I4095">
            <v>2020</v>
          </cell>
          <cell r="J4095" t="str">
            <v>C</v>
          </cell>
          <cell r="K4095" t="str">
            <v>PIE ANDINO</v>
          </cell>
          <cell r="L4095" t="str">
            <v>Pie Andino 31 (Pie Andino 383)</v>
          </cell>
          <cell r="M4095" t="str">
            <v>Puente Alto</v>
          </cell>
          <cell r="N4095" t="str">
            <v>C</v>
          </cell>
        </row>
        <row r="4096">
          <cell r="B4096" t="str">
            <v>LZRF-14|</v>
          </cell>
          <cell r="C4096" t="str">
            <v>YV3T7U524LA201541</v>
          </cell>
          <cell r="D4096">
            <v>507933</v>
          </cell>
          <cell r="E4096" t="str">
            <v>Volvo</v>
          </cell>
          <cell r="F4096" t="str">
            <v>B8RLEA</v>
          </cell>
          <cell r="G4096" t="str">
            <v>MARCOPOLO</v>
          </cell>
          <cell r="H4096" t="str">
            <v>GRAN VIALE</v>
          </cell>
          <cell r="I4096">
            <v>2020</v>
          </cell>
          <cell r="J4096" t="str">
            <v>C</v>
          </cell>
          <cell r="K4096" t="str">
            <v>PIE ANDINO</v>
          </cell>
          <cell r="L4096" t="str">
            <v>Pie Andino 31 (Pie Andino 383)</v>
          </cell>
          <cell r="M4096" t="str">
            <v>Puente Alto</v>
          </cell>
          <cell r="N4096" t="str">
            <v>C</v>
          </cell>
        </row>
        <row r="4097">
          <cell r="B4097" t="str">
            <v>LZRF-15|</v>
          </cell>
          <cell r="C4097" t="str">
            <v>YV3T7U524LA198723</v>
          </cell>
          <cell r="D4097">
            <v>508173</v>
          </cell>
          <cell r="E4097" t="str">
            <v>Volvo</v>
          </cell>
          <cell r="F4097" t="str">
            <v>B8RLEA</v>
          </cell>
          <cell r="G4097" t="str">
            <v>MARCOPOLO</v>
          </cell>
          <cell r="H4097" t="str">
            <v>GRAN VIALE</v>
          </cell>
          <cell r="I4097">
            <v>2020</v>
          </cell>
          <cell r="J4097" t="str">
            <v>C</v>
          </cell>
          <cell r="K4097" t="str">
            <v>PIE ANDINO</v>
          </cell>
          <cell r="L4097" t="str">
            <v>Pie Andino 31 (Pie Andino 383)</v>
          </cell>
          <cell r="M4097" t="str">
            <v>Puente Alto</v>
          </cell>
          <cell r="N4097" t="str">
            <v>C</v>
          </cell>
        </row>
        <row r="4098">
          <cell r="B4098" t="str">
            <v>RJXT-26|</v>
          </cell>
          <cell r="C4098" t="str">
            <v>YV3T7U528KA194902</v>
          </cell>
          <cell r="D4098">
            <v>480074</v>
          </cell>
          <cell r="E4098" t="str">
            <v>Volvo</v>
          </cell>
          <cell r="F4098" t="str">
            <v>B8RLEA</v>
          </cell>
          <cell r="G4098" t="str">
            <v>MARCOPOLO</v>
          </cell>
          <cell r="H4098" t="str">
            <v>MONDEGO II</v>
          </cell>
          <cell r="I4098">
            <v>2021</v>
          </cell>
          <cell r="J4098" t="str">
            <v>C</v>
          </cell>
          <cell r="K4098" t="str">
            <v>PIE ANDINO</v>
          </cell>
          <cell r="L4098" t="str">
            <v>Pie Andino 31 (Pie Andino 383)</v>
          </cell>
          <cell r="M4098" t="str">
            <v>Puente Alto</v>
          </cell>
          <cell r="N4098" t="str">
            <v>C</v>
          </cell>
        </row>
        <row r="4099">
          <cell r="B4099" t="str">
            <v>RWTP-78|</v>
          </cell>
          <cell r="C4099" t="str">
            <v>YV3T7U52XNA207976</v>
          </cell>
          <cell r="D4099">
            <v>552632</v>
          </cell>
          <cell r="E4099" t="str">
            <v>Volvo</v>
          </cell>
          <cell r="F4099" t="str">
            <v>B8RLEA</v>
          </cell>
          <cell r="G4099" t="str">
            <v>MARCOPOLO</v>
          </cell>
          <cell r="H4099" t="str">
            <v>GRAN VIALE</v>
          </cell>
          <cell r="I4099">
            <v>2022</v>
          </cell>
          <cell r="J4099" t="str">
            <v>C</v>
          </cell>
          <cell r="K4099" t="str">
            <v>PIE ANDINO</v>
          </cell>
          <cell r="L4099" t="str">
            <v>Pie Andino 31 (Pie Andino 383)</v>
          </cell>
          <cell r="M4099" t="str">
            <v>Puente Alto</v>
          </cell>
          <cell r="N4099" t="str">
            <v>C</v>
          </cell>
        </row>
        <row r="4100">
          <cell r="B4100" t="str">
            <v>RWTP-79|</v>
          </cell>
          <cell r="C4100" t="str">
            <v>YV3T7U52XNA207895</v>
          </cell>
          <cell r="D4100">
            <v>552649</v>
          </cell>
          <cell r="E4100" t="str">
            <v>Volvo</v>
          </cell>
          <cell r="F4100" t="str">
            <v>B8RLEA</v>
          </cell>
          <cell r="G4100" t="str">
            <v>MARCOPOLO</v>
          </cell>
          <cell r="H4100" t="str">
            <v>GRAN VIALE</v>
          </cell>
          <cell r="I4100">
            <v>2022</v>
          </cell>
          <cell r="J4100" t="str">
            <v>C</v>
          </cell>
          <cell r="K4100" t="str">
            <v>SAN ALFONSO</v>
          </cell>
          <cell r="L4100" t="str">
            <v>San Alfonso 2141 (Ramón Subercaseaux 3060)</v>
          </cell>
          <cell r="M4100" t="str">
            <v>Estacion Central</v>
          </cell>
          <cell r="N4100" t="str">
            <v>C</v>
          </cell>
        </row>
        <row r="4101">
          <cell r="B4101" t="str">
            <v>RWTP-80|</v>
          </cell>
          <cell r="C4101" t="str">
            <v>YV3T7U528NA207894</v>
          </cell>
          <cell r="D4101">
            <v>552624</v>
          </cell>
          <cell r="E4101" t="str">
            <v>Volvo</v>
          </cell>
          <cell r="F4101" t="str">
            <v>B8RLEA</v>
          </cell>
          <cell r="G4101" t="str">
            <v>MARCOPOLO</v>
          </cell>
          <cell r="H4101" t="str">
            <v>GRAN VIALE</v>
          </cell>
          <cell r="I4101">
            <v>2022</v>
          </cell>
          <cell r="J4101" t="str">
            <v>C</v>
          </cell>
          <cell r="K4101" t="str">
            <v>SAN ALFONSO</v>
          </cell>
          <cell r="L4101" t="str">
            <v>San Alfonso 2141 (Ramón Subercaseaux 3060)</v>
          </cell>
          <cell r="M4101" t="str">
            <v>Estacion Central</v>
          </cell>
          <cell r="N4101" t="str">
            <v>C</v>
          </cell>
        </row>
        <row r="4102">
          <cell r="B4102" t="str">
            <v>RWTP-81|</v>
          </cell>
          <cell r="C4102" t="str">
            <v>YV3T7U526NA207893</v>
          </cell>
          <cell r="D4102">
            <v>552338</v>
          </cell>
          <cell r="E4102" t="str">
            <v>Volvo</v>
          </cell>
          <cell r="F4102" t="str">
            <v>B8RLEA</v>
          </cell>
          <cell r="G4102" t="str">
            <v>MARCOPOLO</v>
          </cell>
          <cell r="H4102" t="str">
            <v>GRAN VIALE</v>
          </cell>
          <cell r="I4102">
            <v>2022</v>
          </cell>
          <cell r="J4102" t="str">
            <v>C</v>
          </cell>
          <cell r="K4102" t="str">
            <v>SAN ALFONSO</v>
          </cell>
          <cell r="L4102" t="str">
            <v>San Alfonso 2141 (Ramón Subercaseaux 3060)</v>
          </cell>
          <cell r="M4102" t="str">
            <v>Estacion Central</v>
          </cell>
          <cell r="N4102" t="str">
            <v>C</v>
          </cell>
        </row>
        <row r="4103">
          <cell r="B4103" t="str">
            <v>RWTP-82|</v>
          </cell>
          <cell r="C4103" t="str">
            <v>YV3T7U525NA207884</v>
          </cell>
          <cell r="D4103">
            <v>552333</v>
          </cell>
          <cell r="E4103" t="str">
            <v>Volvo</v>
          </cell>
          <cell r="F4103" t="str">
            <v>B8RLEA</v>
          </cell>
          <cell r="G4103" t="str">
            <v>MARCOPOLO</v>
          </cell>
          <cell r="H4103" t="str">
            <v>GRAN VIALE</v>
          </cell>
          <cell r="I4103">
            <v>2022</v>
          </cell>
          <cell r="J4103" t="str">
            <v>C</v>
          </cell>
          <cell r="K4103" t="str">
            <v>SAN ALFONSO</v>
          </cell>
          <cell r="L4103" t="str">
            <v>San Alfonso 2141 (Ramón Subercaseaux 3060)</v>
          </cell>
          <cell r="M4103" t="str">
            <v>Estacion Central</v>
          </cell>
          <cell r="N4103" t="str">
            <v>C</v>
          </cell>
        </row>
        <row r="4104">
          <cell r="B4104" t="str">
            <v>RWTP-83|</v>
          </cell>
          <cell r="C4104" t="str">
            <v>YV3T7U523NA207995</v>
          </cell>
          <cell r="D4104">
            <v>552881</v>
          </cell>
          <cell r="E4104" t="str">
            <v>Volvo</v>
          </cell>
          <cell r="F4104" t="str">
            <v>B8RLEA</v>
          </cell>
          <cell r="G4104" t="str">
            <v>MARCOPOLO</v>
          </cell>
          <cell r="H4104" t="str">
            <v>GRAN VIALE</v>
          </cell>
          <cell r="I4104">
            <v>2022</v>
          </cell>
          <cell r="J4104" t="str">
            <v>C</v>
          </cell>
          <cell r="K4104" t="str">
            <v>PIE ANDINO</v>
          </cell>
          <cell r="L4104" t="str">
            <v>Pie Andino 31 (Pie Andino 383)</v>
          </cell>
          <cell r="M4104" t="str">
            <v>Puente Alto</v>
          </cell>
          <cell r="N4104" t="str">
            <v>C</v>
          </cell>
        </row>
        <row r="4105">
          <cell r="B4105" t="str">
            <v>RWTP-84|</v>
          </cell>
          <cell r="C4105" t="str">
            <v>YV3T7U521NA207834</v>
          </cell>
          <cell r="D4105">
            <v>550630</v>
          </cell>
          <cell r="E4105" t="str">
            <v>Volvo</v>
          </cell>
          <cell r="F4105" t="str">
            <v>B8RLEA</v>
          </cell>
          <cell r="G4105" t="str">
            <v>MARCOPOLO</v>
          </cell>
          <cell r="H4105" t="str">
            <v>GRAN VIALE</v>
          </cell>
          <cell r="I4105">
            <v>2022</v>
          </cell>
          <cell r="J4105" t="str">
            <v>C</v>
          </cell>
          <cell r="K4105" t="str">
            <v>SAN ALFONSO</v>
          </cell>
          <cell r="L4105" t="str">
            <v>San Alfonso 2141 (Ramón Subercaseaux 3060)</v>
          </cell>
          <cell r="M4105" t="str">
            <v>Estacion Central</v>
          </cell>
          <cell r="N4105" t="str">
            <v>C</v>
          </cell>
        </row>
        <row r="4106">
          <cell r="B4106" t="str">
            <v>RWTP-85|</v>
          </cell>
          <cell r="C4106" t="str">
            <v>YV3T7U529NA207967</v>
          </cell>
          <cell r="D4106">
            <v>552303</v>
          </cell>
          <cell r="E4106" t="str">
            <v>Volvo</v>
          </cell>
          <cell r="F4106" t="str">
            <v>B8RLEA</v>
          </cell>
          <cell r="G4106" t="str">
            <v>MARCOPOLO</v>
          </cell>
          <cell r="H4106" t="str">
            <v>GRAN VIALE</v>
          </cell>
          <cell r="I4106">
            <v>2022</v>
          </cell>
          <cell r="J4106" t="str">
            <v>C</v>
          </cell>
          <cell r="K4106" t="str">
            <v>PIE ANDINO</v>
          </cell>
          <cell r="L4106" t="str">
            <v>Pie Andino 31 (Pie Andino 383)</v>
          </cell>
          <cell r="M4106" t="str">
            <v>Puente Alto</v>
          </cell>
          <cell r="N4106" t="str">
            <v>C</v>
          </cell>
        </row>
        <row r="4107">
          <cell r="B4107" t="str">
            <v>RWTP-86|</v>
          </cell>
          <cell r="C4107" t="str">
            <v>YV3T7U528NA207930</v>
          </cell>
          <cell r="D4107">
            <v>551701</v>
          </cell>
          <cell r="E4107" t="str">
            <v>Volvo</v>
          </cell>
          <cell r="F4107" t="str">
            <v>B8RLEA</v>
          </cell>
          <cell r="G4107" t="str">
            <v>MARCOPOLO</v>
          </cell>
          <cell r="H4107" t="str">
            <v>GRAN VIALE</v>
          </cell>
          <cell r="I4107">
            <v>2022</v>
          </cell>
          <cell r="J4107" t="str">
            <v>C</v>
          </cell>
          <cell r="K4107" t="str">
            <v>PIE ANDINO</v>
          </cell>
          <cell r="L4107" t="str">
            <v>Pie Andino 31 (Pie Andino 383)</v>
          </cell>
          <cell r="M4107" t="str">
            <v>Puente Alto</v>
          </cell>
          <cell r="N4107" t="str">
            <v>C</v>
          </cell>
        </row>
        <row r="4108">
          <cell r="B4108" t="str">
            <v>RWTP-87|</v>
          </cell>
          <cell r="C4108" t="str">
            <v>YV3T7U522NA207891</v>
          </cell>
          <cell r="D4108">
            <v>552373</v>
          </cell>
          <cell r="E4108" t="str">
            <v>Volvo</v>
          </cell>
          <cell r="F4108" t="str">
            <v>B8RLEA</v>
          </cell>
          <cell r="G4108" t="str">
            <v>MARCOPOLO</v>
          </cell>
          <cell r="H4108" t="str">
            <v>GRAN VIALE</v>
          </cell>
          <cell r="I4108">
            <v>2022</v>
          </cell>
          <cell r="J4108" t="str">
            <v>C</v>
          </cell>
          <cell r="K4108" t="str">
            <v>SAN ALFONSO</v>
          </cell>
          <cell r="L4108" t="str">
            <v>San Alfonso 2141 (Ramón Subercaseaux 3060)</v>
          </cell>
          <cell r="M4108" t="str">
            <v>Estacion Central</v>
          </cell>
          <cell r="N4108" t="str">
            <v>C</v>
          </cell>
        </row>
        <row r="4109">
          <cell r="B4109" t="str">
            <v>RWTP-88|</v>
          </cell>
          <cell r="C4109" t="str">
            <v>YV3T7U52XNA207881</v>
          </cell>
          <cell r="D4109">
            <v>552573</v>
          </cell>
          <cell r="E4109" t="str">
            <v>Volvo</v>
          </cell>
          <cell r="F4109" t="str">
            <v>B8RLEA</v>
          </cell>
          <cell r="G4109" t="str">
            <v>MARCOPOLO</v>
          </cell>
          <cell r="H4109" t="str">
            <v>GRAN VIALE</v>
          </cell>
          <cell r="I4109">
            <v>2022</v>
          </cell>
          <cell r="J4109" t="str">
            <v>C</v>
          </cell>
          <cell r="K4109" t="str">
            <v>SAN ALFONSO</v>
          </cell>
          <cell r="L4109" t="str">
            <v>San Alfonso 2141 (Ramón Subercaseaux 3060)</v>
          </cell>
          <cell r="M4109" t="str">
            <v>Estacion Central</v>
          </cell>
          <cell r="N4109" t="str">
            <v>C</v>
          </cell>
        </row>
        <row r="4110">
          <cell r="B4110" t="str">
            <v>RWTP-89|</v>
          </cell>
          <cell r="C4110" t="str">
            <v>YV3T7U527NA207837</v>
          </cell>
          <cell r="D4110">
            <v>550568</v>
          </cell>
          <cell r="E4110" t="str">
            <v>Volvo</v>
          </cell>
          <cell r="F4110" t="str">
            <v>B8RLEA</v>
          </cell>
          <cell r="G4110" t="str">
            <v>MARCOPOLO</v>
          </cell>
          <cell r="H4110" t="str">
            <v>GRAN VIALE</v>
          </cell>
          <cell r="I4110">
            <v>2022</v>
          </cell>
          <cell r="J4110" t="str">
            <v>C</v>
          </cell>
          <cell r="K4110" t="str">
            <v>SAN ALFONSO</v>
          </cell>
          <cell r="L4110" t="str">
            <v>San Alfonso 2141 (Ramón Subercaseaux 3060)</v>
          </cell>
          <cell r="M4110" t="str">
            <v>Estacion Central</v>
          </cell>
          <cell r="N4110" t="str">
            <v>C</v>
          </cell>
        </row>
        <row r="4111">
          <cell r="B4111" t="str">
            <v>RWTP-90|</v>
          </cell>
          <cell r="C4111" t="str">
            <v>YV3T7U527NA207935</v>
          </cell>
          <cell r="D4111">
            <v>551734</v>
          </cell>
          <cell r="E4111" t="str">
            <v>Volvo</v>
          </cell>
          <cell r="F4111" t="str">
            <v>B8RLEA</v>
          </cell>
          <cell r="G4111" t="str">
            <v>MARCOPOLO</v>
          </cell>
          <cell r="H4111" t="str">
            <v>GRAN VIALE</v>
          </cell>
          <cell r="I4111">
            <v>2022</v>
          </cell>
          <cell r="J4111" t="str">
            <v>C</v>
          </cell>
          <cell r="K4111" t="str">
            <v>PIE ANDINO</v>
          </cell>
          <cell r="L4111" t="str">
            <v>Pie Andino 31 (Pie Andino 383)</v>
          </cell>
          <cell r="M4111" t="str">
            <v>Puente Alto</v>
          </cell>
          <cell r="N4111" t="str">
            <v>C</v>
          </cell>
        </row>
        <row r="4112">
          <cell r="B4112" t="str">
            <v>RWTP-91|</v>
          </cell>
          <cell r="C4112" t="str">
            <v>YV3T7U524NA207892</v>
          </cell>
          <cell r="D4112">
            <v>552393</v>
          </cell>
          <cell r="E4112" t="str">
            <v>Volvo</v>
          </cell>
          <cell r="F4112" t="str">
            <v>B8RLEA</v>
          </cell>
          <cell r="G4112" t="str">
            <v>MARCOPOLO</v>
          </cell>
          <cell r="H4112" t="str">
            <v>GRAN VIALE</v>
          </cell>
          <cell r="I4112">
            <v>2022</v>
          </cell>
          <cell r="J4112" t="str">
            <v>C</v>
          </cell>
          <cell r="K4112" t="str">
            <v>SAN ALFONSO</v>
          </cell>
          <cell r="L4112" t="str">
            <v>San Alfonso 2141 (Ramón Subercaseaux 3060)</v>
          </cell>
          <cell r="M4112" t="str">
            <v>Estacion Central</v>
          </cell>
          <cell r="N4112" t="str">
            <v>C</v>
          </cell>
        </row>
        <row r="4113">
          <cell r="B4113" t="str">
            <v>RWTP-92|</v>
          </cell>
          <cell r="C4113" t="str">
            <v>YV3T7U523NA207835</v>
          </cell>
          <cell r="D4113">
            <v>550593</v>
          </cell>
          <cell r="E4113" t="str">
            <v>Volvo</v>
          </cell>
          <cell r="F4113" t="str">
            <v>B8RLEA</v>
          </cell>
          <cell r="G4113" t="str">
            <v>MARCOPOLO</v>
          </cell>
          <cell r="H4113" t="str">
            <v>GRAN VIALE</v>
          </cell>
          <cell r="I4113">
            <v>2022</v>
          </cell>
          <cell r="J4113" t="str">
            <v>C</v>
          </cell>
          <cell r="K4113" t="str">
            <v>SAN ALFONSO</v>
          </cell>
          <cell r="L4113" t="str">
            <v>San Alfonso 2141 (Ramón Subercaseaux 3060)</v>
          </cell>
          <cell r="M4113" t="str">
            <v>Estacion Central</v>
          </cell>
          <cell r="N4113" t="str">
            <v>C</v>
          </cell>
        </row>
        <row r="4114">
          <cell r="B4114" t="str">
            <v>RWTP-93|</v>
          </cell>
          <cell r="C4114" t="str">
            <v>YV3T7U52XNA207833</v>
          </cell>
          <cell r="D4114">
            <v>550451</v>
          </cell>
          <cell r="E4114" t="str">
            <v>Volvo</v>
          </cell>
          <cell r="F4114" t="str">
            <v>B8RLEA</v>
          </cell>
          <cell r="G4114" t="str">
            <v>MARCOPOLO</v>
          </cell>
          <cell r="H4114" t="str">
            <v>GRAN VIALE</v>
          </cell>
          <cell r="I4114">
            <v>2022</v>
          </cell>
          <cell r="J4114" t="str">
            <v>C</v>
          </cell>
          <cell r="K4114" t="str">
            <v>SAN ALFONSO</v>
          </cell>
          <cell r="L4114" t="str">
            <v>San Alfonso 2141 (Ramón Subercaseaux 3060)</v>
          </cell>
          <cell r="M4114" t="str">
            <v>Estacion Central</v>
          </cell>
          <cell r="N4114" t="str">
            <v>C</v>
          </cell>
        </row>
        <row r="4115">
          <cell r="B4115" t="str">
            <v>RWTP-94|</v>
          </cell>
          <cell r="C4115" t="str">
            <v>YV3T7U520NA207937</v>
          </cell>
          <cell r="D4115">
            <v>551900</v>
          </cell>
          <cell r="E4115" t="str">
            <v>Volvo</v>
          </cell>
          <cell r="F4115" t="str">
            <v>B8RLEA</v>
          </cell>
          <cell r="G4115" t="str">
            <v>MARCOPOLO</v>
          </cell>
          <cell r="H4115" t="str">
            <v>GRAN VIALE</v>
          </cell>
          <cell r="I4115">
            <v>2022</v>
          </cell>
          <cell r="J4115" t="str">
            <v>C</v>
          </cell>
          <cell r="K4115" t="str">
            <v>PIE ANDINO</v>
          </cell>
          <cell r="L4115" t="str">
            <v>Pie Andino 31 (Pie Andino 383)</v>
          </cell>
          <cell r="M4115" t="str">
            <v>Puente Alto</v>
          </cell>
          <cell r="N4115" t="str">
            <v>C</v>
          </cell>
        </row>
        <row r="4116">
          <cell r="B4116" t="str">
            <v>RWTP-95|</v>
          </cell>
          <cell r="C4116" t="str">
            <v>YV3T7U523NA207978</v>
          </cell>
          <cell r="D4116">
            <v>553953</v>
          </cell>
          <cell r="E4116" t="str">
            <v>Volvo</v>
          </cell>
          <cell r="F4116" t="str">
            <v>B8RLEA</v>
          </cell>
          <cell r="G4116" t="str">
            <v>MARCOPOLO</v>
          </cell>
          <cell r="H4116" t="str">
            <v>GRAN VIALE</v>
          </cell>
          <cell r="I4116">
            <v>2022</v>
          </cell>
          <cell r="J4116" t="str">
            <v>C</v>
          </cell>
          <cell r="K4116" t="str">
            <v>PIE ANDINO</v>
          </cell>
          <cell r="L4116" t="str">
            <v>Pie Andino 31 (Pie Andino 383)</v>
          </cell>
          <cell r="M4116" t="str">
            <v>Puente Alto</v>
          </cell>
          <cell r="N4116" t="str">
            <v>C</v>
          </cell>
        </row>
        <row r="4117">
          <cell r="B4117" t="str">
            <v>RWTP-96|</v>
          </cell>
          <cell r="C4117" t="str">
            <v>YV3T7U525NA207934</v>
          </cell>
          <cell r="D4117">
            <v>551716</v>
          </cell>
          <cell r="E4117" t="str">
            <v>Volvo</v>
          </cell>
          <cell r="F4117" t="str">
            <v>B8RLEA</v>
          </cell>
          <cell r="G4117" t="str">
            <v>MARCOPOLO</v>
          </cell>
          <cell r="H4117" t="str">
            <v>GRAN VIALE</v>
          </cell>
          <cell r="I4117">
            <v>2022</v>
          </cell>
          <cell r="J4117" t="str">
            <v>C</v>
          </cell>
          <cell r="K4117" t="str">
            <v>PIE ANDINO</v>
          </cell>
          <cell r="L4117" t="str">
            <v>Pie Andino 31 (Pie Andino 383)</v>
          </cell>
          <cell r="M4117" t="str">
            <v>Puente Alto</v>
          </cell>
          <cell r="N4117" t="str">
            <v>C</v>
          </cell>
        </row>
        <row r="4118">
          <cell r="B4118" t="str">
            <v>RWTP-97|</v>
          </cell>
          <cell r="C4118" t="str">
            <v>YV3T7U523NA207933</v>
          </cell>
          <cell r="D4118">
            <v>551695</v>
          </cell>
          <cell r="E4118" t="str">
            <v>Volvo</v>
          </cell>
          <cell r="F4118" t="str">
            <v>B8RLEA</v>
          </cell>
          <cell r="G4118" t="str">
            <v>MARCOPOLO</v>
          </cell>
          <cell r="H4118" t="str">
            <v>GRAN VIALE</v>
          </cell>
          <cell r="I4118">
            <v>2022</v>
          </cell>
          <cell r="J4118" t="str">
            <v>C</v>
          </cell>
          <cell r="K4118" t="str">
            <v>PIE ANDINO</v>
          </cell>
          <cell r="L4118" t="str">
            <v>Pie Andino 31 (Pie Andino 383)</v>
          </cell>
          <cell r="M4118" t="str">
            <v>Puente Alto</v>
          </cell>
          <cell r="N4118" t="str">
            <v>C</v>
          </cell>
        </row>
        <row r="4119">
          <cell r="B4119" t="str">
            <v>RWTP-98|</v>
          </cell>
          <cell r="C4119" t="str">
            <v>YV3T7U521NA207932</v>
          </cell>
          <cell r="D4119">
            <v>551682</v>
          </cell>
          <cell r="E4119" t="str">
            <v>Volvo</v>
          </cell>
          <cell r="F4119" t="str">
            <v>B8RLEA</v>
          </cell>
          <cell r="G4119" t="str">
            <v>MARCOPOLO</v>
          </cell>
          <cell r="H4119" t="str">
            <v>GRAN VIALE</v>
          </cell>
          <cell r="I4119">
            <v>2022</v>
          </cell>
          <cell r="J4119" t="str">
            <v>C</v>
          </cell>
          <cell r="K4119" t="str">
            <v>PIE ANDINO</v>
          </cell>
          <cell r="L4119" t="str">
            <v>Pie Andino 31 (Pie Andino 383)</v>
          </cell>
          <cell r="M4119" t="str">
            <v>Puente Alto</v>
          </cell>
          <cell r="N4119" t="str">
            <v>C</v>
          </cell>
        </row>
        <row r="4120">
          <cell r="B4120" t="str">
            <v>RWTP-99|</v>
          </cell>
          <cell r="C4120" t="str">
            <v>YV3T7U52XNA207931</v>
          </cell>
          <cell r="D4120">
            <v>551698</v>
          </cell>
          <cell r="E4120" t="str">
            <v>Volvo</v>
          </cell>
          <cell r="F4120" t="str">
            <v>B8RLEA</v>
          </cell>
          <cell r="G4120" t="str">
            <v>MARCOPOLO</v>
          </cell>
          <cell r="H4120" t="str">
            <v>GRAN VIALE</v>
          </cell>
          <cell r="I4120">
            <v>2022</v>
          </cell>
          <cell r="J4120" t="str">
            <v>C</v>
          </cell>
          <cell r="K4120" t="str">
            <v>PIE ANDINO</v>
          </cell>
          <cell r="L4120" t="str">
            <v>Pie Andino 31 (Pie Andino 383)</v>
          </cell>
          <cell r="M4120" t="str">
            <v>Puente Alto</v>
          </cell>
          <cell r="N4120" t="str">
            <v>C</v>
          </cell>
        </row>
        <row r="4121">
          <cell r="B4121" t="str">
            <v>RWTR-10|</v>
          </cell>
          <cell r="C4121" t="str">
            <v>YV3T7U52XNA207928</v>
          </cell>
          <cell r="D4121">
            <v>551645</v>
          </cell>
          <cell r="E4121" t="str">
            <v>Volvo</v>
          </cell>
          <cell r="F4121" t="str">
            <v>B8RLEA</v>
          </cell>
          <cell r="G4121" t="str">
            <v>MARCOPOLO</v>
          </cell>
          <cell r="H4121" t="str">
            <v>GRAN VIALE</v>
          </cell>
          <cell r="I4121">
            <v>2022</v>
          </cell>
          <cell r="J4121" t="str">
            <v>C</v>
          </cell>
          <cell r="K4121" t="str">
            <v>SAN ALFONSO</v>
          </cell>
          <cell r="L4121" t="str">
            <v>San Alfonso 2141 (Ramón Subercaseaux 3060)</v>
          </cell>
          <cell r="M4121" t="str">
            <v>Estacion Central</v>
          </cell>
          <cell r="N4121" t="str">
            <v>C</v>
          </cell>
        </row>
        <row r="4122">
          <cell r="B4122" t="str">
            <v>RWTR-11|</v>
          </cell>
          <cell r="C4122" t="str">
            <v>YV3T7U528NA207927</v>
          </cell>
          <cell r="D4122">
            <v>551661</v>
          </cell>
          <cell r="E4122" t="str">
            <v>Volvo</v>
          </cell>
          <cell r="F4122" t="str">
            <v>B8RLEA</v>
          </cell>
          <cell r="G4122" t="str">
            <v>MARCOPOLO</v>
          </cell>
          <cell r="H4122" t="str">
            <v>GRAN VIALE</v>
          </cell>
          <cell r="I4122">
            <v>2022</v>
          </cell>
          <cell r="J4122" t="str">
            <v>C</v>
          </cell>
          <cell r="K4122" t="str">
            <v>SAN ALFONSO</v>
          </cell>
          <cell r="L4122" t="str">
            <v>San Alfonso 2141 (Ramón Subercaseaux 3060)</v>
          </cell>
          <cell r="M4122" t="str">
            <v>Estacion Central</v>
          </cell>
          <cell r="N4122" t="str">
            <v>C</v>
          </cell>
        </row>
        <row r="4123">
          <cell r="B4123" t="str">
            <v>RYJG-90|</v>
          </cell>
          <cell r="C4123" t="str">
            <v>YV3T7U521NA208143</v>
          </cell>
          <cell r="D4123">
            <v>554610</v>
          </cell>
          <cell r="E4123" t="str">
            <v>Volvo</v>
          </cell>
          <cell r="F4123" t="str">
            <v>B8RLEA</v>
          </cell>
          <cell r="G4123" t="str">
            <v>MARCOPOLO</v>
          </cell>
          <cell r="H4123" t="str">
            <v>GRAN VIALE</v>
          </cell>
          <cell r="I4123">
            <v>2022</v>
          </cell>
          <cell r="J4123" t="str">
            <v>C</v>
          </cell>
          <cell r="K4123" t="str">
            <v>PIE ANDINO</v>
          </cell>
          <cell r="L4123" t="str">
            <v>Pie Andino 31 (Pie Andino 383)</v>
          </cell>
          <cell r="M4123" t="str">
            <v>Puente Alto</v>
          </cell>
          <cell r="N4123" t="str">
            <v>C</v>
          </cell>
        </row>
        <row r="4124">
          <cell r="B4124" t="str">
            <v>RYJG-91|</v>
          </cell>
          <cell r="C4124" t="str">
            <v>YV3T7U523NA208144</v>
          </cell>
          <cell r="D4124">
            <v>554682</v>
          </cell>
          <cell r="E4124" t="str">
            <v>Volvo</v>
          </cell>
          <cell r="F4124" t="str">
            <v>B8RLEA</v>
          </cell>
          <cell r="G4124" t="str">
            <v>MARCOPOLO</v>
          </cell>
          <cell r="H4124" t="str">
            <v>GRAN VIALE</v>
          </cell>
          <cell r="I4124">
            <v>2022</v>
          </cell>
          <cell r="J4124" t="str">
            <v>C</v>
          </cell>
          <cell r="K4124" t="str">
            <v>PIE ANDINO</v>
          </cell>
          <cell r="L4124" t="str">
            <v>Pie Andino 31 (Pie Andino 383)</v>
          </cell>
          <cell r="M4124" t="str">
            <v>Puente Alto</v>
          </cell>
          <cell r="N4124" t="str">
            <v>C</v>
          </cell>
        </row>
        <row r="4125">
          <cell r="B4125" t="str">
            <v>RYJG-92|</v>
          </cell>
          <cell r="C4125" t="str">
            <v>YV3T7U522NA208152</v>
          </cell>
          <cell r="D4125">
            <v>554694</v>
          </cell>
          <cell r="E4125" t="str">
            <v>Volvo</v>
          </cell>
          <cell r="F4125" t="str">
            <v>B8RLEA</v>
          </cell>
          <cell r="G4125" t="str">
            <v>MARCOPOLO</v>
          </cell>
          <cell r="H4125" t="str">
            <v>GRAN VIALE</v>
          </cell>
          <cell r="I4125">
            <v>2022</v>
          </cell>
          <cell r="J4125" t="str">
            <v>C</v>
          </cell>
          <cell r="K4125" t="str">
            <v>SAN ALFONSO</v>
          </cell>
          <cell r="L4125" t="str">
            <v>San Alfonso 2141 (Ramón Subercaseaux 3060)</v>
          </cell>
          <cell r="M4125" t="str">
            <v>Estacion Central</v>
          </cell>
          <cell r="N4125" t="str">
            <v>C</v>
          </cell>
        </row>
        <row r="4126">
          <cell r="B4126" t="str">
            <v>RYJG-93|</v>
          </cell>
          <cell r="C4126" t="str">
            <v>YV3T7U527NA208163</v>
          </cell>
          <cell r="D4126">
            <v>555374</v>
          </cell>
          <cell r="E4126" t="str">
            <v>Volvo</v>
          </cell>
          <cell r="F4126" t="str">
            <v>B8RLEA</v>
          </cell>
          <cell r="G4126" t="str">
            <v>MARCOPOLO</v>
          </cell>
          <cell r="H4126" t="str">
            <v>GRAN VIALE</v>
          </cell>
          <cell r="I4126">
            <v>2022</v>
          </cell>
          <cell r="J4126" t="str">
            <v>C</v>
          </cell>
          <cell r="K4126" t="str">
            <v>SAN ALFONSO</v>
          </cell>
          <cell r="L4126" t="str">
            <v>San Alfonso 2141 (Ramón Subercaseaux 3060)</v>
          </cell>
          <cell r="M4126" t="str">
            <v>Estacion Central</v>
          </cell>
          <cell r="N4126" t="str">
            <v>C</v>
          </cell>
        </row>
        <row r="4127">
          <cell r="B4127" t="str">
            <v>RYJG-94|</v>
          </cell>
          <cell r="C4127" t="str">
            <v>YV3T7U528NA208169</v>
          </cell>
          <cell r="D4127">
            <v>555138</v>
          </cell>
          <cell r="E4127" t="str">
            <v>Volvo</v>
          </cell>
          <cell r="F4127" t="str">
            <v>B8RLEA</v>
          </cell>
          <cell r="G4127" t="str">
            <v>MARCOPOLO</v>
          </cell>
          <cell r="H4127" t="str">
            <v>GRAN VIALE</v>
          </cell>
          <cell r="I4127">
            <v>2022</v>
          </cell>
          <cell r="J4127" t="str">
            <v>C</v>
          </cell>
          <cell r="K4127" t="str">
            <v>SAN ALFONSO</v>
          </cell>
          <cell r="L4127" t="str">
            <v>San Alfonso 2141 (Ramón Subercaseaux 3060)</v>
          </cell>
          <cell r="M4127" t="str">
            <v>Estacion Central</v>
          </cell>
          <cell r="N4127" t="str">
            <v>C</v>
          </cell>
        </row>
        <row r="4128">
          <cell r="B4128" t="str">
            <v>RYJG-95|</v>
          </cell>
          <cell r="C4128" t="str">
            <v>YV3T7U525NA208193</v>
          </cell>
          <cell r="D4128">
            <v>555050</v>
          </cell>
          <cell r="E4128" t="str">
            <v>Volvo</v>
          </cell>
          <cell r="F4128" t="str">
            <v>B8RLEA</v>
          </cell>
          <cell r="G4128" t="str">
            <v>MARCOPOLO</v>
          </cell>
          <cell r="H4128" t="str">
            <v>GRAN VIALE</v>
          </cell>
          <cell r="I4128">
            <v>2022</v>
          </cell>
          <cell r="J4128" t="str">
            <v>C</v>
          </cell>
          <cell r="K4128" t="str">
            <v>SAN ALFONSO</v>
          </cell>
          <cell r="L4128" t="str">
            <v>San Alfonso 2141 (Ramón Subercaseaux 3060)</v>
          </cell>
          <cell r="M4128" t="str">
            <v>Estacion Central</v>
          </cell>
          <cell r="N4128" t="str">
            <v>C</v>
          </cell>
        </row>
        <row r="4129">
          <cell r="B4129" t="str">
            <v>SXKV-87|</v>
          </cell>
          <cell r="C4129" t="str">
            <v>YV3T7U529RA212110</v>
          </cell>
          <cell r="D4129">
            <v>593684</v>
          </cell>
          <cell r="E4129" t="str">
            <v>Volvo</v>
          </cell>
          <cell r="F4129" t="str">
            <v>B8RLEA</v>
          </cell>
          <cell r="G4129" t="str">
            <v>MARCOPOLO</v>
          </cell>
          <cell r="H4129" t="str">
            <v>GRAN VIALE</v>
          </cell>
          <cell r="I4129">
            <v>2023</v>
          </cell>
          <cell r="J4129" t="str">
            <v>C</v>
          </cell>
          <cell r="K4129" t="str">
            <v>SAN ALFONSO</v>
          </cell>
          <cell r="L4129" t="str">
            <v>San Alfonso 2141 (Ramón Subercaseaux 3060)</v>
          </cell>
          <cell r="M4129" t="str">
            <v>Estacion Central</v>
          </cell>
          <cell r="N4129" t="str">
            <v>C</v>
          </cell>
        </row>
        <row r="4130">
          <cell r="B4130" t="str">
            <v>SXKV-88|</v>
          </cell>
          <cell r="C4130" t="str">
            <v>YV3T7U522RA212109</v>
          </cell>
          <cell r="D4130">
            <v>593717</v>
          </cell>
          <cell r="E4130" t="str">
            <v>Volvo</v>
          </cell>
          <cell r="F4130" t="str">
            <v>B8RLEA</v>
          </cell>
          <cell r="G4130" t="str">
            <v>MARCOPOLO</v>
          </cell>
          <cell r="H4130" t="str">
            <v>GRAN VIALE</v>
          </cell>
          <cell r="I4130">
            <v>2023</v>
          </cell>
          <cell r="J4130" t="str">
            <v>C</v>
          </cell>
          <cell r="K4130" t="str">
            <v>SAN ALFONSO</v>
          </cell>
          <cell r="L4130" t="str">
            <v>San Alfonso 2141 (Ramón Subercaseaux 3060)</v>
          </cell>
          <cell r="M4130" t="str">
            <v>Estacion Central</v>
          </cell>
          <cell r="N4130" t="str">
            <v>C</v>
          </cell>
        </row>
        <row r="4131">
          <cell r="B4131" t="str">
            <v>SXKV-89|</v>
          </cell>
          <cell r="C4131" t="str">
            <v>YV3T7U521RA211954</v>
          </cell>
          <cell r="D4131">
            <v>592427</v>
          </cell>
          <cell r="E4131" t="str">
            <v>Volvo</v>
          </cell>
          <cell r="F4131" t="str">
            <v>B8RLEA</v>
          </cell>
          <cell r="G4131" t="str">
            <v>MARCOPOLO</v>
          </cell>
          <cell r="H4131" t="str">
            <v>GRAN VIALE</v>
          </cell>
          <cell r="I4131">
            <v>2023</v>
          </cell>
          <cell r="J4131" t="str">
            <v>C</v>
          </cell>
          <cell r="K4131" t="str">
            <v>SAN ALFONSO</v>
          </cell>
          <cell r="L4131" t="str">
            <v>San Alfonso 2141 (Ramón Subercaseaux 3060)</v>
          </cell>
          <cell r="M4131" t="str">
            <v>Estacion Central</v>
          </cell>
          <cell r="N4131" t="str">
            <v>C</v>
          </cell>
        </row>
        <row r="4132">
          <cell r="B4132" t="str">
            <v>SXKV-90|</v>
          </cell>
          <cell r="C4132" t="str">
            <v>YV3T7U527RA211988</v>
          </cell>
          <cell r="D4132">
            <v>593907</v>
          </cell>
          <cell r="E4132" t="str">
            <v>Volvo</v>
          </cell>
          <cell r="F4132" t="str">
            <v>B8RLEA</v>
          </cell>
          <cell r="G4132" t="str">
            <v>MARCOPOLO</v>
          </cell>
          <cell r="H4132" t="str">
            <v>GRAN VIALE</v>
          </cell>
          <cell r="I4132">
            <v>2023</v>
          </cell>
          <cell r="J4132" t="str">
            <v>C</v>
          </cell>
          <cell r="K4132" t="str">
            <v>SAN ALFONSO</v>
          </cell>
          <cell r="L4132" t="str">
            <v>San Alfonso 2141 (Ramón Subercaseaux 3060)</v>
          </cell>
          <cell r="M4132" t="str">
            <v>Estacion Central</v>
          </cell>
          <cell r="N4132" t="str">
            <v>C</v>
          </cell>
        </row>
        <row r="4133">
          <cell r="B4133" t="str">
            <v>SXKV-91|</v>
          </cell>
          <cell r="C4133" t="str">
            <v>YV3T7U529RA211989</v>
          </cell>
          <cell r="D4133">
            <v>593887</v>
          </cell>
          <cell r="E4133" t="str">
            <v>Volvo</v>
          </cell>
          <cell r="F4133" t="str">
            <v>B8RLEA</v>
          </cell>
          <cell r="G4133" t="str">
            <v>MARCOPOLO</v>
          </cell>
          <cell r="H4133" t="str">
            <v>GRAN VIALE</v>
          </cell>
          <cell r="I4133">
            <v>2023</v>
          </cell>
          <cell r="J4133" t="str">
            <v>C</v>
          </cell>
          <cell r="K4133" t="str">
            <v>SAN ALFONSO</v>
          </cell>
          <cell r="L4133" t="str">
            <v>San Alfonso 2141 (Ramón Subercaseaux 3060)</v>
          </cell>
          <cell r="M4133" t="str">
            <v>Estacion Central</v>
          </cell>
          <cell r="N4133" t="str">
            <v>C</v>
          </cell>
        </row>
        <row r="4134">
          <cell r="B4134" t="str">
            <v>SXKV-92|</v>
          </cell>
          <cell r="C4134" t="str">
            <v>YV3T7U525RA211990</v>
          </cell>
          <cell r="D4134">
            <v>593899</v>
          </cell>
          <cell r="E4134" t="str">
            <v>Volvo</v>
          </cell>
          <cell r="F4134" t="str">
            <v>B8RLEA</v>
          </cell>
          <cell r="G4134" t="str">
            <v>MARCOPOLO</v>
          </cell>
          <cell r="H4134" t="str">
            <v>GRAN VIALE</v>
          </cell>
          <cell r="I4134">
            <v>2023</v>
          </cell>
          <cell r="J4134" t="str">
            <v>C</v>
          </cell>
          <cell r="K4134" t="str">
            <v>SAN ALFONSO</v>
          </cell>
          <cell r="L4134" t="str">
            <v>San Alfonso 2141 (Ramón Subercaseaux 3060)</v>
          </cell>
          <cell r="M4134" t="str">
            <v>Estacion Central</v>
          </cell>
          <cell r="N4134" t="str">
            <v>C</v>
          </cell>
        </row>
        <row r="4135">
          <cell r="B4135" t="str">
            <v>SXKV-93|</v>
          </cell>
          <cell r="C4135" t="str">
            <v>YV3T7U527RA211991</v>
          </cell>
          <cell r="D4135">
            <v>593420</v>
          </cell>
          <cell r="E4135" t="str">
            <v>Volvo</v>
          </cell>
          <cell r="F4135" t="str">
            <v>B8RLEA</v>
          </cell>
          <cell r="G4135" t="str">
            <v>MARCOPOLO</v>
          </cell>
          <cell r="H4135" t="str">
            <v>GRAN VIALE</v>
          </cell>
          <cell r="I4135">
            <v>2023</v>
          </cell>
          <cell r="J4135" t="str">
            <v>C</v>
          </cell>
          <cell r="K4135" t="str">
            <v>SAN ALFONSO</v>
          </cell>
          <cell r="L4135" t="str">
            <v>San Alfonso 2141 (Ramón Subercaseaux 3060)</v>
          </cell>
          <cell r="M4135" t="str">
            <v>Estacion Central</v>
          </cell>
          <cell r="N4135" t="str">
            <v>C</v>
          </cell>
        </row>
        <row r="4136">
          <cell r="B4136" t="str">
            <v>SXKV-94|</v>
          </cell>
          <cell r="C4136" t="str">
            <v>YV3T7U529RA211992</v>
          </cell>
          <cell r="D4136">
            <v>593506</v>
          </cell>
          <cell r="E4136" t="str">
            <v>Volvo</v>
          </cell>
          <cell r="F4136" t="str">
            <v>B8RLEA</v>
          </cell>
          <cell r="G4136" t="str">
            <v>MARCOPOLO</v>
          </cell>
          <cell r="H4136" t="str">
            <v>GRAN VIALE</v>
          </cell>
          <cell r="I4136">
            <v>2023</v>
          </cell>
          <cell r="J4136" t="str">
            <v>C</v>
          </cell>
          <cell r="K4136" t="str">
            <v>SAN ALFONSO</v>
          </cell>
          <cell r="L4136" t="str">
            <v>San Alfonso 2141 (Ramón Subercaseaux 3060)</v>
          </cell>
          <cell r="M4136" t="str">
            <v>Estacion Central</v>
          </cell>
          <cell r="N4136" t="str">
            <v>C</v>
          </cell>
        </row>
        <row r="4137">
          <cell r="B4137" t="str">
            <v>SXKV-95|</v>
          </cell>
          <cell r="C4137" t="str">
            <v>YV3T7U520RA211993</v>
          </cell>
          <cell r="D4137">
            <v>593418</v>
          </cell>
          <cell r="E4137" t="str">
            <v>Volvo</v>
          </cell>
          <cell r="F4137" t="str">
            <v>B8RLEA</v>
          </cell>
          <cell r="G4137" t="str">
            <v>MARCOPOLO</v>
          </cell>
          <cell r="H4137" t="str">
            <v>GRAN VIALE</v>
          </cell>
          <cell r="I4137">
            <v>2023</v>
          </cell>
          <cell r="J4137" t="str">
            <v>C</v>
          </cell>
          <cell r="K4137" t="str">
            <v>SAN ALFONSO</v>
          </cell>
          <cell r="L4137" t="str">
            <v>San Alfonso 2141 (Ramón Subercaseaux 3060)</v>
          </cell>
          <cell r="M4137" t="str">
            <v>Estacion Central</v>
          </cell>
          <cell r="N4137" t="str">
            <v>C</v>
          </cell>
        </row>
        <row r="4138">
          <cell r="B4138" t="str">
            <v>SXKV-96|</v>
          </cell>
          <cell r="C4138" t="str">
            <v>YV3T7U529RA212107</v>
          </cell>
          <cell r="D4138">
            <v>593145</v>
          </cell>
          <cell r="E4138" t="str">
            <v>Volvo</v>
          </cell>
          <cell r="F4138" t="str">
            <v>B8RLEA</v>
          </cell>
          <cell r="G4138" t="str">
            <v>MARCOPOLO</v>
          </cell>
          <cell r="H4138" t="str">
            <v>GRAN VIALE</v>
          </cell>
          <cell r="I4138">
            <v>2023</v>
          </cell>
          <cell r="J4138" t="str">
            <v>C</v>
          </cell>
          <cell r="K4138" t="str">
            <v>SAN ALFONSO</v>
          </cell>
          <cell r="L4138" t="str">
            <v>San Alfonso 2141 (Ramón Subercaseaux 3060)</v>
          </cell>
          <cell r="M4138" t="str">
            <v>Estacion Central</v>
          </cell>
          <cell r="N4138" t="str">
            <v>C</v>
          </cell>
        </row>
        <row r="4139">
          <cell r="B4139" t="str">
            <v>VFPB-75|</v>
          </cell>
          <cell r="C4139" t="str">
            <v>MDN35025020059</v>
          </cell>
          <cell r="D4139" t="str">
            <v>LDYECS312S0043986</v>
          </cell>
          <cell r="E4139" t="str">
            <v>Zhong Tong</v>
          </cell>
          <cell r="F4139" t="str">
            <v>Lck6122evg</v>
          </cell>
          <cell r="G4139" t="str">
            <v>ZHONGTONG</v>
          </cell>
          <cell r="H4139" t="str">
            <v>LCK6122EVG</v>
          </cell>
          <cell r="I4139">
            <v>2025</v>
          </cell>
          <cell r="J4139" t="str">
            <v>B</v>
          </cell>
          <cell r="K4139" t="str">
            <v>CERRILLOS</v>
          </cell>
          <cell r="L4139" t="str">
            <v>Calle Uno 7371</v>
          </cell>
          <cell r="M4139" t="str">
            <v>Cerrillos</v>
          </cell>
          <cell r="N4139" t="str">
            <v>B</v>
          </cell>
        </row>
        <row r="4140">
          <cell r="B4140" t="str">
            <v>VFPB-85|</v>
          </cell>
          <cell r="C4140" t="str">
            <v>MDN35025020068</v>
          </cell>
          <cell r="D4140" t="str">
            <v>LDYECS318S0044009</v>
          </cell>
          <cell r="E4140" t="str">
            <v>Zhong Tong</v>
          </cell>
          <cell r="F4140" t="str">
            <v>Lck6122evg</v>
          </cell>
          <cell r="G4140" t="str">
            <v>ZHONGTONG</v>
          </cell>
          <cell r="H4140" t="str">
            <v>LCK6122EVG</v>
          </cell>
          <cell r="I4140">
            <v>2025</v>
          </cell>
          <cell r="J4140" t="str">
            <v>B</v>
          </cell>
          <cell r="K4140" t="str">
            <v>PIE ANDINO</v>
          </cell>
          <cell r="L4140" t="str">
            <v>Pie Andino 31 (Pie Andino 383)</v>
          </cell>
          <cell r="M4140" t="str">
            <v>Puente Alto</v>
          </cell>
          <cell r="N4140" t="str">
            <v>B</v>
          </cell>
        </row>
        <row r="4141">
          <cell r="B4141" t="str">
            <v>VFPC-59|</v>
          </cell>
          <cell r="C4141" t="str">
            <v>MDN35025020104</v>
          </cell>
          <cell r="D4141" t="str">
            <v>LDYECS315S0044016</v>
          </cell>
          <cell r="E4141" t="str">
            <v>Zhong Tong</v>
          </cell>
          <cell r="F4141" t="str">
            <v>Lck6122evg</v>
          </cell>
          <cell r="G4141" t="str">
            <v>ZHONGTONG</v>
          </cell>
          <cell r="H4141" t="str">
            <v>LCK6122EVG</v>
          </cell>
          <cell r="I4141">
            <v>2025</v>
          </cell>
          <cell r="J4141" t="str">
            <v>B</v>
          </cell>
          <cell r="K4141" t="str">
            <v>SAN ALFONSO</v>
          </cell>
          <cell r="L4141" t="str">
            <v>San Alfonso 2141 (Ramón Subercaseaux 3060)</v>
          </cell>
          <cell r="M4141" t="str">
            <v>Estacion Central</v>
          </cell>
          <cell r="N4141" t="str">
            <v>B</v>
          </cell>
        </row>
        <row r="4142">
          <cell r="B4142" t="str">
            <v>VFPC-66|</v>
          </cell>
          <cell r="C4142" t="str">
            <v>MDN35025020124</v>
          </cell>
          <cell r="D4142" t="str">
            <v>LDYECS311S0044014</v>
          </cell>
          <cell r="E4142" t="str">
            <v>Zhong Tong</v>
          </cell>
          <cell r="F4142" t="str">
            <v>Lck6122evg</v>
          </cell>
          <cell r="G4142" t="str">
            <v>ZHONGTONG</v>
          </cell>
          <cell r="H4142" t="str">
            <v>LCK6122EVG</v>
          </cell>
          <cell r="I4142">
            <v>2025</v>
          </cell>
          <cell r="J4142" t="str">
            <v>B</v>
          </cell>
          <cell r="K4142" t="str">
            <v>SAN ALFONSO</v>
          </cell>
          <cell r="L4142" t="str">
            <v>San Alfonso 2141 (Ramón Subercaseaux 3060)</v>
          </cell>
          <cell r="M4142" t="str">
            <v>Estacion Central</v>
          </cell>
          <cell r="N4142" t="str">
            <v>B</v>
          </cell>
        </row>
        <row r="4143">
          <cell r="B4143" t="str">
            <v>VFPC-69|</v>
          </cell>
          <cell r="C4143" t="str">
            <v>MDN35025020027</v>
          </cell>
          <cell r="D4143" t="str">
            <v>LDYECS317S0044003</v>
          </cell>
          <cell r="E4143" t="str">
            <v>Zhong Tong</v>
          </cell>
          <cell r="F4143" t="str">
            <v>Lck6122evg</v>
          </cell>
          <cell r="G4143" t="str">
            <v>ZHONGTONG</v>
          </cell>
          <cell r="H4143" t="str">
            <v>LCK6122EVG</v>
          </cell>
          <cell r="I4143">
            <v>2025</v>
          </cell>
          <cell r="J4143" t="str">
            <v>B</v>
          </cell>
          <cell r="K4143" t="str">
            <v>PIE ANDINO</v>
          </cell>
          <cell r="L4143" t="str">
            <v>Pie Andino 31 (Pie Andino 383)</v>
          </cell>
          <cell r="M4143" t="str">
            <v>Puente Alto</v>
          </cell>
          <cell r="N4143" t="str">
            <v>B</v>
          </cell>
        </row>
        <row r="4144">
          <cell r="B4144" t="str">
            <v>VFPD-10|</v>
          </cell>
          <cell r="C4144" t="str">
            <v>MDN35025020086</v>
          </cell>
          <cell r="D4144" t="str">
            <v>LDYECS31XS0043976</v>
          </cell>
          <cell r="E4144" t="str">
            <v>Zhong Tong</v>
          </cell>
          <cell r="F4144" t="str">
            <v>Lck6122evg</v>
          </cell>
          <cell r="G4144" t="str">
            <v>ZHONGTONG</v>
          </cell>
          <cell r="H4144" t="str">
            <v>LCK6122EVG</v>
          </cell>
          <cell r="I4144">
            <v>2025</v>
          </cell>
          <cell r="J4144" t="str">
            <v>B</v>
          </cell>
          <cell r="K4144" t="str">
            <v>CERRILLOS</v>
          </cell>
          <cell r="L4144" t="str">
            <v>Calle Uno 7371</v>
          </cell>
          <cell r="M4144" t="str">
            <v>Cerrillos</v>
          </cell>
          <cell r="N4144" t="str">
            <v>B</v>
          </cell>
        </row>
        <row r="4145">
          <cell r="B4145" t="str">
            <v>VFPD-41|</v>
          </cell>
          <cell r="C4145" t="str">
            <v>MDN35025020119</v>
          </cell>
          <cell r="D4145" t="str">
            <v>LDYECS313S0043981</v>
          </cell>
          <cell r="E4145" t="str">
            <v>Zhong Tong</v>
          </cell>
          <cell r="F4145" t="str">
            <v>Lck6122evg</v>
          </cell>
          <cell r="G4145" t="str">
            <v>ZHONGTONG</v>
          </cell>
          <cell r="H4145" t="str">
            <v>LCK6122EVG</v>
          </cell>
          <cell r="I4145">
            <v>2025</v>
          </cell>
          <cell r="J4145" t="str">
            <v>B</v>
          </cell>
          <cell r="K4145" t="str">
            <v>PIE ANDINO</v>
          </cell>
          <cell r="L4145" t="str">
            <v>Pie Andino 31 (Pie Andino 383)</v>
          </cell>
          <cell r="M4145" t="str">
            <v>Puente Alto</v>
          </cell>
          <cell r="N4145" t="str">
            <v>B</v>
          </cell>
        </row>
        <row r="4146">
          <cell r="B4146" t="str">
            <v>VFPD-51|</v>
          </cell>
          <cell r="C4146" t="str">
            <v>MDN35025020092</v>
          </cell>
          <cell r="D4146" t="str">
            <v>LDYECS319S0043998</v>
          </cell>
          <cell r="E4146" t="str">
            <v>Zhong Tong</v>
          </cell>
          <cell r="F4146" t="str">
            <v>Lck6122evg</v>
          </cell>
          <cell r="G4146" t="str">
            <v>ZHONGTONG</v>
          </cell>
          <cell r="H4146" t="str">
            <v>LCK6122EVG</v>
          </cell>
          <cell r="I4146">
            <v>2025</v>
          </cell>
          <cell r="J4146" t="str">
            <v>B</v>
          </cell>
          <cell r="K4146" t="str">
            <v>CERRILLOS</v>
          </cell>
          <cell r="L4146" t="str">
            <v>Calle Uno 7371</v>
          </cell>
          <cell r="M4146" t="str">
            <v>Cerrillos</v>
          </cell>
          <cell r="N4146" t="str">
            <v>B</v>
          </cell>
        </row>
        <row r="4147">
          <cell r="B4147" t="str">
            <v>VFPD-61|</v>
          </cell>
          <cell r="C4147" t="str">
            <v>MDN35025020153</v>
          </cell>
          <cell r="D4147" t="str">
            <v>LDYECS310S0043999</v>
          </cell>
          <cell r="E4147" t="str">
            <v>Zhong Tong</v>
          </cell>
          <cell r="F4147" t="str">
            <v>Lck6122evg</v>
          </cell>
          <cell r="G4147" t="str">
            <v>ZHONGTONG</v>
          </cell>
          <cell r="H4147" t="str">
            <v>LCK6122EVG</v>
          </cell>
          <cell r="I4147">
            <v>2025</v>
          </cell>
          <cell r="J4147" t="str">
            <v>B</v>
          </cell>
          <cell r="K4147" t="str">
            <v>CERRILLOS</v>
          </cell>
          <cell r="L4147" t="str">
            <v>Calle Uno 7371</v>
          </cell>
          <cell r="M4147" t="str">
            <v>Cerrillos</v>
          </cell>
          <cell r="N4147" t="str">
            <v>B</v>
          </cell>
        </row>
        <row r="4148">
          <cell r="B4148" t="str">
            <v>VFPD-71|</v>
          </cell>
          <cell r="C4148" t="str">
            <v>MDN35025010097</v>
          </cell>
          <cell r="D4148" t="str">
            <v>LDYECS318S0044110</v>
          </cell>
          <cell r="E4148" t="str">
            <v>Zhong Tong</v>
          </cell>
          <cell r="F4148" t="str">
            <v>Lck6122evg</v>
          </cell>
          <cell r="G4148" t="str">
            <v>ZHONGTONG</v>
          </cell>
          <cell r="H4148" t="str">
            <v>LCK6122EVG</v>
          </cell>
          <cell r="I4148">
            <v>2025</v>
          </cell>
          <cell r="J4148" t="str">
            <v>B</v>
          </cell>
          <cell r="K4148" t="str">
            <v>CERRILLOS</v>
          </cell>
          <cell r="L4148" t="str">
            <v>Calle Uno 7371</v>
          </cell>
          <cell r="M4148" t="str">
            <v>Cerrillos</v>
          </cell>
          <cell r="N4148" t="str">
            <v>B</v>
          </cell>
        </row>
        <row r="4149">
          <cell r="B4149" t="str">
            <v>VFPD-81|</v>
          </cell>
          <cell r="C4149" t="str">
            <v>MDN35025020026</v>
          </cell>
          <cell r="D4149" t="str">
            <v>LDYECS31XS0043993</v>
          </cell>
          <cell r="E4149" t="str">
            <v>Zhong Tong</v>
          </cell>
          <cell r="F4149" t="str">
            <v>Lck6122evg</v>
          </cell>
          <cell r="G4149" t="str">
            <v>ZHONGTONG</v>
          </cell>
          <cell r="H4149" t="str">
            <v>LCK6122EVG</v>
          </cell>
          <cell r="I4149">
            <v>2025</v>
          </cell>
          <cell r="J4149" t="str">
            <v>B</v>
          </cell>
          <cell r="K4149" t="str">
            <v>CERRILLOS</v>
          </cell>
          <cell r="L4149" t="str">
            <v>Calle Uno 7371</v>
          </cell>
          <cell r="M4149" t="str">
            <v>Cerrillos</v>
          </cell>
          <cell r="N4149" t="str">
            <v>B</v>
          </cell>
        </row>
        <row r="4150">
          <cell r="B4150" t="str">
            <v>VFPF-21|</v>
          </cell>
          <cell r="C4150" t="str">
            <v>MDN35025020048</v>
          </cell>
          <cell r="D4150" t="str">
            <v>LDYECS316S0043988</v>
          </cell>
          <cell r="E4150" t="str">
            <v>Zhong Tong</v>
          </cell>
          <cell r="F4150" t="str">
            <v>Lck6122evg</v>
          </cell>
          <cell r="G4150" t="str">
            <v>ZHONGTONG</v>
          </cell>
          <cell r="H4150" t="str">
            <v>LCK6122EVG</v>
          </cell>
          <cell r="I4150">
            <v>2025</v>
          </cell>
          <cell r="J4150" t="str">
            <v>B</v>
          </cell>
          <cell r="K4150" t="str">
            <v>PIE ANDINO</v>
          </cell>
          <cell r="L4150" t="str">
            <v>Pie Andino 31 (Pie Andino 383)</v>
          </cell>
          <cell r="M4150" t="str">
            <v>Puente Alto</v>
          </cell>
          <cell r="N4150" t="str">
            <v>B</v>
          </cell>
        </row>
        <row r="4151">
          <cell r="B4151" t="str">
            <v>VFPF-31|</v>
          </cell>
          <cell r="C4151" t="str">
            <v>MDN35025020053</v>
          </cell>
          <cell r="D4151" t="str">
            <v>LDYECS310S0043985</v>
          </cell>
          <cell r="E4151" t="str">
            <v>Zhong Tong</v>
          </cell>
          <cell r="F4151" t="str">
            <v>Lck6122evg</v>
          </cell>
          <cell r="G4151" t="str">
            <v>ZHONGTONG</v>
          </cell>
          <cell r="H4151" t="str">
            <v>LCK6122EVG</v>
          </cell>
          <cell r="I4151">
            <v>2025</v>
          </cell>
          <cell r="J4151" t="str">
            <v>B</v>
          </cell>
          <cell r="K4151" t="str">
            <v>CERRILLOS</v>
          </cell>
          <cell r="L4151" t="str">
            <v>Calle Uno 7371</v>
          </cell>
          <cell r="M4151" t="str">
            <v>Cerrillos</v>
          </cell>
          <cell r="N4151" t="str">
            <v>B</v>
          </cell>
        </row>
        <row r="4152">
          <cell r="B4152" t="str">
            <v>VFPF-51|</v>
          </cell>
          <cell r="C4152" t="str">
            <v>MDN35025020080</v>
          </cell>
          <cell r="D4152" t="str">
            <v>LDYECS314S0043990</v>
          </cell>
          <cell r="E4152" t="str">
            <v>Zhong Tong</v>
          </cell>
          <cell r="F4152" t="str">
            <v>Lck6122evg</v>
          </cell>
          <cell r="G4152" t="str">
            <v>ZHONGTONG</v>
          </cell>
          <cell r="H4152" t="str">
            <v>LCK6122EVG</v>
          </cell>
          <cell r="I4152">
            <v>2025</v>
          </cell>
          <cell r="J4152" t="str">
            <v>B</v>
          </cell>
          <cell r="K4152" t="str">
            <v>CERRILLOS</v>
          </cell>
          <cell r="L4152" t="str">
            <v>Calle Uno 7371</v>
          </cell>
          <cell r="M4152" t="str">
            <v>Cerrillos</v>
          </cell>
          <cell r="N4152" t="str">
            <v>B</v>
          </cell>
        </row>
        <row r="4153">
          <cell r="B4153" t="str">
            <v>VFPF-54|</v>
          </cell>
          <cell r="C4153" t="str">
            <v>MDN35025020046</v>
          </cell>
          <cell r="D4153" t="str">
            <v>LDYECS311S0043994</v>
          </cell>
          <cell r="E4153" t="str">
            <v>Zhong Tong</v>
          </cell>
          <cell r="F4153" t="str">
            <v>Lck6122evg</v>
          </cell>
          <cell r="G4153" t="str">
            <v>ZHONGTONG</v>
          </cell>
          <cell r="H4153" t="str">
            <v>LCK6122EVG</v>
          </cell>
          <cell r="I4153">
            <v>2025</v>
          </cell>
          <cell r="J4153" t="str">
            <v>B</v>
          </cell>
          <cell r="K4153" t="str">
            <v>PIE ANDINO</v>
          </cell>
          <cell r="L4153" t="str">
            <v>Pie Andino 31 (Pie Andino 383)</v>
          </cell>
          <cell r="M4153" t="str">
            <v>Puente Alto</v>
          </cell>
          <cell r="N4153" t="str">
            <v>B</v>
          </cell>
        </row>
        <row r="4154">
          <cell r="B4154" t="str">
            <v>VFPF-61|</v>
          </cell>
          <cell r="C4154" t="str">
            <v>MDN35025020061</v>
          </cell>
          <cell r="D4154" t="str">
            <v>LDYECS318S0043992</v>
          </cell>
          <cell r="E4154" t="str">
            <v>Zhong Tong</v>
          </cell>
          <cell r="F4154" t="str">
            <v>Lck6122evg</v>
          </cell>
          <cell r="G4154" t="str">
            <v>ZHONGTONG</v>
          </cell>
          <cell r="H4154" t="str">
            <v>LCK6122EVG</v>
          </cell>
          <cell r="I4154">
            <v>2025</v>
          </cell>
          <cell r="J4154" t="str">
            <v>B</v>
          </cell>
          <cell r="K4154" t="str">
            <v>SAN ALFONSO</v>
          </cell>
          <cell r="L4154" t="str">
            <v>San Alfonso 2141 (Ramón Subercaseaux 3060)</v>
          </cell>
          <cell r="M4154" t="str">
            <v>Estacion Central</v>
          </cell>
          <cell r="N4154" t="str">
            <v>B</v>
          </cell>
        </row>
        <row r="4155">
          <cell r="B4155" t="str">
            <v>VFPG-48|</v>
          </cell>
          <cell r="C4155" t="str">
            <v>MDN35025020044</v>
          </cell>
          <cell r="D4155" t="str">
            <v>LDYECS31XS0044058</v>
          </cell>
          <cell r="E4155" t="str">
            <v>Zhong Tong</v>
          </cell>
          <cell r="F4155" t="str">
            <v>Lck6122evg</v>
          </cell>
          <cell r="G4155" t="str">
            <v>ZHONGTONG</v>
          </cell>
          <cell r="H4155" t="str">
            <v>LCK6122EVG</v>
          </cell>
          <cell r="I4155">
            <v>2025</v>
          </cell>
          <cell r="J4155" t="str">
            <v>B</v>
          </cell>
          <cell r="K4155" t="str">
            <v>CERRILLOS</v>
          </cell>
          <cell r="L4155" t="str">
            <v>Calle Uno 7371</v>
          </cell>
          <cell r="M4155" t="str">
            <v>Cerrillos</v>
          </cell>
          <cell r="N4155" t="str">
            <v>B</v>
          </cell>
        </row>
        <row r="4156">
          <cell r="B4156" t="str">
            <v>VFPG-58|</v>
          </cell>
          <cell r="C4156" t="str">
            <v>MDN35025020113</v>
          </cell>
          <cell r="D4156" t="str">
            <v>LDYECS318S0044012</v>
          </cell>
          <cell r="E4156" t="str">
            <v>Zhong Tong</v>
          </cell>
          <cell r="F4156" t="str">
            <v>Lck6122evg</v>
          </cell>
          <cell r="G4156" t="str">
            <v>ZHONGTONG</v>
          </cell>
          <cell r="H4156" t="str">
            <v>LCK6122EVG</v>
          </cell>
          <cell r="I4156">
            <v>2025</v>
          </cell>
          <cell r="J4156" t="str">
            <v>B</v>
          </cell>
          <cell r="K4156" t="str">
            <v>CERRILLOS</v>
          </cell>
          <cell r="L4156" t="str">
            <v>Calle Uno 7371</v>
          </cell>
          <cell r="M4156" t="str">
            <v>Cerrillos</v>
          </cell>
          <cell r="N4156" t="str">
            <v>B</v>
          </cell>
        </row>
        <row r="4157">
          <cell r="B4157" t="str">
            <v>VFPG-91|</v>
          </cell>
          <cell r="C4157" t="str">
            <v>MDN35025020051</v>
          </cell>
          <cell r="D4157" t="str">
            <v>LDYECS310S0044019</v>
          </cell>
          <cell r="E4157" t="str">
            <v>Zhong Tong</v>
          </cell>
          <cell r="F4157" t="str">
            <v>Lck6122evg</v>
          </cell>
          <cell r="G4157" t="str">
            <v>ZHONGTONG</v>
          </cell>
          <cell r="H4157" t="str">
            <v>LCK6122EVG</v>
          </cell>
          <cell r="I4157">
            <v>2025</v>
          </cell>
          <cell r="J4157" t="str">
            <v>B</v>
          </cell>
          <cell r="K4157" t="str">
            <v>PIE ANDINO</v>
          </cell>
          <cell r="L4157" t="str">
            <v>Pie Andino 31 (Pie Andino 383)</v>
          </cell>
          <cell r="M4157" t="str">
            <v>Puente Alto</v>
          </cell>
          <cell r="N4157" t="str">
            <v>B</v>
          </cell>
        </row>
        <row r="4158">
          <cell r="B4158" t="str">
            <v>VFPH-21|</v>
          </cell>
          <cell r="C4158" t="str">
            <v>MDN35025020130</v>
          </cell>
          <cell r="D4158" t="str">
            <v>LDYECS319S0044021</v>
          </cell>
          <cell r="E4158" t="str">
            <v>Zhong Tong</v>
          </cell>
          <cell r="F4158" t="str">
            <v>Lck6122evg</v>
          </cell>
          <cell r="G4158" t="str">
            <v>ZHONGTONG</v>
          </cell>
          <cell r="H4158" t="str">
            <v>LCK6122EVG</v>
          </cell>
          <cell r="I4158">
            <v>2025</v>
          </cell>
          <cell r="J4158" t="str">
            <v>B</v>
          </cell>
          <cell r="K4158" t="str">
            <v>PIE ANDINO</v>
          </cell>
          <cell r="L4158" t="str">
            <v>Pie Andino 31 (Pie Andino 383)</v>
          </cell>
          <cell r="M4158" t="str">
            <v>Puente Alto</v>
          </cell>
          <cell r="N4158" t="str">
            <v>B</v>
          </cell>
        </row>
        <row r="4159">
          <cell r="B4159" t="str">
            <v>VFPH-35|</v>
          </cell>
          <cell r="C4159" t="str">
            <v>MDN35025020025</v>
          </cell>
          <cell r="D4159" t="str">
            <v>LDYECS313S0044001</v>
          </cell>
          <cell r="E4159" t="str">
            <v>Zhong Tong</v>
          </cell>
          <cell r="F4159" t="str">
            <v>Lck6122evg</v>
          </cell>
          <cell r="G4159" t="str">
            <v>ZHONGTONG</v>
          </cell>
          <cell r="H4159" t="str">
            <v>LCK6122EVG</v>
          </cell>
          <cell r="I4159">
            <v>2025</v>
          </cell>
          <cell r="J4159" t="str">
            <v>B</v>
          </cell>
          <cell r="K4159" t="str">
            <v>CERRILLOS</v>
          </cell>
          <cell r="L4159" t="str">
            <v>Calle Uno 7371</v>
          </cell>
          <cell r="M4159" t="str">
            <v>Cerrillos</v>
          </cell>
          <cell r="N4159" t="str">
            <v>B</v>
          </cell>
        </row>
        <row r="4160">
          <cell r="B4160" t="str">
            <v>VFPH-51|</v>
          </cell>
          <cell r="C4160" t="str">
            <v>MDN35025020054</v>
          </cell>
          <cell r="D4160" t="str">
            <v>LDYECS311S0044000</v>
          </cell>
          <cell r="E4160" t="str">
            <v>Zhong Tong</v>
          </cell>
          <cell r="F4160" t="str">
            <v>Lck6122evg</v>
          </cell>
          <cell r="G4160" t="str">
            <v>ZHONGTONG</v>
          </cell>
          <cell r="H4160" t="str">
            <v>LCK6122EVG</v>
          </cell>
          <cell r="I4160">
            <v>2025</v>
          </cell>
          <cell r="J4160" t="str">
            <v>B</v>
          </cell>
          <cell r="K4160" t="str">
            <v>PIE ANDINO</v>
          </cell>
          <cell r="L4160" t="str">
            <v>Pie Andino 31 (Pie Andino 383)</v>
          </cell>
          <cell r="M4160" t="str">
            <v>Puente Alto</v>
          </cell>
          <cell r="N4160" t="str">
            <v>B</v>
          </cell>
        </row>
        <row r="4161">
          <cell r="B4161" t="str">
            <v>VFPH-66|</v>
          </cell>
          <cell r="C4161" t="str">
            <v>MDN35025020154</v>
          </cell>
          <cell r="D4161" t="str">
            <v>LDYECS315S0044002</v>
          </cell>
          <cell r="E4161" t="str">
            <v>Zhong Tong</v>
          </cell>
          <cell r="F4161" t="str">
            <v>Lck6122evg</v>
          </cell>
          <cell r="G4161" t="str">
            <v>ZHONGTONG</v>
          </cell>
          <cell r="H4161" t="str">
            <v>LCK6122EVG</v>
          </cell>
          <cell r="I4161">
            <v>2025</v>
          </cell>
          <cell r="J4161" t="str">
            <v>B</v>
          </cell>
          <cell r="K4161" t="str">
            <v>CERRILLOS</v>
          </cell>
          <cell r="L4161" t="str">
            <v>Calle Uno 7371</v>
          </cell>
          <cell r="M4161" t="str">
            <v>Cerrillos</v>
          </cell>
          <cell r="N4161" t="str">
            <v>B</v>
          </cell>
        </row>
        <row r="4162">
          <cell r="B4162" t="str">
            <v>VFPH-79|</v>
          </cell>
          <cell r="C4162" t="str">
            <v>MDN35025020121</v>
          </cell>
          <cell r="D4162" t="str">
            <v>LDYECS314S0044007</v>
          </cell>
          <cell r="E4162" t="str">
            <v>Zhong Tong</v>
          </cell>
          <cell r="F4162" t="str">
            <v>Lck6122evg</v>
          </cell>
          <cell r="G4162" t="str">
            <v>ZHONGTONG</v>
          </cell>
          <cell r="H4162" t="str">
            <v>LCK6122EVG</v>
          </cell>
          <cell r="I4162">
            <v>2025</v>
          </cell>
          <cell r="J4162" t="str">
            <v>B</v>
          </cell>
          <cell r="K4162" t="str">
            <v>PIE ANDINO</v>
          </cell>
          <cell r="L4162" t="str">
            <v>Pie Andino 31 (Pie Andino 383)</v>
          </cell>
          <cell r="M4162" t="str">
            <v>Puente Alto</v>
          </cell>
          <cell r="N4162" t="str">
            <v>B</v>
          </cell>
        </row>
        <row r="4163">
          <cell r="B4163" t="str">
            <v>VFPH-81|</v>
          </cell>
          <cell r="C4163" t="str">
            <v>MDN35025020096</v>
          </cell>
          <cell r="D4163" t="str">
            <v>LDYECS318S0044060</v>
          </cell>
          <cell r="E4163" t="str">
            <v>Zhong Tong</v>
          </cell>
          <cell r="F4163" t="str">
            <v>Lck6122evg</v>
          </cell>
          <cell r="G4163" t="str">
            <v>ZHONGTONG</v>
          </cell>
          <cell r="H4163" t="str">
            <v>LCK6122EVG</v>
          </cell>
          <cell r="I4163">
            <v>2025</v>
          </cell>
          <cell r="J4163" t="str">
            <v>B</v>
          </cell>
          <cell r="K4163" t="str">
            <v>PIE ANDINO</v>
          </cell>
          <cell r="L4163" t="str">
            <v>Pie Andino 31 (Pie Andino 383)</v>
          </cell>
          <cell r="M4163" t="str">
            <v>Puente Alto</v>
          </cell>
          <cell r="N4163" t="str">
            <v>B</v>
          </cell>
        </row>
        <row r="4164">
          <cell r="B4164" t="str">
            <v>VFPH-91|</v>
          </cell>
          <cell r="C4164" t="str">
            <v>MDN35025020045</v>
          </cell>
          <cell r="D4164" t="str">
            <v>LDYECS312S0044023</v>
          </cell>
          <cell r="E4164" t="str">
            <v>Zhong Tong</v>
          </cell>
          <cell r="F4164" t="str">
            <v>Lck6122evg</v>
          </cell>
          <cell r="G4164" t="str">
            <v>ZHONGTONG</v>
          </cell>
          <cell r="H4164" t="str">
            <v>LCK6122EVG</v>
          </cell>
          <cell r="I4164">
            <v>2025</v>
          </cell>
          <cell r="J4164" t="str">
            <v>B</v>
          </cell>
          <cell r="K4164" t="str">
            <v>PIE ANDINO</v>
          </cell>
          <cell r="L4164" t="str">
            <v>Pie Andino 31 (Pie Andino 383)</v>
          </cell>
          <cell r="M4164" t="str">
            <v>Puente Alto</v>
          </cell>
          <cell r="N4164" t="str">
            <v>B</v>
          </cell>
        </row>
        <row r="4165">
          <cell r="B4165" t="str">
            <v>VFPH-98|</v>
          </cell>
          <cell r="C4165" t="str">
            <v>MDN35025020128</v>
          </cell>
          <cell r="D4165" t="str">
            <v>LDYECS31XS0044030</v>
          </cell>
          <cell r="E4165" t="str">
            <v>Zhong Tong</v>
          </cell>
          <cell r="F4165" t="str">
            <v>Lck6122evg</v>
          </cell>
          <cell r="G4165" t="str">
            <v>ZHONGTONG</v>
          </cell>
          <cell r="H4165" t="str">
            <v>LCK6122EVG</v>
          </cell>
          <cell r="I4165">
            <v>2025</v>
          </cell>
          <cell r="J4165" t="str">
            <v>B</v>
          </cell>
          <cell r="K4165" t="str">
            <v>SAN ALFONSO</v>
          </cell>
          <cell r="L4165" t="str">
            <v>San Alfonso 2141 (Ramón Subercaseaux 3060)</v>
          </cell>
          <cell r="M4165" t="str">
            <v>Estacion Central</v>
          </cell>
          <cell r="N4165" t="str">
            <v>B</v>
          </cell>
        </row>
        <row r="4166">
          <cell r="B4166" t="str">
            <v>VFPJ-11|</v>
          </cell>
          <cell r="C4166" t="str">
            <v>MDN35025010019</v>
          </cell>
          <cell r="D4166" t="str">
            <v>LDYECS319S0044116</v>
          </cell>
          <cell r="E4166" t="str">
            <v>Zhong Tong</v>
          </cell>
          <cell r="F4166" t="str">
            <v>Lck6122evg</v>
          </cell>
          <cell r="G4166" t="str">
            <v>ZHONGTONG</v>
          </cell>
          <cell r="H4166" t="str">
            <v>LCK6122EVG</v>
          </cell>
          <cell r="I4166">
            <v>2025</v>
          </cell>
          <cell r="J4166" t="str">
            <v>B</v>
          </cell>
          <cell r="K4166" t="str">
            <v>CERRILLOS</v>
          </cell>
          <cell r="L4166" t="str">
            <v>Calle Uno 7371</v>
          </cell>
          <cell r="M4166" t="str">
            <v>Cerrillos</v>
          </cell>
          <cell r="N4166" t="str">
            <v>B</v>
          </cell>
        </row>
        <row r="4167">
          <cell r="B4167" t="str">
            <v>VFPJ-25|</v>
          </cell>
          <cell r="C4167" t="str">
            <v>MDN35025020127</v>
          </cell>
          <cell r="D4167" t="str">
            <v>LDYECS313S0044029</v>
          </cell>
          <cell r="E4167" t="str">
            <v>Zhong Tong</v>
          </cell>
          <cell r="F4167" t="str">
            <v>Lck6122evg</v>
          </cell>
          <cell r="G4167" t="str">
            <v>ZHONGTONG</v>
          </cell>
          <cell r="H4167" t="str">
            <v>LCK6122EVG</v>
          </cell>
          <cell r="I4167">
            <v>2025</v>
          </cell>
          <cell r="J4167" t="str">
            <v>B</v>
          </cell>
          <cell r="K4167" t="str">
            <v>PIE ANDINO</v>
          </cell>
          <cell r="L4167" t="str">
            <v>Pie Andino 31 (Pie Andino 383)</v>
          </cell>
          <cell r="M4167" t="str">
            <v>Puente Alto</v>
          </cell>
          <cell r="N4167" t="str">
            <v>B</v>
          </cell>
        </row>
        <row r="4168">
          <cell r="B4168" t="str">
            <v>VFPJ-28|</v>
          </cell>
          <cell r="C4168" t="str">
            <v>MDN35025020123</v>
          </cell>
          <cell r="D4168" t="str">
            <v>LDYECS314S0044010</v>
          </cell>
          <cell r="E4168" t="str">
            <v>Zhong Tong</v>
          </cell>
          <cell r="F4168" t="str">
            <v>Lck6122evg</v>
          </cell>
          <cell r="G4168" t="str">
            <v>ZHONGTONG</v>
          </cell>
          <cell r="H4168" t="str">
            <v>LCK6122EVG</v>
          </cell>
          <cell r="I4168">
            <v>2025</v>
          </cell>
          <cell r="J4168" t="str">
            <v>B</v>
          </cell>
          <cell r="K4168" t="str">
            <v>PIE ANDINO</v>
          </cell>
          <cell r="L4168" t="str">
            <v>Pie Andino 31 (Pie Andino 383)</v>
          </cell>
          <cell r="M4168" t="str">
            <v>Puente Alto</v>
          </cell>
          <cell r="N4168" t="str">
            <v>B</v>
          </cell>
        </row>
        <row r="4169">
          <cell r="B4169" t="str">
            <v>VFPJ-31|</v>
          </cell>
          <cell r="C4169" t="str">
            <v>MDN35025020070</v>
          </cell>
          <cell r="D4169" t="str">
            <v>LDYECS313S0043995</v>
          </cell>
          <cell r="E4169" t="str">
            <v>Zhong Tong</v>
          </cell>
          <cell r="F4169" t="str">
            <v>Lck6122evg</v>
          </cell>
          <cell r="G4169" t="str">
            <v>ZHONGTONG</v>
          </cell>
          <cell r="H4169" t="str">
            <v>LCK6122EVG</v>
          </cell>
          <cell r="I4169">
            <v>2025</v>
          </cell>
          <cell r="J4169" t="str">
            <v>B</v>
          </cell>
          <cell r="K4169" t="str">
            <v>CERRILLOS</v>
          </cell>
          <cell r="L4169" t="str">
            <v>Calle Uno 7371</v>
          </cell>
          <cell r="M4169" t="str">
            <v>Cerrillos</v>
          </cell>
          <cell r="N4169" t="str">
            <v>B</v>
          </cell>
        </row>
        <row r="4170">
          <cell r="B4170" t="str">
            <v>VFPJ-51|</v>
          </cell>
          <cell r="C4170" t="str">
            <v>MDN35025020109</v>
          </cell>
          <cell r="D4170" t="str">
            <v>LDYECS314S0044024</v>
          </cell>
          <cell r="E4170" t="str">
            <v>Zhong Tong</v>
          </cell>
          <cell r="F4170" t="str">
            <v>Lck6122evg</v>
          </cell>
          <cell r="G4170" t="str">
            <v>ZHONGTONG</v>
          </cell>
          <cell r="H4170" t="str">
            <v>LCK6122EVG</v>
          </cell>
          <cell r="I4170">
            <v>2025</v>
          </cell>
          <cell r="J4170" t="str">
            <v>B</v>
          </cell>
          <cell r="K4170" t="str">
            <v>PIE ANDINO</v>
          </cell>
          <cell r="L4170" t="str">
            <v>Pie Andino 31 (Pie Andino 383)</v>
          </cell>
          <cell r="M4170" t="str">
            <v>Puente Alto</v>
          </cell>
          <cell r="N4170" t="str">
            <v>B</v>
          </cell>
        </row>
        <row r="4171">
          <cell r="B4171" t="str">
            <v>VFPJ-53|</v>
          </cell>
          <cell r="C4171" t="str">
            <v>MDN35025020024</v>
          </cell>
          <cell r="D4171" t="str">
            <v>LDYECS318S0044026</v>
          </cell>
          <cell r="E4171" t="str">
            <v>Zhong Tong</v>
          </cell>
          <cell r="F4171" t="str">
            <v>Lck6122evg</v>
          </cell>
          <cell r="G4171" t="str">
            <v>ZHONGTONG</v>
          </cell>
          <cell r="H4171" t="str">
            <v>LCK6122EVG</v>
          </cell>
          <cell r="I4171">
            <v>2025</v>
          </cell>
          <cell r="J4171" t="str">
            <v>B</v>
          </cell>
          <cell r="K4171" t="str">
            <v>CERRILLOS</v>
          </cell>
          <cell r="L4171" t="str">
            <v>Calle Uno 7371</v>
          </cell>
          <cell r="M4171" t="str">
            <v>Cerrillos</v>
          </cell>
          <cell r="N4171" t="str">
            <v>B</v>
          </cell>
        </row>
        <row r="4172">
          <cell r="B4172" t="str">
            <v>VFPJ-61|</v>
          </cell>
          <cell r="C4172" t="str">
            <v>MDN35025020049</v>
          </cell>
          <cell r="D4172" t="str">
            <v>LDYECS310S0044005</v>
          </cell>
          <cell r="E4172" t="str">
            <v>Zhong Tong</v>
          </cell>
          <cell r="F4172" t="str">
            <v>Lck6122evg</v>
          </cell>
          <cell r="G4172" t="str">
            <v>ZHONGTONG</v>
          </cell>
          <cell r="H4172" t="str">
            <v>LCK6122EVG</v>
          </cell>
          <cell r="I4172">
            <v>2025</v>
          </cell>
          <cell r="J4172" t="str">
            <v>B</v>
          </cell>
          <cell r="K4172" t="str">
            <v>PIE ANDINO</v>
          </cell>
          <cell r="L4172" t="str">
            <v>Pie Andino 31 (Pie Andino 383)</v>
          </cell>
          <cell r="M4172" t="str">
            <v>Puente Alto</v>
          </cell>
          <cell r="N4172" t="str">
            <v>B</v>
          </cell>
        </row>
        <row r="4173">
          <cell r="B4173" t="str">
            <v>VFPJ-66|</v>
          </cell>
          <cell r="C4173" t="str">
            <v>MDN35025020108</v>
          </cell>
          <cell r="D4173" t="str">
            <v>LDYECS31XS0044061</v>
          </cell>
          <cell r="E4173" t="str">
            <v>Zhong Tong</v>
          </cell>
          <cell r="F4173" t="str">
            <v>Lck6122evg</v>
          </cell>
          <cell r="G4173" t="str">
            <v>ZHONGTONG</v>
          </cell>
          <cell r="H4173" t="str">
            <v>LCK6122EVG</v>
          </cell>
          <cell r="I4173">
            <v>2025</v>
          </cell>
          <cell r="J4173" t="str">
            <v>B</v>
          </cell>
          <cell r="K4173" t="str">
            <v>CERRILLOS</v>
          </cell>
          <cell r="L4173" t="str">
            <v>Calle Uno 7371</v>
          </cell>
          <cell r="M4173" t="str">
            <v>Cerrillos</v>
          </cell>
          <cell r="N4173" t="str">
            <v>B</v>
          </cell>
        </row>
        <row r="4174">
          <cell r="B4174" t="str">
            <v>VFPJ-68|</v>
          </cell>
          <cell r="C4174" t="str">
            <v>MDN35025020064</v>
          </cell>
          <cell r="D4174" t="str">
            <v>LDYECS316S0044008</v>
          </cell>
          <cell r="E4174" t="str">
            <v>Zhong Tong</v>
          </cell>
          <cell r="F4174" t="str">
            <v>Lck6122evg</v>
          </cell>
          <cell r="G4174" t="str">
            <v>ZHONGTONG</v>
          </cell>
          <cell r="H4174" t="str">
            <v>LCK6122EVG</v>
          </cell>
          <cell r="I4174">
            <v>2025</v>
          </cell>
          <cell r="J4174" t="str">
            <v>B</v>
          </cell>
          <cell r="K4174" t="str">
            <v>PIE ANDINO</v>
          </cell>
          <cell r="L4174" t="str">
            <v>Pie Andino 31 (Pie Andino 383)</v>
          </cell>
          <cell r="M4174" t="str">
            <v>Puente Alto</v>
          </cell>
          <cell r="N4174" t="str">
            <v>B</v>
          </cell>
        </row>
        <row r="4175">
          <cell r="B4175" t="str">
            <v>VFPJ-71|</v>
          </cell>
          <cell r="C4175" t="str">
            <v>MDN35025020103</v>
          </cell>
          <cell r="D4175" t="str">
            <v>LDYECS313S0044015</v>
          </cell>
          <cell r="E4175" t="str">
            <v>Zhong Tong</v>
          </cell>
          <cell r="F4175" t="str">
            <v>Lck6122evg</v>
          </cell>
          <cell r="G4175" t="str">
            <v>ZHONGTONG</v>
          </cell>
          <cell r="H4175" t="str">
            <v>LCK6122EVG</v>
          </cell>
          <cell r="I4175">
            <v>2025</v>
          </cell>
          <cell r="J4175" t="str">
            <v>B</v>
          </cell>
          <cell r="K4175" t="str">
            <v>CERRILLOS</v>
          </cell>
          <cell r="L4175" t="str">
            <v>Calle Uno 7371</v>
          </cell>
          <cell r="M4175" t="str">
            <v>Cerrillos</v>
          </cell>
          <cell r="N4175" t="str">
            <v>B</v>
          </cell>
        </row>
        <row r="4176">
          <cell r="B4176" t="str">
            <v>VFPJ-77|</v>
          </cell>
          <cell r="C4176" t="str">
            <v>MDN35025020131</v>
          </cell>
          <cell r="D4176" t="str">
            <v>LDYECS317S0044017</v>
          </cell>
          <cell r="E4176" t="str">
            <v>Zhong Tong</v>
          </cell>
          <cell r="F4176" t="str">
            <v>Lck6122evg</v>
          </cell>
          <cell r="G4176" t="str">
            <v>ZHONGTONG</v>
          </cell>
          <cell r="H4176" t="str">
            <v>LCK6122EVG</v>
          </cell>
          <cell r="I4176">
            <v>2025</v>
          </cell>
          <cell r="J4176" t="str">
            <v>B</v>
          </cell>
          <cell r="K4176" t="str">
            <v>PIE ANDINO</v>
          </cell>
          <cell r="L4176" t="str">
            <v>Pie Andino 31 (Pie Andino 383)</v>
          </cell>
          <cell r="M4176" t="str">
            <v>Puente Alto</v>
          </cell>
          <cell r="N4176" t="str">
            <v>B</v>
          </cell>
        </row>
        <row r="4177">
          <cell r="B4177" t="str">
            <v>VFPK-64|</v>
          </cell>
          <cell r="C4177" t="str">
            <v>MDN35025020115</v>
          </cell>
          <cell r="D4177" t="str">
            <v>LDYECS319S0044018</v>
          </cell>
          <cell r="E4177" t="str">
            <v>Zhong Tong</v>
          </cell>
          <cell r="F4177" t="str">
            <v>Lck6122evg</v>
          </cell>
          <cell r="G4177" t="str">
            <v>ZHONGTONG</v>
          </cell>
          <cell r="H4177" t="str">
            <v>LCK6122EVG</v>
          </cell>
          <cell r="I4177">
            <v>2025</v>
          </cell>
          <cell r="J4177" t="str">
            <v>B</v>
          </cell>
          <cell r="K4177" t="str">
            <v>CERRILLOS</v>
          </cell>
          <cell r="L4177" t="str">
            <v>Calle Uno 7371</v>
          </cell>
          <cell r="M4177" t="str">
            <v>Cerrillos</v>
          </cell>
          <cell r="N4177" t="str">
            <v>B</v>
          </cell>
        </row>
        <row r="4178">
          <cell r="B4178" t="str">
            <v>VFPK-81|</v>
          </cell>
          <cell r="C4178" t="str">
            <v>MDN35025020019</v>
          </cell>
          <cell r="D4178" t="str">
            <v>LDYECS313S0044094</v>
          </cell>
          <cell r="E4178" t="str">
            <v>Zhong Tong</v>
          </cell>
          <cell r="F4178" t="str">
            <v>Lck6122evg</v>
          </cell>
          <cell r="G4178" t="str">
            <v>ZHONGTONG</v>
          </cell>
          <cell r="H4178" t="str">
            <v>LCK6122EVG</v>
          </cell>
          <cell r="I4178">
            <v>2025</v>
          </cell>
          <cell r="J4178" t="str">
            <v>B</v>
          </cell>
          <cell r="K4178" t="str">
            <v>PIE ANDINO</v>
          </cell>
          <cell r="L4178" t="str">
            <v>Pie Andino 31 (Pie Andino 383)</v>
          </cell>
          <cell r="M4178" t="str">
            <v>Puente Alto</v>
          </cell>
          <cell r="N4178" t="str">
            <v>B</v>
          </cell>
        </row>
        <row r="4179">
          <cell r="B4179" t="str">
            <v>VFPK-91|</v>
          </cell>
          <cell r="C4179" t="str">
            <v>MDN35025010038</v>
          </cell>
          <cell r="D4179" t="str">
            <v>LDYECS315S0044114</v>
          </cell>
          <cell r="E4179" t="str">
            <v>Zhong Tong</v>
          </cell>
          <cell r="F4179" t="str">
            <v>Lck6122evg</v>
          </cell>
          <cell r="G4179" t="str">
            <v>ZHONGTONG</v>
          </cell>
          <cell r="H4179" t="str">
            <v>LCK6122EVG</v>
          </cell>
          <cell r="I4179">
            <v>2025</v>
          </cell>
          <cell r="J4179" t="str">
            <v>B</v>
          </cell>
          <cell r="K4179" t="str">
            <v>PIE ANDINO</v>
          </cell>
          <cell r="L4179" t="str">
            <v>Pie Andino 31 (Pie Andino 383)</v>
          </cell>
          <cell r="M4179" t="str">
            <v>Puente Alto</v>
          </cell>
          <cell r="N4179" t="str">
            <v>B</v>
          </cell>
        </row>
        <row r="4180">
          <cell r="B4180" t="str">
            <v>VFPL-11|</v>
          </cell>
          <cell r="C4180" t="str">
            <v>MDN35025020028</v>
          </cell>
          <cell r="D4180" t="str">
            <v>LDYECS314S0044041</v>
          </cell>
          <cell r="E4180" t="str">
            <v>Zhong Tong</v>
          </cell>
          <cell r="F4180" t="str">
            <v>Lck6122evg</v>
          </cell>
          <cell r="G4180" t="str">
            <v>ZHONGTONG</v>
          </cell>
          <cell r="H4180" t="str">
            <v>LCK6122EVG</v>
          </cell>
          <cell r="I4180">
            <v>2025</v>
          </cell>
          <cell r="J4180" t="str">
            <v>B</v>
          </cell>
          <cell r="K4180" t="str">
            <v>PIE ANDINO</v>
          </cell>
          <cell r="L4180" t="str">
            <v>Pie Andino 31 (Pie Andino 383)</v>
          </cell>
          <cell r="M4180" t="str">
            <v>Puente Alto</v>
          </cell>
          <cell r="N4180" t="str">
            <v>B</v>
          </cell>
        </row>
        <row r="4181">
          <cell r="B4181" t="str">
            <v>VFPL-15|</v>
          </cell>
          <cell r="C4181" t="str">
            <v>MDN35025020111</v>
          </cell>
          <cell r="D4181" t="str">
            <v>LDYECS31XS0044013</v>
          </cell>
          <cell r="E4181" t="str">
            <v>Zhong Tong</v>
          </cell>
          <cell r="F4181" t="str">
            <v>Lck6122evg</v>
          </cell>
          <cell r="G4181" t="str">
            <v>ZHONGTONG</v>
          </cell>
          <cell r="H4181" t="str">
            <v>LCK6122EVG</v>
          </cell>
          <cell r="I4181">
            <v>2025</v>
          </cell>
          <cell r="J4181" t="str">
            <v>B</v>
          </cell>
          <cell r="K4181" t="str">
            <v>PIE ANDINO</v>
          </cell>
          <cell r="L4181" t="str">
            <v>Pie Andino 31 (Pie Andino 383)</v>
          </cell>
          <cell r="M4181" t="str">
            <v>Puente Alto</v>
          </cell>
          <cell r="N4181" t="str">
            <v>B</v>
          </cell>
        </row>
        <row r="4182">
          <cell r="B4182" t="str">
            <v>VFPL-21|</v>
          </cell>
          <cell r="C4182" t="str">
            <v>MDN35025020125</v>
          </cell>
          <cell r="D4182" t="str">
            <v>LDYECS313S0044032</v>
          </cell>
          <cell r="E4182" t="str">
            <v>Zhong Tong</v>
          </cell>
          <cell r="F4182" t="str">
            <v>Lck6122evg</v>
          </cell>
          <cell r="G4182" t="str">
            <v>ZHONGTONG</v>
          </cell>
          <cell r="H4182" t="str">
            <v>LCK6122EVG</v>
          </cell>
          <cell r="I4182">
            <v>2025</v>
          </cell>
          <cell r="J4182" t="str">
            <v>B</v>
          </cell>
          <cell r="K4182" t="str">
            <v>PIE ANDINO</v>
          </cell>
          <cell r="L4182" t="str">
            <v>Pie Andino 31 (Pie Andino 383)</v>
          </cell>
          <cell r="M4182" t="str">
            <v>Puente Alto</v>
          </cell>
          <cell r="N4182" t="str">
            <v>B</v>
          </cell>
        </row>
        <row r="4183">
          <cell r="B4183" t="str">
            <v>VFPL-31|</v>
          </cell>
          <cell r="C4183" t="str">
            <v>MDN35025020117</v>
          </cell>
          <cell r="D4183" t="str">
            <v>LDYECS310S0044022</v>
          </cell>
          <cell r="E4183" t="str">
            <v>Zhong Tong</v>
          </cell>
          <cell r="F4183" t="str">
            <v>Lck6122evg</v>
          </cell>
          <cell r="G4183" t="str">
            <v>ZHONGTONG</v>
          </cell>
          <cell r="H4183" t="str">
            <v>LCK6122EVG</v>
          </cell>
          <cell r="I4183">
            <v>2025</v>
          </cell>
          <cell r="J4183" t="str">
            <v>B</v>
          </cell>
          <cell r="K4183" t="str">
            <v>PIE ANDINO</v>
          </cell>
          <cell r="L4183" t="str">
            <v>Pie Andino 31 (Pie Andino 383)</v>
          </cell>
          <cell r="M4183" t="str">
            <v>Puente Alto</v>
          </cell>
          <cell r="N4183" t="str">
            <v>B</v>
          </cell>
        </row>
        <row r="4184">
          <cell r="B4184" t="str">
            <v>VFPL-35|</v>
          </cell>
          <cell r="C4184" t="str">
            <v>MDN35025020006</v>
          </cell>
          <cell r="D4184" t="str">
            <v>LDYECS316S0044073</v>
          </cell>
          <cell r="E4184" t="str">
            <v>Zhong Tong</v>
          </cell>
          <cell r="F4184" t="str">
            <v>Lck6122evg</v>
          </cell>
          <cell r="G4184" t="str">
            <v>ZHONGTONG</v>
          </cell>
          <cell r="H4184" t="str">
            <v>LCK6122EVG</v>
          </cell>
          <cell r="I4184">
            <v>2025</v>
          </cell>
          <cell r="J4184" t="str">
            <v>B</v>
          </cell>
          <cell r="K4184" t="str">
            <v>PIE ANDINO</v>
          </cell>
          <cell r="L4184" t="str">
            <v>Pie Andino 31 (Pie Andino 383)</v>
          </cell>
          <cell r="M4184" t="str">
            <v>Puente Alto</v>
          </cell>
          <cell r="N4184" t="str">
            <v>B</v>
          </cell>
        </row>
        <row r="4185">
          <cell r="B4185" t="str">
            <v>VFPL-41|</v>
          </cell>
          <cell r="C4185" t="str">
            <v>MDN35025020062</v>
          </cell>
          <cell r="D4185" t="str">
            <v>LDYECS312S0044006</v>
          </cell>
          <cell r="E4185" t="str">
            <v>Zhong Tong</v>
          </cell>
          <cell r="F4185" t="str">
            <v>Lck6122evg</v>
          </cell>
          <cell r="G4185" t="str">
            <v>ZHONGTONG</v>
          </cell>
          <cell r="H4185" t="str">
            <v>LCK6122EVG</v>
          </cell>
          <cell r="I4185">
            <v>2025</v>
          </cell>
          <cell r="J4185" t="str">
            <v>B</v>
          </cell>
          <cell r="K4185" t="str">
            <v>SAN ALFONSO</v>
          </cell>
          <cell r="L4185" t="str">
            <v>San Alfonso 2141 (Ramón Subercaseaux 3060)</v>
          </cell>
          <cell r="M4185" t="str">
            <v>Estacion Central</v>
          </cell>
          <cell r="N4185" t="str">
            <v>B</v>
          </cell>
        </row>
        <row r="4186">
          <cell r="B4186" t="str">
            <v>VFPL-46|</v>
          </cell>
          <cell r="C4186" t="str">
            <v>MDN35025020116</v>
          </cell>
          <cell r="D4186" t="str">
            <v>LDYECS317S0044020</v>
          </cell>
          <cell r="E4186" t="str">
            <v>Zhong Tong</v>
          </cell>
          <cell r="F4186" t="str">
            <v>Lck6122evg</v>
          </cell>
          <cell r="G4186" t="str">
            <v>ZHONGTONG</v>
          </cell>
          <cell r="H4186" t="str">
            <v>LCK6122EVG</v>
          </cell>
          <cell r="I4186">
            <v>2025</v>
          </cell>
          <cell r="J4186" t="str">
            <v>B</v>
          </cell>
          <cell r="K4186" t="str">
            <v>SAN ALFONSO</v>
          </cell>
          <cell r="L4186" t="str">
            <v>San Alfonso 2141 (Ramón Subercaseaux 3060)</v>
          </cell>
          <cell r="M4186" t="str">
            <v>Estacion Central</v>
          </cell>
          <cell r="N4186" t="str">
            <v>B</v>
          </cell>
        </row>
        <row r="4187">
          <cell r="B4187" t="str">
            <v>VFPL-57|</v>
          </cell>
          <cell r="C4187" t="str">
            <v>MDN35025020106</v>
          </cell>
          <cell r="D4187" t="str">
            <v>LDYECS316S0044025</v>
          </cell>
          <cell r="E4187" t="str">
            <v>Zhong Tong</v>
          </cell>
          <cell r="F4187" t="str">
            <v>Lck6122evg</v>
          </cell>
          <cell r="G4187" t="str">
            <v>ZHONGTONG</v>
          </cell>
          <cell r="H4187" t="str">
            <v>LCK6122EVG</v>
          </cell>
          <cell r="I4187">
            <v>2025</v>
          </cell>
          <cell r="J4187" t="str">
            <v>B</v>
          </cell>
          <cell r="K4187" t="str">
            <v>CERRILLOS</v>
          </cell>
          <cell r="L4187" t="str">
            <v>Calle Uno 7371</v>
          </cell>
          <cell r="M4187" t="str">
            <v>Cerrillos</v>
          </cell>
          <cell r="N4187" t="str">
            <v>B</v>
          </cell>
        </row>
        <row r="4188">
          <cell r="B4188" t="str">
            <v>VFPL-61|</v>
          </cell>
          <cell r="C4188" t="str">
            <v>MDN35025020110</v>
          </cell>
          <cell r="D4188" t="str">
            <v>LDYECS317S0044034</v>
          </cell>
          <cell r="E4188" t="str">
            <v>Zhong Tong</v>
          </cell>
          <cell r="F4188" t="str">
            <v>Lck6122evg</v>
          </cell>
          <cell r="G4188" t="str">
            <v>ZHONGTONG</v>
          </cell>
          <cell r="H4188" t="str">
            <v>LCK6122EVG</v>
          </cell>
          <cell r="I4188">
            <v>2025</v>
          </cell>
          <cell r="J4188" t="str">
            <v>B</v>
          </cell>
          <cell r="K4188" t="str">
            <v>CERRILLOS</v>
          </cell>
          <cell r="L4188" t="str">
            <v>Calle Uno 7371</v>
          </cell>
          <cell r="M4188" t="str">
            <v>Cerrillos</v>
          </cell>
          <cell r="N4188" t="str">
            <v>B</v>
          </cell>
        </row>
        <row r="4189">
          <cell r="B4189" t="str">
            <v>VFPL-63|</v>
          </cell>
          <cell r="C4189" t="str">
            <v>MDN35025020035</v>
          </cell>
          <cell r="D4189" t="str">
            <v>LDYECS319S0044052</v>
          </cell>
          <cell r="E4189" t="str">
            <v>Zhong Tong</v>
          </cell>
          <cell r="F4189" t="str">
            <v>Lck6122evg</v>
          </cell>
          <cell r="G4189" t="str">
            <v>ZHONGTONG</v>
          </cell>
          <cell r="H4189" t="str">
            <v>LCK6122EVG</v>
          </cell>
          <cell r="I4189">
            <v>2025</v>
          </cell>
          <cell r="J4189" t="str">
            <v>B</v>
          </cell>
          <cell r="K4189" t="str">
            <v>CERRILLOS</v>
          </cell>
          <cell r="L4189" t="str">
            <v>Calle Uno 7371</v>
          </cell>
          <cell r="M4189" t="str">
            <v>Cerrillos</v>
          </cell>
          <cell r="N4189" t="str">
            <v>B</v>
          </cell>
        </row>
        <row r="4190">
          <cell r="B4190" t="str">
            <v>VFPL-71|</v>
          </cell>
          <cell r="C4190" t="str">
            <v>MDN35025020077</v>
          </cell>
          <cell r="D4190" t="str">
            <v>LDYECS312S0044037</v>
          </cell>
          <cell r="E4190" t="str">
            <v>Zhong Tong</v>
          </cell>
          <cell r="F4190" t="str">
            <v>Lck6122evg</v>
          </cell>
          <cell r="G4190" t="str">
            <v>ZHONGTONG</v>
          </cell>
          <cell r="H4190" t="str">
            <v>LCK6122EVG</v>
          </cell>
          <cell r="I4190">
            <v>2025</v>
          </cell>
          <cell r="J4190" t="str">
            <v>B</v>
          </cell>
          <cell r="K4190" t="str">
            <v>CERRILLOS</v>
          </cell>
          <cell r="L4190" t="str">
            <v>Calle Uno 7371</v>
          </cell>
          <cell r="M4190" t="str">
            <v>Cerrillos</v>
          </cell>
          <cell r="N4190" t="str">
            <v>B</v>
          </cell>
        </row>
        <row r="4191">
          <cell r="B4191" t="str">
            <v>VFPL-73|</v>
          </cell>
          <cell r="C4191" t="str">
            <v>MDN35025020033</v>
          </cell>
          <cell r="D4191" t="str">
            <v>LDYECS318S0044088</v>
          </cell>
          <cell r="E4191" t="str">
            <v>Zhong Tong</v>
          </cell>
          <cell r="F4191" t="str">
            <v>Lck6122evg</v>
          </cell>
          <cell r="G4191" t="str">
            <v>ZHONGTONG</v>
          </cell>
          <cell r="H4191" t="str">
            <v>LCK6122EVG</v>
          </cell>
          <cell r="I4191">
            <v>2025</v>
          </cell>
          <cell r="J4191" t="str">
            <v>B</v>
          </cell>
          <cell r="K4191" t="str">
            <v>PIE ANDINO</v>
          </cell>
          <cell r="L4191" t="str">
            <v>Pie Andino 31 (Pie Andino 383)</v>
          </cell>
          <cell r="M4191" t="str">
            <v>Puente Alto</v>
          </cell>
          <cell r="N4191" t="str">
            <v>B</v>
          </cell>
        </row>
        <row r="4192">
          <cell r="B4192" t="str">
            <v>VFPL-74|</v>
          </cell>
          <cell r="C4192" t="str">
            <v>MDN35025010021</v>
          </cell>
          <cell r="D4192" t="str">
            <v>LDYECS313S0044113</v>
          </cell>
          <cell r="E4192" t="str">
            <v>Zhong Tong</v>
          </cell>
          <cell r="F4192" t="str">
            <v>Lck6122evg</v>
          </cell>
          <cell r="G4192" t="str">
            <v>ZHONGTONG</v>
          </cell>
          <cell r="H4192" t="str">
            <v>LCK6122EVG</v>
          </cell>
          <cell r="I4192">
            <v>2025</v>
          </cell>
          <cell r="J4192" t="str">
            <v>B</v>
          </cell>
          <cell r="K4192" t="str">
            <v>CERRILLOS</v>
          </cell>
          <cell r="L4192" t="str">
            <v>Calle Uno 7371</v>
          </cell>
          <cell r="M4192" t="str">
            <v>Cerrillos</v>
          </cell>
          <cell r="N4192" t="str">
            <v>B</v>
          </cell>
        </row>
        <row r="4193">
          <cell r="B4193" t="str">
            <v>VFPL-81|</v>
          </cell>
          <cell r="C4193" t="str">
            <v>MDN35025020120</v>
          </cell>
          <cell r="D4193" t="str">
            <v>LDYECS316S0044011</v>
          </cell>
          <cell r="E4193" t="str">
            <v>Zhong Tong</v>
          </cell>
          <cell r="F4193" t="str">
            <v>Lck6122evg</v>
          </cell>
          <cell r="G4193" t="str">
            <v>ZHONGTONG</v>
          </cell>
          <cell r="H4193" t="str">
            <v>LCK6122EVG</v>
          </cell>
          <cell r="I4193">
            <v>2025</v>
          </cell>
          <cell r="J4193" t="str">
            <v>B</v>
          </cell>
          <cell r="K4193" t="str">
            <v>CERRILLOS</v>
          </cell>
          <cell r="L4193" t="str">
            <v>Calle Uno 7371</v>
          </cell>
          <cell r="M4193" t="str">
            <v>Cerrillos</v>
          </cell>
          <cell r="N4193" t="str">
            <v>B</v>
          </cell>
        </row>
        <row r="4194">
          <cell r="B4194" t="str">
            <v>VFPL-87|</v>
          </cell>
          <cell r="C4194" t="str">
            <v>MDN35025020101</v>
          </cell>
          <cell r="D4194" t="str">
            <v>LDYECS315S0044047</v>
          </cell>
          <cell r="E4194" t="str">
            <v>Zhong Tong</v>
          </cell>
          <cell r="F4194" t="str">
            <v>Lck6122evg</v>
          </cell>
          <cell r="G4194" t="str">
            <v>ZHONGTONG</v>
          </cell>
          <cell r="H4194" t="str">
            <v>LCK6122EVG</v>
          </cell>
          <cell r="I4194">
            <v>2025</v>
          </cell>
          <cell r="J4194" t="str">
            <v>B</v>
          </cell>
          <cell r="K4194" t="str">
            <v>CERRILLOS</v>
          </cell>
          <cell r="L4194" t="str">
            <v>Calle Uno 7371</v>
          </cell>
          <cell r="M4194" t="str">
            <v>Cerrillos</v>
          </cell>
          <cell r="N4194" t="str">
            <v>B</v>
          </cell>
        </row>
        <row r="4195">
          <cell r="B4195" t="str">
            <v>VFPL-88|</v>
          </cell>
          <cell r="C4195" t="str">
            <v>MDN35025020071</v>
          </cell>
          <cell r="D4195" t="str">
            <v>LDYECS316S0044039</v>
          </cell>
          <cell r="E4195" t="str">
            <v>Zhong Tong</v>
          </cell>
          <cell r="F4195" t="str">
            <v>Lck6122evg</v>
          </cell>
          <cell r="G4195" t="str">
            <v>ZHONGTONG</v>
          </cell>
          <cell r="H4195" t="str">
            <v>LCK6122EVG</v>
          </cell>
          <cell r="I4195">
            <v>2025</v>
          </cell>
          <cell r="J4195" t="str">
            <v>B</v>
          </cell>
          <cell r="K4195" t="str">
            <v>PIE ANDINO</v>
          </cell>
          <cell r="L4195" t="str">
            <v>Pie Andino 31 (Pie Andino 383)</v>
          </cell>
          <cell r="M4195" t="str">
            <v>Puente Alto</v>
          </cell>
          <cell r="N4195" t="str">
            <v>B</v>
          </cell>
        </row>
        <row r="4196">
          <cell r="B4196" t="str">
            <v>VFPL-92|</v>
          </cell>
          <cell r="C4196" t="str">
            <v>MDN35025010192</v>
          </cell>
          <cell r="D4196" t="str">
            <v>LDYECS312S0044054</v>
          </cell>
          <cell r="E4196" t="str">
            <v>Zhong Tong</v>
          </cell>
          <cell r="F4196" t="str">
            <v>Lck6122evg</v>
          </cell>
          <cell r="G4196" t="str">
            <v>ZHONGTONG</v>
          </cell>
          <cell r="H4196" t="str">
            <v>LCK6122EVG</v>
          </cell>
          <cell r="I4196">
            <v>2025</v>
          </cell>
          <cell r="J4196" t="str">
            <v>B</v>
          </cell>
          <cell r="K4196" t="str">
            <v>PIE ANDINO</v>
          </cell>
          <cell r="L4196" t="str">
            <v>Pie Andino 31 (Pie Andino 383)</v>
          </cell>
          <cell r="M4196" t="str">
            <v>Puente Alto</v>
          </cell>
          <cell r="N4196" t="str">
            <v>B</v>
          </cell>
        </row>
        <row r="4197">
          <cell r="B4197" t="str">
            <v>VFPP-11|</v>
          </cell>
          <cell r="C4197" t="str">
            <v>MDN35025010191</v>
          </cell>
          <cell r="D4197" t="str">
            <v>LDYECS316S0044056</v>
          </cell>
          <cell r="E4197" t="str">
            <v>Zhong Tong</v>
          </cell>
          <cell r="F4197" t="str">
            <v>Lck6122evg</v>
          </cell>
          <cell r="G4197" t="str">
            <v>ZHONGTONG</v>
          </cell>
          <cell r="H4197" t="str">
            <v>LCK6122EVG</v>
          </cell>
          <cell r="I4197">
            <v>2025</v>
          </cell>
          <cell r="J4197" t="str">
            <v>B</v>
          </cell>
          <cell r="K4197" t="str">
            <v>PIE ANDINO</v>
          </cell>
          <cell r="L4197" t="str">
            <v>Pie Andino 31 (Pie Andino 383)</v>
          </cell>
          <cell r="M4197" t="str">
            <v>Puente Alto</v>
          </cell>
          <cell r="N4197" t="str">
            <v>B</v>
          </cell>
        </row>
        <row r="4198">
          <cell r="B4198" t="str">
            <v>VFPS-39|</v>
          </cell>
          <cell r="C4198" t="str">
            <v>MDN35025010217</v>
          </cell>
          <cell r="D4198" t="str">
            <v>LDYECS319S0044083</v>
          </cell>
          <cell r="E4198" t="str">
            <v>Zhong Tong</v>
          </cell>
          <cell r="F4198" t="str">
            <v>Lck6122evg</v>
          </cell>
          <cell r="G4198" t="str">
            <v>ZHONGTONG</v>
          </cell>
          <cell r="H4198" t="str">
            <v>LCK6122EVG</v>
          </cell>
          <cell r="I4198">
            <v>2025</v>
          </cell>
          <cell r="J4198" t="str">
            <v>B</v>
          </cell>
          <cell r="K4198" t="str">
            <v>CERRILLOS</v>
          </cell>
          <cell r="L4198" t="str">
            <v>Calle Uno 7371</v>
          </cell>
          <cell r="M4198" t="str">
            <v>Cerrillos</v>
          </cell>
          <cell r="N4198" t="str">
            <v>B</v>
          </cell>
        </row>
        <row r="4199">
          <cell r="B4199" t="str">
            <v>VFPS-47|</v>
          </cell>
          <cell r="C4199" t="str">
            <v>MDN35025020132</v>
          </cell>
          <cell r="D4199" t="str">
            <v>LDYECS318S0044057</v>
          </cell>
          <cell r="E4199" t="str">
            <v>Zhong Tong</v>
          </cell>
          <cell r="F4199" t="str">
            <v>Lck6122evg</v>
          </cell>
          <cell r="G4199" t="str">
            <v>ZHONGTONG</v>
          </cell>
          <cell r="H4199" t="str">
            <v>LCK6122EVG</v>
          </cell>
          <cell r="I4199">
            <v>2025</v>
          </cell>
          <cell r="J4199" t="str">
            <v>B</v>
          </cell>
          <cell r="K4199" t="str">
            <v>CERRILLOS</v>
          </cell>
          <cell r="L4199" t="str">
            <v>Calle Uno 7371</v>
          </cell>
          <cell r="M4199" t="str">
            <v>Cerrillos</v>
          </cell>
          <cell r="N4199" t="str">
            <v>B</v>
          </cell>
        </row>
        <row r="4200">
          <cell r="B4200" t="str">
            <v>VFPS-48|</v>
          </cell>
          <cell r="C4200" t="str">
            <v>MDN35025020073</v>
          </cell>
          <cell r="D4200" t="str">
            <v>LDYECS315S0044050</v>
          </cell>
          <cell r="E4200" t="str">
            <v>Zhong Tong</v>
          </cell>
          <cell r="F4200" t="str">
            <v>Lck6122evg</v>
          </cell>
          <cell r="G4200" t="str">
            <v>ZHONGTONG</v>
          </cell>
          <cell r="H4200" t="str">
            <v>LCK6122EVG</v>
          </cell>
          <cell r="I4200">
            <v>2025</v>
          </cell>
          <cell r="J4200" t="str">
            <v>B</v>
          </cell>
          <cell r="K4200" t="str">
            <v>PIE ANDINO</v>
          </cell>
          <cell r="L4200" t="str">
            <v>Pie Andino 31 (Pie Andino 383)</v>
          </cell>
          <cell r="M4200" t="str">
            <v>Puente Alto</v>
          </cell>
          <cell r="N4200" t="str">
            <v>B</v>
          </cell>
        </row>
        <row r="4201">
          <cell r="B4201" t="str">
            <v>VFPS-56|</v>
          </cell>
          <cell r="C4201" t="str">
            <v>MDN35025010190</v>
          </cell>
          <cell r="D4201" t="str">
            <v>LDYECS310S0044084</v>
          </cell>
          <cell r="E4201" t="str">
            <v>Zhong Tong</v>
          </cell>
          <cell r="F4201" t="str">
            <v>Lck6122evg</v>
          </cell>
          <cell r="G4201" t="str">
            <v>ZHONGTONG</v>
          </cell>
          <cell r="H4201" t="str">
            <v>LCK6122EVG</v>
          </cell>
          <cell r="I4201">
            <v>2025</v>
          </cell>
          <cell r="J4201" t="str">
            <v>B</v>
          </cell>
          <cell r="K4201" t="str">
            <v>PIE ANDINO</v>
          </cell>
          <cell r="L4201" t="str">
            <v>Pie Andino 31 (Pie Andino 383)</v>
          </cell>
          <cell r="M4201" t="str">
            <v>Puente Alto</v>
          </cell>
          <cell r="N4201" t="str">
            <v>B</v>
          </cell>
        </row>
        <row r="4202">
          <cell r="B4202" t="str">
            <v>VFPS-65|</v>
          </cell>
          <cell r="C4202" t="str">
            <v>MDN35025020029</v>
          </cell>
          <cell r="D4202" t="str">
            <v>LDYECS311S0044045</v>
          </cell>
          <cell r="E4202" t="str">
            <v>Zhong Tong</v>
          </cell>
          <cell r="F4202" t="str">
            <v>Lck6122evg</v>
          </cell>
          <cell r="G4202" t="str">
            <v>ZHONGTONG</v>
          </cell>
          <cell r="H4202" t="str">
            <v>LCK6122EVG</v>
          </cell>
          <cell r="I4202">
            <v>2025</v>
          </cell>
          <cell r="J4202" t="str">
            <v>B</v>
          </cell>
          <cell r="K4202" t="str">
            <v>CERRILLOS</v>
          </cell>
          <cell r="L4202" t="str">
            <v>Calle Uno 7371</v>
          </cell>
          <cell r="M4202" t="str">
            <v>Cerrillos</v>
          </cell>
          <cell r="N4202" t="str">
            <v>B</v>
          </cell>
        </row>
        <row r="4203">
          <cell r="B4203" t="str">
            <v>VFPS-69|</v>
          </cell>
          <cell r="C4203" t="str">
            <v>MDN35025010198</v>
          </cell>
          <cell r="D4203" t="str">
            <v>LDYECS314S0044038</v>
          </cell>
          <cell r="E4203" t="str">
            <v>Zhong Tong</v>
          </cell>
          <cell r="F4203" t="str">
            <v>Lck6122evg</v>
          </cell>
          <cell r="G4203" t="str">
            <v>ZHONGTONG</v>
          </cell>
          <cell r="H4203" t="str">
            <v>LCK6122EVG</v>
          </cell>
          <cell r="I4203">
            <v>2025</v>
          </cell>
          <cell r="J4203" t="str">
            <v>B</v>
          </cell>
          <cell r="K4203" t="str">
            <v>CERRILLOS</v>
          </cell>
          <cell r="L4203" t="str">
            <v>Calle Uno 7371</v>
          </cell>
          <cell r="M4203" t="str">
            <v>Cerrillos</v>
          </cell>
          <cell r="N4203" t="str">
            <v>B</v>
          </cell>
        </row>
        <row r="4204">
          <cell r="B4204" t="str">
            <v>VFPS-74|</v>
          </cell>
          <cell r="C4204" t="str">
            <v>MDN35025020050</v>
          </cell>
          <cell r="D4204" t="str">
            <v>LDYECS311S0044028</v>
          </cell>
          <cell r="E4204" t="str">
            <v>Zhong Tong</v>
          </cell>
          <cell r="F4204" t="str">
            <v>Lck6122evg</v>
          </cell>
          <cell r="G4204" t="str">
            <v>ZHONGTONG</v>
          </cell>
          <cell r="H4204" t="str">
            <v>LCK6122EVG</v>
          </cell>
          <cell r="I4204">
            <v>2025</v>
          </cell>
          <cell r="J4204" t="str">
            <v>B</v>
          </cell>
          <cell r="K4204" t="str">
            <v>PIE ANDINO</v>
          </cell>
          <cell r="L4204" t="str">
            <v>Pie Andino 31 (Pie Andino 383)</v>
          </cell>
          <cell r="M4204" t="str">
            <v>Puente Alto</v>
          </cell>
          <cell r="N4204" t="str">
            <v>B</v>
          </cell>
        </row>
        <row r="4205">
          <cell r="B4205" t="str">
            <v>VFPS-78|</v>
          </cell>
          <cell r="C4205" t="str">
            <v>MDN35025020099</v>
          </cell>
          <cell r="D4205" t="str">
            <v>LDYECS311S0044031</v>
          </cell>
          <cell r="E4205" t="str">
            <v>Zhong Tong</v>
          </cell>
          <cell r="F4205" t="str">
            <v>Lck6122evg</v>
          </cell>
          <cell r="G4205" t="str">
            <v>ZHONGTONG</v>
          </cell>
          <cell r="H4205" t="str">
            <v>LCK6122EVG</v>
          </cell>
          <cell r="I4205">
            <v>2025</v>
          </cell>
          <cell r="J4205" t="str">
            <v>B</v>
          </cell>
          <cell r="K4205" t="str">
            <v>PIE ANDINO</v>
          </cell>
          <cell r="L4205" t="str">
            <v>Pie Andino 31 (Pie Andino 383)</v>
          </cell>
          <cell r="M4205" t="str">
            <v>Puente Alto</v>
          </cell>
          <cell r="N4205" t="str">
            <v>B</v>
          </cell>
        </row>
        <row r="4206">
          <cell r="B4206" t="str">
            <v>VFPS-85|</v>
          </cell>
          <cell r="C4206" t="str">
            <v>MDN35025010246</v>
          </cell>
          <cell r="D4206" t="str">
            <v>LDYECS314S0044055</v>
          </cell>
          <cell r="E4206" t="str">
            <v>Zhong Tong</v>
          </cell>
          <cell r="F4206" t="str">
            <v>Lck6122evg</v>
          </cell>
          <cell r="G4206" t="str">
            <v>ZHONGTONG</v>
          </cell>
          <cell r="H4206" t="str">
            <v>LCK6122EVG</v>
          </cell>
          <cell r="I4206">
            <v>2025</v>
          </cell>
          <cell r="J4206" t="str">
            <v>B</v>
          </cell>
          <cell r="K4206" t="str">
            <v>PIE ANDINO</v>
          </cell>
          <cell r="L4206" t="str">
            <v>Pie Andino 31 (Pie Andino 383)</v>
          </cell>
          <cell r="M4206" t="str">
            <v>Puente Alto</v>
          </cell>
          <cell r="N4206" t="str">
            <v>B</v>
          </cell>
        </row>
        <row r="4207">
          <cell r="B4207" t="str">
            <v>VFPS-86|</v>
          </cell>
          <cell r="C4207" t="str">
            <v>MDN35025020047</v>
          </cell>
          <cell r="D4207" t="str">
            <v>LDYECS310S0044036</v>
          </cell>
          <cell r="E4207" t="str">
            <v>Zhong Tong</v>
          </cell>
          <cell r="F4207" t="str">
            <v>Lck6122evg</v>
          </cell>
          <cell r="G4207" t="str">
            <v>ZHONGTONG</v>
          </cell>
          <cell r="H4207" t="str">
            <v>LCK6122EVG</v>
          </cell>
          <cell r="I4207">
            <v>2025</v>
          </cell>
          <cell r="J4207" t="str">
            <v>B</v>
          </cell>
          <cell r="K4207" t="str">
            <v>PIE ANDINO</v>
          </cell>
          <cell r="L4207" t="str">
            <v>Pie Andino 31 (Pie Andino 383)</v>
          </cell>
          <cell r="M4207" t="str">
            <v>Puente Alto</v>
          </cell>
          <cell r="N4207" t="str">
            <v>B</v>
          </cell>
        </row>
        <row r="4208">
          <cell r="B4208" t="str">
            <v>VFPS-87|</v>
          </cell>
          <cell r="C4208" t="str">
            <v>MDN35025020114</v>
          </cell>
          <cell r="D4208" t="str">
            <v>LDYECS315S0044033</v>
          </cell>
          <cell r="E4208" t="str">
            <v>Zhong Tong</v>
          </cell>
          <cell r="F4208" t="str">
            <v>Lck6122evg</v>
          </cell>
          <cell r="G4208" t="str">
            <v>ZHONGTONG</v>
          </cell>
          <cell r="H4208" t="str">
            <v>LCK6122EVG</v>
          </cell>
          <cell r="I4208">
            <v>2025</v>
          </cell>
          <cell r="J4208" t="str">
            <v>B</v>
          </cell>
          <cell r="K4208" t="str">
            <v>CERRILLOS</v>
          </cell>
          <cell r="L4208" t="str">
            <v>Calle Uno 7371</v>
          </cell>
          <cell r="M4208" t="str">
            <v>Cerrillos</v>
          </cell>
          <cell r="N4208" t="str">
            <v>B</v>
          </cell>
        </row>
        <row r="4209">
          <cell r="B4209" t="str">
            <v>VFPS-89|</v>
          </cell>
          <cell r="C4209" t="str">
            <v>MDN35025020031</v>
          </cell>
          <cell r="D4209" t="str">
            <v>LDYECS319S0044049</v>
          </cell>
          <cell r="E4209" t="str">
            <v>Zhong Tong</v>
          </cell>
          <cell r="F4209" t="str">
            <v>Lck6122evg</v>
          </cell>
          <cell r="G4209" t="str">
            <v>ZHONGTONG</v>
          </cell>
          <cell r="H4209" t="str">
            <v>LCK6122EVG</v>
          </cell>
          <cell r="I4209">
            <v>2025</v>
          </cell>
          <cell r="J4209" t="str">
            <v>B</v>
          </cell>
          <cell r="K4209" t="str">
            <v>PIE ANDINO</v>
          </cell>
          <cell r="L4209" t="str">
            <v>Pie Andino 31 (Pie Andino 383)</v>
          </cell>
          <cell r="M4209" t="str">
            <v>Puente Alto</v>
          </cell>
          <cell r="N4209" t="str">
            <v>B</v>
          </cell>
        </row>
        <row r="4210">
          <cell r="B4210" t="str">
            <v>VFPS-94|</v>
          </cell>
          <cell r="C4210" t="str">
            <v>MDN35025020072</v>
          </cell>
          <cell r="D4210" t="str">
            <v>LDYECS317S0044051</v>
          </cell>
          <cell r="E4210" t="str">
            <v>Zhong Tong</v>
          </cell>
          <cell r="F4210" t="str">
            <v>Lck6122evg</v>
          </cell>
          <cell r="G4210" t="str">
            <v>ZHONGTONG</v>
          </cell>
          <cell r="H4210" t="str">
            <v>LCK6122EVG</v>
          </cell>
          <cell r="I4210">
            <v>2025</v>
          </cell>
          <cell r="J4210" t="str">
            <v>B</v>
          </cell>
          <cell r="K4210" t="str">
            <v>PIE ANDINO</v>
          </cell>
          <cell r="L4210" t="str">
            <v>Pie Andino 31 (Pie Andino 383)</v>
          </cell>
          <cell r="M4210" t="str">
            <v>Puente Alto</v>
          </cell>
          <cell r="N4210" t="str">
            <v>B</v>
          </cell>
        </row>
        <row r="4211">
          <cell r="B4211" t="str">
            <v>VFPS-99|</v>
          </cell>
          <cell r="C4211" t="str">
            <v>MDN35025020042</v>
          </cell>
          <cell r="D4211" t="str">
            <v>LDYECS315S0044078</v>
          </cell>
          <cell r="E4211" t="str">
            <v>Zhong Tong</v>
          </cell>
          <cell r="F4211" t="str">
            <v>Lck6122evg</v>
          </cell>
          <cell r="G4211" t="str">
            <v>ZHONGTONG</v>
          </cell>
          <cell r="H4211" t="str">
            <v>LCK6122EVG</v>
          </cell>
          <cell r="I4211">
            <v>2025</v>
          </cell>
          <cell r="J4211" t="str">
            <v>B</v>
          </cell>
          <cell r="K4211" t="str">
            <v>PIE ANDINO</v>
          </cell>
          <cell r="L4211" t="str">
            <v>Pie Andino 31 (Pie Andino 383)</v>
          </cell>
          <cell r="M4211" t="str">
            <v>Puente Alto</v>
          </cell>
          <cell r="N4211" t="str">
            <v>B</v>
          </cell>
        </row>
        <row r="4212">
          <cell r="B4212" t="str">
            <v>VFPT-23|</v>
          </cell>
          <cell r="C4212" t="str">
            <v>MDN35025020105</v>
          </cell>
          <cell r="D4212" t="str">
            <v>LDYECS312S0044040</v>
          </cell>
          <cell r="E4212" t="str">
            <v>Zhong Tong</v>
          </cell>
          <cell r="F4212" t="str">
            <v>Lck6122evg</v>
          </cell>
          <cell r="G4212" t="str">
            <v>ZHONGTONG</v>
          </cell>
          <cell r="H4212" t="str">
            <v>LCK6122EVG</v>
          </cell>
          <cell r="I4212">
            <v>2025</v>
          </cell>
          <cell r="J4212" t="str">
            <v>B</v>
          </cell>
          <cell r="K4212" t="str">
            <v>SAN ALFONSO</v>
          </cell>
          <cell r="L4212" t="str">
            <v>San Alfonso 2141 (Ramón Subercaseaux 3060)</v>
          </cell>
          <cell r="M4212" t="str">
            <v>Estacion Central</v>
          </cell>
          <cell r="N4212" t="str">
            <v>B</v>
          </cell>
        </row>
        <row r="4213">
          <cell r="B4213" t="str">
            <v>VFPT-27|</v>
          </cell>
          <cell r="C4213" t="str">
            <v>MDN35025020129</v>
          </cell>
          <cell r="D4213" t="str">
            <v>LDYECS319S0044035</v>
          </cell>
          <cell r="E4213" t="str">
            <v>Zhong Tong</v>
          </cell>
          <cell r="F4213" t="str">
            <v>Lck6122evg</v>
          </cell>
          <cell r="G4213" t="str">
            <v>ZHONGTONG</v>
          </cell>
          <cell r="H4213" t="str">
            <v>LCK6122EVG</v>
          </cell>
          <cell r="I4213">
            <v>2025</v>
          </cell>
          <cell r="J4213" t="str">
            <v>B</v>
          </cell>
          <cell r="K4213" t="str">
            <v>SAN ALFONSO</v>
          </cell>
          <cell r="L4213" t="str">
            <v>San Alfonso 2141 (Ramón Subercaseaux 3060)</v>
          </cell>
          <cell r="M4213" t="str">
            <v>Estacion Central</v>
          </cell>
          <cell r="N4213" t="str">
            <v>B</v>
          </cell>
        </row>
        <row r="4214">
          <cell r="B4214" t="str">
            <v>VFPT-47|</v>
          </cell>
          <cell r="C4214" t="str">
            <v>MDN35025020107</v>
          </cell>
          <cell r="D4214" t="str">
            <v>LDYECS313S0044063</v>
          </cell>
          <cell r="E4214" t="str">
            <v>Zhong Tong</v>
          </cell>
          <cell r="F4214" t="str">
            <v>Lck6122evg</v>
          </cell>
          <cell r="G4214" t="str">
            <v>ZHONGTONG</v>
          </cell>
          <cell r="H4214" t="str">
            <v>LCK6122EVG</v>
          </cell>
          <cell r="I4214">
            <v>2025</v>
          </cell>
          <cell r="J4214" t="str">
            <v>B</v>
          </cell>
          <cell r="K4214" t="str">
            <v>PIE ANDINO</v>
          </cell>
          <cell r="L4214" t="str">
            <v>Pie Andino 31 (Pie Andino 383)</v>
          </cell>
          <cell r="M4214" t="str">
            <v>Puente Alto</v>
          </cell>
          <cell r="N4214" t="str">
            <v>B</v>
          </cell>
        </row>
        <row r="4215">
          <cell r="B4215" t="str">
            <v>VFPT-63|</v>
          </cell>
          <cell r="C4215" t="str">
            <v>MDN35025010243</v>
          </cell>
          <cell r="D4215" t="str">
            <v>LDYECS310S0044053</v>
          </cell>
          <cell r="E4215" t="str">
            <v>Zhong Tong</v>
          </cell>
          <cell r="F4215" t="str">
            <v>Lck6122evg</v>
          </cell>
          <cell r="G4215" t="str">
            <v>ZHONGTONG</v>
          </cell>
          <cell r="H4215" t="str">
            <v>LCK6122EVG</v>
          </cell>
          <cell r="I4215">
            <v>2025</v>
          </cell>
          <cell r="J4215" t="str">
            <v>B</v>
          </cell>
          <cell r="K4215" t="str">
            <v>PIE ANDINO</v>
          </cell>
          <cell r="L4215" t="str">
            <v>Pie Andino 31 (Pie Andino 383)</v>
          </cell>
          <cell r="M4215" t="str">
            <v>Puente Alto</v>
          </cell>
          <cell r="N4215" t="str">
            <v>B</v>
          </cell>
        </row>
        <row r="4216">
          <cell r="B4216" t="str">
            <v>VFPT-64|</v>
          </cell>
          <cell r="C4216" t="str">
            <v>MDN35025020034</v>
          </cell>
          <cell r="D4216" t="str">
            <v>LDYECS315S0044064</v>
          </cell>
          <cell r="E4216" t="str">
            <v>Zhong Tong</v>
          </cell>
          <cell r="F4216" t="str">
            <v>Lck6122evg</v>
          </cell>
          <cell r="G4216" t="str">
            <v>ZHONGTONG</v>
          </cell>
          <cell r="H4216" t="str">
            <v>LCK6122EVG</v>
          </cell>
          <cell r="I4216">
            <v>2025</v>
          </cell>
          <cell r="J4216" t="str">
            <v>B</v>
          </cell>
          <cell r="K4216" t="str">
            <v>PIE ANDINO</v>
          </cell>
          <cell r="L4216" t="str">
            <v>Pie Andino 31 (Pie Andino 383)</v>
          </cell>
          <cell r="M4216" t="str">
            <v>Puente Alto</v>
          </cell>
          <cell r="N4216" t="str">
            <v>B</v>
          </cell>
        </row>
        <row r="4217">
          <cell r="B4217" t="str">
            <v>VFPT-65|</v>
          </cell>
          <cell r="C4217" t="str">
            <v>MDN35025010187</v>
          </cell>
          <cell r="D4217" t="str">
            <v>LDYECS318S0044043</v>
          </cell>
          <cell r="E4217" t="str">
            <v>Zhong Tong</v>
          </cell>
          <cell r="F4217" t="str">
            <v>Lck6122evg</v>
          </cell>
          <cell r="G4217" t="str">
            <v>ZHONGTONG</v>
          </cell>
          <cell r="H4217" t="str">
            <v>LCK6122EVG</v>
          </cell>
          <cell r="I4217">
            <v>2025</v>
          </cell>
          <cell r="J4217" t="str">
            <v>B</v>
          </cell>
          <cell r="K4217" t="str">
            <v>PIE ANDINO</v>
          </cell>
          <cell r="L4217" t="str">
            <v>Pie Andino 31 (Pie Andino 383)</v>
          </cell>
          <cell r="M4217" t="str">
            <v>Puente Alto</v>
          </cell>
          <cell r="N4217" t="str">
            <v>B</v>
          </cell>
        </row>
        <row r="4218">
          <cell r="B4218" t="str">
            <v>VFPV-53|</v>
          </cell>
          <cell r="C4218" t="str">
            <v>MDN35025010199</v>
          </cell>
          <cell r="D4218" t="str">
            <v>LDYECS316S0044042</v>
          </cell>
          <cell r="E4218" t="str">
            <v>Zhong Tong</v>
          </cell>
          <cell r="F4218" t="str">
            <v>Lck6122evg</v>
          </cell>
          <cell r="G4218" t="str">
            <v>ZHONGTONG</v>
          </cell>
          <cell r="H4218" t="str">
            <v>LCK6122EVG</v>
          </cell>
          <cell r="I4218">
            <v>2025</v>
          </cell>
          <cell r="J4218" t="str">
            <v>B</v>
          </cell>
          <cell r="K4218" t="str">
            <v>PIE ANDINO</v>
          </cell>
          <cell r="L4218" t="str">
            <v>Pie Andino 31 (Pie Andino 383)</v>
          </cell>
          <cell r="M4218" t="str">
            <v>Puente Alto</v>
          </cell>
          <cell r="N4218" t="str">
            <v>B</v>
          </cell>
        </row>
        <row r="4219">
          <cell r="B4219" t="str">
            <v>VFPV-63|</v>
          </cell>
          <cell r="C4219" t="str">
            <v>MDN35025020089</v>
          </cell>
          <cell r="D4219" t="str">
            <v>LDYECS317S0044048</v>
          </cell>
          <cell r="E4219" t="str">
            <v>Zhong Tong</v>
          </cell>
          <cell r="F4219" t="str">
            <v>Lck6122evg</v>
          </cell>
          <cell r="G4219" t="str">
            <v>ZHONGTONG</v>
          </cell>
          <cell r="H4219" t="str">
            <v>LCK6122EVG</v>
          </cell>
          <cell r="I4219">
            <v>2025</v>
          </cell>
          <cell r="J4219" t="str">
            <v>B</v>
          </cell>
          <cell r="K4219" t="str">
            <v>SAN ALFONSO</v>
          </cell>
          <cell r="L4219" t="str">
            <v>San Alfonso 2141 (Ramón Subercaseaux 3060)</v>
          </cell>
          <cell r="M4219" t="str">
            <v>Estacion Central</v>
          </cell>
          <cell r="N4219" t="str">
            <v>B</v>
          </cell>
        </row>
        <row r="4220">
          <cell r="B4220" t="str">
            <v>VFPV-73|</v>
          </cell>
          <cell r="C4220" t="str">
            <v>MDN35025020078</v>
          </cell>
          <cell r="D4220" t="str">
            <v>LDYECS311S0044062</v>
          </cell>
          <cell r="E4220" t="str">
            <v>Zhong Tong</v>
          </cell>
          <cell r="F4220" t="str">
            <v>Lck6122evg</v>
          </cell>
          <cell r="G4220" t="str">
            <v>ZHONGTONG</v>
          </cell>
          <cell r="H4220" t="str">
            <v>LCK6122EVG</v>
          </cell>
          <cell r="I4220">
            <v>2025</v>
          </cell>
          <cell r="J4220" t="str">
            <v>B</v>
          </cell>
          <cell r="K4220" t="str">
            <v>SAN ALFONSO</v>
          </cell>
          <cell r="L4220" t="str">
            <v>San Alfonso 2141 (Ramón Subercaseaux 3060)</v>
          </cell>
          <cell r="M4220" t="str">
            <v>Estacion Central</v>
          </cell>
          <cell r="N4220" t="str">
            <v>B</v>
          </cell>
        </row>
        <row r="4221">
          <cell r="B4221" t="str">
            <v>VFPV-83|</v>
          </cell>
          <cell r="C4221" t="str">
            <v>MDN35025020036</v>
          </cell>
          <cell r="D4221" t="str">
            <v>LDYECS319S0044066</v>
          </cell>
          <cell r="E4221" t="str">
            <v>Zhong Tong</v>
          </cell>
          <cell r="F4221" t="str">
            <v>Lck6122evg</v>
          </cell>
          <cell r="G4221" t="str">
            <v>ZHONGTONG</v>
          </cell>
          <cell r="H4221" t="str">
            <v>LCK6122EVG</v>
          </cell>
          <cell r="I4221">
            <v>2025</v>
          </cell>
          <cell r="J4221" t="str">
            <v>B</v>
          </cell>
          <cell r="K4221" t="str">
            <v>PIE ANDINO</v>
          </cell>
          <cell r="L4221" t="str">
            <v>Pie Andino 31 (Pie Andino 383)</v>
          </cell>
          <cell r="M4221" t="str">
            <v>Puente Alto</v>
          </cell>
          <cell r="N4221" t="str">
            <v>B</v>
          </cell>
        </row>
        <row r="4222">
          <cell r="B4222" t="str">
            <v>VFPV-93|</v>
          </cell>
          <cell r="C4222" t="str">
            <v>MDN35025020126</v>
          </cell>
          <cell r="D4222" t="str">
            <v>LDYECS318S0044074</v>
          </cell>
          <cell r="E4222" t="str">
            <v>Zhong Tong</v>
          </cell>
          <cell r="F4222" t="str">
            <v>Lck6122evg</v>
          </cell>
          <cell r="G4222" t="str">
            <v>ZHONGTONG</v>
          </cell>
          <cell r="H4222" t="str">
            <v>LCK6122EVG</v>
          </cell>
          <cell r="I4222">
            <v>2025</v>
          </cell>
          <cell r="J4222" t="str">
            <v>B</v>
          </cell>
          <cell r="K4222" t="str">
            <v>PIE ANDINO</v>
          </cell>
          <cell r="L4222" t="str">
            <v>Pie Andino 31 (Pie Andino 383)</v>
          </cell>
          <cell r="M4222" t="str">
            <v>Puente Alto</v>
          </cell>
          <cell r="N4222" t="str">
            <v>B</v>
          </cell>
        </row>
        <row r="4223">
          <cell r="B4223" t="str">
            <v>VFPW-13|</v>
          </cell>
          <cell r="C4223" t="str">
            <v>MDN35025010041</v>
          </cell>
          <cell r="D4223" t="str">
            <v>LDYECS315S0043819</v>
          </cell>
          <cell r="E4223" t="str">
            <v>Zhong Tong</v>
          </cell>
          <cell r="F4223" t="str">
            <v>Lck6122evg</v>
          </cell>
          <cell r="G4223" t="str">
            <v>ZHONGTONG</v>
          </cell>
          <cell r="H4223" t="str">
            <v>LCK6122EVG</v>
          </cell>
          <cell r="I4223">
            <v>2025</v>
          </cell>
          <cell r="J4223" t="str">
            <v>B</v>
          </cell>
          <cell r="K4223" t="str">
            <v>SAN ALFONSO</v>
          </cell>
          <cell r="L4223" t="str">
            <v>San Alfonso 2141 (Ramón Subercaseaux 3060)</v>
          </cell>
          <cell r="M4223" t="str">
            <v>Estacion Central</v>
          </cell>
          <cell r="N4223" t="str">
            <v>B</v>
          </cell>
        </row>
        <row r="4224">
          <cell r="B4224" t="str">
            <v>VFPW-23|</v>
          </cell>
          <cell r="C4224" t="str">
            <v>MDN35025020021</v>
          </cell>
          <cell r="D4224" t="str">
            <v>LDYECS316S0044106</v>
          </cell>
          <cell r="E4224" t="str">
            <v>Zhong Tong</v>
          </cell>
          <cell r="F4224" t="str">
            <v>Lck6122evg</v>
          </cell>
          <cell r="G4224" t="str">
            <v>ZHONGTONG</v>
          </cell>
          <cell r="H4224" t="str">
            <v>LCK6122EVG</v>
          </cell>
          <cell r="I4224">
            <v>2025</v>
          </cell>
          <cell r="J4224" t="str">
            <v>B</v>
          </cell>
          <cell r="K4224" t="str">
            <v>SAN ALFONSO</v>
          </cell>
          <cell r="L4224" t="str">
            <v>San Alfonso 2141 (Ramón Subercaseaux 3060)</v>
          </cell>
          <cell r="M4224" t="str">
            <v>Estacion Central</v>
          </cell>
          <cell r="N4224" t="str">
            <v>B</v>
          </cell>
        </row>
        <row r="4225">
          <cell r="B4225" t="str">
            <v>VFPW-33|</v>
          </cell>
          <cell r="C4225" t="str">
            <v>MDN35025020102</v>
          </cell>
          <cell r="D4225" t="str">
            <v>LDYECS31XS0044044</v>
          </cell>
          <cell r="E4225" t="str">
            <v>Zhong Tong</v>
          </cell>
          <cell r="F4225" t="str">
            <v>Lck6122evg</v>
          </cell>
          <cell r="G4225" t="str">
            <v>ZHONGTONG</v>
          </cell>
          <cell r="H4225" t="str">
            <v>LCK6122EVG</v>
          </cell>
          <cell r="I4225">
            <v>2025</v>
          </cell>
          <cell r="J4225" t="str">
            <v>B</v>
          </cell>
          <cell r="K4225" t="str">
            <v>SAN ALFONSO</v>
          </cell>
          <cell r="L4225" t="str">
            <v>San Alfonso 2141 (Ramón Subercaseaux 3060)</v>
          </cell>
          <cell r="M4225" t="str">
            <v>Estacion Central</v>
          </cell>
          <cell r="N4225" t="str">
            <v>B</v>
          </cell>
        </row>
        <row r="4226">
          <cell r="B4226" t="str">
            <v>VFPW-63|</v>
          </cell>
          <cell r="C4226" t="str">
            <v>MDN35025020003</v>
          </cell>
          <cell r="D4226" t="str">
            <v>LDYECS314S0044069</v>
          </cell>
          <cell r="E4226" t="str">
            <v>Zhong Tong</v>
          </cell>
          <cell r="F4226" t="str">
            <v>Lck6122evg</v>
          </cell>
          <cell r="G4226" t="str">
            <v>ZHONGTONG</v>
          </cell>
          <cell r="H4226" t="str">
            <v>LCK6122EVG</v>
          </cell>
          <cell r="I4226">
            <v>2025</v>
          </cell>
          <cell r="J4226" t="str">
            <v>B</v>
          </cell>
          <cell r="K4226" t="str">
            <v>PIE ANDINO</v>
          </cell>
          <cell r="L4226" t="str">
            <v>Pie Andino 31 (Pie Andino 383)</v>
          </cell>
          <cell r="M4226" t="str">
            <v>Puente Alto</v>
          </cell>
          <cell r="N4226" t="str">
            <v>B</v>
          </cell>
        </row>
        <row r="4227">
          <cell r="B4227" t="str">
            <v>VFPW-73|</v>
          </cell>
          <cell r="C4227" t="str">
            <v>MDN35025020091</v>
          </cell>
          <cell r="D4227" t="str">
            <v>LDYECS313S0044046</v>
          </cell>
          <cell r="E4227" t="str">
            <v>Zhong Tong</v>
          </cell>
          <cell r="F4227" t="str">
            <v>Lck6122evg</v>
          </cell>
          <cell r="G4227" t="str">
            <v>ZHONGTONG</v>
          </cell>
          <cell r="H4227" t="str">
            <v>LCK6122EVG</v>
          </cell>
          <cell r="I4227">
            <v>2025</v>
          </cell>
          <cell r="J4227" t="str">
            <v>B</v>
          </cell>
          <cell r="K4227" t="str">
            <v>SAN ALFONSO</v>
          </cell>
          <cell r="L4227" t="str">
            <v>San Alfonso 2141 (Ramón Subercaseaux 3060)</v>
          </cell>
          <cell r="M4227" t="str">
            <v>Estacion Central</v>
          </cell>
          <cell r="N4227" t="str">
            <v>B</v>
          </cell>
        </row>
        <row r="4228">
          <cell r="B4228" t="str">
            <v>VFPX-13|</v>
          </cell>
          <cell r="C4228" t="str">
            <v>MDN35025020039</v>
          </cell>
          <cell r="D4228" t="str">
            <v>LDYECS312S0044071</v>
          </cell>
          <cell r="E4228" t="str">
            <v>Zhong Tong</v>
          </cell>
          <cell r="F4228" t="str">
            <v>Lck6122evg</v>
          </cell>
          <cell r="G4228" t="str">
            <v>ZHONGTONG</v>
          </cell>
          <cell r="H4228" t="str">
            <v>LCK6122EVG</v>
          </cell>
          <cell r="I4228">
            <v>2025</v>
          </cell>
          <cell r="J4228" t="str">
            <v>B</v>
          </cell>
          <cell r="K4228" t="str">
            <v>SAN ALFONSO</v>
          </cell>
          <cell r="L4228" t="str">
            <v>San Alfonso 2141 (Ramón Subercaseaux 3060)</v>
          </cell>
          <cell r="M4228" t="str">
            <v>Estacion Central</v>
          </cell>
          <cell r="N4228" t="str">
            <v>B</v>
          </cell>
        </row>
        <row r="4229">
          <cell r="B4229" t="str">
            <v>VFPX-33|</v>
          </cell>
          <cell r="C4229" t="str">
            <v>MDN35025020085</v>
          </cell>
          <cell r="D4229" t="str">
            <v>LDYECS311S0044076</v>
          </cell>
          <cell r="E4229" t="str">
            <v>Zhong Tong</v>
          </cell>
          <cell r="F4229" t="str">
            <v>Lck6122evg</v>
          </cell>
          <cell r="G4229" t="str">
            <v>ZHONGTONG</v>
          </cell>
          <cell r="H4229" t="str">
            <v>LCK6122EVG</v>
          </cell>
          <cell r="I4229">
            <v>2025</v>
          </cell>
          <cell r="J4229" t="str">
            <v>B</v>
          </cell>
          <cell r="K4229" t="str">
            <v>SAN ALFONSO</v>
          </cell>
          <cell r="L4229" t="str">
            <v>San Alfonso 2141 (Ramón Subercaseaux 3060)</v>
          </cell>
          <cell r="M4229" t="str">
            <v>Estacion Central</v>
          </cell>
          <cell r="N4229" t="str">
            <v>B</v>
          </cell>
        </row>
        <row r="4230">
          <cell r="B4230" t="str">
            <v>VFPX-53|</v>
          </cell>
          <cell r="C4230" t="str">
            <v>MDN35025010194</v>
          </cell>
          <cell r="D4230" t="str">
            <v>LDYECS311S0044059</v>
          </cell>
          <cell r="E4230" t="str">
            <v>Zhong Tong</v>
          </cell>
          <cell r="F4230" t="str">
            <v>Lck6122evg</v>
          </cell>
          <cell r="G4230" t="str">
            <v>ZHONGTONG</v>
          </cell>
          <cell r="H4230" t="str">
            <v>LCK6122EVG</v>
          </cell>
          <cell r="I4230">
            <v>2025</v>
          </cell>
          <cell r="J4230" t="str">
            <v>B</v>
          </cell>
          <cell r="K4230" t="str">
            <v>PIE ANDINO</v>
          </cell>
          <cell r="L4230" t="str">
            <v>Pie Andino 31 (Pie Andino 383)</v>
          </cell>
          <cell r="M4230" t="str">
            <v>Puente Alto</v>
          </cell>
          <cell r="N4230" t="str">
            <v>B</v>
          </cell>
        </row>
        <row r="4231">
          <cell r="B4231" t="str">
            <v>VFPX-63|</v>
          </cell>
          <cell r="C4231" t="str">
            <v>MDN35025010098</v>
          </cell>
          <cell r="D4231" t="str">
            <v>LDYECS31XS0044111</v>
          </cell>
          <cell r="E4231" t="str">
            <v>Zhong Tong</v>
          </cell>
          <cell r="F4231" t="str">
            <v>Lck6122evg</v>
          </cell>
          <cell r="G4231" t="str">
            <v>ZHONGTONG</v>
          </cell>
          <cell r="H4231" t="str">
            <v>LCK6122EVG</v>
          </cell>
          <cell r="I4231">
            <v>2025</v>
          </cell>
          <cell r="J4231" t="str">
            <v>B</v>
          </cell>
          <cell r="K4231" t="str">
            <v>PIE ANDINO</v>
          </cell>
          <cell r="L4231" t="str">
            <v>Pie Andino 31 (Pie Andino 383)</v>
          </cell>
          <cell r="M4231" t="str">
            <v>Puente Alto</v>
          </cell>
          <cell r="N4231" t="str">
            <v>B</v>
          </cell>
        </row>
        <row r="4232">
          <cell r="B4232" t="str">
            <v>VFPX-83|</v>
          </cell>
          <cell r="C4232" t="str">
            <v>MDN35025020037</v>
          </cell>
          <cell r="D4232" t="str">
            <v>LDYECS310S0044070</v>
          </cell>
          <cell r="E4232" t="str">
            <v>Zhong Tong</v>
          </cell>
          <cell r="F4232" t="str">
            <v>Lck6122evg</v>
          </cell>
          <cell r="G4232" t="str">
            <v>ZHONGTONG</v>
          </cell>
          <cell r="H4232" t="str">
            <v>LCK6122EVG</v>
          </cell>
          <cell r="I4232">
            <v>2025</v>
          </cell>
          <cell r="J4232" t="str">
            <v>B</v>
          </cell>
          <cell r="K4232" t="str">
            <v>PIE ANDINO</v>
          </cell>
          <cell r="L4232" t="str">
            <v>Pie Andino 31 (Pie Andino 383)</v>
          </cell>
          <cell r="M4232" t="str">
            <v>Puente Alto</v>
          </cell>
          <cell r="N4232" t="str">
            <v>B</v>
          </cell>
        </row>
        <row r="4233">
          <cell r="B4233" t="str">
            <v>VFPX-93|</v>
          </cell>
          <cell r="C4233" t="str">
            <v>MDN35025020023</v>
          </cell>
          <cell r="D4233" t="str">
            <v>LDYECS310S0044067</v>
          </cell>
          <cell r="E4233" t="str">
            <v>Zhong Tong</v>
          </cell>
          <cell r="F4233" t="str">
            <v>Lck6122evg</v>
          </cell>
          <cell r="G4233" t="str">
            <v>ZHONGTONG</v>
          </cell>
          <cell r="H4233" t="str">
            <v>LCK6122EVG</v>
          </cell>
          <cell r="I4233">
            <v>2025</v>
          </cell>
          <cell r="J4233" t="str">
            <v>B</v>
          </cell>
          <cell r="K4233" t="str">
            <v>PIE ANDINO</v>
          </cell>
          <cell r="L4233" t="str">
            <v>Pie Andino 31 (Pie Andino 383)</v>
          </cell>
          <cell r="M4233" t="str">
            <v>Puente Alto</v>
          </cell>
          <cell r="N4233" t="str">
            <v>B</v>
          </cell>
        </row>
        <row r="4234">
          <cell r="B4234" t="str">
            <v>VFPY-13|</v>
          </cell>
          <cell r="C4234" t="str">
            <v>MDN35025010218</v>
          </cell>
          <cell r="D4234" t="str">
            <v>LDYECS316S0044087</v>
          </cell>
          <cell r="E4234" t="str">
            <v>Zhong Tong</v>
          </cell>
          <cell r="F4234" t="str">
            <v>Lck6122evg</v>
          </cell>
          <cell r="G4234" t="str">
            <v>ZHONGTONG</v>
          </cell>
          <cell r="H4234" t="str">
            <v>LCK6122EVG</v>
          </cell>
          <cell r="I4234">
            <v>2025</v>
          </cell>
          <cell r="J4234" t="str">
            <v>B</v>
          </cell>
          <cell r="K4234" t="str">
            <v>SAN ALFONSO</v>
          </cell>
          <cell r="L4234" t="str">
            <v>San Alfonso 2141 (Ramón Subercaseaux 3060)</v>
          </cell>
          <cell r="M4234" t="str">
            <v>Estacion Central</v>
          </cell>
          <cell r="N4234" t="str">
            <v>B</v>
          </cell>
        </row>
        <row r="4235">
          <cell r="B4235" t="str">
            <v>VFPY-23|</v>
          </cell>
          <cell r="C4235" t="str">
            <v>MDN35025020098</v>
          </cell>
          <cell r="D4235" t="str">
            <v>LDYECS315S0044095</v>
          </cell>
          <cell r="E4235" t="str">
            <v>Zhong Tong</v>
          </cell>
          <cell r="F4235" t="str">
            <v>Lck6122evg</v>
          </cell>
          <cell r="G4235" t="str">
            <v>ZHONGTONG</v>
          </cell>
          <cell r="H4235" t="str">
            <v>LCK6122EVG</v>
          </cell>
          <cell r="I4235">
            <v>2025</v>
          </cell>
          <cell r="J4235" t="str">
            <v>B</v>
          </cell>
          <cell r="K4235" t="str">
            <v>PIE ANDINO</v>
          </cell>
          <cell r="L4235" t="str">
            <v>Pie Andino 31 (Pie Andino 383)</v>
          </cell>
          <cell r="M4235" t="str">
            <v>Puente Alto</v>
          </cell>
          <cell r="N4235" t="str">
            <v>B</v>
          </cell>
        </row>
        <row r="4236">
          <cell r="B4236" t="str">
            <v>VFPY-33|</v>
          </cell>
          <cell r="C4236" t="str">
            <v>MDN35025020038</v>
          </cell>
          <cell r="D4236" t="str">
            <v>LDYECS317S0044065</v>
          </cell>
          <cell r="E4236" t="str">
            <v>Zhong Tong</v>
          </cell>
          <cell r="F4236" t="str">
            <v>Lck6122evg</v>
          </cell>
          <cell r="G4236" t="str">
            <v>ZHONGTONG</v>
          </cell>
          <cell r="H4236" t="str">
            <v>LCK6122EVG</v>
          </cell>
          <cell r="I4236">
            <v>2025</v>
          </cell>
          <cell r="J4236" t="str">
            <v>B</v>
          </cell>
          <cell r="K4236" t="str">
            <v>PIE ANDINO</v>
          </cell>
          <cell r="L4236" t="str">
            <v>Pie Andino 31 (Pie Andino 383)</v>
          </cell>
          <cell r="M4236" t="str">
            <v>Puente Alto</v>
          </cell>
          <cell r="N4236" t="str">
            <v>B</v>
          </cell>
        </row>
        <row r="4237">
          <cell r="B4237" t="str">
            <v>VFPY-43|</v>
          </cell>
          <cell r="C4237" t="str">
            <v>MDN35025010188</v>
          </cell>
          <cell r="D4237" t="str">
            <v>LDYECS314S0044072</v>
          </cell>
          <cell r="E4237" t="str">
            <v>Zhong Tong</v>
          </cell>
          <cell r="F4237" t="str">
            <v>Lck6122evg</v>
          </cell>
          <cell r="G4237" t="str">
            <v>ZHONGTONG</v>
          </cell>
          <cell r="H4237" t="str">
            <v>LCK6122EVG</v>
          </cell>
          <cell r="I4237">
            <v>2025</v>
          </cell>
          <cell r="J4237" t="str">
            <v>B</v>
          </cell>
          <cell r="K4237" t="str">
            <v>SAN ALFONSO</v>
          </cell>
          <cell r="L4237" t="str">
            <v>San Alfonso 2141 (Ramón Subercaseaux 3060)</v>
          </cell>
          <cell r="M4237" t="str">
            <v>Estacion Central</v>
          </cell>
          <cell r="N4237" t="str">
            <v>B</v>
          </cell>
        </row>
        <row r="4238">
          <cell r="B4238" t="str">
            <v>VFPZ-27|</v>
          </cell>
          <cell r="C4238" t="str">
            <v>MDN35025010203</v>
          </cell>
          <cell r="D4238" t="str">
            <v>LDYECS311S0044109</v>
          </cell>
          <cell r="E4238" t="str">
            <v>Zhong Tong</v>
          </cell>
          <cell r="F4238" t="str">
            <v>Lck6122evg</v>
          </cell>
          <cell r="G4238" t="str">
            <v>ZHONGTONG</v>
          </cell>
          <cell r="H4238" t="str">
            <v>LCK6122EVG</v>
          </cell>
          <cell r="I4238">
            <v>2025</v>
          </cell>
          <cell r="J4238" t="str">
            <v>B</v>
          </cell>
          <cell r="K4238" t="str">
            <v>SAN ALFONSO</v>
          </cell>
          <cell r="L4238" t="str">
            <v>San Alfonso 2141 (Ramón Subercaseaux 3060)</v>
          </cell>
          <cell r="M4238" t="str">
            <v>Estacion Central</v>
          </cell>
          <cell r="N4238" t="str">
            <v>B</v>
          </cell>
        </row>
        <row r="4239">
          <cell r="B4239" t="str">
            <v>VFPZ-38|</v>
          </cell>
          <cell r="C4239" t="str">
            <v>MDN35025010193</v>
          </cell>
          <cell r="D4239" t="str">
            <v>LDYECS312S0044068</v>
          </cell>
          <cell r="E4239" t="str">
            <v>Zhong Tong</v>
          </cell>
          <cell r="F4239" t="str">
            <v>Lck6122evg</v>
          </cell>
          <cell r="G4239" t="str">
            <v>ZHONGTONG</v>
          </cell>
          <cell r="H4239" t="str">
            <v>LCK6122EVG</v>
          </cell>
          <cell r="I4239">
            <v>2025</v>
          </cell>
          <cell r="J4239" t="str">
            <v>B</v>
          </cell>
          <cell r="K4239" t="str">
            <v>SAN ALFONSO</v>
          </cell>
          <cell r="L4239" t="str">
            <v>San Alfonso 2141 (Ramón Subercaseaux 3060)</v>
          </cell>
          <cell r="M4239" t="str">
            <v>Estacion Central</v>
          </cell>
          <cell r="N4239" t="str">
            <v>B</v>
          </cell>
        </row>
        <row r="4240">
          <cell r="B4240" t="str">
            <v>VFPZ-39|</v>
          </cell>
          <cell r="C4240" t="str">
            <v>MDN35025020011</v>
          </cell>
          <cell r="D4240" t="str">
            <v>LDYECS316S0044090</v>
          </cell>
          <cell r="E4240" t="str">
            <v>Zhong Tong</v>
          </cell>
          <cell r="F4240" t="str">
            <v>Lck6122evg</v>
          </cell>
          <cell r="G4240" t="str">
            <v>ZHONGTONG</v>
          </cell>
          <cell r="H4240" t="str">
            <v>LCK6122EVG</v>
          </cell>
          <cell r="I4240">
            <v>2025</v>
          </cell>
          <cell r="J4240" t="str">
            <v>B</v>
          </cell>
          <cell r="K4240" t="str">
            <v>SAN ALFONSO</v>
          </cell>
          <cell r="L4240" t="str">
            <v>San Alfonso 2141 (Ramón Subercaseaux 3060)</v>
          </cell>
          <cell r="M4240" t="str">
            <v>Estacion Central</v>
          </cell>
          <cell r="N4240" t="str">
            <v>B</v>
          </cell>
        </row>
        <row r="4241">
          <cell r="B4241" t="str">
            <v>VFPZ-55|</v>
          </cell>
          <cell r="C4241" t="str">
            <v>MDN35025010208</v>
          </cell>
          <cell r="D4241" t="str">
            <v>LDYECS317S0044082</v>
          </cell>
          <cell r="E4241" t="str">
            <v>Zhong Tong</v>
          </cell>
          <cell r="F4241" t="str">
            <v>Lck6122evg</v>
          </cell>
          <cell r="G4241" t="str">
            <v>ZHONGTONG</v>
          </cell>
          <cell r="H4241" t="str">
            <v>LCK6122EVG</v>
          </cell>
          <cell r="I4241">
            <v>2025</v>
          </cell>
          <cell r="J4241" t="str">
            <v>B</v>
          </cell>
          <cell r="K4241" t="str">
            <v>SAN ALFONSO</v>
          </cell>
          <cell r="L4241" t="str">
            <v>San Alfonso 2141 (Ramón Subercaseaux 3060)</v>
          </cell>
          <cell r="M4241" t="str">
            <v>Estacion Central</v>
          </cell>
          <cell r="N4241" t="str">
            <v>B</v>
          </cell>
        </row>
        <row r="4242">
          <cell r="B4242" t="str">
            <v>VFPZ-56|</v>
          </cell>
          <cell r="C4242" t="str">
            <v>MDN35025020043</v>
          </cell>
          <cell r="D4242" t="str">
            <v>LDYECS31XS0044075</v>
          </cell>
          <cell r="E4242" t="str">
            <v>Zhong Tong</v>
          </cell>
          <cell r="F4242" t="str">
            <v>Lck6122evg</v>
          </cell>
          <cell r="G4242" t="str">
            <v>ZHONGTONG</v>
          </cell>
          <cell r="H4242" t="str">
            <v>LCK6122EVG</v>
          </cell>
          <cell r="I4242">
            <v>2025</v>
          </cell>
          <cell r="J4242" t="str">
            <v>B</v>
          </cell>
          <cell r="K4242" t="str">
            <v>PIE ANDINO</v>
          </cell>
          <cell r="L4242" t="str">
            <v>Pie Andino 31 (Pie Andino 383)</v>
          </cell>
          <cell r="M4242" t="str">
            <v>Puente Alto</v>
          </cell>
          <cell r="N4242" t="str">
            <v>B</v>
          </cell>
        </row>
        <row r="4243">
          <cell r="B4243" t="str">
            <v>VFPZ-74|</v>
          </cell>
          <cell r="C4243" t="str">
            <v>MDN35025020017</v>
          </cell>
          <cell r="D4243" t="str">
            <v>LDYECS312S0044085</v>
          </cell>
          <cell r="E4243" t="str">
            <v>Zhong Tong</v>
          </cell>
          <cell r="F4243" t="str">
            <v>Lck6122evg</v>
          </cell>
          <cell r="G4243" t="str">
            <v>ZHONGTONG</v>
          </cell>
          <cell r="H4243" t="str">
            <v>LCK6122EVG</v>
          </cell>
          <cell r="I4243">
            <v>2025</v>
          </cell>
          <cell r="J4243" t="str">
            <v>B</v>
          </cell>
          <cell r="K4243" t="str">
            <v>PIE ANDINO</v>
          </cell>
          <cell r="L4243" t="str">
            <v>Pie Andino 31 (Pie Andino 383)</v>
          </cell>
          <cell r="M4243" t="str">
            <v>Puente Alto</v>
          </cell>
          <cell r="N4243" t="str">
            <v>B</v>
          </cell>
        </row>
        <row r="4244">
          <cell r="B4244" t="str">
            <v>VFPZ-78|</v>
          </cell>
          <cell r="C4244" t="str">
            <v>MDN35025020001</v>
          </cell>
          <cell r="D4244" t="str">
            <v>LDYECS313S0044077</v>
          </cell>
          <cell r="E4244" t="str">
            <v>Zhong Tong</v>
          </cell>
          <cell r="F4244" t="str">
            <v>Lck6122evg</v>
          </cell>
          <cell r="G4244" t="str">
            <v>ZHONGTONG</v>
          </cell>
          <cell r="H4244" t="str">
            <v>LCK6122EVG</v>
          </cell>
          <cell r="I4244">
            <v>2025</v>
          </cell>
          <cell r="J4244" t="str">
            <v>B</v>
          </cell>
          <cell r="K4244" t="str">
            <v>PIE ANDINO</v>
          </cell>
          <cell r="L4244" t="str">
            <v>Pie Andino 31 (Pie Andino 383)</v>
          </cell>
          <cell r="M4244" t="str">
            <v>Puente Alto</v>
          </cell>
          <cell r="N4244" t="str">
            <v>B</v>
          </cell>
        </row>
        <row r="4245">
          <cell r="B4245" t="str">
            <v>VFPZ-88|</v>
          </cell>
          <cell r="C4245" t="str">
            <v>MDN35025010028</v>
          </cell>
          <cell r="D4245" t="str">
            <v>LDYECS311S0044112</v>
          </cell>
          <cell r="E4245" t="str">
            <v>Zhong Tong</v>
          </cell>
          <cell r="F4245" t="str">
            <v>Lck6122evg</v>
          </cell>
          <cell r="G4245" t="str">
            <v>ZHONGTONG</v>
          </cell>
          <cell r="H4245" t="str">
            <v>LCK6122EVG</v>
          </cell>
          <cell r="I4245">
            <v>2025</v>
          </cell>
          <cell r="J4245" t="str">
            <v>B</v>
          </cell>
          <cell r="K4245" t="str">
            <v>SAN ALFONSO</v>
          </cell>
          <cell r="L4245" t="str">
            <v>San Alfonso 2141 (Ramón Subercaseaux 3060)</v>
          </cell>
          <cell r="M4245" t="str">
            <v>Estacion Central</v>
          </cell>
          <cell r="N4245" t="str">
            <v>B</v>
          </cell>
        </row>
        <row r="4246">
          <cell r="B4246" t="str">
            <v>VFPZ-89|</v>
          </cell>
          <cell r="C4246" t="str">
            <v>MDN35025020032</v>
          </cell>
          <cell r="D4246" t="str">
            <v>LDYECS319S0044102</v>
          </cell>
          <cell r="E4246" t="str">
            <v>Zhong Tong</v>
          </cell>
          <cell r="F4246" t="str">
            <v>Lck6122evg</v>
          </cell>
          <cell r="G4246" t="str">
            <v>ZHONGTONG</v>
          </cell>
          <cell r="H4246" t="str">
            <v>LCK6122EVG</v>
          </cell>
          <cell r="I4246">
            <v>2025</v>
          </cell>
          <cell r="J4246" t="str">
            <v>B</v>
          </cell>
          <cell r="K4246" t="str">
            <v>SAN ALFONSO</v>
          </cell>
          <cell r="L4246" t="str">
            <v>San Alfonso 2141 (Ramón Subercaseaux 3060)</v>
          </cell>
          <cell r="M4246" t="str">
            <v>Estacion Central</v>
          </cell>
          <cell r="N4246" t="str">
            <v>B</v>
          </cell>
        </row>
        <row r="4247">
          <cell r="B4247" t="str">
            <v>VFPZ-92|</v>
          </cell>
          <cell r="C4247" t="str">
            <v>MDN35025020030</v>
          </cell>
          <cell r="D4247" t="str">
            <v>LDYECS31XS0044089</v>
          </cell>
          <cell r="E4247" t="str">
            <v>Zhong Tong</v>
          </cell>
          <cell r="F4247" t="str">
            <v>Lck6122evg</v>
          </cell>
          <cell r="G4247" t="str">
            <v>ZHONGTONG</v>
          </cell>
          <cell r="H4247" t="str">
            <v>LCK6122EVG</v>
          </cell>
          <cell r="I4247">
            <v>2025</v>
          </cell>
          <cell r="J4247" t="str">
            <v>B</v>
          </cell>
          <cell r="K4247" t="str">
            <v>SAN ALFONSO</v>
          </cell>
          <cell r="L4247" t="str">
            <v>San Alfonso 2141 (Ramón Subercaseaux 3060)</v>
          </cell>
          <cell r="M4247" t="str">
            <v>Estacion Central</v>
          </cell>
          <cell r="N4247" t="str">
            <v>B</v>
          </cell>
        </row>
        <row r="4248">
          <cell r="B4248" t="str">
            <v>VFPZ-97|</v>
          </cell>
          <cell r="C4248" t="str">
            <v>MDN35025010247</v>
          </cell>
          <cell r="D4248" t="str">
            <v>LDYECS312S0044104</v>
          </cell>
          <cell r="E4248" t="str">
            <v>Zhong Tong</v>
          </cell>
          <cell r="F4248" t="str">
            <v>Lck6122evg</v>
          </cell>
          <cell r="G4248" t="str">
            <v>ZHONGTONG</v>
          </cell>
          <cell r="H4248" t="str">
            <v>LCK6122EVG</v>
          </cell>
          <cell r="I4248">
            <v>2025</v>
          </cell>
          <cell r="J4248" t="str">
            <v>B</v>
          </cell>
          <cell r="K4248" t="str">
            <v>SAN ALFONSO</v>
          </cell>
          <cell r="L4248" t="str">
            <v>San Alfonso 2141 (Ramón Subercaseaux 3060)</v>
          </cell>
          <cell r="M4248" t="str">
            <v>Estacion Central</v>
          </cell>
          <cell r="N4248" t="str">
            <v>B</v>
          </cell>
        </row>
        <row r="4249">
          <cell r="B4249" t="str">
            <v>VFPZ-98|</v>
          </cell>
          <cell r="C4249" t="str">
            <v>MDN35025010213</v>
          </cell>
          <cell r="D4249" t="str">
            <v>LDYECS315S0044081</v>
          </cell>
          <cell r="E4249" t="str">
            <v>Zhong Tong</v>
          </cell>
          <cell r="F4249" t="str">
            <v>Lck6122evg</v>
          </cell>
          <cell r="G4249" t="str">
            <v>ZHONGTONG</v>
          </cell>
          <cell r="H4249" t="str">
            <v>LCK6122EVG</v>
          </cell>
          <cell r="I4249">
            <v>2025</v>
          </cell>
          <cell r="J4249" t="str">
            <v>B</v>
          </cell>
          <cell r="K4249" t="str">
            <v>SAN ALFONSO</v>
          </cell>
          <cell r="L4249" t="str">
            <v>San Alfonso 2141 (Ramón Subercaseaux 3060)</v>
          </cell>
          <cell r="M4249" t="str">
            <v>Estacion Central</v>
          </cell>
          <cell r="N4249" t="str">
            <v>B</v>
          </cell>
        </row>
        <row r="4250">
          <cell r="B4250" t="str">
            <v>VFRB-13|</v>
          </cell>
          <cell r="C4250" t="str">
            <v>MDN35025010226</v>
          </cell>
          <cell r="D4250" t="str">
            <v>LDYECS313S0044080</v>
          </cell>
          <cell r="E4250" t="str">
            <v>Zhong Tong</v>
          </cell>
          <cell r="F4250" t="str">
            <v>Lck6122evg</v>
          </cell>
          <cell r="G4250" t="str">
            <v>ZHONGTONG</v>
          </cell>
          <cell r="H4250" t="str">
            <v>LCK6122EVG</v>
          </cell>
          <cell r="I4250">
            <v>2025</v>
          </cell>
          <cell r="J4250" t="str">
            <v>B</v>
          </cell>
          <cell r="K4250" t="str">
            <v>PIE ANDINO</v>
          </cell>
          <cell r="L4250" t="str">
            <v>Pie Andino 31 (Pie Andino 383)</v>
          </cell>
          <cell r="M4250" t="str">
            <v>Puente Alto</v>
          </cell>
          <cell r="N4250" t="str">
            <v>B</v>
          </cell>
        </row>
        <row r="4251">
          <cell r="B4251" t="str">
            <v>VFRB-15|</v>
          </cell>
          <cell r="C4251" t="str">
            <v>MDN35025010225</v>
          </cell>
          <cell r="D4251" t="str">
            <v>LDYECS317S0044079</v>
          </cell>
          <cell r="E4251" t="str">
            <v>Zhong Tong</v>
          </cell>
          <cell r="F4251" t="str">
            <v>Lck6122evg</v>
          </cell>
          <cell r="G4251" t="str">
            <v>ZHONGTONG</v>
          </cell>
          <cell r="H4251" t="str">
            <v>LCK6122EVG</v>
          </cell>
          <cell r="I4251">
            <v>2025</v>
          </cell>
          <cell r="J4251" t="str">
            <v>B</v>
          </cell>
          <cell r="K4251" t="str">
            <v>SAN ALFONSO</v>
          </cell>
          <cell r="L4251" t="str">
            <v>San Alfonso 2141 (Ramón Subercaseaux 3060)</v>
          </cell>
          <cell r="M4251" t="str">
            <v>Estacion Central</v>
          </cell>
          <cell r="N4251" t="str">
            <v>B</v>
          </cell>
        </row>
        <row r="4252">
          <cell r="B4252" t="str">
            <v>VFRB-54|</v>
          </cell>
          <cell r="C4252" t="str">
            <v>MDN35025010204</v>
          </cell>
          <cell r="D4252" t="str">
            <v>LDYECS31XS0044108</v>
          </cell>
          <cell r="E4252" t="str">
            <v>Zhong Tong</v>
          </cell>
          <cell r="F4252" t="str">
            <v>Lck6122evg</v>
          </cell>
          <cell r="G4252" t="str">
            <v>ZHONGTONG</v>
          </cell>
          <cell r="H4252" t="str">
            <v>LCK6122EVG</v>
          </cell>
          <cell r="I4252">
            <v>2025</v>
          </cell>
          <cell r="J4252" t="str">
            <v>B</v>
          </cell>
          <cell r="K4252" t="str">
            <v>SAN ALFONSO</v>
          </cell>
          <cell r="L4252" t="str">
            <v>San Alfonso 2141 (Ramón Subercaseaux 3060)</v>
          </cell>
          <cell r="M4252" t="str">
            <v>Estacion Central</v>
          </cell>
          <cell r="N4252" t="str">
            <v>B</v>
          </cell>
        </row>
        <row r="4253">
          <cell r="B4253" t="str">
            <v>VFRB-56|</v>
          </cell>
          <cell r="C4253" t="str">
            <v>MDN35025020040</v>
          </cell>
          <cell r="D4253" t="str">
            <v>LDYECS314S0044086</v>
          </cell>
          <cell r="E4253" t="str">
            <v>Zhong Tong</v>
          </cell>
          <cell r="F4253" t="str">
            <v>Lck6122evg</v>
          </cell>
          <cell r="G4253" t="str">
            <v>ZHONGTONG</v>
          </cell>
          <cell r="H4253" t="str">
            <v>LCK6122EVG</v>
          </cell>
          <cell r="I4253">
            <v>2025</v>
          </cell>
          <cell r="J4253" t="str">
            <v>B</v>
          </cell>
          <cell r="K4253" t="str">
            <v>PIE ANDINO</v>
          </cell>
          <cell r="L4253" t="str">
            <v>Pie Andino 31 (Pie Andino 383)</v>
          </cell>
          <cell r="M4253" t="str">
            <v>Puente Alto</v>
          </cell>
          <cell r="N4253" t="str">
            <v>B</v>
          </cell>
        </row>
        <row r="4254">
          <cell r="B4254" t="str">
            <v>VFRB-63|</v>
          </cell>
          <cell r="C4254" t="str">
            <v>MDN35025020018</v>
          </cell>
          <cell r="D4254" t="str">
            <v>LDYECS315S0044100</v>
          </cell>
          <cell r="E4254" t="str">
            <v>Zhong Tong</v>
          </cell>
          <cell r="F4254" t="str">
            <v>Lck6122evg</v>
          </cell>
          <cell r="G4254" t="str">
            <v>ZHONGTONG</v>
          </cell>
          <cell r="H4254" t="str">
            <v>LCK6122EVG</v>
          </cell>
          <cell r="I4254">
            <v>2025</v>
          </cell>
          <cell r="J4254" t="str">
            <v>B</v>
          </cell>
          <cell r="K4254" t="str">
            <v>SAN ALFONSO</v>
          </cell>
          <cell r="L4254" t="str">
            <v>San Alfonso 2141 (Ramón Subercaseaux 3060)</v>
          </cell>
          <cell r="M4254" t="str">
            <v>Estacion Central</v>
          </cell>
          <cell r="N4254" t="str">
            <v>B</v>
          </cell>
        </row>
        <row r="4255">
          <cell r="B4255" t="str">
            <v>VFRB-67|</v>
          </cell>
          <cell r="C4255" t="str">
            <v>MDN35025010216</v>
          </cell>
          <cell r="D4255" t="str">
            <v>LDYECS318S0044107</v>
          </cell>
          <cell r="E4255" t="str">
            <v>Zhong Tong</v>
          </cell>
          <cell r="F4255" t="str">
            <v>Lck6122evg</v>
          </cell>
          <cell r="G4255" t="str">
            <v>ZHONGTONG</v>
          </cell>
          <cell r="H4255" t="str">
            <v>LCK6122EVG</v>
          </cell>
          <cell r="I4255">
            <v>2025</v>
          </cell>
          <cell r="J4255" t="str">
            <v>B</v>
          </cell>
          <cell r="K4255" t="str">
            <v>SAN ALFONSO</v>
          </cell>
          <cell r="L4255" t="str">
            <v>San Alfonso 2141 (Ramón Subercaseaux 3060)</v>
          </cell>
          <cell r="M4255" t="str">
            <v>Estacion Central</v>
          </cell>
          <cell r="N4255" t="str">
            <v>B</v>
          </cell>
        </row>
        <row r="4256">
          <cell r="B4256" t="str">
            <v>VFRB-68|</v>
          </cell>
          <cell r="C4256" t="str">
            <v>MDN35025010249</v>
          </cell>
          <cell r="D4256" t="str">
            <v>LDYECS31XS0044092</v>
          </cell>
          <cell r="E4256" t="str">
            <v>Zhong Tong</v>
          </cell>
          <cell r="F4256" t="str">
            <v>Lck6122evg</v>
          </cell>
          <cell r="G4256" t="str">
            <v>ZHONGTONG</v>
          </cell>
          <cell r="H4256" t="str">
            <v>LCK6122EVG</v>
          </cell>
          <cell r="I4256">
            <v>2025</v>
          </cell>
          <cell r="J4256" t="str">
            <v>B</v>
          </cell>
          <cell r="K4256" t="str">
            <v>PIE ANDINO</v>
          </cell>
          <cell r="L4256" t="str">
            <v>Pie Andino 31 (Pie Andino 383)</v>
          </cell>
          <cell r="M4256" t="str">
            <v>Puente Alto</v>
          </cell>
          <cell r="N4256" t="str">
            <v>B</v>
          </cell>
        </row>
        <row r="4257">
          <cell r="B4257" t="str">
            <v>VFRB-81|</v>
          </cell>
          <cell r="C4257" t="str">
            <v>MDN35025020118</v>
          </cell>
          <cell r="D4257" t="str">
            <v>LDYECS317S0044096</v>
          </cell>
          <cell r="E4257" t="str">
            <v>Zhong Tong</v>
          </cell>
          <cell r="F4257" t="str">
            <v>Lck6122evg</v>
          </cell>
          <cell r="G4257" t="str">
            <v>ZHONGTONG</v>
          </cell>
          <cell r="H4257" t="str">
            <v>LCK6122EVG</v>
          </cell>
          <cell r="I4257">
            <v>2025</v>
          </cell>
          <cell r="J4257" t="str">
            <v>B</v>
          </cell>
          <cell r="K4257" t="str">
            <v>SAN ALFONSO</v>
          </cell>
          <cell r="L4257" t="str">
            <v>San Alfonso 2141 (Ramón Subercaseaux 3060)</v>
          </cell>
          <cell r="M4257" t="str">
            <v>Estacion Central</v>
          </cell>
          <cell r="N4257" t="str">
            <v>B</v>
          </cell>
        </row>
        <row r="4258">
          <cell r="B4258" t="str">
            <v>VFRC-75|</v>
          </cell>
          <cell r="C4258" t="str">
            <v>MDN35025010242</v>
          </cell>
          <cell r="D4258" t="str">
            <v>LDYECS317S0044101</v>
          </cell>
          <cell r="E4258" t="str">
            <v>Zhong Tong</v>
          </cell>
          <cell r="F4258" t="str">
            <v>Lck6122evg</v>
          </cell>
          <cell r="G4258" t="str">
            <v>ZHONGTONG</v>
          </cell>
          <cell r="H4258" t="str">
            <v>LCK6122EVG</v>
          </cell>
          <cell r="I4258">
            <v>2025</v>
          </cell>
          <cell r="J4258" t="str">
            <v>B</v>
          </cell>
          <cell r="K4258" t="str">
            <v>SAN ALFONSO</v>
          </cell>
          <cell r="L4258" t="str">
            <v>San Alfonso 2141 (Ramón Subercaseaux 3060)</v>
          </cell>
          <cell r="M4258" t="str">
            <v>Estacion Central</v>
          </cell>
          <cell r="N4258" t="str">
            <v>B</v>
          </cell>
        </row>
        <row r="4259">
          <cell r="B4259" t="str">
            <v>VFRD-35|</v>
          </cell>
          <cell r="C4259" t="str">
            <v>MDN35025020008</v>
          </cell>
          <cell r="D4259" t="str">
            <v>LDYECS310S0044103</v>
          </cell>
          <cell r="E4259" t="str">
            <v>Zhong Tong</v>
          </cell>
          <cell r="F4259" t="str">
            <v>Lck6122evg</v>
          </cell>
          <cell r="G4259" t="str">
            <v>ZHONGTONG</v>
          </cell>
          <cell r="H4259" t="str">
            <v>LCK6122EVG</v>
          </cell>
          <cell r="I4259">
            <v>2025</v>
          </cell>
          <cell r="J4259" t="str">
            <v>B</v>
          </cell>
          <cell r="K4259" t="str">
            <v>PIE ANDINO</v>
          </cell>
          <cell r="L4259" t="str">
            <v>Pie Andino 31 (Pie Andino 383)</v>
          </cell>
          <cell r="M4259" t="str">
            <v>Puente Alto</v>
          </cell>
          <cell r="N4259" t="str">
            <v>B</v>
          </cell>
        </row>
        <row r="4260">
          <cell r="B4260" t="str">
            <v>VFRD-45|</v>
          </cell>
          <cell r="C4260" t="str">
            <v>MDN35025020020</v>
          </cell>
          <cell r="D4260" t="str">
            <v>LDYECS310S0044098</v>
          </cell>
          <cell r="E4260" t="str">
            <v>Zhong Tong</v>
          </cell>
          <cell r="F4260" t="str">
            <v>Lck6122evg</v>
          </cell>
          <cell r="G4260" t="str">
            <v>ZHONGTONG</v>
          </cell>
          <cell r="H4260" t="str">
            <v>LCK6122EVG</v>
          </cell>
          <cell r="I4260">
            <v>2025</v>
          </cell>
          <cell r="J4260" t="str">
            <v>B</v>
          </cell>
          <cell r="K4260" t="str">
            <v>SAN ALFONSO</v>
          </cell>
          <cell r="L4260" t="str">
            <v>San Alfonso 2141 (Ramón Subercaseaux 3060)</v>
          </cell>
          <cell r="M4260" t="str">
            <v>Estacion Central</v>
          </cell>
          <cell r="N4260" t="str">
            <v>B</v>
          </cell>
        </row>
        <row r="4261">
          <cell r="B4261" t="str">
            <v>VFRD-55|</v>
          </cell>
          <cell r="C4261" t="str">
            <v>MDN35025010252</v>
          </cell>
          <cell r="D4261" t="str">
            <v>LDYECS311S0044093</v>
          </cell>
          <cell r="E4261" t="str">
            <v>Zhong Tong</v>
          </cell>
          <cell r="F4261" t="str">
            <v>Lck6122evg</v>
          </cell>
          <cell r="G4261" t="str">
            <v>ZHONGTONG</v>
          </cell>
          <cell r="H4261" t="str">
            <v>LCK6122EVG</v>
          </cell>
          <cell r="I4261">
            <v>2025</v>
          </cell>
          <cell r="J4261" t="str">
            <v>B</v>
          </cell>
          <cell r="K4261" t="str">
            <v>PIE ANDINO</v>
          </cell>
          <cell r="L4261" t="str">
            <v>Pie Andino 31 (Pie Andino 383)</v>
          </cell>
          <cell r="M4261" t="str">
            <v>Puente Alto</v>
          </cell>
          <cell r="N4261" t="str">
            <v>B</v>
          </cell>
        </row>
        <row r="4262">
          <cell r="B4262" t="str">
            <v>VFRD-65|</v>
          </cell>
          <cell r="C4262" t="str">
            <v>MDN35025020014</v>
          </cell>
          <cell r="D4262" t="str">
            <v>LDYECS318S0044091</v>
          </cell>
          <cell r="E4262" t="str">
            <v>Zhong Tong</v>
          </cell>
          <cell r="F4262" t="str">
            <v>Lck6122evg</v>
          </cell>
          <cell r="G4262" t="str">
            <v>ZHONGTONG</v>
          </cell>
          <cell r="H4262" t="str">
            <v>LCK6122EVG</v>
          </cell>
          <cell r="I4262">
            <v>2025</v>
          </cell>
          <cell r="J4262" t="str">
            <v>B</v>
          </cell>
          <cell r="K4262" t="str">
            <v>PIE ANDINO</v>
          </cell>
          <cell r="L4262" t="str">
            <v>Pie Andino 31 (Pie Andino 383)</v>
          </cell>
          <cell r="M4262" t="str">
            <v>Puente Alto</v>
          </cell>
          <cell r="N4262" t="str">
            <v>B</v>
          </cell>
        </row>
        <row r="4263">
          <cell r="B4263" t="str">
            <v>VFRD-75|</v>
          </cell>
          <cell r="C4263" t="str">
            <v>MDN35025020004</v>
          </cell>
          <cell r="D4263" t="str">
            <v>LDYECS314S0044105</v>
          </cell>
          <cell r="E4263" t="str">
            <v>Zhong Tong</v>
          </cell>
          <cell r="F4263" t="str">
            <v>Lck6122evg</v>
          </cell>
          <cell r="G4263" t="str">
            <v>ZHONGTONG</v>
          </cell>
          <cell r="H4263" t="str">
            <v>LCK6122EVG</v>
          </cell>
          <cell r="I4263">
            <v>2025</v>
          </cell>
          <cell r="J4263" t="str">
            <v>B</v>
          </cell>
          <cell r="K4263" t="str">
            <v>SAN ALFONSO</v>
          </cell>
          <cell r="L4263" t="str">
            <v>San Alfonso 2141 (Ramón Subercaseaux 3060)</v>
          </cell>
          <cell r="M4263" t="str">
            <v>Estacion Central</v>
          </cell>
          <cell r="N4263" t="str">
            <v>B</v>
          </cell>
        </row>
        <row r="4264">
          <cell r="B4264" t="str">
            <v>VFRD-85|</v>
          </cell>
          <cell r="C4264" t="str">
            <v>MDN35025010245</v>
          </cell>
          <cell r="D4264" t="str">
            <v>LDYECS312S0044099</v>
          </cell>
          <cell r="E4264" t="str">
            <v>Zhong Tong</v>
          </cell>
          <cell r="F4264" t="str">
            <v>Lck6122evg</v>
          </cell>
          <cell r="G4264" t="str">
            <v>ZHONGTONG</v>
          </cell>
          <cell r="H4264" t="str">
            <v>LCK6122EVG</v>
          </cell>
          <cell r="I4264">
            <v>2025</v>
          </cell>
          <cell r="J4264" t="str">
            <v>B</v>
          </cell>
          <cell r="K4264" t="str">
            <v>PIE ANDINO</v>
          </cell>
          <cell r="L4264" t="str">
            <v>Pie Andino 31 (Pie Andino 383)</v>
          </cell>
          <cell r="M4264" t="str">
            <v>Puente Alto</v>
          </cell>
          <cell r="N4264" t="str">
            <v>B</v>
          </cell>
        </row>
        <row r="4265">
          <cell r="B4265" t="str">
            <v>VFRD-95|</v>
          </cell>
          <cell r="C4265" t="str">
            <v>MDN35025010043</v>
          </cell>
          <cell r="D4265" t="str">
            <v>LDYECS316S0043831</v>
          </cell>
          <cell r="E4265" t="str">
            <v>Zhong Tong</v>
          </cell>
          <cell r="F4265" t="str">
            <v>Lck6122evg</v>
          </cell>
          <cell r="G4265" t="str">
            <v>ZHONGTONG</v>
          </cell>
          <cell r="H4265" t="str">
            <v>LCK6122EVG</v>
          </cell>
          <cell r="I4265">
            <v>2025</v>
          </cell>
          <cell r="J4265" t="str">
            <v>B</v>
          </cell>
          <cell r="K4265" t="str">
            <v>PIE ANDINO</v>
          </cell>
          <cell r="L4265" t="str">
            <v>Pie Andino 31 (Pie Andino 383)</v>
          </cell>
          <cell r="M4265" t="str">
            <v>Puente Alto</v>
          </cell>
          <cell r="N4265" t="str">
            <v>B</v>
          </cell>
        </row>
        <row r="4266">
          <cell r="B4266" t="str">
            <v>VFRF-15|</v>
          </cell>
          <cell r="C4266" t="str">
            <v>MDN35025010020</v>
          </cell>
          <cell r="D4266" t="str">
            <v>LDYECS31XS0043833</v>
          </cell>
          <cell r="E4266" t="str">
            <v>Zhong Tong</v>
          </cell>
          <cell r="F4266" t="str">
            <v>Lck6122evg</v>
          </cell>
          <cell r="G4266" t="str">
            <v>ZHONGTONG</v>
          </cell>
          <cell r="H4266" t="str">
            <v>LCK6122EVG</v>
          </cell>
          <cell r="I4266">
            <v>2025</v>
          </cell>
          <cell r="J4266" t="str">
            <v>B</v>
          </cell>
          <cell r="K4266" t="str">
            <v>CERRILLOS</v>
          </cell>
          <cell r="L4266" t="str">
            <v>Calle Uno 7371</v>
          </cell>
          <cell r="M4266" t="str">
            <v>Cerrillos</v>
          </cell>
          <cell r="N4266" t="str">
            <v>B</v>
          </cell>
        </row>
        <row r="4267">
          <cell r="B4267" t="str">
            <v>VFRF-35|</v>
          </cell>
          <cell r="C4267" t="str">
            <v>MDN35025010239</v>
          </cell>
          <cell r="D4267" t="str">
            <v>LDYECS311S0043834</v>
          </cell>
          <cell r="E4267" t="str">
            <v>Zhong Tong</v>
          </cell>
          <cell r="F4267" t="str">
            <v>Lck6122evg</v>
          </cell>
          <cell r="G4267" t="str">
            <v>ZHONGTONG</v>
          </cell>
          <cell r="H4267" t="str">
            <v>LCK6122EVG</v>
          </cell>
          <cell r="I4267">
            <v>2025</v>
          </cell>
          <cell r="J4267" t="str">
            <v>B</v>
          </cell>
          <cell r="K4267" t="str">
            <v>PIE ANDINO</v>
          </cell>
          <cell r="L4267" t="str">
            <v>Pie Andino 31 (Pie Andino 383)</v>
          </cell>
          <cell r="M4267" t="str">
            <v>Puente Alto</v>
          </cell>
          <cell r="N4267" t="str">
            <v>B</v>
          </cell>
        </row>
        <row r="4268">
          <cell r="B4268" t="str">
            <v>VFRF-55|</v>
          </cell>
          <cell r="C4268" t="str">
            <v>MDN35025010027</v>
          </cell>
          <cell r="D4268" t="str">
            <v>LDYECS314S0043830</v>
          </cell>
          <cell r="E4268" t="str">
            <v>Zhong Tong</v>
          </cell>
          <cell r="F4268" t="str">
            <v>Lck6122evg</v>
          </cell>
          <cell r="G4268" t="str">
            <v>ZHONGTONG</v>
          </cell>
          <cell r="H4268" t="str">
            <v>LCK6122EVG</v>
          </cell>
          <cell r="I4268">
            <v>2025</v>
          </cell>
          <cell r="J4268" t="str">
            <v>B</v>
          </cell>
          <cell r="K4268" t="str">
            <v>CERRILLOS</v>
          </cell>
          <cell r="L4268" t="str">
            <v>Calle Uno 7371</v>
          </cell>
          <cell r="M4268" t="str">
            <v>Cerrillos</v>
          </cell>
          <cell r="N4268" t="str">
            <v>B</v>
          </cell>
        </row>
        <row r="4269">
          <cell r="B4269" t="str">
            <v>VFRF-65|</v>
          </cell>
          <cell r="C4269" t="str">
            <v>MDN35025010024</v>
          </cell>
          <cell r="D4269" t="str">
            <v>LDYECS319S0043824</v>
          </cell>
          <cell r="E4269" t="str">
            <v>Zhong Tong</v>
          </cell>
          <cell r="F4269" t="str">
            <v>Lck6122evg</v>
          </cell>
          <cell r="G4269" t="str">
            <v>ZHONGTONG</v>
          </cell>
          <cell r="H4269" t="str">
            <v>LCK6122EVG</v>
          </cell>
          <cell r="I4269">
            <v>2025</v>
          </cell>
          <cell r="J4269" t="str">
            <v>B</v>
          </cell>
          <cell r="K4269" t="str">
            <v>PIE ANDINO</v>
          </cell>
          <cell r="L4269" t="str">
            <v>Pie Andino 31 (Pie Andino 383)</v>
          </cell>
          <cell r="M4269" t="str">
            <v>Puente Alto</v>
          </cell>
          <cell r="N4269" t="str">
            <v>B</v>
          </cell>
        </row>
        <row r="4270">
          <cell r="B4270" t="str">
            <v>VFRF-75|</v>
          </cell>
          <cell r="C4270" t="str">
            <v>MDN35025010042</v>
          </cell>
          <cell r="D4270" t="str">
            <v>LDYECS317S0043823</v>
          </cell>
          <cell r="E4270" t="str">
            <v>Zhong Tong</v>
          </cell>
          <cell r="F4270" t="str">
            <v>Lck6122evg</v>
          </cell>
          <cell r="G4270" t="str">
            <v>ZHONGTONG</v>
          </cell>
          <cell r="H4270" t="str">
            <v>LCK6122EVG</v>
          </cell>
          <cell r="I4270">
            <v>2025</v>
          </cell>
          <cell r="J4270" t="str">
            <v>B</v>
          </cell>
          <cell r="K4270" t="str">
            <v>PIE ANDINO</v>
          </cell>
          <cell r="L4270" t="str">
            <v>Pie Andino 31 (Pie Andino 383)</v>
          </cell>
          <cell r="M4270" t="str">
            <v>Puente Alto</v>
          </cell>
          <cell r="N4270" t="str">
            <v>B</v>
          </cell>
        </row>
        <row r="4271">
          <cell r="B4271" t="str">
            <v>VFRF-85|</v>
          </cell>
          <cell r="C4271" t="str">
            <v>MDN35025010034</v>
          </cell>
          <cell r="D4271" t="str">
            <v>LDYECS310S0043839</v>
          </cell>
          <cell r="E4271" t="str">
            <v>Zhong Tong</v>
          </cell>
          <cell r="F4271" t="str">
            <v>Lck6122evg</v>
          </cell>
          <cell r="G4271" t="str">
            <v>ZHONGTONG</v>
          </cell>
          <cell r="H4271" t="str">
            <v>LCK6122EVG</v>
          </cell>
          <cell r="I4271">
            <v>2025</v>
          </cell>
          <cell r="J4271" t="str">
            <v>B</v>
          </cell>
          <cell r="K4271" t="str">
            <v>PIE ANDINO</v>
          </cell>
          <cell r="L4271" t="str">
            <v>Pie Andino 31 (Pie Andino 383)</v>
          </cell>
          <cell r="M4271" t="str">
            <v>Puente Alto</v>
          </cell>
          <cell r="N4271" t="str">
            <v>B</v>
          </cell>
        </row>
        <row r="4272">
          <cell r="B4272" t="str">
            <v>VFRF-95|</v>
          </cell>
          <cell r="C4272" t="str">
            <v>MDN35025020016</v>
          </cell>
          <cell r="D4272" t="str">
            <v>LDYECS311S0043820</v>
          </cell>
          <cell r="E4272" t="str">
            <v>Zhong Tong</v>
          </cell>
          <cell r="F4272" t="str">
            <v>Lck6122evg</v>
          </cell>
          <cell r="G4272" t="str">
            <v>ZHONGTONG</v>
          </cell>
          <cell r="H4272" t="str">
            <v>LCK6122EVG</v>
          </cell>
          <cell r="I4272">
            <v>2025</v>
          </cell>
          <cell r="J4272" t="str">
            <v>B</v>
          </cell>
          <cell r="K4272" t="str">
            <v>PIE ANDINO</v>
          </cell>
          <cell r="L4272" t="str">
            <v>Pie Andino 31 (Pie Andino 383)</v>
          </cell>
          <cell r="M4272" t="str">
            <v>Puente Alto</v>
          </cell>
          <cell r="N4272" t="str">
            <v>B</v>
          </cell>
        </row>
        <row r="4273">
          <cell r="B4273" t="str">
            <v>VFRG-15|</v>
          </cell>
          <cell r="C4273" t="str">
            <v>MDN35025010090</v>
          </cell>
          <cell r="D4273" t="str">
            <v>LDYECS315S0043822</v>
          </cell>
          <cell r="E4273" t="str">
            <v>Zhong Tong</v>
          </cell>
          <cell r="F4273" t="str">
            <v>Lck6122evg</v>
          </cell>
          <cell r="G4273" t="str">
            <v>ZHONGTONG</v>
          </cell>
          <cell r="H4273" t="str">
            <v>LCK6122EVG</v>
          </cell>
          <cell r="I4273">
            <v>2025</v>
          </cell>
          <cell r="J4273" t="str">
            <v>B</v>
          </cell>
          <cell r="K4273" t="str">
            <v>CERRILLOS</v>
          </cell>
          <cell r="L4273" t="str">
            <v>Calle Uno 7371</v>
          </cell>
          <cell r="M4273" t="str">
            <v>Cerrillos</v>
          </cell>
          <cell r="N4273" t="str">
            <v>B</v>
          </cell>
        </row>
        <row r="4274">
          <cell r="B4274" t="str">
            <v>VFRG-25|</v>
          </cell>
          <cell r="C4274" t="str">
            <v>MDN35025020041</v>
          </cell>
          <cell r="D4274" t="str">
            <v>LDYECS319S0044097</v>
          </cell>
          <cell r="E4274" t="str">
            <v>Zhong Tong</v>
          </cell>
          <cell r="F4274" t="str">
            <v>Lck6122evg</v>
          </cell>
          <cell r="G4274" t="str">
            <v>ZHONGTONG</v>
          </cell>
          <cell r="H4274" t="str">
            <v>LCK6122EVG</v>
          </cell>
          <cell r="I4274">
            <v>2025</v>
          </cell>
          <cell r="J4274" t="str">
            <v>B</v>
          </cell>
          <cell r="K4274" t="str">
            <v>PIE ANDINO</v>
          </cell>
          <cell r="L4274" t="str">
            <v>Pie Andino 31 (Pie Andino 383)</v>
          </cell>
          <cell r="M4274" t="str">
            <v>Puente Alto</v>
          </cell>
          <cell r="N4274" t="str">
            <v>B</v>
          </cell>
        </row>
        <row r="4275">
          <cell r="B4275" t="str">
            <v>VFRG-35|</v>
          </cell>
          <cell r="C4275" t="str">
            <v>MDN35025010093</v>
          </cell>
          <cell r="D4275" t="str">
            <v>LDYECS318S0043846</v>
          </cell>
          <cell r="E4275" t="str">
            <v>Zhong Tong</v>
          </cell>
          <cell r="F4275" t="str">
            <v>Lck6122evg</v>
          </cell>
          <cell r="G4275" t="str">
            <v>ZHONGTONG</v>
          </cell>
          <cell r="H4275" t="str">
            <v>LCK6122EVG</v>
          </cell>
          <cell r="I4275">
            <v>2025</v>
          </cell>
          <cell r="J4275" t="str">
            <v>B</v>
          </cell>
          <cell r="K4275" t="str">
            <v>PIE ANDINO</v>
          </cell>
          <cell r="L4275" t="str">
            <v>Pie Andino 31 (Pie Andino 383)</v>
          </cell>
          <cell r="M4275" t="str">
            <v>Puente Alto</v>
          </cell>
          <cell r="N4275" t="str">
            <v>B</v>
          </cell>
        </row>
        <row r="4276">
          <cell r="B4276" t="str">
            <v>VFRG-45|</v>
          </cell>
          <cell r="C4276" t="str">
            <v>MDN35025010087</v>
          </cell>
          <cell r="D4276" t="str">
            <v>LDYECS318S0043829</v>
          </cell>
          <cell r="E4276" t="str">
            <v>Zhong Tong</v>
          </cell>
          <cell r="F4276" t="str">
            <v>Lck6122evg</v>
          </cell>
          <cell r="G4276" t="str">
            <v>ZHONGTONG</v>
          </cell>
          <cell r="H4276" t="str">
            <v>LCK6122EVG</v>
          </cell>
          <cell r="I4276">
            <v>2025</v>
          </cell>
          <cell r="J4276" t="str">
            <v>B</v>
          </cell>
          <cell r="K4276" t="str">
            <v>PIE ANDINO</v>
          </cell>
          <cell r="L4276" t="str">
            <v>Pie Andino 31 (Pie Andino 383)</v>
          </cell>
          <cell r="M4276" t="str">
            <v>Puente Alto</v>
          </cell>
          <cell r="N4276" t="str">
            <v>B</v>
          </cell>
        </row>
        <row r="4277">
          <cell r="B4277" t="str">
            <v>VGBS-15|</v>
          </cell>
          <cell r="C4277" t="str">
            <v>MDN35025010031</v>
          </cell>
          <cell r="D4277" t="str">
            <v>LDYECS318S0043832</v>
          </cell>
          <cell r="E4277" t="str">
            <v>Zhong Tong</v>
          </cell>
          <cell r="F4277" t="str">
            <v>Lck6122evg</v>
          </cell>
          <cell r="G4277" t="str">
            <v>ZHONGTONG</v>
          </cell>
          <cell r="H4277" t="str">
            <v>LCK6122EVG</v>
          </cell>
          <cell r="I4277">
            <v>2025</v>
          </cell>
          <cell r="J4277" t="str">
            <v>B</v>
          </cell>
          <cell r="K4277" t="str">
            <v>SAN ALFONSO</v>
          </cell>
          <cell r="L4277" t="str">
            <v>San Alfonso 2141 (Ramón Subercaseaux 3060)</v>
          </cell>
          <cell r="M4277" t="str">
            <v>Estacion Central</v>
          </cell>
          <cell r="N4277" t="str">
            <v>B</v>
          </cell>
        </row>
        <row r="4278">
          <cell r="B4278" t="str">
            <v>VGBV-29|</v>
          </cell>
          <cell r="C4278" t="str">
            <v>MDN35025010251</v>
          </cell>
          <cell r="D4278" t="str">
            <v>LDYECS314S0043844</v>
          </cell>
          <cell r="E4278" t="str">
            <v>Zhong Tong</v>
          </cell>
          <cell r="F4278" t="str">
            <v>Lck6122evg</v>
          </cell>
          <cell r="G4278" t="str">
            <v>ZHONGTONG</v>
          </cell>
          <cell r="H4278" t="str">
            <v>LCK6122EVG</v>
          </cell>
          <cell r="I4278">
            <v>2025</v>
          </cell>
          <cell r="J4278" t="str">
            <v>B</v>
          </cell>
          <cell r="K4278" t="str">
            <v>SAN ALFONSO</v>
          </cell>
          <cell r="L4278" t="str">
            <v>San Alfonso 2141 (Ramón Subercaseaux 3060)</v>
          </cell>
          <cell r="M4278" t="str">
            <v>Estacion Central</v>
          </cell>
          <cell r="N4278" t="str">
            <v>B</v>
          </cell>
        </row>
        <row r="4279">
          <cell r="B4279" t="str">
            <v>VGBV-35|</v>
          </cell>
          <cell r="C4279" t="str">
            <v>MDN35025010092</v>
          </cell>
          <cell r="D4279" t="str">
            <v>LDYECS316S0043828</v>
          </cell>
          <cell r="E4279" t="str">
            <v>Zhong Tong</v>
          </cell>
          <cell r="F4279" t="str">
            <v>Lck6122evg</v>
          </cell>
          <cell r="G4279" t="str">
            <v>ZHONGTONG</v>
          </cell>
          <cell r="H4279" t="str">
            <v>LCK6122EVG</v>
          </cell>
          <cell r="I4279">
            <v>2025</v>
          </cell>
          <cell r="J4279" t="str">
            <v>B</v>
          </cell>
          <cell r="K4279" t="str">
            <v>SAN ALFONSO</v>
          </cell>
          <cell r="L4279" t="str">
            <v>San Alfonso 2141 (Ramón Subercaseaux 3060)</v>
          </cell>
          <cell r="M4279" t="str">
            <v>Estacion Central</v>
          </cell>
          <cell r="N4279" t="str">
            <v>B</v>
          </cell>
        </row>
        <row r="4280">
          <cell r="B4280" t="str">
            <v>VGBV-36|</v>
          </cell>
          <cell r="C4280" t="str">
            <v>MDN35025010241</v>
          </cell>
          <cell r="D4280" t="str">
            <v>LDYECS312S0043843</v>
          </cell>
          <cell r="E4280" t="str">
            <v>Zhong Tong</v>
          </cell>
          <cell r="F4280" t="str">
            <v>Lck6122evg</v>
          </cell>
          <cell r="G4280" t="str">
            <v>ZHONGTONG</v>
          </cell>
          <cell r="H4280" t="str">
            <v>LCK6122EVG</v>
          </cell>
          <cell r="I4280">
            <v>2025</v>
          </cell>
          <cell r="J4280" t="str">
            <v>B</v>
          </cell>
          <cell r="K4280" t="str">
            <v>PIE ANDINO</v>
          </cell>
          <cell r="L4280" t="str">
            <v>Pie Andino 31 (Pie Andino 383)</v>
          </cell>
          <cell r="M4280" t="str">
            <v>Puente Alto</v>
          </cell>
          <cell r="N4280" t="str">
            <v>B</v>
          </cell>
        </row>
        <row r="4281">
          <cell r="B4281" t="str">
            <v>VGBV-41|</v>
          </cell>
          <cell r="C4281" t="str">
            <v>MDN35025010100</v>
          </cell>
          <cell r="D4281" t="str">
            <v>LDYECS319S0043841</v>
          </cell>
          <cell r="E4281" t="str">
            <v>Zhong Tong</v>
          </cell>
          <cell r="F4281" t="str">
            <v>Lck6122evg</v>
          </cell>
          <cell r="G4281" t="str">
            <v>ZHONGTONG</v>
          </cell>
          <cell r="H4281" t="str">
            <v>LCK6122EVG</v>
          </cell>
          <cell r="I4281">
            <v>2025</v>
          </cell>
          <cell r="J4281" t="str">
            <v>B</v>
          </cell>
          <cell r="K4281" t="str">
            <v>CERRILLOS</v>
          </cell>
          <cell r="L4281" t="str">
            <v>Calle Uno 7371</v>
          </cell>
          <cell r="M4281" t="str">
            <v>Cerrillos</v>
          </cell>
          <cell r="N4281" t="str">
            <v>B</v>
          </cell>
        </row>
        <row r="4282">
          <cell r="B4282" t="str">
            <v>VGBV-51|</v>
          </cell>
          <cell r="C4282" t="str">
            <v>MDN35025010022</v>
          </cell>
          <cell r="D4282" t="str">
            <v>LDYECS312S0043826</v>
          </cell>
          <cell r="E4282" t="str">
            <v>Zhong Tong</v>
          </cell>
          <cell r="F4282" t="str">
            <v>Lck6122evg</v>
          </cell>
          <cell r="G4282" t="str">
            <v>ZHONGTONG</v>
          </cell>
          <cell r="H4282" t="str">
            <v>LCK6122EVG</v>
          </cell>
          <cell r="I4282">
            <v>2025</v>
          </cell>
          <cell r="J4282" t="str">
            <v>B</v>
          </cell>
          <cell r="K4282" t="str">
            <v>SAN ALFONSO</v>
          </cell>
          <cell r="L4282" t="str">
            <v>San Alfonso 2141 (Ramón Subercaseaux 3060)</v>
          </cell>
          <cell r="M4282" t="str">
            <v>Estacion Central</v>
          </cell>
          <cell r="N4282" t="str">
            <v>B</v>
          </cell>
        </row>
        <row r="4283">
          <cell r="B4283" t="str">
            <v>VGBV-55|</v>
          </cell>
          <cell r="C4283" t="str">
            <v>MDN35025010032</v>
          </cell>
          <cell r="D4283" t="str">
            <v>LDYECS315S0043836</v>
          </cell>
          <cell r="E4283" t="str">
            <v>Zhong Tong</v>
          </cell>
          <cell r="F4283" t="str">
            <v>Lck6122evg</v>
          </cell>
          <cell r="G4283" t="str">
            <v>ZHONGTONG</v>
          </cell>
          <cell r="H4283" t="str">
            <v>LCK6122EVG</v>
          </cell>
          <cell r="I4283">
            <v>2025</v>
          </cell>
          <cell r="J4283" t="str">
            <v>B</v>
          </cell>
          <cell r="K4283" t="str">
            <v>PIE ANDINO</v>
          </cell>
          <cell r="L4283" t="str">
            <v>Pie Andino 31 (Pie Andino 383)</v>
          </cell>
          <cell r="M4283" t="str">
            <v>Puente Alto</v>
          </cell>
          <cell r="N4283" t="str">
            <v>B</v>
          </cell>
        </row>
        <row r="4284">
          <cell r="B4284" t="str">
            <v>VGBV-69|</v>
          </cell>
          <cell r="C4284" t="str">
            <v>MDN35025010096</v>
          </cell>
          <cell r="D4284" t="str">
            <v>LDYECS310S0043825</v>
          </cell>
          <cell r="E4284" t="str">
            <v>Zhong Tong</v>
          </cell>
          <cell r="F4284" t="str">
            <v>Lck6122evg</v>
          </cell>
          <cell r="G4284" t="str">
            <v>ZHONGTONG</v>
          </cell>
          <cell r="H4284" t="str">
            <v>LCK6122EVG</v>
          </cell>
          <cell r="I4284">
            <v>2025</v>
          </cell>
          <cell r="J4284" t="str">
            <v>B</v>
          </cell>
          <cell r="K4284" t="str">
            <v>SAN ALFONSO</v>
          </cell>
          <cell r="L4284" t="str">
            <v>San Alfonso 2141 (Ramón Subercaseaux 3060)</v>
          </cell>
          <cell r="M4284" t="str">
            <v>Estacion Central</v>
          </cell>
          <cell r="N4284" t="str">
            <v>B</v>
          </cell>
        </row>
        <row r="4285">
          <cell r="B4285" t="str">
            <v>VGBV-79|</v>
          </cell>
          <cell r="C4285" t="str">
            <v>MDN35025010133</v>
          </cell>
          <cell r="D4285" t="str">
            <v>LDYECS310S0043842</v>
          </cell>
          <cell r="E4285" t="str">
            <v>Zhong Tong</v>
          </cell>
          <cell r="F4285" t="str">
            <v>Lck6122evg</v>
          </cell>
          <cell r="G4285" t="str">
            <v>ZHONGTONG</v>
          </cell>
          <cell r="H4285" t="str">
            <v>LCK6122EVG</v>
          </cell>
          <cell r="I4285">
            <v>2025</v>
          </cell>
          <cell r="J4285" t="str">
            <v>B</v>
          </cell>
          <cell r="K4285" t="str">
            <v>SAN ALFONSO</v>
          </cell>
          <cell r="L4285" t="str">
            <v>San Alfonso 2141 (Ramón Subercaseaux 3060)</v>
          </cell>
          <cell r="M4285" t="str">
            <v>Estacion Central</v>
          </cell>
          <cell r="N4285" t="str">
            <v>B</v>
          </cell>
        </row>
        <row r="4286">
          <cell r="B4286" t="str">
            <v>VGBV-99|</v>
          </cell>
          <cell r="C4286" t="str">
            <v>MDN35025020065</v>
          </cell>
          <cell r="D4286" t="str">
            <v>LDYECS317S0043854</v>
          </cell>
          <cell r="E4286" t="str">
            <v>Zhong Tong</v>
          </cell>
          <cell r="F4286" t="str">
            <v>Lck6122evg</v>
          </cell>
          <cell r="G4286" t="str">
            <v>ZHONGTONG</v>
          </cell>
          <cell r="H4286" t="str">
            <v>LCK6122EVG</v>
          </cell>
          <cell r="I4286">
            <v>2025</v>
          </cell>
          <cell r="J4286" t="str">
            <v>B</v>
          </cell>
          <cell r="K4286" t="str">
            <v>PIE ANDINO</v>
          </cell>
          <cell r="L4286" t="str">
            <v>Pie Andino 31 (Pie Andino 383)</v>
          </cell>
          <cell r="M4286" t="str">
            <v>Puente Alto</v>
          </cell>
          <cell r="N4286" t="str">
            <v>B</v>
          </cell>
        </row>
        <row r="4287">
          <cell r="B4287" t="str">
            <v>VGBW-19|</v>
          </cell>
          <cell r="C4287" t="str">
            <v>MDN35025020066</v>
          </cell>
          <cell r="D4287" t="str">
            <v>LDYECS313S0043849</v>
          </cell>
          <cell r="E4287" t="str">
            <v>Zhong Tong</v>
          </cell>
          <cell r="F4287" t="str">
            <v>Lck6122evg</v>
          </cell>
          <cell r="G4287" t="str">
            <v>ZHONGTONG</v>
          </cell>
          <cell r="H4287" t="str">
            <v>LCK6122EVG</v>
          </cell>
          <cell r="I4287">
            <v>2025</v>
          </cell>
          <cell r="J4287" t="str">
            <v>B</v>
          </cell>
          <cell r="K4287" t="str">
            <v>PIE ANDINO</v>
          </cell>
          <cell r="L4287" t="str">
            <v>Pie Andino 31 (Pie Andino 383)</v>
          </cell>
          <cell r="M4287" t="str">
            <v>Puente Alto</v>
          </cell>
          <cell r="N4287" t="str">
            <v>B</v>
          </cell>
        </row>
        <row r="4288">
          <cell r="B4288" t="str">
            <v>VGBW-29|</v>
          </cell>
          <cell r="C4288" t="str">
            <v>MDN35025010238</v>
          </cell>
          <cell r="D4288" t="str">
            <v>LDYECS311S0043848</v>
          </cell>
          <cell r="E4288" t="str">
            <v>Zhong Tong</v>
          </cell>
          <cell r="F4288" t="str">
            <v>Lck6122evg</v>
          </cell>
          <cell r="G4288" t="str">
            <v>ZHONGTONG</v>
          </cell>
          <cell r="H4288" t="str">
            <v>LCK6122EVG</v>
          </cell>
          <cell r="I4288">
            <v>2025</v>
          </cell>
          <cell r="J4288" t="str">
            <v>B</v>
          </cell>
          <cell r="K4288" t="str">
            <v>PIE ANDINO</v>
          </cell>
          <cell r="L4288" t="str">
            <v>Pie Andino 31 (Pie Andino 383)</v>
          </cell>
          <cell r="M4288" t="str">
            <v>Puente Alto</v>
          </cell>
          <cell r="N4288" t="str">
            <v>B</v>
          </cell>
        </row>
        <row r="4289">
          <cell r="B4289" t="str">
            <v>VGBW-39|</v>
          </cell>
          <cell r="C4289" t="str">
            <v>MDN35025010109</v>
          </cell>
          <cell r="D4289" t="str">
            <v>LDYECS31XS0043847</v>
          </cell>
          <cell r="E4289" t="str">
            <v>Zhong Tong</v>
          </cell>
          <cell r="F4289" t="str">
            <v>Lck6122evg</v>
          </cell>
          <cell r="G4289" t="str">
            <v>ZHONGTONG</v>
          </cell>
          <cell r="H4289" t="str">
            <v>LCK6122EVG</v>
          </cell>
          <cell r="I4289">
            <v>2025</v>
          </cell>
          <cell r="J4289" t="str">
            <v>B</v>
          </cell>
          <cell r="K4289" t="str">
            <v>SAN ALFONSO</v>
          </cell>
          <cell r="L4289" t="str">
            <v>San Alfonso 2141 (Ramón Subercaseaux 3060)</v>
          </cell>
          <cell r="M4289" t="str">
            <v>Estacion Central</v>
          </cell>
          <cell r="N4289" t="str">
            <v>B</v>
          </cell>
        </row>
        <row r="4290">
          <cell r="B4290" t="str">
            <v>VGBW-48|</v>
          </cell>
          <cell r="C4290" t="str">
            <v>MDN35025010035</v>
          </cell>
          <cell r="D4290" t="str">
            <v>LDYECS314S0043827</v>
          </cell>
          <cell r="E4290" t="str">
            <v>Zhong Tong</v>
          </cell>
          <cell r="F4290" t="str">
            <v>Lck6122evg</v>
          </cell>
          <cell r="G4290" t="str">
            <v>ZHONGTONG</v>
          </cell>
          <cell r="H4290" t="str">
            <v>LCK6122EVG</v>
          </cell>
          <cell r="I4290">
            <v>2025</v>
          </cell>
          <cell r="J4290" t="str">
            <v>B</v>
          </cell>
          <cell r="K4290" t="str">
            <v>PIE ANDINO</v>
          </cell>
          <cell r="L4290" t="str">
            <v>Pie Andino 31 (Pie Andino 383)</v>
          </cell>
          <cell r="M4290" t="str">
            <v>Puente Alto</v>
          </cell>
          <cell r="N4290" t="str">
            <v>B</v>
          </cell>
        </row>
        <row r="4291">
          <cell r="B4291" t="str">
            <v>VGBW-58|</v>
          </cell>
          <cell r="C4291" t="str">
            <v>MDN35025010026</v>
          </cell>
          <cell r="D4291" t="str">
            <v>LDYECS313S0043835</v>
          </cell>
          <cell r="E4291" t="str">
            <v>Zhong Tong</v>
          </cell>
          <cell r="F4291" t="str">
            <v>Lck6122evg</v>
          </cell>
          <cell r="G4291" t="str">
            <v>ZHONGTONG</v>
          </cell>
          <cell r="H4291" t="str">
            <v>LCK6122EVG</v>
          </cell>
          <cell r="I4291">
            <v>2025</v>
          </cell>
          <cell r="J4291" t="str">
            <v>B</v>
          </cell>
          <cell r="K4291" t="str">
            <v>PIE ANDINO</v>
          </cell>
          <cell r="L4291" t="str">
            <v>Pie Andino 31 (Pie Andino 383)</v>
          </cell>
          <cell r="M4291" t="str">
            <v>Puente Alto</v>
          </cell>
          <cell r="N4291" t="str">
            <v>B</v>
          </cell>
        </row>
        <row r="4292">
          <cell r="B4292" t="str">
            <v>VGBW-68|</v>
          </cell>
          <cell r="C4292" t="str">
            <v>MDN35025020082</v>
          </cell>
          <cell r="D4292" t="str">
            <v>LDYECS315S0043853</v>
          </cell>
          <cell r="E4292" t="str">
            <v>Zhong Tong</v>
          </cell>
          <cell r="F4292" t="str">
            <v>Lck6122evg</v>
          </cell>
          <cell r="G4292" t="str">
            <v>ZHONGTONG</v>
          </cell>
          <cell r="H4292" t="str">
            <v>LCK6122EVG</v>
          </cell>
          <cell r="I4292">
            <v>2025</v>
          </cell>
          <cell r="J4292" t="str">
            <v>B</v>
          </cell>
          <cell r="K4292" t="str">
            <v>CERRILLOS</v>
          </cell>
          <cell r="L4292" t="str">
            <v>Calle Uno 7371</v>
          </cell>
          <cell r="M4292" t="str">
            <v>Cerrillos</v>
          </cell>
          <cell r="N4292" t="str">
            <v>B</v>
          </cell>
        </row>
        <row r="4293">
          <cell r="B4293" t="str">
            <v>VGBW-98|</v>
          </cell>
          <cell r="C4293" t="str">
            <v>MDN35025010099</v>
          </cell>
          <cell r="D4293" t="str">
            <v>LDYECS317S0043837</v>
          </cell>
          <cell r="E4293" t="str">
            <v>Zhong Tong</v>
          </cell>
          <cell r="F4293" t="str">
            <v>Lck6122evg</v>
          </cell>
          <cell r="G4293" t="str">
            <v>ZHONGTONG</v>
          </cell>
          <cell r="H4293" t="str">
            <v>LCK6122EVG</v>
          </cell>
          <cell r="I4293">
            <v>2025</v>
          </cell>
          <cell r="J4293" t="str">
            <v>B</v>
          </cell>
          <cell r="K4293" t="str">
            <v>SAN ALFONSO</v>
          </cell>
          <cell r="L4293" t="str">
            <v>San Alfonso 2141 (Ramón Subercaseaux 3060)</v>
          </cell>
          <cell r="M4293" t="str">
            <v>Estacion Central</v>
          </cell>
          <cell r="N4293" t="str">
            <v>B</v>
          </cell>
        </row>
        <row r="4294">
          <cell r="B4294" t="str">
            <v>VGBW-99|</v>
          </cell>
          <cell r="C4294" t="str">
            <v>MDN35025020081</v>
          </cell>
          <cell r="D4294" t="str">
            <v>LDYECS313S0043852</v>
          </cell>
          <cell r="E4294" t="str">
            <v>Zhong Tong</v>
          </cell>
          <cell r="F4294" t="str">
            <v>Lck6122evg</v>
          </cell>
          <cell r="G4294" t="str">
            <v>ZHONGTONG</v>
          </cell>
          <cell r="H4294" t="str">
            <v>LCK6122EVG</v>
          </cell>
          <cell r="I4294">
            <v>2025</v>
          </cell>
          <cell r="J4294" t="str">
            <v>B</v>
          </cell>
          <cell r="K4294" t="str">
            <v>SAN ALFONSO</v>
          </cell>
          <cell r="L4294" t="str">
            <v>San Alfonso 2141 (Ramón Subercaseaux 3060)</v>
          </cell>
          <cell r="M4294" t="str">
            <v>Estacion Central</v>
          </cell>
          <cell r="N4294" t="str">
            <v>B</v>
          </cell>
        </row>
        <row r="4295">
          <cell r="B4295" t="str">
            <v>VGBX-29|</v>
          </cell>
          <cell r="C4295" t="str">
            <v>MDN35025010250</v>
          </cell>
          <cell r="D4295" t="str">
            <v>LDYECS316S0043845</v>
          </cell>
          <cell r="E4295" t="str">
            <v>Zhong Tong</v>
          </cell>
          <cell r="F4295" t="str">
            <v>Lck6122evg</v>
          </cell>
          <cell r="G4295" t="str">
            <v>ZHONGTONG</v>
          </cell>
          <cell r="H4295" t="str">
            <v>LCK6122EVG</v>
          </cell>
          <cell r="I4295">
            <v>2025</v>
          </cell>
          <cell r="J4295" t="str">
            <v>B</v>
          </cell>
          <cell r="K4295" t="str">
            <v>PIE ANDINO</v>
          </cell>
          <cell r="L4295" t="str">
            <v>Pie Andino 31 (Pie Andino 383)</v>
          </cell>
          <cell r="M4295" t="str">
            <v>Puente Alto</v>
          </cell>
          <cell r="N4295" t="str">
            <v>B</v>
          </cell>
        </row>
        <row r="4296">
          <cell r="B4296" t="str">
            <v>VGBX-48|</v>
          </cell>
          <cell r="C4296" t="str">
            <v>MDN35025010138</v>
          </cell>
          <cell r="D4296" t="str">
            <v>LDYECS31XS0043850</v>
          </cell>
          <cell r="E4296" t="str">
            <v>Zhong Tong</v>
          </cell>
          <cell r="F4296" t="str">
            <v>Lck6122evg</v>
          </cell>
          <cell r="G4296" t="str">
            <v>ZHONGTONG</v>
          </cell>
          <cell r="H4296" t="str">
            <v>LCK6122EVG</v>
          </cell>
          <cell r="I4296">
            <v>2025</v>
          </cell>
          <cell r="J4296" t="str">
            <v>B</v>
          </cell>
          <cell r="K4296" t="str">
            <v>PIE ANDINO</v>
          </cell>
          <cell r="L4296" t="str">
            <v>Pie Andino 31 (Pie Andino 383)</v>
          </cell>
          <cell r="M4296" t="str">
            <v>Puente Alto</v>
          </cell>
          <cell r="N4296" t="str">
            <v>B</v>
          </cell>
        </row>
        <row r="4297">
          <cell r="B4297" t="str">
            <v>VGBX-49|</v>
          </cell>
          <cell r="C4297" t="str">
            <v>MDN35025020236</v>
          </cell>
          <cell r="D4297" t="str">
            <v>LDYECS310S0043856</v>
          </cell>
          <cell r="E4297" t="str">
            <v>Zhong Tong</v>
          </cell>
          <cell r="F4297" t="str">
            <v>Lck6122evg</v>
          </cell>
          <cell r="G4297" t="str">
            <v>ZHONGTONG</v>
          </cell>
          <cell r="H4297" t="str">
            <v>LCK6122EVG</v>
          </cell>
          <cell r="I4297">
            <v>2025</v>
          </cell>
          <cell r="J4297" t="str">
            <v>B</v>
          </cell>
          <cell r="K4297" t="str">
            <v>PIE ANDINO</v>
          </cell>
          <cell r="L4297" t="str">
            <v>Pie Andino 31 (Pie Andino 383)</v>
          </cell>
          <cell r="M4297" t="str">
            <v>Puente Alto</v>
          </cell>
          <cell r="N4297" t="str">
            <v>B</v>
          </cell>
        </row>
        <row r="4298">
          <cell r="B4298" t="str">
            <v>VGBX-58|</v>
          </cell>
          <cell r="C4298" t="str">
            <v>MDN35025010240</v>
          </cell>
          <cell r="D4298" t="str">
            <v>LDYECS317S0043840</v>
          </cell>
          <cell r="E4298" t="str">
            <v>Zhong Tong</v>
          </cell>
          <cell r="F4298" t="str">
            <v>Lck6122evg</v>
          </cell>
          <cell r="G4298" t="str">
            <v>ZHONGTONG</v>
          </cell>
          <cell r="H4298" t="str">
            <v>LCK6122EVG</v>
          </cell>
          <cell r="I4298">
            <v>2025</v>
          </cell>
          <cell r="J4298" t="str">
            <v>B</v>
          </cell>
          <cell r="K4298" t="str">
            <v>PIE ANDINO</v>
          </cell>
          <cell r="L4298" t="str">
            <v>Pie Andino 31 (Pie Andino 383)</v>
          </cell>
          <cell r="M4298" t="str">
            <v>Puente Alto</v>
          </cell>
          <cell r="N4298" t="str">
            <v>B</v>
          </cell>
        </row>
        <row r="4299">
          <cell r="B4299" t="str">
            <v>VGBX-59|</v>
          </cell>
          <cell r="C4299" t="str">
            <v>MDN35025010141</v>
          </cell>
          <cell r="D4299" t="str">
            <v>LDYECS319S0043855</v>
          </cell>
          <cell r="E4299" t="str">
            <v>Zhong Tong</v>
          </cell>
          <cell r="F4299" t="str">
            <v>Lck6122evg</v>
          </cell>
          <cell r="G4299" t="str">
            <v>ZHONGTONG</v>
          </cell>
          <cell r="H4299" t="str">
            <v>LCK6122EVG</v>
          </cell>
          <cell r="I4299">
            <v>2025</v>
          </cell>
          <cell r="J4299" t="str">
            <v>B</v>
          </cell>
          <cell r="K4299" t="str">
            <v>LOS LIBERTADORES</v>
          </cell>
          <cell r="L4299" t="str">
            <v>Los Liberadores 6450, Lote 4A</v>
          </cell>
          <cell r="M4299" t="str">
            <v>Huechuraba</v>
          </cell>
          <cell r="N4299" t="str">
            <v>B</v>
          </cell>
        </row>
        <row r="4300">
          <cell r="B4300" t="str">
            <v>VGBX-78|</v>
          </cell>
          <cell r="C4300" t="str">
            <v>MDN35025010088</v>
          </cell>
          <cell r="D4300" t="str">
            <v>LDYECS319S0043838</v>
          </cell>
          <cell r="E4300" t="str">
            <v>Zhong Tong</v>
          </cell>
          <cell r="F4300" t="str">
            <v>Lck6122evg</v>
          </cell>
          <cell r="G4300" t="str">
            <v>ZHONGTONG</v>
          </cell>
          <cell r="H4300" t="str">
            <v>LCK6122EVG</v>
          </cell>
          <cell r="I4300">
            <v>2025</v>
          </cell>
          <cell r="J4300" t="str">
            <v>B</v>
          </cell>
          <cell r="K4300" t="str">
            <v>LOS LIBERTADORES</v>
          </cell>
          <cell r="L4300" t="str">
            <v>Los Liberadores 6450, Lote 4A</v>
          </cell>
          <cell r="M4300" t="str">
            <v>Huechuraba</v>
          </cell>
          <cell r="N4300" t="str">
            <v>B</v>
          </cell>
        </row>
        <row r="4301">
          <cell r="B4301" t="str">
            <v>VGCB-39|</v>
          </cell>
          <cell r="C4301" t="str">
            <v>MDN35025010137</v>
          </cell>
          <cell r="D4301" t="str">
            <v>LDYECS311S0043851</v>
          </cell>
          <cell r="E4301" t="str">
            <v>Zhong Tong</v>
          </cell>
          <cell r="F4301" t="str">
            <v>Lck6122evg</v>
          </cell>
          <cell r="G4301" t="str">
            <v>ZHONGTONG</v>
          </cell>
          <cell r="H4301" t="str">
            <v>LCK6122EVG</v>
          </cell>
          <cell r="I4301">
            <v>2025</v>
          </cell>
          <cell r="J4301" t="str">
            <v>B</v>
          </cell>
          <cell r="K4301" t="str">
            <v>LOS LIBERTADORES</v>
          </cell>
          <cell r="L4301" t="str">
            <v>Los Liberadores 6450, Lote 4A</v>
          </cell>
          <cell r="M4301" t="str">
            <v>Huechuraba</v>
          </cell>
          <cell r="N4301" t="str">
            <v>B</v>
          </cell>
        </row>
        <row r="4302">
          <cell r="B4302" t="str">
            <v>VGCB-59|</v>
          </cell>
          <cell r="C4302" t="str">
            <v>MDN35025010142</v>
          </cell>
          <cell r="D4302" t="str">
            <v>LDYECS312S0043857</v>
          </cell>
          <cell r="E4302" t="str">
            <v>Zhong Tong</v>
          </cell>
          <cell r="F4302" t="str">
            <v>Lck6122evg</v>
          </cell>
          <cell r="G4302" t="str">
            <v>ZHONGTONG</v>
          </cell>
          <cell r="H4302" t="str">
            <v>LCK6122EVG</v>
          </cell>
          <cell r="I4302">
            <v>2025</v>
          </cell>
          <cell r="J4302" t="str">
            <v>B</v>
          </cell>
          <cell r="K4302" t="str">
            <v>CERRILLOS</v>
          </cell>
          <cell r="L4302" t="str">
            <v>Calle Uno 7371</v>
          </cell>
          <cell r="M4302" t="str">
            <v>Cerrillos</v>
          </cell>
          <cell r="N4302" t="str">
            <v>B</v>
          </cell>
        </row>
        <row r="4303">
          <cell r="B4303" t="str">
            <v>VGKX-42|</v>
          </cell>
          <cell r="C4303" t="str">
            <v>MDN35025030025</v>
          </cell>
          <cell r="D4303" t="str">
            <v>LDYECS317S0044373</v>
          </cell>
          <cell r="E4303" t="str">
            <v>Zhong Tong</v>
          </cell>
          <cell r="F4303" t="str">
            <v>Lck6122evg</v>
          </cell>
          <cell r="G4303" t="str">
            <v>ZHONGTONG</v>
          </cell>
          <cell r="H4303" t="str">
            <v>LCK6122EVG</v>
          </cell>
          <cell r="I4303">
            <v>2025</v>
          </cell>
          <cell r="J4303" t="str">
            <v>B</v>
          </cell>
          <cell r="K4303" t="str">
            <v>PIE ANDINO</v>
          </cell>
          <cell r="L4303" t="str">
            <v>Pie Andino 31 (Pie Andino 383)</v>
          </cell>
          <cell r="M4303" t="str">
            <v>Puente Alto</v>
          </cell>
          <cell r="N4303" t="str">
            <v>B</v>
          </cell>
        </row>
        <row r="4304">
          <cell r="B4304" t="str">
            <v>VGKX-52|</v>
          </cell>
          <cell r="C4304" t="str">
            <v>MDN35025030153</v>
          </cell>
          <cell r="D4304" t="str">
            <v>LDYECS310S0044327</v>
          </cell>
          <cell r="E4304" t="str">
            <v>Zhong Tong</v>
          </cell>
          <cell r="F4304" t="str">
            <v>Lck6122evg</v>
          </cell>
          <cell r="G4304" t="str">
            <v>ZHONGTONG</v>
          </cell>
          <cell r="H4304" t="str">
            <v>LCK6122EVG</v>
          </cell>
          <cell r="I4304">
            <v>2025</v>
          </cell>
          <cell r="J4304" t="str">
            <v>B</v>
          </cell>
          <cell r="K4304" t="str">
            <v>SAN ALFONSO</v>
          </cell>
          <cell r="L4304" t="str">
            <v>San Alfonso 2141 (Ramón Subercaseaux 3060)</v>
          </cell>
          <cell r="M4304" t="str">
            <v>Estacion Central</v>
          </cell>
          <cell r="N4304" t="str">
            <v>B</v>
          </cell>
        </row>
        <row r="4305">
          <cell r="B4305" t="str">
            <v>VGKX-62|</v>
          </cell>
          <cell r="C4305" t="str">
            <v>MDN35025030021</v>
          </cell>
          <cell r="D4305" t="str">
            <v>LDYECS31XS0044304</v>
          </cell>
          <cell r="E4305" t="str">
            <v>Zhong Tong</v>
          </cell>
          <cell r="F4305" t="str">
            <v>Lck6122evg</v>
          </cell>
          <cell r="G4305" t="str">
            <v>ZHONGTONG</v>
          </cell>
          <cell r="H4305" t="str">
            <v>LCK6122EVG</v>
          </cell>
          <cell r="I4305">
            <v>2025</v>
          </cell>
          <cell r="J4305" t="str">
            <v>B</v>
          </cell>
          <cell r="K4305" t="str">
            <v>CERRILLOS</v>
          </cell>
          <cell r="L4305" t="str">
            <v>Calle Uno 7371</v>
          </cell>
          <cell r="M4305" t="str">
            <v>Cerrillos</v>
          </cell>
          <cell r="N4305" t="str">
            <v>B</v>
          </cell>
        </row>
        <row r="4306">
          <cell r="B4306" t="str">
            <v>VGKX-82|</v>
          </cell>
          <cell r="C4306" t="str">
            <v>MDN35025030136</v>
          </cell>
          <cell r="D4306" t="str">
            <v>LDYECS315S0044324</v>
          </cell>
          <cell r="E4306" t="str">
            <v>Zhong Tong</v>
          </cell>
          <cell r="F4306" t="str">
            <v>Lck6122evg</v>
          </cell>
          <cell r="G4306" t="str">
            <v>ZHONGTONG</v>
          </cell>
          <cell r="H4306" t="str">
            <v>LCK6122EVG</v>
          </cell>
          <cell r="I4306">
            <v>2025</v>
          </cell>
          <cell r="J4306" t="str">
            <v>B</v>
          </cell>
          <cell r="K4306" t="str">
            <v>PIE ANDINO</v>
          </cell>
          <cell r="L4306" t="str">
            <v>Pie Andino 31 (Pie Andino 383)</v>
          </cell>
          <cell r="M4306" t="str">
            <v>Puente Alto</v>
          </cell>
          <cell r="N4306" t="str">
            <v>B</v>
          </cell>
        </row>
        <row r="4307">
          <cell r="B4307" t="str">
            <v>VGKY-12|</v>
          </cell>
          <cell r="C4307" t="str">
            <v>MDN35025030073</v>
          </cell>
          <cell r="D4307" t="str">
            <v>LDYECS311S0044305</v>
          </cell>
          <cell r="E4307" t="str">
            <v>Zhong Tong</v>
          </cell>
          <cell r="F4307" t="str">
            <v>Lck6122evg</v>
          </cell>
          <cell r="G4307" t="str">
            <v>ZHONGTONG</v>
          </cell>
          <cell r="H4307" t="str">
            <v>LCK6122EVG</v>
          </cell>
          <cell r="I4307">
            <v>2025</v>
          </cell>
          <cell r="J4307" t="str">
            <v>B</v>
          </cell>
          <cell r="K4307" t="str">
            <v>CERRILLOS</v>
          </cell>
          <cell r="L4307" t="str">
            <v>Calle Uno 7371</v>
          </cell>
          <cell r="M4307" t="str">
            <v>Cerrillos</v>
          </cell>
          <cell r="N4307" t="str">
            <v>B</v>
          </cell>
        </row>
        <row r="4308">
          <cell r="B4308" t="str">
            <v>VGKY-22|</v>
          </cell>
          <cell r="C4308" t="str">
            <v>MDN35025030018</v>
          </cell>
          <cell r="D4308" t="str">
            <v>LDYECS31XS0044383</v>
          </cell>
          <cell r="E4308" t="str">
            <v>Zhong Tong</v>
          </cell>
          <cell r="F4308" t="str">
            <v>Lck6122evg</v>
          </cell>
          <cell r="G4308" t="str">
            <v>ZHONGTONG</v>
          </cell>
          <cell r="H4308" t="str">
            <v>LCK6122EVG</v>
          </cell>
          <cell r="I4308">
            <v>2025</v>
          </cell>
          <cell r="J4308" t="str">
            <v>B</v>
          </cell>
          <cell r="K4308" t="str">
            <v>PIE ANDINO</v>
          </cell>
          <cell r="L4308" t="str">
            <v>Pie Andino 31 (Pie Andino 383)</v>
          </cell>
          <cell r="M4308" t="str">
            <v>Puente Alto</v>
          </cell>
          <cell r="N4308" t="str">
            <v>B</v>
          </cell>
        </row>
        <row r="4309">
          <cell r="B4309" t="str">
            <v>VGKY-42|</v>
          </cell>
          <cell r="C4309" t="str">
            <v>MDN35025010127</v>
          </cell>
          <cell r="D4309" t="str">
            <v>LDYECS319S0044388</v>
          </cell>
          <cell r="E4309" t="str">
            <v>Zhong Tong</v>
          </cell>
          <cell r="F4309" t="str">
            <v>Lck6122evg</v>
          </cell>
          <cell r="G4309" t="str">
            <v>ZHONGTONG</v>
          </cell>
          <cell r="H4309" t="str">
            <v>LCK6122EVG</v>
          </cell>
          <cell r="I4309">
            <v>2025</v>
          </cell>
          <cell r="J4309" t="str">
            <v>B</v>
          </cell>
          <cell r="K4309" t="str">
            <v>PIE ANDINO</v>
          </cell>
          <cell r="L4309" t="str">
            <v>Pie Andino 31 (Pie Andino 383)</v>
          </cell>
          <cell r="M4309" t="str">
            <v>Puente Alto</v>
          </cell>
          <cell r="N4309" t="str">
            <v>B</v>
          </cell>
        </row>
        <row r="4310">
          <cell r="B4310" t="str">
            <v>VGKY-72|</v>
          </cell>
          <cell r="C4310" t="str">
            <v>MDN35025030199</v>
          </cell>
          <cell r="D4310" t="str">
            <v>LDYECS317S0044325</v>
          </cell>
          <cell r="E4310" t="str">
            <v>Zhong Tong</v>
          </cell>
          <cell r="F4310" t="str">
            <v>Lck6122evg</v>
          </cell>
          <cell r="G4310" t="str">
            <v>ZHONGTONG</v>
          </cell>
          <cell r="H4310" t="str">
            <v>LCK6122EVG</v>
          </cell>
          <cell r="I4310">
            <v>2025</v>
          </cell>
          <cell r="J4310" t="str">
            <v>B</v>
          </cell>
          <cell r="K4310" t="str">
            <v>PIE ANDINO</v>
          </cell>
          <cell r="L4310" t="str">
            <v>Pie Andino 31 (Pie Andino 383)</v>
          </cell>
          <cell r="M4310" t="str">
            <v>Puente Alto</v>
          </cell>
          <cell r="N4310" t="str">
            <v>B</v>
          </cell>
        </row>
        <row r="4311">
          <cell r="B4311" t="str">
            <v>VGKY-82|</v>
          </cell>
          <cell r="C4311" t="str">
            <v>MDN35025030042</v>
          </cell>
          <cell r="D4311" t="str">
            <v>LDYECS318S0044379</v>
          </cell>
          <cell r="E4311" t="str">
            <v>Zhong Tong</v>
          </cell>
          <cell r="F4311" t="str">
            <v>Lck6122evg</v>
          </cell>
          <cell r="G4311" t="str">
            <v>ZHONGTONG</v>
          </cell>
          <cell r="H4311" t="str">
            <v>LCK6122EVG</v>
          </cell>
          <cell r="I4311">
            <v>2025</v>
          </cell>
          <cell r="J4311" t="str">
            <v>B</v>
          </cell>
          <cell r="K4311" t="str">
            <v>PIE ANDINO</v>
          </cell>
          <cell r="L4311" t="str">
            <v>Pie Andino 31 (Pie Andino 383)</v>
          </cell>
          <cell r="M4311" t="str">
            <v>Puente Alto</v>
          </cell>
          <cell r="N4311" t="str">
            <v>B</v>
          </cell>
        </row>
        <row r="4312">
          <cell r="B4312" t="str">
            <v>VGKZ-62|</v>
          </cell>
          <cell r="C4312" t="str">
            <v>MDN35025030041</v>
          </cell>
          <cell r="D4312" t="str">
            <v>LDYECS313S0044385</v>
          </cell>
          <cell r="E4312" t="str">
            <v>Zhong Tong</v>
          </cell>
          <cell r="F4312" t="str">
            <v>Lck6122evg</v>
          </cell>
          <cell r="G4312" t="str">
            <v>ZHONGTONG</v>
          </cell>
          <cell r="H4312" t="str">
            <v>LCK6122EVG</v>
          </cell>
          <cell r="I4312">
            <v>2025</v>
          </cell>
          <cell r="J4312" t="str">
            <v>B</v>
          </cell>
          <cell r="K4312" t="str">
            <v>PIE ANDINO</v>
          </cell>
          <cell r="L4312" t="str">
            <v>Pie Andino 31 (Pie Andino 383)</v>
          </cell>
          <cell r="M4312" t="str">
            <v>Puente Alto</v>
          </cell>
          <cell r="N4312" t="str">
            <v>B</v>
          </cell>
        </row>
        <row r="4313">
          <cell r="B4313" t="str">
            <v>VGKZ-82|</v>
          </cell>
          <cell r="C4313" t="str">
            <v>MDN35025030011</v>
          </cell>
          <cell r="D4313" t="str">
            <v>LDYECS311S0044384</v>
          </cell>
          <cell r="E4313" t="str">
            <v>Zhong Tong</v>
          </cell>
          <cell r="F4313" t="str">
            <v>Lck6122evg</v>
          </cell>
          <cell r="G4313" t="str">
            <v>ZHONGTONG</v>
          </cell>
          <cell r="H4313" t="str">
            <v>LCK6122EVG</v>
          </cell>
          <cell r="I4313">
            <v>2025</v>
          </cell>
          <cell r="J4313" t="str">
            <v>B</v>
          </cell>
          <cell r="K4313" t="str">
            <v>PIE ANDINO</v>
          </cell>
          <cell r="L4313" t="str">
            <v>Pie Andino 31 (Pie Andino 383)</v>
          </cell>
          <cell r="M4313" t="str">
            <v>Puente Alto</v>
          </cell>
          <cell r="N4313" t="str">
            <v>B</v>
          </cell>
        </row>
        <row r="4314">
          <cell r="B4314" t="str">
            <v>VGKZ-92|</v>
          </cell>
          <cell r="C4314" t="str">
            <v>MDN35025030056</v>
          </cell>
          <cell r="D4314" t="str">
            <v>LDYECS313S0044371</v>
          </cell>
          <cell r="E4314" t="str">
            <v>Zhong Tong</v>
          </cell>
          <cell r="F4314" t="str">
            <v>Lck6122evg</v>
          </cell>
          <cell r="G4314" t="str">
            <v>ZHONGTONG</v>
          </cell>
          <cell r="H4314" t="str">
            <v>LCK6122EVG</v>
          </cell>
          <cell r="I4314">
            <v>2025</v>
          </cell>
          <cell r="J4314" t="str">
            <v>B</v>
          </cell>
          <cell r="K4314" t="str">
            <v>PIE ANDINO</v>
          </cell>
          <cell r="L4314" t="str">
            <v>Pie Andino 31 (Pie Andino 383)</v>
          </cell>
          <cell r="M4314" t="str">
            <v>Puente Alto</v>
          </cell>
          <cell r="N4314" t="str">
            <v>B</v>
          </cell>
        </row>
        <row r="4315">
          <cell r="B4315" t="str">
            <v>3003 / SFWZ-16|</v>
          </cell>
          <cell r="J4315" t="str">
            <v>B</v>
          </cell>
          <cell r="N4315" t="str">
            <v>B</v>
          </cell>
        </row>
        <row r="4316">
          <cell r="B4316" t="str">
            <v>3003 / SFWZ-16|</v>
          </cell>
          <cell r="J4316" t="str">
            <v>B</v>
          </cell>
          <cell r="N4316" t="str">
            <v>B</v>
          </cell>
        </row>
        <row r="4317">
          <cell r="B4317" t="str">
            <v>3003 / SFWZ-16|</v>
          </cell>
          <cell r="J4317" t="str">
            <v>B</v>
          </cell>
          <cell r="N4317" t="str">
            <v>B</v>
          </cell>
        </row>
        <row r="4318">
          <cell r="B4318" t="str">
            <v>3003 / SFWZ-16|</v>
          </cell>
          <cell r="J4318" t="str">
            <v>B</v>
          </cell>
          <cell r="N4318" t="str">
            <v>B</v>
          </cell>
        </row>
        <row r="4319">
          <cell r="B4319" t="str">
            <v>3003 / SFWZ-16|</v>
          </cell>
          <cell r="J4319" t="str">
            <v>B</v>
          </cell>
          <cell r="N4319" t="str">
            <v>B</v>
          </cell>
        </row>
        <row r="4320">
          <cell r="B4320" t="str">
            <v>3004 / SFWZ-31|</v>
          </cell>
          <cell r="J4320" t="str">
            <v>B</v>
          </cell>
          <cell r="N4320" t="str">
            <v>B</v>
          </cell>
        </row>
        <row r="4321">
          <cell r="B4321" t="str">
            <v>3004 / SFWZ-31|</v>
          </cell>
          <cell r="J4321" t="str">
            <v>B</v>
          </cell>
          <cell r="N4321" t="str">
            <v>B</v>
          </cell>
        </row>
        <row r="4322">
          <cell r="B4322" t="str">
            <v>3004 / SFWZ-31|</v>
          </cell>
          <cell r="J4322" t="str">
            <v>B</v>
          </cell>
          <cell r="N4322" t="str">
            <v>B</v>
          </cell>
        </row>
        <row r="4323">
          <cell r="B4323" t="str">
            <v>3004 / SFWZ-31|</v>
          </cell>
          <cell r="J4323" t="str">
            <v>B</v>
          </cell>
          <cell r="N4323" t="str">
            <v>B</v>
          </cell>
        </row>
        <row r="4324">
          <cell r="B4324" t="str">
            <v>3004 / SFWZ-31|</v>
          </cell>
          <cell r="J4324" t="str">
            <v>B</v>
          </cell>
          <cell r="N4324" t="str">
            <v>B</v>
          </cell>
        </row>
        <row r="4325">
          <cell r="B4325" t="str">
            <v>3004 / SFWZ-31|</v>
          </cell>
          <cell r="J4325" t="str">
            <v>B</v>
          </cell>
          <cell r="N4325" t="str">
            <v>B</v>
          </cell>
        </row>
        <row r="4326">
          <cell r="B4326" t="str">
            <v>3004 / SFWZ-31|</v>
          </cell>
          <cell r="J4326" t="str">
            <v>B</v>
          </cell>
          <cell r="N4326" t="str">
            <v>B</v>
          </cell>
        </row>
        <row r="4327">
          <cell r="B4327" t="str">
            <v>3004 / SFWZ-31|</v>
          </cell>
          <cell r="J4327" t="str">
            <v>B</v>
          </cell>
          <cell r="N4327" t="str">
            <v>B</v>
          </cell>
        </row>
        <row r="4328">
          <cell r="B4328" t="str">
            <v>3005 / SFWZ-39|</v>
          </cell>
          <cell r="J4328" t="str">
            <v>B</v>
          </cell>
          <cell r="N4328" t="str">
            <v>B</v>
          </cell>
        </row>
        <row r="4329">
          <cell r="B4329" t="str">
            <v>3005 / SFWZ-39|</v>
          </cell>
          <cell r="J4329" t="str">
            <v>B</v>
          </cell>
          <cell r="N4329" t="str">
            <v>B</v>
          </cell>
        </row>
        <row r="4330">
          <cell r="B4330" t="str">
            <v>3005 / SFWZ-39|</v>
          </cell>
          <cell r="J4330" t="str">
            <v>B</v>
          </cell>
          <cell r="N4330" t="str">
            <v>B</v>
          </cell>
        </row>
        <row r="4331">
          <cell r="B4331" t="str">
            <v>3005 / SFWZ-39|</v>
          </cell>
          <cell r="J4331" t="str">
            <v>B</v>
          </cell>
          <cell r="N4331" t="str">
            <v>B</v>
          </cell>
        </row>
        <row r="4332">
          <cell r="B4332" t="str">
            <v>3005 / SFWZ-39|</v>
          </cell>
          <cell r="J4332" t="str">
            <v>B</v>
          </cell>
          <cell r="N4332" t="str">
            <v>B</v>
          </cell>
        </row>
        <row r="4333">
          <cell r="B4333" t="str">
            <v>3005 / SFWZ-39|</v>
          </cell>
          <cell r="J4333" t="str">
            <v>B</v>
          </cell>
          <cell r="N4333" t="str">
            <v>B</v>
          </cell>
        </row>
        <row r="4334">
          <cell r="B4334" t="str">
            <v>3005 / SFWZ-39|</v>
          </cell>
          <cell r="J4334" t="str">
            <v>B</v>
          </cell>
          <cell r="N4334" t="str">
            <v>B</v>
          </cell>
        </row>
        <row r="4335">
          <cell r="B4335" t="str">
            <v>3005 / SFWZ-39|</v>
          </cell>
          <cell r="J4335" t="str">
            <v>B</v>
          </cell>
          <cell r="N4335" t="str">
            <v>B</v>
          </cell>
        </row>
        <row r="4336">
          <cell r="B4336" t="str">
            <v>3006 / SFVZ-94|</v>
          </cell>
          <cell r="J4336" t="str">
            <v>B</v>
          </cell>
          <cell r="N4336" t="str">
            <v>B</v>
          </cell>
        </row>
        <row r="4337">
          <cell r="B4337" t="str">
            <v>3006 / SFVZ-94|</v>
          </cell>
          <cell r="J4337" t="str">
            <v>B</v>
          </cell>
          <cell r="N4337" t="str">
            <v>B</v>
          </cell>
        </row>
        <row r="4338">
          <cell r="B4338" t="str">
            <v>3006 / SFVZ-94|</v>
          </cell>
          <cell r="J4338" t="str">
            <v>B</v>
          </cell>
          <cell r="N4338" t="str">
            <v>B</v>
          </cell>
        </row>
        <row r="4339">
          <cell r="B4339" t="str">
            <v>3006 / SFVZ-94|</v>
          </cell>
          <cell r="J4339" t="str">
            <v>B</v>
          </cell>
          <cell r="N4339" t="str">
            <v>B</v>
          </cell>
        </row>
        <row r="4340">
          <cell r="B4340" t="str">
            <v>3006 / SFVZ-94|</v>
          </cell>
          <cell r="J4340" t="str">
            <v>B</v>
          </cell>
          <cell r="N4340" t="str">
            <v>B</v>
          </cell>
        </row>
        <row r="4341">
          <cell r="B4341" t="str">
            <v>3007 / SFWB-50|</v>
          </cell>
          <cell r="J4341" t="str">
            <v>B</v>
          </cell>
          <cell r="N4341" t="str">
            <v>B</v>
          </cell>
        </row>
        <row r="4342">
          <cell r="B4342" t="str">
            <v>3007 / SFWB-50|</v>
          </cell>
          <cell r="J4342" t="str">
            <v>B</v>
          </cell>
          <cell r="N4342" t="str">
            <v>B</v>
          </cell>
        </row>
        <row r="4343">
          <cell r="B4343" t="str">
            <v>3007 / SFWB-50|</v>
          </cell>
          <cell r="J4343" t="str">
            <v>B</v>
          </cell>
          <cell r="N4343" t="str">
            <v>B</v>
          </cell>
        </row>
        <row r="4344">
          <cell r="B4344" t="str">
            <v>3007 / SFWB-50|</v>
          </cell>
          <cell r="J4344" t="str">
            <v>B</v>
          </cell>
          <cell r="N4344" t="str">
            <v>B</v>
          </cell>
        </row>
        <row r="4345">
          <cell r="B4345" t="str">
            <v>3007 / SFWB-50|</v>
          </cell>
          <cell r="J4345" t="str">
            <v>B</v>
          </cell>
          <cell r="N4345" t="str">
            <v>B</v>
          </cell>
        </row>
        <row r="4346">
          <cell r="B4346" t="str">
            <v>3008 / SFWB-58|</v>
          </cell>
          <cell r="J4346" t="str">
            <v>B</v>
          </cell>
          <cell r="N4346" t="str">
            <v>B</v>
          </cell>
        </row>
        <row r="4347">
          <cell r="B4347" t="str">
            <v>3008 / SFWB-58|</v>
          </cell>
          <cell r="J4347" t="str">
            <v>B</v>
          </cell>
          <cell r="N4347" t="str">
            <v>B</v>
          </cell>
        </row>
        <row r="4348">
          <cell r="B4348" t="str">
            <v>3009 / SFVZ-87|</v>
          </cell>
          <cell r="J4348" t="str">
            <v>B</v>
          </cell>
          <cell r="N4348" t="str">
            <v>B</v>
          </cell>
        </row>
        <row r="4349">
          <cell r="B4349" t="str">
            <v>3009 / SFVZ-87|</v>
          </cell>
          <cell r="J4349" t="str">
            <v>B</v>
          </cell>
          <cell r="N4349" t="str">
            <v>B</v>
          </cell>
        </row>
        <row r="4350">
          <cell r="B4350" t="str">
            <v>3009 / SFVZ-87|</v>
          </cell>
          <cell r="J4350" t="str">
            <v>B</v>
          </cell>
          <cell r="N4350" t="str">
            <v>B</v>
          </cell>
        </row>
        <row r="4351">
          <cell r="B4351" t="str">
            <v>3009 / SFVZ-87|</v>
          </cell>
          <cell r="J4351" t="str">
            <v>B</v>
          </cell>
          <cell r="N4351" t="str">
            <v>B</v>
          </cell>
        </row>
        <row r="4352">
          <cell r="B4352" t="str">
            <v>3011 / SFWB-46|</v>
          </cell>
          <cell r="J4352" t="str">
            <v>B</v>
          </cell>
          <cell r="N4352" t="str">
            <v>B</v>
          </cell>
        </row>
        <row r="4353">
          <cell r="B4353" t="str">
            <v>3011 / SFWB-46|</v>
          </cell>
          <cell r="J4353" t="str">
            <v>B</v>
          </cell>
          <cell r="N4353" t="str">
            <v>B</v>
          </cell>
        </row>
        <row r="4354">
          <cell r="B4354" t="str">
            <v>3011 / SFWB-46|</v>
          </cell>
          <cell r="J4354" t="str">
            <v>B</v>
          </cell>
          <cell r="N4354" t="str">
            <v>B</v>
          </cell>
        </row>
        <row r="4355">
          <cell r="B4355" t="str">
            <v>3011 / SFWB-46|</v>
          </cell>
          <cell r="J4355" t="str">
            <v>B</v>
          </cell>
          <cell r="N4355" t="str">
            <v>B</v>
          </cell>
        </row>
        <row r="4356">
          <cell r="B4356" t="str">
            <v>3012 / SFWB-72|</v>
          </cell>
          <cell r="J4356" t="str">
            <v>B</v>
          </cell>
          <cell r="N4356" t="str">
            <v>B</v>
          </cell>
        </row>
        <row r="4357">
          <cell r="B4357" t="str">
            <v>3012 / SFWB-72|</v>
          </cell>
          <cell r="J4357" t="str">
            <v>B</v>
          </cell>
          <cell r="N4357" t="str">
            <v>B</v>
          </cell>
        </row>
        <row r="4358">
          <cell r="B4358" t="str">
            <v>3012 / SFWB-72|</v>
          </cell>
          <cell r="J4358" t="str">
            <v>B</v>
          </cell>
          <cell r="N4358" t="str">
            <v>B</v>
          </cell>
        </row>
        <row r="4359">
          <cell r="B4359" t="str">
            <v>3012 / SFWB-72|</v>
          </cell>
          <cell r="J4359" t="str">
            <v>B</v>
          </cell>
          <cell r="N4359" t="str">
            <v>B</v>
          </cell>
        </row>
        <row r="4360">
          <cell r="B4360" t="str">
            <v>3012 / SFWB-72|</v>
          </cell>
          <cell r="J4360" t="str">
            <v>B</v>
          </cell>
          <cell r="N4360" t="str">
            <v>B</v>
          </cell>
        </row>
        <row r="4361">
          <cell r="B4361" t="str">
            <v>3012 / SFWB-72|</v>
          </cell>
          <cell r="J4361" t="str">
            <v>B</v>
          </cell>
          <cell r="N4361" t="str">
            <v>B</v>
          </cell>
        </row>
        <row r="4362">
          <cell r="B4362" t="str">
            <v>3013 / SFWZ-18|</v>
          </cell>
          <cell r="J4362" t="str">
            <v>B</v>
          </cell>
          <cell r="N4362" t="str">
            <v>B</v>
          </cell>
        </row>
        <row r="4363">
          <cell r="B4363" t="str">
            <v>3013 / SFWZ-18|</v>
          </cell>
          <cell r="J4363" t="str">
            <v>B</v>
          </cell>
          <cell r="N4363" t="str">
            <v>B</v>
          </cell>
        </row>
        <row r="4364">
          <cell r="B4364" t="str">
            <v>3013 / SFWZ-18|</v>
          </cell>
          <cell r="J4364" t="str">
            <v>B</v>
          </cell>
          <cell r="N4364" t="str">
            <v>B</v>
          </cell>
        </row>
        <row r="4365">
          <cell r="B4365" t="str">
            <v>3014 / SFWZ-26|</v>
          </cell>
          <cell r="J4365" t="str">
            <v>B</v>
          </cell>
          <cell r="N4365" t="str">
            <v>B</v>
          </cell>
        </row>
        <row r="4366">
          <cell r="B4366" t="str">
            <v>3014 / SFWZ-26|</v>
          </cell>
          <cell r="J4366" t="str">
            <v>B</v>
          </cell>
          <cell r="N4366" t="str">
            <v>B</v>
          </cell>
        </row>
        <row r="4367">
          <cell r="B4367" t="str">
            <v>3014 / SFWZ-26|</v>
          </cell>
          <cell r="J4367" t="str">
            <v>B</v>
          </cell>
          <cell r="N4367" t="str">
            <v>B</v>
          </cell>
        </row>
        <row r="4368">
          <cell r="B4368" t="str">
            <v>3014 / SFWZ-26|</v>
          </cell>
          <cell r="J4368" t="str">
            <v>B</v>
          </cell>
          <cell r="N4368" t="str">
            <v>B</v>
          </cell>
        </row>
        <row r="4369">
          <cell r="B4369" t="str">
            <v>3015 / SFVZ-63|</v>
          </cell>
          <cell r="J4369" t="str">
            <v>B</v>
          </cell>
          <cell r="N4369" t="str">
            <v>B</v>
          </cell>
        </row>
        <row r="4370">
          <cell r="B4370" t="str">
            <v>3015 / SFVZ-63|</v>
          </cell>
          <cell r="J4370" t="str">
            <v>B</v>
          </cell>
          <cell r="N4370" t="str">
            <v>B</v>
          </cell>
        </row>
        <row r="4371">
          <cell r="B4371" t="str">
            <v>3015 / SFVZ-63|</v>
          </cell>
          <cell r="J4371" t="str">
            <v>B</v>
          </cell>
          <cell r="N4371" t="str">
            <v>B</v>
          </cell>
        </row>
        <row r="4372">
          <cell r="B4372" t="str">
            <v>3016 / SFWB-28|</v>
          </cell>
          <cell r="J4372" t="str">
            <v>B</v>
          </cell>
          <cell r="N4372" t="str">
            <v>B</v>
          </cell>
        </row>
        <row r="4373">
          <cell r="B4373" t="str">
            <v>3016 / SFWB-28|</v>
          </cell>
          <cell r="J4373" t="str">
            <v>B</v>
          </cell>
          <cell r="N4373" t="str">
            <v>B</v>
          </cell>
        </row>
        <row r="4374">
          <cell r="B4374" t="str">
            <v>3016 / SFWB-28|</v>
          </cell>
          <cell r="J4374" t="str">
            <v>B</v>
          </cell>
          <cell r="N4374" t="str">
            <v>B</v>
          </cell>
        </row>
        <row r="4375">
          <cell r="B4375" t="str">
            <v>3016 / SFWB-28|</v>
          </cell>
          <cell r="J4375" t="str">
            <v>B</v>
          </cell>
          <cell r="N4375" t="str">
            <v>B</v>
          </cell>
        </row>
        <row r="4376">
          <cell r="B4376" t="str">
            <v>3017 / SFWB-29|</v>
          </cell>
          <cell r="J4376" t="str">
            <v>B</v>
          </cell>
          <cell r="N4376" t="str">
            <v>B</v>
          </cell>
        </row>
        <row r="4377">
          <cell r="B4377" t="str">
            <v>3017 / SFWB-29|</v>
          </cell>
          <cell r="J4377" t="str">
            <v>B</v>
          </cell>
          <cell r="N4377" t="str">
            <v>B</v>
          </cell>
        </row>
        <row r="4378">
          <cell r="B4378" t="str">
            <v>3017 / SFWB-29|</v>
          </cell>
          <cell r="J4378" t="str">
            <v>B</v>
          </cell>
          <cell r="N4378" t="str">
            <v>B</v>
          </cell>
        </row>
        <row r="4379">
          <cell r="B4379" t="str">
            <v>3019 / SFWB-44|</v>
          </cell>
          <cell r="J4379" t="str">
            <v>B</v>
          </cell>
          <cell r="N4379" t="str">
            <v>B</v>
          </cell>
        </row>
        <row r="4380">
          <cell r="B4380" t="str">
            <v>3019 / SFWB-44|</v>
          </cell>
          <cell r="J4380" t="str">
            <v>B</v>
          </cell>
          <cell r="N4380" t="str">
            <v>B</v>
          </cell>
        </row>
        <row r="4381">
          <cell r="B4381" t="str">
            <v>3019 / SFWB-44|</v>
          </cell>
          <cell r="J4381" t="str">
            <v>B</v>
          </cell>
          <cell r="N4381" t="str">
            <v>B</v>
          </cell>
        </row>
        <row r="4382">
          <cell r="B4382" t="str">
            <v>3019 / SFWB-44|</v>
          </cell>
          <cell r="J4382" t="str">
            <v>B</v>
          </cell>
          <cell r="N4382" t="str">
            <v>B</v>
          </cell>
        </row>
        <row r="4383">
          <cell r="B4383" t="str">
            <v>3019 / SFWB-44|</v>
          </cell>
          <cell r="J4383" t="str">
            <v>B</v>
          </cell>
          <cell r="N4383" t="str">
            <v>B</v>
          </cell>
        </row>
        <row r="4384">
          <cell r="B4384" t="str">
            <v>3019 / SFWB-44|</v>
          </cell>
          <cell r="J4384" t="str">
            <v>B</v>
          </cell>
          <cell r="N4384" t="str">
            <v>B</v>
          </cell>
        </row>
        <row r="4385">
          <cell r="B4385" t="str">
            <v>3019 / SFWB-44|</v>
          </cell>
          <cell r="J4385" t="str">
            <v>B</v>
          </cell>
          <cell r="N4385" t="str">
            <v>B</v>
          </cell>
        </row>
        <row r="4386">
          <cell r="B4386" t="str">
            <v>3019 / SFWB-44|</v>
          </cell>
          <cell r="J4386" t="str">
            <v>B</v>
          </cell>
          <cell r="N4386" t="str">
            <v>B</v>
          </cell>
        </row>
        <row r="4387">
          <cell r="B4387" t="str">
            <v>3020 / SFWZ-20|</v>
          </cell>
          <cell r="J4387" t="str">
            <v>B</v>
          </cell>
          <cell r="N4387" t="str">
            <v>B</v>
          </cell>
        </row>
        <row r="4388">
          <cell r="B4388" t="str">
            <v>3020 / SFWZ-20|</v>
          </cell>
          <cell r="J4388" t="str">
            <v>B</v>
          </cell>
          <cell r="N4388" t="str">
            <v>B</v>
          </cell>
        </row>
        <row r="4389">
          <cell r="B4389" t="str">
            <v>3020 / SFWZ-20|</v>
          </cell>
          <cell r="J4389" t="str">
            <v>B</v>
          </cell>
          <cell r="N4389" t="str">
            <v>B</v>
          </cell>
        </row>
        <row r="4390">
          <cell r="B4390" t="str">
            <v>3020 / SFWZ-20|</v>
          </cell>
          <cell r="J4390" t="str">
            <v>B</v>
          </cell>
          <cell r="N4390" t="str">
            <v>B</v>
          </cell>
        </row>
        <row r="4391">
          <cell r="B4391" t="str">
            <v>3020 / SFWZ-20|</v>
          </cell>
          <cell r="J4391" t="str">
            <v>B</v>
          </cell>
          <cell r="N4391" t="str">
            <v>B</v>
          </cell>
        </row>
        <row r="4392">
          <cell r="B4392" t="str">
            <v>3021 / SFWZ-36|</v>
          </cell>
          <cell r="J4392" t="str">
            <v>B</v>
          </cell>
          <cell r="N4392" t="str">
            <v>B</v>
          </cell>
        </row>
        <row r="4393">
          <cell r="B4393" t="str">
            <v>3021 / SFWZ-36|</v>
          </cell>
          <cell r="J4393" t="str">
            <v>B</v>
          </cell>
          <cell r="N4393" t="str">
            <v>B</v>
          </cell>
        </row>
        <row r="4394">
          <cell r="B4394" t="str">
            <v>3021 / SFWZ-36|</v>
          </cell>
          <cell r="J4394" t="str">
            <v>B</v>
          </cell>
          <cell r="N4394" t="str">
            <v>B</v>
          </cell>
        </row>
        <row r="4395">
          <cell r="B4395" t="str">
            <v>3021 / SFWZ-36|</v>
          </cell>
          <cell r="J4395" t="str">
            <v>B</v>
          </cell>
          <cell r="N4395" t="str">
            <v>B</v>
          </cell>
        </row>
        <row r="4396">
          <cell r="B4396" t="str">
            <v>3021 / SFWZ-36|</v>
          </cell>
          <cell r="J4396" t="str">
            <v>B</v>
          </cell>
          <cell r="N4396" t="str">
            <v>B</v>
          </cell>
        </row>
        <row r="4397">
          <cell r="B4397" t="str">
            <v>3022 / SFWB-31|</v>
          </cell>
          <cell r="J4397" t="str">
            <v>B</v>
          </cell>
          <cell r="N4397" t="str">
            <v>B</v>
          </cell>
        </row>
        <row r="4398">
          <cell r="B4398" t="str">
            <v>3022 / SFWB-31|</v>
          </cell>
          <cell r="J4398" t="str">
            <v>B</v>
          </cell>
          <cell r="N4398" t="str">
            <v>B</v>
          </cell>
        </row>
        <row r="4399">
          <cell r="B4399" t="str">
            <v>3023 / SFWB-33|</v>
          </cell>
          <cell r="J4399" t="str">
            <v>B</v>
          </cell>
          <cell r="N4399" t="str">
            <v>B</v>
          </cell>
        </row>
        <row r="4400">
          <cell r="B4400" t="str">
            <v>3023 / SFWB-33|</v>
          </cell>
          <cell r="J4400" t="str">
            <v>B</v>
          </cell>
          <cell r="N4400" t="str">
            <v>B</v>
          </cell>
        </row>
        <row r="4401">
          <cell r="B4401" t="str">
            <v>3023 / SFWB-33|</v>
          </cell>
          <cell r="J4401" t="str">
            <v>B</v>
          </cell>
          <cell r="N4401" t="str">
            <v>B</v>
          </cell>
        </row>
        <row r="4402">
          <cell r="B4402" t="str">
            <v>3023 / SFWB-33|</v>
          </cell>
          <cell r="J4402" t="str">
            <v>B</v>
          </cell>
          <cell r="N4402" t="str">
            <v>B</v>
          </cell>
        </row>
        <row r="4403">
          <cell r="B4403" t="str">
            <v>3023 / SFWB-33|</v>
          </cell>
          <cell r="J4403" t="str">
            <v>B</v>
          </cell>
          <cell r="N4403" t="str">
            <v>B</v>
          </cell>
        </row>
        <row r="4404">
          <cell r="B4404" t="str">
            <v>3023 / SFWB-33|</v>
          </cell>
          <cell r="J4404" t="str">
            <v>B</v>
          </cell>
          <cell r="N4404" t="str">
            <v>B</v>
          </cell>
        </row>
        <row r="4405">
          <cell r="B4405" t="str">
            <v>3023 / SFWB-33|</v>
          </cell>
          <cell r="J4405" t="str">
            <v>B</v>
          </cell>
          <cell r="N4405" t="str">
            <v>B</v>
          </cell>
        </row>
        <row r="4406">
          <cell r="B4406" t="str">
            <v>3024 / SFWB-76|</v>
          </cell>
          <cell r="J4406" t="str">
            <v>B</v>
          </cell>
          <cell r="N4406" t="str">
            <v>B</v>
          </cell>
        </row>
        <row r="4407">
          <cell r="B4407" t="str">
            <v>3024 / SFWB-76|</v>
          </cell>
          <cell r="J4407" t="str">
            <v>B</v>
          </cell>
          <cell r="N4407" t="str">
            <v>B</v>
          </cell>
        </row>
        <row r="4408">
          <cell r="B4408" t="str">
            <v>3024 / SFWB-76|</v>
          </cell>
          <cell r="J4408" t="str">
            <v>B</v>
          </cell>
          <cell r="N4408" t="str">
            <v>B</v>
          </cell>
        </row>
        <row r="4409">
          <cell r="B4409" t="str">
            <v>3024 / SFWB-76|</v>
          </cell>
          <cell r="J4409" t="str">
            <v>B</v>
          </cell>
          <cell r="N4409" t="str">
            <v>B</v>
          </cell>
        </row>
        <row r="4410">
          <cell r="B4410" t="str">
            <v>3024 / SFWB-76|</v>
          </cell>
          <cell r="J4410" t="str">
            <v>B</v>
          </cell>
          <cell r="N4410" t="str">
            <v>B</v>
          </cell>
        </row>
        <row r="4411">
          <cell r="B4411" t="str">
            <v>3025 / SFVZ-44|</v>
          </cell>
          <cell r="J4411" t="str">
            <v>B</v>
          </cell>
          <cell r="N4411" t="str">
            <v>B</v>
          </cell>
        </row>
        <row r="4412">
          <cell r="B4412" t="str">
            <v>3025 / SFVZ-44|</v>
          </cell>
          <cell r="J4412" t="str">
            <v>B</v>
          </cell>
          <cell r="N4412" t="str">
            <v>B</v>
          </cell>
        </row>
        <row r="4413">
          <cell r="B4413" t="str">
            <v>3025 / SFVZ-44|</v>
          </cell>
          <cell r="J4413" t="str">
            <v>B</v>
          </cell>
          <cell r="N4413" t="str">
            <v>B</v>
          </cell>
        </row>
        <row r="4414">
          <cell r="B4414" t="str">
            <v>3025 / SFVZ-44|</v>
          </cell>
          <cell r="J4414" t="str">
            <v>B</v>
          </cell>
          <cell r="N4414" t="str">
            <v>B</v>
          </cell>
        </row>
        <row r="4415">
          <cell r="B4415" t="str">
            <v>3026 / SFVZ-81|</v>
          </cell>
          <cell r="J4415" t="str">
            <v>B</v>
          </cell>
          <cell r="N4415" t="str">
            <v>B</v>
          </cell>
        </row>
        <row r="4416">
          <cell r="B4416" t="str">
            <v>3026 / SFVZ-81|</v>
          </cell>
          <cell r="J4416" t="str">
            <v>B</v>
          </cell>
          <cell r="N4416" t="str">
            <v>B</v>
          </cell>
        </row>
        <row r="4417">
          <cell r="B4417" t="str">
            <v>3026 / SFVZ-81|</v>
          </cell>
          <cell r="J4417" t="str">
            <v>B</v>
          </cell>
          <cell r="N4417" t="str">
            <v>B</v>
          </cell>
        </row>
        <row r="4418">
          <cell r="B4418" t="str">
            <v>3026 / SFVZ-81|</v>
          </cell>
          <cell r="J4418" t="str">
            <v>B</v>
          </cell>
          <cell r="N4418" t="str">
            <v>B</v>
          </cell>
        </row>
        <row r="4419">
          <cell r="B4419" t="str">
            <v>3026 / SFVZ-81|</v>
          </cell>
          <cell r="J4419" t="str">
            <v>B</v>
          </cell>
          <cell r="N4419" t="str">
            <v>B</v>
          </cell>
        </row>
        <row r="4420">
          <cell r="B4420" t="str">
            <v>3026 / SFVZ-81|</v>
          </cell>
          <cell r="J4420" t="str">
            <v>B</v>
          </cell>
          <cell r="N4420" t="str">
            <v>B</v>
          </cell>
        </row>
        <row r="4421">
          <cell r="B4421" t="str">
            <v>3026 / SFVZ-81|</v>
          </cell>
          <cell r="J4421" t="str">
            <v>B</v>
          </cell>
          <cell r="N4421" t="str">
            <v>B</v>
          </cell>
        </row>
        <row r="4422">
          <cell r="B4422" t="str">
            <v>3026 / SFVZ-81|</v>
          </cell>
          <cell r="J4422" t="str">
            <v>B</v>
          </cell>
          <cell r="N4422" t="str">
            <v>B</v>
          </cell>
        </row>
        <row r="4423">
          <cell r="B4423" t="str">
            <v>3027 / SFVZ-85|</v>
          </cell>
          <cell r="J4423" t="str">
            <v>B</v>
          </cell>
          <cell r="N4423" t="str">
            <v>B</v>
          </cell>
        </row>
        <row r="4424">
          <cell r="B4424" t="str">
            <v>3028 / SFWB-75|</v>
          </cell>
          <cell r="J4424" t="str">
            <v>B</v>
          </cell>
          <cell r="N4424" t="str">
            <v>B</v>
          </cell>
        </row>
        <row r="4425">
          <cell r="B4425" t="str">
            <v>3028 / SFWB-75|</v>
          </cell>
          <cell r="J4425" t="str">
            <v>B</v>
          </cell>
          <cell r="N4425" t="str">
            <v>B</v>
          </cell>
        </row>
        <row r="4426">
          <cell r="B4426" t="str">
            <v>3028 / SFWB-75|</v>
          </cell>
          <cell r="J4426" t="str">
            <v>B</v>
          </cell>
          <cell r="N4426" t="str">
            <v>B</v>
          </cell>
        </row>
        <row r="4427">
          <cell r="B4427" t="str">
            <v>3028 / SFWB-75|</v>
          </cell>
          <cell r="J4427" t="str">
            <v>B</v>
          </cell>
          <cell r="N4427" t="str">
            <v>B</v>
          </cell>
        </row>
        <row r="4428">
          <cell r="B4428" t="str">
            <v>3028 / SFWB-75|</v>
          </cell>
          <cell r="J4428" t="str">
            <v>B</v>
          </cell>
          <cell r="N4428" t="str">
            <v>B</v>
          </cell>
        </row>
        <row r="4429">
          <cell r="B4429" t="str">
            <v>3030 / SFWZ-14|</v>
          </cell>
          <cell r="J4429" t="str">
            <v>B</v>
          </cell>
          <cell r="N4429" t="str">
            <v>B</v>
          </cell>
        </row>
        <row r="4430">
          <cell r="B4430" t="str">
            <v>3030 / SFWZ-14|</v>
          </cell>
          <cell r="J4430" t="str">
            <v>B</v>
          </cell>
          <cell r="N4430" t="str">
            <v>B</v>
          </cell>
        </row>
        <row r="4431">
          <cell r="B4431" t="str">
            <v>3030 / SFWZ-14|</v>
          </cell>
          <cell r="J4431" t="str">
            <v>B</v>
          </cell>
          <cell r="N4431" t="str">
            <v>B</v>
          </cell>
        </row>
        <row r="4432">
          <cell r="B4432" t="str">
            <v>3030 / SFWZ-14|</v>
          </cell>
          <cell r="J4432" t="str">
            <v>B</v>
          </cell>
          <cell r="N4432" t="str">
            <v>B</v>
          </cell>
        </row>
        <row r="4433">
          <cell r="B4433" t="str">
            <v>3030 / SFWZ-14|</v>
          </cell>
          <cell r="J4433" t="str">
            <v>B</v>
          </cell>
          <cell r="N4433" t="str">
            <v>B</v>
          </cell>
        </row>
        <row r="4434">
          <cell r="B4434" t="str">
            <v>3030 / SFWZ-14|</v>
          </cell>
          <cell r="J4434" t="str">
            <v>B</v>
          </cell>
          <cell r="N4434" t="str">
            <v>B</v>
          </cell>
        </row>
        <row r="4435">
          <cell r="B4435" t="str">
            <v>3031 / SFWZ-33|</v>
          </cell>
          <cell r="J4435" t="str">
            <v>B</v>
          </cell>
          <cell r="N4435" t="str">
            <v>B</v>
          </cell>
        </row>
        <row r="4436">
          <cell r="B4436" t="str">
            <v>3031 / SFWZ-33|</v>
          </cell>
          <cell r="J4436" t="str">
            <v>B</v>
          </cell>
          <cell r="N4436" t="str">
            <v>B</v>
          </cell>
        </row>
        <row r="4437">
          <cell r="B4437" t="str">
            <v>3031 / SFWZ-33|</v>
          </cell>
          <cell r="J4437" t="str">
            <v>B</v>
          </cell>
          <cell r="N4437" t="str">
            <v>B</v>
          </cell>
        </row>
        <row r="4438">
          <cell r="B4438" t="str">
            <v>3031 / SFWZ-33|</v>
          </cell>
          <cell r="J4438" t="str">
            <v>B</v>
          </cell>
          <cell r="N4438" t="str">
            <v>B</v>
          </cell>
        </row>
        <row r="4439">
          <cell r="B4439" t="str">
            <v>3031 / SFWZ-33|</v>
          </cell>
          <cell r="J4439" t="str">
            <v>B</v>
          </cell>
          <cell r="N4439" t="str">
            <v>B</v>
          </cell>
        </row>
        <row r="4440">
          <cell r="B4440" t="str">
            <v>3031 / SFWZ-33|</v>
          </cell>
          <cell r="J4440" t="str">
            <v>B</v>
          </cell>
          <cell r="N4440" t="str">
            <v>B</v>
          </cell>
        </row>
        <row r="4441">
          <cell r="B4441" t="str">
            <v>3031 / SFWZ-33|</v>
          </cell>
          <cell r="J4441" t="str">
            <v>B</v>
          </cell>
          <cell r="N4441" t="str">
            <v>B</v>
          </cell>
        </row>
        <row r="4442">
          <cell r="B4442" t="str">
            <v>3031 / SFWZ-33|</v>
          </cell>
          <cell r="J4442" t="str">
            <v>B</v>
          </cell>
          <cell r="N4442" t="str">
            <v>B</v>
          </cell>
        </row>
        <row r="4443">
          <cell r="B4443" t="str">
            <v>3032 / SFWZ-34|</v>
          </cell>
          <cell r="J4443" t="str">
            <v>B</v>
          </cell>
          <cell r="N4443" t="str">
            <v>B</v>
          </cell>
        </row>
        <row r="4444">
          <cell r="B4444" t="str">
            <v>3032 / SFWZ-34|</v>
          </cell>
          <cell r="J4444" t="str">
            <v>B</v>
          </cell>
          <cell r="N4444" t="str">
            <v>B</v>
          </cell>
        </row>
        <row r="4445">
          <cell r="B4445" t="str">
            <v>3032 / SFWZ-34|</v>
          </cell>
          <cell r="J4445" t="str">
            <v>B</v>
          </cell>
          <cell r="N4445" t="str">
            <v>B</v>
          </cell>
        </row>
        <row r="4446">
          <cell r="B4446" t="str">
            <v>3032 / SFWZ-34|</v>
          </cell>
          <cell r="J4446" t="str">
            <v>B</v>
          </cell>
          <cell r="N4446" t="str">
            <v>B</v>
          </cell>
        </row>
        <row r="4447">
          <cell r="B4447" t="str">
            <v>3032 / SFWZ-34|</v>
          </cell>
          <cell r="J4447" t="str">
            <v>B</v>
          </cell>
          <cell r="N4447" t="str">
            <v>B</v>
          </cell>
        </row>
        <row r="4448">
          <cell r="B4448" t="str">
            <v>3032 / SFWZ-34|</v>
          </cell>
          <cell r="J4448" t="str">
            <v>B</v>
          </cell>
          <cell r="N4448" t="str">
            <v>B</v>
          </cell>
        </row>
        <row r="4449">
          <cell r="B4449" t="str">
            <v>3033 / SFVZ-29|</v>
          </cell>
          <cell r="J4449" t="str">
            <v>B</v>
          </cell>
          <cell r="N4449" t="str">
            <v>B</v>
          </cell>
        </row>
        <row r="4450">
          <cell r="B4450" t="str">
            <v>3033 / SFVZ-29|</v>
          </cell>
          <cell r="J4450" t="str">
            <v>B</v>
          </cell>
          <cell r="N4450" t="str">
            <v>B</v>
          </cell>
        </row>
        <row r="4451">
          <cell r="B4451" t="str">
            <v>3033 / SFVZ-29|</v>
          </cell>
          <cell r="J4451" t="str">
            <v>B</v>
          </cell>
          <cell r="N4451" t="str">
            <v>B</v>
          </cell>
        </row>
        <row r="4452">
          <cell r="B4452" t="str">
            <v>3033 / SFVZ-29|</v>
          </cell>
          <cell r="J4452" t="str">
            <v>B</v>
          </cell>
          <cell r="N4452" t="str">
            <v>B</v>
          </cell>
        </row>
        <row r="4453">
          <cell r="B4453" t="str">
            <v>3033 / SFVZ-29|</v>
          </cell>
          <cell r="J4453" t="str">
            <v>B</v>
          </cell>
          <cell r="N4453" t="str">
            <v>B</v>
          </cell>
        </row>
        <row r="4454">
          <cell r="B4454" t="str">
            <v>3035 / SFWB-64|</v>
          </cell>
          <cell r="J4454" t="str">
            <v>B</v>
          </cell>
          <cell r="N4454" t="str">
            <v>B</v>
          </cell>
        </row>
        <row r="4455">
          <cell r="B4455" t="str">
            <v>3035 / SFWB-64|</v>
          </cell>
          <cell r="J4455" t="str">
            <v>B</v>
          </cell>
          <cell r="N4455" t="str">
            <v>B</v>
          </cell>
        </row>
        <row r="4456">
          <cell r="B4456" t="str">
            <v>3035 / SFWB-64|</v>
          </cell>
          <cell r="J4456" t="str">
            <v>B</v>
          </cell>
          <cell r="N4456" t="str">
            <v>B</v>
          </cell>
        </row>
        <row r="4457">
          <cell r="B4457" t="str">
            <v>3035 / SFWB-64|</v>
          </cell>
          <cell r="J4457" t="str">
            <v>B</v>
          </cell>
          <cell r="N4457" t="str">
            <v>B</v>
          </cell>
        </row>
        <row r="4458">
          <cell r="B4458" t="str">
            <v>3036 / SFWB-77|</v>
          </cell>
          <cell r="J4458" t="str">
            <v>B</v>
          </cell>
          <cell r="N4458" t="str">
            <v>B</v>
          </cell>
        </row>
        <row r="4459">
          <cell r="B4459" t="str">
            <v>3036 / SFWB-77|</v>
          </cell>
          <cell r="J4459" t="str">
            <v>B</v>
          </cell>
          <cell r="N4459" t="str">
            <v>B</v>
          </cell>
        </row>
        <row r="4460">
          <cell r="B4460" t="str">
            <v>3036 / SFWB-77|</v>
          </cell>
          <cell r="J4460" t="str">
            <v>B</v>
          </cell>
          <cell r="N4460" t="str">
            <v>B</v>
          </cell>
        </row>
        <row r="4461">
          <cell r="B4461" t="str">
            <v>3036 / SFWB-77|</v>
          </cell>
          <cell r="J4461" t="str">
            <v>B</v>
          </cell>
          <cell r="N4461" t="str">
            <v>B</v>
          </cell>
        </row>
        <row r="4462">
          <cell r="B4462" t="str">
            <v>3036 / SFWB-77|</v>
          </cell>
          <cell r="J4462" t="str">
            <v>B</v>
          </cell>
          <cell r="N4462" t="str">
            <v>B</v>
          </cell>
        </row>
        <row r="4463">
          <cell r="B4463" t="str">
            <v>3036 / SFWB-77|</v>
          </cell>
          <cell r="J4463" t="str">
            <v>B</v>
          </cell>
          <cell r="N4463" t="str">
            <v>B</v>
          </cell>
        </row>
        <row r="4464">
          <cell r="B4464" t="str">
            <v>3037 / SFWB-87|</v>
          </cell>
          <cell r="J4464" t="str">
            <v>B</v>
          </cell>
          <cell r="N4464" t="str">
            <v>B</v>
          </cell>
        </row>
        <row r="4465">
          <cell r="B4465" t="str">
            <v>3037 / SFWB-87|</v>
          </cell>
          <cell r="J4465" t="str">
            <v>B</v>
          </cell>
          <cell r="N4465" t="str">
            <v>B</v>
          </cell>
        </row>
        <row r="4466">
          <cell r="B4466" t="str">
            <v>3037 / SFWB-87|</v>
          </cell>
          <cell r="J4466" t="str">
            <v>B</v>
          </cell>
          <cell r="N4466" t="str">
            <v>B</v>
          </cell>
        </row>
        <row r="4467">
          <cell r="B4467" t="str">
            <v>3037 / SFWB-87|</v>
          </cell>
          <cell r="J4467" t="str">
            <v>B</v>
          </cell>
          <cell r="N4467" t="str">
            <v>B</v>
          </cell>
        </row>
        <row r="4468">
          <cell r="B4468" t="str">
            <v>3038 / SFWB-90|</v>
          </cell>
          <cell r="J4468" t="str">
            <v>B</v>
          </cell>
          <cell r="N4468" t="str">
            <v>B</v>
          </cell>
        </row>
        <row r="4469">
          <cell r="B4469" t="str">
            <v>3038 / SFWB-90|</v>
          </cell>
          <cell r="J4469" t="str">
            <v>B</v>
          </cell>
          <cell r="N4469" t="str">
            <v>B</v>
          </cell>
        </row>
        <row r="4470">
          <cell r="B4470" t="str">
            <v>3038 / SFWB-90|</v>
          </cell>
          <cell r="J4470" t="str">
            <v>B</v>
          </cell>
          <cell r="N4470" t="str">
            <v>B</v>
          </cell>
        </row>
        <row r="4471">
          <cell r="B4471" t="str">
            <v>3038 / SFWB-90|</v>
          </cell>
          <cell r="J4471" t="str">
            <v>B</v>
          </cell>
          <cell r="N4471" t="str">
            <v>B</v>
          </cell>
        </row>
        <row r="4472">
          <cell r="B4472" t="str">
            <v>3040 / SFWZ-27|</v>
          </cell>
          <cell r="J4472" t="str">
            <v>B</v>
          </cell>
          <cell r="N4472" t="str">
            <v>B</v>
          </cell>
        </row>
        <row r="4473">
          <cell r="B4473" t="str">
            <v>3041 / SFVZ-49|</v>
          </cell>
          <cell r="J4473" t="str">
            <v>B</v>
          </cell>
          <cell r="N4473" t="str">
            <v>B</v>
          </cell>
        </row>
        <row r="4474">
          <cell r="B4474" t="str">
            <v>3041 / SFVZ-49|</v>
          </cell>
          <cell r="J4474" t="str">
            <v>B</v>
          </cell>
          <cell r="N4474" t="str">
            <v>B</v>
          </cell>
        </row>
        <row r="4475">
          <cell r="B4475" t="str">
            <v>3041 / SFVZ-49|</v>
          </cell>
          <cell r="J4475" t="str">
            <v>B</v>
          </cell>
          <cell r="N4475" t="str">
            <v>B</v>
          </cell>
        </row>
        <row r="4476">
          <cell r="B4476" t="str">
            <v>3041 / SFVZ-49|</v>
          </cell>
          <cell r="J4476" t="str">
            <v>B</v>
          </cell>
          <cell r="N4476" t="str">
            <v>B</v>
          </cell>
        </row>
        <row r="4477">
          <cell r="B4477" t="str">
            <v>3041 / SFVZ-49|</v>
          </cell>
          <cell r="J4477" t="str">
            <v>B</v>
          </cell>
          <cell r="N4477" t="str">
            <v>B</v>
          </cell>
        </row>
        <row r="4478">
          <cell r="B4478" t="str">
            <v>3041 / SFVZ-49|</v>
          </cell>
          <cell r="J4478" t="str">
            <v>B</v>
          </cell>
          <cell r="N4478" t="str">
            <v>B</v>
          </cell>
        </row>
        <row r="4479">
          <cell r="B4479" t="str">
            <v>3041 / SFVZ-49|</v>
          </cell>
          <cell r="J4479" t="str">
            <v>B</v>
          </cell>
          <cell r="N4479" t="str">
            <v>B</v>
          </cell>
        </row>
        <row r="4480">
          <cell r="B4480" t="str">
            <v>3041 / SFVZ-49|</v>
          </cell>
          <cell r="J4480" t="str">
            <v>B</v>
          </cell>
          <cell r="N4480" t="str">
            <v>B</v>
          </cell>
        </row>
        <row r="4481">
          <cell r="B4481" t="str">
            <v>3041 / SFVZ-49|</v>
          </cell>
          <cell r="J4481" t="str">
            <v>B</v>
          </cell>
          <cell r="N4481" t="str">
            <v>B</v>
          </cell>
        </row>
        <row r="4482">
          <cell r="B4482" t="str">
            <v>3041 / SFVZ-49|</v>
          </cell>
          <cell r="J4482" t="str">
            <v>B</v>
          </cell>
          <cell r="N4482" t="str">
            <v>B</v>
          </cell>
        </row>
        <row r="4483">
          <cell r="B4483" t="str">
            <v>3042 / SFVZ-56|</v>
          </cell>
          <cell r="J4483" t="str">
            <v>B</v>
          </cell>
          <cell r="N4483" t="str">
            <v>B</v>
          </cell>
        </row>
        <row r="4484">
          <cell r="B4484" t="str">
            <v>3042 / SFVZ-56|</v>
          </cell>
          <cell r="J4484" t="str">
            <v>B</v>
          </cell>
          <cell r="N4484" t="str">
            <v>B</v>
          </cell>
        </row>
        <row r="4485">
          <cell r="B4485" t="str">
            <v>3044 / SFVZ-67|</v>
          </cell>
          <cell r="J4485" t="str">
            <v>B</v>
          </cell>
          <cell r="N4485" t="str">
            <v>B</v>
          </cell>
        </row>
        <row r="4486">
          <cell r="B4486" t="str">
            <v>3044 / SFVZ-67|</v>
          </cell>
          <cell r="J4486" t="str">
            <v>B</v>
          </cell>
          <cell r="N4486" t="str">
            <v>B</v>
          </cell>
        </row>
        <row r="4487">
          <cell r="B4487" t="str">
            <v>3044 / SFVZ-67|</v>
          </cell>
          <cell r="J4487" t="str">
            <v>B</v>
          </cell>
          <cell r="N4487" t="str">
            <v>B</v>
          </cell>
        </row>
        <row r="4488">
          <cell r="B4488" t="str">
            <v>3044 / SFVZ-67|</v>
          </cell>
          <cell r="J4488" t="str">
            <v>B</v>
          </cell>
          <cell r="N4488" t="str">
            <v>B</v>
          </cell>
        </row>
        <row r="4489">
          <cell r="B4489" t="str">
            <v>3044 / SFVZ-67|</v>
          </cell>
          <cell r="J4489" t="str">
            <v>B</v>
          </cell>
          <cell r="N4489" t="str">
            <v>B</v>
          </cell>
        </row>
        <row r="4490">
          <cell r="B4490" t="str">
            <v>3045 / SFWB-48|</v>
          </cell>
          <cell r="J4490" t="str">
            <v>B</v>
          </cell>
          <cell r="N4490" t="str">
            <v>B</v>
          </cell>
        </row>
        <row r="4491">
          <cell r="B4491" t="str">
            <v>3045 / SFWB-48|</v>
          </cell>
          <cell r="J4491" t="str">
            <v>B</v>
          </cell>
          <cell r="N4491" t="str">
            <v>B</v>
          </cell>
        </row>
        <row r="4492">
          <cell r="B4492" t="str">
            <v>3045 / SFWB-48|</v>
          </cell>
          <cell r="J4492" t="str">
            <v>B</v>
          </cell>
          <cell r="N4492" t="str">
            <v>B</v>
          </cell>
        </row>
        <row r="4493">
          <cell r="B4493" t="str">
            <v>3045 / SFWB-48|</v>
          </cell>
          <cell r="J4493" t="str">
            <v>B</v>
          </cell>
          <cell r="N4493" t="str">
            <v>B</v>
          </cell>
        </row>
        <row r="4494">
          <cell r="B4494" t="str">
            <v>3045 / SFWB-48|</v>
          </cell>
          <cell r="J4494" t="str">
            <v>B</v>
          </cell>
          <cell r="N4494" t="str">
            <v>B</v>
          </cell>
        </row>
        <row r="4495">
          <cell r="B4495" t="str">
            <v>3045 / SFWB-48|</v>
          </cell>
          <cell r="J4495" t="str">
            <v>B</v>
          </cell>
          <cell r="N4495" t="str">
            <v>B</v>
          </cell>
        </row>
        <row r="4496">
          <cell r="B4496" t="str">
            <v>3046 / SFWB-98|</v>
          </cell>
          <cell r="J4496" t="str">
            <v>B</v>
          </cell>
          <cell r="N4496" t="str">
            <v>B</v>
          </cell>
        </row>
        <row r="4497">
          <cell r="B4497" t="str">
            <v>3046 / SFWB-98|</v>
          </cell>
          <cell r="J4497" t="str">
            <v>B</v>
          </cell>
          <cell r="N4497" t="str">
            <v>B</v>
          </cell>
        </row>
        <row r="4498">
          <cell r="B4498" t="str">
            <v>3046 / SFWB-98|</v>
          </cell>
          <cell r="J4498" t="str">
            <v>B</v>
          </cell>
          <cell r="N4498" t="str">
            <v>B</v>
          </cell>
        </row>
        <row r="4499">
          <cell r="B4499" t="str">
            <v>3046 / SFWB-98|</v>
          </cell>
          <cell r="J4499" t="str">
            <v>B</v>
          </cell>
          <cell r="N4499" t="str">
            <v>B</v>
          </cell>
        </row>
        <row r="4500">
          <cell r="B4500" t="str">
            <v>3046 / SFWB-98|</v>
          </cell>
          <cell r="J4500" t="str">
            <v>B</v>
          </cell>
          <cell r="N4500" t="str">
            <v>B</v>
          </cell>
        </row>
        <row r="4501">
          <cell r="B4501" t="str">
            <v>3046 / SFWB-98|</v>
          </cell>
          <cell r="J4501" t="str">
            <v>B</v>
          </cell>
          <cell r="N4501" t="str">
            <v>B</v>
          </cell>
        </row>
        <row r="4502">
          <cell r="B4502" t="str">
            <v>3047 / SFVZ-39|</v>
          </cell>
          <cell r="J4502" t="str">
            <v>B</v>
          </cell>
          <cell r="N4502" t="str">
            <v>B</v>
          </cell>
        </row>
        <row r="4503">
          <cell r="B4503" t="str">
            <v>3047 / SFVZ-39|</v>
          </cell>
          <cell r="J4503" t="str">
            <v>B</v>
          </cell>
          <cell r="N4503" t="str">
            <v>B</v>
          </cell>
        </row>
        <row r="4504">
          <cell r="B4504" t="str">
            <v>3047 / SFVZ-39|</v>
          </cell>
          <cell r="J4504" t="str">
            <v>B</v>
          </cell>
          <cell r="N4504" t="str">
            <v>B</v>
          </cell>
        </row>
        <row r="4505">
          <cell r="B4505" t="str">
            <v>3047 / SFVZ-39|</v>
          </cell>
          <cell r="J4505" t="str">
            <v>B</v>
          </cell>
          <cell r="N4505" t="str">
            <v>B</v>
          </cell>
        </row>
        <row r="4506">
          <cell r="B4506" t="str">
            <v>3047 / SFVZ-39|</v>
          </cell>
          <cell r="J4506" t="str">
            <v>B</v>
          </cell>
          <cell r="N4506" t="str">
            <v>B</v>
          </cell>
        </row>
        <row r="4507">
          <cell r="B4507" t="str">
            <v>3047 / SFVZ-39|</v>
          </cell>
          <cell r="J4507" t="str">
            <v>B</v>
          </cell>
          <cell r="N4507" t="str">
            <v>B</v>
          </cell>
        </row>
        <row r="4508">
          <cell r="B4508" t="str">
            <v>3048 / SFVZ-96|</v>
          </cell>
          <cell r="J4508" t="str">
            <v>B</v>
          </cell>
          <cell r="N4508" t="str">
            <v>B</v>
          </cell>
        </row>
        <row r="4509">
          <cell r="B4509" t="str">
            <v>3048 / SFVZ-96|</v>
          </cell>
          <cell r="J4509" t="str">
            <v>B</v>
          </cell>
          <cell r="N4509" t="str">
            <v>B</v>
          </cell>
        </row>
        <row r="4510">
          <cell r="B4510" t="str">
            <v>3048 / SFVZ-96|</v>
          </cell>
          <cell r="J4510" t="str">
            <v>B</v>
          </cell>
          <cell r="N4510" t="str">
            <v>B</v>
          </cell>
        </row>
        <row r="4511">
          <cell r="B4511" t="str">
            <v>3048 / SFVZ-96|</v>
          </cell>
          <cell r="J4511" t="str">
            <v>B</v>
          </cell>
          <cell r="N4511" t="str">
            <v>B</v>
          </cell>
        </row>
        <row r="4512">
          <cell r="B4512" t="str">
            <v>3048 / SFVZ-96|</v>
          </cell>
          <cell r="J4512" t="str">
            <v>B</v>
          </cell>
          <cell r="N4512" t="str">
            <v>B</v>
          </cell>
        </row>
        <row r="4513">
          <cell r="B4513" t="str">
            <v>3048 / SFVZ-96|</v>
          </cell>
          <cell r="J4513" t="str">
            <v>B</v>
          </cell>
          <cell r="N4513" t="str">
            <v>B</v>
          </cell>
        </row>
        <row r="4514">
          <cell r="B4514" t="str">
            <v>3048 / SFVZ-96|</v>
          </cell>
          <cell r="J4514" t="str">
            <v>B</v>
          </cell>
          <cell r="N4514" t="str">
            <v>B</v>
          </cell>
        </row>
        <row r="4515">
          <cell r="B4515" t="str">
            <v>3049 / SFWZ-13|</v>
          </cell>
          <cell r="J4515" t="str">
            <v>B</v>
          </cell>
          <cell r="N4515" t="str">
            <v>B</v>
          </cell>
        </row>
        <row r="4516">
          <cell r="B4516" t="str">
            <v>3049 / SFWZ-13|</v>
          </cell>
          <cell r="J4516" t="str">
            <v>B</v>
          </cell>
          <cell r="N4516" t="str">
            <v>B</v>
          </cell>
        </row>
        <row r="4517">
          <cell r="B4517" t="str">
            <v>3049 / SFWZ-13|</v>
          </cell>
          <cell r="J4517" t="str">
            <v>B</v>
          </cell>
          <cell r="N4517" t="str">
            <v>B</v>
          </cell>
        </row>
        <row r="4518">
          <cell r="B4518" t="str">
            <v>3049 / SFWZ-13|</v>
          </cell>
          <cell r="J4518" t="str">
            <v>B</v>
          </cell>
          <cell r="N4518" t="str">
            <v>B</v>
          </cell>
        </row>
        <row r="4519">
          <cell r="B4519" t="str">
            <v>3050 / SFWB-82|</v>
          </cell>
          <cell r="J4519" t="str">
            <v>B</v>
          </cell>
          <cell r="N4519" t="str">
            <v>B</v>
          </cell>
        </row>
        <row r="4520">
          <cell r="B4520" t="str">
            <v>3050 / SFWB-82|</v>
          </cell>
          <cell r="J4520" t="str">
            <v>B</v>
          </cell>
          <cell r="N4520" t="str">
            <v>B</v>
          </cell>
        </row>
        <row r="4521">
          <cell r="B4521" t="str">
            <v>3051 / SFVZ-80|</v>
          </cell>
          <cell r="J4521" t="str">
            <v>B</v>
          </cell>
          <cell r="N4521" t="str">
            <v>B</v>
          </cell>
        </row>
        <row r="4522">
          <cell r="B4522" t="str">
            <v>3052 / SFVZ-86|</v>
          </cell>
          <cell r="J4522" t="str">
            <v>B</v>
          </cell>
          <cell r="N4522" t="str">
            <v>B</v>
          </cell>
        </row>
        <row r="4523">
          <cell r="B4523" t="str">
            <v>3052 / SFVZ-86|</v>
          </cell>
          <cell r="J4523" t="str">
            <v>B</v>
          </cell>
          <cell r="N4523" t="str">
            <v>B</v>
          </cell>
        </row>
        <row r="4524">
          <cell r="B4524" t="str">
            <v>3052 / SFVZ-86|</v>
          </cell>
          <cell r="J4524" t="str">
            <v>B</v>
          </cell>
          <cell r="N4524" t="str">
            <v>B</v>
          </cell>
        </row>
        <row r="4525">
          <cell r="B4525" t="str">
            <v>3052 / SFVZ-86|</v>
          </cell>
          <cell r="J4525" t="str">
            <v>B</v>
          </cell>
          <cell r="N4525" t="str">
            <v>B</v>
          </cell>
        </row>
        <row r="4526">
          <cell r="B4526" t="str">
            <v>3052 / SFVZ-86|</v>
          </cell>
          <cell r="J4526" t="str">
            <v>B</v>
          </cell>
          <cell r="N4526" t="str">
            <v>B</v>
          </cell>
        </row>
        <row r="4527">
          <cell r="B4527" t="str">
            <v>3052 / SFVZ-86|</v>
          </cell>
          <cell r="J4527" t="str">
            <v>B</v>
          </cell>
          <cell r="N4527" t="str">
            <v>B</v>
          </cell>
        </row>
        <row r="4528">
          <cell r="B4528" t="str">
            <v>3053 / SFWB-21|</v>
          </cell>
          <cell r="J4528" t="str">
            <v>B</v>
          </cell>
          <cell r="N4528" t="str">
            <v>B</v>
          </cell>
        </row>
        <row r="4529">
          <cell r="B4529" t="str">
            <v>3053 / SFWB-21|</v>
          </cell>
          <cell r="J4529" t="str">
            <v>B</v>
          </cell>
          <cell r="N4529" t="str">
            <v>B</v>
          </cell>
        </row>
        <row r="4530">
          <cell r="B4530" t="str">
            <v>3054 / SFWB-24|</v>
          </cell>
          <cell r="J4530" t="str">
            <v>B</v>
          </cell>
          <cell r="N4530" t="str">
            <v>B</v>
          </cell>
        </row>
        <row r="4531">
          <cell r="B4531" t="str">
            <v>3054 / SFWB-24|</v>
          </cell>
          <cell r="J4531" t="str">
            <v>B</v>
          </cell>
          <cell r="N4531" t="str">
            <v>B</v>
          </cell>
        </row>
        <row r="4532">
          <cell r="B4532" t="str">
            <v>3054 / SFWB-24|</v>
          </cell>
          <cell r="J4532" t="str">
            <v>B</v>
          </cell>
          <cell r="N4532" t="str">
            <v>B</v>
          </cell>
        </row>
        <row r="4533">
          <cell r="B4533" t="str">
            <v>3054 / SFWB-24|</v>
          </cell>
          <cell r="J4533" t="str">
            <v>B</v>
          </cell>
          <cell r="N4533" t="str">
            <v>B</v>
          </cell>
        </row>
        <row r="4534">
          <cell r="B4534" t="str">
            <v>3054 / SFWB-24|</v>
          </cell>
          <cell r="J4534" t="str">
            <v>B</v>
          </cell>
          <cell r="N4534" t="str">
            <v>B</v>
          </cell>
        </row>
        <row r="4535">
          <cell r="B4535" t="str">
            <v>3055 / SFWB-51|</v>
          </cell>
          <cell r="J4535" t="str">
            <v>B</v>
          </cell>
          <cell r="N4535" t="str">
            <v>B</v>
          </cell>
        </row>
        <row r="4536">
          <cell r="B4536" t="str">
            <v>3055 / SFWB-51|</v>
          </cell>
          <cell r="J4536" t="str">
            <v>B</v>
          </cell>
          <cell r="N4536" t="str">
            <v>B</v>
          </cell>
        </row>
        <row r="4537">
          <cell r="B4537" t="str">
            <v>3055 / SFWB-51|</v>
          </cell>
          <cell r="J4537" t="str">
            <v>B</v>
          </cell>
          <cell r="N4537" t="str">
            <v>B</v>
          </cell>
        </row>
        <row r="4538">
          <cell r="B4538" t="str">
            <v>3055 / SFWB-51|</v>
          </cell>
          <cell r="J4538" t="str">
            <v>B</v>
          </cell>
          <cell r="N4538" t="str">
            <v>B</v>
          </cell>
        </row>
        <row r="4539">
          <cell r="B4539" t="str">
            <v>3056 / SFWB-61|</v>
          </cell>
          <cell r="J4539" t="str">
            <v>B</v>
          </cell>
          <cell r="N4539" t="str">
            <v>B</v>
          </cell>
        </row>
        <row r="4540">
          <cell r="B4540" t="str">
            <v>3056 / SFWB-61|</v>
          </cell>
          <cell r="J4540" t="str">
            <v>B</v>
          </cell>
          <cell r="N4540" t="str">
            <v>B</v>
          </cell>
        </row>
        <row r="4541">
          <cell r="B4541" t="str">
            <v>3057 / SFWB-16|</v>
          </cell>
          <cell r="J4541" t="str">
            <v>B</v>
          </cell>
          <cell r="N4541" t="str">
            <v>B</v>
          </cell>
        </row>
        <row r="4542">
          <cell r="B4542" t="str">
            <v>3057 / SFWB-16|</v>
          </cell>
          <cell r="J4542" t="str">
            <v>B</v>
          </cell>
          <cell r="N4542" t="str">
            <v>B</v>
          </cell>
        </row>
        <row r="4543">
          <cell r="B4543" t="str">
            <v>3057 / SFWB-16|</v>
          </cell>
          <cell r="J4543" t="str">
            <v>B</v>
          </cell>
          <cell r="N4543" t="str">
            <v>B</v>
          </cell>
        </row>
        <row r="4544">
          <cell r="B4544" t="str">
            <v>3058 / SFWB-85|</v>
          </cell>
          <cell r="J4544" t="str">
            <v>B</v>
          </cell>
          <cell r="N4544" t="str">
            <v>B</v>
          </cell>
        </row>
        <row r="4545">
          <cell r="B4545" t="str">
            <v>3058 / SFWB-85|</v>
          </cell>
          <cell r="J4545" t="str">
            <v>B</v>
          </cell>
          <cell r="N4545" t="str">
            <v>B</v>
          </cell>
        </row>
        <row r="4546">
          <cell r="B4546" t="str">
            <v>3058 / SFWB-85|</v>
          </cell>
          <cell r="J4546" t="str">
            <v>B</v>
          </cell>
          <cell r="N4546" t="str">
            <v>B</v>
          </cell>
        </row>
        <row r="4547">
          <cell r="B4547" t="str">
            <v>3060 / SFWB-14|</v>
          </cell>
          <cell r="J4547" t="str">
            <v>B</v>
          </cell>
          <cell r="N4547" t="str">
            <v>B</v>
          </cell>
        </row>
        <row r="4548">
          <cell r="B4548" t="str">
            <v>3060 / SFWB-14|</v>
          </cell>
          <cell r="J4548" t="str">
            <v>B</v>
          </cell>
          <cell r="N4548" t="str">
            <v>B</v>
          </cell>
        </row>
        <row r="4549">
          <cell r="B4549" t="str">
            <v>3061 / SFWB-68|</v>
          </cell>
          <cell r="J4549" t="str">
            <v>B</v>
          </cell>
          <cell r="N4549" t="str">
            <v>B</v>
          </cell>
        </row>
        <row r="4550">
          <cell r="B4550" t="str">
            <v>3061 / SFWB-68|</v>
          </cell>
          <cell r="J4550" t="str">
            <v>B</v>
          </cell>
          <cell r="N4550" t="str">
            <v>B</v>
          </cell>
        </row>
        <row r="4551">
          <cell r="B4551" t="str">
            <v>3061 / SFWB-68|</v>
          </cell>
          <cell r="J4551" t="str">
            <v>B</v>
          </cell>
          <cell r="N4551" t="str">
            <v>B</v>
          </cell>
        </row>
        <row r="4552">
          <cell r="B4552" t="str">
            <v>3061 / SFWB-68|</v>
          </cell>
          <cell r="J4552" t="str">
            <v>B</v>
          </cell>
          <cell r="N4552" t="str">
            <v>B</v>
          </cell>
        </row>
        <row r="4553">
          <cell r="B4553" t="str">
            <v>3061 / SFWB-68|</v>
          </cell>
          <cell r="J4553" t="str">
            <v>B</v>
          </cell>
          <cell r="N4553" t="str">
            <v>B</v>
          </cell>
        </row>
        <row r="4554">
          <cell r="B4554" t="str">
            <v>3061 / SFWB-68|</v>
          </cell>
          <cell r="J4554" t="str">
            <v>B</v>
          </cell>
          <cell r="N4554" t="str">
            <v>B</v>
          </cell>
        </row>
        <row r="4555">
          <cell r="B4555" t="str">
            <v>3062 / SFWZ-10|</v>
          </cell>
          <cell r="J4555" t="str">
            <v>B</v>
          </cell>
          <cell r="N4555" t="str">
            <v>B</v>
          </cell>
        </row>
        <row r="4556">
          <cell r="B4556" t="str">
            <v>3062 / SFWZ-10|</v>
          </cell>
          <cell r="J4556" t="str">
            <v>B</v>
          </cell>
          <cell r="N4556" t="str">
            <v>B</v>
          </cell>
        </row>
        <row r="4557">
          <cell r="B4557" t="str">
            <v>3062 / SFWZ-10|</v>
          </cell>
          <cell r="J4557" t="str">
            <v>B</v>
          </cell>
          <cell r="N4557" t="str">
            <v>B</v>
          </cell>
        </row>
        <row r="4558">
          <cell r="B4558" t="str">
            <v>3062 / SFWZ-10|</v>
          </cell>
          <cell r="J4558" t="str">
            <v>B</v>
          </cell>
          <cell r="N4558" t="str">
            <v>B</v>
          </cell>
        </row>
        <row r="4559">
          <cell r="B4559" t="str">
            <v>3062 / SFWZ-10|</v>
          </cell>
          <cell r="J4559" t="str">
            <v>B</v>
          </cell>
          <cell r="N4559" t="str">
            <v>B</v>
          </cell>
        </row>
        <row r="4560">
          <cell r="B4560" t="str">
            <v>3062 / SFWZ-10|</v>
          </cell>
          <cell r="J4560" t="str">
            <v>B</v>
          </cell>
          <cell r="N4560" t="str">
            <v>B</v>
          </cell>
        </row>
        <row r="4561">
          <cell r="B4561" t="str">
            <v>3062 / SFWZ-10|</v>
          </cell>
          <cell r="J4561" t="str">
            <v>B</v>
          </cell>
          <cell r="N4561" t="str">
            <v>B</v>
          </cell>
        </row>
        <row r="4562">
          <cell r="B4562" t="str">
            <v>3062 / SFWZ-10|</v>
          </cell>
          <cell r="J4562" t="str">
            <v>B</v>
          </cell>
          <cell r="N4562" t="str">
            <v>B</v>
          </cell>
        </row>
        <row r="4563">
          <cell r="B4563" t="str">
            <v>3062 / SFWZ-10|</v>
          </cell>
          <cell r="J4563" t="str">
            <v>B</v>
          </cell>
          <cell r="N4563" t="str">
            <v>B</v>
          </cell>
        </row>
        <row r="4564">
          <cell r="B4564" t="str">
            <v>3063 / SFWZ-21|</v>
          </cell>
          <cell r="J4564" t="str">
            <v>B</v>
          </cell>
          <cell r="N4564" t="str">
            <v>B</v>
          </cell>
        </row>
        <row r="4565">
          <cell r="B4565" t="str">
            <v>3063 / SFWZ-21|</v>
          </cell>
          <cell r="J4565" t="str">
            <v>B</v>
          </cell>
          <cell r="N4565" t="str">
            <v>B</v>
          </cell>
        </row>
        <row r="4566">
          <cell r="B4566" t="str">
            <v>3063 / SFWZ-21|</v>
          </cell>
          <cell r="J4566" t="str">
            <v>B</v>
          </cell>
          <cell r="N4566" t="str">
            <v>B</v>
          </cell>
        </row>
        <row r="4567">
          <cell r="B4567" t="str">
            <v>3063 / SFWZ-21|</v>
          </cell>
          <cell r="J4567" t="str">
            <v>B</v>
          </cell>
          <cell r="N4567" t="str">
            <v>B</v>
          </cell>
        </row>
        <row r="4568">
          <cell r="B4568" t="str">
            <v>3063 / SFWZ-21|</v>
          </cell>
          <cell r="J4568" t="str">
            <v>B</v>
          </cell>
          <cell r="N4568" t="str">
            <v>B</v>
          </cell>
        </row>
        <row r="4569">
          <cell r="B4569" t="str">
            <v>3063 / SFWZ-21|</v>
          </cell>
          <cell r="J4569" t="str">
            <v>B</v>
          </cell>
          <cell r="N4569" t="str">
            <v>B</v>
          </cell>
        </row>
        <row r="4570">
          <cell r="B4570" t="str">
            <v>3063 / SFWZ-21|</v>
          </cell>
          <cell r="J4570" t="str">
            <v>B</v>
          </cell>
          <cell r="N4570" t="str">
            <v>B</v>
          </cell>
        </row>
        <row r="4571">
          <cell r="B4571" t="str">
            <v>3064 / SFWZ-61|</v>
          </cell>
          <cell r="J4571" t="str">
            <v>B</v>
          </cell>
          <cell r="N4571" t="str">
            <v>B</v>
          </cell>
        </row>
        <row r="4572">
          <cell r="B4572" t="str">
            <v>3064 / SFWZ-61|</v>
          </cell>
          <cell r="J4572" t="str">
            <v>B</v>
          </cell>
          <cell r="N4572" t="str">
            <v>B</v>
          </cell>
        </row>
        <row r="4573">
          <cell r="B4573" t="str">
            <v>3064 / SFWZ-61|</v>
          </cell>
          <cell r="J4573" t="str">
            <v>B</v>
          </cell>
          <cell r="N4573" t="str">
            <v>B</v>
          </cell>
        </row>
        <row r="4574">
          <cell r="B4574" t="str">
            <v>3064 / SFWZ-61|</v>
          </cell>
          <cell r="J4574" t="str">
            <v>B</v>
          </cell>
          <cell r="N4574" t="str">
            <v>B</v>
          </cell>
        </row>
        <row r="4575">
          <cell r="B4575" t="str">
            <v>3064 / SFWZ-61|</v>
          </cell>
          <cell r="J4575" t="str">
            <v>B</v>
          </cell>
          <cell r="N4575" t="str">
            <v>B</v>
          </cell>
        </row>
        <row r="4576">
          <cell r="B4576" t="str">
            <v xml:space="preserve">3064 / SFWZ-61| </v>
          </cell>
          <cell r="J4576" t="str">
            <v>B</v>
          </cell>
          <cell r="N4576" t="str">
            <v>B</v>
          </cell>
        </row>
        <row r="4577">
          <cell r="B4577" t="str">
            <v>3065 / SFVZ-40|</v>
          </cell>
          <cell r="J4577" t="str">
            <v>B</v>
          </cell>
          <cell r="N4577" t="str">
            <v>B</v>
          </cell>
        </row>
        <row r="4578">
          <cell r="B4578" t="str">
            <v>3065 / SFVZ-40|</v>
          </cell>
          <cell r="J4578" t="str">
            <v>B</v>
          </cell>
          <cell r="N4578" t="str">
            <v>B</v>
          </cell>
        </row>
        <row r="4579">
          <cell r="B4579" t="str">
            <v>3065 / SFVZ-40|</v>
          </cell>
          <cell r="J4579" t="str">
            <v>B</v>
          </cell>
          <cell r="N4579" t="str">
            <v>B</v>
          </cell>
        </row>
        <row r="4580">
          <cell r="B4580" t="str">
            <v>3065 / SFVZ-40|</v>
          </cell>
          <cell r="J4580" t="str">
            <v>B</v>
          </cell>
          <cell r="N4580" t="str">
            <v>B</v>
          </cell>
        </row>
        <row r="4581">
          <cell r="B4581" t="str">
            <v>3065 / SFVZ-40|</v>
          </cell>
          <cell r="J4581" t="str">
            <v>B</v>
          </cell>
          <cell r="N4581" t="str">
            <v>B</v>
          </cell>
        </row>
        <row r="4582">
          <cell r="B4582" t="str">
            <v>3065 / SFVZ-40|</v>
          </cell>
          <cell r="J4582" t="str">
            <v>B</v>
          </cell>
          <cell r="N4582" t="str">
            <v>B</v>
          </cell>
        </row>
        <row r="4583">
          <cell r="B4583" t="str">
            <v>3066 / SFWB-10|</v>
          </cell>
          <cell r="J4583" t="str">
            <v>B</v>
          </cell>
          <cell r="N4583" t="str">
            <v>B</v>
          </cell>
        </row>
        <row r="4584">
          <cell r="B4584" t="str">
            <v>3066 / SFWB-10|</v>
          </cell>
          <cell r="J4584" t="str">
            <v>B</v>
          </cell>
          <cell r="N4584" t="str">
            <v>B</v>
          </cell>
        </row>
        <row r="4585">
          <cell r="B4585" t="str">
            <v>3066 / SFWB-10|</v>
          </cell>
          <cell r="J4585" t="str">
            <v>B</v>
          </cell>
          <cell r="N4585" t="str">
            <v>B</v>
          </cell>
        </row>
        <row r="4586">
          <cell r="B4586" t="str">
            <v>3066 / SFWB-10|</v>
          </cell>
          <cell r="J4586" t="str">
            <v>B</v>
          </cell>
          <cell r="N4586" t="str">
            <v>B</v>
          </cell>
        </row>
        <row r="4587">
          <cell r="B4587" t="str">
            <v>3066 / SFWB-10|</v>
          </cell>
          <cell r="J4587" t="str">
            <v>B</v>
          </cell>
          <cell r="N4587" t="str">
            <v>B</v>
          </cell>
        </row>
        <row r="4588">
          <cell r="B4588" t="str">
            <v>3067 / SFWB-73|</v>
          </cell>
          <cell r="J4588" t="str">
            <v>B</v>
          </cell>
          <cell r="N4588" t="str">
            <v>B</v>
          </cell>
        </row>
        <row r="4589">
          <cell r="B4589" t="str">
            <v>3067 / SFWB-73|</v>
          </cell>
          <cell r="J4589" t="str">
            <v>B</v>
          </cell>
          <cell r="N4589" t="str">
            <v>B</v>
          </cell>
        </row>
        <row r="4590">
          <cell r="B4590" t="str">
            <v>3068 / SFWB-84|</v>
          </cell>
          <cell r="J4590" t="str">
            <v>B</v>
          </cell>
          <cell r="N4590" t="str">
            <v>B</v>
          </cell>
        </row>
        <row r="4591">
          <cell r="B4591" t="str">
            <v>3069 / SFWZ-32|</v>
          </cell>
          <cell r="J4591" t="str">
            <v>B</v>
          </cell>
          <cell r="N4591" t="str">
            <v>B</v>
          </cell>
        </row>
        <row r="4592">
          <cell r="B4592" t="str">
            <v>3069 / SFWZ-32|</v>
          </cell>
          <cell r="J4592" t="str">
            <v>B</v>
          </cell>
          <cell r="N4592" t="str">
            <v>B</v>
          </cell>
        </row>
        <row r="4593">
          <cell r="B4593" t="str">
            <v>3069 / SFWZ-32|</v>
          </cell>
          <cell r="J4593" t="str">
            <v>B</v>
          </cell>
          <cell r="N4593" t="str">
            <v>B</v>
          </cell>
        </row>
        <row r="4594">
          <cell r="B4594" t="str">
            <v>3069 / SFWZ-32|</v>
          </cell>
          <cell r="J4594" t="str">
            <v>B</v>
          </cell>
          <cell r="N4594" t="str">
            <v>B</v>
          </cell>
        </row>
        <row r="4595">
          <cell r="B4595" t="str">
            <v>3069 / SFWZ-32|</v>
          </cell>
          <cell r="J4595" t="str">
            <v>B</v>
          </cell>
          <cell r="N4595" t="str">
            <v>B</v>
          </cell>
        </row>
        <row r="4596">
          <cell r="B4596" t="str">
            <v>3070 / SFWZ-38|</v>
          </cell>
          <cell r="J4596" t="str">
            <v>B</v>
          </cell>
          <cell r="N4596" t="str">
            <v>B</v>
          </cell>
        </row>
        <row r="4597">
          <cell r="B4597" t="str">
            <v>3071 / SFWZ-29|</v>
          </cell>
          <cell r="J4597" t="str">
            <v>B</v>
          </cell>
          <cell r="N4597" t="str">
            <v>B</v>
          </cell>
        </row>
        <row r="4598">
          <cell r="B4598" t="str">
            <v>3071 / SFWZ-29|</v>
          </cell>
          <cell r="J4598" t="str">
            <v>B</v>
          </cell>
          <cell r="N4598" t="str">
            <v>B</v>
          </cell>
        </row>
        <row r="4599">
          <cell r="B4599" t="str">
            <v>3072 / SFWB-89|</v>
          </cell>
          <cell r="J4599" t="str">
            <v>B</v>
          </cell>
          <cell r="N4599" t="str">
            <v>B</v>
          </cell>
        </row>
        <row r="4600">
          <cell r="B4600" t="str">
            <v>3072 / SFWB-89|</v>
          </cell>
          <cell r="J4600" t="str">
            <v>B</v>
          </cell>
          <cell r="N4600" t="str">
            <v>B</v>
          </cell>
        </row>
        <row r="4601">
          <cell r="B4601" t="str">
            <v>3072 / SFWB-89|</v>
          </cell>
          <cell r="J4601" t="str">
            <v>B</v>
          </cell>
          <cell r="N4601" t="str">
            <v>B</v>
          </cell>
        </row>
        <row r="4602">
          <cell r="B4602" t="str">
            <v>3073 / SFWB-96|</v>
          </cell>
          <cell r="J4602" t="str">
            <v>B</v>
          </cell>
          <cell r="N4602" t="str">
            <v>B</v>
          </cell>
        </row>
        <row r="4603">
          <cell r="B4603" t="str">
            <v>3074 / SFWZ-17|</v>
          </cell>
          <cell r="J4603" t="str">
            <v>B</v>
          </cell>
          <cell r="N4603" t="str">
            <v>B</v>
          </cell>
        </row>
        <row r="4604">
          <cell r="B4604" t="str">
            <v>3074 / SFWZ-17|</v>
          </cell>
          <cell r="J4604" t="str">
            <v>B</v>
          </cell>
          <cell r="N4604" t="str">
            <v>B</v>
          </cell>
        </row>
        <row r="4605">
          <cell r="B4605" t="str">
            <v>3074 / SFWZ-17|</v>
          </cell>
          <cell r="J4605" t="str">
            <v>B</v>
          </cell>
          <cell r="N4605" t="str">
            <v>B</v>
          </cell>
        </row>
        <row r="4606">
          <cell r="B4606" t="str">
            <v>3074 / SFWZ-17|</v>
          </cell>
          <cell r="J4606" t="str">
            <v>B</v>
          </cell>
          <cell r="N4606" t="str">
            <v>B</v>
          </cell>
        </row>
        <row r="4607">
          <cell r="B4607" t="str">
            <v>3074 / SFWZ-17|</v>
          </cell>
          <cell r="J4607" t="str">
            <v>B</v>
          </cell>
          <cell r="N4607" t="str">
            <v>B</v>
          </cell>
        </row>
        <row r="4608">
          <cell r="B4608" t="str">
            <v>3074 / SFWZ-17|</v>
          </cell>
          <cell r="J4608" t="str">
            <v>B</v>
          </cell>
          <cell r="N4608" t="str">
            <v>B</v>
          </cell>
        </row>
        <row r="4609">
          <cell r="B4609" t="str">
            <v>3074 / SFWZ-17|</v>
          </cell>
          <cell r="J4609" t="str">
            <v>B</v>
          </cell>
          <cell r="N4609" t="str">
            <v>B</v>
          </cell>
        </row>
        <row r="4610">
          <cell r="B4610" t="str">
            <v>3074 / SFWZ-17|</v>
          </cell>
          <cell r="J4610" t="str">
            <v>B</v>
          </cell>
          <cell r="N4610" t="str">
            <v>B</v>
          </cell>
        </row>
        <row r="4611">
          <cell r="B4611" t="str">
            <v>3074 / SFWZ-17|</v>
          </cell>
          <cell r="J4611" t="str">
            <v>B</v>
          </cell>
          <cell r="N4611" t="str">
            <v>B</v>
          </cell>
        </row>
        <row r="4612">
          <cell r="B4612" t="str">
            <v>3075 / SFWZ-64|</v>
          </cell>
          <cell r="J4612" t="str">
            <v>B</v>
          </cell>
          <cell r="N4612" t="str">
            <v>B</v>
          </cell>
        </row>
        <row r="4613">
          <cell r="B4613" t="str">
            <v>3076 / SFWZ-53|</v>
          </cell>
          <cell r="J4613" t="str">
            <v>B</v>
          </cell>
          <cell r="N4613" t="str">
            <v>B</v>
          </cell>
        </row>
        <row r="4614">
          <cell r="B4614" t="str">
            <v>3076 / SFWZ-53|</v>
          </cell>
          <cell r="J4614" t="str">
            <v>B</v>
          </cell>
          <cell r="N4614" t="str">
            <v>B</v>
          </cell>
        </row>
        <row r="4615">
          <cell r="B4615" t="str">
            <v>3076 / SFWZ-53|</v>
          </cell>
          <cell r="J4615" t="str">
            <v>B</v>
          </cell>
          <cell r="N4615" t="str">
            <v>B</v>
          </cell>
        </row>
        <row r="4616">
          <cell r="B4616" t="str">
            <v>3077 / SFWZ-55|</v>
          </cell>
          <cell r="J4616" t="str">
            <v>B</v>
          </cell>
          <cell r="N4616" t="str">
            <v>B</v>
          </cell>
        </row>
        <row r="4617">
          <cell r="B4617" t="str">
            <v>3077 / SFWZ-55|</v>
          </cell>
          <cell r="J4617" t="str">
            <v>B</v>
          </cell>
          <cell r="N4617" t="str">
            <v>B</v>
          </cell>
        </row>
        <row r="4618">
          <cell r="B4618" t="str">
            <v>3077 / SFWZ-55|</v>
          </cell>
          <cell r="J4618" t="str">
            <v>B</v>
          </cell>
          <cell r="N4618" t="str">
            <v>B</v>
          </cell>
        </row>
        <row r="4619">
          <cell r="B4619" t="str">
            <v>3077 / SFWZ-55|</v>
          </cell>
          <cell r="J4619" t="str">
            <v>B</v>
          </cell>
          <cell r="N4619" t="str">
            <v>B</v>
          </cell>
        </row>
        <row r="4620">
          <cell r="B4620" t="str">
            <v>3078 / SFWZ-69|</v>
          </cell>
          <cell r="J4620" t="str">
            <v>B</v>
          </cell>
          <cell r="N4620" t="str">
            <v>B</v>
          </cell>
        </row>
        <row r="4621">
          <cell r="B4621" t="str">
            <v>3078 / SFWZ-69|</v>
          </cell>
          <cell r="J4621" t="str">
            <v>B</v>
          </cell>
          <cell r="N4621" t="str">
            <v>B</v>
          </cell>
        </row>
        <row r="4622">
          <cell r="B4622" t="str">
            <v>3078 / SFWZ-69|</v>
          </cell>
          <cell r="J4622" t="str">
            <v>B</v>
          </cell>
          <cell r="N4622" t="str">
            <v>B</v>
          </cell>
        </row>
        <row r="4623">
          <cell r="B4623" t="str">
            <v>3078 / SFWZ-69|</v>
          </cell>
          <cell r="J4623" t="str">
            <v>B</v>
          </cell>
          <cell r="N4623" t="str">
            <v>B</v>
          </cell>
        </row>
        <row r="4624">
          <cell r="B4624" t="str">
            <v>3078 / SFWZ-69|</v>
          </cell>
          <cell r="J4624" t="str">
            <v>B</v>
          </cell>
          <cell r="N4624" t="str">
            <v>B</v>
          </cell>
        </row>
        <row r="4625">
          <cell r="B4625" t="str">
            <v>3079 / SFWZ-62|</v>
          </cell>
          <cell r="J4625" t="str">
            <v>B</v>
          </cell>
          <cell r="N4625" t="str">
            <v>B</v>
          </cell>
        </row>
        <row r="4626">
          <cell r="B4626" t="str">
            <v>3079 / SFWZ-62|</v>
          </cell>
          <cell r="J4626" t="str">
            <v>B</v>
          </cell>
          <cell r="N4626" t="str">
            <v>B</v>
          </cell>
        </row>
        <row r="4627">
          <cell r="B4627" t="str">
            <v>3079 / SFWZ-62|</v>
          </cell>
          <cell r="J4627" t="str">
            <v>B</v>
          </cell>
          <cell r="N4627" t="str">
            <v>B</v>
          </cell>
        </row>
        <row r="4628">
          <cell r="B4628" t="str">
            <v>3080 / SFWZ-65|</v>
          </cell>
          <cell r="J4628" t="str">
            <v>B</v>
          </cell>
          <cell r="N4628" t="str">
            <v>B</v>
          </cell>
        </row>
        <row r="4629">
          <cell r="B4629" t="str">
            <v>3080 / SFWZ-65|</v>
          </cell>
          <cell r="J4629" t="str">
            <v>B</v>
          </cell>
          <cell r="N4629" t="str">
            <v>B</v>
          </cell>
        </row>
        <row r="4630">
          <cell r="B4630" t="str">
            <v>3080 / SFWZ-65|</v>
          </cell>
          <cell r="J4630" t="str">
            <v>B</v>
          </cell>
          <cell r="N4630" t="str">
            <v>B</v>
          </cell>
        </row>
        <row r="4631">
          <cell r="B4631" t="str">
            <v>3080 / SFWZ-65|</v>
          </cell>
          <cell r="J4631" t="str">
            <v>B</v>
          </cell>
          <cell r="N4631" t="str">
            <v>B</v>
          </cell>
        </row>
        <row r="4632">
          <cell r="B4632" t="str">
            <v>3080 / SFWZ-65|</v>
          </cell>
          <cell r="J4632" t="str">
            <v>B</v>
          </cell>
          <cell r="N4632" t="str">
            <v>B</v>
          </cell>
        </row>
        <row r="4633">
          <cell r="B4633" t="str">
            <v>3080 / SFWZ-65|</v>
          </cell>
          <cell r="J4633" t="str">
            <v>B</v>
          </cell>
          <cell r="N4633" t="str">
            <v>B</v>
          </cell>
        </row>
        <row r="4634">
          <cell r="B4634" t="str">
            <v>3080 / SFWZ-65|</v>
          </cell>
          <cell r="J4634" t="str">
            <v>B</v>
          </cell>
          <cell r="N4634" t="str">
            <v>B</v>
          </cell>
        </row>
        <row r="4635">
          <cell r="B4635" t="str">
            <v>3082 / SFWZ-56|</v>
          </cell>
          <cell r="J4635" t="str">
            <v>B</v>
          </cell>
          <cell r="N4635" t="str">
            <v>B</v>
          </cell>
        </row>
        <row r="4636">
          <cell r="B4636" t="str">
            <v>3082 / SFWZ-56|</v>
          </cell>
          <cell r="J4636" t="str">
            <v>B</v>
          </cell>
          <cell r="N4636" t="str">
            <v>B</v>
          </cell>
        </row>
        <row r="4637">
          <cell r="B4637" t="str">
            <v>3083 / SFWZ-70|</v>
          </cell>
          <cell r="J4637" t="str">
            <v>B</v>
          </cell>
          <cell r="N4637" t="str">
            <v>B</v>
          </cell>
        </row>
        <row r="4638">
          <cell r="B4638" t="str">
            <v>3085 / SFWZ-48|</v>
          </cell>
          <cell r="J4638" t="str">
            <v>B</v>
          </cell>
          <cell r="N4638" t="str">
            <v>B</v>
          </cell>
        </row>
        <row r="4639">
          <cell r="B4639" t="str">
            <v>3085 / SFWZ-48|</v>
          </cell>
          <cell r="J4639" t="str">
            <v>B</v>
          </cell>
          <cell r="N4639" t="str">
            <v>B</v>
          </cell>
        </row>
        <row r="4640">
          <cell r="B4640" t="str">
            <v>3085 / SFWZ-48|</v>
          </cell>
          <cell r="J4640" t="str">
            <v>B</v>
          </cell>
          <cell r="N4640" t="str">
            <v>B</v>
          </cell>
        </row>
        <row r="4641">
          <cell r="B4641" t="str">
            <v>3088 / SFWZ-81|</v>
          </cell>
          <cell r="J4641" t="str">
            <v>B</v>
          </cell>
          <cell r="N4641" t="str">
            <v>B</v>
          </cell>
        </row>
        <row r="4642">
          <cell r="B4642" t="str">
            <v>3088 / SFWZ-81|</v>
          </cell>
          <cell r="J4642" t="str">
            <v>B</v>
          </cell>
          <cell r="N4642" t="str">
            <v>B</v>
          </cell>
        </row>
        <row r="4643">
          <cell r="B4643" t="str">
            <v>3088 / SFWZ-81|</v>
          </cell>
          <cell r="J4643" t="str">
            <v>B</v>
          </cell>
          <cell r="N4643" t="str">
            <v>B</v>
          </cell>
        </row>
        <row r="4644">
          <cell r="B4644" t="str">
            <v>3088 / SFWZ-81|</v>
          </cell>
          <cell r="J4644" t="str">
            <v>B</v>
          </cell>
          <cell r="N4644" t="str">
            <v>B</v>
          </cell>
        </row>
        <row r="4645">
          <cell r="B4645" t="str">
            <v>3088 / SFWZ-81|</v>
          </cell>
          <cell r="J4645" t="str">
            <v>B</v>
          </cell>
          <cell r="N4645" t="str">
            <v>B</v>
          </cell>
        </row>
        <row r="4646">
          <cell r="B4646" t="str">
            <v>3089 / SFWZ-73|</v>
          </cell>
          <cell r="J4646" t="str">
            <v>B</v>
          </cell>
          <cell r="N4646" t="str">
            <v>B</v>
          </cell>
        </row>
        <row r="4647">
          <cell r="B4647" t="str">
            <v>3089 / SFWZ-73|</v>
          </cell>
          <cell r="J4647" t="str">
            <v>B</v>
          </cell>
          <cell r="N4647" t="str">
            <v>B</v>
          </cell>
        </row>
        <row r="4648">
          <cell r="B4648" t="str">
            <v>3089 / SFWZ-73|</v>
          </cell>
          <cell r="J4648" t="str">
            <v>B</v>
          </cell>
          <cell r="N4648" t="str">
            <v>B</v>
          </cell>
        </row>
        <row r="4649">
          <cell r="B4649" t="str">
            <v>3089 / SFWZ-73|</v>
          </cell>
          <cell r="J4649" t="str">
            <v>B</v>
          </cell>
          <cell r="N4649" t="str">
            <v>B</v>
          </cell>
        </row>
        <row r="4650">
          <cell r="B4650" t="str">
            <v>3089 / SFWZ-73|</v>
          </cell>
          <cell r="J4650" t="str">
            <v>B</v>
          </cell>
          <cell r="N4650" t="str">
            <v>B</v>
          </cell>
        </row>
        <row r="4651">
          <cell r="B4651" t="str">
            <v>3089 / SFWZ-73|</v>
          </cell>
          <cell r="J4651" t="str">
            <v>B</v>
          </cell>
          <cell r="N4651" t="str">
            <v>B</v>
          </cell>
        </row>
        <row r="4652">
          <cell r="B4652" t="str">
            <v>3089 / SFWZ-73|</v>
          </cell>
          <cell r="J4652" t="str">
            <v>B</v>
          </cell>
          <cell r="N4652" t="str">
            <v>B</v>
          </cell>
        </row>
        <row r="4653">
          <cell r="B4653" t="str">
            <v>3089 / SFWZ-73|</v>
          </cell>
          <cell r="J4653" t="str">
            <v>B</v>
          </cell>
          <cell r="N4653" t="str">
            <v>B</v>
          </cell>
        </row>
        <row r="4654">
          <cell r="B4654" t="str">
            <v>3091 / SFWZ-49|</v>
          </cell>
          <cell r="J4654" t="str">
            <v>B</v>
          </cell>
          <cell r="N4654" t="str">
            <v>B</v>
          </cell>
        </row>
        <row r="4655">
          <cell r="B4655" t="str">
            <v>3091 / SFWZ-49|</v>
          </cell>
          <cell r="J4655" t="str">
            <v>B</v>
          </cell>
          <cell r="N4655" t="str">
            <v>B</v>
          </cell>
        </row>
        <row r="4656">
          <cell r="B4656" t="str">
            <v>3091 / SFWZ-49|</v>
          </cell>
          <cell r="J4656" t="str">
            <v>B</v>
          </cell>
          <cell r="N4656" t="str">
            <v>B</v>
          </cell>
        </row>
        <row r="4657">
          <cell r="B4657" t="str">
            <v>3091 / SFWZ-49|</v>
          </cell>
          <cell r="J4657" t="str">
            <v>B</v>
          </cell>
          <cell r="N4657" t="str">
            <v>B</v>
          </cell>
        </row>
        <row r="4658">
          <cell r="B4658" t="str">
            <v>3092 / SFWZ-67|</v>
          </cell>
          <cell r="J4658" t="str">
            <v>B</v>
          </cell>
          <cell r="N4658" t="str">
            <v>B</v>
          </cell>
        </row>
        <row r="4659">
          <cell r="B4659" t="str">
            <v>3092 / SFWZ-67|</v>
          </cell>
          <cell r="J4659" t="str">
            <v>B</v>
          </cell>
          <cell r="N4659" t="str">
            <v>B</v>
          </cell>
        </row>
        <row r="4660">
          <cell r="B4660" t="str">
            <v>3092 / SFWZ-67|</v>
          </cell>
          <cell r="J4660" t="str">
            <v>B</v>
          </cell>
          <cell r="N4660" t="str">
            <v>B</v>
          </cell>
        </row>
        <row r="4661">
          <cell r="B4661" t="str">
            <v>3092 / SFWZ-67|</v>
          </cell>
          <cell r="J4661" t="str">
            <v>B</v>
          </cell>
          <cell r="N4661" t="str">
            <v>B</v>
          </cell>
        </row>
        <row r="4662">
          <cell r="B4662" t="str">
            <v>3092 / SFWZ-67|</v>
          </cell>
          <cell r="J4662" t="str">
            <v>B</v>
          </cell>
          <cell r="N4662" t="str">
            <v>B</v>
          </cell>
        </row>
        <row r="4663">
          <cell r="B4663" t="str">
            <v>3093 / SFWZ-82|</v>
          </cell>
          <cell r="J4663" t="str">
            <v>B</v>
          </cell>
          <cell r="N4663" t="str">
            <v>B</v>
          </cell>
        </row>
        <row r="4664">
          <cell r="B4664" t="str">
            <v>3093 / SFWZ-82|</v>
          </cell>
          <cell r="J4664" t="str">
            <v>B</v>
          </cell>
          <cell r="N4664" t="str">
            <v>B</v>
          </cell>
        </row>
        <row r="4665">
          <cell r="B4665" t="str">
            <v>3093 / SFWZ-82|</v>
          </cell>
          <cell r="J4665" t="str">
            <v>B</v>
          </cell>
          <cell r="N4665" t="str">
            <v>B</v>
          </cell>
        </row>
        <row r="4666">
          <cell r="B4666" t="str">
            <v>3093 / SFWZ-82|</v>
          </cell>
          <cell r="J4666" t="str">
            <v>B</v>
          </cell>
          <cell r="N4666" t="str">
            <v>B</v>
          </cell>
        </row>
        <row r="4667">
          <cell r="B4667" t="str">
            <v>3094 / SFWZ-40|</v>
          </cell>
          <cell r="J4667" t="str">
            <v>B</v>
          </cell>
          <cell r="N4667" t="str">
            <v>B</v>
          </cell>
        </row>
        <row r="4668">
          <cell r="B4668" t="str">
            <v>3094 / SFWZ-40|</v>
          </cell>
          <cell r="J4668" t="str">
            <v>B</v>
          </cell>
          <cell r="N4668" t="str">
            <v>B</v>
          </cell>
        </row>
        <row r="4669">
          <cell r="B4669" t="str">
            <v>3094 / SFWZ-40|</v>
          </cell>
          <cell r="J4669" t="str">
            <v>B</v>
          </cell>
          <cell r="N4669" t="str">
            <v>B</v>
          </cell>
        </row>
        <row r="4670">
          <cell r="B4670" t="str">
            <v>3094 / SFWZ-40|</v>
          </cell>
          <cell r="J4670" t="str">
            <v>B</v>
          </cell>
          <cell r="N4670" t="str">
            <v>B</v>
          </cell>
        </row>
        <row r="4671">
          <cell r="B4671" t="str">
            <v>3094 / SFWZ-40|</v>
          </cell>
          <cell r="J4671" t="str">
            <v>B</v>
          </cell>
          <cell r="N4671" t="str">
            <v>B</v>
          </cell>
        </row>
        <row r="4672">
          <cell r="B4672" t="str">
            <v>3094 / SFWZ-40|</v>
          </cell>
          <cell r="J4672" t="str">
            <v>B</v>
          </cell>
          <cell r="N4672" t="str">
            <v>B</v>
          </cell>
        </row>
        <row r="4673">
          <cell r="B4673" t="str">
            <v>3094 / SFWZ-40|</v>
          </cell>
          <cell r="J4673" t="str">
            <v>B</v>
          </cell>
          <cell r="N4673" t="str">
            <v>B</v>
          </cell>
        </row>
        <row r="4674">
          <cell r="B4674" t="str">
            <v>3094 / SFWZ-40|</v>
          </cell>
          <cell r="J4674" t="str">
            <v>B</v>
          </cell>
          <cell r="N4674" t="str">
            <v>B</v>
          </cell>
        </row>
        <row r="4675">
          <cell r="B4675" t="str">
            <v>3095 / SFWZ-58|</v>
          </cell>
          <cell r="J4675" t="str">
            <v>B</v>
          </cell>
          <cell r="N4675" t="str">
            <v>B</v>
          </cell>
        </row>
        <row r="4676">
          <cell r="B4676" t="str">
            <v>3095 / SFWZ-58|</v>
          </cell>
          <cell r="J4676" t="str">
            <v>B</v>
          </cell>
          <cell r="N4676" t="str">
            <v>B</v>
          </cell>
        </row>
        <row r="4677">
          <cell r="B4677" t="str">
            <v>3095 / SFWZ-58|</v>
          </cell>
          <cell r="J4677" t="str">
            <v>B</v>
          </cell>
          <cell r="N4677" t="str">
            <v>B</v>
          </cell>
        </row>
        <row r="4678">
          <cell r="B4678" t="str">
            <v>3096 / SFWZ-74|</v>
          </cell>
          <cell r="J4678" t="str">
            <v>B</v>
          </cell>
          <cell r="N4678" t="str">
            <v>B</v>
          </cell>
        </row>
        <row r="4679">
          <cell r="B4679" t="str">
            <v>3096 / SFWZ-74|</v>
          </cell>
          <cell r="J4679" t="str">
            <v>B</v>
          </cell>
          <cell r="N4679" t="str">
            <v>B</v>
          </cell>
        </row>
        <row r="4680">
          <cell r="B4680" t="str">
            <v>3096 / SFWZ-74|</v>
          </cell>
          <cell r="J4680" t="str">
            <v>B</v>
          </cell>
          <cell r="N4680" t="str">
            <v>B</v>
          </cell>
        </row>
        <row r="4681">
          <cell r="B4681" t="str">
            <v>3096 / SFWZ-74|</v>
          </cell>
          <cell r="J4681" t="str">
            <v>B</v>
          </cell>
          <cell r="N4681" t="str">
            <v>B</v>
          </cell>
        </row>
        <row r="4682">
          <cell r="B4682" t="str">
            <v>3097 / SFWZ-77|</v>
          </cell>
          <cell r="J4682" t="str">
            <v>B</v>
          </cell>
          <cell r="N4682" t="str">
            <v>B</v>
          </cell>
        </row>
        <row r="4683">
          <cell r="B4683" t="str">
            <v>3097 / SFWZ-77|</v>
          </cell>
          <cell r="J4683" t="str">
            <v>B</v>
          </cell>
          <cell r="N4683" t="str">
            <v>B</v>
          </cell>
        </row>
        <row r="4684">
          <cell r="B4684" t="str">
            <v>3097 / SFWZ-77|</v>
          </cell>
          <cell r="J4684" t="str">
            <v>B</v>
          </cell>
          <cell r="N4684" t="str">
            <v>B</v>
          </cell>
        </row>
        <row r="4685">
          <cell r="B4685" t="str">
            <v>3097 / SFWZ-77|</v>
          </cell>
          <cell r="J4685" t="str">
            <v>B</v>
          </cell>
          <cell r="N4685" t="str">
            <v>B</v>
          </cell>
        </row>
        <row r="4686">
          <cell r="B4686" t="str">
            <v>3097 / SFWZ-77|</v>
          </cell>
          <cell r="J4686" t="str">
            <v>B</v>
          </cell>
          <cell r="N4686" t="str">
            <v>B</v>
          </cell>
        </row>
        <row r="4687">
          <cell r="B4687" t="str">
            <v>3097 / SFWZ-77|</v>
          </cell>
          <cell r="J4687" t="str">
            <v>B</v>
          </cell>
          <cell r="N4687" t="str">
            <v>B</v>
          </cell>
        </row>
        <row r="4688">
          <cell r="B4688" t="str">
            <v>3097 / SFWZ-77|</v>
          </cell>
          <cell r="J4688" t="str">
            <v>B</v>
          </cell>
          <cell r="N4688" t="str">
            <v>B</v>
          </cell>
        </row>
        <row r="4689">
          <cell r="B4689" t="str">
            <v>3097 / SFWZ-77|</v>
          </cell>
          <cell r="J4689" t="str">
            <v>B</v>
          </cell>
          <cell r="N4689" t="str">
            <v>B</v>
          </cell>
        </row>
        <row r="4690">
          <cell r="B4690" t="str">
            <v>3097 / SFWZ-77|</v>
          </cell>
          <cell r="J4690" t="str">
            <v>B</v>
          </cell>
          <cell r="N4690" t="str">
            <v>B</v>
          </cell>
        </row>
        <row r="4691">
          <cell r="B4691" t="str">
            <v>3099 / SFWZ-37|</v>
          </cell>
          <cell r="J4691" t="str">
            <v>B</v>
          </cell>
          <cell r="N4691" t="str">
            <v>B</v>
          </cell>
        </row>
        <row r="4692">
          <cell r="B4692" t="str">
            <v>3099 / SFWZ-37|</v>
          </cell>
          <cell r="J4692" t="str">
            <v>B</v>
          </cell>
          <cell r="N4692" t="str">
            <v>B</v>
          </cell>
        </row>
        <row r="4693">
          <cell r="B4693" t="str">
            <v>3099 / SFWZ-37|</v>
          </cell>
          <cell r="J4693" t="str">
            <v>B</v>
          </cell>
          <cell r="N4693" t="str">
            <v>B</v>
          </cell>
        </row>
        <row r="4694">
          <cell r="B4694" t="str">
            <v>3099 / SFWZ-37|</v>
          </cell>
          <cell r="J4694" t="str">
            <v>B</v>
          </cell>
          <cell r="N4694" t="str">
            <v>B</v>
          </cell>
        </row>
        <row r="4695">
          <cell r="B4695" t="str">
            <v>3099 / SFWZ-37|</v>
          </cell>
          <cell r="J4695" t="str">
            <v>B</v>
          </cell>
          <cell r="N4695" t="str">
            <v>B</v>
          </cell>
        </row>
        <row r="4696">
          <cell r="B4696" t="str">
            <v>3100 / SFWZ-83|</v>
          </cell>
          <cell r="J4696" t="str">
            <v>B</v>
          </cell>
          <cell r="N4696" t="str">
            <v>B</v>
          </cell>
        </row>
        <row r="4697">
          <cell r="B4697" t="str">
            <v>3100 / SFWZ-83|</v>
          </cell>
          <cell r="J4697" t="str">
            <v>B</v>
          </cell>
          <cell r="N4697" t="str">
            <v>B</v>
          </cell>
        </row>
        <row r="4698">
          <cell r="B4698" t="str">
            <v>3100 / SFWZ-83|</v>
          </cell>
          <cell r="J4698" t="str">
            <v>B</v>
          </cell>
          <cell r="N4698" t="str">
            <v>B</v>
          </cell>
        </row>
        <row r="4699">
          <cell r="B4699" t="str">
            <v>3100 / SFWZ-83|</v>
          </cell>
          <cell r="J4699" t="str">
            <v>B</v>
          </cell>
          <cell r="N4699" t="str">
            <v>B</v>
          </cell>
        </row>
        <row r="4700">
          <cell r="B4700" t="str">
            <v>3100 / SFWZ-83|</v>
          </cell>
          <cell r="J4700" t="str">
            <v>B</v>
          </cell>
          <cell r="N4700" t="str">
            <v>B</v>
          </cell>
        </row>
        <row r="4701">
          <cell r="B4701" t="str">
            <v>3102 / SFWZ-59|</v>
          </cell>
          <cell r="J4701" t="str">
            <v>B</v>
          </cell>
          <cell r="N4701" t="str">
            <v>B</v>
          </cell>
        </row>
        <row r="4702">
          <cell r="B4702" t="str">
            <v>3102 / SFWZ-59|</v>
          </cell>
          <cell r="J4702" t="str">
            <v>B</v>
          </cell>
          <cell r="N4702" t="str">
            <v>B</v>
          </cell>
        </row>
        <row r="4703">
          <cell r="B4703" t="str">
            <v>3102 / SFWZ-59|</v>
          </cell>
          <cell r="J4703" t="str">
            <v>B</v>
          </cell>
          <cell r="N4703" t="str">
            <v>B</v>
          </cell>
        </row>
        <row r="4704">
          <cell r="B4704" t="str">
            <v>3103 / SFWZ-78|</v>
          </cell>
          <cell r="J4704" t="str">
            <v>B</v>
          </cell>
          <cell r="N4704" t="str">
            <v>B</v>
          </cell>
        </row>
        <row r="4705">
          <cell r="B4705" t="str">
            <v>3103 / SFWZ-78|</v>
          </cell>
          <cell r="J4705" t="str">
            <v>B</v>
          </cell>
          <cell r="N4705" t="str">
            <v>B</v>
          </cell>
        </row>
        <row r="4706">
          <cell r="B4706" t="str">
            <v>3103 / SFWZ-78|</v>
          </cell>
          <cell r="J4706" t="str">
            <v>B</v>
          </cell>
          <cell r="N4706" t="str">
            <v>B</v>
          </cell>
        </row>
        <row r="4707">
          <cell r="B4707" t="str">
            <v>3103 / SFWZ-78|</v>
          </cell>
          <cell r="J4707" t="str">
            <v>B</v>
          </cell>
          <cell r="N4707" t="str">
            <v>B</v>
          </cell>
        </row>
        <row r="4708">
          <cell r="B4708" t="str">
            <v>3103 / SFWZ-78|</v>
          </cell>
          <cell r="J4708" t="str">
            <v>B</v>
          </cell>
          <cell r="N4708" t="str">
            <v>B</v>
          </cell>
        </row>
        <row r="4709">
          <cell r="B4709" t="str">
            <v>3103 / SFWZ-78|</v>
          </cell>
          <cell r="J4709" t="str">
            <v>B</v>
          </cell>
          <cell r="N4709" t="str">
            <v>B</v>
          </cell>
        </row>
        <row r="4710">
          <cell r="B4710" t="str">
            <v>3103 / SFWZ-78|</v>
          </cell>
          <cell r="J4710" t="str">
            <v>B</v>
          </cell>
          <cell r="N4710" t="str">
            <v>B</v>
          </cell>
        </row>
        <row r="4711">
          <cell r="B4711" t="str">
            <v>3104 / SFWZ-52|</v>
          </cell>
          <cell r="J4711" t="str">
            <v>B</v>
          </cell>
          <cell r="N4711" t="str">
            <v>B</v>
          </cell>
        </row>
        <row r="4712">
          <cell r="B4712" t="str">
            <v>3104 / SFWZ-52|</v>
          </cell>
          <cell r="J4712" t="str">
            <v>B</v>
          </cell>
          <cell r="N4712" t="str">
            <v>B</v>
          </cell>
        </row>
        <row r="4713">
          <cell r="B4713" t="str">
            <v>3104 / SFWZ-52|</v>
          </cell>
          <cell r="J4713" t="str">
            <v>B</v>
          </cell>
          <cell r="N4713" t="str">
            <v>B</v>
          </cell>
        </row>
        <row r="4714">
          <cell r="B4714" t="str">
            <v>3104 / SFWZ-52|</v>
          </cell>
          <cell r="J4714" t="str">
            <v>B</v>
          </cell>
          <cell r="N4714" t="str">
            <v>B</v>
          </cell>
        </row>
        <row r="4715">
          <cell r="B4715" t="str">
            <v>3104 / SFWZ-52|</v>
          </cell>
          <cell r="J4715" t="str">
            <v>B</v>
          </cell>
          <cell r="N4715" t="str">
            <v>B</v>
          </cell>
        </row>
        <row r="4716">
          <cell r="B4716" t="str">
            <v>3104 / SFWZ-52|</v>
          </cell>
          <cell r="J4716" t="str">
            <v>B</v>
          </cell>
          <cell r="N4716" t="str">
            <v>B</v>
          </cell>
        </row>
        <row r="4717">
          <cell r="B4717" t="str">
            <v>3104 / SFWZ-52|</v>
          </cell>
          <cell r="J4717" t="str">
            <v>B</v>
          </cell>
          <cell r="N4717" t="str">
            <v>B</v>
          </cell>
        </row>
        <row r="4718">
          <cell r="B4718" t="str">
            <v>3104 / SFWZ-52|</v>
          </cell>
          <cell r="J4718" t="str">
            <v>B</v>
          </cell>
          <cell r="N4718" t="str">
            <v>B</v>
          </cell>
        </row>
        <row r="4719">
          <cell r="B4719" t="str">
            <v>3104 / SFWZ-52|</v>
          </cell>
          <cell r="J4719" t="str">
            <v>B</v>
          </cell>
          <cell r="N4719" t="str">
            <v>B</v>
          </cell>
        </row>
        <row r="4720">
          <cell r="B4720" t="str">
            <v>3104 / SFWZ-52|</v>
          </cell>
          <cell r="J4720" t="str">
            <v>B</v>
          </cell>
          <cell r="N4720" t="str">
            <v>B</v>
          </cell>
        </row>
        <row r="4721">
          <cell r="B4721" t="str">
            <v>3104 / SFWZ-52|</v>
          </cell>
          <cell r="J4721" t="str">
            <v>B</v>
          </cell>
          <cell r="N4721" t="str">
            <v>B</v>
          </cell>
        </row>
        <row r="4722">
          <cell r="B4722" t="str">
            <v>3105 / SFWZ-54|</v>
          </cell>
          <cell r="J4722" t="str">
            <v>B</v>
          </cell>
          <cell r="N4722" t="str">
            <v>B</v>
          </cell>
        </row>
        <row r="4723">
          <cell r="B4723" t="str">
            <v>3105 / SFWZ-54|</v>
          </cell>
          <cell r="J4723" t="str">
            <v>B</v>
          </cell>
          <cell r="N4723" t="str">
            <v>B</v>
          </cell>
        </row>
        <row r="4724">
          <cell r="B4724" t="str">
            <v>3105 / SFWZ-54|</v>
          </cell>
          <cell r="J4724" t="str">
            <v>B</v>
          </cell>
          <cell r="N4724" t="str">
            <v>B</v>
          </cell>
        </row>
        <row r="4725">
          <cell r="B4725" t="str">
            <v>3105 / SFWZ-54|</v>
          </cell>
          <cell r="J4725" t="str">
            <v>B</v>
          </cell>
          <cell r="N4725" t="str">
            <v>B</v>
          </cell>
        </row>
        <row r="4726">
          <cell r="B4726" t="str">
            <v>3105 / SFWZ-54|</v>
          </cell>
          <cell r="J4726" t="str">
            <v>B</v>
          </cell>
          <cell r="N4726" t="str">
            <v>B</v>
          </cell>
        </row>
        <row r="4727">
          <cell r="B4727" t="str">
            <v>3105 / SFWZ-54|</v>
          </cell>
          <cell r="J4727" t="str">
            <v>B</v>
          </cell>
          <cell r="N4727" t="str">
            <v>B</v>
          </cell>
        </row>
        <row r="4728">
          <cell r="B4728" t="str">
            <v>3105 / SFWZ-54|</v>
          </cell>
          <cell r="J4728" t="str">
            <v>B</v>
          </cell>
          <cell r="N4728" t="str">
            <v>B</v>
          </cell>
        </row>
        <row r="4729">
          <cell r="B4729" t="str">
            <v>3105 / SFWZ-54|</v>
          </cell>
          <cell r="J4729" t="str">
            <v>B</v>
          </cell>
          <cell r="N4729" t="str">
            <v>B</v>
          </cell>
        </row>
        <row r="4730">
          <cell r="B4730" t="str">
            <v>3105 / SFWZ-54|</v>
          </cell>
          <cell r="J4730" t="str">
            <v>B</v>
          </cell>
          <cell r="N4730" t="str">
            <v>B</v>
          </cell>
        </row>
        <row r="4731">
          <cell r="B4731" t="str">
            <v>3105 / SFWZ-54|</v>
          </cell>
          <cell r="J4731" t="str">
            <v>B</v>
          </cell>
          <cell r="N4731" t="str">
            <v>B</v>
          </cell>
        </row>
        <row r="4732">
          <cell r="B4732" t="str">
            <v>3106 / SFWZ-68|</v>
          </cell>
          <cell r="J4732" t="str">
            <v>B</v>
          </cell>
          <cell r="N4732" t="str">
            <v>B</v>
          </cell>
        </row>
        <row r="4733">
          <cell r="B4733" t="str">
            <v>3106 / SFWZ-68|</v>
          </cell>
          <cell r="J4733" t="str">
            <v>B</v>
          </cell>
          <cell r="N4733" t="str">
            <v>B</v>
          </cell>
        </row>
        <row r="4734">
          <cell r="B4734" t="str">
            <v>3106 / SFWZ-68|</v>
          </cell>
          <cell r="J4734" t="str">
            <v>B</v>
          </cell>
          <cell r="N4734" t="str">
            <v>B</v>
          </cell>
        </row>
        <row r="4735">
          <cell r="B4735" t="str">
            <v>3106 / SFWZ-68|</v>
          </cell>
          <cell r="J4735" t="str">
            <v>B</v>
          </cell>
          <cell r="N4735" t="str">
            <v>B</v>
          </cell>
        </row>
        <row r="4736">
          <cell r="B4736" t="str">
            <v>3106 / SFWZ-68|</v>
          </cell>
          <cell r="J4736" t="str">
            <v>B</v>
          </cell>
          <cell r="N4736" t="str">
            <v>B</v>
          </cell>
        </row>
        <row r="4737">
          <cell r="B4737" t="str">
            <v>3106 / SFWZ-68|</v>
          </cell>
          <cell r="J4737" t="str">
            <v>B</v>
          </cell>
          <cell r="N4737" t="str">
            <v>B</v>
          </cell>
        </row>
        <row r="4738">
          <cell r="B4738" t="str">
            <v>3106 / SFWZ-68|</v>
          </cell>
          <cell r="J4738" t="str">
            <v>B</v>
          </cell>
          <cell r="N4738" t="str">
            <v>B</v>
          </cell>
        </row>
        <row r="4739">
          <cell r="B4739" t="str">
            <v>3107 / SFWZ-85|</v>
          </cell>
          <cell r="J4739" t="str">
            <v>B</v>
          </cell>
          <cell r="N4739" t="str">
            <v>B</v>
          </cell>
        </row>
        <row r="4740">
          <cell r="B4740" t="str">
            <v>3107 / SFWZ-85|</v>
          </cell>
          <cell r="J4740" t="str">
            <v>B</v>
          </cell>
          <cell r="N4740" t="str">
            <v>B</v>
          </cell>
        </row>
        <row r="4741">
          <cell r="B4741" t="str">
            <v>3107 / SFWZ-85|</v>
          </cell>
          <cell r="J4741" t="str">
            <v>B</v>
          </cell>
          <cell r="N4741" t="str">
            <v>B</v>
          </cell>
        </row>
        <row r="4742">
          <cell r="B4742" t="str">
            <v>3107 / SFWZ-85|</v>
          </cell>
          <cell r="J4742" t="str">
            <v>B</v>
          </cell>
          <cell r="N4742" t="str">
            <v>B</v>
          </cell>
        </row>
        <row r="4743">
          <cell r="B4743" t="str">
            <v>3107 / SFWZ-85|</v>
          </cell>
          <cell r="J4743" t="str">
            <v>B</v>
          </cell>
          <cell r="N4743" t="str">
            <v>B</v>
          </cell>
        </row>
        <row r="4744">
          <cell r="B4744" t="str">
            <v>3107 / SFWZ-85|</v>
          </cell>
          <cell r="J4744" t="str">
            <v>B</v>
          </cell>
          <cell r="N4744" t="str">
            <v>B</v>
          </cell>
        </row>
        <row r="4745">
          <cell r="B4745" t="str">
            <v>3107 / SFWZ-85|</v>
          </cell>
          <cell r="J4745" t="str">
            <v>B</v>
          </cell>
          <cell r="N4745" t="str">
            <v>B</v>
          </cell>
        </row>
        <row r="4746">
          <cell r="B4746" t="str">
            <v>3107 / SFWZ-85|</v>
          </cell>
          <cell r="J4746" t="str">
            <v>B</v>
          </cell>
          <cell r="N4746" t="str">
            <v>B</v>
          </cell>
        </row>
        <row r="4747">
          <cell r="B4747" t="str">
            <v>7739 / GCBC-26|</v>
          </cell>
          <cell r="J4747" t="str">
            <v>BPAL</v>
          </cell>
          <cell r="N4747" t="str">
            <v>BPAL</v>
          </cell>
        </row>
        <row r="4748">
          <cell r="B4748" t="str">
            <v>7747 / GCBC-34|</v>
          </cell>
          <cell r="J4748" t="str">
            <v>BPAL</v>
          </cell>
          <cell r="N4748" t="str">
            <v>BPAL</v>
          </cell>
        </row>
        <row r="4749">
          <cell r="B4749" t="str">
            <v>7747 / GCBC-34|</v>
          </cell>
          <cell r="J4749" t="str">
            <v>BPAL</v>
          </cell>
          <cell r="N4749" t="str">
            <v>BPAL</v>
          </cell>
        </row>
        <row r="4750">
          <cell r="B4750" t="str">
            <v>9925 / SXKV-97|</v>
          </cell>
          <cell r="J4750" t="str">
            <v>C</v>
          </cell>
          <cell r="N4750" t="str">
            <v>C</v>
          </cell>
        </row>
        <row r="4751">
          <cell r="B4751" t="str">
            <v>9925 / SXKV-97|</v>
          </cell>
          <cell r="J4751" t="str">
            <v>C</v>
          </cell>
          <cell r="N4751" t="str">
            <v>C</v>
          </cell>
        </row>
        <row r="4752">
          <cell r="B4752" t="str">
            <v>9925 / SXKV-97|</v>
          </cell>
          <cell r="J4752" t="str">
            <v>C</v>
          </cell>
          <cell r="N4752" t="str">
            <v>C</v>
          </cell>
        </row>
        <row r="4753">
          <cell r="B4753" t="str">
            <v>9925 / SXKV-97|</v>
          </cell>
          <cell r="J4753" t="str">
            <v>C</v>
          </cell>
          <cell r="N4753" t="str">
            <v>C</v>
          </cell>
        </row>
        <row r="4754">
          <cell r="B4754" t="str">
            <v>9925 / SXKV-97|</v>
          </cell>
          <cell r="J4754" t="str">
            <v>C</v>
          </cell>
          <cell r="N4754" t="str">
            <v>C</v>
          </cell>
        </row>
        <row r="4755">
          <cell r="B4755" t="str">
            <v>9925 / SXKV-97|</v>
          </cell>
          <cell r="J4755" t="str">
            <v>C</v>
          </cell>
          <cell r="N4755" t="str">
            <v>C</v>
          </cell>
        </row>
        <row r="4756">
          <cell r="B4756" t="str">
            <v>9925 / SXKV-97|</v>
          </cell>
          <cell r="J4756" t="str">
            <v>C</v>
          </cell>
          <cell r="N4756" t="str">
            <v>C</v>
          </cell>
        </row>
        <row r="4757">
          <cell r="B4757" t="str">
            <v>9925 / SXKV-97|</v>
          </cell>
          <cell r="J4757" t="str">
            <v>C</v>
          </cell>
          <cell r="N4757" t="str">
            <v>C</v>
          </cell>
        </row>
        <row r="4758">
          <cell r="B4758" t="str">
            <v>9925 / SXKV-97|</v>
          </cell>
          <cell r="J4758" t="str">
            <v>C</v>
          </cell>
          <cell r="N4758" t="str">
            <v>C</v>
          </cell>
        </row>
        <row r="4759">
          <cell r="B4759" t="str">
            <v>9929 / SXKV-98|</v>
          </cell>
          <cell r="J4759" t="str">
            <v>C</v>
          </cell>
          <cell r="N4759" t="str">
            <v>C</v>
          </cell>
        </row>
        <row r="4760">
          <cell r="B4760" t="str">
            <v>9929 / SXKV-98|</v>
          </cell>
          <cell r="J4760" t="str">
            <v>C</v>
          </cell>
          <cell r="N4760" t="str">
            <v>C</v>
          </cell>
        </row>
        <row r="4761">
          <cell r="B4761" t="str">
            <v>9929 / SXKV-98|</v>
          </cell>
          <cell r="J4761" t="str">
            <v>C</v>
          </cell>
          <cell r="N4761" t="str">
            <v>C</v>
          </cell>
        </row>
        <row r="4762">
          <cell r="B4762" t="str">
            <v>9930 / SXKV-99|</v>
          </cell>
          <cell r="J4762" t="str">
            <v>C</v>
          </cell>
          <cell r="N4762" t="str">
            <v>C</v>
          </cell>
        </row>
        <row r="4763">
          <cell r="B4763" t="str">
            <v>9930 / SXKV-99|</v>
          </cell>
          <cell r="J4763" t="str">
            <v>C</v>
          </cell>
          <cell r="N4763" t="str">
            <v>C</v>
          </cell>
        </row>
        <row r="4764">
          <cell r="B4764" t="str">
            <v>9930 / SXKV-99|</v>
          </cell>
          <cell r="J4764" t="str">
            <v>C</v>
          </cell>
          <cell r="N4764" t="str">
            <v>C</v>
          </cell>
        </row>
        <row r="4765">
          <cell r="B4765" t="str">
            <v>9930 / SXKV-99|</v>
          </cell>
          <cell r="J4765" t="str">
            <v>C</v>
          </cell>
          <cell r="N4765" t="str">
            <v>C</v>
          </cell>
        </row>
        <row r="4766">
          <cell r="B4766" t="str">
            <v>9951 / TBZB-24|</v>
          </cell>
          <cell r="J4766" t="str">
            <v>C</v>
          </cell>
          <cell r="N4766" t="str">
            <v>C</v>
          </cell>
        </row>
        <row r="4767">
          <cell r="B4767" t="str">
            <v>9951 / TBZB-24|</v>
          </cell>
          <cell r="J4767" t="str">
            <v>C</v>
          </cell>
          <cell r="N4767" t="str">
            <v>C</v>
          </cell>
        </row>
        <row r="4768">
          <cell r="B4768" t="str">
            <v>9951 / TBZB-24|</v>
          </cell>
          <cell r="J4768" t="str">
            <v>C</v>
          </cell>
          <cell r="N4768" t="str">
            <v>C</v>
          </cell>
        </row>
        <row r="4769">
          <cell r="B4769" t="str">
            <v>9951 / TBZB-24|</v>
          </cell>
          <cell r="J4769" t="str">
            <v>C</v>
          </cell>
          <cell r="N4769" t="str">
            <v>C</v>
          </cell>
        </row>
        <row r="4770">
          <cell r="B4770" t="str">
            <v>9951 / TBZB-24|</v>
          </cell>
          <cell r="J4770" t="str">
            <v>C</v>
          </cell>
          <cell r="N4770" t="str">
            <v>C</v>
          </cell>
        </row>
        <row r="4771">
          <cell r="B4771" t="str">
            <v>9951 / TBZB-24|</v>
          </cell>
          <cell r="J4771" t="str">
            <v>C</v>
          </cell>
          <cell r="N4771" t="str">
            <v>C</v>
          </cell>
        </row>
        <row r="4772">
          <cell r="B4772" t="str">
            <v>9951 / TBZB-24|</v>
          </cell>
          <cell r="J4772" t="str">
            <v>C</v>
          </cell>
          <cell r="N4772" t="str">
            <v>C</v>
          </cell>
        </row>
        <row r="4773">
          <cell r="B4773" t="str">
            <v>9951 / TBZB-24|</v>
          </cell>
          <cell r="J4773" t="str">
            <v>C</v>
          </cell>
          <cell r="N4773" t="str">
            <v>C</v>
          </cell>
        </row>
        <row r="4774">
          <cell r="B4774" t="str">
            <v>LZPS-20|</v>
          </cell>
          <cell r="J4774" t="str">
            <v>C</v>
          </cell>
          <cell r="N4774" t="str">
            <v>C</v>
          </cell>
        </row>
        <row r="4775">
          <cell r="B4775" t="str">
            <v>LZPG-25|</v>
          </cell>
          <cell r="J4775" t="str">
            <v>C</v>
          </cell>
          <cell r="N4775" t="str">
            <v>C</v>
          </cell>
        </row>
        <row r="4776">
          <cell r="B4776" t="str">
            <v>VJZB-57|</v>
          </cell>
          <cell r="J4776" t="str">
            <v>B</v>
          </cell>
          <cell r="N4776" t="str">
            <v>B</v>
          </cell>
        </row>
        <row r="4777">
          <cell r="B4777" t="str">
            <v>VJKV-14|</v>
          </cell>
          <cell r="J4777" t="str">
            <v>B</v>
          </cell>
          <cell r="N4777" t="str">
            <v>B</v>
          </cell>
        </row>
        <row r="4778">
          <cell r="B4778" t="str">
            <v>LZPT-69|</v>
          </cell>
          <cell r="J4778" t="str">
            <v>C</v>
          </cell>
          <cell r="N4778" t="str">
            <v>C</v>
          </cell>
        </row>
        <row r="4779">
          <cell r="B4779" t="str">
            <v>LZPR-79|</v>
          </cell>
          <cell r="J4779" t="str">
            <v>C</v>
          </cell>
          <cell r="N4779" t="str">
            <v>C</v>
          </cell>
        </row>
        <row r="4780">
          <cell r="B4780" t="str">
            <v>3028 / SFWB-75|</v>
          </cell>
          <cell r="J4780" t="str">
            <v>B</v>
          </cell>
          <cell r="N4780" t="str">
            <v>B</v>
          </cell>
        </row>
        <row r="4781">
          <cell r="B4781" t="str">
            <v>LZPS-14|</v>
          </cell>
          <cell r="J4781" t="str">
            <v>C</v>
          </cell>
          <cell r="N4781" t="str">
            <v>C</v>
          </cell>
        </row>
        <row r="4782">
          <cell r="B4782" t="str">
            <v>VJKV-88|</v>
          </cell>
          <cell r="J4782" t="str">
            <v>B</v>
          </cell>
          <cell r="N4782" t="str">
            <v>B</v>
          </cell>
        </row>
        <row r="4783">
          <cell r="B4783" t="str">
            <v>LZPT-66|</v>
          </cell>
          <cell r="J4783" t="str">
            <v>C</v>
          </cell>
          <cell r="N4783" t="str">
            <v>C</v>
          </cell>
        </row>
        <row r="4784">
          <cell r="B4784" t="str">
            <v>LZPR-83|</v>
          </cell>
          <cell r="J4784" t="str">
            <v>C</v>
          </cell>
          <cell r="N4784" t="str">
            <v>C</v>
          </cell>
        </row>
        <row r="4785">
          <cell r="B4785" t="str">
            <v>LXWT-87|</v>
          </cell>
          <cell r="J4785" t="str">
            <v>C</v>
          </cell>
          <cell r="N4785" t="str">
            <v>C</v>
          </cell>
        </row>
        <row r="4786">
          <cell r="B4786" t="str">
            <v>LZPT-48|</v>
          </cell>
          <cell r="J4786" t="str">
            <v>C</v>
          </cell>
          <cell r="N4786" t="str">
            <v>C</v>
          </cell>
        </row>
        <row r="4787">
          <cell r="B4787" t="str">
            <v>LZPR-79|</v>
          </cell>
          <cell r="J4787" t="str">
            <v>C</v>
          </cell>
          <cell r="N4787" t="str">
            <v>C</v>
          </cell>
        </row>
        <row r="4788">
          <cell r="B4788" t="str">
            <v>LZPT-56|</v>
          </cell>
          <cell r="J4788" t="str">
            <v>C</v>
          </cell>
          <cell r="N4788" t="str">
            <v>C</v>
          </cell>
        </row>
        <row r="4789">
          <cell r="B4789" t="str">
            <v>LZPG-20|</v>
          </cell>
          <cell r="J4789" t="str">
            <v>C</v>
          </cell>
          <cell r="N4789" t="str">
            <v>C</v>
          </cell>
        </row>
        <row r="4790">
          <cell r="B4790" t="str">
            <v>LXWT-92|</v>
          </cell>
          <cell r="J4790" t="str">
            <v>C</v>
          </cell>
          <cell r="N4790" t="str">
            <v>C</v>
          </cell>
        </row>
        <row r="4791">
          <cell r="B4791" t="str">
            <v>LZPT-74|</v>
          </cell>
          <cell r="J4791" t="str">
            <v>C</v>
          </cell>
          <cell r="N4791" t="str">
            <v>C</v>
          </cell>
        </row>
        <row r="4792">
          <cell r="B4792" t="str">
            <v>LZRB-82|</v>
          </cell>
          <cell r="J4792" t="str">
            <v>C</v>
          </cell>
          <cell r="N4792" t="str">
            <v>C</v>
          </cell>
        </row>
        <row r="4793">
          <cell r="B4793" t="str">
            <v>LZPW-15</v>
          </cell>
          <cell r="J4793" t="str">
            <v>C</v>
          </cell>
          <cell r="N4793" t="str">
            <v>C</v>
          </cell>
        </row>
        <row r="4794">
          <cell r="B4794" t="str">
            <v>LZPS-20</v>
          </cell>
          <cell r="J4794" t="str">
            <v>C</v>
          </cell>
          <cell r="N4794" t="str">
            <v>C</v>
          </cell>
        </row>
        <row r="4795">
          <cell r="B4795" t="str">
            <v>LZPT-43</v>
          </cell>
          <cell r="J4795" t="str">
            <v>C</v>
          </cell>
          <cell r="N4795" t="str">
            <v>C</v>
          </cell>
        </row>
        <row r="4796">
          <cell r="B4796" t="str">
            <v>SFWZ-18</v>
          </cell>
          <cell r="J4796" t="str">
            <v>B</v>
          </cell>
          <cell r="N4796" t="str">
            <v>B</v>
          </cell>
        </row>
        <row r="4797">
          <cell r="B4797" t="str">
            <v>LZPW-22</v>
          </cell>
          <cell r="J4797" t="str">
            <v>C</v>
          </cell>
          <cell r="N4797" t="str">
            <v>C</v>
          </cell>
        </row>
        <row r="4798">
          <cell r="B4798" t="str">
            <v>LZPG-20</v>
          </cell>
          <cell r="J4798" t="str">
            <v>C</v>
          </cell>
          <cell r="N4798" t="str">
            <v>C</v>
          </cell>
        </row>
        <row r="4799">
          <cell r="B4799" t="str">
            <v>GCBF-53</v>
          </cell>
          <cell r="J4799" t="str">
            <v>C</v>
          </cell>
          <cell r="N4799" t="str">
            <v>C</v>
          </cell>
        </row>
        <row r="4800">
          <cell r="B4800" t="str">
            <v>LZPT-70</v>
          </cell>
          <cell r="J4800" t="str">
            <v>C</v>
          </cell>
          <cell r="N4800" t="str">
            <v>C</v>
          </cell>
        </row>
        <row r="4801">
          <cell r="B4801" t="str">
            <v>LZPT-43|</v>
          </cell>
          <cell r="J4801" t="str">
            <v>C</v>
          </cell>
          <cell r="N4801" t="str">
            <v>C</v>
          </cell>
        </row>
        <row r="4802">
          <cell r="B4802" t="str">
            <v>LZPT-64|</v>
          </cell>
          <cell r="J4802" t="str">
            <v>C</v>
          </cell>
          <cell r="N4802" t="str">
            <v>C</v>
          </cell>
        </row>
        <row r="4803">
          <cell r="B4803" t="str">
            <v>LZPT-66|</v>
          </cell>
          <cell r="J4803" t="str">
            <v>C</v>
          </cell>
          <cell r="N4803" t="str">
            <v>C</v>
          </cell>
        </row>
        <row r="4804">
          <cell r="B4804" t="str">
            <v>LZPT-61|</v>
          </cell>
          <cell r="J4804" t="str">
            <v>C</v>
          </cell>
          <cell r="N4804" t="str">
            <v>C</v>
          </cell>
        </row>
        <row r="4805">
          <cell r="B4805" t="str">
            <v>LZPS-20|</v>
          </cell>
          <cell r="J4805" t="str">
            <v>C</v>
          </cell>
          <cell r="N4805" t="str">
            <v>C</v>
          </cell>
        </row>
        <row r="4806">
          <cell r="B4806" t="str">
            <v>LZPG-25|</v>
          </cell>
          <cell r="J4806" t="str">
            <v>C</v>
          </cell>
          <cell r="N4806" t="str">
            <v>C</v>
          </cell>
        </row>
        <row r="4807">
          <cell r="B4807" t="str">
            <v>LZPT-54|</v>
          </cell>
          <cell r="J4807" t="str">
            <v>C</v>
          </cell>
          <cell r="N4807" t="str">
            <v>C</v>
          </cell>
        </row>
        <row r="4808">
          <cell r="B4808" t="str">
            <v>VJZB-57</v>
          </cell>
          <cell r="J4808" t="str">
            <v>B</v>
          </cell>
          <cell r="N4808" t="str">
            <v>B</v>
          </cell>
        </row>
        <row r="4809">
          <cell r="B4809" t="str">
            <v>VJKV-14</v>
          </cell>
          <cell r="J4809" t="str">
            <v>B</v>
          </cell>
          <cell r="N4809" t="str">
            <v>B</v>
          </cell>
        </row>
        <row r="4810">
          <cell r="B4810" t="str">
            <v>LZPT-69|</v>
          </cell>
          <cell r="J4810" t="str">
            <v>C</v>
          </cell>
          <cell r="N4810" t="str">
            <v>C</v>
          </cell>
        </row>
        <row r="4811">
          <cell r="B4811" t="str">
            <v>LZPR-79|</v>
          </cell>
          <cell r="J4811" t="str">
            <v>C</v>
          </cell>
          <cell r="N4811" t="str">
            <v>C</v>
          </cell>
        </row>
        <row r="4812">
          <cell r="B4812" t="str">
            <v>VJKV-88|</v>
          </cell>
          <cell r="J4812" t="str">
            <v>B</v>
          </cell>
          <cell r="N4812" t="str">
            <v>B</v>
          </cell>
        </row>
        <row r="4813">
          <cell r="B4813" t="str">
            <v>3028 / SFWB-75|</v>
          </cell>
          <cell r="J4813" t="str">
            <v>B</v>
          </cell>
          <cell r="N4813" t="str">
            <v>B</v>
          </cell>
        </row>
        <row r="4814">
          <cell r="B4814" t="str">
            <v>LZPS-14|</v>
          </cell>
          <cell r="J4814" t="str">
            <v>C</v>
          </cell>
          <cell r="N4814" t="str">
            <v>C</v>
          </cell>
        </row>
        <row r="4815">
          <cell r="B4815" t="str">
            <v>LZPT-66|</v>
          </cell>
          <cell r="J4815" t="str">
            <v>C</v>
          </cell>
          <cell r="N4815" t="str">
            <v>C</v>
          </cell>
        </row>
        <row r="4816">
          <cell r="B4816" t="str">
            <v>LZPR-83|</v>
          </cell>
          <cell r="J4816" t="str">
            <v>C</v>
          </cell>
          <cell r="N4816" t="str">
            <v>C</v>
          </cell>
        </row>
        <row r="4817">
          <cell r="B4817" t="str">
            <v>LXWT-83|</v>
          </cell>
          <cell r="J4817" t="str">
            <v>C</v>
          </cell>
          <cell r="N4817" t="str">
            <v>C</v>
          </cell>
        </row>
        <row r="4818">
          <cell r="B4818" t="str">
            <v>VJYJ-15|</v>
          </cell>
          <cell r="J4818" t="str">
            <v>B</v>
          </cell>
          <cell r="N4818" t="str">
            <v>B</v>
          </cell>
        </row>
        <row r="4819">
          <cell r="B4819" t="str">
            <v>LXWT-87|</v>
          </cell>
          <cell r="J4819" t="str">
            <v>C</v>
          </cell>
          <cell r="N4819" t="str">
            <v>C</v>
          </cell>
        </row>
        <row r="4820">
          <cell r="B4820" t="str">
            <v>LZPT-48</v>
          </cell>
          <cell r="J4820" t="str">
            <v>C</v>
          </cell>
          <cell r="N4820" t="str">
            <v>C</v>
          </cell>
        </row>
        <row r="4821">
          <cell r="B4821" t="str">
            <v>LZPR-86</v>
          </cell>
          <cell r="J4821" t="str">
            <v>C</v>
          </cell>
          <cell r="N4821" t="str">
            <v>C</v>
          </cell>
        </row>
        <row r="4822">
          <cell r="B4822" t="str">
            <v>LZPG-17</v>
          </cell>
          <cell r="J4822" t="str">
            <v>C</v>
          </cell>
          <cell r="N4822" t="str">
            <v>C</v>
          </cell>
        </row>
        <row r="4823">
          <cell r="B4823" t="str">
            <v>VJXC-75|</v>
          </cell>
          <cell r="J4823" t="str">
            <v>B</v>
          </cell>
          <cell r="N4823" t="str">
            <v>B</v>
          </cell>
        </row>
        <row r="4824">
          <cell r="B4824" t="str">
            <v>LZPR-80|</v>
          </cell>
          <cell r="J4824" t="str">
            <v>C</v>
          </cell>
          <cell r="N4824" t="str">
            <v>C</v>
          </cell>
        </row>
        <row r="4825">
          <cell r="B4825" t="str">
            <v>LZPG-22|</v>
          </cell>
          <cell r="J4825" t="str">
            <v>C</v>
          </cell>
          <cell r="N4825" t="str">
            <v>C</v>
          </cell>
        </row>
        <row r="4826">
          <cell r="B4826" t="str">
            <v>LZPT-73|</v>
          </cell>
          <cell r="J4826" t="str">
            <v>C</v>
          </cell>
          <cell r="N4826" t="str">
            <v>C</v>
          </cell>
        </row>
        <row r="4827">
          <cell r="B4827" t="str">
            <v>LZPW-14|</v>
          </cell>
          <cell r="J4827" t="str">
            <v>C</v>
          </cell>
          <cell r="N4827" t="str">
            <v>C</v>
          </cell>
        </row>
        <row r="4828">
          <cell r="B4828" t="str">
            <v>LZPS-19|</v>
          </cell>
          <cell r="J4828" t="str">
            <v>C</v>
          </cell>
          <cell r="N4828" t="str">
            <v>C</v>
          </cell>
        </row>
        <row r="4829">
          <cell r="B4829" t="str">
            <v>GCBF-52|</v>
          </cell>
          <cell r="J4829" t="str">
            <v>C</v>
          </cell>
          <cell r="N4829" t="str">
            <v>C</v>
          </cell>
        </row>
        <row r="4830">
          <cell r="B4830" t="str">
            <v>LZPW-18|</v>
          </cell>
          <cell r="J4830" t="str">
            <v>C</v>
          </cell>
          <cell r="N4830" t="str">
            <v>C</v>
          </cell>
        </row>
        <row r="4831">
          <cell r="B4831" t="str">
            <v>LZPT-52|</v>
          </cell>
          <cell r="J4831" t="str">
            <v>C</v>
          </cell>
          <cell r="N4831" t="str">
            <v>C</v>
          </cell>
        </row>
        <row r="4832">
          <cell r="B4832" t="str">
            <v>LXWT-87|</v>
          </cell>
          <cell r="J4832" t="str">
            <v>C</v>
          </cell>
          <cell r="N4832" t="str">
            <v>C</v>
          </cell>
        </row>
        <row r="4833">
          <cell r="B4833" t="str">
            <v>LZPR-96|</v>
          </cell>
          <cell r="J4833" t="str">
            <v>C</v>
          </cell>
          <cell r="N4833" t="str">
            <v>C</v>
          </cell>
        </row>
        <row r="4834">
          <cell r="B4834" t="str">
            <v>LZPT-44|</v>
          </cell>
          <cell r="J4834" t="str">
            <v>C</v>
          </cell>
          <cell r="N4834" t="str">
            <v>C</v>
          </cell>
        </row>
        <row r="4835">
          <cell r="B4835" t="str">
            <v>LXWT-93|</v>
          </cell>
          <cell r="J4835" t="str">
            <v>C</v>
          </cell>
          <cell r="N4835" t="str">
            <v>C</v>
          </cell>
        </row>
        <row r="4836">
          <cell r="B4836" t="str">
            <v>LZPG-22|</v>
          </cell>
          <cell r="J4836" t="str">
            <v>C</v>
          </cell>
          <cell r="N4836" t="str">
            <v>C</v>
          </cell>
        </row>
        <row r="4837">
          <cell r="B4837" t="str">
            <v>LZPR-80|</v>
          </cell>
          <cell r="J4837" t="str">
            <v>C</v>
          </cell>
          <cell r="N4837" t="str">
            <v>C</v>
          </cell>
        </row>
        <row r="4838">
          <cell r="B4838" t="str">
            <v>LZPW-14|</v>
          </cell>
          <cell r="J4838" t="str">
            <v>C</v>
          </cell>
          <cell r="N4838" t="str">
            <v>C</v>
          </cell>
        </row>
        <row r="4839">
          <cell r="B4839" t="str">
            <v>LZPT-73|</v>
          </cell>
          <cell r="J4839" t="str">
            <v>C</v>
          </cell>
          <cell r="N4839" t="str">
            <v>C</v>
          </cell>
        </row>
        <row r="4840">
          <cell r="B4840" t="str">
            <v>LZPT-42|</v>
          </cell>
          <cell r="J4840" t="str">
            <v>C</v>
          </cell>
          <cell r="N4840" t="str">
            <v>C</v>
          </cell>
        </row>
        <row r="4841">
          <cell r="B4841" t="str">
            <v>LZPT-75|</v>
          </cell>
          <cell r="J4841" t="str">
            <v>C</v>
          </cell>
          <cell r="N4841" t="str">
            <v>C</v>
          </cell>
        </row>
        <row r="4842">
          <cell r="B4842" t="str">
            <v>GCBF-52|</v>
          </cell>
          <cell r="J4842" t="str">
            <v>C</v>
          </cell>
          <cell r="N4842" t="str">
            <v>C</v>
          </cell>
        </row>
        <row r="4843">
          <cell r="B4843" t="str">
            <v>LZPS-19|</v>
          </cell>
          <cell r="J4843" t="str">
            <v>C</v>
          </cell>
          <cell r="N4843" t="str">
            <v>C</v>
          </cell>
        </row>
        <row r="4844">
          <cell r="B4844" t="str">
            <v>LZPT-52|</v>
          </cell>
          <cell r="J4844" t="str">
            <v>C</v>
          </cell>
          <cell r="N4844" t="str">
            <v>C</v>
          </cell>
        </row>
        <row r="4845">
          <cell r="B4845" t="str">
            <v>LZPS-18|</v>
          </cell>
          <cell r="J4845" t="str">
            <v>C</v>
          </cell>
          <cell r="N4845" t="str">
            <v>C</v>
          </cell>
        </row>
        <row r="4846">
          <cell r="B4846" t="str">
            <v>LXWT-87|</v>
          </cell>
          <cell r="J4846" t="str">
            <v>C</v>
          </cell>
          <cell r="N4846" t="str">
            <v>C</v>
          </cell>
        </row>
        <row r="4847">
          <cell r="B4847" t="str">
            <v>LZPR-96|</v>
          </cell>
          <cell r="J4847" t="str">
            <v>C</v>
          </cell>
          <cell r="N4847" t="str">
            <v>C</v>
          </cell>
        </row>
        <row r="4848">
          <cell r="B4848" t="str">
            <v>LZPS-24|</v>
          </cell>
          <cell r="J4848" t="str">
            <v>C</v>
          </cell>
          <cell r="N4848" t="str">
            <v>C</v>
          </cell>
        </row>
        <row r="4849">
          <cell r="B4849" t="str">
            <v>LXWT-93|</v>
          </cell>
          <cell r="J4849" t="str">
            <v>C</v>
          </cell>
          <cell r="N4849" t="str">
            <v>C</v>
          </cell>
        </row>
        <row r="4850">
          <cell r="B4850" t="str">
            <v>LZPT-44|</v>
          </cell>
          <cell r="J4850" t="str">
            <v>C</v>
          </cell>
          <cell r="N4850" t="str">
            <v>C</v>
          </cell>
        </row>
        <row r="4851">
          <cell r="B4851" t="str">
            <v>LZPR-80</v>
          </cell>
          <cell r="J4851" t="str">
            <v>C</v>
          </cell>
          <cell r="N4851" t="str">
            <v>C</v>
          </cell>
        </row>
        <row r="4852">
          <cell r="B4852" t="str">
            <v>LZPW-14</v>
          </cell>
          <cell r="J4852" t="str">
            <v>C</v>
          </cell>
          <cell r="N4852" t="str">
            <v>C</v>
          </cell>
        </row>
        <row r="4853">
          <cell r="B4853" t="str">
            <v>LZPG-22</v>
          </cell>
          <cell r="J4853" t="str">
            <v>C</v>
          </cell>
          <cell r="N4853" t="str">
            <v>C</v>
          </cell>
        </row>
        <row r="4854">
          <cell r="B4854" t="str">
            <v>LZPT-73</v>
          </cell>
          <cell r="J4854" t="str">
            <v>C</v>
          </cell>
          <cell r="N4854" t="str">
            <v>C</v>
          </cell>
        </row>
        <row r="4855">
          <cell r="B4855" t="str">
            <v>LZPT-42</v>
          </cell>
          <cell r="J4855" t="str">
            <v>C</v>
          </cell>
          <cell r="N4855" t="str">
            <v>C</v>
          </cell>
        </row>
        <row r="4856">
          <cell r="B4856" t="str">
            <v>LZPS-19</v>
          </cell>
          <cell r="J4856" t="str">
            <v>C</v>
          </cell>
          <cell r="N4856" t="str">
            <v>C</v>
          </cell>
        </row>
        <row r="4857">
          <cell r="B4857" t="str">
            <v>SFVZ-56</v>
          </cell>
          <cell r="J4857" t="str">
            <v>B</v>
          </cell>
          <cell r="N4857" t="str">
            <v>B</v>
          </cell>
        </row>
        <row r="4858">
          <cell r="B4858" t="str">
            <v>LZPS-19</v>
          </cell>
          <cell r="J4858" t="str">
            <v>C</v>
          </cell>
          <cell r="N4858" t="str">
            <v>C</v>
          </cell>
        </row>
        <row r="4859">
          <cell r="B4859" t="str">
            <v>SFWZ-75</v>
          </cell>
          <cell r="J4859" t="str">
            <v>B</v>
          </cell>
          <cell r="N4859" t="str">
            <v>B</v>
          </cell>
        </row>
        <row r="4860">
          <cell r="B4860" t="str">
            <v>LZPT-75</v>
          </cell>
          <cell r="J4860" t="str">
            <v>C</v>
          </cell>
          <cell r="N4860" t="str">
            <v>C</v>
          </cell>
        </row>
        <row r="4861">
          <cell r="B4861" t="str">
            <v>LZPR-96|</v>
          </cell>
          <cell r="J4861" t="str">
            <v>C</v>
          </cell>
          <cell r="N4861" t="str">
            <v>C</v>
          </cell>
        </row>
        <row r="4862">
          <cell r="B4862" t="str">
            <v>LZPT-52|</v>
          </cell>
          <cell r="J4862" t="str">
            <v>C</v>
          </cell>
          <cell r="N4862" t="str">
            <v>C</v>
          </cell>
        </row>
        <row r="4863">
          <cell r="B4863" t="str">
            <v>LXWT-87|</v>
          </cell>
          <cell r="J4863" t="str">
            <v>C</v>
          </cell>
          <cell r="N4863" t="str">
            <v>C</v>
          </cell>
        </row>
        <row r="4864">
          <cell r="B4864" t="str">
            <v>LXWT-93|</v>
          </cell>
          <cell r="J4864" t="str">
            <v>C</v>
          </cell>
          <cell r="N4864" t="str">
            <v>C</v>
          </cell>
        </row>
        <row r="4865">
          <cell r="B4865" t="str">
            <v>LZPT-44|</v>
          </cell>
          <cell r="J4865" t="str">
            <v>C</v>
          </cell>
          <cell r="N4865" t="str">
            <v>C</v>
          </cell>
        </row>
        <row r="4866">
          <cell r="B4866" t="str">
            <v>LZPT-73|</v>
          </cell>
          <cell r="J4866" t="str">
            <v>C</v>
          </cell>
          <cell r="N4866" t="str">
            <v>C</v>
          </cell>
        </row>
        <row r="4867">
          <cell r="B4867" t="str">
            <v>LZPW-14|</v>
          </cell>
          <cell r="J4867" t="str">
            <v>C</v>
          </cell>
          <cell r="N4867" t="str">
            <v>C</v>
          </cell>
        </row>
        <row r="4868">
          <cell r="B4868" t="str">
            <v>3042 / SFVZ-56|</v>
          </cell>
          <cell r="J4868" t="str">
            <v>B</v>
          </cell>
          <cell r="N4868" t="str">
            <v>B</v>
          </cell>
        </row>
        <row r="4869">
          <cell r="B4869" t="str">
            <v>LZPT-64|</v>
          </cell>
          <cell r="J4869" t="str">
            <v>C</v>
          </cell>
          <cell r="N4869" t="str">
            <v>C</v>
          </cell>
        </row>
        <row r="4870">
          <cell r="B4870" t="str">
            <v>LZPT-42|</v>
          </cell>
          <cell r="J4870" t="str">
            <v>C</v>
          </cell>
          <cell r="N4870" t="str">
            <v>C</v>
          </cell>
        </row>
        <row r="4871">
          <cell r="B4871" t="str">
            <v>SFWZ-75</v>
          </cell>
          <cell r="J4871" t="str">
            <v>B</v>
          </cell>
          <cell r="N4871" t="str">
            <v>B</v>
          </cell>
        </row>
        <row r="4872">
          <cell r="B4872" t="str">
            <v>SFWB-31</v>
          </cell>
          <cell r="J4872" t="str">
            <v>B</v>
          </cell>
          <cell r="N4872" t="str">
            <v>B</v>
          </cell>
        </row>
        <row r="4873">
          <cell r="B4873" t="str">
            <v>LZPT-52</v>
          </cell>
          <cell r="J4873" t="str">
            <v>C</v>
          </cell>
          <cell r="N4873" t="str">
            <v>C</v>
          </cell>
        </row>
        <row r="4874">
          <cell r="B4874" t="str">
            <v>LZPT-75</v>
          </cell>
          <cell r="J4874" t="str">
            <v>C</v>
          </cell>
          <cell r="N4874" t="str">
            <v>C</v>
          </cell>
        </row>
        <row r="4875">
          <cell r="B4875" t="str">
            <v>VJKT-63|</v>
          </cell>
          <cell r="J4875" t="str">
            <v>B</v>
          </cell>
          <cell r="N4875" t="str">
            <v>B</v>
          </cell>
        </row>
        <row r="4876">
          <cell r="B4876" t="str">
            <v>LXWT-87|</v>
          </cell>
          <cell r="J4876" t="str">
            <v>C</v>
          </cell>
          <cell r="N4876" t="str">
            <v>C</v>
          </cell>
        </row>
        <row r="4877">
          <cell r="B4877" t="str">
            <v>LZPS-24|</v>
          </cell>
          <cell r="J4877" t="str">
            <v>C</v>
          </cell>
          <cell r="N4877" t="str">
            <v>C</v>
          </cell>
        </row>
        <row r="4878">
          <cell r="B4878" t="str">
            <v>LZPR-78|</v>
          </cell>
          <cell r="J4878" t="str">
            <v>C</v>
          </cell>
          <cell r="N4878" t="str">
            <v>C</v>
          </cell>
        </row>
        <row r="4879">
          <cell r="B4879" t="str">
            <v>LZPT-44|</v>
          </cell>
          <cell r="J4879" t="str">
            <v>C</v>
          </cell>
          <cell r="N4879" t="str">
            <v>C</v>
          </cell>
        </row>
        <row r="4880">
          <cell r="B4880" t="str">
            <v>GCBF-47|</v>
          </cell>
          <cell r="J4880" t="str">
            <v>C</v>
          </cell>
          <cell r="N4880" t="str">
            <v>C</v>
          </cell>
        </row>
        <row r="4881">
          <cell r="B4881" t="str">
            <v>LZPW-14|</v>
          </cell>
          <cell r="J4881" t="str">
            <v>C</v>
          </cell>
          <cell r="N4881" t="str">
            <v>C</v>
          </cell>
        </row>
        <row r="4882">
          <cell r="B4882" t="str">
            <v>3053 / SFWB-21|</v>
          </cell>
          <cell r="J4882" t="str">
            <v>B</v>
          </cell>
          <cell r="N4882" t="str">
            <v>B</v>
          </cell>
        </row>
        <row r="4883">
          <cell r="B4883" t="str">
            <v>LXWT-93|</v>
          </cell>
          <cell r="J4883" t="str">
            <v>C</v>
          </cell>
          <cell r="N4883" t="str">
            <v>C</v>
          </cell>
        </row>
        <row r="4884">
          <cell r="B4884" t="str">
            <v>LZPT-73|</v>
          </cell>
          <cell r="J4884" t="str">
            <v>C</v>
          </cell>
          <cell r="N4884" t="str">
            <v>C</v>
          </cell>
        </row>
        <row r="4885">
          <cell r="B4885" t="str">
            <v>3042 / SFVZ-56|</v>
          </cell>
          <cell r="J4885" t="str">
            <v>B</v>
          </cell>
          <cell r="N4885" t="str">
            <v>B</v>
          </cell>
        </row>
        <row r="4886">
          <cell r="B4886" t="str">
            <v>LZPR-90|</v>
          </cell>
          <cell r="J4886" t="str">
            <v>C</v>
          </cell>
          <cell r="N4886" t="str">
            <v>C</v>
          </cell>
        </row>
        <row r="4887">
          <cell r="B4887" t="str">
            <v>LZPG-22|</v>
          </cell>
          <cell r="J4887" t="str">
            <v>C</v>
          </cell>
          <cell r="N4887" t="str">
            <v>C</v>
          </cell>
        </row>
        <row r="4888">
          <cell r="B4888" t="str">
            <v>LZPT-64|</v>
          </cell>
          <cell r="J4888" t="str">
            <v>C</v>
          </cell>
          <cell r="N4888" t="str">
            <v>C</v>
          </cell>
        </row>
        <row r="4889">
          <cell r="B4889" t="str">
            <v>LZPS-19|</v>
          </cell>
          <cell r="J4889" t="str">
            <v>C</v>
          </cell>
          <cell r="N4889" t="str">
            <v>C</v>
          </cell>
        </row>
        <row r="4890">
          <cell r="B4890" t="str">
            <v>LZPT-52|</v>
          </cell>
          <cell r="J4890" t="str">
            <v>C</v>
          </cell>
          <cell r="N4890" t="str">
            <v>C</v>
          </cell>
        </row>
        <row r="4891">
          <cell r="B4891" t="str">
            <v>3022 / SFWB-31|</v>
          </cell>
          <cell r="J4891" t="str">
            <v>B</v>
          </cell>
          <cell r="N4891" t="str">
            <v>B</v>
          </cell>
        </row>
        <row r="4892">
          <cell r="B4892" t="str">
            <v>LZPT-57|</v>
          </cell>
          <cell r="J4892" t="str">
            <v>C</v>
          </cell>
          <cell r="N4892" t="str">
            <v>C</v>
          </cell>
        </row>
        <row r="4893">
          <cell r="B4893" t="str">
            <v>LZPG-24|</v>
          </cell>
          <cell r="J4893" t="str">
            <v>C</v>
          </cell>
          <cell r="N4893" t="str">
            <v>C</v>
          </cell>
        </row>
        <row r="4894">
          <cell r="B4894" t="str">
            <v>VJKT-63|</v>
          </cell>
          <cell r="J4894" t="str">
            <v>B</v>
          </cell>
          <cell r="N4894" t="str">
            <v>B</v>
          </cell>
        </row>
        <row r="4895">
          <cell r="B4895" t="str">
            <v>LZPT-75|</v>
          </cell>
          <cell r="J4895" t="str">
            <v>C</v>
          </cell>
          <cell r="N4895" t="str">
            <v>C</v>
          </cell>
        </row>
        <row r="4896">
          <cell r="B4896" t="str">
            <v>LZPS-24|</v>
          </cell>
          <cell r="J4896" t="str">
            <v>C</v>
          </cell>
          <cell r="N4896" t="str">
            <v>C</v>
          </cell>
        </row>
        <row r="4897">
          <cell r="B4897" t="str">
            <v>LZPR-78|</v>
          </cell>
          <cell r="J4897" t="str">
            <v>C</v>
          </cell>
          <cell r="N4897" t="str">
            <v>C</v>
          </cell>
        </row>
        <row r="4898">
          <cell r="B4898" t="str">
            <v>3053 / SFWB-21|</v>
          </cell>
          <cell r="J4898" t="str">
            <v>B</v>
          </cell>
          <cell r="N4898" t="str">
            <v>B</v>
          </cell>
        </row>
        <row r="4899">
          <cell r="B4899" t="str">
            <v>LZPW-14|</v>
          </cell>
          <cell r="J4899" t="str">
            <v>C</v>
          </cell>
          <cell r="N4899" t="str">
            <v>C</v>
          </cell>
        </row>
        <row r="4900">
          <cell r="B4900" t="str">
            <v>LZPT-44|</v>
          </cell>
          <cell r="J4900" t="str">
            <v>C</v>
          </cell>
          <cell r="N4900" t="str">
            <v>C</v>
          </cell>
        </row>
        <row r="4901">
          <cell r="B4901" t="str">
            <v>LZPS-22|</v>
          </cell>
          <cell r="J4901" t="str">
            <v>C</v>
          </cell>
          <cell r="N4901" t="str">
            <v>C</v>
          </cell>
        </row>
        <row r="4902">
          <cell r="B4902" t="str">
            <v>LZPR-95</v>
          </cell>
          <cell r="J4902" t="str">
            <v>C</v>
          </cell>
          <cell r="N4902" t="str">
            <v>C</v>
          </cell>
        </row>
        <row r="4903">
          <cell r="B4903" t="str">
            <v>LZPS-11</v>
          </cell>
          <cell r="J4903" t="str">
            <v>C</v>
          </cell>
          <cell r="N4903" t="str">
            <v>C</v>
          </cell>
        </row>
        <row r="4904">
          <cell r="B4904" t="str">
            <v>SFVZ-85</v>
          </cell>
          <cell r="J4904" t="str">
            <v>B</v>
          </cell>
          <cell r="N4904" t="str">
            <v>B</v>
          </cell>
        </row>
        <row r="4905">
          <cell r="B4905" t="str">
            <v>GCBF-53</v>
          </cell>
          <cell r="J4905" t="str">
            <v>C</v>
          </cell>
          <cell r="N4905" t="str">
            <v>C</v>
          </cell>
        </row>
        <row r="4906">
          <cell r="B4906" t="str">
            <v>LZPS-19|</v>
          </cell>
          <cell r="J4906" t="str">
            <v>C</v>
          </cell>
          <cell r="N4906" t="str">
            <v>C</v>
          </cell>
        </row>
        <row r="4907">
          <cell r="B4907" t="str">
            <v>LZPR-90|</v>
          </cell>
          <cell r="J4907" t="str">
            <v>C</v>
          </cell>
          <cell r="N4907" t="str">
            <v>C</v>
          </cell>
        </row>
        <row r="4908">
          <cell r="B4908" t="str">
            <v>LZPG-24|</v>
          </cell>
          <cell r="J4908" t="str">
            <v>C</v>
          </cell>
          <cell r="N4908" t="str">
            <v>C</v>
          </cell>
        </row>
        <row r="4909">
          <cell r="B4909" t="str">
            <v>3068 / SFWB-84|</v>
          </cell>
          <cell r="J4909" t="str">
            <v>B</v>
          </cell>
          <cell r="N4909" t="str">
            <v>B</v>
          </cell>
        </row>
        <row r="4910">
          <cell r="B4910" t="str">
            <v>LZPR-78</v>
          </cell>
          <cell r="J4910" t="str">
            <v>C</v>
          </cell>
          <cell r="N4910" t="str">
            <v>C</v>
          </cell>
        </row>
        <row r="4911">
          <cell r="B4911" t="str">
            <v>LZPT-52</v>
          </cell>
          <cell r="J4911" t="str">
            <v>C</v>
          </cell>
          <cell r="N4911" t="str">
            <v>C</v>
          </cell>
        </row>
        <row r="4912">
          <cell r="B4912" t="str">
            <v>3051 / SFVZ-80|</v>
          </cell>
          <cell r="J4912" t="str">
            <v>B</v>
          </cell>
          <cell r="N4912" t="str">
            <v>B</v>
          </cell>
        </row>
        <row r="4913">
          <cell r="B4913" t="str">
            <v>LXWT-88|</v>
          </cell>
          <cell r="J4913" t="str">
            <v>C</v>
          </cell>
          <cell r="N4913" t="str">
            <v>C</v>
          </cell>
        </row>
        <row r="4914">
          <cell r="B4914" t="str">
            <v>3027 / SFVZ-85|</v>
          </cell>
          <cell r="J4914" t="str">
            <v>B</v>
          </cell>
          <cell r="N4914" t="str">
            <v>B</v>
          </cell>
        </row>
        <row r="4915">
          <cell r="B4915" t="str">
            <v>LZPS-11|</v>
          </cell>
          <cell r="J4915" t="str">
            <v>C</v>
          </cell>
          <cell r="N4915" t="str">
            <v>C</v>
          </cell>
        </row>
        <row r="4916">
          <cell r="B4916" t="str">
            <v>LZPW-14</v>
          </cell>
          <cell r="J4916" t="str">
            <v>C</v>
          </cell>
          <cell r="N4916" t="str">
            <v>C</v>
          </cell>
        </row>
        <row r="4917">
          <cell r="B4917" t="str">
            <v>LZPR-95</v>
          </cell>
          <cell r="J4917" t="str">
            <v>C</v>
          </cell>
          <cell r="N4917" t="str">
            <v>C</v>
          </cell>
        </row>
        <row r="4918">
          <cell r="B4918" t="str">
            <v>GCBF-45</v>
          </cell>
          <cell r="J4918" t="str">
            <v>C</v>
          </cell>
          <cell r="N4918" t="str">
            <v>C</v>
          </cell>
        </row>
        <row r="4919">
          <cell r="B4919" t="str">
            <v>GCBF53</v>
          </cell>
          <cell r="J4919" t="str">
            <v>C</v>
          </cell>
          <cell r="N4919" t="str">
            <v>C</v>
          </cell>
        </row>
        <row r="4920">
          <cell r="B4920" t="str">
            <v>LZPS-19</v>
          </cell>
          <cell r="J4920" t="str">
            <v>C</v>
          </cell>
          <cell r="N4920" t="str">
            <v>C</v>
          </cell>
        </row>
        <row r="4921">
          <cell r="B4921" t="str">
            <v>LZPR-98</v>
          </cell>
          <cell r="J4921" t="str">
            <v>C</v>
          </cell>
          <cell r="N4921" t="str">
            <v>C</v>
          </cell>
        </row>
        <row r="4922">
          <cell r="B4922" t="str">
            <v>LZPR-78|</v>
          </cell>
          <cell r="J4922" t="str">
            <v>C</v>
          </cell>
          <cell r="N4922" t="str">
            <v>C</v>
          </cell>
        </row>
        <row r="4923">
          <cell r="B4923" t="str">
            <v>LZPG-24|</v>
          </cell>
          <cell r="J4923" t="str">
            <v>C</v>
          </cell>
          <cell r="N4923" t="str">
            <v>C</v>
          </cell>
        </row>
        <row r="4924">
          <cell r="B4924" t="str">
            <v>SFWB-84</v>
          </cell>
          <cell r="J4924" t="str">
            <v>B</v>
          </cell>
          <cell r="N4924" t="str">
            <v>B</v>
          </cell>
        </row>
        <row r="4925">
          <cell r="B4925" t="str">
            <v>LZPT-52|</v>
          </cell>
          <cell r="J4925" t="str">
            <v>C</v>
          </cell>
          <cell r="N4925" t="str">
            <v>C</v>
          </cell>
        </row>
        <row r="4926">
          <cell r="B4926" t="str">
            <v>LZPW-21</v>
          </cell>
          <cell r="J4926" t="str">
            <v>C</v>
          </cell>
          <cell r="N4926" t="str">
            <v>C</v>
          </cell>
        </row>
        <row r="4927">
          <cell r="B4927" t="str">
            <v>SFVZ-80</v>
          </cell>
          <cell r="J4927" t="str">
            <v>B</v>
          </cell>
          <cell r="N4927" t="str">
            <v>B</v>
          </cell>
        </row>
        <row r="4928">
          <cell r="B4928" t="str">
            <v>LXWT-88|</v>
          </cell>
          <cell r="J4928" t="str">
            <v>C</v>
          </cell>
          <cell r="N4928" t="str">
            <v>C</v>
          </cell>
        </row>
        <row r="4929">
          <cell r="B4929" t="str">
            <v>LZPW-13</v>
          </cell>
          <cell r="J4929" t="str">
            <v>C</v>
          </cell>
          <cell r="N4929" t="str">
            <v>C</v>
          </cell>
        </row>
        <row r="4930">
          <cell r="B4930" t="str">
            <v>LZPW-14</v>
          </cell>
          <cell r="J4930" t="str">
            <v>C</v>
          </cell>
          <cell r="N4930" t="str">
            <v>C</v>
          </cell>
        </row>
        <row r="4931">
          <cell r="B4931" t="str">
            <v>GCBF-45|</v>
          </cell>
          <cell r="J4931" t="str">
            <v>C</v>
          </cell>
          <cell r="N4931" t="str">
            <v>C</v>
          </cell>
        </row>
        <row r="4932">
          <cell r="B4932" t="str">
            <v>LZPR-95|</v>
          </cell>
          <cell r="J4932" t="str">
            <v>C</v>
          </cell>
          <cell r="N4932" t="str">
            <v>C</v>
          </cell>
        </row>
        <row r="4933">
          <cell r="B4933" t="str">
            <v>LZPT-67|</v>
          </cell>
          <cell r="J4933" t="str">
            <v>C</v>
          </cell>
          <cell r="N4933" t="str">
            <v>C</v>
          </cell>
        </row>
        <row r="4934">
          <cell r="B4934" t="str">
            <v>GCBF-53|</v>
          </cell>
          <cell r="J4934" t="str">
            <v>C</v>
          </cell>
          <cell r="N4934" t="str">
            <v>C</v>
          </cell>
        </row>
        <row r="4935">
          <cell r="B4935" t="str">
            <v>SFWZ-27|</v>
          </cell>
          <cell r="J4935" t="str">
            <v>B</v>
          </cell>
          <cell r="N4935" t="str">
            <v>B</v>
          </cell>
        </row>
        <row r="4936">
          <cell r="B4936" t="str">
            <v>LZPR-98|</v>
          </cell>
          <cell r="J4936" t="str">
            <v>C</v>
          </cell>
          <cell r="N4936" t="str">
            <v>C</v>
          </cell>
        </row>
        <row r="4937">
          <cell r="B4937" t="str">
            <v>LZPR-78|</v>
          </cell>
          <cell r="J4937" t="str">
            <v>C</v>
          </cell>
          <cell r="N4937" t="str">
            <v>C</v>
          </cell>
        </row>
        <row r="4938">
          <cell r="B4938" t="str">
            <v>LZPG-24</v>
          </cell>
          <cell r="J4938" t="str">
            <v>C</v>
          </cell>
          <cell r="N4938" t="str">
            <v>C</v>
          </cell>
        </row>
        <row r="4939">
          <cell r="B4939" t="str">
            <v>SFWB-84</v>
          </cell>
          <cell r="J4939" t="str">
            <v>B</v>
          </cell>
          <cell r="N4939" t="str">
            <v>B</v>
          </cell>
        </row>
        <row r="4940">
          <cell r="B4940" t="str">
            <v>LZPT-52</v>
          </cell>
          <cell r="J4940" t="str">
            <v>C</v>
          </cell>
          <cell r="N4940" t="str">
            <v>C</v>
          </cell>
        </row>
        <row r="4941">
          <cell r="B4941" t="str">
            <v>LZPW-21|</v>
          </cell>
          <cell r="J4941" t="str">
            <v>C</v>
          </cell>
          <cell r="N4941" t="str">
            <v>C</v>
          </cell>
        </row>
        <row r="4942">
          <cell r="B4942" t="str">
            <v>SFVZ-80|</v>
          </cell>
          <cell r="J4942" t="str">
            <v>B</v>
          </cell>
          <cell r="N4942" t="str">
            <v>B</v>
          </cell>
        </row>
        <row r="4943">
          <cell r="B4943" t="str">
            <v>LXWT-88|</v>
          </cell>
          <cell r="J4943" t="str">
            <v>C</v>
          </cell>
          <cell r="N4943" t="str">
            <v>C</v>
          </cell>
        </row>
        <row r="4944">
          <cell r="B4944" t="str">
            <v>LZPS-11|</v>
          </cell>
          <cell r="J4944" t="str">
            <v>C</v>
          </cell>
          <cell r="N4944" t="str">
            <v>C</v>
          </cell>
        </row>
        <row r="4945">
          <cell r="B4945" t="str">
            <v>LZPW-13|</v>
          </cell>
          <cell r="J4945" t="str">
            <v>C</v>
          </cell>
          <cell r="N4945" t="str">
            <v>C</v>
          </cell>
        </row>
        <row r="4946">
          <cell r="B4946" t="str">
            <v>GCBF-45|</v>
          </cell>
          <cell r="J4946" t="str">
            <v>C</v>
          </cell>
          <cell r="N4946" t="str">
            <v>C</v>
          </cell>
        </row>
        <row r="4947">
          <cell r="B4947" t="str">
            <v>LZPT-67</v>
          </cell>
          <cell r="J4947" t="str">
            <v>C</v>
          </cell>
          <cell r="N4947" t="str">
            <v>C</v>
          </cell>
        </row>
        <row r="4948">
          <cell r="B4948" t="str">
            <v>LZPW-18|</v>
          </cell>
          <cell r="J4948" t="str">
            <v>C</v>
          </cell>
          <cell r="N4948" t="str">
            <v>C</v>
          </cell>
        </row>
        <row r="4949">
          <cell r="B4949" t="str">
            <v>LXWT-92</v>
          </cell>
          <cell r="J4949" t="str">
            <v>C</v>
          </cell>
          <cell r="N4949" t="str">
            <v>C</v>
          </cell>
        </row>
        <row r="4950">
          <cell r="B4950" t="str">
            <v>SFWZ-27|</v>
          </cell>
          <cell r="J4950" t="str">
            <v>B</v>
          </cell>
          <cell r="N4950" t="str">
            <v>B</v>
          </cell>
        </row>
        <row r="4951">
          <cell r="B4951" t="str">
            <v>LZPR-98|</v>
          </cell>
          <cell r="J4951" t="str">
            <v>C</v>
          </cell>
          <cell r="N4951" t="str">
            <v>C</v>
          </cell>
        </row>
        <row r="4952">
          <cell r="B4952" t="str">
            <v>LZPR-78|</v>
          </cell>
          <cell r="J4952" t="str">
            <v>C</v>
          </cell>
          <cell r="N4952" t="str">
            <v>C</v>
          </cell>
        </row>
        <row r="4953">
          <cell r="B4953" t="str">
            <v>LZPG-24|</v>
          </cell>
          <cell r="J4953" t="str">
            <v>C</v>
          </cell>
          <cell r="N4953" t="str">
            <v>C</v>
          </cell>
        </row>
        <row r="4954">
          <cell r="B4954" t="str">
            <v>FWB-84|</v>
          </cell>
          <cell r="J4954" t="str">
            <v>B</v>
          </cell>
          <cell r="N4954" t="str">
            <v>B</v>
          </cell>
        </row>
        <row r="4955">
          <cell r="B4955" t="str">
            <v>LZPT-52|</v>
          </cell>
          <cell r="J4955" t="str">
            <v>C</v>
          </cell>
          <cell r="N4955" t="str">
            <v>C</v>
          </cell>
        </row>
        <row r="4956">
          <cell r="B4956" t="str">
            <v>LZPW-14|</v>
          </cell>
          <cell r="J4956" t="str">
            <v>C</v>
          </cell>
          <cell r="N4956" t="str">
            <v>C</v>
          </cell>
        </row>
        <row r="4957">
          <cell r="B4957" t="str">
            <v>SFVZ-80</v>
          </cell>
          <cell r="J4957" t="str">
            <v>B</v>
          </cell>
          <cell r="N4957" t="str">
            <v>B</v>
          </cell>
        </row>
        <row r="4958">
          <cell r="B4958" t="str">
            <v>LZPW-13|</v>
          </cell>
          <cell r="J4958" t="str">
            <v>C</v>
          </cell>
          <cell r="N4958" t="str">
            <v>C</v>
          </cell>
        </row>
        <row r="4959">
          <cell r="B4959" t="str">
            <v>LZPS-11|</v>
          </cell>
          <cell r="J4959" t="str">
            <v>C</v>
          </cell>
          <cell r="N4959" t="str">
            <v>C</v>
          </cell>
        </row>
        <row r="4960">
          <cell r="B4960" t="str">
            <v>LZPT-67|</v>
          </cell>
          <cell r="J4960" t="str">
            <v>C</v>
          </cell>
          <cell r="N4960" t="str">
            <v>C</v>
          </cell>
        </row>
        <row r="4961">
          <cell r="B4961" t="str">
            <v>LZPW-18|</v>
          </cell>
          <cell r="J4961" t="str">
            <v>C</v>
          </cell>
          <cell r="N4961" t="str">
            <v>C</v>
          </cell>
        </row>
        <row r="4962">
          <cell r="B4962" t="str">
            <v>LZPR-98</v>
          </cell>
          <cell r="J4962" t="str">
            <v>C</v>
          </cell>
          <cell r="N4962" t="str">
            <v>C</v>
          </cell>
        </row>
        <row r="4963">
          <cell r="B4963" t="str">
            <v>SFWZ-27</v>
          </cell>
          <cell r="J4963" t="str">
            <v>B</v>
          </cell>
          <cell r="N4963" t="str">
            <v>B</v>
          </cell>
        </row>
        <row r="4964">
          <cell r="B4964" t="str">
            <v>LZPR-78|</v>
          </cell>
          <cell r="J4964" t="str">
            <v>C</v>
          </cell>
          <cell r="N4964" t="str">
            <v>C</v>
          </cell>
        </row>
        <row r="4965">
          <cell r="B4965" t="str">
            <v>LZPG-24|</v>
          </cell>
          <cell r="J4965" t="str">
            <v>C</v>
          </cell>
          <cell r="N4965" t="str">
            <v>C</v>
          </cell>
        </row>
        <row r="4966">
          <cell r="B4966" t="str">
            <v>LZPW-14|</v>
          </cell>
          <cell r="J4966" t="str">
            <v>C</v>
          </cell>
          <cell r="N4966" t="str">
            <v>C</v>
          </cell>
        </row>
        <row r="4967">
          <cell r="B4967" t="str">
            <v>LZPT-52|</v>
          </cell>
          <cell r="J4967" t="str">
            <v>C</v>
          </cell>
          <cell r="N4967" t="str">
            <v>C</v>
          </cell>
        </row>
        <row r="4968">
          <cell r="B4968" t="str">
            <v>LZPW-13|</v>
          </cell>
          <cell r="J4968" t="str">
            <v>C</v>
          </cell>
          <cell r="N4968" t="str">
            <v>C</v>
          </cell>
        </row>
        <row r="4969">
          <cell r="B4969" t="str">
            <v>LZPW-12|</v>
          </cell>
          <cell r="J4969" t="str">
            <v>C</v>
          </cell>
          <cell r="N4969" t="str">
            <v>C</v>
          </cell>
        </row>
        <row r="4970">
          <cell r="B4970" t="str">
            <v>LZPR-95|</v>
          </cell>
          <cell r="J4970" t="str">
            <v>C</v>
          </cell>
          <cell r="N4970" t="str">
            <v>C</v>
          </cell>
        </row>
        <row r="4971">
          <cell r="B4971" t="str">
            <v>LZPW-18|</v>
          </cell>
          <cell r="J4971" t="str">
            <v>C</v>
          </cell>
          <cell r="N4971" t="str">
            <v>C</v>
          </cell>
        </row>
        <row r="4972">
          <cell r="B4972" t="str">
            <v>LZPS-11|</v>
          </cell>
          <cell r="J4972" t="str">
            <v>C</v>
          </cell>
          <cell r="N4972" t="str">
            <v>C</v>
          </cell>
        </row>
        <row r="4973">
          <cell r="B4973" t="str">
            <v>LZPT-67|</v>
          </cell>
          <cell r="J4973" t="str">
            <v>C</v>
          </cell>
          <cell r="N4973" t="str">
            <v>C</v>
          </cell>
        </row>
        <row r="4974">
          <cell r="B4974" t="str">
            <v>GCBF-48|</v>
          </cell>
          <cell r="J4974" t="str">
            <v>C</v>
          </cell>
          <cell r="N4974" t="str">
            <v>C</v>
          </cell>
        </row>
        <row r="4975">
          <cell r="B4975" t="str">
            <v>3040 / SFWZ-27|</v>
          </cell>
          <cell r="J4975" t="str">
            <v>B</v>
          </cell>
          <cell r="N4975" t="str">
            <v>B</v>
          </cell>
        </row>
        <row r="4976">
          <cell r="B4976" t="str">
            <v>LZPW-14|</v>
          </cell>
          <cell r="J4976" t="str">
            <v>C</v>
          </cell>
          <cell r="N4976" t="str">
            <v>C</v>
          </cell>
        </row>
        <row r="4977">
          <cell r="B4977" t="str">
            <v>LZPT-72|</v>
          </cell>
          <cell r="J4977" t="str">
            <v>C</v>
          </cell>
          <cell r="N4977" t="str">
            <v>C</v>
          </cell>
        </row>
        <row r="4978">
          <cell r="B4978" t="str">
            <v>GCBF-45|</v>
          </cell>
          <cell r="J4978" t="str">
            <v>C</v>
          </cell>
          <cell r="N4978" t="str">
            <v>C</v>
          </cell>
        </row>
        <row r="4979">
          <cell r="B4979" t="str">
            <v>9925 / SXKV-97|</v>
          </cell>
          <cell r="J4979" t="str">
            <v>C</v>
          </cell>
          <cell r="N4979" t="str">
            <v>C</v>
          </cell>
        </row>
        <row r="4980">
          <cell r="B4980" t="str">
            <v>LZPV-98|</v>
          </cell>
          <cell r="J4980" t="str">
            <v>C</v>
          </cell>
          <cell r="N4980" t="str">
            <v>C</v>
          </cell>
        </row>
        <row r="4981">
          <cell r="B4981" t="str">
            <v>LZPT-49|</v>
          </cell>
          <cell r="J4981" t="str">
            <v>C</v>
          </cell>
          <cell r="N4981" t="str">
            <v>C</v>
          </cell>
        </row>
        <row r="4982">
          <cell r="B4982" t="str">
            <v>LZPW-10|</v>
          </cell>
          <cell r="J4982" t="str">
            <v>C</v>
          </cell>
          <cell r="N4982" t="str">
            <v>C</v>
          </cell>
        </row>
        <row r="4983">
          <cell r="B4983" t="str">
            <v>LZPV-99|</v>
          </cell>
          <cell r="J4983" t="str">
            <v>C</v>
          </cell>
          <cell r="N4983" t="str">
            <v>C</v>
          </cell>
        </row>
        <row r="4984">
          <cell r="B4984" t="str">
            <v>LZPG-24|</v>
          </cell>
          <cell r="J4984" t="str">
            <v>C</v>
          </cell>
          <cell r="N4984" t="str">
            <v>C</v>
          </cell>
        </row>
        <row r="4985">
          <cell r="B4985" t="str">
            <v>LZPR-98|</v>
          </cell>
          <cell r="J4985" t="str">
            <v>C</v>
          </cell>
          <cell r="N4985" t="str">
            <v>C</v>
          </cell>
        </row>
        <row r="4986">
          <cell r="B4986" t="str">
            <v>LZPT-61|</v>
          </cell>
          <cell r="J4986" t="str">
            <v>C</v>
          </cell>
          <cell r="N4986" t="str">
            <v>C</v>
          </cell>
        </row>
        <row r="4987">
          <cell r="B4987" t="str">
            <v>GCBF-43|</v>
          </cell>
          <cell r="J4987" t="str">
            <v>C</v>
          </cell>
          <cell r="N4987" t="str">
            <v>C</v>
          </cell>
        </row>
        <row r="4988">
          <cell r="B4988" t="str">
            <v>LZPT-65|</v>
          </cell>
          <cell r="J4988" t="str">
            <v>C</v>
          </cell>
          <cell r="N4988" t="str">
            <v>C</v>
          </cell>
        </row>
        <row r="4989">
          <cell r="B4989" t="str">
            <v>LZPW-20|</v>
          </cell>
          <cell r="J4989" t="str">
            <v>C</v>
          </cell>
          <cell r="N4989" t="str">
            <v>C</v>
          </cell>
        </row>
        <row r="4990">
          <cell r="B4990" t="str">
            <v>LZPS-23|</v>
          </cell>
          <cell r="J4990" t="str">
            <v>C</v>
          </cell>
          <cell r="N4990" t="str">
            <v>C</v>
          </cell>
        </row>
        <row r="4991">
          <cell r="B4991" t="str">
            <v>LXWT-96|</v>
          </cell>
          <cell r="J4991" t="str">
            <v>C</v>
          </cell>
          <cell r="N4991" t="str">
            <v>C</v>
          </cell>
        </row>
        <row r="4992">
          <cell r="B4992" t="str">
            <v>LZPR-97|</v>
          </cell>
          <cell r="J4992" t="str">
            <v>C</v>
          </cell>
          <cell r="N4992" t="str">
            <v>C</v>
          </cell>
        </row>
        <row r="4993">
          <cell r="B4993" t="str">
            <v>LZPS-10|</v>
          </cell>
          <cell r="J4993" t="str">
            <v>C</v>
          </cell>
          <cell r="N4993" t="str">
            <v>C</v>
          </cell>
        </row>
        <row r="4994">
          <cell r="B4994" t="str">
            <v>LXWT-95|</v>
          </cell>
          <cell r="J4994" t="str">
            <v>C</v>
          </cell>
          <cell r="N4994" t="str">
            <v>C</v>
          </cell>
        </row>
        <row r="4995">
          <cell r="B4995" t="str">
            <v>LXWT-82|</v>
          </cell>
          <cell r="J4995" t="str">
            <v>C</v>
          </cell>
          <cell r="N4995" t="str">
            <v>C</v>
          </cell>
        </row>
        <row r="4996">
          <cell r="B4996" t="str">
            <v>LZPT-77|</v>
          </cell>
          <cell r="J4996" t="str">
            <v>C</v>
          </cell>
          <cell r="N4996" t="str">
            <v>C</v>
          </cell>
        </row>
        <row r="4997">
          <cell r="B4997" t="str">
            <v>9951 / TBZB-24|</v>
          </cell>
          <cell r="J4997" t="str">
            <v>C</v>
          </cell>
          <cell r="N4997" t="str">
            <v>C</v>
          </cell>
        </row>
        <row r="4998">
          <cell r="B4998" t="str">
            <v>LZPT-62|</v>
          </cell>
          <cell r="J4998" t="str">
            <v>C</v>
          </cell>
          <cell r="N4998" t="str">
            <v>C</v>
          </cell>
        </row>
        <row r="4999">
          <cell r="B4999" t="str">
            <v>LZPS-17|</v>
          </cell>
          <cell r="J4999" t="str">
            <v>C</v>
          </cell>
          <cell r="N4999" t="str">
            <v>C</v>
          </cell>
        </row>
        <row r="5000">
          <cell r="B5000" t="str">
            <v>LXWT-85|</v>
          </cell>
          <cell r="J5000" t="str">
            <v>C</v>
          </cell>
          <cell r="N5000" t="str">
            <v>C</v>
          </cell>
        </row>
        <row r="5001">
          <cell r="B5001" t="str">
            <v>LZPG-16|</v>
          </cell>
          <cell r="J5001" t="str">
            <v>C</v>
          </cell>
          <cell r="N5001" t="str">
            <v>C</v>
          </cell>
        </row>
        <row r="5002">
          <cell r="B5002" t="str">
            <v>LZPS-11|</v>
          </cell>
          <cell r="J5002" t="str">
            <v>C</v>
          </cell>
          <cell r="N5002" t="str">
            <v>C</v>
          </cell>
        </row>
        <row r="5003">
          <cell r="B5003" t="str">
            <v>LZPT-59|</v>
          </cell>
          <cell r="J5003" t="str">
            <v>C</v>
          </cell>
          <cell r="N5003" t="str">
            <v>C</v>
          </cell>
        </row>
        <row r="5004">
          <cell r="B5004" t="str">
            <v>LZPS-25|</v>
          </cell>
          <cell r="J5004" t="str">
            <v>C</v>
          </cell>
          <cell r="N5004" t="str">
            <v>C</v>
          </cell>
        </row>
        <row r="5005">
          <cell r="B5005" t="str">
            <v>LZPG-27|</v>
          </cell>
          <cell r="J5005" t="str">
            <v>C</v>
          </cell>
          <cell r="N5005" t="str">
            <v>C</v>
          </cell>
        </row>
        <row r="5006">
          <cell r="B5006" t="str">
            <v>9925 / SXKV-97|</v>
          </cell>
          <cell r="J5006" t="str">
            <v>C</v>
          </cell>
          <cell r="N5006" t="str">
            <v>C</v>
          </cell>
        </row>
        <row r="5007">
          <cell r="B5007" t="str">
            <v>LZPR-93|</v>
          </cell>
          <cell r="J5007" t="str">
            <v>C</v>
          </cell>
          <cell r="N5007" t="str">
            <v>C</v>
          </cell>
        </row>
        <row r="5008">
          <cell r="B5008" t="str">
            <v>LZPW-17|</v>
          </cell>
          <cell r="J5008" t="str">
            <v>C</v>
          </cell>
          <cell r="N5008" t="str">
            <v>C</v>
          </cell>
        </row>
        <row r="5009">
          <cell r="B5009" t="str">
            <v>LZPT-49|</v>
          </cell>
          <cell r="J5009" t="str">
            <v>C</v>
          </cell>
          <cell r="N5009" t="str">
            <v>C</v>
          </cell>
        </row>
        <row r="5010">
          <cell r="B5010" t="str">
            <v>LZPG-15|</v>
          </cell>
          <cell r="J5010" t="str">
            <v>C</v>
          </cell>
          <cell r="N5010" t="str">
            <v>C</v>
          </cell>
        </row>
        <row r="5011">
          <cell r="B5011" t="str">
            <v>LZRB-84|</v>
          </cell>
          <cell r="J5011" t="str">
            <v>C</v>
          </cell>
          <cell r="N5011" t="str">
            <v>C</v>
          </cell>
        </row>
        <row r="5012">
          <cell r="B5012" t="str">
            <v>LZRB-85|</v>
          </cell>
          <cell r="J5012" t="str">
            <v>C</v>
          </cell>
          <cell r="N5012" t="str">
            <v>C</v>
          </cell>
        </row>
        <row r="5013">
          <cell r="B5013" t="str">
            <v>LZPR-98|</v>
          </cell>
          <cell r="J5013" t="str">
            <v>C</v>
          </cell>
          <cell r="N5013" t="str">
            <v>C</v>
          </cell>
        </row>
        <row r="5014">
          <cell r="B5014" t="str">
            <v>LZPG-23|</v>
          </cell>
          <cell r="J5014" t="str">
            <v>C</v>
          </cell>
          <cell r="N5014" t="str">
            <v>C</v>
          </cell>
        </row>
        <row r="5015">
          <cell r="B5015" t="str">
            <v>LXWT-83|</v>
          </cell>
          <cell r="J5015" t="str">
            <v>C</v>
          </cell>
          <cell r="N5015" t="str">
            <v>C</v>
          </cell>
        </row>
        <row r="5016">
          <cell r="B5016" t="str">
            <v>LXWT-99|</v>
          </cell>
          <cell r="J5016" t="str">
            <v>C</v>
          </cell>
          <cell r="N5016" t="str">
            <v>C</v>
          </cell>
        </row>
        <row r="5017">
          <cell r="B5017" t="str">
            <v>3020 / SFWZ-20|</v>
          </cell>
          <cell r="J5017" t="str">
            <v>B</v>
          </cell>
          <cell r="N5017" t="str">
            <v>B</v>
          </cell>
        </row>
        <row r="5018">
          <cell r="B5018" t="str">
            <v>LZPR-97|</v>
          </cell>
          <cell r="J5018" t="str">
            <v>C</v>
          </cell>
          <cell r="N5018" t="str">
            <v>C</v>
          </cell>
        </row>
        <row r="5019">
          <cell r="B5019" t="str">
            <v>LZPS-23|</v>
          </cell>
          <cell r="J5019" t="str">
            <v>C</v>
          </cell>
          <cell r="N5019" t="str">
            <v>C</v>
          </cell>
        </row>
        <row r="5020">
          <cell r="B5020" t="str">
            <v>LZPW-20|</v>
          </cell>
          <cell r="J5020" t="str">
            <v>C</v>
          </cell>
          <cell r="N5020" t="str">
            <v>C</v>
          </cell>
        </row>
        <row r="5021">
          <cell r="B5021" t="str">
            <v>LZPS-20|</v>
          </cell>
          <cell r="J5021" t="str">
            <v>C</v>
          </cell>
          <cell r="N5021" t="str">
            <v>C</v>
          </cell>
        </row>
        <row r="5022">
          <cell r="B5022" t="str">
            <v>LZPR-82|</v>
          </cell>
          <cell r="J5022" t="str">
            <v>C</v>
          </cell>
          <cell r="N5022" t="str">
            <v>C</v>
          </cell>
        </row>
        <row r="5023">
          <cell r="B5023" t="str">
            <v>LZPG-14|</v>
          </cell>
          <cell r="J5023" t="str">
            <v>C</v>
          </cell>
          <cell r="N5023" t="str">
            <v>C</v>
          </cell>
        </row>
        <row r="5024">
          <cell r="B5024" t="str">
            <v>LZPR-81|</v>
          </cell>
          <cell r="J5024" t="str">
            <v>C</v>
          </cell>
          <cell r="N5024" t="str">
            <v>C</v>
          </cell>
        </row>
        <row r="5025">
          <cell r="B5025" t="str">
            <v>LZPT-77|</v>
          </cell>
          <cell r="J5025" t="str">
            <v>C</v>
          </cell>
          <cell r="N5025" t="str">
            <v>C</v>
          </cell>
        </row>
        <row r="5026">
          <cell r="B5026" t="str">
            <v>LZPW-22|</v>
          </cell>
          <cell r="J5026" t="str">
            <v>C</v>
          </cell>
          <cell r="N5026" t="str">
            <v>C</v>
          </cell>
        </row>
        <row r="5027">
          <cell r="B5027" t="str">
            <v>LXWT-91|</v>
          </cell>
          <cell r="J5027" t="str">
            <v>C</v>
          </cell>
          <cell r="N5027" t="str">
            <v>C</v>
          </cell>
        </row>
        <row r="5028">
          <cell r="B5028" t="str">
            <v>LZPG-21|</v>
          </cell>
          <cell r="J5028" t="str">
            <v>C</v>
          </cell>
          <cell r="N5028" t="str">
            <v>C</v>
          </cell>
        </row>
        <row r="5029">
          <cell r="B5029" t="str">
            <v>LZRB-88|</v>
          </cell>
          <cell r="J5029" t="str">
            <v>C</v>
          </cell>
          <cell r="N5029" t="str">
            <v>C</v>
          </cell>
        </row>
        <row r="5030">
          <cell r="B5030" t="str">
            <v>3103 / SFWZ-78|</v>
          </cell>
          <cell r="J5030" t="str">
            <v>B</v>
          </cell>
          <cell r="N5030" t="str">
            <v>B</v>
          </cell>
        </row>
        <row r="5031">
          <cell r="B5031" t="str">
            <v>LZPR-92|</v>
          </cell>
          <cell r="J5031" t="str">
            <v>C</v>
          </cell>
          <cell r="N5031" t="str">
            <v>C</v>
          </cell>
        </row>
        <row r="5032">
          <cell r="B5032" t="str">
            <v>LZPT-59|</v>
          </cell>
          <cell r="J5032" t="str">
            <v>C</v>
          </cell>
          <cell r="N5032" t="str">
            <v>C</v>
          </cell>
        </row>
        <row r="5033">
          <cell r="B5033" t="str">
            <v>LZPG-25|</v>
          </cell>
          <cell r="J5033" t="str">
            <v>C</v>
          </cell>
          <cell r="N5033" t="str">
            <v>C</v>
          </cell>
        </row>
        <row r="5034">
          <cell r="B5034" t="str">
            <v>LZPT-47|</v>
          </cell>
          <cell r="J5034" t="str">
            <v>C</v>
          </cell>
          <cell r="N5034" t="str">
            <v>C</v>
          </cell>
        </row>
        <row r="5035">
          <cell r="B5035" t="str">
            <v>LZPT-72|</v>
          </cell>
          <cell r="J5035" t="str">
            <v>C</v>
          </cell>
          <cell r="N5035" t="str">
            <v>C</v>
          </cell>
        </row>
        <row r="5036">
          <cell r="B5036" t="str">
            <v>LZPR-94</v>
          </cell>
          <cell r="J5036" t="str">
            <v>C</v>
          </cell>
          <cell r="N5036" t="str">
            <v>C</v>
          </cell>
        </row>
        <row r="5037">
          <cell r="B5037" t="str">
            <v>LZPT-48</v>
          </cell>
          <cell r="J5037" t="str">
            <v>C</v>
          </cell>
          <cell r="N5037" t="str">
            <v>C</v>
          </cell>
        </row>
        <row r="5038">
          <cell r="B5038" t="str">
            <v>LXWT-97</v>
          </cell>
          <cell r="J5038" t="str">
            <v>C</v>
          </cell>
          <cell r="N5038" t="str">
            <v>C</v>
          </cell>
        </row>
        <row r="5039">
          <cell r="B5039" t="str">
            <v>LZPT-65</v>
          </cell>
          <cell r="J5039" t="str">
            <v>C</v>
          </cell>
          <cell r="N5039" t="str">
            <v>C</v>
          </cell>
        </row>
        <row r="5040">
          <cell r="B5040" t="str">
            <v>SXKV-98</v>
          </cell>
          <cell r="J5040" t="str">
            <v>C</v>
          </cell>
          <cell r="N5040" t="str">
            <v>C</v>
          </cell>
        </row>
        <row r="5041">
          <cell r="B5041" t="str">
            <v>GCBF-47</v>
          </cell>
          <cell r="J5041" t="str">
            <v>C</v>
          </cell>
          <cell r="N5041" t="str">
            <v>C</v>
          </cell>
        </row>
        <row r="5042">
          <cell r="B5042" t="str">
            <v>LZPG-15</v>
          </cell>
          <cell r="J5042" t="str">
            <v>C</v>
          </cell>
          <cell r="N5042" t="str">
            <v>C</v>
          </cell>
        </row>
        <row r="5043">
          <cell r="B5043" t="str">
            <v>LZPW-12|</v>
          </cell>
          <cell r="J5043" t="str">
            <v>C</v>
          </cell>
          <cell r="N5043" t="str">
            <v>C</v>
          </cell>
        </row>
        <row r="5044">
          <cell r="B5044" t="str">
            <v>LZPW-19</v>
          </cell>
          <cell r="J5044" t="str">
            <v>C</v>
          </cell>
          <cell r="N5044" t="str">
            <v>C</v>
          </cell>
        </row>
        <row r="5045">
          <cell r="B5045" t="str">
            <v>3057 / SFWB-16|</v>
          </cell>
          <cell r="J5045" t="str">
            <v>B</v>
          </cell>
          <cell r="N5045" t="str">
            <v>B</v>
          </cell>
        </row>
        <row r="5046">
          <cell r="B5046" t="str">
            <v>LZPT-71|</v>
          </cell>
          <cell r="J5046" t="str">
            <v>C</v>
          </cell>
          <cell r="N5046" t="str">
            <v>C</v>
          </cell>
        </row>
        <row r="5047">
          <cell r="B5047" t="str">
            <v>GCBF-43|</v>
          </cell>
          <cell r="J5047" t="str">
            <v>C</v>
          </cell>
          <cell r="N5047" t="str">
            <v>C</v>
          </cell>
        </row>
        <row r="5048">
          <cell r="B5048" t="str">
            <v>LXWT-95|</v>
          </cell>
          <cell r="J5048" t="str">
            <v>C</v>
          </cell>
          <cell r="N5048" t="str">
            <v>C</v>
          </cell>
        </row>
        <row r="5049">
          <cell r="B5049" t="str">
            <v>LZPR-87|</v>
          </cell>
          <cell r="J5049" t="str">
            <v>C</v>
          </cell>
          <cell r="N5049" t="str">
            <v>C</v>
          </cell>
        </row>
        <row r="5050">
          <cell r="B5050" t="str">
            <v>LXWT-82|</v>
          </cell>
          <cell r="J5050" t="str">
            <v>C</v>
          </cell>
          <cell r="N5050" t="str">
            <v>C</v>
          </cell>
        </row>
        <row r="5051">
          <cell r="B5051" t="str">
            <v>GCBF-46|</v>
          </cell>
          <cell r="J5051" t="str">
            <v>C</v>
          </cell>
          <cell r="N5051" t="str">
            <v>C</v>
          </cell>
        </row>
        <row r="5052">
          <cell r="B5052" t="str">
            <v>LZPS-24|</v>
          </cell>
          <cell r="J5052" t="str">
            <v>C</v>
          </cell>
          <cell r="N5052" t="str">
            <v>C</v>
          </cell>
        </row>
        <row r="5053">
          <cell r="B5053" t="str">
            <v>LZPG-20|</v>
          </cell>
          <cell r="J5053" t="str">
            <v>C</v>
          </cell>
          <cell r="N5053" t="str">
            <v>C</v>
          </cell>
        </row>
        <row r="5054">
          <cell r="B5054" t="str">
            <v>LZPS-17|</v>
          </cell>
          <cell r="J5054" t="str">
            <v>C</v>
          </cell>
          <cell r="N5054" t="str">
            <v>C</v>
          </cell>
        </row>
        <row r="5055">
          <cell r="B5055" t="str">
            <v>LZPG-14|</v>
          </cell>
          <cell r="J5055" t="str">
            <v>C</v>
          </cell>
          <cell r="N5055" t="str">
            <v>C</v>
          </cell>
        </row>
        <row r="5056">
          <cell r="B5056" t="str">
            <v>LZPG-27|</v>
          </cell>
          <cell r="J5056" t="str">
            <v>C</v>
          </cell>
          <cell r="N5056" t="str">
            <v>C</v>
          </cell>
        </row>
        <row r="5057">
          <cell r="B5057" t="str">
            <v>LZPW-11|</v>
          </cell>
          <cell r="J5057" t="str">
            <v>C</v>
          </cell>
          <cell r="N5057" t="str">
            <v>C</v>
          </cell>
        </row>
        <row r="5058">
          <cell r="B5058" t="str">
            <v>LZRB-86|</v>
          </cell>
          <cell r="J5058" t="str">
            <v>C</v>
          </cell>
          <cell r="N5058" t="str">
            <v>C</v>
          </cell>
        </row>
        <row r="5059">
          <cell r="B5059" t="str">
            <v>LZPT-55|</v>
          </cell>
          <cell r="J5059" t="str">
            <v>C</v>
          </cell>
          <cell r="N5059" t="str">
            <v>C</v>
          </cell>
        </row>
        <row r="5060">
          <cell r="B5060" t="str">
            <v>LZPS-18|</v>
          </cell>
          <cell r="J5060" t="str">
            <v>C</v>
          </cell>
          <cell r="N5060" t="str">
            <v>C</v>
          </cell>
        </row>
        <row r="5061">
          <cell r="B5061" t="str">
            <v>LXWT-91|</v>
          </cell>
          <cell r="J5061" t="str">
            <v>C</v>
          </cell>
          <cell r="N5061" t="str">
            <v>C</v>
          </cell>
        </row>
        <row r="5062">
          <cell r="B5062" t="str">
            <v>LXWT-83|</v>
          </cell>
          <cell r="J5062" t="str">
            <v>C</v>
          </cell>
          <cell r="N5062" t="str">
            <v>C</v>
          </cell>
        </row>
        <row r="5063">
          <cell r="B5063" t="str">
            <v>LZPR-84|</v>
          </cell>
          <cell r="J5063" t="str">
            <v>C</v>
          </cell>
          <cell r="N5063" t="str">
            <v>C</v>
          </cell>
        </row>
        <row r="5064">
          <cell r="B5064" t="str">
            <v>LZPW-15|</v>
          </cell>
          <cell r="J5064" t="str">
            <v>C</v>
          </cell>
          <cell r="N5064" t="str">
            <v>C</v>
          </cell>
        </row>
        <row r="5065">
          <cell r="B5065" t="str">
            <v>LZPT-41|</v>
          </cell>
          <cell r="J5065" t="str">
            <v>C</v>
          </cell>
          <cell r="N5065" t="str">
            <v>C</v>
          </cell>
        </row>
        <row r="5066">
          <cell r="B5066" t="str">
            <v>LZPG-12|</v>
          </cell>
          <cell r="J5066" t="str">
            <v>C</v>
          </cell>
          <cell r="N5066" t="str">
            <v>C</v>
          </cell>
        </row>
        <row r="5067">
          <cell r="B5067" t="str">
            <v>LZPS-25|</v>
          </cell>
          <cell r="J5067" t="str">
            <v>C</v>
          </cell>
          <cell r="N5067" t="str">
            <v>C</v>
          </cell>
        </row>
        <row r="5068">
          <cell r="B5068" t="str">
            <v>LZPR-92|</v>
          </cell>
          <cell r="J5068" t="str">
            <v>C</v>
          </cell>
          <cell r="N5068" t="str">
            <v>C</v>
          </cell>
        </row>
        <row r="5069">
          <cell r="B5069" t="str">
            <v>LXWT-87|</v>
          </cell>
          <cell r="J5069" t="str">
            <v>C</v>
          </cell>
          <cell r="N5069" t="str">
            <v>C</v>
          </cell>
        </row>
        <row r="5070">
          <cell r="B5070" t="str">
            <v>VJXC-42|</v>
          </cell>
          <cell r="J5070" t="str">
            <v>B</v>
          </cell>
          <cell r="N5070" t="str">
            <v>B</v>
          </cell>
        </row>
        <row r="5071">
          <cell r="B5071" t="str">
            <v>LZRB-85|</v>
          </cell>
          <cell r="J5071" t="str">
            <v>C</v>
          </cell>
          <cell r="N5071" t="str">
            <v>C</v>
          </cell>
        </row>
        <row r="5072">
          <cell r="B5072" t="str">
            <v>LZPT-48|</v>
          </cell>
          <cell r="J5072" t="str">
            <v>C</v>
          </cell>
          <cell r="N5072" t="str">
            <v>C</v>
          </cell>
        </row>
        <row r="5073">
          <cell r="B5073" t="str">
            <v>LZPG-15|</v>
          </cell>
          <cell r="J5073" t="str">
            <v>C</v>
          </cell>
          <cell r="N5073" t="str">
            <v>C</v>
          </cell>
        </row>
        <row r="5074">
          <cell r="B5074" t="str">
            <v>LZPG-26|</v>
          </cell>
          <cell r="J5074" t="str">
            <v>C</v>
          </cell>
          <cell r="N5074" t="str">
            <v>C</v>
          </cell>
        </row>
        <row r="5075">
          <cell r="B5075" t="str">
            <v>LZPR-86|</v>
          </cell>
          <cell r="J5075" t="str">
            <v>C</v>
          </cell>
          <cell r="N5075" t="str">
            <v>C</v>
          </cell>
        </row>
        <row r="5076">
          <cell r="B5076" t="str">
            <v>LXWT-97|</v>
          </cell>
          <cell r="J5076" t="str">
            <v>C</v>
          </cell>
          <cell r="N5076" t="str">
            <v>C</v>
          </cell>
        </row>
        <row r="5077">
          <cell r="B5077" t="str">
            <v>LZPT-45|</v>
          </cell>
          <cell r="J5077" t="str">
            <v>C</v>
          </cell>
          <cell r="N5077" t="str">
            <v>C</v>
          </cell>
        </row>
        <row r="5078">
          <cell r="B5078" t="str">
            <v>LZPR-96|</v>
          </cell>
          <cell r="J5078" t="str">
            <v>C</v>
          </cell>
          <cell r="N5078" t="str">
            <v>C</v>
          </cell>
        </row>
        <row r="5079">
          <cell r="B5079" t="str">
            <v>LXWT-84|</v>
          </cell>
          <cell r="J5079" t="str">
            <v>C</v>
          </cell>
          <cell r="N5079" t="str">
            <v>C</v>
          </cell>
        </row>
        <row r="5080">
          <cell r="B5080" t="str">
            <v>LZPT-74|</v>
          </cell>
          <cell r="J5080" t="str">
            <v>C</v>
          </cell>
          <cell r="N5080" t="str">
            <v>C</v>
          </cell>
        </row>
        <row r="5081">
          <cell r="B5081" t="str">
            <v>LZPG-23|</v>
          </cell>
          <cell r="J5081" t="str">
            <v>C</v>
          </cell>
          <cell r="N5081" t="str">
            <v>C</v>
          </cell>
        </row>
        <row r="5082">
          <cell r="B5082" t="str">
            <v>LZPS-15|</v>
          </cell>
          <cell r="J5082" t="str">
            <v>C</v>
          </cell>
          <cell r="N5082" t="str">
            <v>C</v>
          </cell>
        </row>
        <row r="5083">
          <cell r="B5083" t="str">
            <v>GCBF-50|</v>
          </cell>
          <cell r="J5083" t="str">
            <v>C</v>
          </cell>
          <cell r="N5083" t="str">
            <v>C</v>
          </cell>
        </row>
        <row r="5084">
          <cell r="B5084" t="str">
            <v>GCBF-43|</v>
          </cell>
          <cell r="J5084" t="str">
            <v>C</v>
          </cell>
          <cell r="N5084" t="str">
            <v>C</v>
          </cell>
        </row>
        <row r="5085">
          <cell r="B5085" t="str">
            <v>LXWT-82|</v>
          </cell>
          <cell r="J5085" t="str">
            <v>C</v>
          </cell>
          <cell r="N5085" t="str">
            <v>C</v>
          </cell>
        </row>
        <row r="5086">
          <cell r="B5086" t="str">
            <v>LZPT-57|</v>
          </cell>
          <cell r="J5086" t="str">
            <v>C</v>
          </cell>
          <cell r="N5086" t="str">
            <v>C</v>
          </cell>
        </row>
        <row r="5087">
          <cell r="B5087" t="str">
            <v>LXWT-94|</v>
          </cell>
          <cell r="J5087" t="str">
            <v>C</v>
          </cell>
          <cell r="N5087" t="str">
            <v>C</v>
          </cell>
        </row>
        <row r="5088">
          <cell r="B5088" t="str">
            <v>3062 / SFWZ-10|</v>
          </cell>
          <cell r="J5088" t="str">
            <v>B</v>
          </cell>
          <cell r="N5088" t="str">
            <v>B</v>
          </cell>
        </row>
        <row r="5089">
          <cell r="B5089" t="str">
            <v>LZPG-13|</v>
          </cell>
          <cell r="J5089" t="str">
            <v>C</v>
          </cell>
          <cell r="N5089" t="str">
            <v>C</v>
          </cell>
        </row>
        <row r="5090">
          <cell r="B5090" t="str">
            <v>LZPT-73|</v>
          </cell>
          <cell r="J5090" t="str">
            <v>C</v>
          </cell>
          <cell r="N5090" t="str">
            <v>C</v>
          </cell>
        </row>
        <row r="5091">
          <cell r="B5091" t="str">
            <v>LZPW-17|</v>
          </cell>
          <cell r="J5091" t="str">
            <v>C</v>
          </cell>
          <cell r="N5091" t="str">
            <v>C</v>
          </cell>
        </row>
        <row r="5092">
          <cell r="B5092" t="str">
            <v>LZPT-55|</v>
          </cell>
          <cell r="J5092" t="str">
            <v>C</v>
          </cell>
          <cell r="N5092" t="str">
            <v>C</v>
          </cell>
        </row>
        <row r="5093">
          <cell r="B5093" t="str">
            <v>LZRB-88|</v>
          </cell>
          <cell r="J5093" t="str">
            <v>C</v>
          </cell>
          <cell r="N5093" t="str">
            <v>C</v>
          </cell>
        </row>
        <row r="5094">
          <cell r="B5094" t="str">
            <v>LXWT-95|</v>
          </cell>
          <cell r="J5094" t="str">
            <v>C</v>
          </cell>
          <cell r="N5094" t="str">
            <v>C</v>
          </cell>
        </row>
        <row r="5095">
          <cell r="B5095" t="str">
            <v>LZPR-84|</v>
          </cell>
          <cell r="J5095" t="str">
            <v>C</v>
          </cell>
          <cell r="N5095" t="str">
            <v>C</v>
          </cell>
        </row>
        <row r="5096">
          <cell r="B5096" t="str">
            <v>LXWT-91|</v>
          </cell>
          <cell r="J5096" t="str">
            <v>C</v>
          </cell>
          <cell r="N5096" t="str">
            <v>C</v>
          </cell>
        </row>
        <row r="5097">
          <cell r="B5097" t="str">
            <v>LZPW-15|</v>
          </cell>
          <cell r="J5097" t="str">
            <v>C</v>
          </cell>
          <cell r="N5097" t="str">
            <v>C</v>
          </cell>
        </row>
        <row r="5098">
          <cell r="B5098" t="str">
            <v>LZPT-44|</v>
          </cell>
          <cell r="J5098" t="str">
            <v>C</v>
          </cell>
          <cell r="N5098" t="str">
            <v>C</v>
          </cell>
        </row>
        <row r="5099">
          <cell r="B5099" t="str">
            <v>LZPT-41|</v>
          </cell>
          <cell r="J5099" t="str">
            <v>C</v>
          </cell>
          <cell r="N5099" t="str">
            <v>C</v>
          </cell>
        </row>
        <row r="5100">
          <cell r="B5100" t="str">
            <v>LZPT-72|</v>
          </cell>
          <cell r="J5100" t="str">
            <v>C</v>
          </cell>
          <cell r="N5100" t="str">
            <v>C</v>
          </cell>
        </row>
        <row r="5101">
          <cell r="B5101" t="str">
            <v>LZPG-25|</v>
          </cell>
          <cell r="J5101" t="str">
            <v>C</v>
          </cell>
          <cell r="N5101" t="str">
            <v>C</v>
          </cell>
        </row>
        <row r="5102">
          <cell r="B5102" t="str">
            <v>LZRB-85|</v>
          </cell>
          <cell r="J5102" t="str">
            <v>C</v>
          </cell>
          <cell r="N5102" t="str">
            <v>C</v>
          </cell>
        </row>
        <row r="5103">
          <cell r="B5103" t="str">
            <v>LZPW-22|</v>
          </cell>
          <cell r="J5103" t="str">
            <v>C</v>
          </cell>
          <cell r="N5103" t="str">
            <v>C</v>
          </cell>
        </row>
        <row r="5104">
          <cell r="B5104" t="str">
            <v>LZPR-92|</v>
          </cell>
          <cell r="J5104" t="str">
            <v>C</v>
          </cell>
          <cell r="N5104" t="str">
            <v>C</v>
          </cell>
        </row>
        <row r="5105">
          <cell r="B5105" t="str">
            <v>LZPR-80|</v>
          </cell>
          <cell r="J5105" t="str">
            <v>C</v>
          </cell>
          <cell r="N5105" t="str">
            <v>C</v>
          </cell>
        </row>
        <row r="5106">
          <cell r="B5106" t="str">
            <v>GCBF-47|</v>
          </cell>
          <cell r="J5106" t="str">
            <v>C</v>
          </cell>
          <cell r="N5106" t="str">
            <v>C</v>
          </cell>
        </row>
        <row r="5107">
          <cell r="B5107" t="str">
            <v>LZPV-99|</v>
          </cell>
          <cell r="J5107" t="str">
            <v>C</v>
          </cell>
          <cell r="N5107" t="str">
            <v>C</v>
          </cell>
        </row>
        <row r="5108">
          <cell r="B5108" t="str">
            <v>LZPG-15|</v>
          </cell>
          <cell r="J5108" t="str">
            <v>C</v>
          </cell>
          <cell r="N5108" t="str">
            <v>C</v>
          </cell>
        </row>
        <row r="5109">
          <cell r="B5109" t="str">
            <v>LZPS-16|</v>
          </cell>
          <cell r="J5109" t="str">
            <v>C</v>
          </cell>
          <cell r="N5109" t="str">
            <v>C</v>
          </cell>
        </row>
        <row r="5110">
          <cell r="B5110" t="str">
            <v>GCBF-43|</v>
          </cell>
          <cell r="J5110" t="str">
            <v>C</v>
          </cell>
          <cell r="N5110" t="str">
            <v>C</v>
          </cell>
        </row>
        <row r="5111">
          <cell r="B5111" t="str">
            <v>LZPS-23|</v>
          </cell>
          <cell r="J5111" t="str">
            <v>C</v>
          </cell>
          <cell r="N5111" t="str">
            <v>C</v>
          </cell>
        </row>
        <row r="5112">
          <cell r="B5112" t="str">
            <v>LZPW-20|</v>
          </cell>
          <cell r="J5112" t="str">
            <v>C</v>
          </cell>
          <cell r="N5112" t="str">
            <v>C</v>
          </cell>
        </row>
        <row r="5113">
          <cell r="B5113" t="str">
            <v>LXWT-96|</v>
          </cell>
          <cell r="J5113" t="str">
            <v>C</v>
          </cell>
          <cell r="N5113" t="str">
            <v>C</v>
          </cell>
        </row>
        <row r="5114">
          <cell r="B5114" t="str">
            <v>LZPS-10|</v>
          </cell>
          <cell r="J5114" t="str">
            <v>C</v>
          </cell>
          <cell r="N5114" t="str">
            <v>C</v>
          </cell>
        </row>
        <row r="5115">
          <cell r="B5115" t="str">
            <v>LZPR-97|</v>
          </cell>
          <cell r="J5115" t="str">
            <v>C</v>
          </cell>
          <cell r="N5115" t="str">
            <v>C</v>
          </cell>
        </row>
        <row r="5116">
          <cell r="B5116" t="str">
            <v>LXWT-95|</v>
          </cell>
          <cell r="J5116" t="str">
            <v>C</v>
          </cell>
          <cell r="N5116" t="str">
            <v>C</v>
          </cell>
        </row>
        <row r="5117">
          <cell r="B5117" t="str">
            <v>LZPT-77|</v>
          </cell>
          <cell r="J5117" t="str">
            <v>C</v>
          </cell>
          <cell r="N5117" t="str">
            <v>C</v>
          </cell>
        </row>
        <row r="5118">
          <cell r="B5118" t="str">
            <v>LZPT-62|</v>
          </cell>
          <cell r="J5118" t="str">
            <v>C</v>
          </cell>
          <cell r="N5118" t="str">
            <v>C</v>
          </cell>
        </row>
        <row r="5119">
          <cell r="B5119" t="str">
            <v>LXWT-85|</v>
          </cell>
          <cell r="J5119" t="str">
            <v>C</v>
          </cell>
          <cell r="N5119" t="str">
            <v>C</v>
          </cell>
        </row>
        <row r="5120">
          <cell r="B5120" t="str">
            <v>9951 / TBZB-24|</v>
          </cell>
          <cell r="J5120" t="str">
            <v>C</v>
          </cell>
          <cell r="N5120" t="str">
            <v>C</v>
          </cell>
        </row>
        <row r="5121">
          <cell r="B5121" t="str">
            <v>LZPS-11|</v>
          </cell>
          <cell r="J5121" t="str">
            <v>C</v>
          </cell>
          <cell r="N5121" t="str">
            <v>C</v>
          </cell>
        </row>
        <row r="5122">
          <cell r="B5122" t="str">
            <v>LZPS-17|</v>
          </cell>
          <cell r="J5122" t="str">
            <v>C</v>
          </cell>
          <cell r="N5122" t="str">
            <v>C</v>
          </cell>
        </row>
        <row r="5123">
          <cell r="B5123" t="str">
            <v>LZPT-59|</v>
          </cell>
          <cell r="J5123" t="str">
            <v>C</v>
          </cell>
          <cell r="N5123" t="str">
            <v>C</v>
          </cell>
        </row>
        <row r="5124">
          <cell r="B5124" t="str">
            <v>LZPS-25|</v>
          </cell>
          <cell r="J5124" t="str">
            <v>C</v>
          </cell>
          <cell r="N5124" t="str">
            <v>C</v>
          </cell>
        </row>
        <row r="5125">
          <cell r="B5125" t="str">
            <v>LZPG-27|</v>
          </cell>
          <cell r="J5125" t="str">
            <v>C</v>
          </cell>
          <cell r="N5125" t="str">
            <v>C</v>
          </cell>
        </row>
        <row r="5126">
          <cell r="B5126" t="str">
            <v>LZPR-93|</v>
          </cell>
          <cell r="J5126" t="str">
            <v>C</v>
          </cell>
          <cell r="N5126" t="str">
            <v>C</v>
          </cell>
        </row>
        <row r="5127">
          <cell r="B5127" t="str">
            <v>9925 / SXKV-97|</v>
          </cell>
          <cell r="J5127" t="str">
            <v>C</v>
          </cell>
          <cell r="N5127" t="str">
            <v>C</v>
          </cell>
        </row>
        <row r="5128">
          <cell r="B5128" t="str">
            <v>LZPW-17|</v>
          </cell>
          <cell r="J5128" t="str">
            <v>C</v>
          </cell>
          <cell r="N5128" t="str">
            <v>C</v>
          </cell>
        </row>
        <row r="5129">
          <cell r="B5129" t="str">
            <v>LZPV-98|</v>
          </cell>
          <cell r="J5129" t="str">
            <v>C</v>
          </cell>
          <cell r="N5129" t="str">
            <v>C</v>
          </cell>
        </row>
        <row r="5130">
          <cell r="B5130" t="str">
            <v>LZPT-49|</v>
          </cell>
          <cell r="J5130" t="str">
            <v>C</v>
          </cell>
          <cell r="N5130" t="str">
            <v>C</v>
          </cell>
        </row>
        <row r="5131">
          <cell r="B5131" t="str">
            <v>LZPT-67|</v>
          </cell>
          <cell r="J5131" t="str">
            <v>C</v>
          </cell>
          <cell r="N5131" t="str">
            <v>C</v>
          </cell>
        </row>
        <row r="5132">
          <cell r="B5132" t="str">
            <v>LZPW-10|</v>
          </cell>
          <cell r="J5132" t="str">
            <v>C</v>
          </cell>
          <cell r="N5132" t="str">
            <v>C</v>
          </cell>
        </row>
        <row r="5133">
          <cell r="B5133" t="str">
            <v>LZPG-15|</v>
          </cell>
          <cell r="J5133" t="str">
            <v>C</v>
          </cell>
          <cell r="N5133" t="str">
            <v>C</v>
          </cell>
        </row>
        <row r="5134">
          <cell r="B5134" t="str">
            <v>LZPG-13</v>
          </cell>
          <cell r="J5134" t="str">
            <v>C</v>
          </cell>
          <cell r="N5134" t="str">
            <v>C</v>
          </cell>
        </row>
        <row r="5135">
          <cell r="B5135" t="str">
            <v>LZPV-99</v>
          </cell>
          <cell r="J5135" t="str">
            <v>C</v>
          </cell>
          <cell r="N5135" t="str">
            <v>C</v>
          </cell>
        </row>
        <row r="5136">
          <cell r="B5136" t="str">
            <v>LZPG-24|</v>
          </cell>
          <cell r="J5136" t="str">
            <v>C</v>
          </cell>
          <cell r="N5136" t="str">
            <v>C</v>
          </cell>
        </row>
        <row r="5137">
          <cell r="B5137" t="str">
            <v>LZPG-23|</v>
          </cell>
          <cell r="J5137" t="str">
            <v>C</v>
          </cell>
          <cell r="N5137" t="str">
            <v>C</v>
          </cell>
        </row>
        <row r="5138">
          <cell r="B5138" t="str">
            <v>LZRB-84|</v>
          </cell>
          <cell r="J5138" t="str">
            <v>C</v>
          </cell>
          <cell r="N5138" t="str">
            <v>C</v>
          </cell>
        </row>
        <row r="5139">
          <cell r="B5139" t="str">
            <v>LZPR-98|</v>
          </cell>
          <cell r="J5139" t="str">
            <v>C</v>
          </cell>
          <cell r="N5139" t="str">
            <v>C</v>
          </cell>
        </row>
        <row r="5140">
          <cell r="B5140" t="str">
            <v>GCBF-49|</v>
          </cell>
          <cell r="J5140" t="str">
            <v>C</v>
          </cell>
          <cell r="N5140" t="str">
            <v>C</v>
          </cell>
        </row>
        <row r="5141">
          <cell r="B5141" t="str">
            <v>LZPT-61|</v>
          </cell>
          <cell r="J5141" t="str">
            <v>C</v>
          </cell>
          <cell r="N5141" t="str">
            <v>C</v>
          </cell>
        </row>
        <row r="5142">
          <cell r="B5142" t="str">
            <v>LXWT-99|</v>
          </cell>
          <cell r="J5142" t="str">
            <v>C</v>
          </cell>
          <cell r="N5142" t="str">
            <v>C</v>
          </cell>
        </row>
        <row r="5143">
          <cell r="B5143" t="str">
            <v>3020 / SFWZ-20|</v>
          </cell>
          <cell r="J5143" t="str">
            <v>B</v>
          </cell>
          <cell r="N5143" t="str">
            <v>B</v>
          </cell>
        </row>
        <row r="5144">
          <cell r="B5144" t="str">
            <v>LZPW-20|</v>
          </cell>
          <cell r="J5144" t="str">
            <v>C</v>
          </cell>
          <cell r="N5144" t="str">
            <v>C</v>
          </cell>
        </row>
        <row r="5145">
          <cell r="B5145" t="str">
            <v>LZPS-23|</v>
          </cell>
          <cell r="J5145" t="str">
            <v>C</v>
          </cell>
          <cell r="N5145" t="str">
            <v>C</v>
          </cell>
        </row>
        <row r="5146">
          <cell r="B5146" t="str">
            <v>LZPR-97|</v>
          </cell>
          <cell r="J5146" t="str">
            <v>C</v>
          </cell>
          <cell r="N5146" t="str">
            <v>C</v>
          </cell>
        </row>
        <row r="5147">
          <cell r="B5147" t="str">
            <v>LZPG-14</v>
          </cell>
          <cell r="J5147" t="str">
            <v>C</v>
          </cell>
          <cell r="N5147" t="str">
            <v>C</v>
          </cell>
        </row>
        <row r="5148">
          <cell r="B5148" t="str">
            <v>LZPR-82|</v>
          </cell>
          <cell r="J5148" t="str">
            <v>C</v>
          </cell>
          <cell r="N5148" t="str">
            <v>C</v>
          </cell>
        </row>
        <row r="5149">
          <cell r="B5149" t="str">
            <v>GCBF-46|</v>
          </cell>
          <cell r="J5149" t="str">
            <v>C</v>
          </cell>
          <cell r="N5149" t="str">
            <v>C</v>
          </cell>
        </row>
        <row r="5150">
          <cell r="B5150" t="str">
            <v>LZPS-10|</v>
          </cell>
          <cell r="J5150" t="str">
            <v>C</v>
          </cell>
          <cell r="N5150" t="str">
            <v>C</v>
          </cell>
        </row>
        <row r="5151">
          <cell r="B5151" t="str">
            <v>LZPW-22|</v>
          </cell>
          <cell r="J5151" t="str">
            <v>C</v>
          </cell>
          <cell r="N5151" t="str">
            <v>C</v>
          </cell>
        </row>
        <row r="5152">
          <cell r="B5152" t="str">
            <v>LZPR-81</v>
          </cell>
          <cell r="J5152" t="str">
            <v>C</v>
          </cell>
          <cell r="N5152" t="str">
            <v>C</v>
          </cell>
        </row>
        <row r="5153">
          <cell r="B5153" t="str">
            <v>LZPT-77</v>
          </cell>
          <cell r="J5153" t="str">
            <v>C</v>
          </cell>
          <cell r="N5153" t="str">
            <v>C</v>
          </cell>
        </row>
        <row r="5154">
          <cell r="B5154" t="str">
            <v>LXWT-91</v>
          </cell>
          <cell r="J5154" t="str">
            <v>C</v>
          </cell>
          <cell r="N5154" t="str">
            <v>C</v>
          </cell>
        </row>
        <row r="5155">
          <cell r="B5155" t="str">
            <v>LZPG-21|</v>
          </cell>
          <cell r="J5155" t="str">
            <v>C</v>
          </cell>
          <cell r="N5155" t="str">
            <v>C</v>
          </cell>
        </row>
        <row r="5156">
          <cell r="B5156" t="str">
            <v>LZPW-11</v>
          </cell>
          <cell r="J5156" t="str">
            <v>C</v>
          </cell>
          <cell r="N5156" t="str">
            <v>C</v>
          </cell>
        </row>
        <row r="5157">
          <cell r="B5157" t="str">
            <v>LZPG-16|</v>
          </cell>
          <cell r="J5157" t="str">
            <v>C</v>
          </cell>
          <cell r="N5157" t="str">
            <v>C</v>
          </cell>
        </row>
        <row r="5158">
          <cell r="B5158" t="str">
            <v>LZPR-92|</v>
          </cell>
          <cell r="J5158" t="str">
            <v>C</v>
          </cell>
          <cell r="N5158" t="str">
            <v>C</v>
          </cell>
        </row>
        <row r="5159">
          <cell r="B5159" t="str">
            <v>LZRB-88|</v>
          </cell>
          <cell r="J5159" t="str">
            <v>C</v>
          </cell>
          <cell r="N5159" t="str">
            <v>C</v>
          </cell>
        </row>
        <row r="5160">
          <cell r="B5160" t="str">
            <v>LZPG-25|</v>
          </cell>
          <cell r="J5160" t="str">
            <v>C</v>
          </cell>
          <cell r="N5160" t="str">
            <v>C</v>
          </cell>
        </row>
        <row r="5161">
          <cell r="B5161" t="str">
            <v>LZPT-47|</v>
          </cell>
          <cell r="J5161" t="str">
            <v>C</v>
          </cell>
          <cell r="N5161" t="str">
            <v>C</v>
          </cell>
        </row>
        <row r="5162">
          <cell r="B5162" t="str">
            <v>LZPT-59|</v>
          </cell>
          <cell r="J5162" t="str">
            <v>C</v>
          </cell>
          <cell r="N5162" t="str">
            <v>C</v>
          </cell>
        </row>
        <row r="5163">
          <cell r="B5163" t="str">
            <v>LZPT-48|</v>
          </cell>
          <cell r="J5163" t="str">
            <v>C</v>
          </cell>
          <cell r="N5163" t="str">
            <v>C</v>
          </cell>
        </row>
        <row r="5164">
          <cell r="B5164" t="str">
            <v>LZPR-94|</v>
          </cell>
          <cell r="J5164" t="str">
            <v>C</v>
          </cell>
          <cell r="N5164" t="str">
            <v>C</v>
          </cell>
        </row>
        <row r="5165">
          <cell r="B5165" t="str">
            <v>LXWT-97|</v>
          </cell>
          <cell r="J5165" t="str">
            <v>C</v>
          </cell>
          <cell r="N5165" t="str">
            <v>C</v>
          </cell>
        </row>
        <row r="5166">
          <cell r="B5166" t="str">
            <v>9929 / SXKV-98|</v>
          </cell>
          <cell r="J5166" t="str">
            <v>C</v>
          </cell>
          <cell r="N5166" t="str">
            <v>C</v>
          </cell>
        </row>
        <row r="5167">
          <cell r="B5167" t="str">
            <v>LZPG-15|</v>
          </cell>
          <cell r="J5167" t="str">
            <v>C</v>
          </cell>
          <cell r="N5167" t="str">
            <v>C</v>
          </cell>
        </row>
        <row r="5168">
          <cell r="B5168" t="str">
            <v>LZPW-12|</v>
          </cell>
          <cell r="J5168" t="str">
            <v>C</v>
          </cell>
          <cell r="N5168" t="str">
            <v>C</v>
          </cell>
        </row>
        <row r="5169">
          <cell r="B5169" t="str">
            <v>LZPT-53|</v>
          </cell>
          <cell r="J5169" t="str">
            <v>C</v>
          </cell>
          <cell r="N5169" t="str">
            <v>C</v>
          </cell>
        </row>
        <row r="5170">
          <cell r="B5170" t="str">
            <v>LXWT-84|</v>
          </cell>
          <cell r="J5170" t="str">
            <v>C</v>
          </cell>
          <cell r="N5170" t="str">
            <v>C</v>
          </cell>
        </row>
        <row r="5171">
          <cell r="B5171" t="str">
            <v>LZPT-55|</v>
          </cell>
          <cell r="J5171" t="str">
            <v>C</v>
          </cell>
          <cell r="N5171" t="str">
            <v>C</v>
          </cell>
        </row>
        <row r="5172">
          <cell r="B5172" t="str">
            <v>LZPT-71|</v>
          </cell>
          <cell r="J5172" t="str">
            <v>C</v>
          </cell>
          <cell r="N5172" t="str">
            <v>C</v>
          </cell>
        </row>
        <row r="5173">
          <cell r="B5173" t="str">
            <v>GCBF-43|</v>
          </cell>
          <cell r="J5173" t="str">
            <v>C</v>
          </cell>
          <cell r="N5173" t="str">
            <v>C</v>
          </cell>
        </row>
        <row r="5174">
          <cell r="B5174" t="str">
            <v>LZPW-19|</v>
          </cell>
          <cell r="J5174" t="str">
            <v>C</v>
          </cell>
          <cell r="N5174" t="str">
            <v>C</v>
          </cell>
        </row>
        <row r="5175">
          <cell r="B5175" t="str">
            <v>LXWT-83|</v>
          </cell>
          <cell r="J5175" t="str">
            <v>C</v>
          </cell>
          <cell r="N5175" t="str">
            <v>C</v>
          </cell>
        </row>
        <row r="5176">
          <cell r="B5176" t="str">
            <v>LXWT-95|</v>
          </cell>
          <cell r="J5176" t="str">
            <v>C</v>
          </cell>
          <cell r="N5176" t="str">
            <v>C</v>
          </cell>
        </row>
        <row r="5177">
          <cell r="B5177" t="str">
            <v>LZPT-56|</v>
          </cell>
          <cell r="J5177" t="str">
            <v>C</v>
          </cell>
          <cell r="N5177" t="str">
            <v>C</v>
          </cell>
        </row>
        <row r="5178">
          <cell r="B5178" t="str">
            <v>LZPS-23|</v>
          </cell>
          <cell r="J5178" t="str">
            <v>C</v>
          </cell>
          <cell r="N5178" t="str">
            <v>C</v>
          </cell>
        </row>
        <row r="5179">
          <cell r="B5179" t="str">
            <v>LZPR-87|</v>
          </cell>
          <cell r="J5179" t="str">
            <v>C</v>
          </cell>
          <cell r="N5179" t="str">
            <v>C</v>
          </cell>
        </row>
        <row r="5180">
          <cell r="B5180" t="str">
            <v>LXWT-82|</v>
          </cell>
          <cell r="J5180" t="str">
            <v>C</v>
          </cell>
          <cell r="N5180" t="str">
            <v>C</v>
          </cell>
        </row>
        <row r="5181">
          <cell r="B5181" t="str">
            <v>LZPG-23|</v>
          </cell>
          <cell r="J5181" t="str">
            <v>C</v>
          </cell>
          <cell r="N5181" t="str">
            <v>C</v>
          </cell>
        </row>
        <row r="5182">
          <cell r="B5182" t="str">
            <v>LZPG-20</v>
          </cell>
          <cell r="J5182" t="str">
            <v>C</v>
          </cell>
          <cell r="N5182" t="str">
            <v>C</v>
          </cell>
        </row>
        <row r="5183">
          <cell r="B5183" t="str">
            <v>LZPS-17</v>
          </cell>
          <cell r="J5183" t="str">
            <v>C</v>
          </cell>
          <cell r="N5183" t="str">
            <v>C</v>
          </cell>
        </row>
        <row r="5184">
          <cell r="B5184" t="str">
            <v>LZPG-27</v>
          </cell>
          <cell r="J5184" t="str">
            <v>C</v>
          </cell>
          <cell r="N5184" t="str">
            <v>C</v>
          </cell>
        </row>
        <row r="5185">
          <cell r="B5185" t="str">
            <v>LZPW-11</v>
          </cell>
          <cell r="J5185" t="str">
            <v>C</v>
          </cell>
          <cell r="N5185" t="str">
            <v>C</v>
          </cell>
        </row>
        <row r="5186">
          <cell r="B5186" t="str">
            <v>LZRB-86</v>
          </cell>
          <cell r="J5186" t="str">
            <v>C</v>
          </cell>
          <cell r="N5186" t="str">
            <v>C</v>
          </cell>
        </row>
        <row r="5187">
          <cell r="B5187" t="str">
            <v>LZPS-18</v>
          </cell>
          <cell r="J5187" t="str">
            <v>C</v>
          </cell>
          <cell r="N5187" t="str">
            <v>C</v>
          </cell>
        </row>
        <row r="5188">
          <cell r="B5188" t="str">
            <v>LZPT-69</v>
          </cell>
          <cell r="J5188" t="str">
            <v>C</v>
          </cell>
          <cell r="N5188" t="str">
            <v>C</v>
          </cell>
        </row>
        <row r="5189">
          <cell r="B5189" t="str">
            <v>LXWT-91</v>
          </cell>
          <cell r="J5189" t="str">
            <v>C</v>
          </cell>
          <cell r="N5189" t="str">
            <v>C</v>
          </cell>
        </row>
        <row r="5190">
          <cell r="B5190" t="str">
            <v>LZPR-84|</v>
          </cell>
          <cell r="J5190" t="str">
            <v>C</v>
          </cell>
          <cell r="N5190" t="str">
            <v>C</v>
          </cell>
        </row>
        <row r="5191">
          <cell r="B5191" t="str">
            <v>LZPT-41|</v>
          </cell>
          <cell r="J5191" t="str">
            <v>C</v>
          </cell>
          <cell r="N5191" t="str">
            <v>C</v>
          </cell>
        </row>
        <row r="5192">
          <cell r="B5192" t="str">
            <v>LZPG-12|</v>
          </cell>
          <cell r="J5192" t="str">
            <v>C</v>
          </cell>
          <cell r="N5192" t="str">
            <v>C</v>
          </cell>
        </row>
        <row r="5193">
          <cell r="B5193" t="str">
            <v>LZPS-25|</v>
          </cell>
          <cell r="J5193" t="str">
            <v>C</v>
          </cell>
          <cell r="N5193" t="str">
            <v>C</v>
          </cell>
        </row>
        <row r="5194">
          <cell r="B5194" t="str">
            <v>LZPR-92|</v>
          </cell>
          <cell r="J5194" t="str">
            <v>C</v>
          </cell>
          <cell r="N5194" t="str">
            <v>C</v>
          </cell>
        </row>
        <row r="5195">
          <cell r="B5195" t="str">
            <v>LXWT-87|</v>
          </cell>
          <cell r="J5195" t="str">
            <v>C</v>
          </cell>
          <cell r="N5195" t="str">
            <v>C</v>
          </cell>
        </row>
        <row r="5196">
          <cell r="B5196" t="str">
            <v>LZPR-89|</v>
          </cell>
          <cell r="J5196" t="str">
            <v>C</v>
          </cell>
          <cell r="N5196" t="str">
            <v>C</v>
          </cell>
        </row>
        <row r="5197">
          <cell r="B5197" t="str">
            <v>VJXC-42|</v>
          </cell>
          <cell r="J5197" t="str">
            <v>B</v>
          </cell>
          <cell r="N5197" t="str">
            <v>B</v>
          </cell>
        </row>
        <row r="5198">
          <cell r="B5198" t="str">
            <v>LZRB-85|</v>
          </cell>
          <cell r="J5198" t="str">
            <v>C</v>
          </cell>
          <cell r="N5198" t="str">
            <v>C</v>
          </cell>
        </row>
        <row r="5199">
          <cell r="B5199" t="str">
            <v>LZPT-48|</v>
          </cell>
          <cell r="J5199" t="str">
            <v>C</v>
          </cell>
          <cell r="N5199" t="str">
            <v>C</v>
          </cell>
        </row>
        <row r="5200">
          <cell r="B5200" t="str">
            <v>LZPG-26|</v>
          </cell>
          <cell r="J5200" t="str">
            <v>C</v>
          </cell>
          <cell r="N5200" t="str">
            <v>C</v>
          </cell>
        </row>
        <row r="5201">
          <cell r="B5201" t="str">
            <v>LZPR-86|</v>
          </cell>
          <cell r="J5201" t="str">
            <v>C</v>
          </cell>
          <cell r="N5201" t="str">
            <v>C</v>
          </cell>
        </row>
        <row r="5202">
          <cell r="B5202" t="str">
            <v>LZPG-15|</v>
          </cell>
          <cell r="J5202" t="str">
            <v>C</v>
          </cell>
          <cell r="N5202" t="str">
            <v>C</v>
          </cell>
        </row>
        <row r="5203">
          <cell r="B5203" t="str">
            <v>LXWT-97|</v>
          </cell>
          <cell r="J5203" t="str">
            <v>C</v>
          </cell>
          <cell r="N5203" t="str">
            <v>C</v>
          </cell>
        </row>
        <row r="5204">
          <cell r="B5204" t="str">
            <v>LZPR-96|</v>
          </cell>
          <cell r="J5204" t="str">
            <v>C</v>
          </cell>
          <cell r="N5204" t="str">
            <v>C</v>
          </cell>
        </row>
        <row r="5205">
          <cell r="B5205" t="str">
            <v>LZPT-45|</v>
          </cell>
          <cell r="J5205" t="str">
            <v>C</v>
          </cell>
          <cell r="N5205" t="str">
            <v>C</v>
          </cell>
        </row>
        <row r="5206">
          <cell r="B5206" t="str">
            <v>LZPW-12|</v>
          </cell>
          <cell r="J5206" t="str">
            <v>C</v>
          </cell>
          <cell r="N5206" t="str">
            <v>C</v>
          </cell>
        </row>
        <row r="5207">
          <cell r="B5207" t="str">
            <v>LZPT-74|</v>
          </cell>
          <cell r="J5207" t="str">
            <v>C</v>
          </cell>
          <cell r="N5207" t="str">
            <v>C</v>
          </cell>
        </row>
        <row r="5208">
          <cell r="B5208" t="str">
            <v>LXWT-84|</v>
          </cell>
          <cell r="J5208" t="str">
            <v>C</v>
          </cell>
          <cell r="N5208" t="str">
            <v>C</v>
          </cell>
        </row>
        <row r="5209">
          <cell r="B5209" t="str">
            <v>LZPG-23|</v>
          </cell>
          <cell r="J5209" t="str">
            <v>C</v>
          </cell>
          <cell r="N5209" t="str">
            <v>C</v>
          </cell>
        </row>
        <row r="5210">
          <cell r="B5210" t="str">
            <v>LZPS-15|</v>
          </cell>
          <cell r="J5210" t="str">
            <v>C</v>
          </cell>
          <cell r="N5210" t="str">
            <v>C</v>
          </cell>
        </row>
        <row r="5211">
          <cell r="B5211" t="str">
            <v>GCBF-50|</v>
          </cell>
          <cell r="J5211" t="str">
            <v>C</v>
          </cell>
          <cell r="N5211" t="str">
            <v>C</v>
          </cell>
        </row>
        <row r="5212">
          <cell r="B5212" t="str">
            <v>GCBF-43|</v>
          </cell>
          <cell r="J5212" t="str">
            <v>C</v>
          </cell>
          <cell r="N5212" t="str">
            <v>C</v>
          </cell>
        </row>
        <row r="5213">
          <cell r="B5213" t="str">
            <v>LZPT-57|</v>
          </cell>
          <cell r="J5213" t="str">
            <v>C</v>
          </cell>
          <cell r="N5213" t="str">
            <v>C</v>
          </cell>
        </row>
        <row r="5214">
          <cell r="B5214" t="str">
            <v>GCBF-46|</v>
          </cell>
          <cell r="J5214" t="str">
            <v>C</v>
          </cell>
          <cell r="N5214" t="str">
            <v>C</v>
          </cell>
        </row>
        <row r="5215">
          <cell r="B5215" t="str">
            <v>LXWT-82|</v>
          </cell>
          <cell r="J5215" t="str">
            <v>C</v>
          </cell>
          <cell r="N5215" t="str">
            <v>C</v>
          </cell>
        </row>
        <row r="5216">
          <cell r="B5216" t="str">
            <v>LXWT-94|</v>
          </cell>
          <cell r="J5216" t="str">
            <v>C</v>
          </cell>
          <cell r="N5216" t="str">
            <v>C</v>
          </cell>
        </row>
        <row r="5217">
          <cell r="B5217" t="str">
            <v>3077 / SFWZ-55|</v>
          </cell>
          <cell r="J5217" t="str">
            <v>B</v>
          </cell>
          <cell r="N5217" t="str">
            <v>B</v>
          </cell>
        </row>
        <row r="5218">
          <cell r="B5218" t="str">
            <v>3062 / SFWZ-10|</v>
          </cell>
          <cell r="J5218" t="str">
            <v>B</v>
          </cell>
          <cell r="N5218" t="str">
            <v>B</v>
          </cell>
        </row>
        <row r="5219">
          <cell r="B5219" t="str">
            <v>LZPG-13|</v>
          </cell>
          <cell r="J5219" t="str">
            <v>C</v>
          </cell>
          <cell r="N5219" t="str">
            <v>C</v>
          </cell>
        </row>
        <row r="5220">
          <cell r="B5220" t="str">
            <v>LZPW-17|</v>
          </cell>
          <cell r="J5220" t="str">
            <v>C</v>
          </cell>
          <cell r="N5220" t="str">
            <v>C</v>
          </cell>
        </row>
        <row r="5221">
          <cell r="B5221" t="str">
            <v>LZPT-73|</v>
          </cell>
          <cell r="J5221" t="str">
            <v>C</v>
          </cell>
          <cell r="N5221" t="str">
            <v>C</v>
          </cell>
        </row>
        <row r="5222">
          <cell r="B5222" t="str">
            <v>LZRB-88|</v>
          </cell>
          <cell r="J5222" t="str">
            <v>C</v>
          </cell>
          <cell r="N5222" t="str">
            <v>C</v>
          </cell>
        </row>
        <row r="5223">
          <cell r="B5223" t="str">
            <v>LXWT-95|</v>
          </cell>
          <cell r="J5223" t="str">
            <v>C</v>
          </cell>
          <cell r="N5223" t="str">
            <v>C</v>
          </cell>
        </row>
        <row r="5224">
          <cell r="B5224" t="str">
            <v>LZPT-55|</v>
          </cell>
          <cell r="J5224" t="str">
            <v>C</v>
          </cell>
          <cell r="N5224" t="str">
            <v>C</v>
          </cell>
        </row>
        <row r="5225">
          <cell r="B5225" t="str">
            <v>LXWT-91|</v>
          </cell>
          <cell r="J5225" t="str">
            <v>C</v>
          </cell>
          <cell r="N5225" t="str">
            <v>C</v>
          </cell>
        </row>
        <row r="5226">
          <cell r="B5226" t="str">
            <v>LZPR-84|</v>
          </cell>
          <cell r="J5226" t="str">
            <v>C</v>
          </cell>
          <cell r="N5226" t="str">
            <v>C</v>
          </cell>
        </row>
        <row r="5227">
          <cell r="B5227" t="str">
            <v>LZPT-59|</v>
          </cell>
          <cell r="J5227" t="str">
            <v>C</v>
          </cell>
          <cell r="N5227" t="str">
            <v>C</v>
          </cell>
        </row>
        <row r="5228">
          <cell r="B5228" t="str">
            <v>LZPW-15|</v>
          </cell>
          <cell r="J5228" t="str">
            <v>C</v>
          </cell>
          <cell r="N5228" t="str">
            <v>C</v>
          </cell>
        </row>
        <row r="5229">
          <cell r="B5229" t="str">
            <v>LZPT-50|</v>
          </cell>
          <cell r="J5229" t="str">
            <v>C</v>
          </cell>
          <cell r="N5229" t="str">
            <v>C</v>
          </cell>
        </row>
        <row r="5230">
          <cell r="B5230" t="str">
            <v>LZPW-15|</v>
          </cell>
          <cell r="J5230" t="str">
            <v>C</v>
          </cell>
          <cell r="N5230" t="str">
            <v>C</v>
          </cell>
        </row>
        <row r="5231">
          <cell r="B5231" t="str">
            <v>LZPT-44|</v>
          </cell>
          <cell r="J5231" t="str">
            <v>C</v>
          </cell>
          <cell r="N5231" t="str">
            <v>C</v>
          </cell>
        </row>
        <row r="5232">
          <cell r="B5232" t="str">
            <v>LZPT-41|</v>
          </cell>
          <cell r="J5232" t="str">
            <v>C</v>
          </cell>
          <cell r="N5232" t="str">
            <v>C</v>
          </cell>
        </row>
        <row r="5233">
          <cell r="B5233" t="str">
            <v>LZPT-72|</v>
          </cell>
          <cell r="J5233" t="str">
            <v>C</v>
          </cell>
          <cell r="N5233" t="str">
            <v>C</v>
          </cell>
        </row>
        <row r="5234">
          <cell r="B5234" t="str">
            <v>LZPG-25|</v>
          </cell>
          <cell r="J5234" t="str">
            <v>C</v>
          </cell>
          <cell r="N5234" t="str">
            <v>C</v>
          </cell>
        </row>
        <row r="5235">
          <cell r="B5235" t="str">
            <v>LZRB-85|</v>
          </cell>
          <cell r="J5235" t="str">
            <v>C</v>
          </cell>
          <cell r="N5235" t="str">
            <v>C</v>
          </cell>
        </row>
        <row r="5236">
          <cell r="B5236" t="str">
            <v>LZPW-22|</v>
          </cell>
          <cell r="J5236" t="str">
            <v>C</v>
          </cell>
          <cell r="N5236" t="str">
            <v>C</v>
          </cell>
        </row>
        <row r="5237">
          <cell r="B5237" t="str">
            <v>LZPR-92|</v>
          </cell>
          <cell r="J5237" t="str">
            <v>C</v>
          </cell>
          <cell r="N5237" t="str">
            <v>C</v>
          </cell>
        </row>
        <row r="5238">
          <cell r="B5238" t="str">
            <v>LZPR-80|</v>
          </cell>
          <cell r="J5238" t="str">
            <v>C</v>
          </cell>
          <cell r="N5238" t="str">
            <v>C</v>
          </cell>
        </row>
        <row r="5239">
          <cell r="B5239" t="str">
            <v>GCBF-47|</v>
          </cell>
          <cell r="J5239" t="str">
            <v>C</v>
          </cell>
          <cell r="N5239" t="str">
            <v>C</v>
          </cell>
        </row>
        <row r="5240">
          <cell r="B5240" t="str">
            <v>LZPV-99|</v>
          </cell>
          <cell r="J5240" t="str">
            <v>C</v>
          </cell>
          <cell r="N5240" t="str">
            <v>C</v>
          </cell>
        </row>
        <row r="5241">
          <cell r="B5241" t="str">
            <v>LZPR-94|</v>
          </cell>
          <cell r="J5241" t="str">
            <v>C</v>
          </cell>
          <cell r="N5241" t="str">
            <v>C</v>
          </cell>
        </row>
        <row r="5242">
          <cell r="B5242" t="str">
            <v>LZPS-23|</v>
          </cell>
          <cell r="J5242" t="str">
            <v>C</v>
          </cell>
          <cell r="N5242" t="str">
            <v>C</v>
          </cell>
        </row>
        <row r="5243">
          <cell r="B5243" t="str">
            <v>LZPS-16|</v>
          </cell>
          <cell r="J5243" t="str">
            <v>C</v>
          </cell>
          <cell r="N5243" t="str">
            <v>C</v>
          </cell>
        </row>
        <row r="5244">
          <cell r="B5244" t="str">
            <v>GCBF-43|</v>
          </cell>
          <cell r="J5244" t="str">
            <v>C</v>
          </cell>
          <cell r="N5244" t="str">
            <v>C</v>
          </cell>
        </row>
        <row r="5245">
          <cell r="B5245" t="str">
            <v>LZRB-82|</v>
          </cell>
          <cell r="J5245" t="str">
            <v>C</v>
          </cell>
          <cell r="N5245" t="str">
            <v>C</v>
          </cell>
        </row>
        <row r="5246">
          <cell r="B5246" t="str">
            <v>LXWT-87|</v>
          </cell>
          <cell r="J5246" t="str">
            <v>C</v>
          </cell>
          <cell r="N5246" t="str">
            <v>C</v>
          </cell>
        </row>
        <row r="5247">
          <cell r="B5247" t="str">
            <v>LZPR-97|</v>
          </cell>
          <cell r="J5247" t="str">
            <v>C</v>
          </cell>
          <cell r="N5247" t="str">
            <v>C</v>
          </cell>
        </row>
        <row r="5248">
          <cell r="B5248" t="str">
            <v>LZPG-12|</v>
          </cell>
          <cell r="J5248" t="str">
            <v>C</v>
          </cell>
          <cell r="N5248" t="str">
            <v>C</v>
          </cell>
        </row>
        <row r="5249">
          <cell r="B5249" t="str">
            <v>LZPT-39|</v>
          </cell>
          <cell r="J5249" t="str">
            <v>C</v>
          </cell>
          <cell r="N5249" t="str">
            <v>C</v>
          </cell>
        </row>
        <row r="5250">
          <cell r="B5250" t="str">
            <v>LZPR-93|</v>
          </cell>
          <cell r="J5250" t="str">
            <v>C</v>
          </cell>
          <cell r="N5250" t="str">
            <v>C</v>
          </cell>
        </row>
        <row r="5251">
          <cell r="B5251" t="str">
            <v>LZPT-46|</v>
          </cell>
          <cell r="J5251" t="str">
            <v>C</v>
          </cell>
          <cell r="N5251" t="str">
            <v>C</v>
          </cell>
        </row>
        <row r="5252">
          <cell r="B5252" t="str">
            <v>LZPT-41|</v>
          </cell>
          <cell r="J5252" t="str">
            <v>C</v>
          </cell>
          <cell r="N5252" t="str">
            <v>C</v>
          </cell>
        </row>
        <row r="5253">
          <cell r="B5253" t="str">
            <v>LZPW-21|</v>
          </cell>
          <cell r="J5253" t="str">
            <v>C</v>
          </cell>
          <cell r="N5253" t="str">
            <v>C</v>
          </cell>
        </row>
        <row r="5254">
          <cell r="B5254" t="str">
            <v>LZPT-76|</v>
          </cell>
          <cell r="J5254" t="str">
            <v>C</v>
          </cell>
          <cell r="N5254" t="str">
            <v>C</v>
          </cell>
        </row>
        <row r="5255">
          <cell r="B5255" t="str">
            <v>LZPT-55|</v>
          </cell>
          <cell r="J5255" t="str">
            <v>C</v>
          </cell>
          <cell r="N5255" t="str">
            <v>C</v>
          </cell>
        </row>
        <row r="5256">
          <cell r="B5256" t="str">
            <v>LZPT-71|</v>
          </cell>
          <cell r="J5256" t="str">
            <v>C</v>
          </cell>
          <cell r="N5256" t="str">
            <v>C</v>
          </cell>
        </row>
        <row r="5257">
          <cell r="B5257" t="str">
            <v>LXWT-99|</v>
          </cell>
          <cell r="J5257" t="str">
            <v>C</v>
          </cell>
          <cell r="N5257" t="str">
            <v>C</v>
          </cell>
        </row>
        <row r="5258">
          <cell r="B5258" t="str">
            <v>LXWT-88|</v>
          </cell>
          <cell r="J5258" t="str">
            <v>C</v>
          </cell>
          <cell r="N5258" t="str">
            <v>C</v>
          </cell>
        </row>
        <row r="5259">
          <cell r="B5259" t="str">
            <v>LZPG-18|</v>
          </cell>
          <cell r="J5259" t="str">
            <v>C</v>
          </cell>
          <cell r="N5259" t="str">
            <v>C</v>
          </cell>
        </row>
        <row r="5260">
          <cell r="B5260" t="str">
            <v>LXWT-84|</v>
          </cell>
          <cell r="J5260" t="str">
            <v>C</v>
          </cell>
          <cell r="N5260" t="str">
            <v>C</v>
          </cell>
        </row>
        <row r="5261">
          <cell r="B5261" t="str">
            <v>GCBF-46|</v>
          </cell>
          <cell r="J5261" t="str">
            <v>C</v>
          </cell>
          <cell r="N5261" t="str">
            <v>C</v>
          </cell>
        </row>
        <row r="5262">
          <cell r="B5262" t="str">
            <v>LZPR-89|</v>
          </cell>
          <cell r="J5262" t="str">
            <v>C</v>
          </cell>
          <cell r="N5262" t="str">
            <v>C</v>
          </cell>
        </row>
        <row r="5263">
          <cell r="B5263" t="str">
            <v>LZPR-82|</v>
          </cell>
          <cell r="J5263" t="str">
            <v>C</v>
          </cell>
          <cell r="N5263" t="str">
            <v>C</v>
          </cell>
        </row>
        <row r="5264">
          <cell r="B5264" t="str">
            <v>LXWT-91|</v>
          </cell>
          <cell r="J5264" t="str">
            <v>C</v>
          </cell>
          <cell r="N5264" t="str">
            <v>C</v>
          </cell>
        </row>
        <row r="5265">
          <cell r="B5265" t="str">
            <v>LZPW-11|</v>
          </cell>
          <cell r="J5265" t="str">
            <v>C</v>
          </cell>
          <cell r="N5265" t="str">
            <v>C</v>
          </cell>
        </row>
        <row r="5266">
          <cell r="B5266" t="str">
            <v>LZPR-92|</v>
          </cell>
          <cell r="J5266" t="str">
            <v>C</v>
          </cell>
          <cell r="N5266" t="str">
            <v>C</v>
          </cell>
        </row>
        <row r="5267">
          <cell r="B5267" t="str">
            <v>LZPW-13|</v>
          </cell>
          <cell r="J5267" t="str">
            <v>C</v>
          </cell>
          <cell r="N5267" t="str">
            <v>C</v>
          </cell>
        </row>
        <row r="5268">
          <cell r="B5268" t="str">
            <v>LZPG-21|</v>
          </cell>
          <cell r="J5268" t="str">
            <v>C</v>
          </cell>
          <cell r="N5268" t="str">
            <v>C</v>
          </cell>
        </row>
        <row r="5269">
          <cell r="B5269" t="str">
            <v>LZRB-86|</v>
          </cell>
          <cell r="J5269" t="str">
            <v>C</v>
          </cell>
          <cell r="N5269" t="str">
            <v>C</v>
          </cell>
        </row>
        <row r="5270">
          <cell r="B5270" t="str">
            <v>LZPS-16|</v>
          </cell>
          <cell r="J5270" t="str">
            <v>C</v>
          </cell>
          <cell r="N5270" t="str">
            <v>C</v>
          </cell>
        </row>
        <row r="5271">
          <cell r="B5271" t="str">
            <v>LZPG-26|</v>
          </cell>
          <cell r="J5271" t="str">
            <v>C</v>
          </cell>
          <cell r="N5271" t="str">
            <v>C</v>
          </cell>
        </row>
        <row r="5272">
          <cell r="B5272" t="str">
            <v>LZPG-25|</v>
          </cell>
          <cell r="J5272" t="str">
            <v>C</v>
          </cell>
          <cell r="N5272" t="str">
            <v>C</v>
          </cell>
        </row>
        <row r="5273">
          <cell r="B5273" t="str">
            <v>LZPT-58|</v>
          </cell>
          <cell r="J5273" t="str">
            <v>C</v>
          </cell>
          <cell r="N5273" t="str">
            <v>C</v>
          </cell>
        </row>
        <row r="5274">
          <cell r="B5274" t="str">
            <v>LZPT-47|</v>
          </cell>
          <cell r="J5274" t="str">
            <v>C</v>
          </cell>
          <cell r="N5274" t="str">
            <v>C</v>
          </cell>
        </row>
        <row r="5275">
          <cell r="B5275" t="str">
            <v>LZPT-38|</v>
          </cell>
          <cell r="J5275" t="str">
            <v>C</v>
          </cell>
          <cell r="N5275" t="str">
            <v>C</v>
          </cell>
        </row>
        <row r="5276">
          <cell r="B5276" t="str">
            <v>LZPT-54|</v>
          </cell>
          <cell r="J5276" t="str">
            <v>C</v>
          </cell>
          <cell r="N5276" t="str">
            <v>C</v>
          </cell>
        </row>
        <row r="5277">
          <cell r="B5277" t="str">
            <v>LZPT-48|</v>
          </cell>
          <cell r="J5277" t="str">
            <v>C</v>
          </cell>
          <cell r="N5277" t="str">
            <v>C</v>
          </cell>
        </row>
        <row r="5278">
          <cell r="B5278" t="str">
            <v>GCBF-51|</v>
          </cell>
          <cell r="J5278" t="str">
            <v>C</v>
          </cell>
          <cell r="N5278" t="str">
            <v>C</v>
          </cell>
        </row>
        <row r="5279">
          <cell r="B5279" t="str">
            <v>3032 / SFWZ-34|</v>
          </cell>
          <cell r="J5279" t="str">
            <v>B</v>
          </cell>
          <cell r="N5279" t="str">
            <v>B</v>
          </cell>
        </row>
        <row r="5280">
          <cell r="B5280" t="str">
            <v>LZPT-40|</v>
          </cell>
          <cell r="J5280" t="str">
            <v>C</v>
          </cell>
          <cell r="N5280" t="str">
            <v>C</v>
          </cell>
        </row>
        <row r="5281">
          <cell r="B5281" t="str">
            <v>LZPT-41|</v>
          </cell>
          <cell r="J5281" t="str">
            <v>C</v>
          </cell>
          <cell r="N5281" t="str">
            <v>C</v>
          </cell>
        </row>
        <row r="5282">
          <cell r="B5282" t="str">
            <v>LZPW-19|</v>
          </cell>
          <cell r="J5282" t="str">
            <v>C</v>
          </cell>
          <cell r="N5282" t="str">
            <v>C</v>
          </cell>
        </row>
        <row r="5283">
          <cell r="B5283" t="str">
            <v>LXWT-97|</v>
          </cell>
          <cell r="J5283" t="str">
            <v>C</v>
          </cell>
          <cell r="N5283" t="str">
            <v>C</v>
          </cell>
        </row>
        <row r="5284">
          <cell r="B5284" t="str">
            <v>LZPR-84|</v>
          </cell>
          <cell r="J5284" t="str">
            <v>C</v>
          </cell>
          <cell r="N5284" t="str">
            <v>C</v>
          </cell>
        </row>
        <row r="5285">
          <cell r="B5285" t="str">
            <v>LZPS-22|</v>
          </cell>
          <cell r="J5285" t="str">
            <v>C</v>
          </cell>
          <cell r="N5285" t="str">
            <v>C</v>
          </cell>
        </row>
        <row r="5286">
          <cell r="B5286" t="str">
            <v>LXWT-89|</v>
          </cell>
          <cell r="J5286" t="str">
            <v>C</v>
          </cell>
          <cell r="N5286" t="str">
            <v>C</v>
          </cell>
        </row>
        <row r="5287">
          <cell r="B5287" t="str">
            <v>LZPW-21|</v>
          </cell>
          <cell r="J5287" t="str">
            <v>C</v>
          </cell>
          <cell r="N5287" t="str">
            <v>C</v>
          </cell>
        </row>
        <row r="5288">
          <cell r="B5288" t="str">
            <v>LZPT-53|</v>
          </cell>
          <cell r="J5288" t="str">
            <v>C</v>
          </cell>
          <cell r="N5288" t="str">
            <v>C</v>
          </cell>
        </row>
        <row r="5289">
          <cell r="B5289" t="str">
            <v>LZPT-76|</v>
          </cell>
          <cell r="J5289" t="str">
            <v>C</v>
          </cell>
          <cell r="N5289" t="str">
            <v>C</v>
          </cell>
        </row>
        <row r="5290">
          <cell r="B5290" t="str">
            <v>LZPT-55|</v>
          </cell>
          <cell r="J5290" t="str">
            <v>C</v>
          </cell>
          <cell r="N5290" t="str">
            <v>C</v>
          </cell>
        </row>
        <row r="5291">
          <cell r="B5291" t="str">
            <v>LXWT-92|</v>
          </cell>
          <cell r="J5291" t="str">
            <v>C</v>
          </cell>
          <cell r="N5291" t="str">
            <v>C</v>
          </cell>
        </row>
        <row r="5292">
          <cell r="B5292" t="str">
            <v>LZPT-65|</v>
          </cell>
          <cell r="J5292" t="str">
            <v>C</v>
          </cell>
          <cell r="N5292" t="str">
            <v>C</v>
          </cell>
        </row>
        <row r="5293">
          <cell r="B5293" t="str">
            <v>GCBF-43|</v>
          </cell>
          <cell r="J5293" t="str">
            <v>C</v>
          </cell>
          <cell r="N5293" t="str">
            <v>C</v>
          </cell>
        </row>
        <row r="5294">
          <cell r="B5294" t="str">
            <v>LZPT-45|</v>
          </cell>
          <cell r="J5294" t="str">
            <v>C</v>
          </cell>
          <cell r="N5294" t="str">
            <v>C</v>
          </cell>
        </row>
        <row r="5295">
          <cell r="B5295" t="str">
            <v>LZPT-71|</v>
          </cell>
          <cell r="J5295" t="str">
            <v>C</v>
          </cell>
          <cell r="N5295" t="str">
            <v>C</v>
          </cell>
        </row>
        <row r="5296">
          <cell r="B5296" t="str">
            <v>LZPR-87|</v>
          </cell>
          <cell r="J5296" t="str">
            <v>C</v>
          </cell>
          <cell r="N5296" t="str">
            <v>C</v>
          </cell>
        </row>
        <row r="5297">
          <cell r="B5297" t="str">
            <v>LZPT-56|</v>
          </cell>
          <cell r="J5297" t="str">
            <v>C</v>
          </cell>
          <cell r="N5297" t="str">
            <v>C</v>
          </cell>
        </row>
        <row r="5298">
          <cell r="B5298" t="str">
            <v>LZPW-16|</v>
          </cell>
          <cell r="J5298" t="str">
            <v>C</v>
          </cell>
          <cell r="N5298" t="str">
            <v>C</v>
          </cell>
        </row>
        <row r="5299">
          <cell r="B5299" t="str">
            <v>LZPT-43|</v>
          </cell>
          <cell r="J5299" t="str">
            <v>C</v>
          </cell>
          <cell r="N5299" t="str">
            <v>C</v>
          </cell>
        </row>
        <row r="5300">
          <cell r="B5300" t="str">
            <v>LXWT-96|</v>
          </cell>
          <cell r="J5300" t="str">
            <v>C</v>
          </cell>
          <cell r="N5300" t="str">
            <v>C</v>
          </cell>
        </row>
        <row r="5301">
          <cell r="B5301" t="str">
            <v>LZPS-15|</v>
          </cell>
          <cell r="J5301" t="str">
            <v>C</v>
          </cell>
          <cell r="N5301" t="str">
            <v>C</v>
          </cell>
        </row>
        <row r="5302">
          <cell r="B5302" t="str">
            <v>LZPS-11|</v>
          </cell>
          <cell r="J5302" t="str">
            <v>C</v>
          </cell>
          <cell r="N5302" t="str">
            <v>C</v>
          </cell>
        </row>
        <row r="5303">
          <cell r="B5303" t="str">
            <v>LXWT-95|</v>
          </cell>
          <cell r="J5303" t="str">
            <v>C</v>
          </cell>
          <cell r="N5303" t="str">
            <v>C</v>
          </cell>
        </row>
        <row r="5304">
          <cell r="B5304" t="str">
            <v>LXWT-82|</v>
          </cell>
          <cell r="J5304" t="str">
            <v>C</v>
          </cell>
          <cell r="N5304" t="str">
            <v>C</v>
          </cell>
        </row>
        <row r="5305">
          <cell r="B5305" t="str">
            <v>LZPG-20|</v>
          </cell>
          <cell r="J5305" t="str">
            <v>C</v>
          </cell>
          <cell r="N5305" t="str">
            <v>C</v>
          </cell>
        </row>
        <row r="5306">
          <cell r="B5306" t="str">
            <v>LZPT-57|</v>
          </cell>
          <cell r="J5306" t="str">
            <v>C</v>
          </cell>
          <cell r="N5306" t="str">
            <v>C</v>
          </cell>
        </row>
        <row r="5307">
          <cell r="B5307" t="str">
            <v>9951 / TBZB-24|</v>
          </cell>
          <cell r="J5307" t="str">
            <v>C</v>
          </cell>
          <cell r="N5307" t="str">
            <v>C</v>
          </cell>
        </row>
        <row r="5308">
          <cell r="B5308" t="str">
            <v>LZPS-17|</v>
          </cell>
          <cell r="J5308" t="str">
            <v>C</v>
          </cell>
          <cell r="N5308" t="str">
            <v>C</v>
          </cell>
        </row>
        <row r="5309">
          <cell r="B5309" t="str">
            <v>LZPR-85|</v>
          </cell>
          <cell r="J5309" t="str">
            <v>C</v>
          </cell>
          <cell r="N5309" t="str">
            <v>C</v>
          </cell>
        </row>
        <row r="5310">
          <cell r="B5310" t="str">
            <v>LZPT-62|</v>
          </cell>
          <cell r="J5310" t="str">
            <v>C</v>
          </cell>
          <cell r="N5310" t="str">
            <v>C</v>
          </cell>
        </row>
        <row r="5311">
          <cell r="B5311" t="str">
            <v>LZPG-26|</v>
          </cell>
          <cell r="J5311" t="str">
            <v>C</v>
          </cell>
          <cell r="N5311" t="str">
            <v>C</v>
          </cell>
        </row>
        <row r="5312">
          <cell r="B5312" t="str">
            <v>LZRB-86|</v>
          </cell>
          <cell r="J5312" t="str">
            <v>C</v>
          </cell>
          <cell r="N5312" t="str">
            <v>C</v>
          </cell>
        </row>
        <row r="5313">
          <cell r="B5313" t="str">
            <v>LZPS-25|</v>
          </cell>
          <cell r="J5313" t="str">
            <v>C</v>
          </cell>
          <cell r="N5313" t="str">
            <v>C</v>
          </cell>
        </row>
        <row r="5314">
          <cell r="B5314" t="str">
            <v>LZPT-54|</v>
          </cell>
          <cell r="J5314" t="str">
            <v>C</v>
          </cell>
          <cell r="N5314" t="str">
            <v>C</v>
          </cell>
        </row>
        <row r="5315">
          <cell r="B5315" t="str">
            <v>9925 / SXKV-97|</v>
          </cell>
          <cell r="J5315" t="str">
            <v>C</v>
          </cell>
          <cell r="N5315" t="str">
            <v>C</v>
          </cell>
        </row>
        <row r="5316">
          <cell r="B5316" t="str">
            <v>LZPT-41|</v>
          </cell>
          <cell r="J5316" t="str">
            <v>C</v>
          </cell>
          <cell r="N5316" t="str">
            <v>C</v>
          </cell>
        </row>
        <row r="5317">
          <cell r="B5317" t="str">
            <v>LZPR-93|</v>
          </cell>
          <cell r="J5317" t="str">
            <v>C</v>
          </cell>
          <cell r="N5317" t="str">
            <v>C</v>
          </cell>
        </row>
        <row r="5318">
          <cell r="B5318" t="str">
            <v>LZPT-49|</v>
          </cell>
          <cell r="J5318" t="str">
            <v>C</v>
          </cell>
          <cell r="N5318" t="str">
            <v>C</v>
          </cell>
        </row>
        <row r="5319">
          <cell r="B5319" t="str">
            <v>LZPT-39|</v>
          </cell>
          <cell r="J5319" t="str">
            <v>C</v>
          </cell>
          <cell r="N5319" t="str">
            <v>C</v>
          </cell>
        </row>
        <row r="5320">
          <cell r="B5320" t="str">
            <v>LZRB-85|</v>
          </cell>
          <cell r="J5320" t="str">
            <v>C</v>
          </cell>
          <cell r="N5320" t="str">
            <v>C</v>
          </cell>
        </row>
        <row r="5321">
          <cell r="B5321" t="str">
            <v>LZPR-86|</v>
          </cell>
          <cell r="J5321" t="str">
            <v>C</v>
          </cell>
          <cell r="N5321" t="str">
            <v>C</v>
          </cell>
        </row>
        <row r="5322">
          <cell r="B5322" t="str">
            <v>LZRB-83|</v>
          </cell>
          <cell r="J5322" t="str">
            <v>C</v>
          </cell>
          <cell r="N5322" t="str">
            <v>C</v>
          </cell>
        </row>
        <row r="5323">
          <cell r="B5323" t="str">
            <v>LZPT-43|</v>
          </cell>
          <cell r="J5323" t="str">
            <v>C</v>
          </cell>
          <cell r="N5323" t="str">
            <v>C</v>
          </cell>
        </row>
        <row r="5324">
          <cell r="B5324" t="str">
            <v>LZPV-99|</v>
          </cell>
          <cell r="J5324" t="str">
            <v>C</v>
          </cell>
          <cell r="N5324" t="str">
            <v>C</v>
          </cell>
        </row>
        <row r="5325">
          <cell r="B5325" t="str">
            <v>LZPT-74|</v>
          </cell>
          <cell r="J5325" t="str">
            <v>C</v>
          </cell>
          <cell r="N5325" t="str">
            <v>C</v>
          </cell>
        </row>
        <row r="5326">
          <cell r="B5326" t="str">
            <v>LZPS-16|</v>
          </cell>
          <cell r="J5326" t="str">
            <v>C</v>
          </cell>
          <cell r="N5326" t="str">
            <v>C</v>
          </cell>
        </row>
        <row r="5327">
          <cell r="B5327" t="str">
            <v>GCBF-50|</v>
          </cell>
          <cell r="J5327" t="str">
            <v>C</v>
          </cell>
          <cell r="N5327" t="str">
            <v>C</v>
          </cell>
        </row>
        <row r="5328">
          <cell r="B5328" t="str">
            <v>LZPS-15|</v>
          </cell>
          <cell r="J5328" t="str">
            <v>C</v>
          </cell>
          <cell r="N5328" t="str">
            <v>C</v>
          </cell>
        </row>
        <row r="5329">
          <cell r="B5329" t="str">
            <v>GCBF-44|</v>
          </cell>
          <cell r="J5329" t="str">
            <v>C</v>
          </cell>
          <cell r="N5329" t="str">
            <v>C</v>
          </cell>
        </row>
        <row r="5330">
          <cell r="B5330" t="str">
            <v>LZPT-61|</v>
          </cell>
          <cell r="J5330" t="str">
            <v>C</v>
          </cell>
          <cell r="N5330" t="str">
            <v>C</v>
          </cell>
        </row>
        <row r="5331">
          <cell r="B5331" t="str">
            <v>LXWT-94|</v>
          </cell>
          <cell r="J5331" t="str">
            <v>C</v>
          </cell>
          <cell r="N5331" t="str">
            <v>C</v>
          </cell>
        </row>
        <row r="5332">
          <cell r="B5332" t="str">
            <v>LZPR-82|</v>
          </cell>
          <cell r="J5332" t="str">
            <v>C</v>
          </cell>
          <cell r="N5332" t="str">
            <v>C</v>
          </cell>
        </row>
        <row r="5333">
          <cell r="B5333" t="str">
            <v>9951 / TBZB-24|</v>
          </cell>
          <cell r="J5333" t="str">
            <v>C</v>
          </cell>
          <cell r="N5333" t="str">
            <v>C</v>
          </cell>
        </row>
        <row r="5334">
          <cell r="B5334" t="str">
            <v>LXWT-92|</v>
          </cell>
          <cell r="J5334" t="str">
            <v>C</v>
          </cell>
          <cell r="N5334" t="str">
            <v>C</v>
          </cell>
        </row>
        <row r="5335">
          <cell r="B5335" t="str">
            <v>LZPR-85|</v>
          </cell>
          <cell r="J5335" t="str">
            <v>C</v>
          </cell>
          <cell r="N5335" t="str">
            <v>C</v>
          </cell>
        </row>
        <row r="5336">
          <cell r="B5336" t="str">
            <v>LZPR-81|</v>
          </cell>
          <cell r="J5336" t="str">
            <v>C</v>
          </cell>
          <cell r="N5336" t="str">
            <v>C</v>
          </cell>
        </row>
        <row r="5337">
          <cell r="B5337" t="str">
            <v>LZRB-87|</v>
          </cell>
          <cell r="J5337" t="str">
            <v>C</v>
          </cell>
          <cell r="N5337" t="str">
            <v>C</v>
          </cell>
        </row>
        <row r="5338">
          <cell r="B5338" t="str">
            <v>LZPW-22|</v>
          </cell>
          <cell r="J5338" t="str">
            <v>C</v>
          </cell>
          <cell r="N5338" t="str">
            <v>C</v>
          </cell>
        </row>
        <row r="5339">
          <cell r="B5339" t="str">
            <v>LZPR-79|</v>
          </cell>
          <cell r="J5339" t="str">
            <v>C</v>
          </cell>
          <cell r="N5339" t="str">
            <v>C</v>
          </cell>
        </row>
        <row r="5340">
          <cell r="B5340" t="str">
            <v>LZPT-50|</v>
          </cell>
          <cell r="J5340" t="str">
            <v>C</v>
          </cell>
          <cell r="N5340" t="str">
            <v>C</v>
          </cell>
        </row>
        <row r="5341">
          <cell r="B5341" t="str">
            <v>LZPR-80|</v>
          </cell>
          <cell r="J5341" t="str">
            <v>C</v>
          </cell>
          <cell r="N5341" t="str">
            <v>C</v>
          </cell>
        </row>
        <row r="5342">
          <cell r="B5342" t="str">
            <v>LZPS-10|</v>
          </cell>
          <cell r="J5342" t="str">
            <v>C</v>
          </cell>
          <cell r="N5342" t="str">
            <v>C</v>
          </cell>
        </row>
        <row r="5343">
          <cell r="B5343" t="str">
            <v>LZPT-59|</v>
          </cell>
          <cell r="J5343" t="str">
            <v>C</v>
          </cell>
          <cell r="N5343" t="str">
            <v>C</v>
          </cell>
        </row>
        <row r="5344">
          <cell r="B5344" t="str">
            <v>LZPR-93|</v>
          </cell>
          <cell r="J5344" t="str">
            <v>C</v>
          </cell>
          <cell r="N5344" t="str">
            <v>C</v>
          </cell>
        </row>
        <row r="5345">
          <cell r="B5345" t="str">
            <v>LZPT-39|</v>
          </cell>
          <cell r="J5345" t="str">
            <v>C</v>
          </cell>
          <cell r="N5345" t="str">
            <v>C</v>
          </cell>
        </row>
        <row r="5346">
          <cell r="B5346" t="str">
            <v>LZPT-72|</v>
          </cell>
          <cell r="J5346" t="str">
            <v>C</v>
          </cell>
          <cell r="N5346" t="str">
            <v>C</v>
          </cell>
        </row>
        <row r="5347">
          <cell r="B5347" t="str">
            <v>LZPT-38|</v>
          </cell>
          <cell r="J5347" t="str">
            <v>C</v>
          </cell>
          <cell r="N5347" t="str">
            <v>C</v>
          </cell>
        </row>
        <row r="5348">
          <cell r="B5348" t="str">
            <v>LZPW-16|</v>
          </cell>
          <cell r="J5348" t="str">
            <v>C</v>
          </cell>
          <cell r="N5348" t="str">
            <v>C</v>
          </cell>
        </row>
        <row r="5349">
          <cell r="B5349" t="str">
            <v>LZPG-17|</v>
          </cell>
          <cell r="J5349" t="str">
            <v>C</v>
          </cell>
          <cell r="N5349" t="str">
            <v>C</v>
          </cell>
        </row>
        <row r="5350">
          <cell r="B5350" t="str">
            <v>LZPR-88|</v>
          </cell>
          <cell r="J5350" t="str">
            <v>C</v>
          </cell>
          <cell r="N5350" t="str">
            <v>C</v>
          </cell>
        </row>
        <row r="5351">
          <cell r="B5351" t="str">
            <v>LZPT-53|</v>
          </cell>
          <cell r="J5351" t="str">
            <v>C</v>
          </cell>
          <cell r="N5351" t="str">
            <v>C</v>
          </cell>
        </row>
        <row r="5352">
          <cell r="B5352" t="str">
            <v>LZPV-99|</v>
          </cell>
          <cell r="J5352" t="str">
            <v>C</v>
          </cell>
          <cell r="N5352" t="str">
            <v>C</v>
          </cell>
        </row>
        <row r="5353">
          <cell r="B5353" t="str">
            <v>LZPS-16|</v>
          </cell>
          <cell r="J5353" t="str">
            <v>C</v>
          </cell>
          <cell r="N5353" t="str">
            <v>C</v>
          </cell>
        </row>
        <row r="5354">
          <cell r="B5354" t="str">
            <v>GCBF-51|</v>
          </cell>
          <cell r="J5354" t="str">
            <v>C</v>
          </cell>
          <cell r="N5354" t="str">
            <v>C</v>
          </cell>
        </row>
        <row r="5355">
          <cell r="B5355" t="str">
            <v>LZPG-10|</v>
          </cell>
          <cell r="J5355" t="str">
            <v>C</v>
          </cell>
          <cell r="N5355" t="str">
            <v>C</v>
          </cell>
        </row>
        <row r="5356">
          <cell r="B5356" t="str">
            <v>GCBF-47|</v>
          </cell>
          <cell r="J5356" t="str">
            <v>C</v>
          </cell>
          <cell r="N5356" t="str">
            <v>C</v>
          </cell>
        </row>
        <row r="5357">
          <cell r="B5357" t="str">
            <v>LZPR-85|</v>
          </cell>
          <cell r="J5357" t="str">
            <v>C</v>
          </cell>
          <cell r="N5357" t="str">
            <v>C</v>
          </cell>
        </row>
        <row r="5358">
          <cell r="B5358" t="str">
            <v>GCBF-44|</v>
          </cell>
          <cell r="J5358" t="str">
            <v>C</v>
          </cell>
          <cell r="N5358" t="str">
            <v>C</v>
          </cell>
        </row>
        <row r="5359">
          <cell r="B5359" t="str">
            <v>LZPT-63|</v>
          </cell>
          <cell r="J5359" t="str">
            <v>C</v>
          </cell>
          <cell r="N5359" t="str">
            <v>C</v>
          </cell>
        </row>
        <row r="5360">
          <cell r="B5360" t="str">
            <v>LZPS-23|</v>
          </cell>
          <cell r="J5360" t="str">
            <v>C</v>
          </cell>
          <cell r="N5360" t="str">
            <v>C</v>
          </cell>
        </row>
        <row r="5361">
          <cell r="B5361" t="str">
            <v>LZPG-21|</v>
          </cell>
          <cell r="J5361" t="str">
            <v>C</v>
          </cell>
          <cell r="N5361" t="str">
            <v>C</v>
          </cell>
        </row>
        <row r="5362">
          <cell r="B5362" t="str">
            <v>LZRB-82|</v>
          </cell>
          <cell r="J5362" t="str">
            <v>C</v>
          </cell>
          <cell r="N5362" t="str">
            <v>C</v>
          </cell>
        </row>
        <row r="5363">
          <cell r="B5363" t="str">
            <v>LZPR-81|</v>
          </cell>
          <cell r="J5363" t="str">
            <v>C</v>
          </cell>
          <cell r="N5363" t="str">
            <v>C</v>
          </cell>
        </row>
        <row r="5364">
          <cell r="B5364" t="str">
            <v>GCBF-48|</v>
          </cell>
          <cell r="J5364" t="str">
            <v>C</v>
          </cell>
          <cell r="N5364" t="str">
            <v>C</v>
          </cell>
        </row>
        <row r="5365">
          <cell r="B5365" t="str">
            <v>LZPG-20|</v>
          </cell>
          <cell r="J5365" t="str">
            <v>C</v>
          </cell>
          <cell r="N5365" t="str">
            <v>C</v>
          </cell>
        </row>
        <row r="5366">
          <cell r="B5366" t="str">
            <v>LZPG-14|</v>
          </cell>
          <cell r="J5366" t="str">
            <v>C</v>
          </cell>
          <cell r="N5366" t="str">
            <v>C</v>
          </cell>
        </row>
        <row r="5367">
          <cell r="B5367" t="str">
            <v>3016 / SFWB-28|</v>
          </cell>
          <cell r="J5367" t="str">
            <v>B</v>
          </cell>
          <cell r="N5367" t="str">
            <v>B</v>
          </cell>
        </row>
        <row r="5368">
          <cell r="B5368" t="str">
            <v>LZRB-87|</v>
          </cell>
          <cell r="J5368" t="str">
            <v>C</v>
          </cell>
          <cell r="N5368" t="str">
            <v>C</v>
          </cell>
        </row>
        <row r="5369">
          <cell r="B5369" t="str">
            <v>LXWT-89|</v>
          </cell>
          <cell r="J5369" t="str">
            <v>C</v>
          </cell>
          <cell r="N5369" t="str">
            <v>C</v>
          </cell>
        </row>
        <row r="5370">
          <cell r="B5370" t="str">
            <v>LZPW-11|</v>
          </cell>
          <cell r="J5370" t="str">
            <v>C</v>
          </cell>
          <cell r="N5370" t="str">
            <v>C</v>
          </cell>
        </row>
        <row r="5371">
          <cell r="B5371" t="str">
            <v>LZPT-46|</v>
          </cell>
          <cell r="J5371" t="str">
            <v>C</v>
          </cell>
          <cell r="N5371" t="str">
            <v>C</v>
          </cell>
        </row>
        <row r="5372">
          <cell r="B5372" t="str">
            <v>LZRB-86|</v>
          </cell>
          <cell r="J5372" t="str">
            <v>C</v>
          </cell>
          <cell r="N5372" t="str">
            <v>C</v>
          </cell>
        </row>
        <row r="5373">
          <cell r="B5373" t="str">
            <v>LZPG-27|</v>
          </cell>
          <cell r="J5373" t="str">
            <v>C</v>
          </cell>
          <cell r="N5373" t="str">
            <v>C</v>
          </cell>
        </row>
        <row r="5374">
          <cell r="B5374" t="str">
            <v>LZPS-18|</v>
          </cell>
          <cell r="J5374" t="str">
            <v>C</v>
          </cell>
          <cell r="N5374" t="str">
            <v>C</v>
          </cell>
        </row>
        <row r="5375">
          <cell r="B5375" t="str">
            <v>LZPG-18|</v>
          </cell>
          <cell r="J5375" t="str">
            <v>C</v>
          </cell>
          <cell r="N5375" t="str">
            <v>C</v>
          </cell>
        </row>
        <row r="5376">
          <cell r="B5376" t="str">
            <v>LZPT-64|</v>
          </cell>
          <cell r="J5376" t="str">
            <v>C</v>
          </cell>
          <cell r="N5376" t="str">
            <v>C</v>
          </cell>
        </row>
        <row r="5377">
          <cell r="B5377" t="str">
            <v>LZPT-47|</v>
          </cell>
          <cell r="J5377" t="str">
            <v>C</v>
          </cell>
          <cell r="N5377" t="str">
            <v>C</v>
          </cell>
        </row>
        <row r="5378">
          <cell r="B5378" t="str">
            <v>LZPG-12|</v>
          </cell>
          <cell r="J5378" t="str">
            <v>C</v>
          </cell>
          <cell r="N5378" t="str">
            <v>C</v>
          </cell>
        </row>
        <row r="5379">
          <cell r="B5379" t="str">
            <v>LZPT-39|</v>
          </cell>
          <cell r="J5379" t="str">
            <v>C</v>
          </cell>
          <cell r="N5379" t="str">
            <v>C</v>
          </cell>
        </row>
        <row r="5380">
          <cell r="B5380" t="str">
            <v>LZPR-93|</v>
          </cell>
          <cell r="J5380" t="str">
            <v>C</v>
          </cell>
          <cell r="N5380" t="str">
            <v>C</v>
          </cell>
        </row>
        <row r="5381">
          <cell r="B5381" t="str">
            <v>LZPW-16|</v>
          </cell>
          <cell r="J5381" t="str">
            <v>C</v>
          </cell>
          <cell r="N5381" t="str">
            <v>C</v>
          </cell>
        </row>
        <row r="5382">
          <cell r="B5382" t="str">
            <v>LZPS-10|</v>
          </cell>
          <cell r="J5382" t="str">
            <v>C</v>
          </cell>
          <cell r="N5382" t="str">
            <v>C</v>
          </cell>
        </row>
        <row r="5383">
          <cell r="B5383" t="str">
            <v>9951 / TBZB-24|</v>
          </cell>
          <cell r="J5383" t="str">
            <v>C</v>
          </cell>
          <cell r="N5383" t="str">
            <v>C</v>
          </cell>
        </row>
        <row r="5384">
          <cell r="B5384" t="str">
            <v>LZPT-60|</v>
          </cell>
          <cell r="J5384" t="str">
            <v>C</v>
          </cell>
          <cell r="N5384" t="str">
            <v>C</v>
          </cell>
        </row>
        <row r="5385">
          <cell r="B5385" t="str">
            <v>LZRB-83|</v>
          </cell>
          <cell r="J5385" t="str">
            <v>C</v>
          </cell>
          <cell r="N5385" t="str">
            <v>C</v>
          </cell>
        </row>
        <row r="5386">
          <cell r="B5386" t="str">
            <v>LZPT-38|</v>
          </cell>
          <cell r="J5386" t="str">
            <v>C</v>
          </cell>
          <cell r="N5386" t="str">
            <v>C</v>
          </cell>
        </row>
        <row r="5387">
          <cell r="B5387" t="str">
            <v>LXWT-84|</v>
          </cell>
          <cell r="J5387" t="str">
            <v>C</v>
          </cell>
          <cell r="N5387" t="str">
            <v>C</v>
          </cell>
        </row>
        <row r="5388">
          <cell r="B5388" t="str">
            <v>LZPT-63|</v>
          </cell>
          <cell r="J5388" t="str">
            <v>C</v>
          </cell>
          <cell r="N5388" t="str">
            <v>C</v>
          </cell>
        </row>
        <row r="5389">
          <cell r="B5389" t="str">
            <v>9930 / SXKV-99|</v>
          </cell>
          <cell r="J5389" t="str">
            <v>C</v>
          </cell>
          <cell r="N5389" t="str">
            <v>C</v>
          </cell>
        </row>
        <row r="5390">
          <cell r="B5390" t="str">
            <v>LZPR-81|</v>
          </cell>
          <cell r="J5390" t="str">
            <v>C</v>
          </cell>
          <cell r="N5390" t="str">
            <v>C</v>
          </cell>
        </row>
        <row r="5391">
          <cell r="B5391" t="str">
            <v>LZPG-13|</v>
          </cell>
          <cell r="J5391" t="str">
            <v>C</v>
          </cell>
          <cell r="N5391" t="str">
            <v>C</v>
          </cell>
        </row>
        <row r="5392">
          <cell r="B5392" t="str">
            <v>LXWT-82|</v>
          </cell>
          <cell r="J5392" t="str">
            <v>C</v>
          </cell>
          <cell r="N5392" t="str">
            <v>C</v>
          </cell>
        </row>
        <row r="5393">
          <cell r="B5393" t="str">
            <v>LXWT-83|</v>
          </cell>
          <cell r="J5393" t="str">
            <v>C</v>
          </cell>
          <cell r="N5393" t="str">
            <v>C</v>
          </cell>
        </row>
        <row r="5394">
          <cell r="B5394" t="str">
            <v>LZPT-48|</v>
          </cell>
          <cell r="J5394" t="str">
            <v>C</v>
          </cell>
          <cell r="N5394" t="str">
            <v>C</v>
          </cell>
        </row>
        <row r="5395">
          <cell r="B5395" t="str">
            <v>LZPR-79|</v>
          </cell>
          <cell r="J5395" t="str">
            <v>C</v>
          </cell>
          <cell r="N5395" t="str">
            <v>C</v>
          </cell>
        </row>
        <row r="5396">
          <cell r="B5396" t="str">
            <v>LZPT-64|</v>
          </cell>
          <cell r="J5396" t="str">
            <v>C</v>
          </cell>
          <cell r="N5396" t="str">
            <v>C</v>
          </cell>
        </row>
        <row r="5397">
          <cell r="B5397" t="str">
            <v>LZPG-20|</v>
          </cell>
          <cell r="J5397" t="str">
            <v>C</v>
          </cell>
          <cell r="N5397" t="str">
            <v>C</v>
          </cell>
        </row>
        <row r="5398">
          <cell r="B5398" t="str">
            <v>LZPS-12|</v>
          </cell>
          <cell r="J5398" t="str">
            <v>C</v>
          </cell>
          <cell r="N5398" t="str">
            <v>C</v>
          </cell>
        </row>
        <row r="5399">
          <cell r="B5399" t="str">
            <v>LZPT-39|</v>
          </cell>
          <cell r="J5399" t="str">
            <v>C</v>
          </cell>
          <cell r="N5399" t="str">
            <v>C</v>
          </cell>
        </row>
        <row r="5400">
          <cell r="B5400" t="str">
            <v>LXWT-96|</v>
          </cell>
          <cell r="J5400" t="str">
            <v>C</v>
          </cell>
          <cell r="N5400" t="str">
            <v>C</v>
          </cell>
        </row>
        <row r="5401">
          <cell r="B5401" t="str">
            <v>LZPW-15|</v>
          </cell>
          <cell r="J5401" t="str">
            <v>C</v>
          </cell>
          <cell r="N5401" t="str">
            <v>C</v>
          </cell>
        </row>
        <row r="5402">
          <cell r="B5402" t="str">
            <v>LZPT-58|</v>
          </cell>
          <cell r="J5402" t="str">
            <v>C</v>
          </cell>
          <cell r="N5402" t="str">
            <v>C</v>
          </cell>
        </row>
        <row r="5403">
          <cell r="B5403" t="str">
            <v>LZPT-47|</v>
          </cell>
          <cell r="J5403" t="str">
            <v>C</v>
          </cell>
          <cell r="N5403" t="str">
            <v>C</v>
          </cell>
        </row>
        <row r="5404">
          <cell r="B5404" t="str">
            <v>LZPW-19|</v>
          </cell>
          <cell r="J5404" t="str">
            <v>C</v>
          </cell>
          <cell r="N5404" t="str">
            <v>C</v>
          </cell>
        </row>
        <row r="5405">
          <cell r="B5405" t="str">
            <v>GCBF-51|</v>
          </cell>
          <cell r="J5405" t="str">
            <v>C</v>
          </cell>
          <cell r="N5405" t="str">
            <v>C</v>
          </cell>
        </row>
        <row r="5406">
          <cell r="B5406" t="str">
            <v>LZPT-41|</v>
          </cell>
          <cell r="J5406" t="str">
            <v>C</v>
          </cell>
          <cell r="N5406" t="str">
            <v>C</v>
          </cell>
        </row>
        <row r="5407">
          <cell r="B5407" t="str">
            <v>LZPS-22|</v>
          </cell>
          <cell r="J5407" t="str">
            <v>C</v>
          </cell>
          <cell r="N5407" t="str">
            <v>C</v>
          </cell>
        </row>
        <row r="5408">
          <cell r="B5408" t="str">
            <v>LZPW-21|</v>
          </cell>
          <cell r="J5408" t="str">
            <v>C</v>
          </cell>
          <cell r="N5408" t="str">
            <v>C</v>
          </cell>
        </row>
        <row r="5409">
          <cell r="B5409" t="str">
            <v>LZPR-78|</v>
          </cell>
          <cell r="J5409" t="str">
            <v>C</v>
          </cell>
          <cell r="N5409" t="str">
            <v>C</v>
          </cell>
        </row>
        <row r="5410">
          <cell r="B5410" t="str">
            <v>LZPT-76|</v>
          </cell>
          <cell r="J5410" t="str">
            <v>C</v>
          </cell>
          <cell r="N5410" t="str">
            <v>C</v>
          </cell>
        </row>
        <row r="5411">
          <cell r="B5411" t="str">
            <v>LZPT-55|</v>
          </cell>
          <cell r="J5411" t="str">
            <v>C</v>
          </cell>
          <cell r="N5411" t="str">
            <v>C</v>
          </cell>
        </row>
        <row r="5412">
          <cell r="B5412" t="str">
            <v>LZPT-45|</v>
          </cell>
          <cell r="J5412" t="str">
            <v>C</v>
          </cell>
          <cell r="N5412" t="str">
            <v>C</v>
          </cell>
        </row>
        <row r="5413">
          <cell r="B5413" t="str">
            <v>LXWT-99|</v>
          </cell>
          <cell r="J5413" t="str">
            <v>C</v>
          </cell>
          <cell r="N5413" t="str">
            <v>C</v>
          </cell>
        </row>
        <row r="5414">
          <cell r="B5414" t="str">
            <v>LZPT-71|</v>
          </cell>
          <cell r="J5414" t="str">
            <v>C</v>
          </cell>
          <cell r="N5414" t="str">
            <v>C</v>
          </cell>
        </row>
        <row r="5415">
          <cell r="B5415" t="str">
            <v>LZPW-16|</v>
          </cell>
          <cell r="J5415" t="str">
            <v>C</v>
          </cell>
          <cell r="N5415" t="str">
            <v>C</v>
          </cell>
        </row>
        <row r="5416">
          <cell r="B5416" t="str">
            <v>LXWT-88|</v>
          </cell>
          <cell r="J5416" t="str">
            <v>C</v>
          </cell>
          <cell r="N5416" t="str">
            <v>C</v>
          </cell>
        </row>
        <row r="5417">
          <cell r="B5417" t="str">
            <v>LXWT-84|</v>
          </cell>
          <cell r="J5417" t="str">
            <v>C</v>
          </cell>
          <cell r="N5417" t="str">
            <v>C</v>
          </cell>
        </row>
        <row r="5418">
          <cell r="B5418" t="str">
            <v>LZPG-11|</v>
          </cell>
          <cell r="J5418" t="str">
            <v>C</v>
          </cell>
          <cell r="N5418" t="str">
            <v>C</v>
          </cell>
        </row>
        <row r="5419">
          <cell r="B5419" t="str">
            <v>3102 / SFWZ-59|</v>
          </cell>
          <cell r="J5419" t="str">
            <v>B</v>
          </cell>
          <cell r="N5419" t="str">
            <v>B</v>
          </cell>
        </row>
        <row r="5420">
          <cell r="B5420" t="str">
            <v>LZPR-82|</v>
          </cell>
          <cell r="J5420" t="str">
            <v>C</v>
          </cell>
          <cell r="N5420" t="str">
            <v>C</v>
          </cell>
        </row>
        <row r="5421">
          <cell r="B5421" t="str">
            <v>LZPR-88|</v>
          </cell>
          <cell r="J5421" t="str">
            <v>C</v>
          </cell>
          <cell r="N5421" t="str">
            <v>C</v>
          </cell>
        </row>
        <row r="5422">
          <cell r="B5422" t="str">
            <v>GCBF-46|</v>
          </cell>
          <cell r="J5422" t="str">
            <v>C</v>
          </cell>
          <cell r="N5422" t="str">
            <v>C</v>
          </cell>
        </row>
        <row r="5423">
          <cell r="B5423" t="str">
            <v>VJKD-70|</v>
          </cell>
          <cell r="J5423" t="str">
            <v>B</v>
          </cell>
          <cell r="N5423" t="str">
            <v>B</v>
          </cell>
        </row>
        <row r="5424">
          <cell r="B5424" t="str">
            <v>LXWT-91|</v>
          </cell>
          <cell r="J5424" t="str">
            <v>C</v>
          </cell>
          <cell r="N5424" t="str">
            <v>C</v>
          </cell>
        </row>
        <row r="5425">
          <cell r="B5425" t="str">
            <v>3066 / SFWB-10|</v>
          </cell>
          <cell r="J5425" t="str">
            <v>B</v>
          </cell>
          <cell r="N5425" t="str">
            <v>B</v>
          </cell>
        </row>
        <row r="5426">
          <cell r="B5426" t="str">
            <v>LZPR-92|</v>
          </cell>
          <cell r="J5426" t="str">
            <v>C</v>
          </cell>
          <cell r="N5426" t="str">
            <v>C</v>
          </cell>
        </row>
        <row r="5427">
          <cell r="B5427" t="str">
            <v>LZPW-11|</v>
          </cell>
          <cell r="J5427" t="str">
            <v>C</v>
          </cell>
          <cell r="N5427" t="str">
            <v>C</v>
          </cell>
        </row>
        <row r="5428">
          <cell r="B5428" t="str">
            <v>LZPW-13|</v>
          </cell>
          <cell r="J5428" t="str">
            <v>C</v>
          </cell>
          <cell r="N5428" t="str">
            <v>C</v>
          </cell>
        </row>
        <row r="5429">
          <cell r="B5429" t="str">
            <v>LZPG-21|</v>
          </cell>
          <cell r="J5429" t="str">
            <v>C</v>
          </cell>
          <cell r="N5429" t="str">
            <v>C</v>
          </cell>
        </row>
        <row r="5430">
          <cell r="B5430" t="str">
            <v>7747 / GCBC-34|</v>
          </cell>
          <cell r="J5430" t="str">
            <v>BPAL</v>
          </cell>
          <cell r="N5430" t="str">
            <v>BPAL</v>
          </cell>
        </row>
        <row r="5431">
          <cell r="B5431" t="str">
            <v>VJKG-16|</v>
          </cell>
          <cell r="J5431" t="str">
            <v>B</v>
          </cell>
          <cell r="N5431" t="str">
            <v>B</v>
          </cell>
        </row>
        <row r="5432">
          <cell r="B5432" t="str">
            <v>LZPG-26|</v>
          </cell>
          <cell r="J5432" t="str">
            <v>C</v>
          </cell>
          <cell r="N5432" t="str">
            <v>C</v>
          </cell>
        </row>
        <row r="5433">
          <cell r="B5433" t="str">
            <v>LZRB-86|</v>
          </cell>
          <cell r="J5433" t="str">
            <v>C</v>
          </cell>
          <cell r="N5433" t="str">
            <v>C</v>
          </cell>
        </row>
        <row r="5434">
          <cell r="B5434" t="str">
            <v>LZPG-25|</v>
          </cell>
          <cell r="J5434" t="str">
            <v>C</v>
          </cell>
          <cell r="N5434" t="str">
            <v>C</v>
          </cell>
        </row>
        <row r="5435">
          <cell r="B5435" t="str">
            <v>LZPR-94|</v>
          </cell>
          <cell r="J5435" t="str">
            <v>C</v>
          </cell>
          <cell r="N5435" t="str">
            <v>C</v>
          </cell>
        </row>
        <row r="5436">
          <cell r="B5436" t="str">
            <v>LZPS-16|</v>
          </cell>
          <cell r="J5436" t="str">
            <v>C</v>
          </cell>
          <cell r="N5436" t="str">
            <v>C</v>
          </cell>
        </row>
        <row r="5437">
          <cell r="B5437" t="str">
            <v>LZPT-47|</v>
          </cell>
          <cell r="J5437" t="str">
            <v>C</v>
          </cell>
          <cell r="N5437" t="str">
            <v>C</v>
          </cell>
        </row>
        <row r="5438">
          <cell r="B5438" t="str">
            <v>LZPT-38|</v>
          </cell>
          <cell r="J5438" t="str">
            <v>C</v>
          </cell>
          <cell r="N5438" t="str">
            <v>C</v>
          </cell>
        </row>
        <row r="5439">
          <cell r="B5439" t="str">
            <v>LZPT-54|</v>
          </cell>
          <cell r="J5439" t="str">
            <v>C</v>
          </cell>
          <cell r="N5439" t="str">
            <v>C</v>
          </cell>
        </row>
        <row r="5440">
          <cell r="B5440" t="str">
            <v>LZPT-48|</v>
          </cell>
          <cell r="J5440" t="str">
            <v>C</v>
          </cell>
          <cell r="N5440" t="str">
            <v>C</v>
          </cell>
        </row>
        <row r="5441">
          <cell r="B5441" t="str">
            <v>LXWT-97|</v>
          </cell>
          <cell r="J5441" t="str">
            <v>C</v>
          </cell>
          <cell r="N5441" t="str">
            <v>C</v>
          </cell>
        </row>
        <row r="5442">
          <cell r="B5442" t="str">
            <v>LZPT-40|</v>
          </cell>
          <cell r="J5442" t="str">
            <v>C</v>
          </cell>
          <cell r="N5442" t="str">
            <v>C</v>
          </cell>
        </row>
        <row r="5443">
          <cell r="B5443" t="str">
            <v>LZPT-41|</v>
          </cell>
          <cell r="J5443" t="str">
            <v>C</v>
          </cell>
          <cell r="N5443" t="str">
            <v>C</v>
          </cell>
        </row>
        <row r="5444">
          <cell r="B5444" t="str">
            <v>LZPW-21|</v>
          </cell>
          <cell r="J5444" t="str">
            <v>C</v>
          </cell>
          <cell r="N5444" t="str">
            <v>C</v>
          </cell>
        </row>
        <row r="5445">
          <cell r="B5445" t="str">
            <v>LZPT-53|</v>
          </cell>
          <cell r="J5445" t="str">
            <v>C</v>
          </cell>
          <cell r="N5445" t="str">
            <v>C</v>
          </cell>
        </row>
        <row r="5446">
          <cell r="B5446" t="str">
            <v>LZPT-55|</v>
          </cell>
          <cell r="J5446" t="str">
            <v>C</v>
          </cell>
          <cell r="N5446" t="str">
            <v>C</v>
          </cell>
        </row>
        <row r="5447">
          <cell r="B5447" t="str">
            <v>LZPT-71|</v>
          </cell>
          <cell r="J5447" t="str">
            <v>C</v>
          </cell>
          <cell r="N5447" t="str">
            <v>C</v>
          </cell>
        </row>
        <row r="5448">
          <cell r="B5448" t="str">
            <v>GCBF-43|</v>
          </cell>
          <cell r="J5448" t="str">
            <v>C</v>
          </cell>
          <cell r="N5448" t="str">
            <v>C</v>
          </cell>
        </row>
        <row r="5449">
          <cell r="B5449" t="str">
            <v>LXWT-96|</v>
          </cell>
          <cell r="J5449" t="str">
            <v>C</v>
          </cell>
          <cell r="N5449" t="str">
            <v>C</v>
          </cell>
        </row>
        <row r="5450">
          <cell r="B5450" t="str">
            <v>LZPT-56|</v>
          </cell>
          <cell r="J5450" t="str">
            <v>C</v>
          </cell>
          <cell r="N5450" t="str">
            <v>C</v>
          </cell>
        </row>
        <row r="5451">
          <cell r="B5451" t="str">
            <v>LXWT-95|</v>
          </cell>
          <cell r="J5451" t="str">
            <v>C</v>
          </cell>
          <cell r="N5451" t="str">
            <v>C</v>
          </cell>
        </row>
        <row r="5452">
          <cell r="B5452" t="str">
            <v>LZPS-15|</v>
          </cell>
          <cell r="J5452" t="str">
            <v>C</v>
          </cell>
          <cell r="N5452" t="str">
            <v>C</v>
          </cell>
        </row>
        <row r="5453">
          <cell r="B5453" t="str">
            <v>LXWT-82|</v>
          </cell>
          <cell r="J5453" t="str">
            <v>C</v>
          </cell>
          <cell r="N5453" t="str">
            <v>C</v>
          </cell>
        </row>
        <row r="5454">
          <cell r="B5454" t="str">
            <v>LZPG-20|</v>
          </cell>
          <cell r="J5454" t="str">
            <v>C</v>
          </cell>
          <cell r="N5454" t="str">
            <v>C</v>
          </cell>
        </row>
        <row r="5455">
          <cell r="B5455" t="str">
            <v>9951 / TBZB-24|</v>
          </cell>
          <cell r="J5455" t="str">
            <v>C</v>
          </cell>
          <cell r="N5455" t="str">
            <v>C</v>
          </cell>
        </row>
        <row r="5456">
          <cell r="B5456" t="str">
            <v>LZPS-17|</v>
          </cell>
          <cell r="J5456" t="str">
            <v>C</v>
          </cell>
          <cell r="N5456" t="str">
            <v>C</v>
          </cell>
        </row>
        <row r="5457">
          <cell r="B5457" t="str">
            <v>LZPR-85|</v>
          </cell>
          <cell r="J5457" t="str">
            <v>C</v>
          </cell>
          <cell r="N5457" t="str">
            <v>C</v>
          </cell>
        </row>
        <row r="5458">
          <cell r="B5458" t="str">
            <v>LZPT-62|</v>
          </cell>
          <cell r="J5458" t="str">
            <v>C</v>
          </cell>
          <cell r="N5458" t="str">
            <v>C</v>
          </cell>
        </row>
        <row r="5459">
          <cell r="B5459" t="str">
            <v>LZRB-86|</v>
          </cell>
          <cell r="J5459" t="str">
            <v>C</v>
          </cell>
          <cell r="N5459" t="str">
            <v>C</v>
          </cell>
        </row>
        <row r="5460">
          <cell r="B5460" t="str">
            <v>9925 / SXKV-97|</v>
          </cell>
          <cell r="J5460" t="str">
            <v>C</v>
          </cell>
          <cell r="N5460" t="str">
            <v>C</v>
          </cell>
        </row>
        <row r="5461">
          <cell r="B5461" t="str">
            <v>LZPT-54|</v>
          </cell>
          <cell r="J5461" t="str">
            <v>C</v>
          </cell>
          <cell r="N5461" t="str">
            <v>C</v>
          </cell>
        </row>
        <row r="5462">
          <cell r="B5462" t="str">
            <v>LZPS-25|</v>
          </cell>
          <cell r="J5462" t="str">
            <v>C</v>
          </cell>
          <cell r="N5462" t="str">
            <v>C</v>
          </cell>
        </row>
        <row r="5463">
          <cell r="B5463" t="str">
            <v>LZPT-41|</v>
          </cell>
          <cell r="J5463" t="str">
            <v>C</v>
          </cell>
          <cell r="N5463" t="str">
            <v>C</v>
          </cell>
        </row>
        <row r="5464">
          <cell r="B5464" t="str">
            <v>LZPT-63|</v>
          </cell>
          <cell r="J5464" t="str">
            <v>C</v>
          </cell>
          <cell r="N5464" t="str">
            <v>C</v>
          </cell>
        </row>
        <row r="5465">
          <cell r="B5465" t="str">
            <v>LZPT-49|</v>
          </cell>
          <cell r="J5465" t="str">
            <v>C</v>
          </cell>
          <cell r="N5465" t="str">
            <v>C</v>
          </cell>
        </row>
        <row r="5466">
          <cell r="B5466" t="str">
            <v>LZPR-93|</v>
          </cell>
          <cell r="J5466" t="str">
            <v>C</v>
          </cell>
          <cell r="N5466" t="str">
            <v>C</v>
          </cell>
        </row>
        <row r="5467">
          <cell r="B5467" t="str">
            <v>LXWT-87|</v>
          </cell>
          <cell r="J5467" t="str">
            <v>C</v>
          </cell>
          <cell r="N5467" t="str">
            <v>C</v>
          </cell>
        </row>
        <row r="5468">
          <cell r="B5468" t="str">
            <v>LZPT-39|</v>
          </cell>
          <cell r="J5468" t="str">
            <v>C</v>
          </cell>
          <cell r="N5468" t="str">
            <v>C</v>
          </cell>
        </row>
        <row r="5469">
          <cell r="B5469" t="str">
            <v>LZRB-83|</v>
          </cell>
          <cell r="J5469" t="str">
            <v>C</v>
          </cell>
          <cell r="N5469" t="str">
            <v>C</v>
          </cell>
        </row>
        <row r="5470">
          <cell r="B5470" t="str">
            <v>LZPR-86|</v>
          </cell>
          <cell r="J5470" t="str">
            <v>C</v>
          </cell>
          <cell r="N5470" t="str">
            <v>C</v>
          </cell>
        </row>
        <row r="5471">
          <cell r="B5471" t="str">
            <v>LZPW-16|</v>
          </cell>
          <cell r="J5471" t="str">
            <v>C</v>
          </cell>
          <cell r="N5471" t="str">
            <v>C</v>
          </cell>
        </row>
        <row r="5472">
          <cell r="B5472" t="str">
            <v>LZPG-17|</v>
          </cell>
          <cell r="J5472" t="str">
            <v>C</v>
          </cell>
          <cell r="N5472" t="str">
            <v>C</v>
          </cell>
        </row>
        <row r="5473">
          <cell r="B5473" t="str">
            <v>LZPT-43|</v>
          </cell>
          <cell r="J5473" t="str">
            <v>C</v>
          </cell>
          <cell r="N5473" t="str">
            <v>C</v>
          </cell>
        </row>
        <row r="5474">
          <cell r="B5474" t="str">
            <v>LZPR-88|</v>
          </cell>
          <cell r="J5474" t="str">
            <v>C</v>
          </cell>
          <cell r="N5474" t="str">
            <v>C</v>
          </cell>
        </row>
        <row r="5475">
          <cell r="B5475" t="str">
            <v>LZPV-99|</v>
          </cell>
          <cell r="J5475" t="str">
            <v>C</v>
          </cell>
          <cell r="N5475" t="str">
            <v>C</v>
          </cell>
        </row>
        <row r="5476">
          <cell r="B5476" t="str">
            <v>LZPT-74|</v>
          </cell>
          <cell r="J5476" t="str">
            <v>C</v>
          </cell>
          <cell r="N5476" t="str">
            <v>C</v>
          </cell>
        </row>
        <row r="5477">
          <cell r="B5477" t="str">
            <v>LZPS-16|</v>
          </cell>
          <cell r="J5477" t="str">
            <v>C</v>
          </cell>
          <cell r="N5477" t="str">
            <v>C</v>
          </cell>
        </row>
        <row r="5478">
          <cell r="B5478" t="str">
            <v>GCBF-50|</v>
          </cell>
          <cell r="J5478" t="str">
            <v>C</v>
          </cell>
          <cell r="N5478" t="str">
            <v>C</v>
          </cell>
        </row>
        <row r="5479">
          <cell r="B5479" t="str">
            <v>LZPT-61|</v>
          </cell>
          <cell r="J5479" t="str">
            <v>C</v>
          </cell>
          <cell r="N5479" t="str">
            <v>C</v>
          </cell>
        </row>
        <row r="5480">
          <cell r="B5480" t="str">
            <v>GCBF-44|</v>
          </cell>
          <cell r="J5480" t="str">
            <v>C</v>
          </cell>
          <cell r="N5480" t="str">
            <v>C</v>
          </cell>
        </row>
        <row r="5481">
          <cell r="B5481" t="str">
            <v>LXWT-92|</v>
          </cell>
          <cell r="J5481" t="str">
            <v>C</v>
          </cell>
          <cell r="N5481" t="str">
            <v>C</v>
          </cell>
        </row>
        <row r="5482">
          <cell r="B5482" t="str">
            <v>9951 / TBZB-24|</v>
          </cell>
          <cell r="J5482" t="str">
            <v>C</v>
          </cell>
          <cell r="N5482" t="str">
            <v>C</v>
          </cell>
        </row>
        <row r="5483">
          <cell r="B5483" t="str">
            <v>LXWT-99|</v>
          </cell>
          <cell r="J5483" t="str">
            <v>C</v>
          </cell>
          <cell r="N5483" t="str">
            <v>C</v>
          </cell>
        </row>
        <row r="5484">
          <cell r="B5484" t="str">
            <v>LZPR-82|</v>
          </cell>
          <cell r="J5484" t="str">
            <v>C</v>
          </cell>
          <cell r="N5484" t="str">
            <v>C</v>
          </cell>
        </row>
        <row r="5485">
          <cell r="B5485" t="str">
            <v>GCBF-48|</v>
          </cell>
          <cell r="J5485" t="str">
            <v>C</v>
          </cell>
          <cell r="N5485" t="str">
            <v>C</v>
          </cell>
        </row>
        <row r="5486">
          <cell r="B5486" t="str">
            <v>LZPR-81|</v>
          </cell>
          <cell r="J5486" t="str">
            <v>C</v>
          </cell>
          <cell r="N5486" t="str">
            <v>C</v>
          </cell>
        </row>
        <row r="5487">
          <cell r="B5487" t="str">
            <v>LZRB-87|</v>
          </cell>
          <cell r="J5487" t="str">
            <v>C</v>
          </cell>
          <cell r="N5487" t="str">
            <v>C</v>
          </cell>
        </row>
        <row r="5488">
          <cell r="B5488" t="str">
            <v>LZPR-79|</v>
          </cell>
          <cell r="J5488" t="str">
            <v>C</v>
          </cell>
          <cell r="N5488" t="str">
            <v>C</v>
          </cell>
        </row>
        <row r="5489">
          <cell r="B5489" t="str">
            <v>LZPW-22|</v>
          </cell>
          <cell r="J5489" t="str">
            <v>C</v>
          </cell>
          <cell r="N5489" t="str">
            <v>C</v>
          </cell>
        </row>
        <row r="5490">
          <cell r="B5490" t="str">
            <v>LZPT-50|</v>
          </cell>
          <cell r="J5490" t="str">
            <v>C</v>
          </cell>
          <cell r="N5490" t="str">
            <v>C</v>
          </cell>
        </row>
        <row r="5491">
          <cell r="B5491" t="str">
            <v>LZPR-80|</v>
          </cell>
          <cell r="J5491" t="str">
            <v>C</v>
          </cell>
          <cell r="N5491" t="str">
            <v>C</v>
          </cell>
        </row>
        <row r="5492">
          <cell r="B5492" t="str">
            <v>LZPT-44|</v>
          </cell>
          <cell r="J5492" t="str">
            <v>C</v>
          </cell>
          <cell r="N5492" t="str">
            <v>C</v>
          </cell>
        </row>
        <row r="5493">
          <cell r="B5493" t="str">
            <v>LZPT-77|</v>
          </cell>
          <cell r="J5493" t="str">
            <v>C</v>
          </cell>
          <cell r="N5493" t="str">
            <v>C</v>
          </cell>
        </row>
        <row r="5494">
          <cell r="B5494" t="str">
            <v>LZPT-59|</v>
          </cell>
          <cell r="J5494" t="str">
            <v>C</v>
          </cell>
          <cell r="N5494" t="str">
            <v>C</v>
          </cell>
        </row>
        <row r="5495">
          <cell r="B5495" t="str">
            <v>LZPR-93|</v>
          </cell>
          <cell r="J5495" t="str">
            <v>C</v>
          </cell>
          <cell r="N5495" t="str">
            <v>C</v>
          </cell>
        </row>
        <row r="5496">
          <cell r="B5496" t="str">
            <v>LZPS-10|</v>
          </cell>
          <cell r="J5496" t="str">
            <v>C</v>
          </cell>
          <cell r="N5496" t="str">
            <v>C</v>
          </cell>
        </row>
        <row r="5497">
          <cell r="B5497" t="str">
            <v>LZPT-39|</v>
          </cell>
          <cell r="J5497" t="str">
            <v>C</v>
          </cell>
          <cell r="N5497" t="str">
            <v>C</v>
          </cell>
        </row>
        <row r="5498">
          <cell r="B5498" t="str">
            <v>LZPT-72|</v>
          </cell>
          <cell r="J5498" t="str">
            <v>C</v>
          </cell>
          <cell r="N5498" t="str">
            <v>C</v>
          </cell>
        </row>
        <row r="5499">
          <cell r="B5499" t="str">
            <v>LZPW-16|</v>
          </cell>
          <cell r="J5499" t="str">
            <v>C</v>
          </cell>
          <cell r="N5499" t="str">
            <v>C</v>
          </cell>
        </row>
        <row r="5500">
          <cell r="B5500" t="str">
            <v>LZPT-38|</v>
          </cell>
          <cell r="J5500" t="str">
            <v>C</v>
          </cell>
          <cell r="N5500" t="str">
            <v>C</v>
          </cell>
        </row>
        <row r="5501">
          <cell r="B5501" t="str">
            <v>LZPT-60|</v>
          </cell>
          <cell r="J5501" t="str">
            <v>C</v>
          </cell>
          <cell r="N5501" t="str">
            <v>C</v>
          </cell>
        </row>
        <row r="5502">
          <cell r="B5502" t="str">
            <v>LZPG-17|</v>
          </cell>
          <cell r="J5502" t="str">
            <v>C</v>
          </cell>
          <cell r="N5502" t="str">
            <v>C</v>
          </cell>
        </row>
        <row r="5503">
          <cell r="B5503" t="str">
            <v>LZPR-88|</v>
          </cell>
          <cell r="J5503" t="str">
            <v>C</v>
          </cell>
          <cell r="N5503" t="str">
            <v>C</v>
          </cell>
        </row>
        <row r="5504">
          <cell r="B5504" t="str">
            <v>LZPT-53|</v>
          </cell>
          <cell r="J5504" t="str">
            <v>C</v>
          </cell>
          <cell r="N5504" t="str">
            <v>C</v>
          </cell>
        </row>
        <row r="5505">
          <cell r="B5505" t="str">
            <v>LZPV-99|</v>
          </cell>
          <cell r="J5505" t="str">
            <v>C</v>
          </cell>
          <cell r="N5505" t="str">
            <v>C</v>
          </cell>
        </row>
        <row r="5506">
          <cell r="B5506" t="str">
            <v>LZPS-16|</v>
          </cell>
          <cell r="J5506" t="str">
            <v>C</v>
          </cell>
          <cell r="N5506" t="str">
            <v>C</v>
          </cell>
        </row>
        <row r="5507">
          <cell r="B5507" t="str">
            <v>GCBF-51|</v>
          </cell>
          <cell r="J5507" t="str">
            <v>C</v>
          </cell>
          <cell r="N5507" t="str">
            <v>C</v>
          </cell>
        </row>
        <row r="5508">
          <cell r="B5508" t="str">
            <v>GCBF-47|</v>
          </cell>
          <cell r="J5508" t="str">
            <v>C</v>
          </cell>
          <cell r="N5508" t="str">
            <v>C</v>
          </cell>
        </row>
        <row r="5509">
          <cell r="B5509" t="str">
            <v>LZPG-10|</v>
          </cell>
          <cell r="J5509" t="str">
            <v>C</v>
          </cell>
          <cell r="N5509" t="str">
            <v>C</v>
          </cell>
        </row>
        <row r="5510">
          <cell r="B5510" t="str">
            <v>LZPR-85|</v>
          </cell>
          <cell r="J5510" t="str">
            <v>C</v>
          </cell>
          <cell r="N5510" t="str">
            <v>C</v>
          </cell>
        </row>
        <row r="5511">
          <cell r="B5511" t="str">
            <v>GCBF-44|</v>
          </cell>
          <cell r="J5511" t="str">
            <v>C</v>
          </cell>
          <cell r="N5511" t="str">
            <v>C</v>
          </cell>
        </row>
        <row r="5512">
          <cell r="B5512" t="str">
            <v>LZPG-21|</v>
          </cell>
          <cell r="J5512" t="str">
            <v>C</v>
          </cell>
          <cell r="N5512" t="str">
            <v>C</v>
          </cell>
        </row>
        <row r="5513">
          <cell r="B5513" t="str">
            <v>LZPT-63|</v>
          </cell>
          <cell r="J5513" t="str">
            <v>C</v>
          </cell>
          <cell r="N5513" t="str">
            <v>C</v>
          </cell>
        </row>
        <row r="5514">
          <cell r="B5514" t="str">
            <v>LZPT-71|</v>
          </cell>
          <cell r="J5514" t="str">
            <v>C</v>
          </cell>
          <cell r="N5514" t="str">
            <v>C</v>
          </cell>
        </row>
        <row r="5515">
          <cell r="B5515" t="str">
            <v>LZPS-23|</v>
          </cell>
          <cell r="J5515" t="str">
            <v>C</v>
          </cell>
          <cell r="N5515" t="str">
            <v>C</v>
          </cell>
        </row>
        <row r="5516">
          <cell r="B5516" t="str">
            <v>LZRB-82|</v>
          </cell>
          <cell r="J5516" t="str">
            <v>C</v>
          </cell>
          <cell r="N5516" t="str">
            <v>C</v>
          </cell>
        </row>
        <row r="5517">
          <cell r="B5517" t="str">
            <v>LZPR-81|</v>
          </cell>
          <cell r="J5517" t="str">
            <v>C</v>
          </cell>
          <cell r="N5517" t="str">
            <v>C</v>
          </cell>
        </row>
        <row r="5518">
          <cell r="B5518" t="str">
            <v>LZPG-14|</v>
          </cell>
          <cell r="J5518" t="str">
            <v>C</v>
          </cell>
          <cell r="N5518" t="str">
            <v>C</v>
          </cell>
        </row>
        <row r="5519">
          <cell r="B5519" t="str">
            <v>LZRB-87|</v>
          </cell>
          <cell r="J5519" t="str">
            <v>C</v>
          </cell>
          <cell r="N5519" t="str">
            <v>C</v>
          </cell>
        </row>
        <row r="5520">
          <cell r="B5520" t="str">
            <v>3016 / SFWB-28|</v>
          </cell>
          <cell r="J5520" t="str">
            <v>B</v>
          </cell>
          <cell r="N5520" t="str">
            <v>B</v>
          </cell>
        </row>
        <row r="5521">
          <cell r="B5521" t="str">
            <v>LXWT-89|</v>
          </cell>
          <cell r="J5521" t="str">
            <v>C</v>
          </cell>
          <cell r="N5521" t="str">
            <v>C</v>
          </cell>
        </row>
        <row r="5522">
          <cell r="B5522" t="str">
            <v>LZPT-46|</v>
          </cell>
          <cell r="J5522" t="str">
            <v>C</v>
          </cell>
          <cell r="N5522" t="str">
            <v>C</v>
          </cell>
        </row>
        <row r="5523">
          <cell r="B5523" t="str">
            <v>LZPW-11|</v>
          </cell>
          <cell r="J5523" t="str">
            <v>C</v>
          </cell>
          <cell r="N5523" t="str">
            <v>C</v>
          </cell>
        </row>
        <row r="5524">
          <cell r="B5524" t="str">
            <v>LZRB-86|</v>
          </cell>
          <cell r="J5524" t="str">
            <v>C</v>
          </cell>
          <cell r="N5524" t="str">
            <v>C</v>
          </cell>
        </row>
        <row r="5525">
          <cell r="B5525" t="str">
            <v>LZPG-27|</v>
          </cell>
          <cell r="J5525" t="str">
            <v>C</v>
          </cell>
          <cell r="N5525" t="str">
            <v>C</v>
          </cell>
        </row>
        <row r="5526">
          <cell r="B5526" t="str">
            <v>LZPS-18|</v>
          </cell>
          <cell r="J5526" t="str">
            <v>C</v>
          </cell>
          <cell r="N5526" t="str">
            <v>C</v>
          </cell>
        </row>
        <row r="5527">
          <cell r="B5527" t="str">
            <v>LZPT-64|</v>
          </cell>
          <cell r="J5527" t="str">
            <v>C</v>
          </cell>
          <cell r="N5527" t="str">
            <v>C</v>
          </cell>
        </row>
        <row r="5528">
          <cell r="B5528" t="str">
            <v>LZPG-12|</v>
          </cell>
          <cell r="J5528" t="str">
            <v>C</v>
          </cell>
          <cell r="N5528" t="str">
            <v>C</v>
          </cell>
        </row>
        <row r="5529">
          <cell r="B5529" t="str">
            <v>LZPR-93|</v>
          </cell>
          <cell r="J5529" t="str">
            <v>C</v>
          </cell>
          <cell r="N5529" t="str">
            <v>C</v>
          </cell>
        </row>
        <row r="5530">
          <cell r="B5530" t="str">
            <v>LZPW-16|</v>
          </cell>
          <cell r="J5530" t="str">
            <v>C</v>
          </cell>
          <cell r="N5530" t="str">
            <v>C</v>
          </cell>
        </row>
        <row r="5531">
          <cell r="B5531" t="str">
            <v>LZPS-10|</v>
          </cell>
          <cell r="J5531" t="str">
            <v>C</v>
          </cell>
          <cell r="N5531" t="str">
            <v>C</v>
          </cell>
        </row>
        <row r="5532">
          <cell r="B5532" t="str">
            <v>LZPT-60|</v>
          </cell>
          <cell r="J5532" t="str">
            <v>C</v>
          </cell>
          <cell r="N5532" t="str">
            <v>C</v>
          </cell>
        </row>
        <row r="5533">
          <cell r="B5533" t="str">
            <v>9951 / TBZB-24|</v>
          </cell>
          <cell r="J5533" t="str">
            <v>C</v>
          </cell>
          <cell r="N5533" t="str">
            <v>C</v>
          </cell>
        </row>
        <row r="5534">
          <cell r="B5534" t="str">
            <v>LZPT-63|</v>
          </cell>
          <cell r="J5534" t="str">
            <v>C</v>
          </cell>
          <cell r="N5534" t="str">
            <v>C</v>
          </cell>
        </row>
        <row r="5535">
          <cell r="B5535" t="str">
            <v>9930 / SXKV-99|</v>
          </cell>
          <cell r="J5535" t="str">
            <v>C</v>
          </cell>
          <cell r="N5535" t="str">
            <v>C</v>
          </cell>
        </row>
        <row r="5536">
          <cell r="B5536" t="str">
            <v>LZPR-81|</v>
          </cell>
          <cell r="J5536" t="str">
            <v>C</v>
          </cell>
          <cell r="N5536" t="str">
            <v>C</v>
          </cell>
        </row>
        <row r="5537">
          <cell r="B5537" t="str">
            <v>LZPG-13|</v>
          </cell>
          <cell r="J5537" t="str">
            <v>C</v>
          </cell>
          <cell r="N5537" t="str">
            <v>C</v>
          </cell>
        </row>
        <row r="5538">
          <cell r="B5538" t="str">
            <v>LXWT-82|</v>
          </cell>
          <cell r="J5538" t="str">
            <v>C</v>
          </cell>
          <cell r="N5538" t="str">
            <v>C</v>
          </cell>
        </row>
        <row r="5539">
          <cell r="B5539" t="str">
            <v>3102 / SFWZ-59|</v>
          </cell>
          <cell r="J5539" t="str">
            <v>B</v>
          </cell>
          <cell r="N5539" t="str">
            <v>B</v>
          </cell>
        </row>
        <row r="5540">
          <cell r="B5540" t="str">
            <v>7747 / GCBC-34|</v>
          </cell>
          <cell r="J5540" t="str">
            <v>BPAL</v>
          </cell>
          <cell r="N5540" t="str">
            <v>BPAL</v>
          </cell>
        </row>
        <row r="5541">
          <cell r="B5541" t="str">
            <v>7739 / GCBC-26|</v>
          </cell>
          <cell r="J5541" t="str">
            <v>BPAL</v>
          </cell>
          <cell r="N5541" t="str">
            <v>BPAL</v>
          </cell>
        </row>
        <row r="5542">
          <cell r="B5542" t="str">
            <v>3017 / SFWB-29|</v>
          </cell>
          <cell r="J5542" t="str">
            <v>B</v>
          </cell>
          <cell r="N5542" t="str">
            <v>B</v>
          </cell>
        </row>
        <row r="5543">
          <cell r="B5543" t="str">
            <v>3066 / SFWB-10|</v>
          </cell>
          <cell r="J5543" t="str">
            <v>B</v>
          </cell>
          <cell r="N5543" t="str">
            <v>B</v>
          </cell>
        </row>
        <row r="5544">
          <cell r="B5544" t="str">
            <v>3106 / SFWZ-68|</v>
          </cell>
          <cell r="J5544" t="str">
            <v>B</v>
          </cell>
          <cell r="N5544" t="str">
            <v>B</v>
          </cell>
        </row>
        <row r="5545">
          <cell r="B5545" t="str">
            <v>SFWZ-29</v>
          </cell>
          <cell r="J5545" t="str">
            <v>B</v>
          </cell>
          <cell r="N5545" t="str">
            <v>B</v>
          </cell>
        </row>
        <row r="5546">
          <cell r="B5546" t="str">
            <v>SFWZ-66</v>
          </cell>
          <cell r="J5546" t="str">
            <v>B</v>
          </cell>
          <cell r="N5546" t="str">
            <v>B</v>
          </cell>
        </row>
        <row r="5547">
          <cell r="B5547" t="str">
            <v>SFWZ-27</v>
          </cell>
          <cell r="J5547" t="str">
            <v>B</v>
          </cell>
          <cell r="N5547" t="str">
            <v>B</v>
          </cell>
        </row>
        <row r="5548">
          <cell r="B5548" t="str">
            <v>SFWB-82</v>
          </cell>
          <cell r="J5548" t="str">
            <v>B</v>
          </cell>
          <cell r="N5548" t="str">
            <v>B</v>
          </cell>
        </row>
        <row r="5549">
          <cell r="B5549" t="str">
            <v>VJZB-67</v>
          </cell>
          <cell r="J5549" t="str">
            <v>B</v>
          </cell>
          <cell r="N5549" t="str">
            <v>B</v>
          </cell>
        </row>
        <row r="5550">
          <cell r="B5550" t="str">
            <v>SFWZ-63</v>
          </cell>
          <cell r="J5550" t="str">
            <v>B</v>
          </cell>
          <cell r="N5550" t="str">
            <v>B</v>
          </cell>
        </row>
        <row r="5551">
          <cell r="B5551" t="str">
            <v>SFWB-73</v>
          </cell>
          <cell r="J5551" t="str">
            <v>B</v>
          </cell>
          <cell r="N5551" t="str">
            <v>B</v>
          </cell>
        </row>
        <row r="5552">
          <cell r="B5552" t="str">
            <v>VJKG-16</v>
          </cell>
          <cell r="J5552" t="str">
            <v>B</v>
          </cell>
          <cell r="N5552" t="str">
            <v>B</v>
          </cell>
        </row>
        <row r="5553">
          <cell r="B5553" t="str">
            <v>VJXC-53</v>
          </cell>
          <cell r="J5553" t="str">
            <v>B</v>
          </cell>
          <cell r="N5553" t="str">
            <v>B</v>
          </cell>
        </row>
        <row r="5554">
          <cell r="B5554" t="str">
            <v>VJKX-18</v>
          </cell>
          <cell r="J5554" t="str">
            <v>B</v>
          </cell>
          <cell r="N5554" t="str">
            <v>B</v>
          </cell>
        </row>
        <row r="5555">
          <cell r="B5555" t="str">
            <v>VJKT-63</v>
          </cell>
          <cell r="J5555" t="str">
            <v>B</v>
          </cell>
          <cell r="N5555" t="str">
            <v>B</v>
          </cell>
        </row>
        <row r="5556">
          <cell r="B5556" t="str">
            <v>VJKD-94</v>
          </cell>
          <cell r="J5556" t="str">
            <v>B</v>
          </cell>
          <cell r="N5556" t="str">
            <v>B</v>
          </cell>
        </row>
        <row r="5557">
          <cell r="B5557" t="str">
            <v>SFWB-31</v>
          </cell>
          <cell r="J5557" t="str">
            <v>B</v>
          </cell>
          <cell r="N5557" t="str">
            <v>B</v>
          </cell>
        </row>
        <row r="5558">
          <cell r="B5558" t="str">
            <v>SFWB-84</v>
          </cell>
          <cell r="J5558" t="str">
            <v>B</v>
          </cell>
          <cell r="N5558" t="str">
            <v>B</v>
          </cell>
        </row>
        <row r="5559">
          <cell r="B5559" t="str">
            <v>VJKF-55</v>
          </cell>
          <cell r="J5559" t="str">
            <v>B</v>
          </cell>
          <cell r="N5559" t="str">
            <v>B</v>
          </cell>
        </row>
        <row r="5560">
          <cell r="B5560" t="str">
            <v>SFWZ-48</v>
          </cell>
          <cell r="J5560" t="str">
            <v>B</v>
          </cell>
          <cell r="N5560" t="str">
            <v>B</v>
          </cell>
        </row>
        <row r="5561">
          <cell r="B5561" t="str">
            <v>SFWB-58</v>
          </cell>
          <cell r="J5561" t="str">
            <v>B</v>
          </cell>
          <cell r="N5561" t="str">
            <v>B</v>
          </cell>
        </row>
        <row r="5562">
          <cell r="B5562" t="str">
            <v>VJWZ-95</v>
          </cell>
          <cell r="J5562" t="str">
            <v>B</v>
          </cell>
          <cell r="N5562" t="str">
            <v>B</v>
          </cell>
        </row>
        <row r="5563">
          <cell r="B5563" t="str">
            <v>SFVZ-80</v>
          </cell>
          <cell r="J5563" t="str">
            <v>B</v>
          </cell>
          <cell r="N5563" t="str">
            <v>B</v>
          </cell>
        </row>
        <row r="5564">
          <cell r="B5564" t="str">
            <v>SFWZ-53</v>
          </cell>
          <cell r="J5564" t="str">
            <v>B</v>
          </cell>
          <cell r="N5564" t="str">
            <v>B</v>
          </cell>
        </row>
        <row r="5565">
          <cell r="B5565" t="str">
            <v>SFWZ-76</v>
          </cell>
          <cell r="J5565" t="str">
            <v>B</v>
          </cell>
          <cell r="N5565" t="str">
            <v>B</v>
          </cell>
        </row>
        <row r="5566">
          <cell r="B5566" t="str">
            <v>SFWZ-29</v>
          </cell>
          <cell r="J5566" t="str">
            <v>B</v>
          </cell>
          <cell r="N5566" t="str">
            <v>B</v>
          </cell>
        </row>
        <row r="5567">
          <cell r="B5567" t="str">
            <v>SFWB-16</v>
          </cell>
          <cell r="J5567" t="str">
            <v>B</v>
          </cell>
          <cell r="N5567" t="str">
            <v>B</v>
          </cell>
        </row>
        <row r="5568">
          <cell r="B5568" t="str">
            <v>SFWZ-66</v>
          </cell>
          <cell r="J5568" t="str">
            <v>B</v>
          </cell>
          <cell r="N5568" t="str">
            <v>B</v>
          </cell>
        </row>
        <row r="5569">
          <cell r="B5569" t="str">
            <v>SFWZ-27</v>
          </cell>
          <cell r="J5569" t="str">
            <v>B</v>
          </cell>
          <cell r="N5569" t="str">
            <v>B</v>
          </cell>
        </row>
        <row r="5570">
          <cell r="B5570" t="str">
            <v>SFWZ-78</v>
          </cell>
          <cell r="J5570" t="str">
            <v>B</v>
          </cell>
          <cell r="N5570" t="str">
            <v>B</v>
          </cell>
        </row>
        <row r="5571">
          <cell r="B5571" t="str">
            <v>VJKT-45</v>
          </cell>
          <cell r="J5571" t="str">
            <v>B</v>
          </cell>
          <cell r="N5571" t="str">
            <v>B</v>
          </cell>
        </row>
        <row r="5572">
          <cell r="B5572" t="str">
            <v>SFWZ-74</v>
          </cell>
          <cell r="J5572" t="str">
            <v>B</v>
          </cell>
          <cell r="N5572" t="str">
            <v>B</v>
          </cell>
        </row>
        <row r="5573">
          <cell r="B5573" t="str">
            <v>VJKX-38</v>
          </cell>
          <cell r="J5573" t="str">
            <v>B</v>
          </cell>
          <cell r="N5573" t="str">
            <v>B</v>
          </cell>
        </row>
        <row r="5574">
          <cell r="B5574" t="str">
            <v>PERDIDA</v>
          </cell>
          <cell r="J5574" t="e">
            <v>#N/A</v>
          </cell>
          <cell r="N5574" t="e">
            <v>#N/A</v>
          </cell>
        </row>
        <row r="5575">
          <cell r="B5575" t="str">
            <v>SFWZ-29</v>
          </cell>
          <cell r="J5575" t="str">
            <v>B</v>
          </cell>
          <cell r="N5575" t="str">
            <v>B</v>
          </cell>
        </row>
        <row r="5576">
          <cell r="B5576" t="str">
            <v>VJZB-67</v>
          </cell>
          <cell r="J5576" t="str">
            <v>B</v>
          </cell>
          <cell r="N5576" t="str">
            <v>B</v>
          </cell>
        </row>
        <row r="5577">
          <cell r="B5577" t="str">
            <v>SFWZ-59</v>
          </cell>
          <cell r="J5577" t="str">
            <v>B</v>
          </cell>
          <cell r="N5577" t="str">
            <v>B</v>
          </cell>
        </row>
        <row r="5578">
          <cell r="B5578" t="str">
            <v>3082 / SFWZ-56|</v>
          </cell>
          <cell r="J5578" t="str">
            <v>B</v>
          </cell>
          <cell r="N5578" t="str">
            <v>B</v>
          </cell>
        </row>
        <row r="5579">
          <cell r="B5579" t="str">
            <v>3008 / SFWB-58|</v>
          </cell>
          <cell r="J5579" t="str">
            <v>B</v>
          </cell>
          <cell r="N5579" t="str">
            <v>B</v>
          </cell>
        </row>
        <row r="5580">
          <cell r="B5580" t="str">
            <v>3076 / SFWZ-53|</v>
          </cell>
          <cell r="J5580" t="str">
            <v>B</v>
          </cell>
          <cell r="N5580" t="str">
            <v>B</v>
          </cell>
        </row>
        <row r="5581">
          <cell r="B5581" t="str">
            <v>3024 / SFWB-76|</v>
          </cell>
          <cell r="J5581" t="str">
            <v>B</v>
          </cell>
          <cell r="N5581" t="str">
            <v>B</v>
          </cell>
        </row>
        <row r="5582">
          <cell r="B5582" t="str">
            <v>VJZB-37|</v>
          </cell>
          <cell r="J5582" t="str">
            <v>B</v>
          </cell>
          <cell r="N5582" t="str">
            <v>B</v>
          </cell>
        </row>
        <row r="5583">
          <cell r="B5583" t="str">
            <v>3058 / SFWB-85|</v>
          </cell>
          <cell r="J5583" t="str">
            <v>B</v>
          </cell>
          <cell r="N5583" t="str">
            <v>B</v>
          </cell>
        </row>
        <row r="5584">
          <cell r="B5584" t="str">
            <v>3022 / SFWB-31|</v>
          </cell>
          <cell r="J5584" t="str">
            <v>B</v>
          </cell>
          <cell r="N5584" t="str">
            <v>B</v>
          </cell>
        </row>
        <row r="5585">
          <cell r="B5585" t="str">
            <v>VJKT-92|</v>
          </cell>
          <cell r="J5585" t="str">
            <v>B</v>
          </cell>
          <cell r="N5585" t="str">
            <v>B</v>
          </cell>
        </row>
        <row r="5586">
          <cell r="B5586" t="str">
            <v>3096 / SFWZ-74|</v>
          </cell>
          <cell r="J5586" t="str">
            <v>B</v>
          </cell>
          <cell r="N5586" t="str">
            <v>B</v>
          </cell>
        </row>
        <row r="5587">
          <cell r="B5587" t="str">
            <v>3071 / SFWZ-29|</v>
          </cell>
          <cell r="J5587" t="str">
            <v>B</v>
          </cell>
          <cell r="N5587" t="str">
            <v>B</v>
          </cell>
        </row>
        <row r="5588">
          <cell r="B5588" t="str">
            <v>SFWZ-48</v>
          </cell>
          <cell r="J5588" t="str">
            <v>B</v>
          </cell>
          <cell r="N5588" t="str">
            <v>B</v>
          </cell>
        </row>
        <row r="5589">
          <cell r="B5589" t="str">
            <v>SFWB-58</v>
          </cell>
          <cell r="J5589" t="str">
            <v>B</v>
          </cell>
          <cell r="N5589" t="str">
            <v>B</v>
          </cell>
        </row>
        <row r="5590">
          <cell r="B5590" t="str">
            <v>VJWZ-95</v>
          </cell>
          <cell r="J5590" t="str">
            <v>B</v>
          </cell>
          <cell r="N5590" t="str">
            <v>B</v>
          </cell>
        </row>
        <row r="5591">
          <cell r="B5591" t="str">
            <v>SFVZ-80</v>
          </cell>
          <cell r="J5591" t="str">
            <v>B</v>
          </cell>
          <cell r="N5591" t="str">
            <v>B</v>
          </cell>
        </row>
        <row r="5592">
          <cell r="B5592" t="str">
            <v>SFWZ-53</v>
          </cell>
          <cell r="J5592" t="str">
            <v>B</v>
          </cell>
          <cell r="N5592" t="str">
            <v>B</v>
          </cell>
        </row>
        <row r="5593">
          <cell r="B5593" t="str">
            <v>SFWZ-76</v>
          </cell>
          <cell r="J5593" t="str">
            <v>B</v>
          </cell>
          <cell r="N5593" t="str">
            <v>B</v>
          </cell>
        </row>
        <row r="5594">
          <cell r="B5594" t="str">
            <v>VJZB-67</v>
          </cell>
          <cell r="J5594" t="str">
            <v>B</v>
          </cell>
          <cell r="N5594" t="str">
            <v>B</v>
          </cell>
        </row>
        <row r="5595">
          <cell r="B5595" t="str">
            <v>SFWZ-29</v>
          </cell>
          <cell r="J5595" t="str">
            <v>B</v>
          </cell>
          <cell r="N5595" t="str">
            <v>B</v>
          </cell>
        </row>
        <row r="5596">
          <cell r="B5596" t="str">
            <v>SFWZ-66</v>
          </cell>
          <cell r="J5596" t="str">
            <v>B</v>
          </cell>
          <cell r="N5596" t="str">
            <v>B</v>
          </cell>
        </row>
        <row r="5597">
          <cell r="B5597" t="str">
            <v>SFWZ-27</v>
          </cell>
          <cell r="J5597" t="str">
            <v>B</v>
          </cell>
          <cell r="N5597" t="str">
            <v>B</v>
          </cell>
        </row>
        <row r="5598">
          <cell r="B5598" t="str">
            <v>VJKT-45</v>
          </cell>
          <cell r="J5598" t="str">
            <v>B</v>
          </cell>
          <cell r="N5598" t="str">
            <v>B</v>
          </cell>
        </row>
        <row r="5599">
          <cell r="B5599" t="str">
            <v>SFWZ-63</v>
          </cell>
          <cell r="J5599" t="str">
            <v>B</v>
          </cell>
          <cell r="N5599" t="str">
            <v>B</v>
          </cell>
        </row>
        <row r="5600">
          <cell r="B5600" t="str">
            <v>SFWB-73</v>
          </cell>
          <cell r="J5600" t="str">
            <v>B</v>
          </cell>
          <cell r="N5600" t="str">
            <v>B</v>
          </cell>
        </row>
        <row r="5601">
          <cell r="B5601" t="str">
            <v>3067 / SFWB-73|</v>
          </cell>
          <cell r="J5601" t="str">
            <v>B</v>
          </cell>
          <cell r="N5601" t="str">
            <v>B</v>
          </cell>
        </row>
        <row r="5602">
          <cell r="B5602" t="str">
            <v>3076 / SFWZ-53|</v>
          </cell>
          <cell r="J5602" t="str">
            <v>B</v>
          </cell>
          <cell r="N5602" t="str">
            <v>B</v>
          </cell>
        </row>
        <row r="5603">
          <cell r="B5603" t="str">
            <v>3024 / SFWB-76|</v>
          </cell>
          <cell r="J5603" t="str">
            <v>B</v>
          </cell>
          <cell r="N5603" t="str">
            <v>B</v>
          </cell>
        </row>
        <row r="5604">
          <cell r="B5604" t="str">
            <v>VJZB-37</v>
          </cell>
          <cell r="J5604" t="str">
            <v>B</v>
          </cell>
          <cell r="N5604" t="str">
            <v>B</v>
          </cell>
        </row>
        <row r="5605">
          <cell r="B5605" t="str">
            <v>SFWB-85</v>
          </cell>
          <cell r="J5605" t="str">
            <v>B</v>
          </cell>
          <cell r="N5605" t="str">
            <v>B</v>
          </cell>
        </row>
        <row r="5606">
          <cell r="B5606" t="str">
            <v>SFWB-31</v>
          </cell>
          <cell r="J5606" t="str">
            <v>B</v>
          </cell>
          <cell r="N5606" t="str">
            <v>B</v>
          </cell>
        </row>
        <row r="5607">
          <cell r="B5607" t="str">
            <v>SFWZ-74</v>
          </cell>
          <cell r="J5607" t="str">
            <v>B</v>
          </cell>
          <cell r="N5607" t="str">
            <v>B</v>
          </cell>
        </row>
        <row r="5608">
          <cell r="B5608" t="str">
            <v>VJKT-92|</v>
          </cell>
          <cell r="J5608" t="str">
            <v>B</v>
          </cell>
          <cell r="N5608" t="str">
            <v>B</v>
          </cell>
        </row>
        <row r="5609">
          <cell r="B5609" t="str">
            <v>3095 / SFWZ-58|</v>
          </cell>
          <cell r="J5609" t="str">
            <v>B</v>
          </cell>
          <cell r="N5609" t="str">
            <v>B</v>
          </cell>
        </row>
        <row r="5610">
          <cell r="B5610" t="str">
            <v>3071 / SFWZ-29|</v>
          </cell>
          <cell r="J5610" t="str">
            <v>B</v>
          </cell>
          <cell r="N5610" t="str">
            <v>B</v>
          </cell>
        </row>
        <row r="5611">
          <cell r="B5611" t="str">
            <v>VJYJ-15|</v>
          </cell>
          <cell r="J5611" t="str">
            <v>B</v>
          </cell>
          <cell r="N5611" t="str">
            <v>B</v>
          </cell>
        </row>
        <row r="5612">
          <cell r="B5612" t="str">
            <v>VJZB-67|</v>
          </cell>
          <cell r="J5612" t="str">
            <v>B</v>
          </cell>
          <cell r="N5612" t="str">
            <v>B</v>
          </cell>
        </row>
        <row r="5613">
          <cell r="B5613" t="str">
            <v>3102 / SFWZ-59|</v>
          </cell>
          <cell r="J5613" t="str">
            <v>B</v>
          </cell>
          <cell r="N5613" t="str">
            <v>B</v>
          </cell>
        </row>
        <row r="5614">
          <cell r="B5614" t="str">
            <v>3082 / SFWZ-56|</v>
          </cell>
          <cell r="J5614" t="str">
            <v>B</v>
          </cell>
          <cell r="N5614" t="str">
            <v>B</v>
          </cell>
        </row>
        <row r="5615">
          <cell r="B5615" t="str">
            <v>3008 / SFWB-58|</v>
          </cell>
          <cell r="J5615" t="str">
            <v>B</v>
          </cell>
          <cell r="N5615" t="str">
            <v>B</v>
          </cell>
        </row>
        <row r="5616">
          <cell r="B5616" t="str">
            <v>VJKX-38|</v>
          </cell>
          <cell r="J5616" t="str">
            <v>B</v>
          </cell>
          <cell r="N5616" t="str">
            <v>B</v>
          </cell>
        </row>
        <row r="5617">
          <cell r="B5617" t="str">
            <v>3067 / SFWB-73|</v>
          </cell>
          <cell r="J5617" t="str">
            <v>B</v>
          </cell>
          <cell r="N5617" t="str">
            <v>B</v>
          </cell>
        </row>
        <row r="5618">
          <cell r="B5618" t="str">
            <v>3076 / SFWZ-53|</v>
          </cell>
          <cell r="J5618" t="str">
            <v>B</v>
          </cell>
          <cell r="N5618" t="str">
            <v>B</v>
          </cell>
        </row>
        <row r="5619">
          <cell r="B5619" t="str">
            <v>3024 / SFWB-76|</v>
          </cell>
          <cell r="J5619" t="str">
            <v>B</v>
          </cell>
          <cell r="N5619" t="str">
            <v>B</v>
          </cell>
        </row>
        <row r="5620">
          <cell r="B5620" t="str">
            <v>SFWZ-56</v>
          </cell>
          <cell r="J5620" t="str">
            <v>B</v>
          </cell>
          <cell r="N5620" t="str">
            <v>B</v>
          </cell>
        </row>
        <row r="5621">
          <cell r="B5621" t="str">
            <v>VJKX-38|</v>
          </cell>
          <cell r="J5621" t="str">
            <v>B</v>
          </cell>
          <cell r="N5621" t="str">
            <v>B</v>
          </cell>
        </row>
        <row r="5622">
          <cell r="B5622" t="str">
            <v>VJKG-36|</v>
          </cell>
          <cell r="J5622" t="str">
            <v>B</v>
          </cell>
          <cell r="N5622" t="str">
            <v>B</v>
          </cell>
        </row>
        <row r="5623">
          <cell r="B5623" t="str">
            <v>3031 / SFWZ-33|</v>
          </cell>
          <cell r="J5623" t="str">
            <v>B</v>
          </cell>
          <cell r="N5623" t="str">
            <v>B</v>
          </cell>
        </row>
        <row r="5624">
          <cell r="B5624" t="str">
            <v>VJYH-63|</v>
          </cell>
          <cell r="J5624" t="str">
            <v>B</v>
          </cell>
          <cell r="N5624" t="str">
            <v>B</v>
          </cell>
        </row>
        <row r="5625">
          <cell r="B5625" t="str">
            <v>3083 / SFWZ-70|</v>
          </cell>
          <cell r="J5625" t="str">
            <v>B</v>
          </cell>
          <cell r="N5625" t="str">
            <v>B</v>
          </cell>
        </row>
        <row r="5626">
          <cell r="B5626" t="str">
            <v>3019 / SFWB-44|</v>
          </cell>
          <cell r="J5626" t="str">
            <v>B</v>
          </cell>
          <cell r="N5626" t="str">
            <v>B</v>
          </cell>
        </row>
        <row r="5627">
          <cell r="B5627" t="str">
            <v>3025 / SFVZ-44|</v>
          </cell>
          <cell r="J5627" t="str">
            <v>B</v>
          </cell>
          <cell r="N5627" t="str">
            <v>B</v>
          </cell>
        </row>
        <row r="5628">
          <cell r="B5628" t="str">
            <v>3092 / SFWZ-67|</v>
          </cell>
          <cell r="J5628" t="str">
            <v>B</v>
          </cell>
          <cell r="N5628" t="str">
            <v>B</v>
          </cell>
        </row>
        <row r="5629">
          <cell r="B5629" t="str">
            <v>VJXB-27|</v>
          </cell>
          <cell r="J5629" t="str">
            <v>B</v>
          </cell>
          <cell r="N5629" t="str">
            <v>B</v>
          </cell>
        </row>
        <row r="5630">
          <cell r="B5630" t="str">
            <v>SFVZ-86</v>
          </cell>
          <cell r="J5630" t="str">
            <v>B</v>
          </cell>
          <cell r="N5630" t="str">
            <v>B</v>
          </cell>
        </row>
        <row r="5631">
          <cell r="B5631" t="str">
            <v>VJZB-57|</v>
          </cell>
          <cell r="J5631" t="str">
            <v>B</v>
          </cell>
          <cell r="N5631" t="str">
            <v>B</v>
          </cell>
        </row>
        <row r="5632">
          <cell r="B5632" t="str">
            <v>3096 / SFWZ-74|</v>
          </cell>
          <cell r="J5632" t="str">
            <v>B</v>
          </cell>
          <cell r="N5632" t="str">
            <v>B</v>
          </cell>
        </row>
        <row r="5633">
          <cell r="B5633" t="str">
            <v>VJKG-36|</v>
          </cell>
          <cell r="J5633" t="str">
            <v>B</v>
          </cell>
          <cell r="N5633" t="str">
            <v>B</v>
          </cell>
        </row>
        <row r="5634">
          <cell r="B5634" t="str">
            <v>3045 / SFWB-48|</v>
          </cell>
          <cell r="J5634" t="str">
            <v>B</v>
          </cell>
          <cell r="N5634" t="str">
            <v>B</v>
          </cell>
        </row>
        <row r="5635">
          <cell r="B5635" t="str">
            <v>3080 / SFWZ-65|</v>
          </cell>
          <cell r="J5635" t="str">
            <v>B</v>
          </cell>
          <cell r="N5635" t="str">
            <v>B</v>
          </cell>
        </row>
        <row r="5636">
          <cell r="B5636" t="str">
            <v>3031 / SFWZ-33|</v>
          </cell>
          <cell r="J5636" t="str">
            <v>B</v>
          </cell>
          <cell r="N5636" t="str">
            <v>B</v>
          </cell>
        </row>
        <row r="5637">
          <cell r="B5637" t="str">
            <v>VJKG-75|</v>
          </cell>
          <cell r="J5637" t="str">
            <v>B</v>
          </cell>
          <cell r="N5637" t="str">
            <v>B</v>
          </cell>
        </row>
        <row r="5638">
          <cell r="B5638" t="str">
            <v>VJYH-63|</v>
          </cell>
          <cell r="J5638" t="str">
            <v>B</v>
          </cell>
          <cell r="N5638" t="str">
            <v>B</v>
          </cell>
        </row>
        <row r="5639">
          <cell r="B5639" t="str">
            <v>3004 / SFWZ-31|</v>
          </cell>
          <cell r="J5639" t="str">
            <v>B</v>
          </cell>
          <cell r="N5639" t="str">
            <v>B</v>
          </cell>
        </row>
        <row r="5640">
          <cell r="B5640" t="str">
            <v>VJKF-29|</v>
          </cell>
          <cell r="J5640" t="str">
            <v>B</v>
          </cell>
          <cell r="N5640" t="str">
            <v>B</v>
          </cell>
        </row>
        <row r="5641">
          <cell r="B5641" t="str">
            <v>3036 / SFWB-77|</v>
          </cell>
          <cell r="J5641" t="str">
            <v>B</v>
          </cell>
          <cell r="N5641" t="str">
            <v>B</v>
          </cell>
        </row>
        <row r="5642">
          <cell r="B5642" t="str">
            <v>VJZB-37|</v>
          </cell>
          <cell r="J5642" t="str">
            <v>B</v>
          </cell>
          <cell r="N5642" t="str">
            <v>B</v>
          </cell>
        </row>
        <row r="5643">
          <cell r="B5643" t="str">
            <v>VJZB-77|</v>
          </cell>
          <cell r="J5643" t="str">
            <v>B</v>
          </cell>
          <cell r="N5643" t="str">
            <v>B</v>
          </cell>
        </row>
        <row r="5644">
          <cell r="B5644" t="str">
            <v>LXWT-94|</v>
          </cell>
          <cell r="J5644" t="str">
            <v>C</v>
          </cell>
          <cell r="N5644" t="str">
            <v>C</v>
          </cell>
        </row>
        <row r="5645">
          <cell r="B5645" t="str">
            <v>LZRB-82|</v>
          </cell>
          <cell r="J5645" t="str">
            <v>C</v>
          </cell>
          <cell r="N5645" t="str">
            <v>C</v>
          </cell>
        </row>
        <row r="5646">
          <cell r="B5646" t="str">
            <v>LZPT-74|</v>
          </cell>
          <cell r="J5646" t="str">
            <v>C</v>
          </cell>
          <cell r="N5646" t="str">
            <v>C</v>
          </cell>
        </row>
        <row r="5647">
          <cell r="B5647" t="str">
            <v>3052 / SFVZ-86|</v>
          </cell>
          <cell r="J5647" t="str">
            <v>B</v>
          </cell>
          <cell r="N5647" t="str">
            <v>B</v>
          </cell>
        </row>
        <row r="5648">
          <cell r="B5648" t="str">
            <v>VJWZ-74|</v>
          </cell>
          <cell r="J5648" t="str">
            <v>B</v>
          </cell>
          <cell r="N5648" t="str">
            <v>B</v>
          </cell>
        </row>
        <row r="5649">
          <cell r="B5649" t="str">
            <v>VJKD-85|</v>
          </cell>
          <cell r="J5649" t="str">
            <v>B</v>
          </cell>
          <cell r="N5649" t="str">
            <v>B</v>
          </cell>
        </row>
        <row r="5650">
          <cell r="B5650" t="str">
            <v>3016 / SFWB-28|</v>
          </cell>
          <cell r="J5650" t="str">
            <v>B</v>
          </cell>
          <cell r="N5650" t="str">
            <v>B</v>
          </cell>
        </row>
        <row r="5651">
          <cell r="B5651" t="str">
            <v>3044 / SFVZ-67|</v>
          </cell>
          <cell r="J5651" t="str">
            <v>B</v>
          </cell>
          <cell r="N5651" t="str">
            <v>B</v>
          </cell>
        </row>
        <row r="5652">
          <cell r="B5652" t="str">
            <v>GCBF-44|</v>
          </cell>
          <cell r="J5652" t="str">
            <v>C</v>
          </cell>
          <cell r="N5652" t="str">
            <v>C</v>
          </cell>
        </row>
        <row r="5653">
          <cell r="B5653" t="str">
            <v>3047 / SFVZ-39|</v>
          </cell>
          <cell r="J5653" t="str">
            <v>B</v>
          </cell>
          <cell r="N5653" t="str">
            <v>B</v>
          </cell>
        </row>
        <row r="5654">
          <cell r="B5654" t="str">
            <v>VJKY-58|</v>
          </cell>
          <cell r="J5654" t="str">
            <v>B</v>
          </cell>
          <cell r="N5654" t="str">
            <v>B</v>
          </cell>
        </row>
        <row r="5655">
          <cell r="B5655" t="str">
            <v>3080 / SFWZ-65|</v>
          </cell>
          <cell r="J5655" t="str">
            <v>B</v>
          </cell>
          <cell r="N5655" t="str">
            <v>B</v>
          </cell>
        </row>
        <row r="5656">
          <cell r="B5656" t="str">
            <v>3064 / SFWZ-61|</v>
          </cell>
          <cell r="J5656" t="str">
            <v>B</v>
          </cell>
          <cell r="N5656" t="str">
            <v>B</v>
          </cell>
        </row>
        <row r="5657">
          <cell r="B5657" t="str">
            <v>3031 / SFWZ-33|</v>
          </cell>
          <cell r="J5657" t="str">
            <v>B</v>
          </cell>
          <cell r="N5657" t="str">
            <v>B</v>
          </cell>
        </row>
        <row r="5658">
          <cell r="B5658" t="str">
            <v>VJKG-75|</v>
          </cell>
          <cell r="J5658" t="str">
            <v>B</v>
          </cell>
          <cell r="N5658" t="str">
            <v>B</v>
          </cell>
        </row>
        <row r="5659">
          <cell r="B5659" t="str">
            <v>3004 / SFWZ-31|</v>
          </cell>
          <cell r="J5659" t="str">
            <v>B</v>
          </cell>
          <cell r="N5659" t="str">
            <v>B</v>
          </cell>
        </row>
        <row r="5660">
          <cell r="B5660" t="str">
            <v>VJKG-16|</v>
          </cell>
          <cell r="J5660" t="str">
            <v>B</v>
          </cell>
          <cell r="N5660" t="str">
            <v>B</v>
          </cell>
        </row>
        <row r="5661">
          <cell r="B5661" t="str">
            <v>VJYH-63|</v>
          </cell>
          <cell r="J5661" t="str">
            <v>B</v>
          </cell>
          <cell r="N5661" t="str">
            <v>B</v>
          </cell>
        </row>
        <row r="5662">
          <cell r="B5662" t="str">
            <v>3023 / SFWB-33|</v>
          </cell>
          <cell r="J5662" t="str">
            <v>B</v>
          </cell>
          <cell r="N5662" t="str">
            <v>B</v>
          </cell>
        </row>
        <row r="5663">
          <cell r="B5663" t="str">
            <v>VJKF-29|</v>
          </cell>
          <cell r="J5663" t="str">
            <v>B</v>
          </cell>
          <cell r="N5663" t="str">
            <v>B</v>
          </cell>
        </row>
        <row r="5664">
          <cell r="B5664" t="str">
            <v>3036 / SFWB-77|</v>
          </cell>
          <cell r="J5664" t="str">
            <v>B</v>
          </cell>
          <cell r="N5664" t="str">
            <v>B</v>
          </cell>
        </row>
        <row r="5665">
          <cell r="B5665" t="str">
            <v>3032 / SFWZ-34|</v>
          </cell>
          <cell r="J5665" t="str">
            <v>B</v>
          </cell>
          <cell r="N5665" t="str">
            <v>B</v>
          </cell>
        </row>
        <row r="5666">
          <cell r="B5666" t="str">
            <v>3019 / SFWB-44|</v>
          </cell>
          <cell r="J5666" t="str">
            <v>B</v>
          </cell>
          <cell r="N5666" t="str">
            <v>B</v>
          </cell>
        </row>
        <row r="5667">
          <cell r="B5667" t="str">
            <v>VJKX-78|</v>
          </cell>
          <cell r="J5667" t="str">
            <v>B</v>
          </cell>
          <cell r="N5667" t="str">
            <v>B</v>
          </cell>
        </row>
        <row r="5668">
          <cell r="B5668" t="str">
            <v>VJXC-26|</v>
          </cell>
          <cell r="J5668" t="str">
            <v>B</v>
          </cell>
          <cell r="N5668" t="str">
            <v>B</v>
          </cell>
        </row>
        <row r="5669">
          <cell r="B5669" t="str">
            <v>3033 / SFVZ-29|</v>
          </cell>
          <cell r="J5669" t="str">
            <v>B</v>
          </cell>
          <cell r="N5669" t="str">
            <v>B</v>
          </cell>
        </row>
        <row r="5670">
          <cell r="B5670" t="str">
            <v>3052 / SFVZ-86|</v>
          </cell>
          <cell r="J5670" t="str">
            <v>B</v>
          </cell>
          <cell r="N5670" t="str">
            <v>B</v>
          </cell>
        </row>
        <row r="5671">
          <cell r="B5671" t="str">
            <v>VJZB-57|</v>
          </cell>
          <cell r="J5671" t="str">
            <v>B</v>
          </cell>
          <cell r="N5671" t="str">
            <v>B</v>
          </cell>
        </row>
        <row r="5672">
          <cell r="B5672" t="str">
            <v>VJKV-58|</v>
          </cell>
          <cell r="J5672" t="str">
            <v>B</v>
          </cell>
          <cell r="N5672" t="str">
            <v>B</v>
          </cell>
        </row>
        <row r="5673">
          <cell r="B5673" t="str">
            <v>3085 / SFWZ-48|</v>
          </cell>
          <cell r="J5673" t="str">
            <v>B</v>
          </cell>
          <cell r="N5673" t="str">
            <v>B</v>
          </cell>
        </row>
        <row r="5674">
          <cell r="B5674" t="str">
            <v>3100 / SFWZ-83|</v>
          </cell>
          <cell r="J5674" t="str">
            <v>B</v>
          </cell>
          <cell r="N5674" t="str">
            <v>B</v>
          </cell>
        </row>
        <row r="5675">
          <cell r="B5675" t="str">
            <v>VJKZ-38|</v>
          </cell>
          <cell r="J5675" t="str">
            <v>B</v>
          </cell>
          <cell r="N5675" t="str">
            <v>B</v>
          </cell>
        </row>
        <row r="5676">
          <cell r="B5676" t="str">
            <v>3093 / SFWZ-82|</v>
          </cell>
          <cell r="J5676" t="str">
            <v>B</v>
          </cell>
          <cell r="N5676" t="str">
            <v>B</v>
          </cell>
        </row>
        <row r="5677">
          <cell r="B5677" t="str">
            <v>VJKF-66|</v>
          </cell>
          <cell r="J5677" t="str">
            <v>B</v>
          </cell>
          <cell r="N5677" t="str">
            <v>B</v>
          </cell>
        </row>
        <row r="5678">
          <cell r="B5678" t="str">
            <v>3060 / SFWB-14|</v>
          </cell>
          <cell r="J5678" t="str">
            <v>B</v>
          </cell>
          <cell r="N5678" t="str">
            <v>B</v>
          </cell>
        </row>
        <row r="5679">
          <cell r="B5679" t="str">
            <v>3064 / SFWZ-61|</v>
          </cell>
          <cell r="J5679" t="str">
            <v>B</v>
          </cell>
          <cell r="N5679" t="str">
            <v>B</v>
          </cell>
        </row>
        <row r="5680">
          <cell r="B5680" t="str">
            <v>VJKG-37|</v>
          </cell>
          <cell r="J5680" t="str">
            <v>B</v>
          </cell>
          <cell r="N5680" t="str">
            <v>B</v>
          </cell>
        </row>
        <row r="5681">
          <cell r="B5681" t="str">
            <v>VJKV-88|</v>
          </cell>
          <cell r="J5681" t="str">
            <v>B</v>
          </cell>
          <cell r="N5681" t="str">
            <v>B</v>
          </cell>
        </row>
        <row r="5682">
          <cell r="B5682" t="str">
            <v>VJXB-87|</v>
          </cell>
          <cell r="J5682" t="str">
            <v>B</v>
          </cell>
          <cell r="N5682" t="str">
            <v>B</v>
          </cell>
        </row>
        <row r="5683">
          <cell r="B5683" t="str">
            <v>VJKY-18|</v>
          </cell>
          <cell r="J5683" t="str">
            <v>B</v>
          </cell>
          <cell r="N5683" t="str">
            <v>B</v>
          </cell>
        </row>
        <row r="5684">
          <cell r="B5684" t="str">
            <v>VJXB-27|</v>
          </cell>
          <cell r="J5684" t="str">
            <v>B</v>
          </cell>
          <cell r="N5684" t="str">
            <v>B</v>
          </cell>
        </row>
        <row r="5685">
          <cell r="B5685" t="str">
            <v>LZPT-75|</v>
          </cell>
          <cell r="J5685" t="str">
            <v>C</v>
          </cell>
          <cell r="N5685" t="str">
            <v>C</v>
          </cell>
        </row>
        <row r="5686">
          <cell r="B5686" t="str">
            <v>3048 / SFVZ-96|</v>
          </cell>
          <cell r="J5686" t="str">
            <v>B</v>
          </cell>
          <cell r="N5686" t="str">
            <v>B</v>
          </cell>
        </row>
        <row r="5687">
          <cell r="B5687" t="str">
            <v>LZPR-90|</v>
          </cell>
          <cell r="J5687" t="str">
            <v>C</v>
          </cell>
          <cell r="N5687" t="str">
            <v>C</v>
          </cell>
        </row>
        <row r="5688">
          <cell r="B5688" t="str">
            <v>VJKD-70|</v>
          </cell>
          <cell r="J5688" t="str">
            <v>B</v>
          </cell>
          <cell r="N5688" t="str">
            <v>B</v>
          </cell>
        </row>
        <row r="5689">
          <cell r="B5689" t="str">
            <v>3069 / SFWZ-32|</v>
          </cell>
          <cell r="J5689" t="str">
            <v>B</v>
          </cell>
          <cell r="N5689" t="str">
            <v>B</v>
          </cell>
        </row>
        <row r="5690">
          <cell r="B5690" t="str">
            <v>VJWZ-74|</v>
          </cell>
          <cell r="J5690" t="str">
            <v>B</v>
          </cell>
          <cell r="N5690" t="str">
            <v>B</v>
          </cell>
        </row>
        <row r="5691">
          <cell r="B5691" t="str">
            <v>3107 / SFWZ-85|</v>
          </cell>
          <cell r="J5691" t="str">
            <v>B</v>
          </cell>
          <cell r="N5691" t="str">
            <v>B</v>
          </cell>
        </row>
        <row r="5692">
          <cell r="B5692" t="str">
            <v>VJKG-25|</v>
          </cell>
          <cell r="J5692" t="str">
            <v>B</v>
          </cell>
          <cell r="N5692" t="str">
            <v>B</v>
          </cell>
        </row>
        <row r="5693">
          <cell r="B5693" t="str">
            <v>VJXC-75|</v>
          </cell>
          <cell r="J5693" t="str">
            <v>B</v>
          </cell>
          <cell r="N5693" t="str">
            <v>B</v>
          </cell>
        </row>
        <row r="5694">
          <cell r="B5694" t="str">
            <v>VJXB-56|</v>
          </cell>
          <cell r="J5694" t="str">
            <v>B</v>
          </cell>
          <cell r="N5694" t="str">
            <v>B</v>
          </cell>
        </row>
        <row r="5695">
          <cell r="B5695" t="str">
            <v>VJYH-63|</v>
          </cell>
          <cell r="J5695" t="str">
            <v>B</v>
          </cell>
          <cell r="N5695" t="str">
            <v>B</v>
          </cell>
        </row>
        <row r="5696">
          <cell r="B5696" t="str">
            <v>3047 / SFVZ-39|</v>
          </cell>
          <cell r="J5696" t="str">
            <v>B</v>
          </cell>
          <cell r="N5696" t="str">
            <v>B</v>
          </cell>
        </row>
        <row r="5697">
          <cell r="B5697" t="str">
            <v>VJKX-78|</v>
          </cell>
          <cell r="J5697" t="str">
            <v>B</v>
          </cell>
          <cell r="N5697" t="str">
            <v>B</v>
          </cell>
        </row>
        <row r="5698">
          <cell r="B5698" t="str">
            <v>VJXC-26|</v>
          </cell>
          <cell r="J5698" t="str">
            <v>B</v>
          </cell>
          <cell r="N5698" t="str">
            <v>B</v>
          </cell>
        </row>
        <row r="5699">
          <cell r="B5699" t="str">
            <v>VJKF-29|</v>
          </cell>
          <cell r="J5699" t="str">
            <v>B</v>
          </cell>
          <cell r="N5699" t="str">
            <v>B</v>
          </cell>
        </row>
        <row r="5700">
          <cell r="B5700" t="str">
            <v>VJKY-18|</v>
          </cell>
          <cell r="J5700" t="str">
            <v>B</v>
          </cell>
          <cell r="N5700" t="str">
            <v>B</v>
          </cell>
        </row>
        <row r="5701">
          <cell r="B5701" t="str">
            <v>VJXB-27|</v>
          </cell>
          <cell r="J5701" t="str">
            <v>B</v>
          </cell>
          <cell r="N5701" t="str">
            <v>B</v>
          </cell>
        </row>
        <row r="5702">
          <cell r="B5702" t="str">
            <v>VJKY-58|</v>
          </cell>
          <cell r="J5702" t="str">
            <v>B</v>
          </cell>
          <cell r="N5702" t="str">
            <v>B</v>
          </cell>
        </row>
        <row r="5703">
          <cell r="B5703" t="str">
            <v>LZPT-75|</v>
          </cell>
          <cell r="J5703" t="str">
            <v>C</v>
          </cell>
          <cell r="N5703" t="str">
            <v>C</v>
          </cell>
        </row>
        <row r="5704">
          <cell r="B5704" t="str">
            <v>3093 / SFWZ-82|</v>
          </cell>
          <cell r="J5704" t="str">
            <v>B</v>
          </cell>
          <cell r="N5704" t="str">
            <v>B</v>
          </cell>
        </row>
        <row r="5705">
          <cell r="B5705" t="str">
            <v>3069 / SFWZ-32|</v>
          </cell>
          <cell r="J5705" t="str">
            <v>B</v>
          </cell>
          <cell r="N5705" t="str">
            <v>B</v>
          </cell>
        </row>
        <row r="5706">
          <cell r="B5706" t="str">
            <v>VJKW-68|</v>
          </cell>
          <cell r="J5706" t="str">
            <v>B</v>
          </cell>
          <cell r="N5706" t="str">
            <v>B</v>
          </cell>
        </row>
        <row r="5707">
          <cell r="B5707" t="str">
            <v>VJWZ-74|</v>
          </cell>
          <cell r="J5707" t="str">
            <v>B</v>
          </cell>
          <cell r="N5707" t="str">
            <v>B</v>
          </cell>
        </row>
        <row r="5708">
          <cell r="B5708" t="str">
            <v>VJKX-78|</v>
          </cell>
          <cell r="J5708" t="str">
            <v>B</v>
          </cell>
          <cell r="N5708" t="str">
            <v>B</v>
          </cell>
        </row>
        <row r="5709">
          <cell r="B5709" t="str">
            <v>3026 / SFVZ-81|</v>
          </cell>
          <cell r="J5709" t="str">
            <v>B</v>
          </cell>
          <cell r="N5709" t="str">
            <v>B</v>
          </cell>
        </row>
        <row r="5710">
          <cell r="B5710" t="str">
            <v>3020 / SFWZ-20|</v>
          </cell>
          <cell r="J5710" t="str">
            <v>B</v>
          </cell>
          <cell r="N5710" t="str">
            <v>B</v>
          </cell>
        </row>
        <row r="5711">
          <cell r="B5711" t="str">
            <v>3047 / SFVZ-39|</v>
          </cell>
          <cell r="J5711" t="str">
            <v>B</v>
          </cell>
          <cell r="N5711" t="str">
            <v>B</v>
          </cell>
        </row>
        <row r="5712">
          <cell r="B5712" t="str">
            <v>3019 / SFWB-44|</v>
          </cell>
          <cell r="J5712" t="str">
            <v>B</v>
          </cell>
          <cell r="N5712" t="str">
            <v>B</v>
          </cell>
        </row>
        <row r="5713">
          <cell r="B5713" t="str">
            <v>3092 / SFWZ-67|</v>
          </cell>
          <cell r="J5713" t="str">
            <v>B</v>
          </cell>
          <cell r="N5713" t="str">
            <v>B</v>
          </cell>
        </row>
        <row r="5714">
          <cell r="B5714" t="str">
            <v>VJXB-27|</v>
          </cell>
          <cell r="J5714" t="str">
            <v>B</v>
          </cell>
          <cell r="N5714" t="str">
            <v>B</v>
          </cell>
        </row>
        <row r="5715">
          <cell r="B5715" t="str">
            <v>3096 / SFWZ-74|</v>
          </cell>
          <cell r="J5715" t="str">
            <v>B</v>
          </cell>
          <cell r="N5715" t="str">
            <v>B</v>
          </cell>
        </row>
        <row r="5716">
          <cell r="B5716" t="str">
            <v>VJZB-57|</v>
          </cell>
          <cell r="J5716" t="str">
            <v>B</v>
          </cell>
          <cell r="N5716" t="str">
            <v>B</v>
          </cell>
        </row>
        <row r="5717">
          <cell r="B5717" t="str">
            <v>VJKG-36|</v>
          </cell>
          <cell r="J5717" t="str">
            <v>B</v>
          </cell>
          <cell r="N5717" t="str">
            <v>B</v>
          </cell>
        </row>
        <row r="5718">
          <cell r="B5718" t="str">
            <v>3045 / SFWB-48|</v>
          </cell>
          <cell r="J5718" t="str">
            <v>B</v>
          </cell>
          <cell r="N5718" t="str">
            <v>B</v>
          </cell>
        </row>
        <row r="5719">
          <cell r="B5719" t="str">
            <v>3080 / SFWZ-65|</v>
          </cell>
          <cell r="J5719" t="str">
            <v>B</v>
          </cell>
          <cell r="N5719" t="str">
            <v>B</v>
          </cell>
        </row>
        <row r="5720">
          <cell r="B5720" t="str">
            <v>SFWZ-33</v>
          </cell>
          <cell r="J5720" t="str">
            <v>B</v>
          </cell>
          <cell r="N5720" t="str">
            <v>B</v>
          </cell>
        </row>
        <row r="5721">
          <cell r="B5721" t="str">
            <v>VJKG-75</v>
          </cell>
          <cell r="J5721" t="str">
            <v>B</v>
          </cell>
          <cell r="N5721" t="str">
            <v>B</v>
          </cell>
        </row>
        <row r="5722">
          <cell r="B5722" t="str">
            <v>SFWZ-31</v>
          </cell>
          <cell r="J5722" t="str">
            <v>B</v>
          </cell>
          <cell r="N5722" t="str">
            <v>B</v>
          </cell>
        </row>
        <row r="5723">
          <cell r="B5723" t="str">
            <v>VJYH-63</v>
          </cell>
          <cell r="J5723" t="str">
            <v>B</v>
          </cell>
          <cell r="N5723" t="str">
            <v>B</v>
          </cell>
        </row>
        <row r="5724">
          <cell r="B5724" t="str">
            <v>VJKF-29</v>
          </cell>
          <cell r="J5724" t="str">
            <v>B</v>
          </cell>
          <cell r="N5724" t="str">
            <v>B</v>
          </cell>
        </row>
        <row r="5725">
          <cell r="B5725" t="str">
            <v>SFWB-77</v>
          </cell>
          <cell r="J5725" t="str">
            <v>B</v>
          </cell>
          <cell r="N5725" t="str">
            <v>B</v>
          </cell>
        </row>
        <row r="5726">
          <cell r="B5726" t="str">
            <v>SFWB-44</v>
          </cell>
          <cell r="J5726" t="str">
            <v>B</v>
          </cell>
          <cell r="N5726" t="str">
            <v>B</v>
          </cell>
        </row>
        <row r="5727">
          <cell r="B5727" t="str">
            <v>3025 / SFVZ-44|</v>
          </cell>
          <cell r="J5727" t="str">
            <v>B</v>
          </cell>
          <cell r="N5727" t="str">
            <v>B</v>
          </cell>
        </row>
        <row r="5728">
          <cell r="B5728" t="str">
            <v>VJZB-77|</v>
          </cell>
          <cell r="J5728" t="str">
            <v>B</v>
          </cell>
          <cell r="N5728" t="str">
            <v>B</v>
          </cell>
        </row>
        <row r="5729">
          <cell r="B5729" t="str">
            <v>LXWT-94|</v>
          </cell>
          <cell r="J5729" t="str">
            <v>C</v>
          </cell>
          <cell r="N5729" t="str">
            <v>C</v>
          </cell>
        </row>
        <row r="5730">
          <cell r="B5730" t="str">
            <v>LZRB-82|</v>
          </cell>
          <cell r="J5730" t="str">
            <v>C</v>
          </cell>
          <cell r="N5730" t="str">
            <v>C</v>
          </cell>
        </row>
        <row r="5731">
          <cell r="B5731" t="str">
            <v>3052 / SFVZ-86|</v>
          </cell>
          <cell r="J5731" t="str">
            <v>B</v>
          </cell>
          <cell r="N5731" t="str">
            <v>B</v>
          </cell>
        </row>
        <row r="5732">
          <cell r="B5732" t="str">
            <v>VJWZ-74|</v>
          </cell>
          <cell r="J5732" t="str">
            <v>B</v>
          </cell>
          <cell r="N5732" t="str">
            <v>B</v>
          </cell>
        </row>
        <row r="5733">
          <cell r="B5733" t="str">
            <v>VJKD-85|</v>
          </cell>
          <cell r="J5733" t="str">
            <v>B</v>
          </cell>
          <cell r="N5733" t="str">
            <v>B</v>
          </cell>
        </row>
        <row r="5734">
          <cell r="B5734" t="str">
            <v>3016 / SFWB-28|</v>
          </cell>
          <cell r="J5734" t="str">
            <v>B</v>
          </cell>
          <cell r="N5734" t="str">
            <v>B</v>
          </cell>
        </row>
        <row r="5735">
          <cell r="B5735" t="str">
            <v>VJKG-36|</v>
          </cell>
          <cell r="J5735" t="str">
            <v>B</v>
          </cell>
          <cell r="N5735" t="str">
            <v>B</v>
          </cell>
        </row>
        <row r="5736">
          <cell r="B5736" t="str">
            <v>3044 / SFVZ-67|</v>
          </cell>
          <cell r="J5736" t="str">
            <v>B</v>
          </cell>
          <cell r="N5736" t="str">
            <v>B</v>
          </cell>
        </row>
        <row r="5737">
          <cell r="B5737" t="str">
            <v>VJKY-58|</v>
          </cell>
          <cell r="J5737" t="str">
            <v>B</v>
          </cell>
          <cell r="N5737" t="str">
            <v>B</v>
          </cell>
        </row>
        <row r="5738">
          <cell r="B5738" t="str">
            <v>3080 / SFWZ-65|</v>
          </cell>
          <cell r="J5738" t="str">
            <v>B</v>
          </cell>
          <cell r="N5738" t="str">
            <v>B</v>
          </cell>
        </row>
        <row r="5739">
          <cell r="B5739" t="str">
            <v>3064 / SFWZ-61|</v>
          </cell>
          <cell r="J5739" t="str">
            <v>B</v>
          </cell>
          <cell r="N5739" t="str">
            <v>B</v>
          </cell>
        </row>
        <row r="5740">
          <cell r="B5740" t="str">
            <v>3031 / SFWZ-33|</v>
          </cell>
          <cell r="J5740" t="str">
            <v>B</v>
          </cell>
          <cell r="N5740" t="str">
            <v>B</v>
          </cell>
        </row>
        <row r="5741">
          <cell r="B5741" t="str">
            <v>VJKG-75|</v>
          </cell>
          <cell r="J5741" t="str">
            <v>B</v>
          </cell>
          <cell r="N5741" t="str">
            <v>B</v>
          </cell>
        </row>
        <row r="5742">
          <cell r="B5742" t="str">
            <v>VJKG-16|</v>
          </cell>
          <cell r="J5742" t="str">
            <v>B</v>
          </cell>
          <cell r="N5742" t="str">
            <v>B</v>
          </cell>
        </row>
        <row r="5743">
          <cell r="B5743" t="str">
            <v>VJYH-63|</v>
          </cell>
          <cell r="J5743" t="str">
            <v>B</v>
          </cell>
          <cell r="N5743" t="str">
            <v>B</v>
          </cell>
        </row>
        <row r="5744">
          <cell r="B5744" t="str">
            <v>3004 / SFWZ-31|</v>
          </cell>
          <cell r="J5744" t="str">
            <v>B</v>
          </cell>
          <cell r="N5744" t="str">
            <v>B</v>
          </cell>
        </row>
        <row r="5745">
          <cell r="B5745" t="str">
            <v>3023 / SFWB-33|</v>
          </cell>
          <cell r="J5745" t="str">
            <v>B</v>
          </cell>
          <cell r="N5745" t="str">
            <v>B</v>
          </cell>
        </row>
        <row r="5746">
          <cell r="B5746" t="str">
            <v>VJKF-29|</v>
          </cell>
          <cell r="J5746" t="str">
            <v>B</v>
          </cell>
          <cell r="N5746" t="str">
            <v>B</v>
          </cell>
        </row>
        <row r="5747">
          <cell r="B5747" t="str">
            <v>3036 / SFWB-77|</v>
          </cell>
          <cell r="J5747" t="str">
            <v>B</v>
          </cell>
          <cell r="N5747" t="str">
            <v>B</v>
          </cell>
        </row>
        <row r="5748">
          <cell r="B5748" t="str">
            <v>3019 / SFWB-44|</v>
          </cell>
          <cell r="J5748" t="str">
            <v>B</v>
          </cell>
          <cell r="N5748" t="str">
            <v>B</v>
          </cell>
        </row>
        <row r="5749">
          <cell r="B5749" t="str">
            <v>3032 / SFWZ-34|</v>
          </cell>
          <cell r="J5749" t="str">
            <v>B</v>
          </cell>
          <cell r="N5749" t="str">
            <v>B</v>
          </cell>
        </row>
        <row r="5750">
          <cell r="B5750" t="str">
            <v>VJXC-26|</v>
          </cell>
          <cell r="J5750" t="str">
            <v>B</v>
          </cell>
          <cell r="N5750" t="str">
            <v>B</v>
          </cell>
        </row>
        <row r="5751">
          <cell r="B5751" t="str">
            <v>3033 / SFVZ-29|</v>
          </cell>
          <cell r="J5751" t="str">
            <v>B</v>
          </cell>
          <cell r="N5751" t="str">
            <v>B</v>
          </cell>
        </row>
        <row r="5752">
          <cell r="B5752" t="str">
            <v>VJKX-78|</v>
          </cell>
          <cell r="J5752" t="str">
            <v>B</v>
          </cell>
          <cell r="N5752" t="str">
            <v>B</v>
          </cell>
        </row>
        <row r="5753">
          <cell r="B5753" t="str">
            <v>3052 / SFVZ-86|</v>
          </cell>
          <cell r="J5753" t="str">
            <v>B</v>
          </cell>
          <cell r="N5753" t="str">
            <v>B</v>
          </cell>
        </row>
        <row r="5754">
          <cell r="B5754" t="str">
            <v>VJZB-57|</v>
          </cell>
          <cell r="J5754" t="str">
            <v>B</v>
          </cell>
          <cell r="N5754" t="str">
            <v>B</v>
          </cell>
        </row>
        <row r="5755">
          <cell r="B5755" t="str">
            <v>VJKV-58|</v>
          </cell>
          <cell r="J5755" t="str">
            <v>B</v>
          </cell>
          <cell r="N5755" t="str">
            <v>B</v>
          </cell>
        </row>
        <row r="5756">
          <cell r="B5756" t="str">
            <v>VJKZ-38|</v>
          </cell>
          <cell r="J5756" t="str">
            <v>B</v>
          </cell>
          <cell r="N5756" t="str">
            <v>B</v>
          </cell>
        </row>
        <row r="5757">
          <cell r="B5757" t="str">
            <v>3100 / SFWZ-83|</v>
          </cell>
          <cell r="J5757" t="str">
            <v>B</v>
          </cell>
          <cell r="N5757" t="str">
            <v>B</v>
          </cell>
        </row>
        <row r="5758">
          <cell r="B5758" t="str">
            <v>3093 / SFWZ-82|</v>
          </cell>
          <cell r="J5758" t="str">
            <v>B</v>
          </cell>
          <cell r="N5758" t="str">
            <v>B</v>
          </cell>
        </row>
        <row r="5759">
          <cell r="B5759" t="str">
            <v>VJKF-66|</v>
          </cell>
          <cell r="J5759" t="str">
            <v>B</v>
          </cell>
          <cell r="N5759" t="str">
            <v>B</v>
          </cell>
        </row>
        <row r="5760">
          <cell r="B5760" t="str">
            <v>3060 / SFWB-14|</v>
          </cell>
          <cell r="J5760" t="str">
            <v>B</v>
          </cell>
          <cell r="N5760" t="str">
            <v>B</v>
          </cell>
        </row>
        <row r="5761">
          <cell r="B5761" t="str">
            <v>3064 / SFWZ-61|</v>
          </cell>
          <cell r="J5761" t="str">
            <v>B</v>
          </cell>
          <cell r="N5761" t="str">
            <v>B</v>
          </cell>
        </row>
        <row r="5762">
          <cell r="B5762" t="str">
            <v>VJKG-37|</v>
          </cell>
          <cell r="J5762" t="str">
            <v>B</v>
          </cell>
          <cell r="N5762" t="str">
            <v>B</v>
          </cell>
        </row>
        <row r="5763">
          <cell r="B5763" t="str">
            <v>VJKV-88|</v>
          </cell>
          <cell r="J5763" t="str">
            <v>B</v>
          </cell>
          <cell r="N5763" t="str">
            <v>B</v>
          </cell>
        </row>
        <row r="5764">
          <cell r="B5764" t="str">
            <v>VJXB-87|</v>
          </cell>
          <cell r="J5764" t="str">
            <v>B</v>
          </cell>
          <cell r="N5764" t="str">
            <v>B</v>
          </cell>
        </row>
        <row r="5765">
          <cell r="B5765" t="str">
            <v>VJKY-18|</v>
          </cell>
          <cell r="J5765" t="str">
            <v>B</v>
          </cell>
          <cell r="N5765" t="str">
            <v>B</v>
          </cell>
        </row>
        <row r="5766">
          <cell r="B5766" t="str">
            <v>VJXB-27|</v>
          </cell>
          <cell r="J5766" t="str">
            <v>B</v>
          </cell>
          <cell r="N5766" t="str">
            <v>B</v>
          </cell>
        </row>
        <row r="5767">
          <cell r="B5767" t="str">
            <v>3048 / SFVZ-96|</v>
          </cell>
          <cell r="J5767" t="str">
            <v>B</v>
          </cell>
          <cell r="N5767" t="str">
            <v>B</v>
          </cell>
        </row>
        <row r="5768">
          <cell r="B5768" t="str">
            <v>VJKZ-78|</v>
          </cell>
          <cell r="J5768" t="str">
            <v>B</v>
          </cell>
          <cell r="N5768" t="str">
            <v>B</v>
          </cell>
        </row>
        <row r="5769">
          <cell r="B5769" t="str">
            <v>3069 / SFWZ-32|</v>
          </cell>
          <cell r="J5769" t="str">
            <v>B</v>
          </cell>
          <cell r="N5769" t="str">
            <v>B</v>
          </cell>
        </row>
        <row r="5770">
          <cell r="B5770" t="str">
            <v>VJKD-70|</v>
          </cell>
          <cell r="J5770" t="str">
            <v>B</v>
          </cell>
          <cell r="N5770" t="str">
            <v>B</v>
          </cell>
        </row>
        <row r="5771">
          <cell r="B5771" t="str">
            <v>VJWZ-74|</v>
          </cell>
          <cell r="J5771" t="str">
            <v>B</v>
          </cell>
          <cell r="N5771" t="str">
            <v>B</v>
          </cell>
        </row>
        <row r="5772">
          <cell r="B5772" t="str">
            <v>3107 / SFWZ-85|</v>
          </cell>
          <cell r="J5772" t="str">
            <v>B</v>
          </cell>
          <cell r="N5772" t="str">
            <v>B</v>
          </cell>
        </row>
        <row r="5773">
          <cell r="B5773" t="str">
            <v>VJKG-25|</v>
          </cell>
          <cell r="J5773" t="str">
            <v>B</v>
          </cell>
          <cell r="N5773" t="str">
            <v>B</v>
          </cell>
        </row>
        <row r="5774">
          <cell r="B5774" t="str">
            <v>VJXB-56|</v>
          </cell>
          <cell r="J5774" t="str">
            <v>B</v>
          </cell>
          <cell r="N5774" t="str">
            <v>B</v>
          </cell>
        </row>
        <row r="5775">
          <cell r="B5775" t="str">
            <v>VJXC-75|</v>
          </cell>
          <cell r="J5775" t="str">
            <v>B</v>
          </cell>
          <cell r="N5775" t="str">
            <v>B</v>
          </cell>
        </row>
        <row r="5776">
          <cell r="B5776" t="str">
            <v>VJYH-63|</v>
          </cell>
          <cell r="J5776" t="str">
            <v>B</v>
          </cell>
          <cell r="N5776" t="str">
            <v>B</v>
          </cell>
        </row>
        <row r="5777">
          <cell r="B5777" t="str">
            <v>3047 / SFVZ-39|</v>
          </cell>
          <cell r="J5777" t="str">
            <v>B</v>
          </cell>
          <cell r="N5777" t="str">
            <v>B</v>
          </cell>
        </row>
        <row r="5778">
          <cell r="B5778" t="str">
            <v>VJKX-78|</v>
          </cell>
          <cell r="J5778" t="str">
            <v>B</v>
          </cell>
          <cell r="N5778" t="str">
            <v>B</v>
          </cell>
        </row>
        <row r="5779">
          <cell r="B5779" t="str">
            <v>VJXC-26|</v>
          </cell>
          <cell r="J5779" t="str">
            <v>B</v>
          </cell>
          <cell r="N5779" t="str">
            <v>B</v>
          </cell>
        </row>
        <row r="5780">
          <cell r="B5780" t="str">
            <v>VJKF-29|</v>
          </cell>
          <cell r="J5780" t="str">
            <v>B</v>
          </cell>
          <cell r="N5780" t="str">
            <v>B</v>
          </cell>
        </row>
        <row r="5781">
          <cell r="B5781" t="str">
            <v>VJKY-58|</v>
          </cell>
          <cell r="J5781" t="str">
            <v>B</v>
          </cell>
          <cell r="N5781" t="str">
            <v>B</v>
          </cell>
        </row>
        <row r="5782">
          <cell r="B5782" t="str">
            <v>VJKY-18|</v>
          </cell>
          <cell r="J5782" t="str">
            <v>B</v>
          </cell>
          <cell r="N5782" t="str">
            <v>B</v>
          </cell>
        </row>
        <row r="5783">
          <cell r="B5783" t="str">
            <v>VJXB-27|</v>
          </cell>
          <cell r="J5783" t="str">
            <v>B</v>
          </cell>
          <cell r="N5783" t="str">
            <v>B</v>
          </cell>
        </row>
        <row r="5784">
          <cell r="B5784" t="str">
            <v>LZPT-75|</v>
          </cell>
          <cell r="J5784" t="str">
            <v>C</v>
          </cell>
          <cell r="N5784" t="str">
            <v>C</v>
          </cell>
        </row>
        <row r="5785">
          <cell r="B5785" t="str">
            <v>VJZB-47|</v>
          </cell>
          <cell r="J5785" t="str">
            <v>B</v>
          </cell>
          <cell r="N5785" t="str">
            <v>B</v>
          </cell>
        </row>
        <row r="5786">
          <cell r="B5786" t="str">
            <v>LZPR-90|</v>
          </cell>
          <cell r="J5786" t="str">
            <v>C</v>
          </cell>
          <cell r="N5786" t="str">
            <v>C</v>
          </cell>
        </row>
        <row r="5787">
          <cell r="B5787" t="str">
            <v>3093 / SFWZ-82|</v>
          </cell>
          <cell r="J5787" t="str">
            <v>B</v>
          </cell>
          <cell r="N5787" t="str">
            <v>B</v>
          </cell>
        </row>
        <row r="5788">
          <cell r="B5788" t="str">
            <v>3069 / SFWZ-32|</v>
          </cell>
          <cell r="J5788" t="str">
            <v>B</v>
          </cell>
          <cell r="N5788" t="str">
            <v>B</v>
          </cell>
        </row>
        <row r="5789">
          <cell r="B5789" t="str">
            <v>VJKW-68|</v>
          </cell>
          <cell r="J5789" t="str">
            <v>B</v>
          </cell>
          <cell r="N5789" t="str">
            <v>B</v>
          </cell>
        </row>
        <row r="5790">
          <cell r="B5790" t="str">
            <v>VJWZ-74|</v>
          </cell>
          <cell r="J5790" t="str">
            <v>B</v>
          </cell>
          <cell r="N5790" t="str">
            <v>B</v>
          </cell>
        </row>
        <row r="5791">
          <cell r="B5791" t="str">
            <v>VJKX-78|</v>
          </cell>
          <cell r="J5791" t="str">
            <v>B</v>
          </cell>
          <cell r="N5791" t="str">
            <v>B</v>
          </cell>
        </row>
        <row r="5792">
          <cell r="B5792" t="str">
            <v>3026 / SFVZ-81|</v>
          </cell>
          <cell r="J5792" t="str">
            <v>B</v>
          </cell>
          <cell r="N5792" t="str">
            <v>B</v>
          </cell>
        </row>
        <row r="5793">
          <cell r="B5793" t="str">
            <v>3020 / SFWZ-20|</v>
          </cell>
          <cell r="J5793" t="str">
            <v>B</v>
          </cell>
          <cell r="N5793" t="str">
            <v>B</v>
          </cell>
        </row>
        <row r="5794">
          <cell r="B5794" t="str">
            <v>3047 / SFVZ-39|</v>
          </cell>
          <cell r="J5794" t="str">
            <v>B</v>
          </cell>
          <cell r="N5794" t="str">
            <v>B</v>
          </cell>
        </row>
        <row r="5795">
          <cell r="B5795" t="str">
            <v>VJKF-29|</v>
          </cell>
          <cell r="J5795" t="str">
            <v>B</v>
          </cell>
          <cell r="N5795" t="str">
            <v>B</v>
          </cell>
        </row>
        <row r="5796">
          <cell r="B5796" t="str">
            <v>VJXC-26|</v>
          </cell>
          <cell r="J5796" t="str">
            <v>B</v>
          </cell>
          <cell r="N5796" t="str">
            <v>B</v>
          </cell>
        </row>
        <row r="5797">
          <cell r="B5797" t="str">
            <v>VJKT-63|</v>
          </cell>
          <cell r="J5797" t="str">
            <v>B</v>
          </cell>
          <cell r="N5797" t="str">
            <v>B</v>
          </cell>
        </row>
        <row r="5798">
          <cell r="B5798" t="str">
            <v>VJKZ-38|</v>
          </cell>
          <cell r="J5798" t="str">
            <v>B</v>
          </cell>
          <cell r="N5798" t="str">
            <v>B</v>
          </cell>
        </row>
        <row r="5799">
          <cell r="B5799" t="str">
            <v>VJXC-91|</v>
          </cell>
          <cell r="J5799" t="str">
            <v>B</v>
          </cell>
          <cell r="N5799" t="str">
            <v>B</v>
          </cell>
        </row>
        <row r="5800">
          <cell r="B5800" t="str">
            <v>VJKW-68|</v>
          </cell>
          <cell r="J5800" t="str">
            <v>B</v>
          </cell>
          <cell r="N5800" t="str">
            <v>B</v>
          </cell>
        </row>
        <row r="5801">
          <cell r="B5801" t="str">
            <v>3099 / SFWZ-37|</v>
          </cell>
          <cell r="J5801" t="str">
            <v>B</v>
          </cell>
          <cell r="N5801" t="str">
            <v>B</v>
          </cell>
        </row>
        <row r="5802">
          <cell r="B5802" t="str">
            <v>VJKF-61|</v>
          </cell>
          <cell r="J5802" t="str">
            <v>B</v>
          </cell>
          <cell r="N5802" t="str">
            <v>B</v>
          </cell>
        </row>
        <row r="5803">
          <cell r="B5803" t="str">
            <v>3046 / SFWB-98|</v>
          </cell>
          <cell r="J5803" t="str">
            <v>B</v>
          </cell>
          <cell r="N5803" t="str">
            <v>B</v>
          </cell>
        </row>
        <row r="5804">
          <cell r="B5804" t="str">
            <v>3038 / SFWB-90|</v>
          </cell>
          <cell r="J5804" t="str">
            <v>B</v>
          </cell>
          <cell r="N5804" t="str">
            <v>B</v>
          </cell>
        </row>
        <row r="5805">
          <cell r="B5805" t="str">
            <v>3094 / SFWZ-40|</v>
          </cell>
          <cell r="J5805" t="str">
            <v>B</v>
          </cell>
          <cell r="N5805" t="str">
            <v>B</v>
          </cell>
        </row>
        <row r="5806">
          <cell r="B5806" t="str">
            <v>3099 / SFWZ-37|</v>
          </cell>
          <cell r="J5806" t="str">
            <v>B</v>
          </cell>
          <cell r="N5806" t="str">
            <v>B</v>
          </cell>
        </row>
        <row r="5807">
          <cell r="B5807" t="str">
            <v>3035 / SFWB-64|</v>
          </cell>
          <cell r="J5807" t="str">
            <v>B</v>
          </cell>
          <cell r="N5807" t="str">
            <v>B</v>
          </cell>
        </row>
        <row r="5808">
          <cell r="B5808" t="str">
            <v>VJKF-61|</v>
          </cell>
          <cell r="J5808" t="str">
            <v>B</v>
          </cell>
          <cell r="N5808" t="str">
            <v>B</v>
          </cell>
        </row>
        <row r="5809">
          <cell r="B5809" t="str">
            <v>3003 / SFWZ-16|</v>
          </cell>
          <cell r="J5809" t="str">
            <v>B</v>
          </cell>
          <cell r="N5809" t="str">
            <v>B</v>
          </cell>
        </row>
        <row r="5810">
          <cell r="B5810" t="str">
            <v>3017 / SFWB-29|</v>
          </cell>
          <cell r="J5810" t="str">
            <v>B</v>
          </cell>
          <cell r="N5810" t="str">
            <v>B</v>
          </cell>
        </row>
        <row r="5811">
          <cell r="B5811" t="str">
            <v>3046 / SFWB-98|</v>
          </cell>
          <cell r="J5811" t="str">
            <v>B</v>
          </cell>
          <cell r="N5811" t="str">
            <v>B</v>
          </cell>
        </row>
        <row r="5812">
          <cell r="B5812" t="str">
            <v>3038 / SFWB-90|</v>
          </cell>
          <cell r="J5812" t="str">
            <v>B</v>
          </cell>
          <cell r="N5812" t="str">
            <v>B</v>
          </cell>
        </row>
        <row r="5813">
          <cell r="B5813" t="str">
            <v>3094 / SFWZ-40|</v>
          </cell>
          <cell r="J5813" t="str">
            <v>B</v>
          </cell>
          <cell r="N5813" t="str">
            <v>B</v>
          </cell>
        </row>
        <row r="5814">
          <cell r="B5814" t="str">
            <v>3099 / SFWZ-37|</v>
          </cell>
          <cell r="J5814" t="str">
            <v>B</v>
          </cell>
          <cell r="N5814" t="str">
            <v>B</v>
          </cell>
        </row>
        <row r="5815">
          <cell r="B5815" t="str">
            <v>3088 / SFWZ-81|</v>
          </cell>
          <cell r="J5815" t="str">
            <v>B</v>
          </cell>
          <cell r="N5815" t="str">
            <v>B</v>
          </cell>
        </row>
        <row r="5816">
          <cell r="B5816" t="str">
            <v>3035 / SFWB-64|</v>
          </cell>
          <cell r="J5816" t="str">
            <v>B</v>
          </cell>
          <cell r="N5816" t="str">
            <v>B</v>
          </cell>
        </row>
        <row r="5817">
          <cell r="B5817" t="str">
            <v>3046 / SFWB-98|</v>
          </cell>
          <cell r="J5817" t="str">
            <v>B</v>
          </cell>
          <cell r="N5817" t="str">
            <v>B</v>
          </cell>
        </row>
        <row r="5818">
          <cell r="B5818" t="str">
            <v>3003 / SFWZ-16|</v>
          </cell>
          <cell r="J5818" t="str">
            <v>B</v>
          </cell>
          <cell r="N5818" t="str">
            <v>B</v>
          </cell>
        </row>
        <row r="5819">
          <cell r="B5819" t="str">
            <v>3017 / SFWB-29|</v>
          </cell>
          <cell r="J5819" t="str">
            <v>B</v>
          </cell>
          <cell r="N5819" t="str">
            <v>B</v>
          </cell>
        </row>
        <row r="5820">
          <cell r="B5820" t="str">
            <v>3065 / SFVZ-40|</v>
          </cell>
          <cell r="J5820" t="str">
            <v>B</v>
          </cell>
          <cell r="N5820" t="str">
            <v>B</v>
          </cell>
        </row>
        <row r="5821">
          <cell r="B5821" t="str">
            <v>3038 / SFWB-90|</v>
          </cell>
          <cell r="J5821" t="str">
            <v>B</v>
          </cell>
          <cell r="N5821" t="str">
            <v>B</v>
          </cell>
        </row>
        <row r="5822">
          <cell r="B5822" t="str">
            <v>3094 / SFWZ-40|</v>
          </cell>
          <cell r="J5822" t="str">
            <v>B</v>
          </cell>
          <cell r="N5822" t="str">
            <v>B</v>
          </cell>
        </row>
        <row r="5823">
          <cell r="B5823" t="str">
            <v>3088 / SFWZ-81|</v>
          </cell>
          <cell r="J5823" t="str">
            <v>B</v>
          </cell>
          <cell r="N5823" t="str">
            <v>B</v>
          </cell>
        </row>
        <row r="5824">
          <cell r="B5824" t="str">
            <v>VJKF-61|</v>
          </cell>
          <cell r="J5824" t="str">
            <v>B</v>
          </cell>
          <cell r="N5824" t="str">
            <v>B</v>
          </cell>
        </row>
        <row r="5825">
          <cell r="B5825" t="str">
            <v>3041 / SFVZ-49|</v>
          </cell>
          <cell r="J5825" t="str">
            <v>B</v>
          </cell>
          <cell r="N5825" t="str">
            <v>B</v>
          </cell>
        </row>
        <row r="5826">
          <cell r="B5826" t="str">
            <v>3003 / SFWZ-16|</v>
          </cell>
          <cell r="J5826" t="str">
            <v>B</v>
          </cell>
          <cell r="N5826" t="str">
            <v>B</v>
          </cell>
        </row>
        <row r="5827">
          <cell r="B5827" t="str">
            <v>3038 / SFWB-90|</v>
          </cell>
          <cell r="J5827" t="str">
            <v>B</v>
          </cell>
          <cell r="N5827" t="str">
            <v>B</v>
          </cell>
        </row>
        <row r="5828">
          <cell r="B5828" t="str">
            <v>3007 / SFWB-50|</v>
          </cell>
          <cell r="J5828" t="str">
            <v>B</v>
          </cell>
          <cell r="N5828" t="str">
            <v>B</v>
          </cell>
        </row>
        <row r="5829">
          <cell r="B5829" t="str">
            <v>3065 / SFVZ-40|</v>
          </cell>
          <cell r="J5829" t="str">
            <v>B</v>
          </cell>
          <cell r="N5829" t="str">
            <v>B</v>
          </cell>
        </row>
        <row r="5830">
          <cell r="B5830" t="str">
            <v>3094 / SFWZ-40|</v>
          </cell>
          <cell r="J5830" t="str">
            <v>B</v>
          </cell>
          <cell r="N5830" t="str">
            <v>B</v>
          </cell>
        </row>
        <row r="5831">
          <cell r="B5831" t="str">
            <v>3009 / SFVZ-87|</v>
          </cell>
          <cell r="J5831" t="str">
            <v>B</v>
          </cell>
          <cell r="N5831" t="str">
            <v>B</v>
          </cell>
        </row>
        <row r="5832">
          <cell r="B5832" t="str">
            <v>3106 / SFWZ-68|</v>
          </cell>
          <cell r="J5832" t="str">
            <v>B</v>
          </cell>
          <cell r="N5832" t="str">
            <v>B</v>
          </cell>
        </row>
        <row r="5833">
          <cell r="B5833" t="str">
            <v>3088 / SFWZ-81|</v>
          </cell>
          <cell r="J5833" t="str">
            <v>B</v>
          </cell>
          <cell r="N5833" t="str">
            <v>B</v>
          </cell>
        </row>
        <row r="5834">
          <cell r="B5834" t="str">
            <v>3050 / SFWB-82|</v>
          </cell>
          <cell r="J5834" t="str">
            <v>B</v>
          </cell>
          <cell r="N5834" t="str">
            <v>B</v>
          </cell>
        </row>
        <row r="5835">
          <cell r="B5835" t="str">
            <v>3007 / SFWB-50|</v>
          </cell>
          <cell r="J5835" t="str">
            <v>B</v>
          </cell>
          <cell r="N5835" t="str">
            <v>B</v>
          </cell>
        </row>
        <row r="5836">
          <cell r="B5836" t="str">
            <v>3003 / SFWZ-16|</v>
          </cell>
          <cell r="J5836" t="str">
            <v>B</v>
          </cell>
          <cell r="N5836" t="str">
            <v>B</v>
          </cell>
        </row>
        <row r="5837">
          <cell r="B5837" t="str">
            <v>3009 / SFVZ-87|</v>
          </cell>
          <cell r="J5837" t="str">
            <v>B</v>
          </cell>
          <cell r="N5837" t="str">
            <v>B</v>
          </cell>
        </row>
        <row r="5838">
          <cell r="B5838" t="str">
            <v>3023 / SFWB-33|</v>
          </cell>
          <cell r="J5838" t="str">
            <v>B</v>
          </cell>
          <cell r="N5838" t="str">
            <v>B</v>
          </cell>
        </row>
        <row r="5839">
          <cell r="B5839" t="str">
            <v>3007 / SFWB-50|</v>
          </cell>
          <cell r="J5839" t="str">
            <v>B</v>
          </cell>
          <cell r="N5839" t="str">
            <v>B</v>
          </cell>
        </row>
        <row r="5840">
          <cell r="B5840" t="str">
            <v>3031 / SFWZ-33|</v>
          </cell>
          <cell r="J5840" t="str">
            <v>B</v>
          </cell>
          <cell r="N5840" t="str">
            <v>B</v>
          </cell>
        </row>
        <row r="5841">
          <cell r="B5841" t="str">
            <v>3005 / SFWZ-39|</v>
          </cell>
          <cell r="J5841" t="str">
            <v>B</v>
          </cell>
          <cell r="N5841" t="str">
            <v>B</v>
          </cell>
        </row>
        <row r="5842">
          <cell r="B5842" t="str">
            <v>3003 / SFWZ-16|</v>
          </cell>
          <cell r="J5842" t="str">
            <v>B</v>
          </cell>
          <cell r="N5842" t="str">
            <v>B</v>
          </cell>
        </row>
        <row r="5843">
          <cell r="B5843" t="str">
            <v>3009 / SFVZ-87|</v>
          </cell>
          <cell r="J5843" t="str">
            <v>B</v>
          </cell>
          <cell r="N5843" t="str">
            <v>B</v>
          </cell>
        </row>
        <row r="5844">
          <cell r="B5844" t="str">
            <v>3049 / SFWZ-13|</v>
          </cell>
          <cell r="J5844" t="str">
            <v>B</v>
          </cell>
          <cell r="N5844" t="str">
            <v>B</v>
          </cell>
        </row>
        <row r="5845">
          <cell r="B5845" t="str">
            <v>3023 / SFWB-33|</v>
          </cell>
          <cell r="J5845" t="str">
            <v>B</v>
          </cell>
          <cell r="N5845" t="str">
            <v>B</v>
          </cell>
        </row>
        <row r="5846">
          <cell r="B5846" t="str">
            <v>3013 / SFWZ-18|</v>
          </cell>
          <cell r="J5846" t="str">
            <v>B</v>
          </cell>
          <cell r="N5846" t="str">
            <v>B</v>
          </cell>
        </row>
        <row r="5847">
          <cell r="B5847" t="str">
            <v>3030 / SFWZ-14|</v>
          </cell>
          <cell r="J5847" t="str">
            <v>B</v>
          </cell>
          <cell r="N5847" t="str">
            <v>B</v>
          </cell>
        </row>
        <row r="5848">
          <cell r="B5848" t="str">
            <v>3031 / SFWZ-33|</v>
          </cell>
          <cell r="J5848" t="str">
            <v>B</v>
          </cell>
          <cell r="N5848" t="str">
            <v>B</v>
          </cell>
        </row>
        <row r="5849">
          <cell r="B5849" t="str">
            <v>3035 / SFWB-64|</v>
          </cell>
          <cell r="J5849" t="str">
            <v>B</v>
          </cell>
          <cell r="N5849" t="str">
            <v>B</v>
          </cell>
        </row>
        <row r="5850">
          <cell r="B5850" t="str">
            <v>3005 / SFWZ-39|</v>
          </cell>
          <cell r="J5850" t="str">
            <v>B</v>
          </cell>
          <cell r="N5850" t="str">
            <v>B</v>
          </cell>
        </row>
        <row r="5851">
          <cell r="B5851" t="str">
            <v>3009 / SFVZ-87|</v>
          </cell>
          <cell r="J5851" t="str">
            <v>B</v>
          </cell>
          <cell r="N5851" t="str">
            <v>B</v>
          </cell>
        </row>
        <row r="5852">
          <cell r="B5852" t="str">
            <v>3049 / SFWZ-13|</v>
          </cell>
          <cell r="J5852" t="str">
            <v>B</v>
          </cell>
          <cell r="N5852" t="str">
            <v>B</v>
          </cell>
        </row>
        <row r="5853">
          <cell r="B5853" t="str">
            <v>3023 / SFWB-33|</v>
          </cell>
          <cell r="J5853" t="str">
            <v>B</v>
          </cell>
          <cell r="N5853" t="str">
            <v>B</v>
          </cell>
        </row>
        <row r="5854">
          <cell r="B5854" t="str">
            <v>3013 / SFWZ-18|</v>
          </cell>
          <cell r="J5854" t="str">
            <v>B</v>
          </cell>
          <cell r="N5854" t="str">
            <v>B</v>
          </cell>
        </row>
        <row r="5855">
          <cell r="B5855" t="str">
            <v>3025 / SFVZ-44|</v>
          </cell>
          <cell r="J5855" t="str">
            <v>B</v>
          </cell>
          <cell r="N5855" t="str">
            <v>B</v>
          </cell>
        </row>
        <row r="5856">
          <cell r="B5856" t="str">
            <v>3031 / SFWZ-33|</v>
          </cell>
          <cell r="J5856" t="str">
            <v>B</v>
          </cell>
          <cell r="N5856" t="str">
            <v>B</v>
          </cell>
        </row>
        <row r="5857">
          <cell r="B5857" t="str">
            <v>3013 / SFWZ-18|</v>
          </cell>
          <cell r="J5857" t="str">
            <v>B</v>
          </cell>
          <cell r="N5857" t="str">
            <v>B</v>
          </cell>
        </row>
        <row r="5858">
          <cell r="B5858" t="str">
            <v>3025 / SFVZ-44|</v>
          </cell>
          <cell r="J5858" t="str">
            <v>B</v>
          </cell>
          <cell r="N5858" t="str">
            <v>B</v>
          </cell>
        </row>
        <row r="5859">
          <cell r="B5859" t="str">
            <v>3031 / SFWZ-33|</v>
          </cell>
          <cell r="J5859" t="str">
            <v>B</v>
          </cell>
          <cell r="N5859" t="str">
            <v>B</v>
          </cell>
        </row>
        <row r="5860">
          <cell r="B5860" t="str">
            <v>3056 / SFWB-61|</v>
          </cell>
          <cell r="J5860" t="str">
            <v>B</v>
          </cell>
          <cell r="N5860" t="str">
            <v>B</v>
          </cell>
        </row>
        <row r="5861">
          <cell r="B5861" t="str">
            <v>VJYJ-35|</v>
          </cell>
          <cell r="J5861" t="str">
            <v>B</v>
          </cell>
          <cell r="N5861" t="str">
            <v>B</v>
          </cell>
        </row>
        <row r="5862">
          <cell r="B5862" t="str">
            <v>3041 / SFVZ-49|</v>
          </cell>
          <cell r="J5862" t="str">
            <v>B</v>
          </cell>
          <cell r="N5862" t="str">
            <v>B</v>
          </cell>
        </row>
        <row r="5863">
          <cell r="B5863" t="str">
            <v>VJZB-77|</v>
          </cell>
          <cell r="J5863" t="str">
            <v>B</v>
          </cell>
          <cell r="N5863" t="str">
            <v>B</v>
          </cell>
        </row>
        <row r="5864">
          <cell r="B5864" t="str">
            <v>3062 / SFWZ-10|</v>
          </cell>
          <cell r="J5864" t="str">
            <v>B</v>
          </cell>
          <cell r="N5864" t="str">
            <v>B</v>
          </cell>
        </row>
        <row r="5865">
          <cell r="B5865" t="str">
            <v>3004 / SFWZ-31|</v>
          </cell>
          <cell r="J5865" t="str">
            <v>B</v>
          </cell>
          <cell r="N5865" t="str">
            <v>B</v>
          </cell>
        </row>
        <row r="5866">
          <cell r="B5866" t="str">
            <v>3033 / SFVZ-29|</v>
          </cell>
          <cell r="J5866" t="str">
            <v>B</v>
          </cell>
          <cell r="N5866" t="str">
            <v>B</v>
          </cell>
        </row>
        <row r="5867">
          <cell r="B5867" t="str">
            <v>3061 / SFWB-68|</v>
          </cell>
          <cell r="J5867" t="str">
            <v>B</v>
          </cell>
          <cell r="N5867" t="str">
            <v>B</v>
          </cell>
        </row>
        <row r="5868">
          <cell r="B5868" t="str">
            <v>3107 / SFWZ-85|</v>
          </cell>
          <cell r="J5868" t="str">
            <v>B</v>
          </cell>
          <cell r="N5868" t="str">
            <v>B</v>
          </cell>
        </row>
        <row r="5869">
          <cell r="B5869" t="str">
            <v>3014 / SFWZ-26|</v>
          </cell>
          <cell r="J5869" t="str">
            <v>B</v>
          </cell>
          <cell r="N5869" t="str">
            <v>B</v>
          </cell>
        </row>
        <row r="5870">
          <cell r="B5870" t="str">
            <v>3103 / SFWZ-78|</v>
          </cell>
          <cell r="J5870" t="str">
            <v>B</v>
          </cell>
          <cell r="N5870" t="str">
            <v>B</v>
          </cell>
        </row>
        <row r="5871">
          <cell r="B5871" t="str">
            <v>3074 / SFWZ-17|</v>
          </cell>
          <cell r="J5871" t="str">
            <v>B</v>
          </cell>
          <cell r="N5871" t="str">
            <v>B</v>
          </cell>
        </row>
        <row r="5872">
          <cell r="B5872" t="str">
            <v>3104 / SFWZ-52|</v>
          </cell>
          <cell r="J5872" t="str">
            <v>B</v>
          </cell>
          <cell r="N5872" t="str">
            <v>B</v>
          </cell>
        </row>
        <row r="5873">
          <cell r="B5873" t="str">
            <v>3105 / SFWZ-54|</v>
          </cell>
          <cell r="J5873" t="str">
            <v>B</v>
          </cell>
          <cell r="N5873" t="str">
            <v>B</v>
          </cell>
        </row>
        <row r="5874">
          <cell r="B5874" t="str">
            <v>3065 / SFVZ-40|</v>
          </cell>
          <cell r="J5874" t="str">
            <v>B</v>
          </cell>
          <cell r="N5874" t="str">
            <v>B</v>
          </cell>
        </row>
        <row r="5875">
          <cell r="B5875" t="str">
            <v>3106 / SFWZ-68|</v>
          </cell>
          <cell r="J5875" t="str">
            <v>B</v>
          </cell>
          <cell r="N5875" t="str">
            <v>B</v>
          </cell>
        </row>
        <row r="5876">
          <cell r="B5876" t="str">
            <v>VJKG-37|</v>
          </cell>
          <cell r="J5876" t="str">
            <v>B</v>
          </cell>
          <cell r="N5876" t="str">
            <v>B</v>
          </cell>
        </row>
        <row r="5877">
          <cell r="B5877" t="str">
            <v>3005 / SFWZ-39|</v>
          </cell>
          <cell r="J5877" t="str">
            <v>B</v>
          </cell>
          <cell r="N5877" t="str">
            <v>B</v>
          </cell>
        </row>
        <row r="5878">
          <cell r="B5878" t="str">
            <v>VJKF-46|</v>
          </cell>
          <cell r="J5878" t="str">
            <v>B</v>
          </cell>
          <cell r="N5878" t="str">
            <v>B</v>
          </cell>
        </row>
        <row r="5879">
          <cell r="B5879" t="str">
            <v>VJYJ-35|</v>
          </cell>
          <cell r="J5879" t="str">
            <v>B</v>
          </cell>
          <cell r="N5879" t="str">
            <v>B</v>
          </cell>
        </row>
        <row r="5880">
          <cell r="B5880" t="str">
            <v>3097 / SFWZ-77|</v>
          </cell>
          <cell r="J5880" t="str">
            <v>B</v>
          </cell>
          <cell r="N5880" t="str">
            <v>B</v>
          </cell>
        </row>
        <row r="5881">
          <cell r="B5881" t="str">
            <v>3063 / SFWZ-21|</v>
          </cell>
          <cell r="J5881" t="str">
            <v>B</v>
          </cell>
          <cell r="N5881" t="str">
            <v>B</v>
          </cell>
        </row>
        <row r="5882">
          <cell r="B5882" t="str">
            <v>3089 / SFWZ-73|</v>
          </cell>
          <cell r="J5882" t="str">
            <v>B</v>
          </cell>
          <cell r="N5882" t="str">
            <v>B</v>
          </cell>
        </row>
        <row r="5883">
          <cell r="B5883" t="str">
            <v>3030 / SFWZ-14|</v>
          </cell>
          <cell r="J5883" t="str">
            <v>B</v>
          </cell>
          <cell r="N5883" t="str">
            <v>B</v>
          </cell>
        </row>
        <row r="5884">
          <cell r="B5884" t="str">
            <v>3007 / SFWB-50|</v>
          </cell>
          <cell r="J5884" t="str">
            <v>B</v>
          </cell>
          <cell r="N5884" t="str">
            <v>B</v>
          </cell>
        </row>
        <row r="5885">
          <cell r="B5885" t="str">
            <v>3077 / SFWZ-55|</v>
          </cell>
          <cell r="J5885" t="str">
            <v>B</v>
          </cell>
          <cell r="N5885" t="str">
            <v>B</v>
          </cell>
        </row>
        <row r="5886">
          <cell r="B5886" t="str">
            <v>3041 / SFVZ-49|</v>
          </cell>
          <cell r="J5886" t="str">
            <v>B</v>
          </cell>
          <cell r="N5886" t="str">
            <v>B</v>
          </cell>
        </row>
        <row r="5887">
          <cell r="B5887" t="str">
            <v>3012 / SFWB-72|</v>
          </cell>
          <cell r="J5887" t="str">
            <v>B</v>
          </cell>
          <cell r="N5887" t="str">
            <v>B</v>
          </cell>
        </row>
        <row r="5888">
          <cell r="B5888" t="str">
            <v>3107 / SFWZ-85|</v>
          </cell>
          <cell r="J5888" t="str">
            <v>B</v>
          </cell>
          <cell r="N5888" t="str">
            <v>B</v>
          </cell>
        </row>
        <row r="5889">
          <cell r="B5889" t="str">
            <v>3061 / SFWB-68|</v>
          </cell>
          <cell r="J5889" t="str">
            <v>B</v>
          </cell>
          <cell r="N5889" t="str">
            <v>B</v>
          </cell>
        </row>
        <row r="5890">
          <cell r="B5890" t="str">
            <v>3062 / SFWZ-10|</v>
          </cell>
          <cell r="J5890" t="str">
            <v>B</v>
          </cell>
          <cell r="N5890" t="str">
            <v>B</v>
          </cell>
        </row>
        <row r="5891">
          <cell r="B5891" t="str">
            <v>3105 / SFWZ-54|</v>
          </cell>
          <cell r="J5891" t="str">
            <v>B</v>
          </cell>
          <cell r="N5891" t="str">
            <v>B</v>
          </cell>
        </row>
        <row r="5892">
          <cell r="B5892" t="str">
            <v>3074 / SFWZ-17|</v>
          </cell>
          <cell r="J5892" t="str">
            <v>B</v>
          </cell>
          <cell r="N5892" t="str">
            <v>B</v>
          </cell>
        </row>
        <row r="5893">
          <cell r="B5893" t="str">
            <v>3104 / SFWZ-52|</v>
          </cell>
          <cell r="J5893" t="str">
            <v>B</v>
          </cell>
          <cell r="N5893" t="str">
            <v>B</v>
          </cell>
        </row>
        <row r="5894">
          <cell r="B5894" t="str">
            <v>3106 / SFWZ-68|</v>
          </cell>
          <cell r="J5894" t="str">
            <v>B</v>
          </cell>
          <cell r="N5894" t="str">
            <v>B</v>
          </cell>
        </row>
        <row r="5895">
          <cell r="B5895" t="str">
            <v>3033 / SFVZ-29|</v>
          </cell>
          <cell r="J5895" t="str">
            <v>B</v>
          </cell>
          <cell r="N5895" t="str">
            <v>B</v>
          </cell>
        </row>
        <row r="5896">
          <cell r="B5896" t="str">
            <v>3097 / SFWZ-77|</v>
          </cell>
          <cell r="J5896" t="str">
            <v>B</v>
          </cell>
          <cell r="N5896" t="str">
            <v>B</v>
          </cell>
        </row>
        <row r="5897">
          <cell r="B5897" t="str">
            <v>VJKG-37|</v>
          </cell>
          <cell r="J5897" t="str">
            <v>B</v>
          </cell>
          <cell r="N5897" t="str">
            <v>B</v>
          </cell>
        </row>
        <row r="5898">
          <cell r="B5898" t="str">
            <v>3048 / SFVZ-96|</v>
          </cell>
          <cell r="J5898" t="str">
            <v>B</v>
          </cell>
          <cell r="N5898" t="str">
            <v>B</v>
          </cell>
        </row>
        <row r="5899">
          <cell r="B5899" t="str">
            <v>VJKF-46|</v>
          </cell>
          <cell r="J5899" t="str">
            <v>B</v>
          </cell>
          <cell r="N5899" t="str">
            <v>B</v>
          </cell>
        </row>
        <row r="5900">
          <cell r="B5900" t="str">
            <v>3066 / SFWB-10|</v>
          </cell>
          <cell r="J5900" t="str">
            <v>B</v>
          </cell>
          <cell r="N5900" t="str">
            <v>B</v>
          </cell>
        </row>
        <row r="5901">
          <cell r="B5901" t="str">
            <v>3030 / SFWZ-14|</v>
          </cell>
          <cell r="J5901" t="str">
            <v>B</v>
          </cell>
          <cell r="N5901" t="str">
            <v>B</v>
          </cell>
        </row>
        <row r="5902">
          <cell r="B5902" t="str">
            <v>3107 / SFWZ-85|</v>
          </cell>
          <cell r="J5902" t="str">
            <v>B</v>
          </cell>
          <cell r="N5902" t="str">
            <v>B</v>
          </cell>
        </row>
        <row r="5903">
          <cell r="B5903" t="str">
            <v>3005 / SFWZ-39|</v>
          </cell>
          <cell r="J5903" t="str">
            <v>B</v>
          </cell>
          <cell r="N5903" t="str">
            <v>B</v>
          </cell>
        </row>
        <row r="5904">
          <cell r="B5904" t="str">
            <v>3078 / SFWZ-69|</v>
          </cell>
          <cell r="J5904" t="str">
            <v>B</v>
          </cell>
          <cell r="N5904" t="str">
            <v>B</v>
          </cell>
        </row>
        <row r="5905">
          <cell r="B5905" t="str">
            <v>3089 / SFWZ-73|</v>
          </cell>
          <cell r="J5905" t="str">
            <v>B</v>
          </cell>
          <cell r="N5905" t="str">
            <v>B</v>
          </cell>
        </row>
        <row r="5906">
          <cell r="B5906" t="str">
            <v>3062 / SFWZ-10|</v>
          </cell>
          <cell r="J5906" t="str">
            <v>B</v>
          </cell>
          <cell r="N5906" t="str">
            <v>B</v>
          </cell>
        </row>
        <row r="5907">
          <cell r="B5907" t="str">
            <v>3105 / SFWZ-54|</v>
          </cell>
          <cell r="J5907" t="str">
            <v>B</v>
          </cell>
          <cell r="N5907" t="str">
            <v>B</v>
          </cell>
        </row>
        <row r="5908">
          <cell r="B5908" t="str">
            <v>3077 / SFWZ-55|</v>
          </cell>
          <cell r="J5908" t="str">
            <v>B</v>
          </cell>
          <cell r="N5908" t="str">
            <v>B</v>
          </cell>
        </row>
        <row r="5909">
          <cell r="B5909" t="str">
            <v>3097 / SFWZ-77|</v>
          </cell>
          <cell r="J5909" t="str">
            <v>B</v>
          </cell>
          <cell r="N5909" t="str">
            <v>B</v>
          </cell>
        </row>
        <row r="5910">
          <cell r="B5910" t="str">
            <v>VJYJ-35|</v>
          </cell>
          <cell r="J5910" t="str">
            <v>B</v>
          </cell>
          <cell r="N5910" t="str">
            <v>B</v>
          </cell>
        </row>
        <row r="5911">
          <cell r="B5911" t="str">
            <v>3058 / SFWB-85|</v>
          </cell>
          <cell r="J5911" t="str">
            <v>B</v>
          </cell>
          <cell r="N5911" t="str">
            <v>B</v>
          </cell>
        </row>
        <row r="5912">
          <cell r="B5912" t="str">
            <v>3104 / SFWZ-52|</v>
          </cell>
          <cell r="J5912" t="str">
            <v>B</v>
          </cell>
          <cell r="N5912" t="str">
            <v>B</v>
          </cell>
        </row>
        <row r="5913">
          <cell r="B5913" t="str">
            <v>VJKF-44|</v>
          </cell>
          <cell r="J5913" t="str">
            <v>B</v>
          </cell>
          <cell r="N5913" t="str">
            <v>B</v>
          </cell>
        </row>
        <row r="5914">
          <cell r="B5914" t="str">
            <v>3026 / SFVZ-81|</v>
          </cell>
          <cell r="J5914" t="str">
            <v>B</v>
          </cell>
          <cell r="N5914" t="str">
            <v>B</v>
          </cell>
        </row>
        <row r="5915">
          <cell r="B5915" t="str">
            <v>3037 / SFWB-87|</v>
          </cell>
          <cell r="J5915" t="str">
            <v>B</v>
          </cell>
          <cell r="N5915" t="str">
            <v>B</v>
          </cell>
        </row>
        <row r="5916">
          <cell r="B5916" t="str">
            <v>3041 / SFVZ-49|</v>
          </cell>
          <cell r="J5916" t="str">
            <v>B</v>
          </cell>
          <cell r="N5916" t="str">
            <v>B</v>
          </cell>
        </row>
        <row r="5917">
          <cell r="B5917" t="str">
            <v>3012 / SFWB-72|</v>
          </cell>
          <cell r="J5917" t="str">
            <v>B</v>
          </cell>
          <cell r="N5917" t="str">
            <v>B</v>
          </cell>
        </row>
        <row r="5918">
          <cell r="B5918" t="str">
            <v>3005 / SFWZ-39|</v>
          </cell>
          <cell r="J5918" t="str">
            <v>B</v>
          </cell>
          <cell r="N5918" t="str">
            <v>B</v>
          </cell>
        </row>
        <row r="5919">
          <cell r="B5919" t="str">
            <v>3049 / SFWZ-13|</v>
          </cell>
          <cell r="J5919" t="str">
            <v>B</v>
          </cell>
          <cell r="N5919" t="str">
            <v>B</v>
          </cell>
        </row>
        <row r="5920">
          <cell r="B5920" t="str">
            <v>3089 / SFWZ-73|</v>
          </cell>
          <cell r="J5920" t="str">
            <v>B</v>
          </cell>
          <cell r="N5920" t="str">
            <v>B</v>
          </cell>
        </row>
        <row r="5921">
          <cell r="B5921" t="str">
            <v>3105 / SFWZ-54|</v>
          </cell>
          <cell r="J5921" t="str">
            <v>B</v>
          </cell>
          <cell r="N5921" t="str">
            <v>B</v>
          </cell>
        </row>
        <row r="5922">
          <cell r="B5922" t="str">
            <v>3021 / SFWZ-36|</v>
          </cell>
          <cell r="J5922" t="str">
            <v>B</v>
          </cell>
          <cell r="N5922" t="str">
            <v>B</v>
          </cell>
        </row>
        <row r="5923">
          <cell r="B5923" t="str">
            <v>VJYJ-35|</v>
          </cell>
          <cell r="J5923" t="str">
            <v>B</v>
          </cell>
          <cell r="N5923" t="str">
            <v>B</v>
          </cell>
        </row>
        <row r="5924">
          <cell r="B5924" t="str">
            <v>3104 / SFWZ-52|</v>
          </cell>
          <cell r="J5924" t="str">
            <v>B</v>
          </cell>
          <cell r="N5924" t="str">
            <v>B</v>
          </cell>
        </row>
        <row r="5925">
          <cell r="B5925" t="str">
            <v>3074 / SFWZ-17|</v>
          </cell>
          <cell r="J5925" t="str">
            <v>B</v>
          </cell>
          <cell r="N5925" t="str">
            <v>B</v>
          </cell>
        </row>
        <row r="5926">
          <cell r="B5926" t="str">
            <v>VJKF-46|</v>
          </cell>
          <cell r="J5926" t="str">
            <v>B</v>
          </cell>
          <cell r="N5926" t="str">
            <v>B</v>
          </cell>
        </row>
        <row r="5927">
          <cell r="B5927" t="str">
            <v>3012 / SFWB-72|</v>
          </cell>
          <cell r="J5927" t="str">
            <v>B</v>
          </cell>
          <cell r="N5927" t="str">
            <v>B</v>
          </cell>
        </row>
        <row r="5928">
          <cell r="B5928" t="str">
            <v>3041 / SFVZ-49|</v>
          </cell>
          <cell r="J5928" t="str">
            <v>B</v>
          </cell>
          <cell r="N5928" t="str">
            <v>B</v>
          </cell>
        </row>
        <row r="5929">
          <cell r="B5929" t="str">
            <v>3006 / SFVZ-94|</v>
          </cell>
          <cell r="J5929" t="str">
            <v>B</v>
          </cell>
          <cell r="N5929" t="str">
            <v>B</v>
          </cell>
        </row>
        <row r="5930">
          <cell r="B5930" t="str">
            <v>3004 / SFWZ-31|</v>
          </cell>
          <cell r="J5930" t="str">
            <v>B</v>
          </cell>
          <cell r="N5930" t="str">
            <v>B</v>
          </cell>
        </row>
        <row r="5931">
          <cell r="B5931" t="str">
            <v>3097 / SFWZ-77|</v>
          </cell>
          <cell r="J5931" t="str">
            <v>B</v>
          </cell>
          <cell r="N5931" t="str">
            <v>B</v>
          </cell>
        </row>
        <row r="5932">
          <cell r="B5932" t="str">
            <v>3065 / SFVZ-40|</v>
          </cell>
          <cell r="J5932" t="str">
            <v>B</v>
          </cell>
          <cell r="N5932" t="str">
            <v>B</v>
          </cell>
        </row>
        <row r="5933">
          <cell r="B5933" t="str">
            <v>VJKF-44|</v>
          </cell>
          <cell r="J5933" t="str">
            <v>B</v>
          </cell>
          <cell r="N5933" t="str">
            <v>B</v>
          </cell>
        </row>
        <row r="5934">
          <cell r="B5934" t="str">
            <v>3037 / SFWB-87|</v>
          </cell>
          <cell r="J5934" t="str">
            <v>B</v>
          </cell>
          <cell r="N5934" t="str">
            <v>B</v>
          </cell>
        </row>
        <row r="5935">
          <cell r="B5935" t="str">
            <v>3032 / SFWZ-34|</v>
          </cell>
          <cell r="J5935" t="str">
            <v>B</v>
          </cell>
          <cell r="N5935" t="str">
            <v>B</v>
          </cell>
        </row>
        <row r="5936">
          <cell r="B5936" t="str">
            <v>3088 / SFWZ-81|</v>
          </cell>
          <cell r="J5936" t="str">
            <v>B</v>
          </cell>
          <cell r="N5936" t="str">
            <v>B</v>
          </cell>
        </row>
        <row r="5937">
          <cell r="B5937" t="str">
            <v>3089 / SFWZ-73|</v>
          </cell>
          <cell r="J5937" t="str">
            <v>B</v>
          </cell>
          <cell r="N5937" t="str">
            <v>B</v>
          </cell>
        </row>
        <row r="5938">
          <cell r="B5938" t="str">
            <v>3072 / SFWB-89|</v>
          </cell>
          <cell r="J5938" t="str">
            <v>B</v>
          </cell>
          <cell r="N5938" t="str">
            <v>B</v>
          </cell>
        </row>
        <row r="5939">
          <cell r="B5939" t="str">
            <v>3019 / SFWB-44|</v>
          </cell>
          <cell r="J5939" t="str">
            <v>B</v>
          </cell>
          <cell r="N5939" t="str">
            <v>B</v>
          </cell>
        </row>
        <row r="5940">
          <cell r="B5940" t="str">
            <v>3054 / SFWB-24|</v>
          </cell>
          <cell r="J5940" t="str">
            <v>B</v>
          </cell>
          <cell r="N5940" t="str">
            <v>B</v>
          </cell>
        </row>
        <row r="5941">
          <cell r="B5941" t="str">
            <v>3064 / SFWZ-61|</v>
          </cell>
          <cell r="J5941" t="str">
            <v>B</v>
          </cell>
          <cell r="N5941" t="str">
            <v>B</v>
          </cell>
        </row>
        <row r="5942">
          <cell r="B5942" t="str">
            <v>3063 / SFWZ-21|</v>
          </cell>
          <cell r="J5942" t="str">
            <v>B</v>
          </cell>
          <cell r="N5942" t="str">
            <v>B</v>
          </cell>
        </row>
        <row r="5943">
          <cell r="B5943" t="str">
            <v>VJKF-46|</v>
          </cell>
          <cell r="J5943" t="str">
            <v>B</v>
          </cell>
          <cell r="N5943" t="str">
            <v>B</v>
          </cell>
        </row>
        <row r="5944">
          <cell r="B5944" t="str">
            <v>3006 / SFVZ-94|</v>
          </cell>
          <cell r="J5944" t="str">
            <v>B</v>
          </cell>
          <cell r="N5944" t="str">
            <v>B</v>
          </cell>
        </row>
        <row r="5945">
          <cell r="B5945" t="str">
            <v>3041 / SFVZ-49|</v>
          </cell>
          <cell r="J5945" t="str">
            <v>B</v>
          </cell>
          <cell r="N5945" t="str">
            <v>B</v>
          </cell>
        </row>
        <row r="5946">
          <cell r="B5946" t="str">
            <v>3021 / SFWZ-36|</v>
          </cell>
          <cell r="J5946" t="str">
            <v>B</v>
          </cell>
          <cell r="N5946" t="str">
            <v>B</v>
          </cell>
        </row>
        <row r="5947">
          <cell r="B5947" t="str">
            <v>3074 / SFWZ-17|</v>
          </cell>
          <cell r="J5947" t="str">
            <v>B</v>
          </cell>
          <cell r="N5947" t="str">
            <v>B</v>
          </cell>
        </row>
        <row r="5948">
          <cell r="B5948" t="str">
            <v>SFWB-77</v>
          </cell>
          <cell r="J5948" t="str">
            <v>B</v>
          </cell>
          <cell r="N5948" t="str">
            <v>B</v>
          </cell>
        </row>
        <row r="5949">
          <cell r="B5949" t="str">
            <v>3104 / SFWZ-52|</v>
          </cell>
          <cell r="J5949" t="str">
            <v>B</v>
          </cell>
          <cell r="N5949" t="str">
            <v>B</v>
          </cell>
        </row>
        <row r="5950">
          <cell r="B5950" t="str">
            <v>3004 / SFWZ-31|</v>
          </cell>
          <cell r="J5950" t="str">
            <v>B</v>
          </cell>
          <cell r="N5950" t="str">
            <v>B</v>
          </cell>
        </row>
        <row r="5951">
          <cell r="B5951" t="str">
            <v>3032 / SFWZ-34|</v>
          </cell>
          <cell r="J5951" t="str">
            <v>B</v>
          </cell>
          <cell r="N5951" t="str">
            <v>B</v>
          </cell>
        </row>
        <row r="5952">
          <cell r="B5952" t="str">
            <v>VJYJ-35|</v>
          </cell>
          <cell r="J5952" t="str">
            <v>B</v>
          </cell>
          <cell r="N5952" t="str">
            <v>B</v>
          </cell>
        </row>
        <row r="5953">
          <cell r="B5953" t="str">
            <v>3063 / SFWZ-21|</v>
          </cell>
          <cell r="J5953" t="str">
            <v>B</v>
          </cell>
          <cell r="N5953" t="str">
            <v>B</v>
          </cell>
        </row>
        <row r="5954">
          <cell r="B5954" t="str">
            <v>3044 / SFVZ-67|</v>
          </cell>
          <cell r="J5954" t="str">
            <v>B</v>
          </cell>
          <cell r="N5954" t="str">
            <v>B</v>
          </cell>
        </row>
        <row r="5955">
          <cell r="B5955" t="str">
            <v>3019 / SFWB-44|</v>
          </cell>
          <cell r="J5955" t="str">
            <v>B</v>
          </cell>
          <cell r="N5955" t="str">
            <v>B</v>
          </cell>
        </row>
        <row r="5956">
          <cell r="B5956" t="str">
            <v>3036 / SFWB-77|</v>
          </cell>
          <cell r="J5956" t="str">
            <v>B</v>
          </cell>
          <cell r="N5956" t="str">
            <v>B</v>
          </cell>
        </row>
        <row r="5957">
          <cell r="B5957" t="str">
            <v>VJYJ-35|</v>
          </cell>
          <cell r="J5957" t="str">
            <v>B</v>
          </cell>
          <cell r="N5957" t="str">
            <v>B</v>
          </cell>
        </row>
        <row r="5958">
          <cell r="B5958" t="str">
            <v>3041 / SFVZ-49|</v>
          </cell>
          <cell r="J5958" t="str">
            <v>B</v>
          </cell>
          <cell r="N5958" t="str">
            <v>B</v>
          </cell>
        </row>
        <row r="5959">
          <cell r="B5959" t="str">
            <v>VJZB-77|</v>
          </cell>
          <cell r="J5959" t="str">
            <v>B</v>
          </cell>
          <cell r="N5959" t="str">
            <v>B</v>
          </cell>
        </row>
        <row r="5960">
          <cell r="B5960" t="str">
            <v>3033 / SFVZ-29|</v>
          </cell>
          <cell r="J5960" t="str">
            <v>B</v>
          </cell>
          <cell r="N5960" t="str">
            <v>B</v>
          </cell>
        </row>
        <row r="5961">
          <cell r="B5961" t="str">
            <v>3062 / SFWZ-10|</v>
          </cell>
          <cell r="J5961" t="str">
            <v>B</v>
          </cell>
          <cell r="N5961" t="str">
            <v>B</v>
          </cell>
        </row>
        <row r="5962">
          <cell r="B5962" t="str">
            <v>3014 / SFWZ-26|</v>
          </cell>
          <cell r="J5962" t="str">
            <v>B</v>
          </cell>
          <cell r="N5962" t="str">
            <v>B</v>
          </cell>
        </row>
        <row r="5963">
          <cell r="B5963" t="str">
            <v>3107 / SFWZ-85|</v>
          </cell>
          <cell r="J5963" t="str">
            <v>B</v>
          </cell>
          <cell r="N5963" t="str">
            <v>B</v>
          </cell>
        </row>
        <row r="5964">
          <cell r="B5964" t="str">
            <v>3103 / SFWZ-78|</v>
          </cell>
          <cell r="J5964" t="str">
            <v>B</v>
          </cell>
          <cell r="N5964" t="str">
            <v>B</v>
          </cell>
        </row>
        <row r="5965">
          <cell r="B5965" t="str">
            <v>3074 / SFWZ-17|</v>
          </cell>
          <cell r="J5965" t="str">
            <v>B</v>
          </cell>
          <cell r="N5965" t="str">
            <v>B</v>
          </cell>
        </row>
        <row r="5966">
          <cell r="B5966" t="str">
            <v>3104 / SFWZ-52|</v>
          </cell>
          <cell r="J5966" t="str">
            <v>B</v>
          </cell>
          <cell r="N5966" t="str">
            <v>B</v>
          </cell>
        </row>
        <row r="5967">
          <cell r="B5967" t="str">
            <v>3105 / SFWZ-54|</v>
          </cell>
          <cell r="J5967" t="str">
            <v>B</v>
          </cell>
          <cell r="N5967" t="str">
            <v>B</v>
          </cell>
        </row>
        <row r="5968">
          <cell r="B5968" t="str">
            <v>3106 / SFWZ-68|</v>
          </cell>
          <cell r="J5968" t="str">
            <v>B</v>
          </cell>
          <cell r="N5968" t="str">
            <v>B</v>
          </cell>
        </row>
        <row r="5969">
          <cell r="B5969" t="str">
            <v>3065 / SFVZ-40|</v>
          </cell>
          <cell r="J5969" t="str">
            <v>B</v>
          </cell>
          <cell r="N5969" t="str">
            <v>B</v>
          </cell>
        </row>
        <row r="5970">
          <cell r="B5970" t="str">
            <v>VJKG-37|</v>
          </cell>
          <cell r="J5970" t="str">
            <v>B</v>
          </cell>
          <cell r="N5970" t="str">
            <v>B</v>
          </cell>
        </row>
        <row r="5971">
          <cell r="B5971" t="str">
            <v>3005 / SFWZ-39|</v>
          </cell>
          <cell r="J5971" t="str">
            <v>B</v>
          </cell>
          <cell r="N5971" t="str">
            <v>B</v>
          </cell>
        </row>
        <row r="5972">
          <cell r="B5972" t="str">
            <v>VJKF-46|</v>
          </cell>
          <cell r="J5972" t="str">
            <v>B</v>
          </cell>
          <cell r="N5972" t="str">
            <v>B</v>
          </cell>
        </row>
        <row r="5973">
          <cell r="B5973" t="str">
            <v>VJYJ-35|</v>
          </cell>
          <cell r="J5973" t="str">
            <v>B</v>
          </cell>
          <cell r="N5973" t="str">
            <v>B</v>
          </cell>
        </row>
        <row r="5974">
          <cell r="B5974" t="str">
            <v>3097 / SFWZ-77|</v>
          </cell>
          <cell r="J5974" t="str">
            <v>B</v>
          </cell>
          <cell r="N5974" t="str">
            <v>B</v>
          </cell>
        </row>
        <row r="5975">
          <cell r="B5975" t="str">
            <v>3063 / SFWZ-21|</v>
          </cell>
          <cell r="J5975" t="str">
            <v>B</v>
          </cell>
          <cell r="N5975" t="str">
            <v>B</v>
          </cell>
        </row>
        <row r="5976">
          <cell r="B5976" t="str">
            <v>3030 / SFWZ-14|</v>
          </cell>
          <cell r="J5976" t="str">
            <v>B</v>
          </cell>
          <cell r="N5976" t="str">
            <v>B</v>
          </cell>
        </row>
        <row r="5977">
          <cell r="B5977" t="str">
            <v>3089 / SFWZ-73|</v>
          </cell>
          <cell r="J5977" t="str">
            <v>B</v>
          </cell>
          <cell r="N5977" t="str">
            <v>B</v>
          </cell>
        </row>
        <row r="5978">
          <cell r="B5978" t="str">
            <v>3007 / SFWB-50|</v>
          </cell>
          <cell r="J5978" t="str">
            <v>B</v>
          </cell>
          <cell r="N5978" t="str">
            <v>B</v>
          </cell>
        </row>
        <row r="5979">
          <cell r="B5979" t="str">
            <v>3077 / SFWZ-55|</v>
          </cell>
          <cell r="J5979" t="str">
            <v>B</v>
          </cell>
          <cell r="N5979" t="str">
            <v>B</v>
          </cell>
        </row>
        <row r="5980">
          <cell r="B5980" t="str">
            <v>3048 / SFVZ-96|</v>
          </cell>
          <cell r="J5980" t="str">
            <v>B</v>
          </cell>
          <cell r="N5980" t="str">
            <v>B</v>
          </cell>
        </row>
        <row r="5981">
          <cell r="B5981" t="str">
            <v>3041 / SFVZ-49|</v>
          </cell>
          <cell r="J5981" t="str">
            <v>B</v>
          </cell>
          <cell r="N5981" t="str">
            <v>B</v>
          </cell>
        </row>
        <row r="5982">
          <cell r="B5982" t="str">
            <v>3012 / SFWB-72|</v>
          </cell>
          <cell r="J5982" t="str">
            <v>B</v>
          </cell>
          <cell r="N5982" t="str">
            <v>B</v>
          </cell>
        </row>
        <row r="5983">
          <cell r="B5983" t="str">
            <v>3107 / SFWZ-85|</v>
          </cell>
          <cell r="J5983" t="str">
            <v>B</v>
          </cell>
          <cell r="N5983" t="str">
            <v>B</v>
          </cell>
        </row>
        <row r="5984">
          <cell r="B5984" t="str">
            <v>3061 / SFWB-68|</v>
          </cell>
          <cell r="J5984" t="str">
            <v>B</v>
          </cell>
          <cell r="N5984" t="str">
            <v>B</v>
          </cell>
        </row>
        <row r="5985">
          <cell r="B5985" t="str">
            <v>3062 / SFWZ-10|</v>
          </cell>
          <cell r="J5985" t="str">
            <v>B</v>
          </cell>
          <cell r="N5985" t="str">
            <v>B</v>
          </cell>
        </row>
        <row r="5986">
          <cell r="B5986" t="str">
            <v>3105 / SFWZ-54|</v>
          </cell>
          <cell r="J5986" t="str">
            <v>B</v>
          </cell>
          <cell r="N5986" t="str">
            <v>B</v>
          </cell>
        </row>
        <row r="5987">
          <cell r="B5987" t="str">
            <v>3074 / SFWZ-17|</v>
          </cell>
          <cell r="J5987" t="str">
            <v>B</v>
          </cell>
          <cell r="N5987" t="str">
            <v>B</v>
          </cell>
        </row>
        <row r="5988">
          <cell r="B5988" t="str">
            <v>3104 / SFWZ-52|</v>
          </cell>
          <cell r="J5988" t="str">
            <v>B</v>
          </cell>
          <cell r="N5988" t="str">
            <v>B</v>
          </cell>
        </row>
        <row r="5989">
          <cell r="B5989" t="str">
            <v>3106 / SFWZ-68|</v>
          </cell>
          <cell r="J5989" t="str">
            <v>B</v>
          </cell>
          <cell r="N5989" t="str">
            <v>B</v>
          </cell>
        </row>
        <row r="5990">
          <cell r="B5990" t="str">
            <v>VJYJ-35|</v>
          </cell>
          <cell r="J5990" t="str">
            <v>B</v>
          </cell>
          <cell r="N5990" t="str">
            <v>B</v>
          </cell>
        </row>
        <row r="5991">
          <cell r="B5991" t="str">
            <v>3063 / SFWZ-21|</v>
          </cell>
          <cell r="J5991" t="str">
            <v>B</v>
          </cell>
          <cell r="N5991" t="str">
            <v>B</v>
          </cell>
        </row>
        <row r="5992">
          <cell r="B5992" t="str">
            <v>3097 / SFWZ-77|</v>
          </cell>
          <cell r="J5992" t="str">
            <v>B</v>
          </cell>
          <cell r="N5992" t="str">
            <v>B</v>
          </cell>
        </row>
        <row r="5993">
          <cell r="B5993" t="str">
            <v>VJKG-37|</v>
          </cell>
          <cell r="J5993" t="str">
            <v>B</v>
          </cell>
          <cell r="N5993" t="str">
            <v>B</v>
          </cell>
        </row>
        <row r="5994">
          <cell r="B5994" t="str">
            <v>3048 / SFVZ-96|</v>
          </cell>
          <cell r="J5994" t="str">
            <v>B</v>
          </cell>
          <cell r="N5994" t="str">
            <v>B</v>
          </cell>
        </row>
        <row r="5995">
          <cell r="B5995" t="str">
            <v>VJKF-46|</v>
          </cell>
          <cell r="J5995" t="str">
            <v>B</v>
          </cell>
          <cell r="N5995" t="str">
            <v>B</v>
          </cell>
        </row>
        <row r="5996">
          <cell r="B5996" t="str">
            <v>3066 / SFWB-10|</v>
          </cell>
          <cell r="J5996" t="str">
            <v>B</v>
          </cell>
          <cell r="N5996" t="str">
            <v>B</v>
          </cell>
        </row>
        <row r="5997">
          <cell r="B5997" t="str">
            <v>3030 / SFWZ-14|</v>
          </cell>
          <cell r="J5997" t="str">
            <v>B</v>
          </cell>
          <cell r="N5997" t="str">
            <v>B</v>
          </cell>
        </row>
        <row r="5998">
          <cell r="B5998" t="str">
            <v>3107 / SFWZ-85|</v>
          </cell>
          <cell r="J5998" t="str">
            <v>B</v>
          </cell>
          <cell r="N5998" t="str">
            <v>B</v>
          </cell>
        </row>
        <row r="5999">
          <cell r="B5999" t="str">
            <v>3005 / SFWZ-39|</v>
          </cell>
          <cell r="J5999" t="str">
            <v>B</v>
          </cell>
          <cell r="N5999" t="str">
            <v>B</v>
          </cell>
        </row>
        <row r="6000">
          <cell r="B6000" t="str">
            <v>3078 / SFWZ-69|</v>
          </cell>
          <cell r="J6000" t="str">
            <v>B</v>
          </cell>
          <cell r="N6000" t="str">
            <v>B</v>
          </cell>
        </row>
        <row r="6001">
          <cell r="B6001" t="str">
            <v>3089 / SFWZ-73|</v>
          </cell>
          <cell r="J6001" t="str">
            <v>B</v>
          </cell>
          <cell r="N6001" t="str">
            <v>B</v>
          </cell>
        </row>
        <row r="6002">
          <cell r="B6002" t="str">
            <v>3062 / SFWZ-10|</v>
          </cell>
          <cell r="J6002" t="str">
            <v>B</v>
          </cell>
          <cell r="N6002" t="str">
            <v>B</v>
          </cell>
        </row>
        <row r="6003">
          <cell r="B6003" t="str">
            <v>3105 / SFWZ-54|</v>
          </cell>
          <cell r="J6003" t="str">
            <v>B</v>
          </cell>
          <cell r="N6003" t="str">
            <v>B</v>
          </cell>
        </row>
        <row r="6004">
          <cell r="B6004" t="str">
            <v>3097 / SFWZ-77|</v>
          </cell>
          <cell r="J6004" t="str">
            <v>B</v>
          </cell>
          <cell r="N6004" t="str">
            <v>B</v>
          </cell>
        </row>
        <row r="6005">
          <cell r="B6005" t="str">
            <v>VJYJ-35|</v>
          </cell>
          <cell r="J6005" t="str">
            <v>B</v>
          </cell>
          <cell r="N6005" t="str">
            <v>B</v>
          </cell>
        </row>
        <row r="6006">
          <cell r="B6006" t="str">
            <v>3058 / SFWB-85|</v>
          </cell>
          <cell r="J6006" t="str">
            <v>B</v>
          </cell>
          <cell r="N6006" t="str">
            <v>B</v>
          </cell>
        </row>
        <row r="6007">
          <cell r="B6007" t="str">
            <v>3104 / SFWZ-52|</v>
          </cell>
          <cell r="J6007" t="str">
            <v>B</v>
          </cell>
          <cell r="N6007" t="str">
            <v>B</v>
          </cell>
        </row>
        <row r="6008">
          <cell r="B6008" t="str">
            <v>VJKF-44|</v>
          </cell>
          <cell r="J6008" t="str">
            <v>B</v>
          </cell>
          <cell r="N6008" t="str">
            <v>B</v>
          </cell>
        </row>
        <row r="6009">
          <cell r="B6009" t="str">
            <v>3026 / SFVZ-81|</v>
          </cell>
          <cell r="J6009" t="str">
            <v>B</v>
          </cell>
          <cell r="N6009" t="str">
            <v>B</v>
          </cell>
        </row>
        <row r="6010">
          <cell r="B6010" t="str">
            <v>3074 / SFWZ-17|</v>
          </cell>
          <cell r="J6010" t="str">
            <v>B</v>
          </cell>
          <cell r="N6010" t="str">
            <v>B</v>
          </cell>
        </row>
        <row r="6011">
          <cell r="B6011" t="str">
            <v>3037 / SFWB-87|</v>
          </cell>
          <cell r="J6011" t="str">
            <v>B</v>
          </cell>
          <cell r="N6011" t="str">
            <v>B</v>
          </cell>
        </row>
        <row r="6012">
          <cell r="B6012" t="str">
            <v>3066 / SFWB-10|</v>
          </cell>
          <cell r="J6012" t="str">
            <v>B</v>
          </cell>
          <cell r="N6012" t="str">
            <v>B</v>
          </cell>
        </row>
        <row r="6013">
          <cell r="B6013" t="str">
            <v>3041 / SFVZ-49|</v>
          </cell>
          <cell r="J6013" t="str">
            <v>B</v>
          </cell>
          <cell r="N6013" t="str">
            <v>B</v>
          </cell>
        </row>
        <row r="6014">
          <cell r="B6014" t="str">
            <v>3049 / SFWZ-13|</v>
          </cell>
          <cell r="J6014" t="str">
            <v>B</v>
          </cell>
          <cell r="N6014" t="str">
            <v>B</v>
          </cell>
        </row>
        <row r="6015">
          <cell r="B6015" t="str">
            <v>3005 / SFWZ-39|</v>
          </cell>
          <cell r="J6015" t="str">
            <v>B</v>
          </cell>
          <cell r="N6015" t="str">
            <v>B</v>
          </cell>
        </row>
        <row r="6016">
          <cell r="B6016" t="str">
            <v>3089 / SFWZ-73|</v>
          </cell>
          <cell r="J6016" t="str">
            <v>B</v>
          </cell>
          <cell r="N6016" t="str">
            <v>B</v>
          </cell>
        </row>
        <row r="6017">
          <cell r="B6017" t="str">
            <v>3105 / SFWZ-54|</v>
          </cell>
          <cell r="J6017" t="str">
            <v>B</v>
          </cell>
          <cell r="N6017" t="str">
            <v>B</v>
          </cell>
        </row>
        <row r="6018">
          <cell r="B6018" t="str">
            <v>3021 / SFWZ-36|</v>
          </cell>
          <cell r="J6018" t="str">
            <v>B</v>
          </cell>
          <cell r="N6018" t="str">
            <v>B</v>
          </cell>
        </row>
        <row r="6019">
          <cell r="B6019" t="str">
            <v>VJYJ-35|</v>
          </cell>
          <cell r="J6019" t="str">
            <v>B</v>
          </cell>
          <cell r="N6019" t="str">
            <v>B</v>
          </cell>
        </row>
        <row r="6020">
          <cell r="B6020" t="str">
            <v>3104 / SFWZ-52|</v>
          </cell>
          <cell r="J6020" t="str">
            <v>B</v>
          </cell>
          <cell r="N6020" t="str">
            <v>B</v>
          </cell>
        </row>
        <row r="6021">
          <cell r="B6021" t="str">
            <v>VJKF-46|</v>
          </cell>
          <cell r="J6021" t="str">
            <v>B</v>
          </cell>
          <cell r="N6021" t="str">
            <v>B</v>
          </cell>
        </row>
        <row r="6022">
          <cell r="B6022" t="str">
            <v>3074 / SFWZ-17|</v>
          </cell>
          <cell r="J6022" t="str">
            <v>B</v>
          </cell>
          <cell r="N6022" t="str">
            <v>B</v>
          </cell>
        </row>
        <row r="6023">
          <cell r="B6023" t="str">
            <v>3006 / SFVZ-94|</v>
          </cell>
          <cell r="J6023" t="str">
            <v>B</v>
          </cell>
          <cell r="N6023" t="str">
            <v>B</v>
          </cell>
        </row>
        <row r="6024">
          <cell r="B6024" t="str">
            <v>3004 / SFWZ-31|</v>
          </cell>
          <cell r="J6024" t="str">
            <v>B</v>
          </cell>
          <cell r="N6024" t="str">
            <v>B</v>
          </cell>
        </row>
        <row r="6025">
          <cell r="B6025" t="str">
            <v>3041 / SFVZ-49|</v>
          </cell>
          <cell r="J6025" t="str">
            <v>B</v>
          </cell>
          <cell r="N6025" t="str">
            <v>B</v>
          </cell>
        </row>
        <row r="6026">
          <cell r="B6026" t="str">
            <v>3097 / SFWZ-77|</v>
          </cell>
          <cell r="J6026" t="str">
            <v>B</v>
          </cell>
          <cell r="N6026" t="str">
            <v>B</v>
          </cell>
        </row>
        <row r="6027">
          <cell r="B6027" t="str">
            <v>3065 / SFVZ-40|</v>
          </cell>
          <cell r="J6027" t="str">
            <v>B</v>
          </cell>
          <cell r="N6027" t="str">
            <v>B</v>
          </cell>
        </row>
        <row r="6028">
          <cell r="B6028" t="str">
            <v>VJKF-44|</v>
          </cell>
          <cell r="J6028" t="str">
            <v>B</v>
          </cell>
          <cell r="N6028" t="str">
            <v>B</v>
          </cell>
        </row>
        <row r="6029">
          <cell r="B6029" t="str">
            <v>3037 / SFWB-87|</v>
          </cell>
          <cell r="J6029" t="str">
            <v>B</v>
          </cell>
          <cell r="N6029" t="str">
            <v>B</v>
          </cell>
        </row>
        <row r="6030">
          <cell r="B6030" t="str">
            <v>3088 / SFWZ-81|</v>
          </cell>
          <cell r="J6030" t="str">
            <v>B</v>
          </cell>
          <cell r="N6030" t="str">
            <v>B</v>
          </cell>
        </row>
        <row r="6031">
          <cell r="B6031" t="str">
            <v>3089 / SFWZ-73|</v>
          </cell>
          <cell r="J6031" t="str">
            <v>B</v>
          </cell>
          <cell r="N6031" t="str">
            <v>B</v>
          </cell>
        </row>
        <row r="6032">
          <cell r="B6032" t="str">
            <v>3072 / SFWB-89|</v>
          </cell>
          <cell r="J6032" t="str">
            <v>B</v>
          </cell>
          <cell r="N6032" t="str">
            <v>B</v>
          </cell>
        </row>
        <row r="6033">
          <cell r="B6033" t="str">
            <v>3054 / SFWB-24|</v>
          </cell>
          <cell r="J6033" t="str">
            <v>B</v>
          </cell>
          <cell r="N6033" t="str">
            <v>B</v>
          </cell>
        </row>
        <row r="6034">
          <cell r="B6034" t="str">
            <v>3019 / SFWB-44|</v>
          </cell>
          <cell r="J6034" t="str">
            <v>B</v>
          </cell>
          <cell r="N6034" t="str">
            <v>B</v>
          </cell>
        </row>
        <row r="6035">
          <cell r="B6035" t="str">
            <v>3064 / SFWZ-61|</v>
          </cell>
          <cell r="J6035" t="str">
            <v>B</v>
          </cell>
          <cell r="N6035" t="str">
            <v>B</v>
          </cell>
        </row>
        <row r="6036">
          <cell r="B6036" t="str">
            <v>3063 / SFWZ-21|</v>
          </cell>
          <cell r="J6036" t="str">
            <v>B</v>
          </cell>
          <cell r="N6036" t="str">
            <v>B</v>
          </cell>
        </row>
        <row r="6037">
          <cell r="B6037" t="str">
            <v>VJKF-46|</v>
          </cell>
          <cell r="J6037" t="str">
            <v>B</v>
          </cell>
          <cell r="N6037" t="str">
            <v>B</v>
          </cell>
        </row>
        <row r="6038">
          <cell r="B6038" t="str">
            <v>3006 / SFVZ-94|</v>
          </cell>
          <cell r="J6038" t="str">
            <v>B</v>
          </cell>
          <cell r="N6038" t="str">
            <v>B</v>
          </cell>
        </row>
        <row r="6039">
          <cell r="B6039" t="str">
            <v>3021 / SFWZ-36|</v>
          </cell>
          <cell r="J6039" t="str">
            <v>B</v>
          </cell>
          <cell r="N6039" t="str">
            <v>B</v>
          </cell>
        </row>
        <row r="6040">
          <cell r="B6040" t="str">
            <v>3012 / SFWB-72|</v>
          </cell>
          <cell r="J6040" t="str">
            <v>B</v>
          </cell>
          <cell r="N6040" t="str">
            <v>B</v>
          </cell>
        </row>
        <row r="6041">
          <cell r="B6041" t="str">
            <v>3074 / SFWZ-17|</v>
          </cell>
          <cell r="J6041" t="str">
            <v>B</v>
          </cell>
          <cell r="N6041" t="str">
            <v>B</v>
          </cell>
        </row>
        <row r="6042">
          <cell r="B6042" t="str">
            <v>3044 / SFVZ-67|</v>
          </cell>
          <cell r="J6042" t="str">
            <v>B</v>
          </cell>
          <cell r="N6042" t="str">
            <v>B</v>
          </cell>
        </row>
        <row r="6043">
          <cell r="B6043" t="str">
            <v>3097 / SFWZ-77|</v>
          </cell>
          <cell r="J6043" t="str">
            <v>B</v>
          </cell>
          <cell r="N6043" t="str">
            <v>B</v>
          </cell>
        </row>
        <row r="6044">
          <cell r="B6044" t="str">
            <v>3036 / SFWB-77|</v>
          </cell>
          <cell r="J6044" t="str">
            <v>B</v>
          </cell>
          <cell r="N6044" t="str">
            <v>B</v>
          </cell>
        </row>
        <row r="6045">
          <cell r="B6045" t="str">
            <v>3104 / SFWZ-52|</v>
          </cell>
          <cell r="J6045" t="str">
            <v>B</v>
          </cell>
          <cell r="N6045" t="str">
            <v>B</v>
          </cell>
        </row>
        <row r="6046">
          <cell r="B6046" t="str">
            <v>3004 / SFWZ-31|</v>
          </cell>
          <cell r="J6046" t="str">
            <v>B</v>
          </cell>
          <cell r="N6046" t="str">
            <v>B</v>
          </cell>
        </row>
        <row r="6047">
          <cell r="B6047" t="str">
            <v>3032 / SFWZ-34|</v>
          </cell>
          <cell r="J6047" t="str">
            <v>B</v>
          </cell>
          <cell r="N6047" t="str">
            <v>B</v>
          </cell>
        </row>
        <row r="6048">
          <cell r="B6048" t="str">
            <v>VJKF-44|</v>
          </cell>
          <cell r="J6048" t="str">
            <v>B</v>
          </cell>
          <cell r="N6048" t="str">
            <v>B</v>
          </cell>
        </row>
        <row r="6049">
          <cell r="B6049" t="str">
            <v>VJYJ-35|</v>
          </cell>
          <cell r="J6049" t="str">
            <v>B</v>
          </cell>
          <cell r="N6049" t="str">
            <v>B</v>
          </cell>
        </row>
        <row r="6050">
          <cell r="B6050" t="str">
            <v>3044 / SFVZ-67|</v>
          </cell>
          <cell r="J6050" t="str">
            <v>B</v>
          </cell>
          <cell r="N6050" t="str">
            <v>B</v>
          </cell>
        </row>
        <row r="6051">
          <cell r="B6051" t="str">
            <v>3030 / SFWZ-14|</v>
          </cell>
          <cell r="J6051" t="str">
            <v>B</v>
          </cell>
          <cell r="N6051" t="str">
            <v>B</v>
          </cell>
        </row>
        <row r="6052">
          <cell r="B6052" t="str">
            <v>3063 / SFWZ-21|</v>
          </cell>
          <cell r="J6052" t="str">
            <v>B</v>
          </cell>
          <cell r="N6052" t="str">
            <v>B</v>
          </cell>
        </row>
        <row r="6053">
          <cell r="B6053" t="str">
            <v>3104 / SFWZ-52|</v>
          </cell>
          <cell r="J6053" t="str">
            <v>B</v>
          </cell>
          <cell r="N6053" t="str">
            <v>B</v>
          </cell>
        </row>
        <row r="6054">
          <cell r="B6054" t="str">
            <v>3019 / SFWB-44|</v>
          </cell>
          <cell r="J6054" t="str">
            <v>B</v>
          </cell>
          <cell r="N6054" t="str">
            <v>B</v>
          </cell>
        </row>
        <row r="6055">
          <cell r="B6055" t="str">
            <v>3036 / SFWB-77|</v>
          </cell>
          <cell r="J6055" t="str">
            <v>B</v>
          </cell>
          <cell r="N6055" t="str">
            <v>B</v>
          </cell>
        </row>
        <row r="6056">
          <cell r="B6056" t="str">
            <v>3062 / SFWZ-10|</v>
          </cell>
          <cell r="J6056" t="str">
            <v>B</v>
          </cell>
          <cell r="N6056" t="str">
            <v>B</v>
          </cell>
        </row>
        <row r="6057">
          <cell r="B6057" t="str">
            <v>LL-BP1000</v>
          </cell>
          <cell r="J6057" t="str">
            <v>B2PAL</v>
          </cell>
          <cell r="N6057" t="str">
            <v>B2PAL</v>
          </cell>
        </row>
        <row r="6058">
          <cell r="B6058" t="str">
            <v>LL-BP1002</v>
          </cell>
          <cell r="J6058" t="str">
            <v>B2PAL</v>
          </cell>
          <cell r="N6058" t="str">
            <v>B2PAL</v>
          </cell>
        </row>
        <row r="6059">
          <cell r="B6059" t="str">
            <v>LL-BP1003</v>
          </cell>
          <cell r="J6059" t="str">
            <v>B2PAL</v>
          </cell>
          <cell r="N6059" t="str">
            <v>B2PAL</v>
          </cell>
        </row>
        <row r="6060">
          <cell r="B6060" t="str">
            <v>SJ-BP1004</v>
          </cell>
          <cell r="J6060" t="str">
            <v>B2PAL</v>
          </cell>
          <cell r="N6060" t="str">
            <v>B2PAL</v>
          </cell>
        </row>
        <row r="6061">
          <cell r="B6061" t="str">
            <v>SJ-BP1005</v>
          </cell>
          <cell r="J6061" t="str">
            <v>B2PAL</v>
          </cell>
          <cell r="N6061" t="str">
            <v>B2PAL</v>
          </cell>
        </row>
        <row r="6062">
          <cell r="B6062" t="str">
            <v>SJ-BP1006</v>
          </cell>
          <cell r="J6062" t="str">
            <v>B2PAL</v>
          </cell>
          <cell r="N6062" t="str">
            <v>B2PAL</v>
          </cell>
        </row>
        <row r="6063">
          <cell r="B6063" t="str">
            <v>LL-BP1007</v>
          </cell>
          <cell r="J6063" t="str">
            <v>B2PAL</v>
          </cell>
          <cell r="N6063" t="str">
            <v>B2PAL</v>
          </cell>
        </row>
        <row r="6064">
          <cell r="B6064" t="str">
            <v>LL-BP1008</v>
          </cell>
          <cell r="J6064" t="str">
            <v>B2PAL</v>
          </cell>
          <cell r="N6064" t="str">
            <v>B2PAL</v>
          </cell>
        </row>
        <row r="6065">
          <cell r="B6065" t="str">
            <v>LL-BP1009</v>
          </cell>
          <cell r="J6065" t="str">
            <v>B2PAL</v>
          </cell>
          <cell r="N6065" t="str">
            <v>B2PAL</v>
          </cell>
        </row>
        <row r="6066">
          <cell r="B6066" t="str">
            <v>LL-BP1010</v>
          </cell>
          <cell r="J6066" t="str">
            <v>B2PAL</v>
          </cell>
          <cell r="N6066" t="str">
            <v>B2PAL</v>
          </cell>
        </row>
        <row r="6067">
          <cell r="B6067" t="str">
            <v>LL-BP1011</v>
          </cell>
          <cell r="J6067" t="str">
            <v>B2PAL</v>
          </cell>
          <cell r="N6067" t="str">
            <v>B2PAL</v>
          </cell>
        </row>
        <row r="6068">
          <cell r="B6068" t="str">
            <v>SJ-BP1012</v>
          </cell>
          <cell r="J6068" t="str">
            <v>B2PAL</v>
          </cell>
          <cell r="N6068" t="str">
            <v>B2PAL</v>
          </cell>
        </row>
        <row r="6069">
          <cell r="B6069" t="str">
            <v>LL-BP1013</v>
          </cell>
          <cell r="J6069" t="str">
            <v>B2PAL</v>
          </cell>
          <cell r="N6069" t="str">
            <v>B2PAL</v>
          </cell>
        </row>
        <row r="6070">
          <cell r="B6070" t="str">
            <v>LL-BP1014</v>
          </cell>
          <cell r="J6070" t="str">
            <v>B2PAL</v>
          </cell>
          <cell r="N6070" t="str">
            <v>B2PAL</v>
          </cell>
        </row>
        <row r="6071">
          <cell r="B6071" t="str">
            <v>LL-BP1015</v>
          </cell>
          <cell r="J6071" t="str">
            <v>B2PAL</v>
          </cell>
          <cell r="N6071" t="str">
            <v>B2PAL</v>
          </cell>
        </row>
        <row r="6072">
          <cell r="B6072" t="str">
            <v>LL-BP1016</v>
          </cell>
          <cell r="J6072" t="str">
            <v>B2PAL</v>
          </cell>
          <cell r="N6072" t="str">
            <v>B2PAL</v>
          </cell>
        </row>
        <row r="6073">
          <cell r="B6073" t="str">
            <v>LL-BP1017</v>
          </cell>
          <cell r="J6073" t="str">
            <v>B2PAL</v>
          </cell>
          <cell r="N6073" t="str">
            <v>B2PAL</v>
          </cell>
        </row>
        <row r="6074">
          <cell r="B6074" t="str">
            <v>LL-BP1018</v>
          </cell>
          <cell r="J6074" t="str">
            <v>B2PAL</v>
          </cell>
          <cell r="N6074" t="str">
            <v>B2PAL</v>
          </cell>
        </row>
        <row r="6075">
          <cell r="B6075" t="str">
            <v>LL-BP1019</v>
          </cell>
          <cell r="J6075" t="str">
            <v>B2PAL</v>
          </cell>
          <cell r="N6075" t="str">
            <v>B2PAL</v>
          </cell>
        </row>
        <row r="6076">
          <cell r="B6076" t="str">
            <v>LL-BP1020</v>
          </cell>
          <cell r="J6076" t="str">
            <v>B2PAL</v>
          </cell>
          <cell r="N6076" t="str">
            <v>B2PAL</v>
          </cell>
        </row>
        <row r="6077">
          <cell r="B6077" t="str">
            <v>LL-BP1021</v>
          </cell>
          <cell r="J6077" t="str">
            <v>B2PAL</v>
          </cell>
          <cell r="N6077" t="str">
            <v>B2PAL</v>
          </cell>
        </row>
        <row r="6078">
          <cell r="B6078" t="str">
            <v>LL-BP1022</v>
          </cell>
          <cell r="J6078" t="str">
            <v>B2PAL</v>
          </cell>
          <cell r="N6078" t="str">
            <v>B2PAL</v>
          </cell>
        </row>
        <row r="6079">
          <cell r="B6079" t="str">
            <v>LL-BP1023</v>
          </cell>
          <cell r="J6079" t="str">
            <v>B2PAL</v>
          </cell>
          <cell r="N6079" t="str">
            <v>B2PAL</v>
          </cell>
        </row>
        <row r="6080">
          <cell r="B6080" t="str">
            <v>LL-BP1024</v>
          </cell>
          <cell r="J6080" t="str">
            <v>B2PAL</v>
          </cell>
          <cell r="N6080" t="str">
            <v>B2PAL</v>
          </cell>
        </row>
        <row r="6081">
          <cell r="B6081" t="str">
            <v>LL-BP1025</v>
          </cell>
          <cell r="J6081" t="str">
            <v>B2PAL</v>
          </cell>
          <cell r="N6081" t="str">
            <v>B2PAL</v>
          </cell>
        </row>
        <row r="6082">
          <cell r="B6082" t="str">
            <v>LL-BP1026</v>
          </cell>
          <cell r="J6082" t="str">
            <v>B2PAL</v>
          </cell>
          <cell r="N6082" t="str">
            <v>B2PAL</v>
          </cell>
        </row>
        <row r="6083">
          <cell r="B6083" t="str">
            <v>LL-BP1027</v>
          </cell>
          <cell r="J6083" t="str">
            <v>B2PAL</v>
          </cell>
          <cell r="N6083" t="str">
            <v>B2PAL</v>
          </cell>
        </row>
        <row r="6084">
          <cell r="B6084" t="str">
            <v>SJ-BP1028</v>
          </cell>
          <cell r="J6084" t="str">
            <v>B2PAL</v>
          </cell>
          <cell r="N6084" t="str">
            <v>B2PAL</v>
          </cell>
        </row>
        <row r="6085">
          <cell r="B6085" t="str">
            <v>LL-BP1029</v>
          </cell>
          <cell r="J6085" t="str">
            <v>B2PAL</v>
          </cell>
          <cell r="N6085" t="str">
            <v>B2PAL</v>
          </cell>
        </row>
        <row r="6086">
          <cell r="B6086" t="str">
            <v>LL-BP1030</v>
          </cell>
          <cell r="J6086" t="str">
            <v>B2PAL</v>
          </cell>
          <cell r="N6086" t="str">
            <v>B2PAL</v>
          </cell>
        </row>
        <row r="6087">
          <cell r="B6087" t="str">
            <v>LL-BP1031</v>
          </cell>
          <cell r="J6087" t="str">
            <v>B2PAL</v>
          </cell>
          <cell r="N6087" t="str">
            <v>B2PAL</v>
          </cell>
        </row>
        <row r="6088">
          <cell r="B6088" t="str">
            <v>LL-BP1032</v>
          </cell>
          <cell r="J6088" t="str">
            <v>B2PAL</v>
          </cell>
          <cell r="N6088" t="str">
            <v>B2PAL</v>
          </cell>
        </row>
        <row r="6089">
          <cell r="B6089" t="str">
            <v>LL-BP1033</v>
          </cell>
          <cell r="J6089" t="str">
            <v>B2PAL</v>
          </cell>
          <cell r="N6089" t="str">
            <v>B2PAL</v>
          </cell>
        </row>
        <row r="6090">
          <cell r="B6090" t="str">
            <v>LL-BP1034</v>
          </cell>
          <cell r="J6090" t="str">
            <v>B2PAL</v>
          </cell>
          <cell r="N6090" t="str">
            <v>B2PAL</v>
          </cell>
        </row>
        <row r="6091">
          <cell r="B6091" t="str">
            <v>LL-BP1035</v>
          </cell>
          <cell r="J6091" t="str">
            <v>B2PAL</v>
          </cell>
          <cell r="N6091" t="str">
            <v>B2PAL</v>
          </cell>
        </row>
        <row r="6092">
          <cell r="B6092" t="str">
            <v>LL-BP1036</v>
          </cell>
          <cell r="J6092" t="str">
            <v>B2PAL</v>
          </cell>
          <cell r="N6092" t="str">
            <v>B2PAL</v>
          </cell>
        </row>
        <row r="6093">
          <cell r="B6093" t="str">
            <v>LL-BP1037</v>
          </cell>
          <cell r="J6093" t="str">
            <v>B2PAL</v>
          </cell>
          <cell r="N6093" t="str">
            <v>B2PAL</v>
          </cell>
        </row>
        <row r="6094">
          <cell r="B6094" t="str">
            <v>LL-BP1038</v>
          </cell>
          <cell r="J6094" t="str">
            <v>B2PAL</v>
          </cell>
          <cell r="N6094" t="str">
            <v>B2PAL</v>
          </cell>
        </row>
        <row r="6095">
          <cell r="B6095" t="str">
            <v>LL-BP1039</v>
          </cell>
          <cell r="J6095" t="str">
            <v>B2PAL</v>
          </cell>
          <cell r="N6095" t="str">
            <v>B2PAL</v>
          </cell>
        </row>
        <row r="6096">
          <cell r="B6096" t="str">
            <v>LL-BP1040</v>
          </cell>
          <cell r="J6096" t="str">
            <v>B2PAL</v>
          </cell>
          <cell r="N6096" t="str">
            <v>B2PAL</v>
          </cell>
        </row>
        <row r="6097">
          <cell r="B6097" t="str">
            <v>LL-BP1041</v>
          </cell>
          <cell r="J6097" t="str">
            <v>B2PAL</v>
          </cell>
          <cell r="N6097" t="str">
            <v>B2PAL</v>
          </cell>
        </row>
        <row r="6098">
          <cell r="B6098" t="str">
            <v>LL-BP1042</v>
          </cell>
          <cell r="J6098" t="str">
            <v>B2PAL</v>
          </cell>
          <cell r="N6098" t="str">
            <v>B2PAL</v>
          </cell>
        </row>
        <row r="6099">
          <cell r="B6099" t="str">
            <v>LL-BP1043</v>
          </cell>
          <cell r="J6099" t="str">
            <v>B2PAL</v>
          </cell>
          <cell r="N6099" t="str">
            <v>B2PAL</v>
          </cell>
        </row>
        <row r="6100">
          <cell r="B6100" t="str">
            <v>LL-BP1044</v>
          </cell>
          <cell r="J6100" t="str">
            <v>B2PAL</v>
          </cell>
          <cell r="N6100" t="str">
            <v>B2PAL</v>
          </cell>
        </row>
        <row r="6101">
          <cell r="B6101" t="str">
            <v>LL-BP1045</v>
          </cell>
          <cell r="J6101" t="str">
            <v>B2PAL</v>
          </cell>
          <cell r="N6101" t="str">
            <v>B2PAL</v>
          </cell>
        </row>
        <row r="6102">
          <cell r="B6102" t="str">
            <v>LL-BP1046</v>
          </cell>
          <cell r="J6102" t="str">
            <v>B2PAL</v>
          </cell>
          <cell r="N6102" t="str">
            <v>B2PAL</v>
          </cell>
        </row>
        <row r="6103">
          <cell r="B6103" t="str">
            <v>LL-BP1047</v>
          </cell>
          <cell r="J6103" t="str">
            <v>B2PAL</v>
          </cell>
          <cell r="N6103" t="str">
            <v>B2PAL</v>
          </cell>
        </row>
        <row r="6104">
          <cell r="B6104" t="str">
            <v>LL-BP1048</v>
          </cell>
          <cell r="J6104" t="str">
            <v>B2PAL</v>
          </cell>
          <cell r="N6104" t="str">
            <v>B2PAL</v>
          </cell>
        </row>
        <row r="6105">
          <cell r="B6105" t="str">
            <v>LL-BP1049</v>
          </cell>
          <cell r="J6105" t="str">
            <v>B2PAL</v>
          </cell>
          <cell r="N6105" t="str">
            <v>B2PAL</v>
          </cell>
        </row>
        <row r="6106">
          <cell r="B6106" t="str">
            <v>LL-BP1050</v>
          </cell>
          <cell r="J6106" t="str">
            <v>B2PAL</v>
          </cell>
          <cell r="N6106" t="str">
            <v>B2PAL</v>
          </cell>
        </row>
        <row r="6107">
          <cell r="B6107" t="str">
            <v>LL-BP1051</v>
          </cell>
          <cell r="J6107" t="str">
            <v>B2PAL</v>
          </cell>
          <cell r="N6107" t="str">
            <v>B2PAL</v>
          </cell>
        </row>
        <row r="6108">
          <cell r="B6108" t="str">
            <v>LL-BP1052</v>
          </cell>
          <cell r="J6108" t="str">
            <v>B2PAL</v>
          </cell>
          <cell r="N6108" t="str">
            <v>B2PAL</v>
          </cell>
        </row>
        <row r="6109">
          <cell r="B6109" t="str">
            <v>LL-BP1053</v>
          </cell>
          <cell r="J6109" t="str">
            <v>B2PAL</v>
          </cell>
          <cell r="N6109" t="str">
            <v>B2PAL</v>
          </cell>
        </row>
        <row r="6110">
          <cell r="B6110" t="str">
            <v>LL-BP1054</v>
          </cell>
          <cell r="J6110" t="str">
            <v>B2PAL</v>
          </cell>
          <cell r="N6110" t="str">
            <v>B2PAL</v>
          </cell>
        </row>
        <row r="6111">
          <cell r="B6111" t="str">
            <v>LL-BP1055</v>
          </cell>
          <cell r="J6111" t="str">
            <v>B2PAL</v>
          </cell>
          <cell r="N6111" t="str">
            <v>B2PAL</v>
          </cell>
        </row>
        <row r="6112">
          <cell r="B6112" t="str">
            <v>LL-BP1056</v>
          </cell>
          <cell r="J6112" t="str">
            <v>B2PAL</v>
          </cell>
          <cell r="N6112" t="str">
            <v>B2PAL</v>
          </cell>
        </row>
        <row r="6113">
          <cell r="B6113" t="str">
            <v>LL-BP1057</v>
          </cell>
          <cell r="J6113" t="str">
            <v>B2PAL</v>
          </cell>
          <cell r="N6113" t="str">
            <v>B2PAL</v>
          </cell>
        </row>
        <row r="6114">
          <cell r="B6114" t="str">
            <v>LL-BP1058</v>
          </cell>
          <cell r="J6114" t="str">
            <v>B2PAL</v>
          </cell>
          <cell r="N6114" t="str">
            <v>B2PAL</v>
          </cell>
        </row>
        <row r="6115">
          <cell r="B6115" t="str">
            <v>LL-BP1059</v>
          </cell>
          <cell r="J6115" t="str">
            <v>B2PAL</v>
          </cell>
          <cell r="N6115" t="str">
            <v>B2PAL</v>
          </cell>
        </row>
        <row r="6116">
          <cell r="B6116" t="str">
            <v>LL-BP1060</v>
          </cell>
          <cell r="J6116" t="str">
            <v>B2PAL</v>
          </cell>
          <cell r="N6116" t="str">
            <v>B2PAL</v>
          </cell>
        </row>
        <row r="6117">
          <cell r="B6117" t="str">
            <v>LL-BP1061</v>
          </cell>
          <cell r="J6117" t="str">
            <v>B2PAL</v>
          </cell>
          <cell r="N6117" t="str">
            <v>B2PAL</v>
          </cell>
        </row>
        <row r="6118">
          <cell r="B6118" t="str">
            <v>LL-BP1062</v>
          </cell>
          <cell r="J6118" t="str">
            <v>B2PAL</v>
          </cell>
          <cell r="N6118" t="str">
            <v>B2PAL</v>
          </cell>
        </row>
        <row r="6119">
          <cell r="B6119" t="str">
            <v>LL-BP1063</v>
          </cell>
          <cell r="J6119" t="str">
            <v>B2PAL</v>
          </cell>
          <cell r="N6119" t="str">
            <v>B2PAL</v>
          </cell>
        </row>
        <row r="6120">
          <cell r="B6120" t="str">
            <v>LL-BP1064</v>
          </cell>
          <cell r="J6120" t="str">
            <v>B2PAL</v>
          </cell>
          <cell r="N6120" t="str">
            <v>B2PAL</v>
          </cell>
        </row>
        <row r="6121">
          <cell r="B6121" t="str">
            <v>LL-BP1065</v>
          </cell>
          <cell r="J6121" t="str">
            <v>B2PAL</v>
          </cell>
          <cell r="N6121" t="str">
            <v>B2PAL</v>
          </cell>
        </row>
        <row r="6122">
          <cell r="B6122" t="str">
            <v>LL-BP1066</v>
          </cell>
          <cell r="J6122" t="str">
            <v>B2PAL</v>
          </cell>
          <cell r="N6122" t="str">
            <v>B2PAL</v>
          </cell>
        </row>
        <row r="6123">
          <cell r="B6123" t="str">
            <v>SJ-BP1067</v>
          </cell>
          <cell r="J6123" t="str">
            <v>B2PAL</v>
          </cell>
          <cell r="N6123" t="str">
            <v>B2PAL</v>
          </cell>
        </row>
        <row r="6124">
          <cell r="B6124" t="str">
            <v>LL-BP1068</v>
          </cell>
          <cell r="J6124" t="str">
            <v>B2PAL</v>
          </cell>
          <cell r="N6124" t="str">
            <v>B2PAL</v>
          </cell>
        </row>
        <row r="6125">
          <cell r="B6125" t="str">
            <v>LL-BP1069</v>
          </cell>
          <cell r="J6125" t="str">
            <v>B2PAL</v>
          </cell>
          <cell r="N6125" t="str">
            <v>B2PAL</v>
          </cell>
        </row>
        <row r="6126">
          <cell r="B6126" t="str">
            <v>LL-BP1070</v>
          </cell>
          <cell r="J6126" t="str">
            <v>B2PAL</v>
          </cell>
          <cell r="N6126" t="str">
            <v>B2PAL</v>
          </cell>
        </row>
        <row r="6127">
          <cell r="B6127" t="str">
            <v>LL-BP1071</v>
          </cell>
          <cell r="J6127" t="str">
            <v>B2PAL</v>
          </cell>
          <cell r="N6127" t="str">
            <v>B2PAL</v>
          </cell>
        </row>
        <row r="6128">
          <cell r="B6128" t="str">
            <v>SJ-BP1072</v>
          </cell>
          <cell r="J6128" t="str">
            <v>B2PAL</v>
          </cell>
          <cell r="N6128" t="str">
            <v>B2PAL</v>
          </cell>
        </row>
        <row r="6129">
          <cell r="B6129" t="str">
            <v>LL-BP1073</v>
          </cell>
          <cell r="J6129" t="str">
            <v>B2PAL</v>
          </cell>
          <cell r="N6129" t="str">
            <v>B2PAL</v>
          </cell>
        </row>
        <row r="6130">
          <cell r="B6130" t="str">
            <v>LL-BP1074</v>
          </cell>
          <cell r="J6130" t="str">
            <v>B2PAL</v>
          </cell>
          <cell r="N6130" t="str">
            <v>B2PAL</v>
          </cell>
        </row>
        <row r="6131">
          <cell r="B6131" t="str">
            <v>LL-BP1075</v>
          </cell>
          <cell r="J6131" t="str">
            <v>B2PAL</v>
          </cell>
          <cell r="N6131" t="str">
            <v>B2PAL</v>
          </cell>
        </row>
        <row r="6132">
          <cell r="B6132" t="str">
            <v>SJ-BP1076</v>
          </cell>
          <cell r="J6132" t="str">
            <v>B2PAL</v>
          </cell>
          <cell r="N6132" t="str">
            <v>B2PAL</v>
          </cell>
        </row>
        <row r="6133">
          <cell r="B6133" t="str">
            <v>LL-BP1077</v>
          </cell>
          <cell r="J6133" t="str">
            <v>B2PAL</v>
          </cell>
          <cell r="N6133" t="str">
            <v>B2PAL</v>
          </cell>
        </row>
        <row r="6134">
          <cell r="B6134" t="str">
            <v>LL-BP1078</v>
          </cell>
          <cell r="J6134" t="str">
            <v>B2PAL</v>
          </cell>
          <cell r="N6134" t="str">
            <v>B2PAL</v>
          </cell>
        </row>
        <row r="6135">
          <cell r="B6135" t="str">
            <v>SJ-BP1079</v>
          </cell>
          <cell r="J6135" t="str">
            <v>B2PAL</v>
          </cell>
          <cell r="N6135" t="str">
            <v>B2PAL</v>
          </cell>
        </row>
        <row r="6136">
          <cell r="B6136" t="str">
            <v>SJ-BP1080</v>
          </cell>
          <cell r="J6136" t="str">
            <v>B2PAL</v>
          </cell>
          <cell r="N6136" t="str">
            <v>B2PAL</v>
          </cell>
        </row>
        <row r="6137">
          <cell r="B6137" t="str">
            <v>SJ-BP1081</v>
          </cell>
          <cell r="J6137" t="str">
            <v>B2PAL</v>
          </cell>
          <cell r="N6137" t="str">
            <v>B2PAL</v>
          </cell>
        </row>
        <row r="6138">
          <cell r="B6138" t="str">
            <v>SJ-BP1082</v>
          </cell>
          <cell r="J6138" t="str">
            <v>B2PAL</v>
          </cell>
          <cell r="N6138" t="str">
            <v>B2PAL</v>
          </cell>
        </row>
        <row r="6139">
          <cell r="B6139" t="str">
            <v>LL-BP1083</v>
          </cell>
          <cell r="J6139" t="str">
            <v>B2PAL</v>
          </cell>
          <cell r="N6139" t="str">
            <v>B2PAL</v>
          </cell>
        </row>
        <row r="6140">
          <cell r="B6140" t="str">
            <v>SJ-BP1084</v>
          </cell>
          <cell r="J6140" t="str">
            <v>B2PAL</v>
          </cell>
          <cell r="N6140" t="str">
            <v>B2PAL</v>
          </cell>
        </row>
        <row r="6141">
          <cell r="B6141" t="str">
            <v>LL-BP1085</v>
          </cell>
          <cell r="J6141" t="str">
            <v>B2PAL</v>
          </cell>
          <cell r="N6141" t="str">
            <v>B2PAL</v>
          </cell>
        </row>
        <row r="6142">
          <cell r="B6142" t="str">
            <v>LL-BP1086</v>
          </cell>
          <cell r="J6142" t="str">
            <v>B2PAL</v>
          </cell>
          <cell r="N6142" t="str">
            <v>B2PAL</v>
          </cell>
        </row>
        <row r="6143">
          <cell r="B6143" t="str">
            <v>SJ-BP1087</v>
          </cell>
          <cell r="J6143" t="str">
            <v>B2PAL</v>
          </cell>
          <cell r="N6143" t="str">
            <v>B2PAL</v>
          </cell>
        </row>
        <row r="6144">
          <cell r="B6144" t="str">
            <v>SJ-BP1088</v>
          </cell>
          <cell r="J6144" t="str">
            <v>B2PAL</v>
          </cell>
          <cell r="N6144" t="str">
            <v>B2PAL</v>
          </cell>
        </row>
        <row r="6145">
          <cell r="B6145" t="str">
            <v>SJ-BP1089</v>
          </cell>
          <cell r="J6145" t="str">
            <v>B2PAL</v>
          </cell>
          <cell r="N6145" t="str">
            <v>B2PAL</v>
          </cell>
        </row>
        <row r="6146">
          <cell r="B6146" t="str">
            <v>SJ-BP1090</v>
          </cell>
          <cell r="J6146" t="str">
            <v>B2PAL</v>
          </cell>
          <cell r="N6146" t="str">
            <v>B2PAL</v>
          </cell>
        </row>
        <row r="6147">
          <cell r="B6147" t="str">
            <v>LL-BP1091</v>
          </cell>
          <cell r="J6147" t="str">
            <v>B2PAL</v>
          </cell>
          <cell r="N6147" t="str">
            <v>B2PAL</v>
          </cell>
        </row>
        <row r="6148">
          <cell r="B6148" t="str">
            <v>SJ-BP1092</v>
          </cell>
          <cell r="J6148" t="str">
            <v>B2PAL</v>
          </cell>
          <cell r="N6148" t="str">
            <v>B2PAL</v>
          </cell>
        </row>
        <row r="6149">
          <cell r="B6149" t="str">
            <v>SJ-BP1093</v>
          </cell>
          <cell r="J6149" t="str">
            <v>B2PAL</v>
          </cell>
          <cell r="N6149" t="str">
            <v>B2PAL</v>
          </cell>
        </row>
        <row r="6150">
          <cell r="B6150" t="str">
            <v>LL-BP1094</v>
          </cell>
          <cell r="J6150" t="str">
            <v>B2PAL</v>
          </cell>
          <cell r="N6150" t="str">
            <v>B2PAL</v>
          </cell>
        </row>
        <row r="6151">
          <cell r="B6151" t="str">
            <v>SJ-BP1095</v>
          </cell>
          <cell r="J6151" t="str">
            <v>B2PAL</v>
          </cell>
          <cell r="N6151" t="str">
            <v>B2PAL</v>
          </cell>
        </row>
        <row r="6152">
          <cell r="B6152" t="str">
            <v>LL-BP1096</v>
          </cell>
          <cell r="J6152" t="str">
            <v>B2PAL</v>
          </cell>
          <cell r="N6152" t="str">
            <v>B2PAL</v>
          </cell>
        </row>
        <row r="6153">
          <cell r="B6153" t="str">
            <v>LL-BP1096</v>
          </cell>
          <cell r="J6153" t="str">
            <v>B2PAL</v>
          </cell>
          <cell r="N6153" t="str">
            <v>B2PAL</v>
          </cell>
        </row>
        <row r="6154">
          <cell r="B6154" t="str">
            <v>SJ-BP1097</v>
          </cell>
          <cell r="J6154" t="str">
            <v>B2PAL</v>
          </cell>
          <cell r="N6154" t="str">
            <v>B2PAL</v>
          </cell>
        </row>
        <row r="6155">
          <cell r="B6155" t="str">
            <v>SJ-BP1098</v>
          </cell>
          <cell r="J6155" t="str">
            <v>B2PAL</v>
          </cell>
          <cell r="N6155" t="str">
            <v>B2PAL</v>
          </cell>
        </row>
        <row r="6156">
          <cell r="B6156" t="str">
            <v>SJ-BP1099</v>
          </cell>
          <cell r="J6156" t="str">
            <v>B2PAL</v>
          </cell>
          <cell r="N6156" t="str">
            <v>B2PAL</v>
          </cell>
        </row>
        <row r="6157">
          <cell r="B6157" t="str">
            <v>SJ-BP1101</v>
          </cell>
          <cell r="J6157" t="str">
            <v>B2PAL</v>
          </cell>
          <cell r="N6157" t="str">
            <v>B2PAL</v>
          </cell>
        </row>
        <row r="6158">
          <cell r="B6158" t="str">
            <v>SJ-BP1102</v>
          </cell>
          <cell r="J6158" t="str">
            <v>B2PAL</v>
          </cell>
          <cell r="N6158" t="str">
            <v>B2PAL</v>
          </cell>
        </row>
        <row r="6159">
          <cell r="B6159" t="str">
            <v>SJ-BP1103</v>
          </cell>
          <cell r="J6159" t="str">
            <v>B2PAL</v>
          </cell>
          <cell r="N6159" t="str">
            <v>B2PAL</v>
          </cell>
        </row>
        <row r="6160">
          <cell r="B6160" t="str">
            <v>SJ-BP1104</v>
          </cell>
          <cell r="J6160" t="str">
            <v>B2PAL</v>
          </cell>
          <cell r="N6160" t="str">
            <v>B2PAL</v>
          </cell>
        </row>
        <row r="6161">
          <cell r="B6161" t="str">
            <v>SJ-BP1105</v>
          </cell>
          <cell r="J6161" t="str">
            <v>B2PAL</v>
          </cell>
          <cell r="N6161" t="str">
            <v>B2PAL</v>
          </cell>
        </row>
        <row r="6162">
          <cell r="B6162" t="str">
            <v>SJ-BP1106</v>
          </cell>
          <cell r="J6162" t="str">
            <v>B2PAL</v>
          </cell>
          <cell r="N6162" t="str">
            <v>B2PAL</v>
          </cell>
        </row>
        <row r="6163">
          <cell r="B6163" t="str">
            <v>SJ-B1107</v>
          </cell>
          <cell r="J6163" t="str">
            <v>B</v>
          </cell>
          <cell r="N6163" t="str">
            <v>B</v>
          </cell>
        </row>
        <row r="6164">
          <cell r="B6164" t="str">
            <v>SJ-B1108</v>
          </cell>
          <cell r="J6164" t="str">
            <v>B</v>
          </cell>
          <cell r="N6164" t="str">
            <v>B</v>
          </cell>
        </row>
        <row r="6165">
          <cell r="B6165" t="str">
            <v>SJ-B1109</v>
          </cell>
          <cell r="J6165" t="str">
            <v>B</v>
          </cell>
          <cell r="N6165" t="str">
            <v>B</v>
          </cell>
        </row>
        <row r="6166">
          <cell r="B6166" t="str">
            <v>SJ-B1110</v>
          </cell>
          <cell r="J6166" t="str">
            <v>B</v>
          </cell>
          <cell r="N6166" t="str">
            <v>B</v>
          </cell>
        </row>
        <row r="6167">
          <cell r="B6167" t="str">
            <v>SJ-B1111</v>
          </cell>
          <cell r="J6167" t="str">
            <v>B</v>
          </cell>
          <cell r="N6167" t="str">
            <v>B</v>
          </cell>
        </row>
        <row r="6168">
          <cell r="B6168" t="str">
            <v>SJ-B1112</v>
          </cell>
          <cell r="J6168" t="str">
            <v>B</v>
          </cell>
          <cell r="N6168" t="str">
            <v>B</v>
          </cell>
        </row>
        <row r="6169">
          <cell r="B6169" t="str">
            <v>SJ-B1113</v>
          </cell>
          <cell r="J6169" t="str">
            <v>B</v>
          </cell>
          <cell r="N6169" t="str">
            <v>B</v>
          </cell>
        </row>
        <row r="6170">
          <cell r="B6170" t="str">
            <v>SJ-B1114</v>
          </cell>
          <cell r="J6170" t="str">
            <v>B</v>
          </cell>
          <cell r="N6170" t="str">
            <v>B</v>
          </cell>
        </row>
        <row r="6171">
          <cell r="B6171" t="str">
            <v>SJ-B1115</v>
          </cell>
          <cell r="J6171" t="str">
            <v>B</v>
          </cell>
          <cell r="N6171" t="str">
            <v>B</v>
          </cell>
        </row>
        <row r="6172">
          <cell r="B6172" t="str">
            <v>SJ-B1116</v>
          </cell>
          <cell r="J6172" t="str">
            <v>B</v>
          </cell>
          <cell r="N6172" t="str">
            <v>B</v>
          </cell>
        </row>
        <row r="6173">
          <cell r="B6173" t="str">
            <v>SJ-B1117</v>
          </cell>
          <cell r="J6173" t="str">
            <v>B</v>
          </cell>
          <cell r="N6173" t="str">
            <v>B</v>
          </cell>
        </row>
        <row r="6174">
          <cell r="B6174" t="str">
            <v>SJ-B1118</v>
          </cell>
          <cell r="J6174" t="str">
            <v>B</v>
          </cell>
          <cell r="N6174" t="str">
            <v>B</v>
          </cell>
        </row>
        <row r="6175">
          <cell r="B6175" t="str">
            <v>SJ-B1119</v>
          </cell>
          <cell r="J6175" t="str">
            <v>B</v>
          </cell>
          <cell r="N6175" t="str">
            <v>B</v>
          </cell>
        </row>
        <row r="6176">
          <cell r="B6176" t="str">
            <v>SJ-B1120</v>
          </cell>
          <cell r="J6176" t="str">
            <v>B</v>
          </cell>
          <cell r="N6176" t="str">
            <v>B</v>
          </cell>
        </row>
        <row r="6177">
          <cell r="B6177" t="str">
            <v>SJ-B1121</v>
          </cell>
          <cell r="J6177" t="str">
            <v>B</v>
          </cell>
          <cell r="N6177" t="str">
            <v>B</v>
          </cell>
        </row>
        <row r="6178">
          <cell r="B6178" t="str">
            <v>CER-B1122</v>
          </cell>
          <cell r="J6178" t="str">
            <v>B</v>
          </cell>
          <cell r="N6178" t="str">
            <v>B</v>
          </cell>
        </row>
        <row r="6179">
          <cell r="B6179" t="str">
            <v>LL-B1123</v>
          </cell>
          <cell r="J6179" t="str">
            <v>B</v>
          </cell>
          <cell r="N6179" t="str">
            <v>B</v>
          </cell>
        </row>
        <row r="6180">
          <cell r="B6180" t="str">
            <v>LL-B1124</v>
          </cell>
          <cell r="J6180" t="str">
            <v>B</v>
          </cell>
          <cell r="N6180" t="str">
            <v>B</v>
          </cell>
        </row>
        <row r="6181">
          <cell r="B6181" t="str">
            <v>LL-B1125</v>
          </cell>
          <cell r="J6181" t="str">
            <v>B</v>
          </cell>
          <cell r="N6181" t="str">
            <v>B</v>
          </cell>
        </row>
        <row r="6182">
          <cell r="B6182" t="str">
            <v>SJ-B1126</v>
          </cell>
          <cell r="J6182" t="str">
            <v>B</v>
          </cell>
          <cell r="N6182" t="str">
            <v>B</v>
          </cell>
        </row>
        <row r="6183">
          <cell r="B6183" t="str">
            <v>SJ-B1127</v>
          </cell>
          <cell r="J6183" t="str">
            <v>B</v>
          </cell>
          <cell r="N6183" t="str">
            <v>B</v>
          </cell>
        </row>
        <row r="6184">
          <cell r="B6184" t="str">
            <v>SJ-B1128</v>
          </cell>
          <cell r="J6184" t="str">
            <v>B</v>
          </cell>
          <cell r="N6184" t="str">
            <v>B</v>
          </cell>
        </row>
        <row r="6185">
          <cell r="B6185" t="str">
            <v>SJ-B1129</v>
          </cell>
          <cell r="J6185" t="str">
            <v>B</v>
          </cell>
          <cell r="N6185" t="str">
            <v>B</v>
          </cell>
        </row>
        <row r="6186">
          <cell r="B6186" t="str">
            <v>CER-B1130</v>
          </cell>
          <cell r="J6186" t="str">
            <v>B</v>
          </cell>
          <cell r="N6186" t="str">
            <v>B</v>
          </cell>
        </row>
        <row r="6187">
          <cell r="B6187" t="str">
            <v>LL-B1131</v>
          </cell>
          <cell r="J6187" t="str">
            <v>B</v>
          </cell>
          <cell r="N6187" t="str">
            <v>B</v>
          </cell>
        </row>
        <row r="6188">
          <cell r="B6188" t="str">
            <v>LL-B1132</v>
          </cell>
          <cell r="J6188" t="str">
            <v>B</v>
          </cell>
          <cell r="N6188" t="str">
            <v>B</v>
          </cell>
        </row>
        <row r="6189">
          <cell r="B6189" t="str">
            <v>LL-B1133</v>
          </cell>
          <cell r="J6189" t="str">
            <v>B</v>
          </cell>
          <cell r="N6189" t="str">
            <v>B</v>
          </cell>
        </row>
        <row r="6190">
          <cell r="B6190" t="str">
            <v>LL-B1134</v>
          </cell>
          <cell r="J6190" t="str">
            <v>B</v>
          </cell>
          <cell r="N6190" t="str">
            <v>B</v>
          </cell>
        </row>
        <row r="6191">
          <cell r="B6191" t="str">
            <v>LL-B1135</v>
          </cell>
          <cell r="J6191" t="str">
            <v>B</v>
          </cell>
          <cell r="N6191" t="str">
            <v>B</v>
          </cell>
        </row>
        <row r="6192">
          <cell r="B6192" t="str">
            <v>LL-B1136</v>
          </cell>
          <cell r="J6192" t="str">
            <v>B</v>
          </cell>
          <cell r="N6192" t="str">
            <v>B</v>
          </cell>
        </row>
        <row r="6193">
          <cell r="B6193" t="str">
            <v>LL-B1137</v>
          </cell>
          <cell r="J6193" t="str">
            <v>B</v>
          </cell>
          <cell r="N6193" t="str">
            <v>B</v>
          </cell>
        </row>
        <row r="6194">
          <cell r="B6194" t="str">
            <v>LL-B1138</v>
          </cell>
          <cell r="J6194" t="str">
            <v>B</v>
          </cell>
          <cell r="N6194" t="str">
            <v>B</v>
          </cell>
        </row>
        <row r="6195">
          <cell r="B6195" t="str">
            <v>LL-B1139</v>
          </cell>
          <cell r="J6195" t="str">
            <v>B</v>
          </cell>
          <cell r="N6195" t="str">
            <v>B</v>
          </cell>
        </row>
        <row r="6196">
          <cell r="B6196" t="str">
            <v>SJ-B1140</v>
          </cell>
          <cell r="J6196" t="str">
            <v>B</v>
          </cell>
          <cell r="N6196" t="str">
            <v>B</v>
          </cell>
        </row>
        <row r="6197">
          <cell r="B6197" t="str">
            <v>LL-B1141</v>
          </cell>
          <cell r="J6197" t="str">
            <v>B</v>
          </cell>
          <cell r="N6197" t="str">
            <v>B</v>
          </cell>
        </row>
        <row r="6198">
          <cell r="B6198" t="str">
            <v>LL-B1142</v>
          </cell>
          <cell r="J6198" t="str">
            <v>B</v>
          </cell>
          <cell r="N6198" t="str">
            <v>B</v>
          </cell>
        </row>
        <row r="6199">
          <cell r="B6199" t="str">
            <v>LL-B1143</v>
          </cell>
          <cell r="J6199" t="str">
            <v>B</v>
          </cell>
          <cell r="N6199" t="str">
            <v>B</v>
          </cell>
        </row>
        <row r="6200">
          <cell r="B6200" t="str">
            <v>LL-B1144</v>
          </cell>
          <cell r="J6200" t="str">
            <v>B</v>
          </cell>
          <cell r="N6200" t="str">
            <v>B</v>
          </cell>
        </row>
        <row r="6201">
          <cell r="B6201" t="str">
            <v>LL-B1145</v>
          </cell>
          <cell r="J6201" t="str">
            <v>B</v>
          </cell>
          <cell r="N6201" t="str">
            <v>B</v>
          </cell>
        </row>
        <row r="6202">
          <cell r="B6202" t="str">
            <v>LL-B1146</v>
          </cell>
          <cell r="J6202" t="str">
            <v>B</v>
          </cell>
          <cell r="N6202" t="str">
            <v>B</v>
          </cell>
        </row>
        <row r="6203">
          <cell r="B6203" t="str">
            <v>LL-B1147</v>
          </cell>
          <cell r="J6203" t="str">
            <v>B</v>
          </cell>
          <cell r="N6203" t="str">
            <v>B</v>
          </cell>
        </row>
        <row r="6204">
          <cell r="B6204" t="str">
            <v>LL-B1148</v>
          </cell>
          <cell r="J6204" t="str">
            <v>B</v>
          </cell>
          <cell r="N6204" t="str">
            <v>B</v>
          </cell>
        </row>
        <row r="6205">
          <cell r="B6205" t="str">
            <v>SJ-B1149</v>
          </cell>
          <cell r="J6205" t="str">
            <v>B</v>
          </cell>
          <cell r="N6205" t="str">
            <v>B</v>
          </cell>
        </row>
        <row r="6206">
          <cell r="B6206" t="str">
            <v>SJ-B1150</v>
          </cell>
          <cell r="J6206" t="str">
            <v>B</v>
          </cell>
          <cell r="N6206" t="str">
            <v>B</v>
          </cell>
        </row>
        <row r="6207">
          <cell r="B6207" t="str">
            <v>SJ-B1151</v>
          </cell>
          <cell r="J6207" t="str">
            <v>B</v>
          </cell>
          <cell r="N6207" t="str">
            <v>B</v>
          </cell>
        </row>
        <row r="6208">
          <cell r="B6208" t="str">
            <v>CER-B1152</v>
          </cell>
          <cell r="J6208" t="str">
            <v>B</v>
          </cell>
          <cell r="N6208" t="str">
            <v>B</v>
          </cell>
        </row>
        <row r="6209">
          <cell r="B6209" t="str">
            <v>SA-B1153</v>
          </cell>
          <cell r="J6209" t="str">
            <v>B</v>
          </cell>
          <cell r="N6209" t="str">
            <v>B</v>
          </cell>
        </row>
        <row r="6210">
          <cell r="B6210" t="str">
            <v>PA-C1154</v>
          </cell>
          <cell r="J6210" t="str">
            <v>C</v>
          </cell>
          <cell r="N6210" t="str">
            <v>C</v>
          </cell>
        </row>
        <row r="6211">
          <cell r="B6211" t="str">
            <v>PA-C1155</v>
          </cell>
          <cell r="J6211" t="str">
            <v>C</v>
          </cell>
          <cell r="N6211" t="str">
            <v>C</v>
          </cell>
        </row>
        <row r="6212">
          <cell r="B6212" t="str">
            <v>PA-C1156</v>
          </cell>
          <cell r="J6212" t="str">
            <v>C</v>
          </cell>
          <cell r="N6212" t="str">
            <v>C</v>
          </cell>
        </row>
        <row r="6213">
          <cell r="B6213" t="str">
            <v>PA-C1157</v>
          </cell>
          <cell r="J6213" t="str">
            <v>C</v>
          </cell>
          <cell r="N6213" t="str">
            <v>C</v>
          </cell>
        </row>
        <row r="6214">
          <cell r="B6214" t="str">
            <v>PA-C1158</v>
          </cell>
          <cell r="J6214" t="str">
            <v>C</v>
          </cell>
          <cell r="N6214" t="str">
            <v>C</v>
          </cell>
        </row>
        <row r="6215">
          <cell r="B6215" t="str">
            <v>PA-C1159</v>
          </cell>
          <cell r="J6215" t="str">
            <v>C</v>
          </cell>
          <cell r="N6215" t="str">
            <v>C</v>
          </cell>
        </row>
        <row r="6216">
          <cell r="B6216" t="str">
            <v>PA-C1160</v>
          </cell>
          <cell r="J6216" t="str">
            <v>C</v>
          </cell>
          <cell r="N6216" t="str">
            <v>C</v>
          </cell>
        </row>
        <row r="6217">
          <cell r="B6217" t="str">
            <v>PA-C1161</v>
          </cell>
          <cell r="J6217" t="str">
            <v>C</v>
          </cell>
          <cell r="N6217" t="str">
            <v>C</v>
          </cell>
        </row>
        <row r="6218">
          <cell r="B6218" t="str">
            <v>PA-C1162</v>
          </cell>
          <cell r="J6218" t="str">
            <v>C</v>
          </cell>
          <cell r="N6218" t="str">
            <v>C</v>
          </cell>
        </row>
        <row r="6219">
          <cell r="B6219" t="str">
            <v>PA-C1163</v>
          </cell>
          <cell r="J6219" t="str">
            <v>C</v>
          </cell>
          <cell r="N6219" t="str">
            <v>C</v>
          </cell>
        </row>
        <row r="6220">
          <cell r="B6220" t="str">
            <v>PA-C1164</v>
          </cell>
          <cell r="J6220" t="str">
            <v>C</v>
          </cell>
          <cell r="N6220" t="str">
            <v>C</v>
          </cell>
        </row>
        <row r="6221">
          <cell r="B6221" t="str">
            <v>PA-C1165</v>
          </cell>
          <cell r="J6221" t="str">
            <v>C</v>
          </cell>
          <cell r="N6221" t="str">
            <v>C</v>
          </cell>
        </row>
        <row r="6222">
          <cell r="B6222" t="str">
            <v>PA-C1166</v>
          </cell>
          <cell r="J6222" t="str">
            <v>C</v>
          </cell>
          <cell r="N6222" t="str">
            <v>C</v>
          </cell>
        </row>
        <row r="6223">
          <cell r="B6223" t="str">
            <v>PA-C1167</v>
          </cell>
          <cell r="J6223" t="str">
            <v>C</v>
          </cell>
          <cell r="N6223" t="str">
            <v>C</v>
          </cell>
        </row>
        <row r="6224">
          <cell r="B6224" t="str">
            <v>PA-C1168</v>
          </cell>
          <cell r="J6224" t="str">
            <v>C</v>
          </cell>
          <cell r="N6224" t="str">
            <v>C</v>
          </cell>
        </row>
        <row r="6225">
          <cell r="B6225" t="str">
            <v>PA-C1169</v>
          </cell>
          <cell r="J6225" t="str">
            <v>C</v>
          </cell>
          <cell r="N6225" t="str">
            <v>C</v>
          </cell>
        </row>
        <row r="6226">
          <cell r="B6226" t="str">
            <v>PA-C1170</v>
          </cell>
          <cell r="J6226" t="str">
            <v>C</v>
          </cell>
          <cell r="N6226" t="str">
            <v>C</v>
          </cell>
        </row>
        <row r="6227">
          <cell r="B6227" t="str">
            <v>PA-C1171</v>
          </cell>
          <cell r="J6227" t="str">
            <v>C</v>
          </cell>
          <cell r="N6227" t="str">
            <v>C</v>
          </cell>
        </row>
        <row r="6228">
          <cell r="B6228" t="str">
            <v>PA-C1172</v>
          </cell>
          <cell r="J6228" t="str">
            <v>C</v>
          </cell>
          <cell r="N6228" t="str">
            <v>C</v>
          </cell>
        </row>
        <row r="6229">
          <cell r="B6229" t="str">
            <v>PA-C1173</v>
          </cell>
          <cell r="J6229" t="str">
            <v>C</v>
          </cell>
          <cell r="N6229" t="str">
            <v>C</v>
          </cell>
        </row>
        <row r="6230">
          <cell r="B6230" t="str">
            <v>PA-C1174</v>
          </cell>
          <cell r="J6230" t="str">
            <v>C</v>
          </cell>
          <cell r="N6230" t="str">
            <v>C</v>
          </cell>
        </row>
        <row r="6231">
          <cell r="B6231" t="str">
            <v>PA-C1175</v>
          </cell>
          <cell r="J6231" t="str">
            <v>C</v>
          </cell>
          <cell r="N6231" t="str">
            <v>C</v>
          </cell>
        </row>
        <row r="6232">
          <cell r="B6232" t="str">
            <v>PA-C1176</v>
          </cell>
          <cell r="J6232" t="str">
            <v>C</v>
          </cell>
          <cell r="N6232" t="str">
            <v>C</v>
          </cell>
        </row>
        <row r="6233">
          <cell r="B6233" t="str">
            <v>PA-C1177</v>
          </cell>
          <cell r="J6233" t="str">
            <v>C</v>
          </cell>
          <cell r="N6233" t="str">
            <v>C</v>
          </cell>
        </row>
        <row r="6234">
          <cell r="B6234" t="str">
            <v>PA-C1178</v>
          </cell>
          <cell r="J6234" t="str">
            <v>C</v>
          </cell>
          <cell r="N6234" t="str">
            <v>C</v>
          </cell>
        </row>
        <row r="6235">
          <cell r="B6235" t="str">
            <v>PA-C1179</v>
          </cell>
          <cell r="J6235" t="str">
            <v>C</v>
          </cell>
          <cell r="N6235" t="str">
            <v>C</v>
          </cell>
        </row>
        <row r="6236">
          <cell r="B6236" t="str">
            <v>PA-C1180</v>
          </cell>
          <cell r="J6236" t="str">
            <v>C</v>
          </cell>
          <cell r="N6236" t="str">
            <v>C</v>
          </cell>
        </row>
        <row r="6237">
          <cell r="B6237" t="str">
            <v>PA-C1181</v>
          </cell>
          <cell r="J6237" t="str">
            <v>C</v>
          </cell>
          <cell r="N6237" t="str">
            <v>C</v>
          </cell>
        </row>
        <row r="6238">
          <cell r="B6238" t="str">
            <v>PA-C1182</v>
          </cell>
          <cell r="J6238" t="str">
            <v>C</v>
          </cell>
          <cell r="N6238" t="str">
            <v>C</v>
          </cell>
        </row>
        <row r="6239">
          <cell r="B6239" t="str">
            <v>PA-C1183</v>
          </cell>
          <cell r="J6239" t="str">
            <v>C</v>
          </cell>
          <cell r="N6239" t="str">
            <v>C</v>
          </cell>
        </row>
        <row r="6240">
          <cell r="B6240" t="str">
            <v>PA-C1184</v>
          </cell>
          <cell r="J6240" t="str">
            <v>C</v>
          </cell>
          <cell r="N6240" t="str">
            <v>C</v>
          </cell>
        </row>
        <row r="6241">
          <cell r="B6241" t="str">
            <v>PA-C1185</v>
          </cell>
          <cell r="J6241" t="str">
            <v>C</v>
          </cell>
          <cell r="N6241" t="str">
            <v>C</v>
          </cell>
        </row>
        <row r="6242">
          <cell r="B6242" t="str">
            <v>PA-C1187</v>
          </cell>
          <cell r="J6242" t="str">
            <v>C</v>
          </cell>
          <cell r="N6242" t="str">
            <v>C</v>
          </cell>
        </row>
        <row r="6243">
          <cell r="B6243" t="str">
            <v>PA-C1188</v>
          </cell>
          <cell r="J6243" t="str">
            <v>C</v>
          </cell>
          <cell r="N6243" t="str">
            <v>C</v>
          </cell>
        </row>
        <row r="6244">
          <cell r="B6244" t="str">
            <v>PA-C1189</v>
          </cell>
          <cell r="J6244" t="str">
            <v>C</v>
          </cell>
          <cell r="N6244" t="str">
            <v>C</v>
          </cell>
        </row>
        <row r="6245">
          <cell r="B6245" t="str">
            <v>PA-C1190</v>
          </cell>
          <cell r="J6245" t="str">
            <v>C</v>
          </cell>
          <cell r="N6245" t="str">
            <v>C</v>
          </cell>
        </row>
        <row r="6246">
          <cell r="B6246" t="str">
            <v>PA-C1191</v>
          </cell>
          <cell r="J6246" t="str">
            <v>C</v>
          </cell>
          <cell r="N6246" t="str">
            <v>C</v>
          </cell>
        </row>
        <row r="6247">
          <cell r="B6247" t="str">
            <v>PA-C1192</v>
          </cell>
          <cell r="J6247" t="str">
            <v>C</v>
          </cell>
          <cell r="N6247" t="str">
            <v>C</v>
          </cell>
        </row>
        <row r="6248">
          <cell r="B6248" t="str">
            <v>PA-C1193</v>
          </cell>
          <cell r="J6248" t="str">
            <v>C</v>
          </cell>
          <cell r="N6248" t="str">
            <v>C</v>
          </cell>
        </row>
        <row r="6249">
          <cell r="B6249" t="str">
            <v>PA-C1194</v>
          </cell>
          <cell r="J6249" t="str">
            <v>C</v>
          </cell>
          <cell r="N6249" t="str">
            <v>C</v>
          </cell>
        </row>
        <row r="6250">
          <cell r="B6250" t="str">
            <v>PA-C1195</v>
          </cell>
          <cell r="J6250" t="str">
            <v>C</v>
          </cell>
          <cell r="N6250" t="str">
            <v>C</v>
          </cell>
        </row>
        <row r="6251">
          <cell r="B6251" t="str">
            <v>PA-C1196</v>
          </cell>
          <cell r="J6251" t="str">
            <v>C</v>
          </cell>
          <cell r="N6251" t="str">
            <v>C</v>
          </cell>
        </row>
        <row r="6252">
          <cell r="B6252" t="str">
            <v>PA-C1197</v>
          </cell>
          <cell r="J6252" t="str">
            <v>C</v>
          </cell>
          <cell r="N6252" t="str">
            <v>C</v>
          </cell>
        </row>
        <row r="6253">
          <cell r="B6253" t="str">
            <v>PA-C1198</v>
          </cell>
          <cell r="J6253" t="str">
            <v>C</v>
          </cell>
          <cell r="N6253" t="str">
            <v>C</v>
          </cell>
        </row>
        <row r="6254">
          <cell r="B6254" t="str">
            <v>PA-C1199</v>
          </cell>
          <cell r="J6254" t="str">
            <v>C</v>
          </cell>
          <cell r="N6254" t="str">
            <v>C</v>
          </cell>
        </row>
        <row r="6255">
          <cell r="B6255" t="str">
            <v>PA-C1200</v>
          </cell>
          <cell r="J6255" t="str">
            <v>C</v>
          </cell>
          <cell r="N6255" t="str">
            <v>C</v>
          </cell>
        </row>
        <row r="6256">
          <cell r="B6256" t="str">
            <v>PA-C1201</v>
          </cell>
          <cell r="J6256" t="str">
            <v>C</v>
          </cell>
          <cell r="N6256" t="str">
            <v>C</v>
          </cell>
        </row>
        <row r="6257">
          <cell r="B6257" t="str">
            <v>PA-C1202</v>
          </cell>
          <cell r="J6257" t="str">
            <v>C</v>
          </cell>
          <cell r="N6257" t="str">
            <v>C</v>
          </cell>
        </row>
        <row r="6258">
          <cell r="B6258" t="str">
            <v>PA-C1203</v>
          </cell>
          <cell r="J6258" t="str">
            <v>C</v>
          </cell>
          <cell r="N6258" t="str">
            <v>C</v>
          </cell>
        </row>
        <row r="6259">
          <cell r="B6259" t="str">
            <v>PA-C1204</v>
          </cell>
          <cell r="J6259" t="str">
            <v>C</v>
          </cell>
          <cell r="N6259" t="str">
            <v>C</v>
          </cell>
        </row>
        <row r="6260">
          <cell r="B6260" t="str">
            <v>PA-C1205</v>
          </cell>
          <cell r="J6260" t="str">
            <v>C</v>
          </cell>
          <cell r="N6260" t="str">
            <v>C</v>
          </cell>
        </row>
        <row r="6261">
          <cell r="B6261" t="str">
            <v>PA-C1206</v>
          </cell>
          <cell r="J6261" t="str">
            <v>C</v>
          </cell>
          <cell r="N6261" t="str">
            <v>C</v>
          </cell>
        </row>
        <row r="6262">
          <cell r="B6262" t="str">
            <v>PA-C1207</v>
          </cell>
          <cell r="J6262" t="str">
            <v>C</v>
          </cell>
          <cell r="N6262" t="str">
            <v>C</v>
          </cell>
        </row>
        <row r="6263">
          <cell r="B6263" t="str">
            <v>PA-C1208</v>
          </cell>
          <cell r="J6263" t="str">
            <v>C</v>
          </cell>
          <cell r="N6263" t="str">
            <v>C</v>
          </cell>
        </row>
        <row r="6264">
          <cell r="B6264" t="str">
            <v>PA-C1209</v>
          </cell>
          <cell r="J6264" t="str">
            <v>C</v>
          </cell>
          <cell r="N6264" t="str">
            <v>C</v>
          </cell>
        </row>
        <row r="6265">
          <cell r="B6265" t="str">
            <v>PA-C1210</v>
          </cell>
          <cell r="J6265" t="str">
            <v>C</v>
          </cell>
          <cell r="N6265" t="str">
            <v>C</v>
          </cell>
        </row>
        <row r="6266">
          <cell r="B6266" t="str">
            <v>PA-C1211</v>
          </cell>
          <cell r="J6266" t="str">
            <v>C</v>
          </cell>
          <cell r="N6266" t="str">
            <v>C</v>
          </cell>
        </row>
        <row r="6267">
          <cell r="B6267" t="str">
            <v>PA-C1212</v>
          </cell>
          <cell r="J6267" t="str">
            <v>C</v>
          </cell>
          <cell r="N6267" t="str">
            <v>C</v>
          </cell>
        </row>
        <row r="6268">
          <cell r="B6268" t="str">
            <v>SA-C1213</v>
          </cell>
          <cell r="J6268" t="str">
            <v>C</v>
          </cell>
          <cell r="N6268" t="str">
            <v>C</v>
          </cell>
        </row>
        <row r="6269">
          <cell r="B6269" t="str">
            <v>SA-C1214</v>
          </cell>
          <cell r="J6269" t="str">
            <v>C</v>
          </cell>
          <cell r="N6269" t="str">
            <v>C</v>
          </cell>
        </row>
        <row r="6270">
          <cell r="B6270" t="str">
            <v>SA-C1215</v>
          </cell>
          <cell r="J6270" t="str">
            <v>C</v>
          </cell>
          <cell r="N6270" t="str">
            <v>C</v>
          </cell>
        </row>
        <row r="6271">
          <cell r="B6271" t="str">
            <v>SA-C1216</v>
          </cell>
          <cell r="J6271" t="str">
            <v>C</v>
          </cell>
          <cell r="N6271" t="str">
            <v>C</v>
          </cell>
        </row>
        <row r="6272">
          <cell r="B6272" t="str">
            <v>SA-C1217</v>
          </cell>
          <cell r="J6272" t="str">
            <v>C</v>
          </cell>
          <cell r="N6272" t="str">
            <v>C</v>
          </cell>
        </row>
        <row r="6273">
          <cell r="B6273" t="str">
            <v>SA-C1218</v>
          </cell>
          <cell r="J6273" t="str">
            <v>C</v>
          </cell>
          <cell r="N6273" t="str">
            <v>C</v>
          </cell>
        </row>
        <row r="6274">
          <cell r="B6274" t="str">
            <v>SA-C1219</v>
          </cell>
          <cell r="J6274" t="str">
            <v>C</v>
          </cell>
          <cell r="N6274" t="str">
            <v>C</v>
          </cell>
        </row>
        <row r="6275">
          <cell r="B6275" t="str">
            <v>SA-C1220</v>
          </cell>
          <cell r="J6275" t="str">
            <v>C</v>
          </cell>
          <cell r="N6275" t="str">
            <v>C</v>
          </cell>
        </row>
        <row r="6276">
          <cell r="B6276" t="str">
            <v>SA-C1221</v>
          </cell>
          <cell r="J6276" t="str">
            <v>C</v>
          </cell>
          <cell r="N6276" t="str">
            <v>C</v>
          </cell>
        </row>
        <row r="6277">
          <cell r="B6277" t="str">
            <v>SA-C1222</v>
          </cell>
          <cell r="J6277" t="str">
            <v>C</v>
          </cell>
          <cell r="N6277" t="str">
            <v>C</v>
          </cell>
        </row>
        <row r="6278">
          <cell r="B6278" t="str">
            <v>SA-C1223</v>
          </cell>
          <cell r="J6278" t="str">
            <v>C</v>
          </cell>
          <cell r="N6278" t="str">
            <v>C</v>
          </cell>
        </row>
        <row r="6279">
          <cell r="B6279" t="str">
            <v>SA-C1224</v>
          </cell>
          <cell r="J6279" t="str">
            <v>C</v>
          </cell>
          <cell r="N6279" t="str">
            <v>C</v>
          </cell>
        </row>
        <row r="6280">
          <cell r="B6280" t="str">
            <v>SA-C1225</v>
          </cell>
          <cell r="J6280" t="str">
            <v>C</v>
          </cell>
          <cell r="N6280" t="str">
            <v>C</v>
          </cell>
        </row>
        <row r="6281">
          <cell r="B6281" t="str">
            <v>SA-C1226</v>
          </cell>
          <cell r="J6281" t="str">
            <v>C</v>
          </cell>
          <cell r="N6281" t="str">
            <v>C</v>
          </cell>
        </row>
        <row r="6282">
          <cell r="B6282" t="str">
            <v>SA-C1227</v>
          </cell>
          <cell r="J6282" t="str">
            <v>C</v>
          </cell>
          <cell r="N6282" t="str">
            <v>C</v>
          </cell>
        </row>
        <row r="6283">
          <cell r="B6283" t="str">
            <v>SA-C1228</v>
          </cell>
          <cell r="J6283" t="str">
            <v>C</v>
          </cell>
          <cell r="N6283" t="str">
            <v>C</v>
          </cell>
        </row>
        <row r="6284">
          <cell r="B6284" t="str">
            <v>SA-C1229</v>
          </cell>
          <cell r="J6284" t="str">
            <v>C</v>
          </cell>
          <cell r="N6284" t="str">
            <v>C</v>
          </cell>
        </row>
        <row r="6285">
          <cell r="B6285" t="str">
            <v>SA-C1230</v>
          </cell>
          <cell r="J6285" t="str">
            <v>C</v>
          </cell>
          <cell r="N6285" t="str">
            <v>C</v>
          </cell>
        </row>
        <row r="6286">
          <cell r="B6286" t="str">
            <v>SA-C1231</v>
          </cell>
          <cell r="J6286" t="str">
            <v>C</v>
          </cell>
          <cell r="N6286" t="str">
            <v>C</v>
          </cell>
        </row>
        <row r="6287">
          <cell r="B6287" t="str">
            <v>SA-C1232</v>
          </cell>
          <cell r="J6287" t="str">
            <v>C</v>
          </cell>
          <cell r="N6287" t="str">
            <v>C</v>
          </cell>
        </row>
        <row r="6288">
          <cell r="B6288" t="str">
            <v>SA-C1233</v>
          </cell>
          <cell r="J6288" t="str">
            <v>C</v>
          </cell>
          <cell r="N6288" t="str">
            <v>C</v>
          </cell>
        </row>
        <row r="6289">
          <cell r="B6289" t="str">
            <v>SA-C1234</v>
          </cell>
          <cell r="J6289" t="str">
            <v>C</v>
          </cell>
          <cell r="N6289" t="str">
            <v>C</v>
          </cell>
        </row>
        <row r="6290">
          <cell r="B6290" t="str">
            <v>SA-C1235</v>
          </cell>
          <cell r="J6290" t="str">
            <v>C</v>
          </cell>
          <cell r="N6290" t="str">
            <v>C</v>
          </cell>
        </row>
        <row r="6291">
          <cell r="B6291" t="str">
            <v>SA-C1236</v>
          </cell>
          <cell r="J6291" t="str">
            <v>C</v>
          </cell>
          <cell r="N6291" t="str">
            <v>C</v>
          </cell>
        </row>
        <row r="6292">
          <cell r="B6292" t="str">
            <v>SA-C1237</v>
          </cell>
          <cell r="J6292" t="str">
            <v>C</v>
          </cell>
          <cell r="N6292" t="str">
            <v>C</v>
          </cell>
        </row>
        <row r="6293">
          <cell r="B6293" t="str">
            <v>SA-C1238</v>
          </cell>
          <cell r="J6293" t="str">
            <v>C</v>
          </cell>
          <cell r="N6293" t="str">
            <v>C</v>
          </cell>
        </row>
        <row r="6294">
          <cell r="B6294" t="str">
            <v>SA-C1239</v>
          </cell>
          <cell r="J6294" t="str">
            <v>C</v>
          </cell>
          <cell r="N6294" t="str">
            <v>C</v>
          </cell>
        </row>
        <row r="6295">
          <cell r="B6295" t="str">
            <v>SA-C1240</v>
          </cell>
          <cell r="J6295" t="str">
            <v>C</v>
          </cell>
          <cell r="N6295" t="str">
            <v>C</v>
          </cell>
        </row>
        <row r="6296">
          <cell r="B6296" t="str">
            <v>SA-C1241</v>
          </cell>
          <cell r="J6296" t="str">
            <v>C</v>
          </cell>
          <cell r="N6296" t="str">
            <v>C</v>
          </cell>
        </row>
        <row r="6297">
          <cell r="B6297" t="str">
            <v>SA-C1242</v>
          </cell>
          <cell r="J6297" t="str">
            <v>C</v>
          </cell>
          <cell r="N6297" t="str">
            <v>C</v>
          </cell>
        </row>
        <row r="6298">
          <cell r="B6298" t="str">
            <v>SA-C1243</v>
          </cell>
          <cell r="J6298" t="str">
            <v>C</v>
          </cell>
          <cell r="N6298" t="str">
            <v>C</v>
          </cell>
        </row>
        <row r="6299">
          <cell r="B6299" t="str">
            <v>SA-C1244</v>
          </cell>
          <cell r="J6299" t="str">
            <v>C</v>
          </cell>
          <cell r="N6299" t="str">
            <v>C</v>
          </cell>
        </row>
        <row r="6300">
          <cell r="B6300" t="str">
            <v>SA-C1245</v>
          </cell>
          <cell r="J6300" t="str">
            <v>C</v>
          </cell>
          <cell r="N6300" t="str">
            <v>C</v>
          </cell>
        </row>
        <row r="6301">
          <cell r="B6301" t="str">
            <v>SA-C1246</v>
          </cell>
          <cell r="J6301" t="str">
            <v>C</v>
          </cell>
          <cell r="N6301" t="str">
            <v>C</v>
          </cell>
        </row>
        <row r="6302">
          <cell r="B6302" t="str">
            <v>SA-C1247</v>
          </cell>
          <cell r="J6302" t="str">
            <v>C</v>
          </cell>
          <cell r="N6302" t="str">
            <v>C</v>
          </cell>
        </row>
        <row r="6303">
          <cell r="B6303" t="str">
            <v>SA-C1248</v>
          </cell>
          <cell r="J6303" t="str">
            <v>C</v>
          </cell>
          <cell r="N6303" t="str">
            <v>C</v>
          </cell>
        </row>
        <row r="6304">
          <cell r="B6304" t="str">
            <v>CER-B1251</v>
          </cell>
          <cell r="J6304" t="str">
            <v>B</v>
          </cell>
          <cell r="N6304" t="str">
            <v>B</v>
          </cell>
        </row>
        <row r="6305">
          <cell r="B6305" t="str">
            <v>PA-B1252</v>
          </cell>
          <cell r="J6305" t="str">
            <v>B</v>
          </cell>
          <cell r="N6305" t="str">
            <v>B</v>
          </cell>
        </row>
        <row r="6306">
          <cell r="B6306" t="str">
            <v>SA-B1253</v>
          </cell>
          <cell r="J6306" t="str">
            <v>B</v>
          </cell>
          <cell r="N6306" t="str">
            <v>B</v>
          </cell>
        </row>
        <row r="6307">
          <cell r="B6307" t="str">
            <v>SA-B1254</v>
          </cell>
          <cell r="J6307" t="str">
            <v>B</v>
          </cell>
          <cell r="N6307" t="str">
            <v>B</v>
          </cell>
        </row>
        <row r="6308">
          <cell r="B6308" t="str">
            <v>PA-B1255</v>
          </cell>
          <cell r="J6308" t="str">
            <v>B</v>
          </cell>
          <cell r="N6308" t="str">
            <v>B</v>
          </cell>
        </row>
        <row r="6309">
          <cell r="B6309" t="str">
            <v>CER-B1256</v>
          </cell>
          <cell r="J6309" t="str">
            <v>B</v>
          </cell>
          <cell r="N6309" t="str">
            <v>B</v>
          </cell>
        </row>
        <row r="6310">
          <cell r="B6310" t="str">
            <v>PA-B1257</v>
          </cell>
          <cell r="J6310" t="str">
            <v>B</v>
          </cell>
          <cell r="N6310" t="str">
            <v>B</v>
          </cell>
        </row>
        <row r="6311">
          <cell r="B6311" t="str">
            <v>CER-B1258</v>
          </cell>
          <cell r="J6311" t="str">
            <v>B</v>
          </cell>
          <cell r="N6311" t="str">
            <v>B</v>
          </cell>
        </row>
        <row r="6312">
          <cell r="B6312" t="str">
            <v>CER-B1259</v>
          </cell>
          <cell r="J6312" t="str">
            <v>B</v>
          </cell>
          <cell r="N6312" t="str">
            <v>B</v>
          </cell>
        </row>
        <row r="6313">
          <cell r="B6313" t="str">
            <v>CER-B1260</v>
          </cell>
          <cell r="J6313" t="str">
            <v>B</v>
          </cell>
          <cell r="N6313" t="str">
            <v>B</v>
          </cell>
        </row>
        <row r="6314">
          <cell r="B6314" t="str">
            <v>CER-B1261</v>
          </cell>
          <cell r="J6314" t="str">
            <v>B</v>
          </cell>
          <cell r="N6314" t="str">
            <v>B</v>
          </cell>
        </row>
        <row r="6315">
          <cell r="B6315" t="str">
            <v>PA-B1262</v>
          </cell>
          <cell r="J6315" t="str">
            <v>B</v>
          </cell>
          <cell r="N6315" t="str">
            <v>B</v>
          </cell>
        </row>
        <row r="6316">
          <cell r="B6316" t="str">
            <v>CER-B1263</v>
          </cell>
          <cell r="J6316" t="str">
            <v>B</v>
          </cell>
          <cell r="N6316" t="str">
            <v>B</v>
          </cell>
        </row>
        <row r="6317">
          <cell r="B6317" t="str">
            <v>CER-B1264</v>
          </cell>
          <cell r="J6317" t="str">
            <v>B</v>
          </cell>
          <cell r="N6317" t="str">
            <v>B</v>
          </cell>
        </row>
        <row r="6318">
          <cell r="B6318" t="str">
            <v>PA-B1265</v>
          </cell>
          <cell r="J6318" t="str">
            <v>B</v>
          </cell>
          <cell r="N6318" t="str">
            <v>B</v>
          </cell>
        </row>
        <row r="6319">
          <cell r="B6319" t="str">
            <v>SA-B1266</v>
          </cell>
          <cell r="J6319" t="str">
            <v>B</v>
          </cell>
          <cell r="N6319" t="str">
            <v>B</v>
          </cell>
        </row>
        <row r="6320">
          <cell r="B6320" t="str">
            <v>CER-B1267</v>
          </cell>
          <cell r="J6320" t="str">
            <v>B</v>
          </cell>
          <cell r="N6320" t="str">
            <v>B</v>
          </cell>
        </row>
        <row r="6321">
          <cell r="B6321" t="str">
            <v>CER-B1268</v>
          </cell>
          <cell r="J6321" t="str">
            <v>B</v>
          </cell>
          <cell r="N6321" t="str">
            <v>B</v>
          </cell>
        </row>
        <row r="6322">
          <cell r="B6322" t="str">
            <v>PA-B1269</v>
          </cell>
          <cell r="J6322" t="str">
            <v>B</v>
          </cell>
          <cell r="N6322" t="str">
            <v>B</v>
          </cell>
        </row>
        <row r="6323">
          <cell r="B6323" t="str">
            <v>PA-B1270</v>
          </cell>
          <cell r="J6323" t="str">
            <v>B</v>
          </cell>
          <cell r="N6323" t="str">
            <v>B</v>
          </cell>
        </row>
        <row r="6324">
          <cell r="B6324" t="str">
            <v>CER-B1271</v>
          </cell>
          <cell r="J6324" t="str">
            <v>B</v>
          </cell>
          <cell r="N6324" t="str">
            <v>B</v>
          </cell>
        </row>
        <row r="6325">
          <cell r="B6325" t="str">
            <v>PA-B1272</v>
          </cell>
          <cell r="J6325" t="str">
            <v>B</v>
          </cell>
          <cell r="N6325" t="str">
            <v>B</v>
          </cell>
        </row>
        <row r="6326">
          <cell r="B6326" t="str">
            <v>CER-B1273</v>
          </cell>
          <cell r="J6326" t="str">
            <v>B</v>
          </cell>
          <cell r="N6326" t="str">
            <v>B</v>
          </cell>
        </row>
        <row r="6327">
          <cell r="B6327" t="str">
            <v>PA-B1274</v>
          </cell>
          <cell r="J6327" t="str">
            <v>B</v>
          </cell>
          <cell r="N6327" t="str">
            <v>B</v>
          </cell>
        </row>
        <row r="6328">
          <cell r="B6328" t="str">
            <v>PA-B1275</v>
          </cell>
          <cell r="J6328" t="str">
            <v>B</v>
          </cell>
          <cell r="N6328" t="str">
            <v>B</v>
          </cell>
        </row>
        <row r="6329">
          <cell r="B6329" t="str">
            <v>PA-B1276</v>
          </cell>
          <cell r="J6329" t="str">
            <v>B</v>
          </cell>
          <cell r="N6329" t="str">
            <v>B</v>
          </cell>
        </row>
        <row r="6330">
          <cell r="B6330" t="str">
            <v>SA-B1277</v>
          </cell>
          <cell r="J6330" t="str">
            <v>B</v>
          </cell>
          <cell r="N6330" t="str">
            <v>B</v>
          </cell>
        </row>
        <row r="6331">
          <cell r="B6331" t="str">
            <v>CER-B1278</v>
          </cell>
          <cell r="J6331" t="str">
            <v>B</v>
          </cell>
          <cell r="N6331" t="str">
            <v>B</v>
          </cell>
        </row>
        <row r="6332">
          <cell r="B6332" t="str">
            <v>PA-B1279</v>
          </cell>
          <cell r="J6332" t="str">
            <v>B</v>
          </cell>
          <cell r="N6332" t="str">
            <v>B</v>
          </cell>
        </row>
        <row r="6333">
          <cell r="B6333" t="str">
            <v>PA-B1280</v>
          </cell>
          <cell r="J6333" t="str">
            <v>B</v>
          </cell>
          <cell r="N6333" t="str">
            <v>B</v>
          </cell>
        </row>
        <row r="6334">
          <cell r="B6334" t="str">
            <v>CER-B1281</v>
          </cell>
          <cell r="J6334" t="str">
            <v>B</v>
          </cell>
          <cell r="N6334" t="str">
            <v>B</v>
          </cell>
        </row>
        <row r="6335">
          <cell r="B6335" t="str">
            <v>PA-B1282</v>
          </cell>
          <cell r="J6335" t="str">
            <v>B</v>
          </cell>
          <cell r="N6335" t="str">
            <v>B</v>
          </cell>
        </row>
        <row r="6336">
          <cell r="B6336" t="str">
            <v>CER-B1283</v>
          </cell>
          <cell r="J6336" t="str">
            <v>B</v>
          </cell>
          <cell r="N6336" t="str">
            <v>B</v>
          </cell>
        </row>
        <row r="6337">
          <cell r="B6337" t="str">
            <v>PA-B1284</v>
          </cell>
          <cell r="J6337" t="str">
            <v>B</v>
          </cell>
          <cell r="N6337" t="str">
            <v>B</v>
          </cell>
        </row>
        <row r="6338">
          <cell r="B6338" t="str">
            <v>CER-B1285</v>
          </cell>
          <cell r="J6338" t="str">
            <v>B</v>
          </cell>
          <cell r="N6338" t="str">
            <v>B</v>
          </cell>
        </row>
        <row r="6339">
          <cell r="B6339" t="str">
            <v>PA-B1286</v>
          </cell>
          <cell r="J6339" t="str">
            <v>B</v>
          </cell>
          <cell r="N6339" t="str">
            <v>B</v>
          </cell>
        </row>
        <row r="6340">
          <cell r="B6340" t="str">
            <v>CER-B1287</v>
          </cell>
          <cell r="J6340" t="str">
            <v>B</v>
          </cell>
          <cell r="N6340" t="str">
            <v>B</v>
          </cell>
        </row>
        <row r="6341">
          <cell r="B6341" t="str">
            <v>PA-B1288</v>
          </cell>
          <cell r="J6341" t="str">
            <v>B</v>
          </cell>
          <cell r="N6341" t="str">
            <v>B</v>
          </cell>
        </row>
        <row r="6342">
          <cell r="B6342" t="str">
            <v>CER-B1289</v>
          </cell>
          <cell r="J6342" t="str">
            <v>B</v>
          </cell>
          <cell r="N6342" t="str">
            <v>B</v>
          </cell>
        </row>
        <row r="6343">
          <cell r="B6343" t="str">
            <v>PA-B1290</v>
          </cell>
          <cell r="J6343" t="str">
            <v>B</v>
          </cell>
          <cell r="N6343" t="str">
            <v>B</v>
          </cell>
        </row>
        <row r="6344">
          <cell r="B6344" t="str">
            <v>PA-B1291</v>
          </cell>
          <cell r="J6344" t="str">
            <v>B</v>
          </cell>
          <cell r="N6344" t="str">
            <v>B</v>
          </cell>
        </row>
        <row r="6345">
          <cell r="B6345" t="str">
            <v>PA-B1292</v>
          </cell>
          <cell r="J6345" t="str">
            <v>B</v>
          </cell>
          <cell r="N6345" t="str">
            <v>B</v>
          </cell>
        </row>
        <row r="6346">
          <cell r="B6346" t="str">
            <v>PA-B1293</v>
          </cell>
          <cell r="J6346" t="str">
            <v>B</v>
          </cell>
          <cell r="N6346" t="str">
            <v>B</v>
          </cell>
        </row>
        <row r="6347">
          <cell r="B6347" t="str">
            <v>PA-B1294</v>
          </cell>
          <cell r="J6347" t="str">
            <v>B</v>
          </cell>
          <cell r="N6347" t="str">
            <v>B</v>
          </cell>
        </row>
        <row r="6348">
          <cell r="B6348" t="str">
            <v>PA-B1295</v>
          </cell>
          <cell r="J6348" t="str">
            <v>B</v>
          </cell>
          <cell r="N6348" t="str">
            <v>B</v>
          </cell>
        </row>
        <row r="6349">
          <cell r="B6349" t="str">
            <v>PA-B1296</v>
          </cell>
          <cell r="J6349" t="str">
            <v>B</v>
          </cell>
          <cell r="N6349" t="str">
            <v>B</v>
          </cell>
        </row>
        <row r="6350">
          <cell r="B6350" t="str">
            <v>SA-B1297</v>
          </cell>
          <cell r="J6350" t="str">
            <v>B</v>
          </cell>
          <cell r="N6350" t="str">
            <v>B</v>
          </cell>
        </row>
        <row r="6351">
          <cell r="B6351" t="str">
            <v>SA-B1298</v>
          </cell>
          <cell r="J6351" t="str">
            <v>B</v>
          </cell>
          <cell r="N6351" t="str">
            <v>B</v>
          </cell>
        </row>
        <row r="6352">
          <cell r="B6352" t="str">
            <v>CER-B1299</v>
          </cell>
          <cell r="J6352" t="str">
            <v>B</v>
          </cell>
          <cell r="N6352" t="str">
            <v>B</v>
          </cell>
        </row>
        <row r="6353">
          <cell r="B6353" t="str">
            <v>CER-B1300</v>
          </cell>
          <cell r="J6353" t="str">
            <v>B</v>
          </cell>
          <cell r="N6353" t="str">
            <v>B</v>
          </cell>
        </row>
        <row r="6354">
          <cell r="B6354" t="str">
            <v>CER-B1301</v>
          </cell>
          <cell r="J6354" t="str">
            <v>B</v>
          </cell>
          <cell r="N6354" t="str">
            <v>B</v>
          </cell>
        </row>
        <row r="6355">
          <cell r="B6355" t="str">
            <v>CER-B1302</v>
          </cell>
          <cell r="J6355" t="str">
            <v>B</v>
          </cell>
          <cell r="N6355" t="str">
            <v>B</v>
          </cell>
        </row>
        <row r="6356">
          <cell r="B6356" t="str">
            <v>PA-B1303</v>
          </cell>
          <cell r="J6356" t="str">
            <v>B</v>
          </cell>
          <cell r="N6356" t="str">
            <v>B</v>
          </cell>
        </row>
        <row r="6357">
          <cell r="B6357" t="str">
            <v>CER-B1304</v>
          </cell>
          <cell r="J6357" t="str">
            <v>B</v>
          </cell>
          <cell r="N6357" t="str">
            <v>B</v>
          </cell>
        </row>
        <row r="6358">
          <cell r="B6358" t="str">
            <v>CER-B1305</v>
          </cell>
          <cell r="J6358" t="str">
            <v>B</v>
          </cell>
          <cell r="N6358" t="str">
            <v>B</v>
          </cell>
        </row>
        <row r="6359">
          <cell r="B6359" t="str">
            <v>CER-B1306</v>
          </cell>
          <cell r="J6359" t="str">
            <v>B</v>
          </cell>
          <cell r="N6359" t="str">
            <v>B</v>
          </cell>
        </row>
        <row r="6360">
          <cell r="B6360" t="str">
            <v>PA-B1307</v>
          </cell>
          <cell r="J6360" t="str">
            <v>B</v>
          </cell>
          <cell r="N6360" t="str">
            <v>B</v>
          </cell>
        </row>
        <row r="6361">
          <cell r="B6361" t="str">
            <v>PA-B1308</v>
          </cell>
          <cell r="J6361" t="str">
            <v>B</v>
          </cell>
          <cell r="N6361" t="str">
            <v>B</v>
          </cell>
        </row>
        <row r="6362">
          <cell r="B6362" t="str">
            <v>PA-B1309</v>
          </cell>
          <cell r="J6362" t="str">
            <v>B</v>
          </cell>
          <cell r="N6362" t="str">
            <v>B</v>
          </cell>
        </row>
        <row r="6363">
          <cell r="B6363" t="str">
            <v>CER-B1310</v>
          </cell>
          <cell r="J6363" t="str">
            <v>B</v>
          </cell>
          <cell r="N6363" t="str">
            <v>B</v>
          </cell>
        </row>
        <row r="6364">
          <cell r="B6364" t="str">
            <v>CER-B1311</v>
          </cell>
          <cell r="J6364" t="str">
            <v>B</v>
          </cell>
          <cell r="N6364" t="str">
            <v>B</v>
          </cell>
        </row>
        <row r="6365">
          <cell r="B6365" t="str">
            <v>PA-B1312</v>
          </cell>
          <cell r="J6365" t="str">
            <v>B</v>
          </cell>
          <cell r="N6365" t="str">
            <v>B</v>
          </cell>
        </row>
        <row r="6366">
          <cell r="B6366" t="str">
            <v>PA-B1313</v>
          </cell>
          <cell r="J6366" t="str">
            <v>B</v>
          </cell>
          <cell r="N6366" t="str">
            <v>B</v>
          </cell>
        </row>
        <row r="6367">
          <cell r="B6367" t="str">
            <v>CER-B1314</v>
          </cell>
          <cell r="J6367" t="str">
            <v>B</v>
          </cell>
          <cell r="N6367" t="str">
            <v>B</v>
          </cell>
        </row>
        <row r="6368">
          <cell r="B6368" t="str">
            <v>CER-B1315</v>
          </cell>
          <cell r="J6368" t="str">
            <v>B</v>
          </cell>
          <cell r="N6368" t="str">
            <v>B</v>
          </cell>
        </row>
        <row r="6369">
          <cell r="B6369" t="str">
            <v>PA-B1316</v>
          </cell>
          <cell r="J6369" t="str">
            <v>B</v>
          </cell>
          <cell r="N6369" t="str">
            <v>B</v>
          </cell>
        </row>
        <row r="6370">
          <cell r="B6370" t="str">
            <v>PA-B1317</v>
          </cell>
          <cell r="J6370" t="str">
            <v>B</v>
          </cell>
          <cell r="N6370" t="str">
            <v>B</v>
          </cell>
        </row>
        <row r="6371">
          <cell r="B6371" t="str">
            <v>PA-B1318</v>
          </cell>
          <cell r="J6371" t="str">
            <v>B</v>
          </cell>
          <cell r="N6371" t="str">
            <v>B</v>
          </cell>
        </row>
        <row r="6372">
          <cell r="B6372" t="str">
            <v>PA-B1319</v>
          </cell>
          <cell r="J6372" t="str">
            <v>B</v>
          </cell>
          <cell r="N6372" t="str">
            <v>B</v>
          </cell>
        </row>
        <row r="6373">
          <cell r="B6373" t="str">
            <v>CER-B1320</v>
          </cell>
          <cell r="J6373" t="str">
            <v>B</v>
          </cell>
          <cell r="N6373" t="str">
            <v>B</v>
          </cell>
        </row>
        <row r="6374">
          <cell r="B6374" t="str">
            <v>PA-B1321</v>
          </cell>
          <cell r="J6374" t="str">
            <v>B</v>
          </cell>
          <cell r="N6374" t="str">
            <v>B</v>
          </cell>
        </row>
        <row r="6375">
          <cell r="B6375" t="str">
            <v>PA-B1322</v>
          </cell>
          <cell r="J6375" t="str">
            <v>B</v>
          </cell>
          <cell r="N6375" t="str">
            <v>B</v>
          </cell>
        </row>
        <row r="6376">
          <cell r="B6376" t="str">
            <v>PA-B1323</v>
          </cell>
          <cell r="J6376" t="str">
            <v>B</v>
          </cell>
          <cell r="N6376" t="str">
            <v>B</v>
          </cell>
        </row>
        <row r="6377">
          <cell r="B6377" t="str">
            <v>SA-B1324</v>
          </cell>
          <cell r="J6377" t="str">
            <v>B</v>
          </cell>
          <cell r="N6377" t="str">
            <v>B</v>
          </cell>
        </row>
        <row r="6378">
          <cell r="B6378" t="str">
            <v>SA-B1325</v>
          </cell>
          <cell r="J6378" t="str">
            <v>B</v>
          </cell>
          <cell r="N6378" t="str">
            <v>B</v>
          </cell>
        </row>
        <row r="6379">
          <cell r="B6379" t="str">
            <v>PA-B1326</v>
          </cell>
          <cell r="J6379" t="str">
            <v>B</v>
          </cell>
          <cell r="N6379" t="str">
            <v>B</v>
          </cell>
        </row>
        <row r="6380">
          <cell r="B6380" t="str">
            <v>PA-B1327</v>
          </cell>
          <cell r="J6380" t="str">
            <v>B</v>
          </cell>
          <cell r="N6380" t="str">
            <v>B</v>
          </cell>
        </row>
        <row r="6381">
          <cell r="B6381" t="str">
            <v>PA-B1328</v>
          </cell>
          <cell r="J6381" t="str">
            <v>B</v>
          </cell>
          <cell r="N6381" t="str">
            <v>B</v>
          </cell>
        </row>
        <row r="6382">
          <cell r="B6382" t="str">
            <v>PA-B1329</v>
          </cell>
          <cell r="J6382" t="str">
            <v>B</v>
          </cell>
          <cell r="N6382" t="str">
            <v>B</v>
          </cell>
        </row>
        <row r="6383">
          <cell r="B6383" t="str">
            <v>PA-B1330</v>
          </cell>
          <cell r="J6383" t="str">
            <v>B</v>
          </cell>
          <cell r="N6383" t="str">
            <v>B</v>
          </cell>
        </row>
        <row r="6384">
          <cell r="B6384" t="str">
            <v>SA-B1331</v>
          </cell>
          <cell r="J6384" t="str">
            <v>B</v>
          </cell>
          <cell r="N6384" t="str">
            <v>B</v>
          </cell>
        </row>
        <row r="6385">
          <cell r="B6385" t="str">
            <v>SA-B1332</v>
          </cell>
          <cell r="J6385" t="str">
            <v>B</v>
          </cell>
          <cell r="N6385" t="str">
            <v>B</v>
          </cell>
        </row>
        <row r="6386">
          <cell r="B6386" t="str">
            <v>PA-B1333</v>
          </cell>
          <cell r="J6386" t="str">
            <v>B</v>
          </cell>
          <cell r="N6386" t="str">
            <v>B</v>
          </cell>
        </row>
        <row r="6387">
          <cell r="B6387" t="str">
            <v>PA-B1334</v>
          </cell>
          <cell r="J6387" t="str">
            <v>B</v>
          </cell>
          <cell r="N6387" t="str">
            <v>B</v>
          </cell>
        </row>
        <row r="6388">
          <cell r="B6388" t="str">
            <v>SA-B1335</v>
          </cell>
          <cell r="J6388" t="str">
            <v>B</v>
          </cell>
          <cell r="N6388" t="str">
            <v>B</v>
          </cell>
        </row>
        <row r="6389">
          <cell r="B6389" t="str">
            <v>SA-B1336</v>
          </cell>
          <cell r="J6389" t="str">
            <v>B</v>
          </cell>
          <cell r="N6389" t="str">
            <v>B</v>
          </cell>
        </row>
        <row r="6390">
          <cell r="B6390" t="str">
            <v>SA-B1337</v>
          </cell>
          <cell r="J6390" t="str">
            <v>B</v>
          </cell>
          <cell r="N6390" t="str">
            <v>B</v>
          </cell>
        </row>
        <row r="6391">
          <cell r="B6391" t="str">
            <v>PA-B1338</v>
          </cell>
          <cell r="J6391" t="str">
            <v>B</v>
          </cell>
          <cell r="N6391" t="str">
            <v>B</v>
          </cell>
        </row>
        <row r="6392">
          <cell r="B6392" t="str">
            <v>SA-B1339</v>
          </cell>
          <cell r="J6392" t="str">
            <v>B</v>
          </cell>
          <cell r="N6392" t="str">
            <v>B</v>
          </cell>
        </row>
        <row r="6393">
          <cell r="B6393" t="str">
            <v>SA-B1340</v>
          </cell>
          <cell r="J6393" t="str">
            <v>B</v>
          </cell>
          <cell r="N6393" t="str">
            <v>B</v>
          </cell>
        </row>
        <row r="6394">
          <cell r="B6394" t="str">
            <v>SA-B1341</v>
          </cell>
          <cell r="J6394" t="str">
            <v>B</v>
          </cell>
          <cell r="N6394" t="str">
            <v>B</v>
          </cell>
        </row>
        <row r="6395">
          <cell r="B6395" t="str">
            <v>PA-B1342</v>
          </cell>
          <cell r="J6395" t="str">
            <v>B</v>
          </cell>
          <cell r="N6395" t="str">
            <v>B</v>
          </cell>
        </row>
        <row r="6396">
          <cell r="B6396" t="str">
            <v>PA-B1343</v>
          </cell>
          <cell r="J6396" t="str">
            <v>B</v>
          </cell>
          <cell r="N6396" t="str">
            <v>B</v>
          </cell>
        </row>
        <row r="6397">
          <cell r="B6397" t="str">
            <v>PA-B1344</v>
          </cell>
          <cell r="J6397" t="str">
            <v>B</v>
          </cell>
          <cell r="N6397" t="str">
            <v>B</v>
          </cell>
        </row>
        <row r="6398">
          <cell r="B6398" t="str">
            <v>PA-B1345</v>
          </cell>
          <cell r="J6398" t="str">
            <v>B</v>
          </cell>
          <cell r="N6398" t="str">
            <v>B</v>
          </cell>
        </row>
        <row r="6399">
          <cell r="B6399" t="str">
            <v>SA-B1346</v>
          </cell>
          <cell r="J6399" t="str">
            <v>B</v>
          </cell>
          <cell r="N6399" t="str">
            <v>B</v>
          </cell>
        </row>
        <row r="6400">
          <cell r="B6400" t="str">
            <v>PA-B1347</v>
          </cell>
          <cell r="J6400" t="str">
            <v>B</v>
          </cell>
          <cell r="N6400" t="str">
            <v>B</v>
          </cell>
        </row>
        <row r="6401">
          <cell r="B6401" t="str">
            <v>PA-B1348</v>
          </cell>
          <cell r="J6401" t="str">
            <v>B</v>
          </cell>
          <cell r="N6401" t="str">
            <v>B</v>
          </cell>
        </row>
        <row r="6402">
          <cell r="B6402" t="str">
            <v>SA-B1349</v>
          </cell>
          <cell r="J6402" t="str">
            <v>B</v>
          </cell>
          <cell r="N6402" t="str">
            <v>B</v>
          </cell>
        </row>
        <row r="6403">
          <cell r="B6403" t="str">
            <v>SA-B1350</v>
          </cell>
          <cell r="J6403" t="str">
            <v>B</v>
          </cell>
          <cell r="N6403" t="str">
            <v>B</v>
          </cell>
        </row>
        <row r="6404">
          <cell r="B6404" t="str">
            <v>SA-B1351</v>
          </cell>
          <cell r="J6404" t="str">
            <v>B</v>
          </cell>
          <cell r="N6404" t="str">
            <v>B</v>
          </cell>
        </row>
        <row r="6405">
          <cell r="B6405" t="str">
            <v>SA-B1352</v>
          </cell>
          <cell r="J6405" t="str">
            <v>B</v>
          </cell>
          <cell r="N6405" t="str">
            <v>B</v>
          </cell>
        </row>
        <row r="6406">
          <cell r="B6406" t="str">
            <v>SA-B1353</v>
          </cell>
          <cell r="J6406" t="str">
            <v>B</v>
          </cell>
          <cell r="N6406" t="str">
            <v>B</v>
          </cell>
        </row>
        <row r="6407">
          <cell r="B6407" t="str">
            <v>PA-B1354</v>
          </cell>
          <cell r="J6407" t="str">
            <v>B</v>
          </cell>
          <cell r="N6407" t="str">
            <v>B</v>
          </cell>
        </row>
        <row r="6408">
          <cell r="B6408" t="str">
            <v>PA-B1355</v>
          </cell>
          <cell r="J6408" t="str">
            <v>B</v>
          </cell>
          <cell r="N6408" t="str">
            <v>B</v>
          </cell>
        </row>
        <row r="6409">
          <cell r="B6409" t="str">
            <v>PA-B1356</v>
          </cell>
          <cell r="J6409" t="str">
            <v>B</v>
          </cell>
          <cell r="N6409" t="str">
            <v>B</v>
          </cell>
        </row>
        <row r="6410">
          <cell r="B6410" t="str">
            <v>SA-B1357</v>
          </cell>
          <cell r="J6410" t="str">
            <v>B</v>
          </cell>
          <cell r="N6410" t="str">
            <v>B</v>
          </cell>
        </row>
        <row r="6411">
          <cell r="B6411" t="str">
            <v>SA-B1358</v>
          </cell>
          <cell r="J6411" t="str">
            <v>B</v>
          </cell>
          <cell r="N6411" t="str">
            <v>B</v>
          </cell>
        </row>
        <row r="6412">
          <cell r="B6412" t="str">
            <v>SA-B1359</v>
          </cell>
          <cell r="J6412" t="str">
            <v>B</v>
          </cell>
          <cell r="N6412" t="str">
            <v>B</v>
          </cell>
        </row>
        <row r="6413">
          <cell r="B6413" t="str">
            <v>SA-B1360</v>
          </cell>
          <cell r="J6413" t="str">
            <v>B</v>
          </cell>
          <cell r="N6413" t="str">
            <v>B</v>
          </cell>
        </row>
        <row r="6414">
          <cell r="B6414" t="str">
            <v>SA-B1361</v>
          </cell>
          <cell r="J6414" t="str">
            <v>B</v>
          </cell>
          <cell r="N6414" t="str">
            <v>B</v>
          </cell>
        </row>
        <row r="6415">
          <cell r="B6415" t="str">
            <v>PA-B1362</v>
          </cell>
          <cell r="J6415" t="str">
            <v>B</v>
          </cell>
          <cell r="N6415" t="str">
            <v>B</v>
          </cell>
        </row>
        <row r="6416">
          <cell r="B6416" t="str">
            <v>SA-B1363</v>
          </cell>
          <cell r="J6416" t="str">
            <v>B</v>
          </cell>
          <cell r="N6416" t="str">
            <v>B</v>
          </cell>
        </row>
        <row r="6417">
          <cell r="B6417" t="str">
            <v>SA-B1364</v>
          </cell>
          <cell r="J6417" t="str">
            <v>B</v>
          </cell>
          <cell r="N6417" t="str">
            <v>B</v>
          </cell>
        </row>
        <row r="6418">
          <cell r="B6418" t="str">
            <v>PA-B1365</v>
          </cell>
          <cell r="J6418" t="str">
            <v>B</v>
          </cell>
          <cell r="N6418" t="str">
            <v>B</v>
          </cell>
        </row>
        <row r="6419">
          <cell r="B6419" t="str">
            <v>SA-B1366</v>
          </cell>
          <cell r="J6419" t="str">
            <v>B</v>
          </cell>
          <cell r="N6419" t="str">
            <v>B</v>
          </cell>
        </row>
        <row r="6420">
          <cell r="B6420" t="str">
            <v>SA-B1367</v>
          </cell>
          <cell r="J6420" t="str">
            <v>B</v>
          </cell>
          <cell r="N6420" t="str">
            <v>B</v>
          </cell>
        </row>
        <row r="6421">
          <cell r="B6421" t="str">
            <v>PA-B1368</v>
          </cell>
          <cell r="J6421" t="str">
            <v>B</v>
          </cell>
          <cell r="N6421" t="str">
            <v>B</v>
          </cell>
        </row>
        <row r="6422">
          <cell r="B6422" t="str">
            <v>SA-B1369</v>
          </cell>
          <cell r="J6422" t="str">
            <v>B</v>
          </cell>
          <cell r="N6422" t="str">
            <v>B</v>
          </cell>
        </row>
        <row r="6423">
          <cell r="B6423" t="str">
            <v>SA-B1370</v>
          </cell>
          <cell r="J6423" t="str">
            <v>B</v>
          </cell>
          <cell r="N6423" t="str">
            <v>B</v>
          </cell>
        </row>
        <row r="6424">
          <cell r="B6424" t="str">
            <v>PA-B1371</v>
          </cell>
          <cell r="J6424" t="str">
            <v>B</v>
          </cell>
          <cell r="N6424" t="str">
            <v>B</v>
          </cell>
        </row>
        <row r="6425">
          <cell r="B6425" t="str">
            <v>SA-B1372</v>
          </cell>
          <cell r="J6425" t="str">
            <v>B</v>
          </cell>
          <cell r="N6425" t="str">
            <v>B</v>
          </cell>
        </row>
        <row r="6426">
          <cell r="B6426" t="str">
            <v>PA-B1373</v>
          </cell>
          <cell r="J6426" t="str">
            <v>B</v>
          </cell>
          <cell r="N6426" t="str">
            <v>B</v>
          </cell>
        </row>
        <row r="6427">
          <cell r="B6427" t="str">
            <v>PA-B1374</v>
          </cell>
          <cell r="J6427" t="str">
            <v>B</v>
          </cell>
          <cell r="N6427" t="str">
            <v>B</v>
          </cell>
        </row>
        <row r="6428">
          <cell r="B6428" t="str">
            <v>SA-B1375</v>
          </cell>
          <cell r="J6428" t="str">
            <v>B</v>
          </cell>
          <cell r="N6428" t="str">
            <v>B</v>
          </cell>
        </row>
        <row r="6429">
          <cell r="B6429" t="str">
            <v>PA-B1376</v>
          </cell>
          <cell r="J6429" t="str">
            <v>B</v>
          </cell>
          <cell r="N6429" t="str">
            <v>B</v>
          </cell>
        </row>
        <row r="6430">
          <cell r="B6430" t="str">
            <v>PA-B1377</v>
          </cell>
          <cell r="J6430" t="str">
            <v>B</v>
          </cell>
          <cell r="N6430" t="str">
            <v>B</v>
          </cell>
        </row>
        <row r="6431">
          <cell r="B6431" t="str">
            <v>CER-B1378</v>
          </cell>
          <cell r="J6431" t="str">
            <v>B</v>
          </cell>
          <cell r="N6431" t="str">
            <v>B</v>
          </cell>
        </row>
        <row r="6432">
          <cell r="B6432" t="str">
            <v>PA-B1379</v>
          </cell>
          <cell r="J6432" t="str">
            <v>B</v>
          </cell>
          <cell r="N6432" t="str">
            <v>B</v>
          </cell>
        </row>
        <row r="6433">
          <cell r="B6433" t="str">
            <v>CER-B1380</v>
          </cell>
          <cell r="J6433" t="str">
            <v>B</v>
          </cell>
          <cell r="N6433" t="str">
            <v>B</v>
          </cell>
        </row>
        <row r="6434">
          <cell r="B6434" t="str">
            <v>PA-B1381</v>
          </cell>
          <cell r="J6434" t="str">
            <v>B</v>
          </cell>
          <cell r="N6434" t="str">
            <v>B</v>
          </cell>
        </row>
        <row r="6435">
          <cell r="B6435" t="str">
            <v>PA-B1382</v>
          </cell>
          <cell r="J6435" t="str">
            <v>B</v>
          </cell>
          <cell r="N6435" t="str">
            <v>B</v>
          </cell>
        </row>
        <row r="6436">
          <cell r="B6436" t="str">
            <v>PA-B1383</v>
          </cell>
          <cell r="J6436" t="str">
            <v>B</v>
          </cell>
          <cell r="N6436" t="str">
            <v>B</v>
          </cell>
        </row>
        <row r="6437">
          <cell r="B6437" t="str">
            <v>PA-B1384</v>
          </cell>
          <cell r="J6437" t="str">
            <v>B</v>
          </cell>
          <cell r="N6437" t="str">
            <v>B</v>
          </cell>
        </row>
        <row r="6438">
          <cell r="B6438" t="str">
            <v>CER-B1385</v>
          </cell>
          <cell r="J6438" t="str">
            <v>B</v>
          </cell>
          <cell r="N6438" t="str">
            <v>B</v>
          </cell>
        </row>
        <row r="6439">
          <cell r="B6439" t="str">
            <v>PA-B1386</v>
          </cell>
          <cell r="J6439" t="str">
            <v>B</v>
          </cell>
          <cell r="N6439" t="str">
            <v>B</v>
          </cell>
        </row>
        <row r="6440">
          <cell r="B6440" t="str">
            <v>PA-B1387</v>
          </cell>
          <cell r="J6440" t="str">
            <v>B</v>
          </cell>
          <cell r="N6440" t="str">
            <v>B</v>
          </cell>
        </row>
        <row r="6441">
          <cell r="B6441" t="str">
            <v>PA-B1388</v>
          </cell>
          <cell r="J6441" t="str">
            <v>B</v>
          </cell>
          <cell r="N6441" t="str">
            <v>B</v>
          </cell>
        </row>
        <row r="6442">
          <cell r="B6442" t="str">
            <v>SA-B1389</v>
          </cell>
          <cell r="J6442" t="str">
            <v>B</v>
          </cell>
          <cell r="N6442" t="str">
            <v>B</v>
          </cell>
        </row>
        <row r="6443">
          <cell r="B6443" t="str">
            <v>SA-B1390</v>
          </cell>
          <cell r="J6443" t="str">
            <v>B</v>
          </cell>
          <cell r="N6443" t="str">
            <v>B</v>
          </cell>
        </row>
        <row r="6444">
          <cell r="B6444" t="str">
            <v>SA-B1391</v>
          </cell>
          <cell r="J6444" t="str">
            <v>B</v>
          </cell>
          <cell r="N6444" t="str">
            <v>B</v>
          </cell>
        </row>
        <row r="6445">
          <cell r="B6445" t="str">
            <v>PA-B1392</v>
          </cell>
          <cell r="J6445" t="str">
            <v>B</v>
          </cell>
          <cell r="N6445" t="str">
            <v>B</v>
          </cell>
        </row>
        <row r="6446">
          <cell r="B6446" t="str">
            <v>CER-B1393</v>
          </cell>
          <cell r="J6446" t="str">
            <v>B</v>
          </cell>
          <cell r="N6446" t="str">
            <v>B</v>
          </cell>
        </row>
        <row r="6447">
          <cell r="B6447" t="str">
            <v>SA-B1394</v>
          </cell>
          <cell r="J6447" t="str">
            <v>B</v>
          </cell>
          <cell r="N6447" t="str">
            <v>B</v>
          </cell>
        </row>
        <row r="6448">
          <cell r="B6448" t="str">
            <v>PA-B1395</v>
          </cell>
          <cell r="J6448" t="str">
            <v>B</v>
          </cell>
          <cell r="N6448" t="str">
            <v>B</v>
          </cell>
        </row>
        <row r="6449">
          <cell r="B6449" t="str">
            <v>SA-B1396</v>
          </cell>
          <cell r="J6449" t="str">
            <v>B</v>
          </cell>
          <cell r="N6449" t="str">
            <v>B</v>
          </cell>
        </row>
        <row r="6450">
          <cell r="B6450" t="str">
            <v>SA-B1397</v>
          </cell>
          <cell r="J6450" t="str">
            <v>B</v>
          </cell>
          <cell r="N6450" t="str">
            <v>B</v>
          </cell>
        </row>
        <row r="6451">
          <cell r="B6451" t="str">
            <v>PA-B1398</v>
          </cell>
          <cell r="J6451" t="str">
            <v>B</v>
          </cell>
          <cell r="N6451" t="str">
            <v>B</v>
          </cell>
        </row>
        <row r="6452">
          <cell r="B6452" t="str">
            <v>PA-B1399</v>
          </cell>
          <cell r="J6452" t="str">
            <v>B</v>
          </cell>
          <cell r="N6452" t="str">
            <v>B</v>
          </cell>
        </row>
        <row r="6453">
          <cell r="B6453" t="str">
            <v>PA-B1400</v>
          </cell>
          <cell r="J6453" t="str">
            <v>B</v>
          </cell>
          <cell r="N6453" t="str">
            <v>B</v>
          </cell>
        </row>
        <row r="6454">
          <cell r="B6454" t="str">
            <v>SA-B1401</v>
          </cell>
          <cell r="J6454" t="str">
            <v>B</v>
          </cell>
          <cell r="N6454" t="str">
            <v>B</v>
          </cell>
        </row>
        <row r="6455">
          <cell r="B6455" t="str">
            <v>PA-B1402</v>
          </cell>
          <cell r="J6455" t="str">
            <v>B</v>
          </cell>
          <cell r="N6455" t="str">
            <v>B</v>
          </cell>
        </row>
        <row r="6456">
          <cell r="B6456" t="str">
            <v>PA-B1403</v>
          </cell>
          <cell r="J6456" t="str">
            <v>B</v>
          </cell>
          <cell r="N6456" t="str">
            <v>B</v>
          </cell>
        </row>
        <row r="6457">
          <cell r="B6457" t="str">
            <v>CER-B1404</v>
          </cell>
          <cell r="J6457" t="str">
            <v>B</v>
          </cell>
          <cell r="N6457" t="str">
            <v>B</v>
          </cell>
        </row>
        <row r="6458">
          <cell r="B6458" t="str">
            <v>SA-B1405</v>
          </cell>
          <cell r="J6458" t="str">
            <v>B</v>
          </cell>
          <cell r="N6458" t="str">
            <v>B</v>
          </cell>
        </row>
        <row r="6459">
          <cell r="B6459" t="str">
            <v>SA-B1406</v>
          </cell>
          <cell r="J6459" t="str">
            <v>B</v>
          </cell>
          <cell r="N6459" t="str">
            <v>B</v>
          </cell>
        </row>
        <row r="6460">
          <cell r="B6460" t="str">
            <v>PA-B1407</v>
          </cell>
          <cell r="J6460" t="str">
            <v>B</v>
          </cell>
          <cell r="N6460" t="str">
            <v>B</v>
          </cell>
        </row>
        <row r="6461">
          <cell r="B6461" t="str">
            <v>PA-B1408</v>
          </cell>
          <cell r="J6461" t="str">
            <v>B</v>
          </cell>
          <cell r="N6461" t="str">
            <v>B</v>
          </cell>
        </row>
        <row r="6462">
          <cell r="B6462" t="str">
            <v>PA-B1409</v>
          </cell>
          <cell r="J6462" t="str">
            <v>B</v>
          </cell>
          <cell r="N6462" t="str">
            <v>B</v>
          </cell>
        </row>
        <row r="6463">
          <cell r="B6463" t="str">
            <v>PA-B1410</v>
          </cell>
          <cell r="J6463" t="str">
            <v>B</v>
          </cell>
          <cell r="N6463" t="str">
            <v>B</v>
          </cell>
        </row>
        <row r="6464">
          <cell r="B6464" t="str">
            <v>LL-B1411</v>
          </cell>
          <cell r="J6464" t="str">
            <v>B</v>
          </cell>
          <cell r="N6464" t="str">
            <v>B</v>
          </cell>
        </row>
        <row r="6465">
          <cell r="B6465" t="str">
            <v>LL-B1412</v>
          </cell>
          <cell r="J6465" t="str">
            <v>B</v>
          </cell>
          <cell r="N6465" t="str">
            <v>B</v>
          </cell>
        </row>
        <row r="6466">
          <cell r="B6466" t="str">
            <v>LL-B1413</v>
          </cell>
          <cell r="J6466" t="str">
            <v>B</v>
          </cell>
          <cell r="N6466" t="str">
            <v>B</v>
          </cell>
        </row>
        <row r="6467">
          <cell r="B6467" t="str">
            <v>CER-B1414</v>
          </cell>
          <cell r="J6467" t="str">
            <v>B</v>
          </cell>
          <cell r="N6467" t="str">
            <v>B</v>
          </cell>
        </row>
        <row r="6468">
          <cell r="B6468" t="str">
            <v>PA-B1415</v>
          </cell>
          <cell r="J6468" t="str">
            <v>B</v>
          </cell>
          <cell r="N6468" t="str">
            <v>B</v>
          </cell>
        </row>
        <row r="6469">
          <cell r="B6469" t="str">
            <v>SA-B1416</v>
          </cell>
          <cell r="J6469" t="str">
            <v>B</v>
          </cell>
          <cell r="N6469" t="str">
            <v>B</v>
          </cell>
        </row>
        <row r="6470">
          <cell r="B6470" t="str">
            <v>CER-B1417</v>
          </cell>
          <cell r="J6470" t="str">
            <v>B</v>
          </cell>
          <cell r="N6470" t="str">
            <v>B</v>
          </cell>
        </row>
        <row r="6471">
          <cell r="B6471" t="str">
            <v>PA-B1418</v>
          </cell>
          <cell r="J6471" t="str">
            <v>B</v>
          </cell>
          <cell r="N6471" t="str">
            <v>B</v>
          </cell>
        </row>
        <row r="6472">
          <cell r="B6472" t="str">
            <v>CER-B1419</v>
          </cell>
          <cell r="J6472" t="str">
            <v>B</v>
          </cell>
          <cell r="N6472" t="str">
            <v>B</v>
          </cell>
        </row>
        <row r="6473">
          <cell r="B6473" t="str">
            <v>PA-B1420</v>
          </cell>
          <cell r="J6473" t="str">
            <v>B</v>
          </cell>
          <cell r="N6473" t="str">
            <v>B</v>
          </cell>
        </row>
        <row r="6474">
          <cell r="B6474" t="str">
            <v>PA-B1421</v>
          </cell>
          <cell r="J6474" t="str">
            <v>B</v>
          </cell>
          <cell r="N6474" t="str">
            <v>B</v>
          </cell>
        </row>
        <row r="6475">
          <cell r="B6475" t="str">
            <v>PA-B1422</v>
          </cell>
          <cell r="J6475" t="str">
            <v>B</v>
          </cell>
          <cell r="N6475" t="str">
            <v>B</v>
          </cell>
        </row>
        <row r="6476">
          <cell r="B6476" t="str">
            <v>PA-B1423</v>
          </cell>
          <cell r="J6476" t="str">
            <v>B</v>
          </cell>
          <cell r="N6476" t="str">
            <v>B</v>
          </cell>
        </row>
        <row r="6477">
          <cell r="B6477" t="str">
            <v>PA-B1424</v>
          </cell>
          <cell r="J6477" t="str">
            <v>B</v>
          </cell>
          <cell r="N6477" t="str">
            <v>B</v>
          </cell>
        </row>
        <row r="6478">
          <cell r="B6478" t="str">
            <v>PA-B1425</v>
          </cell>
          <cell r="J6478" t="str">
            <v>B</v>
          </cell>
          <cell r="N6478" t="str">
            <v>B</v>
          </cell>
        </row>
        <row r="6479">
          <cell r="B6479" t="str">
            <v>PA-B1426</v>
          </cell>
          <cell r="J6479" t="str">
            <v>B</v>
          </cell>
          <cell r="N6479" t="str">
            <v>B</v>
          </cell>
        </row>
        <row r="6480">
          <cell r="B6480" t="str">
            <v>RC-B1427</v>
          </cell>
          <cell r="J6480" t="str">
            <v>B</v>
          </cell>
          <cell r="N6480" t="str">
            <v>B</v>
          </cell>
        </row>
        <row r="6481">
          <cell r="B6481" t="str">
            <v>SR-BP1428</v>
          </cell>
          <cell r="J6481" t="str">
            <v>BPAL</v>
          </cell>
          <cell r="N6481" t="str">
            <v>BPAL</v>
          </cell>
        </row>
        <row r="6482">
          <cell r="B6482" t="str">
            <v>RC-BP1429</v>
          </cell>
          <cell r="J6482" t="str">
            <v>BPAL</v>
          </cell>
          <cell r="N6482" t="str">
            <v>BPAL</v>
          </cell>
        </row>
        <row r="6483">
          <cell r="B6483" t="str">
            <v>RC-BP7739</v>
          </cell>
          <cell r="J6483" t="str">
            <v>BPAL</v>
          </cell>
          <cell r="N6483" t="str">
            <v>BPAL</v>
          </cell>
        </row>
        <row r="6484">
          <cell r="B6484" t="str">
            <v>RC-BP1431</v>
          </cell>
          <cell r="J6484" t="str">
            <v>BPAL</v>
          </cell>
          <cell r="N6484" t="str">
            <v>BPAL</v>
          </cell>
        </row>
        <row r="6485">
          <cell r="B6485" t="str">
            <v>SR-BP1432</v>
          </cell>
          <cell r="J6485" t="str">
            <v>BPAL</v>
          </cell>
          <cell r="N6485" t="str">
            <v>BPAL</v>
          </cell>
        </row>
        <row r="6486">
          <cell r="B6486" t="str">
            <v>SR-BP1433</v>
          </cell>
          <cell r="J6486" t="str">
            <v>BPAL</v>
          </cell>
          <cell r="N6486" t="str">
            <v>BPAL</v>
          </cell>
        </row>
        <row r="6487">
          <cell r="B6487" t="str">
            <v>SR-BP1434</v>
          </cell>
          <cell r="J6487" t="str">
            <v>BPAL</v>
          </cell>
          <cell r="N6487" t="str">
            <v>BPAL</v>
          </cell>
        </row>
        <row r="6488">
          <cell r="B6488" t="str">
            <v>SR-BP1435</v>
          </cell>
          <cell r="J6488" t="str">
            <v>BPAL</v>
          </cell>
          <cell r="N6488" t="str">
            <v>BPAL</v>
          </cell>
        </row>
        <row r="6489">
          <cell r="B6489" t="str">
            <v>LL-BP1436</v>
          </cell>
          <cell r="J6489" t="str">
            <v>B2PAL</v>
          </cell>
          <cell r="N6489" t="str">
            <v>B2PAL</v>
          </cell>
        </row>
        <row r="6490">
          <cell r="B6490" t="str">
            <v>RC-BP1437</v>
          </cell>
          <cell r="J6490" t="str">
            <v>B2PAL</v>
          </cell>
          <cell r="N6490" t="str">
            <v>B2PAL</v>
          </cell>
        </row>
        <row r="6491">
          <cell r="B6491" t="str">
            <v>RC-BP7747</v>
          </cell>
          <cell r="J6491" t="str">
            <v>BPAL</v>
          </cell>
          <cell r="N6491" t="str">
            <v>BPAL</v>
          </cell>
        </row>
        <row r="6492">
          <cell r="B6492" t="str">
            <v>RC-BP1439</v>
          </cell>
          <cell r="J6492" t="str">
            <v>BPAL</v>
          </cell>
          <cell r="N6492" t="str">
            <v>BPAL</v>
          </cell>
        </row>
        <row r="6493">
          <cell r="B6493" t="str">
            <v>RC-C1440</v>
          </cell>
          <cell r="J6493" t="str">
            <v>C</v>
          </cell>
          <cell r="N6493" t="str">
            <v>C</v>
          </cell>
        </row>
        <row r="6494">
          <cell r="B6494" t="str">
            <v>RC-C1441</v>
          </cell>
          <cell r="J6494" t="str">
            <v>C</v>
          </cell>
          <cell r="N6494" t="str">
            <v>C</v>
          </cell>
        </row>
        <row r="6495">
          <cell r="B6495" t="str">
            <v>LB-C1442</v>
          </cell>
          <cell r="J6495" t="str">
            <v>C</v>
          </cell>
          <cell r="N6495" t="str">
            <v>C</v>
          </cell>
        </row>
        <row r="6496">
          <cell r="B6496" t="str">
            <v>RC-C1443</v>
          </cell>
          <cell r="J6496" t="str">
            <v>C</v>
          </cell>
          <cell r="N6496" t="str">
            <v>C</v>
          </cell>
        </row>
        <row r="6497">
          <cell r="B6497" t="str">
            <v>RC-C1444</v>
          </cell>
          <cell r="J6497" t="str">
            <v>C</v>
          </cell>
          <cell r="N6497" t="str">
            <v>C</v>
          </cell>
        </row>
        <row r="6498">
          <cell r="B6498" t="str">
            <v>RC-C1445</v>
          </cell>
          <cell r="J6498" t="str">
            <v>C</v>
          </cell>
          <cell r="N6498" t="str">
            <v>C</v>
          </cell>
        </row>
        <row r="6499">
          <cell r="B6499" t="str">
            <v>RC-C1446</v>
          </cell>
          <cell r="J6499" t="str">
            <v>C</v>
          </cell>
          <cell r="N6499" t="str">
            <v>C</v>
          </cell>
        </row>
        <row r="6500">
          <cell r="B6500" t="str">
            <v>RC-C1447</v>
          </cell>
          <cell r="J6500" t="str">
            <v>C</v>
          </cell>
          <cell r="N6500" t="str">
            <v>C</v>
          </cell>
        </row>
        <row r="6501">
          <cell r="B6501" t="str">
            <v>RC-C1448</v>
          </cell>
          <cell r="J6501" t="str">
            <v>C</v>
          </cell>
          <cell r="N6501" t="str">
            <v>C</v>
          </cell>
        </row>
        <row r="6502">
          <cell r="B6502" t="str">
            <v>RC-C1449</v>
          </cell>
          <cell r="J6502" t="str">
            <v>C</v>
          </cell>
          <cell r="N6502" t="str">
            <v>C</v>
          </cell>
        </row>
        <row r="6503">
          <cell r="B6503" t="str">
            <v>RC-C1450</v>
          </cell>
          <cell r="J6503" t="str">
            <v>C</v>
          </cell>
          <cell r="N6503" t="str">
            <v>C</v>
          </cell>
        </row>
        <row r="6504">
          <cell r="B6504" t="str">
            <v>RC-C1451</v>
          </cell>
          <cell r="J6504" t="str">
            <v>C</v>
          </cell>
          <cell r="N6504" t="str">
            <v>C</v>
          </cell>
        </row>
        <row r="6505">
          <cell r="B6505" t="str">
            <v>RC-C1452</v>
          </cell>
          <cell r="J6505" t="str">
            <v>C</v>
          </cell>
          <cell r="N6505" t="str">
            <v>C</v>
          </cell>
        </row>
        <row r="6506">
          <cell r="B6506" t="str">
            <v>LB-C1453</v>
          </cell>
          <cell r="J6506" t="str">
            <v>C</v>
          </cell>
          <cell r="N6506" t="str">
            <v>C</v>
          </cell>
        </row>
        <row r="6507">
          <cell r="B6507" t="str">
            <v>RC-C1454</v>
          </cell>
          <cell r="J6507" t="str">
            <v>C</v>
          </cell>
          <cell r="N6507" t="str">
            <v>C</v>
          </cell>
        </row>
        <row r="6508">
          <cell r="B6508" t="str">
            <v>RC-C1455</v>
          </cell>
          <cell r="J6508" t="str">
            <v>C</v>
          </cell>
          <cell r="N6508" t="str">
            <v>C</v>
          </cell>
        </row>
        <row r="6509">
          <cell r="B6509" t="str">
            <v>RC-C1456</v>
          </cell>
          <cell r="J6509" t="str">
            <v>C</v>
          </cell>
          <cell r="N6509" t="str">
            <v>C</v>
          </cell>
        </row>
        <row r="6510">
          <cell r="B6510" t="str">
            <v>RC-C1457</v>
          </cell>
          <cell r="J6510" t="str">
            <v>C</v>
          </cell>
          <cell r="N6510" t="str">
            <v>C</v>
          </cell>
        </row>
        <row r="6511">
          <cell r="B6511" t="str">
            <v>LB-C1458</v>
          </cell>
          <cell r="J6511" t="str">
            <v>C</v>
          </cell>
          <cell r="N6511" t="str">
            <v>C</v>
          </cell>
        </row>
        <row r="6512">
          <cell r="B6512" t="str">
            <v>LB-C1459</v>
          </cell>
          <cell r="J6512" t="str">
            <v>C</v>
          </cell>
          <cell r="N6512" t="str">
            <v>C</v>
          </cell>
        </row>
        <row r="6513">
          <cell r="B6513" t="str">
            <v>RC-C1460</v>
          </cell>
          <cell r="J6513" t="str">
            <v>C</v>
          </cell>
          <cell r="N6513" t="str">
            <v>C</v>
          </cell>
        </row>
        <row r="6514">
          <cell r="B6514" t="str">
            <v>LB-C1461</v>
          </cell>
          <cell r="J6514" t="str">
            <v>C</v>
          </cell>
          <cell r="N6514" t="str">
            <v>C</v>
          </cell>
        </row>
        <row r="6515">
          <cell r="B6515" t="str">
            <v>LB-C1462</v>
          </cell>
          <cell r="J6515" t="str">
            <v>C</v>
          </cell>
          <cell r="N6515" t="str">
            <v>C</v>
          </cell>
        </row>
        <row r="6516">
          <cell r="B6516" t="str">
            <v>LB-C1463</v>
          </cell>
          <cell r="J6516" t="str">
            <v>C</v>
          </cell>
          <cell r="N6516" t="str">
            <v>C</v>
          </cell>
        </row>
        <row r="6517">
          <cell r="B6517" t="str">
            <v>LB-C1464</v>
          </cell>
          <cell r="J6517" t="str">
            <v>C</v>
          </cell>
          <cell r="N6517" t="str">
            <v>C</v>
          </cell>
        </row>
        <row r="6518">
          <cell r="B6518" t="str">
            <v>LB-C1465</v>
          </cell>
          <cell r="J6518" t="str">
            <v>C</v>
          </cell>
          <cell r="N6518" t="str">
            <v>C</v>
          </cell>
        </row>
        <row r="6519">
          <cell r="B6519" t="str">
            <v>LB-C1466</v>
          </cell>
          <cell r="J6519" t="str">
            <v>C</v>
          </cell>
          <cell r="N6519" t="str">
            <v>C</v>
          </cell>
        </row>
        <row r="6520">
          <cell r="B6520" t="str">
            <v>LB-C1467</v>
          </cell>
          <cell r="J6520" t="str">
            <v>C</v>
          </cell>
          <cell r="N6520" t="str">
            <v>C</v>
          </cell>
        </row>
        <row r="6521">
          <cell r="B6521" t="str">
            <v>LB-C1468</v>
          </cell>
          <cell r="J6521" t="str">
            <v>C</v>
          </cell>
          <cell r="N6521" t="str">
            <v>C</v>
          </cell>
        </row>
        <row r="6522">
          <cell r="B6522" t="str">
            <v>LB-C1469</v>
          </cell>
          <cell r="J6522" t="str">
            <v>C</v>
          </cell>
          <cell r="N6522" t="str">
            <v>C</v>
          </cell>
        </row>
        <row r="6523">
          <cell r="B6523" t="str">
            <v>LB-C1470</v>
          </cell>
          <cell r="J6523" t="str">
            <v>C</v>
          </cell>
          <cell r="N6523" t="str">
            <v>C</v>
          </cell>
        </row>
        <row r="6524">
          <cell r="B6524" t="str">
            <v>LB-C1471</v>
          </cell>
          <cell r="J6524" t="str">
            <v>C</v>
          </cell>
          <cell r="N6524" t="str">
            <v>C</v>
          </cell>
        </row>
        <row r="6525">
          <cell r="B6525" t="str">
            <v>LB-C1472</v>
          </cell>
          <cell r="J6525" t="str">
            <v>C</v>
          </cell>
          <cell r="N6525" t="str">
            <v>C</v>
          </cell>
        </row>
        <row r="6526">
          <cell r="B6526" t="str">
            <v>LB-C1473</v>
          </cell>
          <cell r="J6526" t="str">
            <v>C</v>
          </cell>
          <cell r="N6526" t="str">
            <v>C</v>
          </cell>
        </row>
        <row r="6527">
          <cell r="B6527" t="str">
            <v>RC-C1474</v>
          </cell>
          <cell r="J6527" t="str">
            <v>C</v>
          </cell>
          <cell r="N6527" t="str">
            <v>C</v>
          </cell>
        </row>
        <row r="6528">
          <cell r="B6528" t="str">
            <v>RC-C1475</v>
          </cell>
          <cell r="J6528" t="str">
            <v>C</v>
          </cell>
          <cell r="N6528" t="str">
            <v>C</v>
          </cell>
        </row>
        <row r="6529">
          <cell r="B6529" t="str">
            <v>LB-C1476</v>
          </cell>
          <cell r="J6529" t="str">
            <v>C</v>
          </cell>
          <cell r="N6529" t="str">
            <v>C</v>
          </cell>
        </row>
        <row r="6530">
          <cell r="B6530" t="str">
            <v>LB-C1477</v>
          </cell>
          <cell r="J6530" t="str">
            <v>C</v>
          </cell>
          <cell r="N6530" t="str">
            <v>C</v>
          </cell>
        </row>
        <row r="6531">
          <cell r="B6531" t="str">
            <v>LB-C1478</v>
          </cell>
          <cell r="J6531" t="str">
            <v>C</v>
          </cell>
          <cell r="N6531" t="str">
            <v>C</v>
          </cell>
        </row>
        <row r="6532">
          <cell r="B6532" t="str">
            <v>LB-C1479</v>
          </cell>
          <cell r="J6532" t="str">
            <v>C</v>
          </cell>
          <cell r="N6532" t="str">
            <v>C</v>
          </cell>
        </row>
        <row r="6533">
          <cell r="B6533" t="str">
            <v>LB-C1480</v>
          </cell>
          <cell r="J6533" t="str">
            <v>C</v>
          </cell>
          <cell r="N6533" t="str">
            <v>C</v>
          </cell>
        </row>
        <row r="6534">
          <cell r="B6534" t="str">
            <v>LB-C1481</v>
          </cell>
          <cell r="J6534" t="str">
            <v>C</v>
          </cell>
          <cell r="N6534" t="str">
            <v>C</v>
          </cell>
        </row>
        <row r="6535">
          <cell r="B6535" t="str">
            <v>RC-C1482</v>
          </cell>
          <cell r="J6535" t="str">
            <v>C</v>
          </cell>
          <cell r="N6535" t="str">
            <v>C</v>
          </cell>
        </row>
        <row r="6536">
          <cell r="B6536" t="str">
            <v>LB-C1483</v>
          </cell>
          <cell r="J6536" t="str">
            <v>C</v>
          </cell>
          <cell r="N6536" t="str">
            <v>C</v>
          </cell>
        </row>
        <row r="6537">
          <cell r="B6537" t="str">
            <v>LB-C1484</v>
          </cell>
          <cell r="J6537" t="str">
            <v>C</v>
          </cell>
          <cell r="N6537" t="str">
            <v>C</v>
          </cell>
        </row>
        <row r="6538">
          <cell r="B6538" t="str">
            <v>LB-C1485</v>
          </cell>
          <cell r="J6538" t="str">
            <v>C</v>
          </cell>
          <cell r="N6538" t="str">
            <v>C</v>
          </cell>
        </row>
        <row r="6539">
          <cell r="B6539" t="str">
            <v>LB-C1486</v>
          </cell>
          <cell r="J6539" t="str">
            <v>C</v>
          </cell>
          <cell r="N6539" t="str">
            <v>C</v>
          </cell>
        </row>
        <row r="6540">
          <cell r="B6540" t="str">
            <v>RC-C1487</v>
          </cell>
          <cell r="J6540" t="str">
            <v>C</v>
          </cell>
          <cell r="N6540" t="str">
            <v>C</v>
          </cell>
        </row>
        <row r="6541">
          <cell r="B6541" t="str">
            <v>RC-C1488</v>
          </cell>
          <cell r="J6541" t="str">
            <v>C</v>
          </cell>
          <cell r="N6541" t="str">
            <v>C</v>
          </cell>
        </row>
        <row r="6542">
          <cell r="B6542" t="str">
            <v>RC-C1489</v>
          </cell>
          <cell r="J6542" t="str">
            <v>C</v>
          </cell>
          <cell r="N6542" t="str">
            <v>C</v>
          </cell>
        </row>
        <row r="6543">
          <cell r="B6543" t="str">
            <v>RC-C1490</v>
          </cell>
          <cell r="J6543" t="str">
            <v>C</v>
          </cell>
          <cell r="N6543" t="str">
            <v>C</v>
          </cell>
        </row>
        <row r="6544">
          <cell r="B6544" t="str">
            <v>RC-C1491</v>
          </cell>
          <cell r="J6544" t="str">
            <v>C</v>
          </cell>
          <cell r="N6544" t="str">
            <v>C</v>
          </cell>
        </row>
        <row r="6545">
          <cell r="B6545" t="str">
            <v>RC-C1492</v>
          </cell>
          <cell r="J6545" t="str">
            <v>C</v>
          </cell>
          <cell r="N6545" t="str">
            <v>C</v>
          </cell>
        </row>
        <row r="6546">
          <cell r="B6546" t="str">
            <v>RC-C1493</v>
          </cell>
          <cell r="J6546" t="str">
            <v>C</v>
          </cell>
          <cell r="N6546" t="str">
            <v>C</v>
          </cell>
        </row>
        <row r="6547">
          <cell r="B6547" t="str">
            <v>RC-C1494</v>
          </cell>
          <cell r="J6547" t="str">
            <v>C</v>
          </cell>
          <cell r="N6547" t="str">
            <v>C</v>
          </cell>
        </row>
        <row r="6548">
          <cell r="B6548" t="str">
            <v>RC-C1495</v>
          </cell>
          <cell r="J6548" t="str">
            <v>C</v>
          </cell>
          <cell r="N6548" t="str">
            <v>C</v>
          </cell>
        </row>
        <row r="6549">
          <cell r="B6549" t="str">
            <v>RC-C1496</v>
          </cell>
          <cell r="J6549" t="str">
            <v>C</v>
          </cell>
          <cell r="N6549" t="str">
            <v>C</v>
          </cell>
        </row>
        <row r="6550">
          <cell r="B6550" t="str">
            <v>RC-C1497</v>
          </cell>
          <cell r="J6550" t="str">
            <v>C</v>
          </cell>
          <cell r="N6550" t="str">
            <v>C</v>
          </cell>
        </row>
        <row r="6551">
          <cell r="B6551" t="str">
            <v>RC-C1498</v>
          </cell>
          <cell r="J6551" t="str">
            <v>C</v>
          </cell>
          <cell r="N6551" t="str">
            <v>C</v>
          </cell>
        </row>
        <row r="6552">
          <cell r="B6552" t="str">
            <v>RC-C1499</v>
          </cell>
          <cell r="J6552" t="str">
            <v>C</v>
          </cell>
          <cell r="N6552" t="str">
            <v>C</v>
          </cell>
        </row>
        <row r="6553">
          <cell r="B6553" t="str">
            <v>RC-C1500</v>
          </cell>
          <cell r="J6553" t="str">
            <v>C</v>
          </cell>
          <cell r="N6553" t="str">
            <v>C</v>
          </cell>
        </row>
        <row r="6554">
          <cell r="B6554" t="str">
            <v>RC-C1501</v>
          </cell>
          <cell r="J6554" t="str">
            <v>C</v>
          </cell>
          <cell r="N6554" t="str">
            <v>C</v>
          </cell>
        </row>
        <row r="6555">
          <cell r="B6555" t="str">
            <v>RC-C1502</v>
          </cell>
          <cell r="J6555" t="str">
            <v>C</v>
          </cell>
          <cell r="N6555" t="str">
            <v>C</v>
          </cell>
        </row>
        <row r="6556">
          <cell r="B6556" t="str">
            <v>RC-C1503</v>
          </cell>
          <cell r="J6556" t="str">
            <v>C</v>
          </cell>
          <cell r="N6556" t="str">
            <v>C</v>
          </cell>
        </row>
        <row r="6557">
          <cell r="B6557" t="str">
            <v>RC-C1504</v>
          </cell>
          <cell r="J6557" t="str">
            <v>C</v>
          </cell>
          <cell r="N6557" t="str">
            <v>C</v>
          </cell>
        </row>
        <row r="6558">
          <cell r="B6558" t="str">
            <v>RC-C1505</v>
          </cell>
          <cell r="J6558" t="str">
            <v>C</v>
          </cell>
          <cell r="N6558" t="str">
            <v>C</v>
          </cell>
        </row>
        <row r="6559">
          <cell r="B6559" t="str">
            <v>RC-C1506</v>
          </cell>
          <cell r="J6559" t="str">
            <v>C</v>
          </cell>
          <cell r="N6559" t="str">
            <v>C</v>
          </cell>
        </row>
        <row r="6560">
          <cell r="B6560" t="str">
            <v>RC-C1507</v>
          </cell>
          <cell r="J6560" t="str">
            <v>C</v>
          </cell>
          <cell r="N6560" t="str">
            <v>C</v>
          </cell>
        </row>
        <row r="6561">
          <cell r="B6561" t="str">
            <v>RC-C1508</v>
          </cell>
          <cell r="J6561" t="str">
            <v>C</v>
          </cell>
          <cell r="N6561" t="str">
            <v>C</v>
          </cell>
        </row>
        <row r="6562">
          <cell r="B6562" t="str">
            <v>RC-C1509</v>
          </cell>
          <cell r="J6562" t="str">
            <v>C</v>
          </cell>
          <cell r="N6562" t="str">
            <v>C</v>
          </cell>
        </row>
        <row r="6563">
          <cell r="B6563" t="str">
            <v>RC-C1510</v>
          </cell>
          <cell r="J6563" t="str">
            <v>C</v>
          </cell>
          <cell r="N6563" t="str">
            <v>C</v>
          </cell>
        </row>
        <row r="6564">
          <cell r="B6564" t="str">
            <v>RC-C1511</v>
          </cell>
          <cell r="J6564" t="str">
            <v>C</v>
          </cell>
          <cell r="N6564" t="str">
            <v>C</v>
          </cell>
        </row>
        <row r="6565">
          <cell r="B6565" t="str">
            <v>RC-C1512</v>
          </cell>
          <cell r="J6565" t="str">
            <v>C</v>
          </cell>
          <cell r="N6565" t="str">
            <v>C</v>
          </cell>
        </row>
        <row r="6566">
          <cell r="B6566" t="str">
            <v>RC-C1513</v>
          </cell>
          <cell r="J6566" t="str">
            <v>C</v>
          </cell>
          <cell r="N6566" t="str">
            <v>C</v>
          </cell>
        </row>
        <row r="6567">
          <cell r="B6567" t="str">
            <v>RC-C1514</v>
          </cell>
          <cell r="J6567" t="str">
            <v>C</v>
          </cell>
          <cell r="N6567" t="str">
            <v>C</v>
          </cell>
        </row>
        <row r="6568">
          <cell r="B6568" t="str">
            <v>RC-C1515</v>
          </cell>
          <cell r="J6568" t="str">
            <v>C</v>
          </cell>
          <cell r="N6568" t="str">
            <v>C</v>
          </cell>
        </row>
        <row r="6569">
          <cell r="B6569" t="str">
            <v>SR-C1516</v>
          </cell>
          <cell r="J6569" t="str">
            <v>C</v>
          </cell>
          <cell r="N6569" t="str">
            <v>C</v>
          </cell>
        </row>
        <row r="6570">
          <cell r="B6570" t="str">
            <v>RC-C1517</v>
          </cell>
          <cell r="J6570" t="str">
            <v>C</v>
          </cell>
          <cell r="N6570" t="str">
            <v>C</v>
          </cell>
        </row>
        <row r="6571">
          <cell r="B6571" t="str">
            <v>SR-C1518</v>
          </cell>
          <cell r="J6571" t="str">
            <v>C</v>
          </cell>
          <cell r="N6571" t="str">
            <v>C</v>
          </cell>
        </row>
        <row r="6572">
          <cell r="B6572" t="str">
            <v>RC-C1519</v>
          </cell>
          <cell r="J6572" t="str">
            <v>C</v>
          </cell>
          <cell r="N6572" t="str">
            <v>C</v>
          </cell>
        </row>
        <row r="6573">
          <cell r="B6573" t="str">
            <v>SR-C1520</v>
          </cell>
          <cell r="J6573" t="str">
            <v>C</v>
          </cell>
          <cell r="N6573" t="str">
            <v>C</v>
          </cell>
        </row>
        <row r="6574">
          <cell r="B6574" t="str">
            <v>RC-C1521</v>
          </cell>
          <cell r="J6574" t="str">
            <v>C</v>
          </cell>
          <cell r="N6574" t="str">
            <v>C</v>
          </cell>
        </row>
        <row r="6575">
          <cell r="B6575" t="str">
            <v>SR-C1522</v>
          </cell>
          <cell r="J6575" t="str">
            <v>C</v>
          </cell>
          <cell r="N6575" t="str">
            <v>C</v>
          </cell>
        </row>
        <row r="6576">
          <cell r="B6576" t="str">
            <v>RC-C1523</v>
          </cell>
          <cell r="J6576" t="str">
            <v>C</v>
          </cell>
          <cell r="N6576" t="str">
            <v>C</v>
          </cell>
        </row>
        <row r="6577">
          <cell r="B6577" t="str">
            <v>SR-C1524</v>
          </cell>
          <cell r="J6577" t="str">
            <v>C</v>
          </cell>
          <cell r="N6577" t="str">
            <v>C</v>
          </cell>
        </row>
        <row r="6578">
          <cell r="B6578" t="str">
            <v>SR-C1525</v>
          </cell>
          <cell r="J6578" t="str">
            <v>C</v>
          </cell>
          <cell r="N6578" t="str">
            <v>C</v>
          </cell>
        </row>
        <row r="6579">
          <cell r="B6579" t="str">
            <v>SR-C1526</v>
          </cell>
          <cell r="J6579" t="str">
            <v>C</v>
          </cell>
          <cell r="N6579" t="str">
            <v>C</v>
          </cell>
        </row>
        <row r="6580">
          <cell r="B6580" t="str">
            <v>SR-C1527</v>
          </cell>
          <cell r="J6580" t="str">
            <v>C</v>
          </cell>
          <cell r="N6580" t="str">
            <v>C</v>
          </cell>
        </row>
        <row r="6581">
          <cell r="B6581" t="str">
            <v>SR-C1528</v>
          </cell>
          <cell r="J6581" t="str">
            <v>C</v>
          </cell>
          <cell r="N6581" t="str">
            <v>C</v>
          </cell>
        </row>
        <row r="6582">
          <cell r="B6582" t="str">
            <v>RC-C1529</v>
          </cell>
          <cell r="J6582" t="str">
            <v>C</v>
          </cell>
          <cell r="N6582" t="str">
            <v>C</v>
          </cell>
        </row>
        <row r="6583">
          <cell r="B6583" t="str">
            <v>RC-C1530</v>
          </cell>
          <cell r="J6583" t="str">
            <v>C</v>
          </cell>
          <cell r="N6583" t="str">
            <v>C</v>
          </cell>
        </row>
        <row r="6584">
          <cell r="B6584" t="str">
            <v>SR-C1531</v>
          </cell>
          <cell r="J6584" t="str">
            <v>C</v>
          </cell>
          <cell r="N6584" t="str">
            <v>C</v>
          </cell>
        </row>
        <row r="6585">
          <cell r="B6585" t="str">
            <v>RC-C1532</v>
          </cell>
          <cell r="J6585" t="str">
            <v>C</v>
          </cell>
          <cell r="N6585" t="str">
            <v>C</v>
          </cell>
        </row>
        <row r="6586">
          <cell r="B6586" t="str">
            <v>RC-C1533</v>
          </cell>
          <cell r="J6586" t="str">
            <v>C</v>
          </cell>
          <cell r="N6586" t="str">
            <v>C</v>
          </cell>
        </row>
        <row r="6587">
          <cell r="B6587" t="str">
            <v>RC-C1534</v>
          </cell>
          <cell r="J6587" t="str">
            <v>C</v>
          </cell>
          <cell r="N6587" t="str">
            <v>C</v>
          </cell>
        </row>
        <row r="6588">
          <cell r="B6588" t="str">
            <v>SR-C1535</v>
          </cell>
          <cell r="J6588" t="str">
            <v>C</v>
          </cell>
          <cell r="N6588" t="str">
            <v>C</v>
          </cell>
        </row>
        <row r="6589">
          <cell r="B6589" t="str">
            <v>RC-C1536</v>
          </cell>
          <cell r="J6589" t="str">
            <v>C</v>
          </cell>
          <cell r="N6589" t="str">
            <v>C</v>
          </cell>
        </row>
        <row r="6590">
          <cell r="B6590" t="str">
            <v>SR-C1537</v>
          </cell>
          <cell r="J6590" t="str">
            <v>C</v>
          </cell>
          <cell r="N6590" t="str">
            <v>C</v>
          </cell>
        </row>
        <row r="6591">
          <cell r="B6591" t="str">
            <v>RC-C1538</v>
          </cell>
          <cell r="J6591" t="str">
            <v>C</v>
          </cell>
          <cell r="N6591" t="str">
            <v>C</v>
          </cell>
        </row>
        <row r="6592">
          <cell r="B6592" t="str">
            <v>SR-C1539</v>
          </cell>
          <cell r="J6592" t="str">
            <v>C</v>
          </cell>
          <cell r="N6592" t="str">
            <v>C</v>
          </cell>
        </row>
        <row r="6593">
          <cell r="B6593" t="str">
            <v>SR-C1540</v>
          </cell>
          <cell r="J6593" t="str">
            <v>C</v>
          </cell>
          <cell r="N6593" t="str">
            <v>C</v>
          </cell>
        </row>
        <row r="6594">
          <cell r="B6594" t="str">
            <v>SR-C1541</v>
          </cell>
          <cell r="J6594" t="str">
            <v>C</v>
          </cell>
          <cell r="N6594" t="str">
            <v>C</v>
          </cell>
        </row>
        <row r="6595">
          <cell r="B6595" t="str">
            <v>SR-C1542</v>
          </cell>
          <cell r="J6595" t="str">
            <v>C</v>
          </cell>
          <cell r="N6595" t="str">
            <v>C</v>
          </cell>
        </row>
        <row r="6596">
          <cell r="B6596" t="str">
            <v>SR-C1543</v>
          </cell>
          <cell r="J6596" t="str">
            <v>C</v>
          </cell>
          <cell r="N6596" t="str">
            <v>C</v>
          </cell>
        </row>
        <row r="6597">
          <cell r="B6597" t="str">
            <v>SR-C1544</v>
          </cell>
          <cell r="J6597" t="str">
            <v>C</v>
          </cell>
          <cell r="N6597" t="str">
            <v>C</v>
          </cell>
        </row>
        <row r="6598">
          <cell r="B6598" t="str">
            <v>SR-C1545</v>
          </cell>
          <cell r="J6598" t="str">
            <v>C</v>
          </cell>
          <cell r="N6598" t="str">
            <v>C</v>
          </cell>
        </row>
        <row r="6599">
          <cell r="B6599" t="str">
            <v>SR-C1546</v>
          </cell>
          <cell r="J6599" t="str">
            <v>C</v>
          </cell>
          <cell r="N6599" t="str">
            <v>C</v>
          </cell>
        </row>
        <row r="6600">
          <cell r="B6600" t="str">
            <v>SR-C1547</v>
          </cell>
          <cell r="J6600" t="str">
            <v>C</v>
          </cell>
          <cell r="N6600" t="str">
            <v>C</v>
          </cell>
        </row>
        <row r="6601">
          <cell r="B6601" t="str">
            <v>SR-C1548</v>
          </cell>
          <cell r="J6601" t="str">
            <v>C</v>
          </cell>
          <cell r="N6601" t="str">
            <v>C</v>
          </cell>
        </row>
        <row r="6602">
          <cell r="B6602" t="str">
            <v>SR-C1549</v>
          </cell>
          <cell r="J6602" t="str">
            <v>C</v>
          </cell>
          <cell r="N6602" t="str">
            <v>C</v>
          </cell>
        </row>
        <row r="6603">
          <cell r="B6603" t="str">
            <v>SR-C1550</v>
          </cell>
          <cell r="J6603" t="str">
            <v>C</v>
          </cell>
          <cell r="N6603" t="str">
            <v>C</v>
          </cell>
        </row>
        <row r="6604">
          <cell r="B6604" t="str">
            <v>SR-C1551</v>
          </cell>
          <cell r="J6604" t="str">
            <v>C</v>
          </cell>
          <cell r="N6604" t="str">
            <v>C</v>
          </cell>
        </row>
        <row r="6605">
          <cell r="B6605" t="str">
            <v>SR-C1552</v>
          </cell>
          <cell r="J6605" t="str">
            <v>C</v>
          </cell>
          <cell r="N6605" t="str">
            <v>C</v>
          </cell>
        </row>
        <row r="6606">
          <cell r="B6606" t="str">
            <v>SR-C1553</v>
          </cell>
          <cell r="J6606" t="str">
            <v>C</v>
          </cell>
          <cell r="N6606" t="str">
            <v>C</v>
          </cell>
        </row>
        <row r="6607">
          <cell r="B6607" t="str">
            <v>SR-C1554</v>
          </cell>
          <cell r="J6607" t="str">
            <v>C</v>
          </cell>
          <cell r="N6607" t="str">
            <v>C</v>
          </cell>
        </row>
        <row r="6608">
          <cell r="B6608" t="str">
            <v>SR-C1555</v>
          </cell>
          <cell r="J6608" t="str">
            <v>C</v>
          </cell>
          <cell r="N6608" t="str">
            <v>C</v>
          </cell>
        </row>
        <row r="6609">
          <cell r="B6609" t="str">
            <v>SR-C1556</v>
          </cell>
          <cell r="J6609" t="str">
            <v>C</v>
          </cell>
          <cell r="N6609" t="str">
            <v>C</v>
          </cell>
        </row>
        <row r="6610">
          <cell r="B6610" t="str">
            <v>SR-C1557</v>
          </cell>
          <cell r="J6610" t="str">
            <v>C</v>
          </cell>
          <cell r="N6610" t="str">
            <v>C</v>
          </cell>
        </row>
        <row r="6611">
          <cell r="B6611" t="str">
            <v>SR-C1558</v>
          </cell>
          <cell r="J6611" t="str">
            <v>C</v>
          </cell>
          <cell r="N6611" t="str">
            <v>C</v>
          </cell>
        </row>
        <row r="6612">
          <cell r="B6612" t="str">
            <v>SR-C1559</v>
          </cell>
          <cell r="J6612" t="str">
            <v>C</v>
          </cell>
          <cell r="N6612" t="str">
            <v>C</v>
          </cell>
        </row>
        <row r="6613">
          <cell r="B6613" t="str">
            <v>SR-C1560</v>
          </cell>
          <cell r="J6613" t="str">
            <v>C</v>
          </cell>
          <cell r="N6613" t="str">
            <v>C</v>
          </cell>
        </row>
        <row r="6614">
          <cell r="B6614" t="str">
            <v>SR-C1561</v>
          </cell>
          <cell r="J6614" t="str">
            <v>C</v>
          </cell>
          <cell r="N6614" t="str">
            <v>C</v>
          </cell>
        </row>
        <row r="6615">
          <cell r="B6615" t="str">
            <v>SR-C1562</v>
          </cell>
          <cell r="J6615" t="str">
            <v>C</v>
          </cell>
          <cell r="N6615" t="str">
            <v>C</v>
          </cell>
        </row>
        <row r="6616">
          <cell r="B6616" t="str">
            <v>RC-C1563</v>
          </cell>
          <cell r="J6616" t="str">
            <v>C</v>
          </cell>
          <cell r="N6616" t="str">
            <v>C</v>
          </cell>
        </row>
        <row r="6617">
          <cell r="B6617" t="str">
            <v>SR-C1564</v>
          </cell>
          <cell r="J6617" t="str">
            <v>C</v>
          </cell>
          <cell r="N6617" t="str">
            <v>C</v>
          </cell>
        </row>
        <row r="6618">
          <cell r="B6618" t="str">
            <v>SR-C1565</v>
          </cell>
          <cell r="J6618" t="str">
            <v>C</v>
          </cell>
          <cell r="N6618" t="str">
            <v>C</v>
          </cell>
        </row>
        <row r="6619">
          <cell r="B6619" t="str">
            <v>SR-C1566</v>
          </cell>
          <cell r="J6619" t="str">
            <v>C</v>
          </cell>
          <cell r="N6619" t="str">
            <v>C</v>
          </cell>
        </row>
        <row r="6620">
          <cell r="B6620" t="str">
            <v>SR-C1567</v>
          </cell>
          <cell r="J6620" t="str">
            <v>C</v>
          </cell>
          <cell r="N6620" t="str">
            <v>C</v>
          </cell>
        </row>
        <row r="6621">
          <cell r="B6621" t="str">
            <v>SR-C1568</v>
          </cell>
          <cell r="J6621" t="str">
            <v>C</v>
          </cell>
          <cell r="N6621" t="str">
            <v>C</v>
          </cell>
        </row>
        <row r="6622">
          <cell r="B6622" t="str">
            <v>RC-C1569</v>
          </cell>
          <cell r="J6622" t="str">
            <v>C</v>
          </cell>
          <cell r="N6622" t="str">
            <v>C</v>
          </cell>
        </row>
        <row r="6623">
          <cell r="B6623" t="str">
            <v>SR-C1570</v>
          </cell>
          <cell r="J6623" t="str">
            <v>C</v>
          </cell>
          <cell r="N6623" t="str">
            <v>C</v>
          </cell>
        </row>
        <row r="6624">
          <cell r="B6624" t="str">
            <v>SR-C1571</v>
          </cell>
          <cell r="J6624" t="str">
            <v>C</v>
          </cell>
          <cell r="N6624" t="str">
            <v>C</v>
          </cell>
        </row>
        <row r="6625">
          <cell r="B6625" t="str">
            <v>SR-C1572</v>
          </cell>
          <cell r="J6625" t="str">
            <v>C</v>
          </cell>
          <cell r="N6625" t="str">
            <v>C</v>
          </cell>
        </row>
        <row r="6626">
          <cell r="B6626" t="str">
            <v>SR-C1573</v>
          </cell>
          <cell r="J6626" t="str">
            <v>C</v>
          </cell>
          <cell r="N6626" t="str">
            <v>C</v>
          </cell>
        </row>
        <row r="6627">
          <cell r="B6627" t="str">
            <v>SR-C1574</v>
          </cell>
          <cell r="J6627" t="str">
            <v>C</v>
          </cell>
          <cell r="N6627" t="str">
            <v>C</v>
          </cell>
        </row>
        <row r="6628">
          <cell r="B6628" t="str">
            <v>SR-C1575</v>
          </cell>
          <cell r="J6628" t="str">
            <v>C</v>
          </cell>
          <cell r="N6628" t="str">
            <v>C</v>
          </cell>
        </row>
        <row r="6629">
          <cell r="B6629" t="str">
            <v>SR-C1576</v>
          </cell>
          <cell r="J6629" t="str">
            <v>C</v>
          </cell>
          <cell r="N6629" t="str">
            <v>C</v>
          </cell>
        </row>
        <row r="6630">
          <cell r="B6630" t="str">
            <v>SR-C1577</v>
          </cell>
          <cell r="J6630" t="str">
            <v>C</v>
          </cell>
          <cell r="N6630" t="str">
            <v>C</v>
          </cell>
        </row>
        <row r="6631">
          <cell r="B6631" t="str">
            <v>RC-C1578</v>
          </cell>
          <cell r="J6631" t="str">
            <v>C</v>
          </cell>
          <cell r="N6631" t="str">
            <v>C</v>
          </cell>
        </row>
        <row r="6632">
          <cell r="B6632" t="str">
            <v>SR-C1579</v>
          </cell>
          <cell r="J6632" t="str">
            <v>C</v>
          </cell>
          <cell r="N6632" t="str">
            <v>C</v>
          </cell>
        </row>
        <row r="6633">
          <cell r="B6633" t="str">
            <v>SR-C1580</v>
          </cell>
          <cell r="J6633" t="str">
            <v>C</v>
          </cell>
          <cell r="N6633" t="str">
            <v>C</v>
          </cell>
        </row>
        <row r="6634">
          <cell r="B6634" t="str">
            <v>SR-C1581</v>
          </cell>
          <cell r="J6634" t="str">
            <v>C</v>
          </cell>
          <cell r="N6634" t="str">
            <v>C</v>
          </cell>
        </row>
        <row r="6635">
          <cell r="B6635" t="str">
            <v>SR-C1582</v>
          </cell>
          <cell r="J6635" t="str">
            <v>C</v>
          </cell>
          <cell r="N6635" t="str">
            <v>C</v>
          </cell>
        </row>
        <row r="6636">
          <cell r="B6636" t="str">
            <v>SR-C1583</v>
          </cell>
          <cell r="J6636" t="str">
            <v>C</v>
          </cell>
          <cell r="N6636" t="str">
            <v>C</v>
          </cell>
        </row>
        <row r="6637">
          <cell r="B6637" t="str">
            <v>SR-C1584</v>
          </cell>
          <cell r="J6637" t="str">
            <v>C</v>
          </cell>
          <cell r="N6637" t="str">
            <v>C</v>
          </cell>
        </row>
        <row r="6638">
          <cell r="B6638" t="str">
            <v>DC-B3033</v>
          </cell>
          <cell r="J6638" t="str">
            <v>B</v>
          </cell>
          <cell r="N6638" t="str">
            <v>B</v>
          </cell>
        </row>
        <row r="6639">
          <cell r="B6639" t="str">
            <v>DC-B3047</v>
          </cell>
          <cell r="J6639" t="str">
            <v>B</v>
          </cell>
          <cell r="N6639" t="str">
            <v>B</v>
          </cell>
        </row>
        <row r="6640">
          <cell r="B6640" t="str">
            <v>SR-B3065</v>
          </cell>
          <cell r="J6640" t="str">
            <v>B</v>
          </cell>
          <cell r="N6640" t="str">
            <v>B</v>
          </cell>
        </row>
        <row r="6641">
          <cell r="B6641" t="str">
            <v>SR-B3025</v>
          </cell>
          <cell r="J6641" t="str">
            <v>B</v>
          </cell>
          <cell r="N6641" t="str">
            <v>B</v>
          </cell>
        </row>
        <row r="6642">
          <cell r="B6642" t="str">
            <v>SR-B3041</v>
          </cell>
          <cell r="J6642" t="str">
            <v>B</v>
          </cell>
          <cell r="N6642" t="str">
            <v>B</v>
          </cell>
        </row>
        <row r="6643">
          <cell r="B6643" t="str">
            <v>SR-B3042</v>
          </cell>
          <cell r="J6643" t="str">
            <v>B</v>
          </cell>
          <cell r="N6643" t="str">
            <v>B</v>
          </cell>
        </row>
        <row r="6644">
          <cell r="B6644" t="str">
            <v>LB-B1591</v>
          </cell>
          <cell r="J6644" t="str">
            <v>B</v>
          </cell>
          <cell r="N6644" t="str">
            <v>B</v>
          </cell>
        </row>
        <row r="6645">
          <cell r="B6645" t="str">
            <v>SR-B3015</v>
          </cell>
          <cell r="J6645" t="str">
            <v>B</v>
          </cell>
          <cell r="N6645" t="str">
            <v>B</v>
          </cell>
        </row>
        <row r="6646">
          <cell r="B6646" t="str">
            <v>SR-B3044</v>
          </cell>
          <cell r="J6646" t="str">
            <v>B</v>
          </cell>
          <cell r="N6646" t="str">
            <v>B</v>
          </cell>
        </row>
        <row r="6647">
          <cell r="B6647" t="str">
            <v>SR-B1594</v>
          </cell>
          <cell r="J6647" t="str">
            <v>B</v>
          </cell>
          <cell r="N6647" t="str">
            <v>B</v>
          </cell>
        </row>
        <row r="6648">
          <cell r="B6648" t="str">
            <v>SR-B3051</v>
          </cell>
          <cell r="J6648" t="str">
            <v>B</v>
          </cell>
          <cell r="N6648" t="str">
            <v>B</v>
          </cell>
        </row>
        <row r="6649">
          <cell r="B6649" t="str">
            <v>SR-B3026</v>
          </cell>
          <cell r="J6649" t="str">
            <v>B</v>
          </cell>
          <cell r="N6649" t="str">
            <v>B</v>
          </cell>
        </row>
        <row r="6650">
          <cell r="B6650" t="str">
            <v>SR-B3027</v>
          </cell>
          <cell r="J6650" t="str">
            <v>B</v>
          </cell>
          <cell r="N6650" t="str">
            <v>B</v>
          </cell>
        </row>
        <row r="6651">
          <cell r="B6651" t="str">
            <v>SR-B3052</v>
          </cell>
          <cell r="J6651" t="str">
            <v>B</v>
          </cell>
          <cell r="N6651" t="str">
            <v>B</v>
          </cell>
        </row>
        <row r="6652">
          <cell r="B6652" t="str">
            <v>LB-B3009</v>
          </cell>
          <cell r="J6652" t="str">
            <v>B</v>
          </cell>
          <cell r="N6652" t="str">
            <v>B</v>
          </cell>
        </row>
        <row r="6653">
          <cell r="B6653" t="str">
            <v>RC-B3006</v>
          </cell>
          <cell r="J6653" t="str">
            <v>B</v>
          </cell>
          <cell r="N6653" t="str">
            <v>B</v>
          </cell>
        </row>
        <row r="6654">
          <cell r="B6654" t="str">
            <v>SR-B3048</v>
          </cell>
          <cell r="J6654" t="str">
            <v>B</v>
          </cell>
          <cell r="N6654" t="str">
            <v>B</v>
          </cell>
        </row>
        <row r="6655">
          <cell r="B6655" t="str">
            <v>RC-B3066</v>
          </cell>
          <cell r="J6655" t="str">
            <v>B</v>
          </cell>
          <cell r="N6655" t="str">
            <v>B</v>
          </cell>
        </row>
        <row r="6656">
          <cell r="B6656" t="str">
            <v>SR-B3060</v>
          </cell>
          <cell r="J6656" t="str">
            <v>B</v>
          </cell>
          <cell r="N6656" t="str">
            <v>B</v>
          </cell>
        </row>
        <row r="6657">
          <cell r="B6657" t="str">
            <v>RC-B3057</v>
          </cell>
          <cell r="J6657" t="str">
            <v>B</v>
          </cell>
          <cell r="N6657" t="str">
            <v>B</v>
          </cell>
        </row>
        <row r="6658">
          <cell r="B6658" t="str">
            <v>SR-B3053</v>
          </cell>
          <cell r="J6658" t="str">
            <v>B</v>
          </cell>
          <cell r="N6658" t="str">
            <v>B</v>
          </cell>
        </row>
        <row r="6659">
          <cell r="B6659" t="str">
            <v>SR-B3054</v>
          </cell>
          <cell r="J6659" t="str">
            <v>B</v>
          </cell>
          <cell r="N6659" t="str">
            <v>B</v>
          </cell>
        </row>
        <row r="6660">
          <cell r="B6660" t="str">
            <v>SR-B3016</v>
          </cell>
          <cell r="J6660" t="str">
            <v>B</v>
          </cell>
          <cell r="N6660" t="str">
            <v>B</v>
          </cell>
        </row>
        <row r="6661">
          <cell r="B6661" t="str">
            <v>SR-B3017</v>
          </cell>
          <cell r="J6661" t="str">
            <v>B</v>
          </cell>
          <cell r="N6661" t="str">
            <v>B</v>
          </cell>
        </row>
        <row r="6662">
          <cell r="B6662" t="str">
            <v>RC-B3022</v>
          </cell>
          <cell r="J6662" t="str">
            <v>B</v>
          </cell>
          <cell r="N6662" t="str">
            <v>B</v>
          </cell>
        </row>
        <row r="6663">
          <cell r="B6663" t="str">
            <v>SR-B3023</v>
          </cell>
          <cell r="J6663" t="str">
            <v>B</v>
          </cell>
          <cell r="N6663" t="str">
            <v>B</v>
          </cell>
        </row>
        <row r="6664">
          <cell r="B6664" t="str">
            <v>RC-B1611</v>
          </cell>
          <cell r="J6664" t="str">
            <v>B</v>
          </cell>
          <cell r="N6664" t="str">
            <v>B</v>
          </cell>
        </row>
        <row r="6665">
          <cell r="B6665" t="str">
            <v>SR-B1612</v>
          </cell>
          <cell r="J6665" t="str">
            <v>B</v>
          </cell>
          <cell r="N6665" t="str">
            <v>B</v>
          </cell>
        </row>
        <row r="6666">
          <cell r="B6666" t="str">
            <v>SR-B3019</v>
          </cell>
          <cell r="J6666" t="str">
            <v>B</v>
          </cell>
          <cell r="N6666" t="str">
            <v>B</v>
          </cell>
        </row>
        <row r="6667">
          <cell r="B6667" t="str">
            <v>SR-B3011</v>
          </cell>
          <cell r="J6667" t="str">
            <v>B</v>
          </cell>
          <cell r="N6667" t="str">
            <v>B</v>
          </cell>
        </row>
        <row r="6668">
          <cell r="B6668" t="str">
            <v>SR-B3045</v>
          </cell>
          <cell r="J6668" t="str">
            <v>B</v>
          </cell>
          <cell r="N6668" t="str">
            <v>B</v>
          </cell>
        </row>
        <row r="6669">
          <cell r="B6669" t="str">
            <v>RC-B3007</v>
          </cell>
          <cell r="J6669" t="str">
            <v>B</v>
          </cell>
          <cell r="N6669" t="str">
            <v>B</v>
          </cell>
        </row>
        <row r="6670">
          <cell r="B6670" t="str">
            <v>SR-B3055</v>
          </cell>
          <cell r="J6670" t="str">
            <v>B</v>
          </cell>
          <cell r="N6670" t="str">
            <v>B</v>
          </cell>
        </row>
        <row r="6671">
          <cell r="B6671" t="str">
            <v>RC-B3008</v>
          </cell>
          <cell r="J6671" t="str">
            <v>B</v>
          </cell>
          <cell r="N6671" t="str">
            <v>B</v>
          </cell>
        </row>
        <row r="6672">
          <cell r="B6672" t="str">
            <v>SR-B3056</v>
          </cell>
          <cell r="J6672" t="str">
            <v>B</v>
          </cell>
          <cell r="N6672" t="str">
            <v>B</v>
          </cell>
        </row>
        <row r="6673">
          <cell r="B6673" t="str">
            <v>SR-B3035</v>
          </cell>
          <cell r="J6673" t="str">
            <v>B</v>
          </cell>
          <cell r="N6673" t="str">
            <v>B</v>
          </cell>
        </row>
        <row r="6674">
          <cell r="B6674" t="str">
            <v>RC-B3061</v>
          </cell>
          <cell r="J6674" t="str">
            <v>B</v>
          </cell>
          <cell r="N6674" t="str">
            <v>B</v>
          </cell>
        </row>
        <row r="6675">
          <cell r="B6675" t="str">
            <v>SR-B3012</v>
          </cell>
          <cell r="J6675" t="str">
            <v>B</v>
          </cell>
          <cell r="N6675" t="str">
            <v>B</v>
          </cell>
        </row>
        <row r="6676">
          <cell r="B6676" t="str">
            <v>SR-B3067</v>
          </cell>
          <cell r="J6676" t="str">
            <v>B</v>
          </cell>
          <cell r="N6676" t="str">
            <v>B</v>
          </cell>
        </row>
        <row r="6677">
          <cell r="B6677" t="str">
            <v>SR-B3028</v>
          </cell>
          <cell r="J6677" t="str">
            <v>B</v>
          </cell>
          <cell r="N6677" t="str">
            <v>B</v>
          </cell>
        </row>
        <row r="6678">
          <cell r="B6678" t="str">
            <v>SR-B3024</v>
          </cell>
          <cell r="J6678" t="str">
            <v>B</v>
          </cell>
          <cell r="N6678" t="str">
            <v>B</v>
          </cell>
        </row>
        <row r="6679">
          <cell r="B6679" t="str">
            <v>SR-B3036</v>
          </cell>
          <cell r="J6679" t="str">
            <v>B</v>
          </cell>
          <cell r="N6679" t="str">
            <v>B</v>
          </cell>
        </row>
        <row r="6680">
          <cell r="B6680" t="str">
            <v>SR-B3050</v>
          </cell>
          <cell r="J6680" t="str">
            <v>B</v>
          </cell>
          <cell r="N6680" t="str">
            <v>B</v>
          </cell>
        </row>
        <row r="6681">
          <cell r="B6681" t="str">
            <v>RC-B3068</v>
          </cell>
          <cell r="J6681" t="str">
            <v>B</v>
          </cell>
          <cell r="N6681" t="str">
            <v>B</v>
          </cell>
        </row>
        <row r="6682">
          <cell r="B6682" t="str">
            <v>SR-B3058</v>
          </cell>
          <cell r="J6682" t="str">
            <v>B</v>
          </cell>
          <cell r="N6682" t="str">
            <v>B</v>
          </cell>
        </row>
        <row r="6683">
          <cell r="B6683" t="str">
            <v>SR-B3037</v>
          </cell>
          <cell r="J6683" t="str">
            <v>B</v>
          </cell>
          <cell r="N6683" t="str">
            <v>B</v>
          </cell>
        </row>
        <row r="6684">
          <cell r="B6684" t="str">
            <v>RC-B3072</v>
          </cell>
          <cell r="J6684" t="str">
            <v>B</v>
          </cell>
          <cell r="N6684" t="str">
            <v>B</v>
          </cell>
        </row>
        <row r="6685">
          <cell r="B6685" t="str">
            <v>SR-B3038</v>
          </cell>
          <cell r="J6685" t="str">
            <v>B</v>
          </cell>
          <cell r="N6685" t="str">
            <v>B</v>
          </cell>
        </row>
        <row r="6686">
          <cell r="B6686" t="str">
            <v>SR-B1633</v>
          </cell>
          <cell r="J6686" t="str">
            <v>B</v>
          </cell>
          <cell r="N6686" t="str">
            <v>B</v>
          </cell>
        </row>
        <row r="6687">
          <cell r="B6687" t="str">
            <v>SR-B3073</v>
          </cell>
          <cell r="J6687" t="str">
            <v>B</v>
          </cell>
          <cell r="N6687" t="str">
            <v>B</v>
          </cell>
        </row>
        <row r="6688">
          <cell r="B6688" t="str">
            <v>SR-B3046</v>
          </cell>
          <cell r="J6688" t="str">
            <v>B</v>
          </cell>
          <cell r="N6688" t="str">
            <v>B</v>
          </cell>
        </row>
        <row r="6689">
          <cell r="B6689" t="str">
            <v>SR-B3062</v>
          </cell>
          <cell r="J6689" t="str">
            <v>B</v>
          </cell>
          <cell r="N6689" t="str">
            <v>B</v>
          </cell>
        </row>
        <row r="6690">
          <cell r="B6690" t="str">
            <v>SR-B3049</v>
          </cell>
          <cell r="J6690" t="str">
            <v>B</v>
          </cell>
          <cell r="N6690" t="str">
            <v>B</v>
          </cell>
        </row>
        <row r="6691">
          <cell r="B6691" t="str">
            <v>SR-B3030</v>
          </cell>
          <cell r="J6691" t="str">
            <v>B</v>
          </cell>
          <cell r="N6691" t="str">
            <v>B</v>
          </cell>
        </row>
        <row r="6692">
          <cell r="B6692" t="str">
            <v>RC-B3003</v>
          </cell>
          <cell r="J6692" t="str">
            <v>B</v>
          </cell>
          <cell r="N6692" t="str">
            <v>B</v>
          </cell>
        </row>
        <row r="6693">
          <cell r="B6693" t="str">
            <v>RC-B3074</v>
          </cell>
          <cell r="J6693" t="str">
            <v>B</v>
          </cell>
          <cell r="N6693" t="str">
            <v>B</v>
          </cell>
        </row>
        <row r="6694">
          <cell r="B6694" t="str">
            <v>SR-B3013</v>
          </cell>
          <cell r="J6694" t="str">
            <v>B</v>
          </cell>
          <cell r="N6694" t="str">
            <v>B</v>
          </cell>
        </row>
        <row r="6695">
          <cell r="B6695" t="str">
            <v>SR-B3020</v>
          </cell>
          <cell r="J6695" t="str">
            <v>B</v>
          </cell>
          <cell r="N6695" t="str">
            <v>B</v>
          </cell>
        </row>
        <row r="6696">
          <cell r="B6696" t="str">
            <v>SR-B3063</v>
          </cell>
          <cell r="J6696" t="str">
            <v>B</v>
          </cell>
          <cell r="N6696" t="str">
            <v>B</v>
          </cell>
        </row>
        <row r="6697">
          <cell r="B6697" t="str">
            <v>SR-B1644</v>
          </cell>
          <cell r="J6697" t="str">
            <v>B</v>
          </cell>
          <cell r="N6697" t="str">
            <v>B</v>
          </cell>
        </row>
        <row r="6698">
          <cell r="B6698" t="str">
            <v>SR-B1645</v>
          </cell>
          <cell r="J6698" t="str">
            <v>B</v>
          </cell>
          <cell r="N6698" t="str">
            <v>B</v>
          </cell>
        </row>
        <row r="6699">
          <cell r="B6699" t="str">
            <v>SR-B3014</v>
          </cell>
          <cell r="J6699" t="str">
            <v>B</v>
          </cell>
          <cell r="N6699" t="str">
            <v>B</v>
          </cell>
        </row>
        <row r="6700">
          <cell r="B6700" t="str">
            <v>RC-B3040</v>
          </cell>
          <cell r="J6700" t="str">
            <v>B</v>
          </cell>
          <cell r="N6700" t="str">
            <v>B</v>
          </cell>
        </row>
        <row r="6701">
          <cell r="B6701" t="str">
            <v>RC-B3071</v>
          </cell>
          <cell r="J6701" t="str">
            <v>B</v>
          </cell>
          <cell r="N6701" t="str">
            <v>B</v>
          </cell>
        </row>
        <row r="6702">
          <cell r="B6702" t="str">
            <v>RC-B3004</v>
          </cell>
          <cell r="J6702" t="str">
            <v>B</v>
          </cell>
          <cell r="N6702" t="str">
            <v>B</v>
          </cell>
        </row>
        <row r="6703">
          <cell r="B6703" t="str">
            <v>SR-B3069</v>
          </cell>
          <cell r="J6703" t="str">
            <v>B</v>
          </cell>
          <cell r="N6703" t="str">
            <v>B</v>
          </cell>
        </row>
        <row r="6704">
          <cell r="B6704" t="str">
            <v>RC-B3031</v>
          </cell>
          <cell r="J6704" t="str">
            <v>B</v>
          </cell>
          <cell r="N6704" t="str">
            <v>B</v>
          </cell>
        </row>
        <row r="6705">
          <cell r="B6705" t="str">
            <v>SR-B3032</v>
          </cell>
          <cell r="J6705" t="str">
            <v>B</v>
          </cell>
          <cell r="N6705" t="str">
            <v>B</v>
          </cell>
        </row>
        <row r="6706">
          <cell r="B6706" t="str">
            <v>SR-B3021</v>
          </cell>
          <cell r="J6706" t="str">
            <v>B</v>
          </cell>
          <cell r="N6706" t="str">
            <v>B</v>
          </cell>
        </row>
        <row r="6707">
          <cell r="B6707" t="str">
            <v>RC-B3099</v>
          </cell>
          <cell r="J6707" t="str">
            <v>B</v>
          </cell>
          <cell r="N6707" t="str">
            <v>B</v>
          </cell>
        </row>
        <row r="6708">
          <cell r="B6708" t="str">
            <v>SR-B3070</v>
          </cell>
          <cell r="J6708" t="str">
            <v>B</v>
          </cell>
          <cell r="N6708" t="str">
            <v>B</v>
          </cell>
        </row>
        <row r="6709">
          <cell r="B6709" t="str">
            <v>RC-B3005</v>
          </cell>
          <cell r="J6709" t="str">
            <v>B</v>
          </cell>
          <cell r="N6709" t="str">
            <v>B</v>
          </cell>
        </row>
        <row r="6710">
          <cell r="B6710" t="str">
            <v>SR-B3094</v>
          </cell>
          <cell r="J6710" t="str">
            <v>B</v>
          </cell>
          <cell r="N6710" t="str">
            <v>B</v>
          </cell>
        </row>
        <row r="6711">
          <cell r="B6711" t="str">
            <v>RC-B1658</v>
          </cell>
          <cell r="J6711" t="str">
            <v>B</v>
          </cell>
          <cell r="N6711" t="str">
            <v>B</v>
          </cell>
        </row>
        <row r="6712">
          <cell r="B6712" t="str">
            <v>SR-B1659</v>
          </cell>
          <cell r="J6712" t="str">
            <v>B</v>
          </cell>
          <cell r="N6712" t="str">
            <v>B</v>
          </cell>
        </row>
        <row r="6713">
          <cell r="B6713" t="str">
            <v>RC-B3085</v>
          </cell>
          <cell r="J6713" t="str">
            <v>B</v>
          </cell>
          <cell r="N6713" t="str">
            <v>B</v>
          </cell>
        </row>
        <row r="6714">
          <cell r="B6714" t="str">
            <v>RC-B3091</v>
          </cell>
          <cell r="J6714" t="str">
            <v>B</v>
          </cell>
          <cell r="N6714" t="str">
            <v>B</v>
          </cell>
        </row>
        <row r="6715">
          <cell r="B6715" t="str">
            <v>RC-B1662</v>
          </cell>
          <cell r="J6715" t="str">
            <v>B</v>
          </cell>
          <cell r="N6715" t="str">
            <v>B</v>
          </cell>
        </row>
        <row r="6716">
          <cell r="B6716" t="str">
            <v>RC-B3104</v>
          </cell>
          <cell r="J6716" t="str">
            <v>B</v>
          </cell>
          <cell r="N6716" t="str">
            <v>B</v>
          </cell>
        </row>
        <row r="6717">
          <cell r="B6717" t="str">
            <v>RC-B3076</v>
          </cell>
          <cell r="J6717" t="str">
            <v>B</v>
          </cell>
          <cell r="N6717" t="str">
            <v>B</v>
          </cell>
        </row>
        <row r="6718">
          <cell r="B6718" t="str">
            <v>RC-B3105</v>
          </cell>
          <cell r="J6718" t="str">
            <v>B</v>
          </cell>
          <cell r="N6718" t="str">
            <v>B</v>
          </cell>
        </row>
        <row r="6719">
          <cell r="B6719" t="str">
            <v>RC-B3077</v>
          </cell>
          <cell r="J6719" t="str">
            <v>B</v>
          </cell>
          <cell r="N6719" t="str">
            <v>B</v>
          </cell>
        </row>
        <row r="6720">
          <cell r="B6720" t="str">
            <v>RC-B3082</v>
          </cell>
          <cell r="J6720" t="str">
            <v>B</v>
          </cell>
          <cell r="N6720" t="str">
            <v>B</v>
          </cell>
        </row>
        <row r="6721">
          <cell r="B6721" t="str">
            <v>SR-B3095</v>
          </cell>
          <cell r="J6721" t="str">
            <v>B</v>
          </cell>
          <cell r="N6721" t="str">
            <v>B</v>
          </cell>
        </row>
        <row r="6722">
          <cell r="B6722" t="str">
            <v>RC-B3102</v>
          </cell>
          <cell r="J6722" t="str">
            <v>B</v>
          </cell>
          <cell r="N6722" t="str">
            <v>B</v>
          </cell>
        </row>
        <row r="6723">
          <cell r="B6723" t="str">
            <v>RC-B3064</v>
          </cell>
          <cell r="J6723" t="str">
            <v>B</v>
          </cell>
          <cell r="N6723" t="str">
            <v>B</v>
          </cell>
        </row>
        <row r="6724">
          <cell r="B6724" t="str">
            <v>RC-B3079</v>
          </cell>
          <cell r="J6724" t="str">
            <v>B</v>
          </cell>
          <cell r="N6724" t="str">
            <v>B</v>
          </cell>
        </row>
        <row r="6725">
          <cell r="B6725" t="str">
            <v>SR-B1672</v>
          </cell>
          <cell r="J6725" t="str">
            <v>B</v>
          </cell>
          <cell r="N6725" t="str">
            <v>B</v>
          </cell>
        </row>
        <row r="6726">
          <cell r="B6726" t="str">
            <v>RC-B3075</v>
          </cell>
          <cell r="J6726" t="str">
            <v>B</v>
          </cell>
          <cell r="N6726" t="str">
            <v>B</v>
          </cell>
        </row>
        <row r="6727">
          <cell r="B6727" t="str">
            <v>RC-B3080</v>
          </cell>
          <cell r="J6727" t="str">
            <v>B</v>
          </cell>
          <cell r="N6727" t="str">
            <v>B</v>
          </cell>
        </row>
        <row r="6728">
          <cell r="B6728" t="str">
            <v>RC-B1675</v>
          </cell>
          <cell r="J6728" t="str">
            <v>B</v>
          </cell>
          <cell r="N6728" t="str">
            <v>B</v>
          </cell>
        </row>
        <row r="6729">
          <cell r="B6729" t="str">
            <v>SR-B3092</v>
          </cell>
          <cell r="J6729" t="str">
            <v>B</v>
          </cell>
          <cell r="N6729" t="str">
            <v>B</v>
          </cell>
        </row>
        <row r="6730">
          <cell r="B6730" t="str">
            <v>SR-B3106</v>
          </cell>
          <cell r="J6730" t="str">
            <v>B</v>
          </cell>
          <cell r="N6730" t="str">
            <v>B</v>
          </cell>
        </row>
        <row r="6731">
          <cell r="B6731" t="str">
            <v>RC-B3078</v>
          </cell>
          <cell r="J6731" t="str">
            <v>B</v>
          </cell>
          <cell r="N6731" t="str">
            <v>B</v>
          </cell>
        </row>
        <row r="6732">
          <cell r="B6732" t="str">
            <v>SR-B3083</v>
          </cell>
          <cell r="J6732" t="str">
            <v>B</v>
          </cell>
          <cell r="N6732" t="str">
            <v>B</v>
          </cell>
        </row>
        <row r="6733">
          <cell r="B6733" t="str">
            <v>RC-B3089</v>
          </cell>
          <cell r="J6733" t="str">
            <v>B</v>
          </cell>
          <cell r="N6733" t="str">
            <v>B</v>
          </cell>
        </row>
        <row r="6734">
          <cell r="B6734" t="str">
            <v>SR-B3096</v>
          </cell>
          <cell r="J6734" t="str">
            <v>B</v>
          </cell>
          <cell r="N6734" t="str">
            <v>B</v>
          </cell>
        </row>
        <row r="6735">
          <cell r="B6735" t="str">
            <v>SR-B1682</v>
          </cell>
          <cell r="J6735" t="str">
            <v>B</v>
          </cell>
          <cell r="N6735" t="str">
            <v>B</v>
          </cell>
        </row>
        <row r="6736">
          <cell r="B6736" t="str">
            <v>SR-B1683</v>
          </cell>
          <cell r="J6736" t="str">
            <v>B</v>
          </cell>
          <cell r="N6736" t="str">
            <v>B</v>
          </cell>
        </row>
        <row r="6737">
          <cell r="B6737" t="str">
            <v>SR-B3097</v>
          </cell>
          <cell r="J6737" t="str">
            <v>B</v>
          </cell>
          <cell r="N6737" t="str">
            <v>B</v>
          </cell>
        </row>
        <row r="6738">
          <cell r="B6738" t="str">
            <v>SR-B3103</v>
          </cell>
          <cell r="J6738" t="str">
            <v>B</v>
          </cell>
          <cell r="N6738" t="str">
            <v>B</v>
          </cell>
        </row>
        <row r="6739">
          <cell r="B6739" t="str">
            <v>RC-B1686</v>
          </cell>
          <cell r="J6739" t="str">
            <v>B</v>
          </cell>
          <cell r="N6739" t="str">
            <v>B</v>
          </cell>
        </row>
        <row r="6740">
          <cell r="B6740" t="str">
            <v>RC-B3088</v>
          </cell>
          <cell r="J6740" t="str">
            <v>B</v>
          </cell>
          <cell r="N6740" t="str">
            <v>B</v>
          </cell>
        </row>
        <row r="6741">
          <cell r="B6741" t="str">
            <v>RC-B3093</v>
          </cell>
          <cell r="J6741" t="str">
            <v>B</v>
          </cell>
          <cell r="N6741" t="str">
            <v>B</v>
          </cell>
        </row>
        <row r="6742">
          <cell r="B6742" t="str">
            <v>RC-B3100</v>
          </cell>
          <cell r="J6742" t="str">
            <v>B</v>
          </cell>
          <cell r="N6742" t="str">
            <v>B</v>
          </cell>
        </row>
        <row r="6743">
          <cell r="B6743" t="str">
            <v>SR-B3107</v>
          </cell>
          <cell r="J6743" t="str">
            <v>B</v>
          </cell>
          <cell r="N6743" t="str">
            <v>B</v>
          </cell>
        </row>
        <row r="6744">
          <cell r="B6744" t="str">
            <v>SR-C9925</v>
          </cell>
          <cell r="J6744" t="str">
            <v>C</v>
          </cell>
          <cell r="N6744" t="str">
            <v>C</v>
          </cell>
        </row>
        <row r="6745">
          <cell r="B6745" t="str">
            <v>SR-C9929</v>
          </cell>
          <cell r="J6745" t="str">
            <v>C</v>
          </cell>
          <cell r="N6745" t="str">
            <v>C</v>
          </cell>
        </row>
        <row r="6746">
          <cell r="B6746" t="str">
            <v>SR-C9930</v>
          </cell>
          <cell r="J6746" t="str">
            <v>C</v>
          </cell>
          <cell r="N6746" t="str">
            <v>C</v>
          </cell>
        </row>
        <row r="6747">
          <cell r="B6747" t="str">
            <v>SR-C9951</v>
          </cell>
          <cell r="J6747" t="str">
            <v>C</v>
          </cell>
          <cell r="N6747" t="str">
            <v>C</v>
          </cell>
        </row>
        <row r="6748">
          <cell r="B6748" t="str">
            <v>CER-A1695</v>
          </cell>
          <cell r="J6748" t="str">
            <v>A</v>
          </cell>
          <cell r="N6748" t="str">
            <v>A</v>
          </cell>
        </row>
        <row r="6749">
          <cell r="B6749" t="str">
            <v>CER-A1696</v>
          </cell>
          <cell r="J6749" t="str">
            <v>A</v>
          </cell>
          <cell r="N6749" t="str">
            <v>A</v>
          </cell>
        </row>
        <row r="6750">
          <cell r="B6750" t="str">
            <v>CER-A1697</v>
          </cell>
          <cell r="J6750" t="str">
            <v>A</v>
          </cell>
          <cell r="N6750" t="str">
            <v>A</v>
          </cell>
        </row>
        <row r="6751">
          <cell r="B6751" t="str">
            <v>CER-A1698</v>
          </cell>
          <cell r="J6751" t="str">
            <v>A</v>
          </cell>
          <cell r="N6751" t="str">
            <v>A</v>
          </cell>
        </row>
        <row r="6752">
          <cell r="B6752" t="str">
            <v>CER-A1699</v>
          </cell>
          <cell r="J6752" t="str">
            <v>A</v>
          </cell>
          <cell r="N6752" t="str">
            <v>A</v>
          </cell>
        </row>
        <row r="6753">
          <cell r="B6753" t="str">
            <v>CER-A1700</v>
          </cell>
          <cell r="J6753" t="str">
            <v>A</v>
          </cell>
          <cell r="N6753" t="str">
            <v>A</v>
          </cell>
        </row>
        <row r="6754">
          <cell r="B6754" t="str">
            <v>CER-A1701</v>
          </cell>
          <cell r="J6754" t="str">
            <v>A</v>
          </cell>
          <cell r="N6754" t="str">
            <v>A</v>
          </cell>
        </row>
        <row r="6755">
          <cell r="B6755" t="str">
            <v>CER-A1702</v>
          </cell>
          <cell r="J6755" t="str">
            <v>A</v>
          </cell>
          <cell r="N6755" t="str">
            <v>A</v>
          </cell>
        </row>
        <row r="6756">
          <cell r="B6756" t="str">
            <v>CER-A1703</v>
          </cell>
          <cell r="J6756" t="str">
            <v>A</v>
          </cell>
          <cell r="N6756" t="str">
            <v>A</v>
          </cell>
        </row>
        <row r="6757">
          <cell r="B6757" t="str">
            <v>CER-A1704</v>
          </cell>
          <cell r="J6757" t="str">
            <v>A</v>
          </cell>
          <cell r="N6757" t="str">
            <v>A</v>
          </cell>
        </row>
        <row r="6758">
          <cell r="B6758" t="str">
            <v>CER-A1705</v>
          </cell>
          <cell r="J6758" t="str">
            <v>A</v>
          </cell>
          <cell r="N6758" t="str">
            <v>A</v>
          </cell>
        </row>
        <row r="6759">
          <cell r="B6759" t="str">
            <v>CER-A1706</v>
          </cell>
          <cell r="J6759" t="str">
            <v>A</v>
          </cell>
          <cell r="N6759" t="str">
            <v>A</v>
          </cell>
        </row>
        <row r="6760">
          <cell r="B6760" t="str">
            <v>CER-A1707</v>
          </cell>
          <cell r="J6760" t="str">
            <v>A</v>
          </cell>
          <cell r="N6760" t="str">
            <v>A</v>
          </cell>
        </row>
        <row r="6761">
          <cell r="B6761" t="str">
            <v>CER-A1708</v>
          </cell>
          <cell r="J6761" t="str">
            <v>A</v>
          </cell>
          <cell r="N6761" t="str">
            <v>A</v>
          </cell>
        </row>
        <row r="6762">
          <cell r="B6762" t="str">
            <v>CER-A1709</v>
          </cell>
          <cell r="J6762" t="str">
            <v>A</v>
          </cell>
          <cell r="N6762" t="str">
            <v>A</v>
          </cell>
        </row>
        <row r="6763">
          <cell r="B6763" t="str">
            <v>CER-A1710</v>
          </cell>
          <cell r="J6763" t="str">
            <v>A</v>
          </cell>
          <cell r="N6763" t="str">
            <v>A</v>
          </cell>
        </row>
        <row r="6764">
          <cell r="B6764" t="str">
            <v>CER-A1711</v>
          </cell>
          <cell r="J6764" t="str">
            <v>A</v>
          </cell>
          <cell r="N6764" t="str">
            <v>A</v>
          </cell>
        </row>
        <row r="6765">
          <cell r="B6765" t="str">
            <v>CER-A1712</v>
          </cell>
          <cell r="J6765" t="str">
            <v>A</v>
          </cell>
          <cell r="N6765" t="str">
            <v>A</v>
          </cell>
        </row>
        <row r="6766">
          <cell r="B6766" t="str">
            <v>CER-A1713</v>
          </cell>
          <cell r="J6766" t="str">
            <v>A</v>
          </cell>
          <cell r="N6766" t="str">
            <v>A</v>
          </cell>
        </row>
        <row r="6767">
          <cell r="B6767" t="str">
            <v>CER-A1714</v>
          </cell>
          <cell r="J6767" t="str">
            <v>A</v>
          </cell>
          <cell r="N6767" t="str">
            <v>A</v>
          </cell>
        </row>
        <row r="6768">
          <cell r="B6768" t="str">
            <v>CER-A1715</v>
          </cell>
          <cell r="J6768" t="str">
            <v>A</v>
          </cell>
          <cell r="N6768" t="str">
            <v>A</v>
          </cell>
        </row>
        <row r="6769">
          <cell r="B6769" t="str">
            <v>CER-A1716</v>
          </cell>
          <cell r="J6769" t="str">
            <v>A</v>
          </cell>
          <cell r="N6769" t="str">
            <v>A</v>
          </cell>
        </row>
        <row r="6770">
          <cell r="B6770" t="str">
            <v>CER-A1717</v>
          </cell>
          <cell r="J6770" t="str">
            <v>A</v>
          </cell>
          <cell r="N6770" t="str">
            <v>A</v>
          </cell>
        </row>
        <row r="6771">
          <cell r="B6771" t="str">
            <v>CER-A1718</v>
          </cell>
          <cell r="J6771" t="str">
            <v>A</v>
          </cell>
          <cell r="N6771" t="str">
            <v>A</v>
          </cell>
        </row>
        <row r="6772">
          <cell r="B6772" t="str">
            <v>CER-A1719</v>
          </cell>
          <cell r="J6772" t="str">
            <v>A</v>
          </cell>
          <cell r="N6772" t="str">
            <v>A</v>
          </cell>
        </row>
        <row r="6773">
          <cell r="B6773" t="str">
            <v>CER-A1720</v>
          </cell>
          <cell r="J6773" t="str">
            <v>A</v>
          </cell>
          <cell r="N6773" t="str">
            <v>A</v>
          </cell>
        </row>
        <row r="6774">
          <cell r="B6774" t="str">
            <v>CER-A1721</v>
          </cell>
          <cell r="J6774" t="str">
            <v>A</v>
          </cell>
          <cell r="N6774" t="str">
            <v>A</v>
          </cell>
        </row>
        <row r="6775">
          <cell r="B6775" t="str">
            <v>CER-A1722</v>
          </cell>
          <cell r="J6775" t="str">
            <v>A</v>
          </cell>
          <cell r="N6775" t="str">
            <v>A</v>
          </cell>
        </row>
        <row r="6776">
          <cell r="B6776" t="str">
            <v>CER-A1723</v>
          </cell>
          <cell r="J6776" t="str">
            <v>A</v>
          </cell>
          <cell r="N6776" t="str">
            <v>A</v>
          </cell>
        </row>
        <row r="6777">
          <cell r="B6777" t="str">
            <v>CER-A1724</v>
          </cell>
          <cell r="J6777" t="str">
            <v>A</v>
          </cell>
          <cell r="N6777" t="str">
            <v>A</v>
          </cell>
        </row>
        <row r="6778">
          <cell r="B6778" t="str">
            <v>CER-A1725</v>
          </cell>
          <cell r="J6778" t="str">
            <v>A</v>
          </cell>
          <cell r="N6778" t="str">
            <v>A</v>
          </cell>
        </row>
        <row r="6779">
          <cell r="B6779" t="str">
            <v>CER-A1726</v>
          </cell>
          <cell r="J6779" t="str">
            <v>A</v>
          </cell>
          <cell r="N6779" t="str">
            <v>A</v>
          </cell>
        </row>
        <row r="6780">
          <cell r="B6780" t="str">
            <v>RC-B1727</v>
          </cell>
          <cell r="J6780" t="str">
            <v>B</v>
          </cell>
          <cell r="N6780" t="str">
            <v>B</v>
          </cell>
        </row>
        <row r="6781">
          <cell r="B6781" t="str">
            <v>RC-B1728</v>
          </cell>
          <cell r="J6781" t="str">
            <v>B</v>
          </cell>
          <cell r="N6781" t="str">
            <v>B</v>
          </cell>
        </row>
        <row r="6782">
          <cell r="B6782" t="str">
            <v>RC-B1729</v>
          </cell>
          <cell r="J6782" t="str">
            <v>B</v>
          </cell>
          <cell r="N6782" t="str">
            <v>B</v>
          </cell>
        </row>
        <row r="6783">
          <cell r="B6783" t="str">
            <v>RC-B1730</v>
          </cell>
          <cell r="J6783" t="str">
            <v>B</v>
          </cell>
          <cell r="N6783" t="str">
            <v>B</v>
          </cell>
        </row>
        <row r="6784">
          <cell r="B6784" t="str">
            <v>LB-B1731</v>
          </cell>
          <cell r="J6784" t="str">
            <v>B</v>
          </cell>
          <cell r="N6784" t="str">
            <v>B</v>
          </cell>
        </row>
        <row r="6785">
          <cell r="B6785" t="str">
            <v>RC-B1732</v>
          </cell>
          <cell r="J6785" t="str">
            <v>B</v>
          </cell>
          <cell r="N6785" t="str">
            <v>B</v>
          </cell>
        </row>
        <row r="6786">
          <cell r="B6786" t="str">
            <v>RC-B1733</v>
          </cell>
          <cell r="J6786" t="str">
            <v>B</v>
          </cell>
          <cell r="N6786" t="str">
            <v>B</v>
          </cell>
        </row>
        <row r="6787">
          <cell r="B6787" t="str">
            <v>RC-B1734</v>
          </cell>
          <cell r="J6787" t="str">
            <v>B</v>
          </cell>
          <cell r="N6787" t="str">
            <v>B</v>
          </cell>
        </row>
        <row r="6788">
          <cell r="B6788" t="str">
            <v>RC-B1735</v>
          </cell>
          <cell r="J6788" t="str">
            <v>B</v>
          </cell>
          <cell r="N6788" t="str">
            <v>B</v>
          </cell>
        </row>
        <row r="6789">
          <cell r="B6789" t="str">
            <v>RC-B1736</v>
          </cell>
          <cell r="J6789" t="str">
            <v>B</v>
          </cell>
          <cell r="N6789" t="str">
            <v>B</v>
          </cell>
        </row>
        <row r="6790">
          <cell r="B6790" t="str">
            <v>RC-B1737</v>
          </cell>
          <cell r="J6790" t="str">
            <v>B</v>
          </cell>
          <cell r="N6790" t="str">
            <v>B</v>
          </cell>
        </row>
        <row r="6791">
          <cell r="B6791" t="str">
            <v>RC-B1738</v>
          </cell>
          <cell r="J6791" t="str">
            <v>B</v>
          </cell>
          <cell r="N6791" t="str">
            <v>B</v>
          </cell>
        </row>
        <row r="6792">
          <cell r="B6792" t="str">
            <v>DC-B1739</v>
          </cell>
          <cell r="J6792" t="str">
            <v>B</v>
          </cell>
          <cell r="N6792" t="str">
            <v>B</v>
          </cell>
        </row>
        <row r="6793">
          <cell r="B6793" t="str">
            <v>DC-B1740</v>
          </cell>
          <cell r="J6793" t="str">
            <v>B</v>
          </cell>
          <cell r="N6793" t="str">
            <v>B</v>
          </cell>
        </row>
        <row r="6794">
          <cell r="B6794" t="str">
            <v>DC-B1741</v>
          </cell>
          <cell r="J6794" t="str">
            <v>B</v>
          </cell>
          <cell r="N6794" t="str">
            <v>B</v>
          </cell>
        </row>
        <row r="6795">
          <cell r="B6795" t="str">
            <v>DC-B1742</v>
          </cell>
          <cell r="J6795" t="str">
            <v>B</v>
          </cell>
          <cell r="N6795" t="str">
            <v>B</v>
          </cell>
        </row>
        <row r="6796">
          <cell r="B6796" t="str">
            <v>DC-B1743</v>
          </cell>
          <cell r="J6796" t="str">
            <v>B</v>
          </cell>
          <cell r="N6796" t="str">
            <v>B</v>
          </cell>
        </row>
        <row r="6797">
          <cell r="B6797" t="str">
            <v>DC-B1744</v>
          </cell>
          <cell r="J6797" t="str">
            <v>B</v>
          </cell>
          <cell r="N6797" t="str">
            <v>B</v>
          </cell>
        </row>
        <row r="6798">
          <cell r="B6798" t="str">
            <v>DC-B1745</v>
          </cell>
          <cell r="J6798" t="str">
            <v>B</v>
          </cell>
          <cell r="N6798" t="str">
            <v>B</v>
          </cell>
        </row>
        <row r="6799">
          <cell r="B6799" t="str">
            <v>RC-B1746</v>
          </cell>
          <cell r="J6799" t="str">
            <v>B</v>
          </cell>
          <cell r="N6799" t="str">
            <v>B</v>
          </cell>
        </row>
        <row r="6800">
          <cell r="B6800" t="str">
            <v>LB-B1747</v>
          </cell>
          <cell r="J6800" t="str">
            <v>B</v>
          </cell>
          <cell r="N6800" t="str">
            <v>B</v>
          </cell>
        </row>
        <row r="6801">
          <cell r="B6801" t="str">
            <v>LB-B1748</v>
          </cell>
          <cell r="J6801" t="str">
            <v>B</v>
          </cell>
          <cell r="N6801" t="str">
            <v>B</v>
          </cell>
        </row>
        <row r="6802">
          <cell r="B6802" t="str">
            <v>LB-B1749</v>
          </cell>
          <cell r="J6802" t="str">
            <v>B</v>
          </cell>
          <cell r="N6802" t="str">
            <v>B</v>
          </cell>
        </row>
        <row r="6803">
          <cell r="B6803" t="str">
            <v>LB-B1750</v>
          </cell>
          <cell r="J6803" t="str">
            <v>B</v>
          </cell>
          <cell r="N6803" t="str">
            <v>B</v>
          </cell>
        </row>
        <row r="6804">
          <cell r="B6804" t="str">
            <v>LB-B1751</v>
          </cell>
          <cell r="J6804" t="str">
            <v>B</v>
          </cell>
          <cell r="N6804" t="str">
            <v>B</v>
          </cell>
        </row>
        <row r="6805">
          <cell r="B6805" t="str">
            <v>LB-B1752</v>
          </cell>
          <cell r="J6805" t="str">
            <v>B</v>
          </cell>
          <cell r="N6805" t="str">
            <v>B</v>
          </cell>
        </row>
        <row r="6806">
          <cell r="B6806" t="str">
            <v>LB-B1753</v>
          </cell>
          <cell r="J6806" t="str">
            <v>B</v>
          </cell>
          <cell r="N6806" t="str">
            <v>B</v>
          </cell>
        </row>
        <row r="6807">
          <cell r="B6807" t="str">
            <v>LB-B1754</v>
          </cell>
          <cell r="J6807" t="str">
            <v>B</v>
          </cell>
          <cell r="N6807" t="str">
            <v>B</v>
          </cell>
        </row>
        <row r="6808">
          <cell r="B6808" t="str">
            <v>LB-B1755</v>
          </cell>
          <cell r="J6808" t="str">
            <v>B</v>
          </cell>
          <cell r="N6808" t="str">
            <v>B</v>
          </cell>
        </row>
        <row r="6809">
          <cell r="B6809" t="str">
            <v>LB-B1756</v>
          </cell>
          <cell r="J6809" t="str">
            <v>B</v>
          </cell>
          <cell r="N6809" t="str">
            <v>B</v>
          </cell>
        </row>
        <row r="6810">
          <cell r="B6810" t="str">
            <v>LB-B1757</v>
          </cell>
          <cell r="J6810" t="str">
            <v>B</v>
          </cell>
          <cell r="N6810" t="str">
            <v>B</v>
          </cell>
        </row>
        <row r="6811">
          <cell r="B6811" t="str">
            <v>LB-B1758</v>
          </cell>
          <cell r="J6811" t="str">
            <v>B</v>
          </cell>
          <cell r="N6811" t="str">
            <v>B</v>
          </cell>
        </row>
        <row r="6812">
          <cell r="B6812" t="str">
            <v>LB-B1759</v>
          </cell>
          <cell r="J6812" t="str">
            <v>B</v>
          </cell>
          <cell r="N6812" t="str">
            <v>B</v>
          </cell>
        </row>
        <row r="6813">
          <cell r="B6813" t="str">
            <v>DC-B1760</v>
          </cell>
          <cell r="J6813" t="str">
            <v>B</v>
          </cell>
          <cell r="N6813" t="str">
            <v>B</v>
          </cell>
        </row>
        <row r="6814">
          <cell r="B6814" t="str">
            <v>DC-B1761</v>
          </cell>
          <cell r="J6814" t="str">
            <v>B</v>
          </cell>
          <cell r="N6814" t="str">
            <v>B</v>
          </cell>
        </row>
        <row r="6815">
          <cell r="B6815" t="str">
            <v>DC-B1762</v>
          </cell>
          <cell r="J6815" t="str">
            <v>B</v>
          </cell>
          <cell r="N6815" t="str">
            <v>B</v>
          </cell>
        </row>
        <row r="6816">
          <cell r="B6816" t="str">
            <v>LB-B1763</v>
          </cell>
          <cell r="J6816" t="str">
            <v>B</v>
          </cell>
          <cell r="N6816" t="str">
            <v>B</v>
          </cell>
        </row>
        <row r="6817">
          <cell r="B6817" t="str">
            <v>LB-B1764</v>
          </cell>
          <cell r="J6817" t="str">
            <v>B</v>
          </cell>
          <cell r="N6817" t="str">
            <v>B</v>
          </cell>
        </row>
        <row r="6818">
          <cell r="B6818" t="str">
            <v>LB-B1765</v>
          </cell>
          <cell r="J6818" t="str">
            <v>B</v>
          </cell>
          <cell r="N6818" t="str">
            <v>B</v>
          </cell>
        </row>
        <row r="6819">
          <cell r="B6819" t="str">
            <v>LB-B1766</v>
          </cell>
          <cell r="J6819" t="str">
            <v>B</v>
          </cell>
          <cell r="N6819" t="str">
            <v>B</v>
          </cell>
        </row>
        <row r="6820">
          <cell r="B6820" t="str">
            <v>LB-B1767</v>
          </cell>
          <cell r="J6820" t="str">
            <v>B</v>
          </cell>
          <cell r="N6820" t="str">
            <v>B</v>
          </cell>
        </row>
        <row r="6821">
          <cell r="B6821" t="str">
            <v>LB-B1768</v>
          </cell>
          <cell r="J6821" t="str">
            <v>B</v>
          </cell>
          <cell r="N6821" t="str">
            <v>B</v>
          </cell>
        </row>
        <row r="6822">
          <cell r="B6822" t="str">
            <v>LB-B1769</v>
          </cell>
          <cell r="J6822" t="str">
            <v>B</v>
          </cell>
          <cell r="N6822" t="str">
            <v>B</v>
          </cell>
        </row>
        <row r="6823">
          <cell r="B6823" t="str">
            <v>LB-B1770</v>
          </cell>
          <cell r="J6823" t="str">
            <v>B</v>
          </cell>
          <cell r="N6823" t="str">
            <v>B</v>
          </cell>
        </row>
        <row r="6824">
          <cell r="B6824" t="str">
            <v>LB-B1771</v>
          </cell>
          <cell r="J6824" t="str">
            <v>B</v>
          </cell>
          <cell r="N6824" t="str">
            <v>B</v>
          </cell>
        </row>
        <row r="6825">
          <cell r="B6825" t="str">
            <v>LB-B1772</v>
          </cell>
          <cell r="J6825" t="str">
            <v>B</v>
          </cell>
          <cell r="N6825" t="str">
            <v>B</v>
          </cell>
        </row>
        <row r="6826">
          <cell r="B6826" t="str">
            <v>DC-B1773</v>
          </cell>
          <cell r="J6826" t="str">
            <v>B</v>
          </cell>
          <cell r="N6826" t="str">
            <v>B</v>
          </cell>
        </row>
        <row r="6827">
          <cell r="B6827" t="str">
            <v>DC-B1774</v>
          </cell>
          <cell r="J6827" t="str">
            <v>B</v>
          </cell>
          <cell r="N6827" t="str">
            <v>B</v>
          </cell>
        </row>
        <row r="6828">
          <cell r="B6828" t="str">
            <v>DC-B1775</v>
          </cell>
          <cell r="J6828" t="str">
            <v>B</v>
          </cell>
          <cell r="N6828" t="str">
            <v>B</v>
          </cell>
        </row>
        <row r="6829">
          <cell r="B6829" t="str">
            <v>DC-B1776</v>
          </cell>
          <cell r="J6829" t="str">
            <v>B</v>
          </cell>
          <cell r="N6829" t="str">
            <v>B</v>
          </cell>
        </row>
        <row r="6830">
          <cell r="B6830" t="str">
            <v>DC-B1777</v>
          </cell>
          <cell r="J6830" t="str">
            <v>B</v>
          </cell>
          <cell r="N6830" t="str">
            <v>B</v>
          </cell>
        </row>
        <row r="6831">
          <cell r="B6831" t="str">
            <v>DC-B1778</v>
          </cell>
          <cell r="J6831" t="str">
            <v>B</v>
          </cell>
          <cell r="N6831" t="str">
            <v>B</v>
          </cell>
        </row>
        <row r="6832">
          <cell r="B6832" t="str">
            <v>DC-B1779</v>
          </cell>
          <cell r="J6832" t="str">
            <v>B</v>
          </cell>
          <cell r="N6832" t="str">
            <v>B</v>
          </cell>
        </row>
        <row r="6833">
          <cell r="B6833" t="str">
            <v>DC-B1780</v>
          </cell>
          <cell r="J6833" t="str">
            <v>B</v>
          </cell>
          <cell r="N6833" t="str">
            <v>B</v>
          </cell>
        </row>
        <row r="6834">
          <cell r="B6834" t="str">
            <v>DC-B1781</v>
          </cell>
          <cell r="J6834" t="str">
            <v>B</v>
          </cell>
          <cell r="N6834" t="str">
            <v>B</v>
          </cell>
        </row>
        <row r="6835">
          <cell r="B6835" t="str">
            <v>DC-B1782</v>
          </cell>
          <cell r="J6835" t="str">
            <v>B</v>
          </cell>
          <cell r="N6835" t="str">
            <v>B</v>
          </cell>
        </row>
        <row r="6836">
          <cell r="B6836" t="str">
            <v>LB-B1783</v>
          </cell>
          <cell r="J6836" t="str">
            <v>B</v>
          </cell>
          <cell r="N6836" t="str">
            <v>B</v>
          </cell>
        </row>
        <row r="6837">
          <cell r="B6837" t="str">
            <v>LB-B1784</v>
          </cell>
          <cell r="J6837" t="str">
            <v>B</v>
          </cell>
          <cell r="N6837" t="str">
            <v>B</v>
          </cell>
        </row>
        <row r="6838">
          <cell r="B6838" t="str">
            <v>DC-B1785</v>
          </cell>
          <cell r="J6838" t="str">
            <v>B</v>
          </cell>
          <cell r="N6838" t="str">
            <v>B</v>
          </cell>
        </row>
        <row r="6839">
          <cell r="B6839" t="str">
            <v>LB-B1786</v>
          </cell>
          <cell r="J6839" t="str">
            <v>B</v>
          </cell>
          <cell r="N6839" t="str">
            <v>B</v>
          </cell>
        </row>
        <row r="6840">
          <cell r="B6840" t="str">
            <v>DC-B1787</v>
          </cell>
          <cell r="J6840" t="str">
            <v>B</v>
          </cell>
          <cell r="N6840" t="str">
            <v>B</v>
          </cell>
        </row>
        <row r="6841">
          <cell r="B6841" t="str">
            <v>DC-B1788</v>
          </cell>
          <cell r="J6841" t="str">
            <v>B</v>
          </cell>
          <cell r="N6841" t="str">
            <v>B</v>
          </cell>
        </row>
        <row r="6842">
          <cell r="B6842" t="str">
            <v>DC-B1789</v>
          </cell>
          <cell r="J6842" t="str">
            <v>B</v>
          </cell>
          <cell r="N6842" t="str">
            <v>B</v>
          </cell>
        </row>
        <row r="6843">
          <cell r="B6843" t="str">
            <v>DC-B1790</v>
          </cell>
          <cell r="J6843" t="str">
            <v>B</v>
          </cell>
          <cell r="N6843" t="str">
            <v>B</v>
          </cell>
        </row>
        <row r="6844">
          <cell r="B6844" t="str">
            <v>DC-B1791</v>
          </cell>
          <cell r="J6844" t="str">
            <v>B</v>
          </cell>
          <cell r="N6844" t="str">
            <v>B</v>
          </cell>
        </row>
        <row r="6845">
          <cell r="B6845" t="str">
            <v>DC-B1792</v>
          </cell>
          <cell r="J6845" t="str">
            <v>B</v>
          </cell>
          <cell r="N6845" t="str">
            <v>B</v>
          </cell>
        </row>
        <row r="6846">
          <cell r="B6846" t="str">
            <v>DC-B1793</v>
          </cell>
          <cell r="J6846" t="str">
            <v>B</v>
          </cell>
          <cell r="N6846" t="str">
            <v>B</v>
          </cell>
        </row>
        <row r="6847">
          <cell r="B6847" t="str">
            <v>DC-B1794</v>
          </cell>
          <cell r="J6847" t="str">
            <v>B</v>
          </cell>
          <cell r="N6847" t="str">
            <v>B</v>
          </cell>
        </row>
        <row r="6848">
          <cell r="B6848" t="str">
            <v>DC-B1795</v>
          </cell>
          <cell r="J6848" t="str">
            <v>B</v>
          </cell>
          <cell r="N6848" t="str">
            <v>B</v>
          </cell>
        </row>
        <row r="6849">
          <cell r="B6849" t="str">
            <v>DC-B1796</v>
          </cell>
          <cell r="J6849" t="str">
            <v>B</v>
          </cell>
          <cell r="N6849" t="str">
            <v>B</v>
          </cell>
        </row>
        <row r="6850">
          <cell r="B6850" t="str">
            <v>DC-B1797</v>
          </cell>
          <cell r="J6850" t="str">
            <v>B</v>
          </cell>
          <cell r="N6850" t="str">
            <v>B</v>
          </cell>
        </row>
        <row r="6851">
          <cell r="B6851" t="str">
            <v>DC-B1798</v>
          </cell>
          <cell r="J6851" t="str">
            <v>B</v>
          </cell>
          <cell r="N6851" t="str">
            <v>B</v>
          </cell>
        </row>
        <row r="6852">
          <cell r="B6852" t="str">
            <v>DC-B1799</v>
          </cell>
          <cell r="J6852" t="str">
            <v>B</v>
          </cell>
          <cell r="N6852" t="str">
            <v>B</v>
          </cell>
        </row>
        <row r="6853">
          <cell r="B6853" t="str">
            <v>DC-B1800</v>
          </cell>
          <cell r="J6853" t="str">
            <v>B</v>
          </cell>
          <cell r="N6853" t="str">
            <v>B</v>
          </cell>
        </row>
        <row r="6854">
          <cell r="B6854" t="str">
            <v>DC-B1801</v>
          </cell>
          <cell r="J6854" t="str">
            <v>B</v>
          </cell>
          <cell r="N6854" t="str">
            <v>B</v>
          </cell>
        </row>
        <row r="6855">
          <cell r="B6855" t="str">
            <v>DC-B1802</v>
          </cell>
          <cell r="J6855" t="str">
            <v>B</v>
          </cell>
          <cell r="N6855" t="str">
            <v>B</v>
          </cell>
        </row>
        <row r="6856">
          <cell r="B6856" t="str">
            <v>DC-B1803</v>
          </cell>
          <cell r="J6856" t="str">
            <v>B</v>
          </cell>
          <cell r="N6856" t="str">
            <v>B</v>
          </cell>
        </row>
        <row r="6857">
          <cell r="B6857" t="str">
            <v>LB-B1804</v>
          </cell>
          <cell r="J6857" t="str">
            <v>B</v>
          </cell>
          <cell r="N6857" t="str">
            <v>B</v>
          </cell>
        </row>
        <row r="6858">
          <cell r="B6858" t="str">
            <v>LB-B1805</v>
          </cell>
          <cell r="J6858" t="str">
            <v>B</v>
          </cell>
          <cell r="N6858" t="str">
            <v>B</v>
          </cell>
        </row>
        <row r="6859">
          <cell r="B6859" t="str">
            <v>LB-B1806</v>
          </cell>
          <cell r="J6859" t="str">
            <v>B</v>
          </cell>
          <cell r="N6859" t="str">
            <v>B</v>
          </cell>
        </row>
        <row r="6860">
          <cell r="B6860" t="str">
            <v>LB-B1807</v>
          </cell>
          <cell r="J6860" t="str">
            <v>B</v>
          </cell>
          <cell r="N6860" t="str">
            <v>B</v>
          </cell>
        </row>
        <row r="6861">
          <cell r="B6861" t="str">
            <v>LB-B1808</v>
          </cell>
          <cell r="J6861" t="str">
            <v>B</v>
          </cell>
          <cell r="N6861" t="str">
            <v>B</v>
          </cell>
        </row>
        <row r="6862">
          <cell r="B6862" t="str">
            <v>DC-B1809</v>
          </cell>
          <cell r="J6862" t="str">
            <v>B</v>
          </cell>
          <cell r="N6862" t="str">
            <v>B</v>
          </cell>
        </row>
        <row r="6863">
          <cell r="B6863" t="str">
            <v>DC-B1810</v>
          </cell>
          <cell r="J6863" t="str">
            <v>B</v>
          </cell>
          <cell r="N6863" t="str">
            <v>B</v>
          </cell>
        </row>
        <row r="6864">
          <cell r="B6864" t="str">
            <v>DC-B1811</v>
          </cell>
          <cell r="J6864" t="str">
            <v>B</v>
          </cell>
          <cell r="N6864" t="str">
            <v>B</v>
          </cell>
        </row>
        <row r="6865">
          <cell r="B6865" t="str">
            <v>DC-B1812</v>
          </cell>
          <cell r="J6865" t="str">
            <v>B</v>
          </cell>
          <cell r="N6865" t="str">
            <v>B</v>
          </cell>
        </row>
        <row r="6866">
          <cell r="B6866" t="str">
            <v>DC-B1813</v>
          </cell>
          <cell r="J6866" t="str">
            <v>B</v>
          </cell>
          <cell r="N6866" t="str">
            <v>B</v>
          </cell>
        </row>
        <row r="6867">
          <cell r="B6867" t="str">
            <v>DC-B1814</v>
          </cell>
          <cell r="J6867" t="str">
            <v>B</v>
          </cell>
          <cell r="N6867" t="str">
            <v>B</v>
          </cell>
        </row>
        <row r="6868">
          <cell r="B6868" t="str">
            <v>DC-B1815</v>
          </cell>
          <cell r="J6868" t="str">
            <v>B</v>
          </cell>
          <cell r="N6868" t="str">
            <v>B</v>
          </cell>
        </row>
        <row r="6869">
          <cell r="B6869" t="str">
            <v>DC-B1816</v>
          </cell>
          <cell r="J6869" t="str">
            <v>B</v>
          </cell>
          <cell r="N6869" t="str">
            <v>B</v>
          </cell>
        </row>
        <row r="6870">
          <cell r="B6870" t="str">
            <v>DC-B1817</v>
          </cell>
          <cell r="J6870" t="str">
            <v>B</v>
          </cell>
          <cell r="N6870" t="str">
            <v>B</v>
          </cell>
        </row>
        <row r="6871">
          <cell r="B6871" t="str">
            <v>DC-B1818</v>
          </cell>
          <cell r="J6871" t="str">
            <v>B</v>
          </cell>
          <cell r="N6871" t="str">
            <v>B</v>
          </cell>
        </row>
        <row r="6872">
          <cell r="B6872" t="str">
            <v>DC-B1819</v>
          </cell>
          <cell r="J6872" t="str">
            <v>B</v>
          </cell>
          <cell r="N6872" t="str">
            <v>B</v>
          </cell>
        </row>
        <row r="6873">
          <cell r="B6873" t="str">
            <v>DC-B1820</v>
          </cell>
          <cell r="J6873" t="str">
            <v>B</v>
          </cell>
          <cell r="N6873" t="str">
            <v>B</v>
          </cell>
        </row>
        <row r="6874">
          <cell r="B6874" t="str">
            <v>DC-B1821</v>
          </cell>
          <cell r="J6874" t="str">
            <v>B</v>
          </cell>
          <cell r="N6874" t="str">
            <v>B</v>
          </cell>
        </row>
        <row r="6875">
          <cell r="B6875" t="str">
            <v>DC-B1822</v>
          </cell>
          <cell r="J6875" t="str">
            <v>B</v>
          </cell>
          <cell r="N6875" t="str">
            <v>B</v>
          </cell>
        </row>
        <row r="6876">
          <cell r="B6876" t="str">
            <v>DC-B1823</v>
          </cell>
          <cell r="J6876" t="str">
            <v>B</v>
          </cell>
          <cell r="N6876" t="str">
            <v>B</v>
          </cell>
        </row>
        <row r="6877">
          <cell r="B6877" t="str">
            <v>DC-B1824</v>
          </cell>
          <cell r="J6877" t="str">
            <v>B</v>
          </cell>
          <cell r="N6877" t="str">
            <v>B</v>
          </cell>
        </row>
        <row r="6878">
          <cell r="B6878" t="str">
            <v>DC-B1825</v>
          </cell>
          <cell r="J6878" t="str">
            <v>B</v>
          </cell>
          <cell r="N6878" t="str">
            <v>B</v>
          </cell>
        </row>
        <row r="6879">
          <cell r="B6879" t="str">
            <v>DC-B1826</v>
          </cell>
          <cell r="J6879" t="str">
            <v>B</v>
          </cell>
          <cell r="N6879" t="str">
            <v>B</v>
          </cell>
        </row>
        <row r="6880">
          <cell r="B6880" t="str">
            <v>DC-B1827</v>
          </cell>
          <cell r="J6880" t="str">
            <v>B</v>
          </cell>
          <cell r="N6880" t="str">
            <v>B</v>
          </cell>
        </row>
        <row r="6881">
          <cell r="B6881" t="str">
            <v>DC-B1828</v>
          </cell>
          <cell r="J6881" t="str">
            <v>B</v>
          </cell>
          <cell r="N6881" t="str">
            <v>B</v>
          </cell>
        </row>
        <row r="6882">
          <cell r="B6882" t="str">
            <v>DC-B1829</v>
          </cell>
          <cell r="J6882" t="str">
            <v>B</v>
          </cell>
          <cell r="N6882" t="str">
            <v>B</v>
          </cell>
        </row>
        <row r="6883">
          <cell r="B6883" t="str">
            <v>DC-B1830</v>
          </cell>
          <cell r="J6883" t="str">
            <v>B</v>
          </cell>
          <cell r="N6883" t="str">
            <v>B</v>
          </cell>
        </row>
        <row r="6884">
          <cell r="B6884" t="str">
            <v>DC-B1831</v>
          </cell>
          <cell r="J6884" t="str">
            <v>B</v>
          </cell>
          <cell r="N6884" t="str">
            <v>B</v>
          </cell>
        </row>
        <row r="6885">
          <cell r="B6885" t="str">
            <v>DC-B1832</v>
          </cell>
          <cell r="J6885" t="str">
            <v>B</v>
          </cell>
          <cell r="N6885" t="str">
            <v>B</v>
          </cell>
        </row>
        <row r="6886">
          <cell r="B6886" t="str">
            <v>DC-B1833</v>
          </cell>
          <cell r="J6886" t="str">
            <v>B</v>
          </cell>
          <cell r="N6886" t="str">
            <v>B</v>
          </cell>
        </row>
        <row r="6887">
          <cell r="B6887" t="str">
            <v>DC-B1834</v>
          </cell>
          <cell r="J6887" t="str">
            <v>B</v>
          </cell>
          <cell r="N6887" t="str">
            <v>B</v>
          </cell>
        </row>
        <row r="6888">
          <cell r="B6888" t="str">
            <v>DC-B1835</v>
          </cell>
          <cell r="J6888" t="str">
            <v>B</v>
          </cell>
          <cell r="N6888" t="str">
            <v>B</v>
          </cell>
        </row>
        <row r="6889">
          <cell r="B6889" t="str">
            <v>DC-B1836</v>
          </cell>
          <cell r="J6889" t="str">
            <v>B</v>
          </cell>
          <cell r="N6889" t="str">
            <v>B</v>
          </cell>
        </row>
        <row r="6890">
          <cell r="B6890" t="str">
            <v>DC-B1837</v>
          </cell>
          <cell r="J6890" t="str">
            <v>B</v>
          </cell>
          <cell r="N6890" t="str">
            <v>B</v>
          </cell>
        </row>
        <row r="6891">
          <cell r="B6891" t="str">
            <v>DC-B1838</v>
          </cell>
          <cell r="J6891" t="str">
            <v>B</v>
          </cell>
          <cell r="N6891" t="str">
            <v>B</v>
          </cell>
        </row>
        <row r="6892">
          <cell r="B6892" t="str">
            <v>DC-B1839</v>
          </cell>
          <cell r="J6892" t="str">
            <v>B</v>
          </cell>
          <cell r="N6892" t="str">
            <v>B</v>
          </cell>
        </row>
        <row r="6893">
          <cell r="B6893" t="str">
            <v>DC-B1840</v>
          </cell>
          <cell r="J6893" t="str">
            <v>B</v>
          </cell>
          <cell r="N6893" t="str">
            <v>B</v>
          </cell>
        </row>
        <row r="6894">
          <cell r="B6894" t="str">
            <v>DC-B1841</v>
          </cell>
          <cell r="J6894" t="str">
            <v>B</v>
          </cell>
          <cell r="N6894" t="str">
            <v>B</v>
          </cell>
        </row>
        <row r="6895">
          <cell r="B6895" t="str">
            <v>DC-B1842</v>
          </cell>
          <cell r="J6895" t="str">
            <v>B</v>
          </cell>
          <cell r="N6895" t="str">
            <v>B</v>
          </cell>
        </row>
        <row r="6896">
          <cell r="B6896" t="str">
            <v>DC-B1843</v>
          </cell>
          <cell r="J6896" t="str">
            <v>B</v>
          </cell>
          <cell r="N6896" t="str">
            <v>B</v>
          </cell>
        </row>
        <row r="6897">
          <cell r="B6897" t="str">
            <v>DC-B1844</v>
          </cell>
          <cell r="J6897" t="str">
            <v>B</v>
          </cell>
          <cell r="N6897" t="str">
            <v>B</v>
          </cell>
        </row>
        <row r="6898">
          <cell r="B6898" t="str">
            <v>DC-B1845</v>
          </cell>
          <cell r="J6898" t="str">
            <v>B</v>
          </cell>
          <cell r="N6898" t="str">
            <v>B</v>
          </cell>
        </row>
        <row r="6899">
          <cell r="B6899" t="str">
            <v>DC-B1846</v>
          </cell>
          <cell r="J6899" t="str">
            <v>B</v>
          </cell>
          <cell r="N6899" t="str">
            <v>B</v>
          </cell>
        </row>
        <row r="6900">
          <cell r="B6900" t="str">
            <v>DC-B1847</v>
          </cell>
          <cell r="J6900" t="str">
            <v>B</v>
          </cell>
          <cell r="N6900" t="str">
            <v>B</v>
          </cell>
        </row>
        <row r="6901">
          <cell r="B6901" t="str">
            <v>DC-B1848</v>
          </cell>
          <cell r="J6901" t="str">
            <v>B</v>
          </cell>
          <cell r="N6901" t="str">
            <v>B</v>
          </cell>
        </row>
        <row r="6902">
          <cell r="B6902" t="str">
            <v>DC-B1849</v>
          </cell>
          <cell r="J6902" t="str">
            <v>B</v>
          </cell>
          <cell r="N6902" t="str">
            <v>B</v>
          </cell>
        </row>
        <row r="6903">
          <cell r="B6903" t="str">
            <v>DC-B1850</v>
          </cell>
          <cell r="J6903" t="str">
            <v>B</v>
          </cell>
          <cell r="N6903" t="str">
            <v>B</v>
          </cell>
        </row>
        <row r="6904">
          <cell r="B6904" t="str">
            <v>DC-B1851</v>
          </cell>
          <cell r="J6904" t="str">
            <v>B</v>
          </cell>
          <cell r="N6904" t="str">
            <v>B</v>
          </cell>
        </row>
        <row r="6905">
          <cell r="B6905" t="str">
            <v>DC-B1852</v>
          </cell>
          <cell r="J6905" t="str">
            <v>B</v>
          </cell>
          <cell r="N6905" t="str">
            <v>B</v>
          </cell>
        </row>
        <row r="6906">
          <cell r="B6906" t="str">
            <v>DC-B1853</v>
          </cell>
          <cell r="J6906" t="str">
            <v>B</v>
          </cell>
          <cell r="N6906" t="str">
            <v>B</v>
          </cell>
        </row>
        <row r="6907">
          <cell r="B6907" t="str">
            <v>DC-B1854</v>
          </cell>
          <cell r="J6907" t="str">
            <v>B</v>
          </cell>
          <cell r="N6907" t="str">
            <v>B</v>
          </cell>
        </row>
        <row r="6908">
          <cell r="B6908" t="str">
            <v>DC-B1855</v>
          </cell>
          <cell r="J6908" t="str">
            <v>B</v>
          </cell>
          <cell r="N6908" t="str">
            <v>B</v>
          </cell>
        </row>
        <row r="6909">
          <cell r="B6909" t="str">
            <v>DC-B1856</v>
          </cell>
          <cell r="J6909" t="str">
            <v>B</v>
          </cell>
          <cell r="N6909" t="str">
            <v>B</v>
          </cell>
        </row>
        <row r="6910">
          <cell r="B6910" t="str">
            <v>DC-B1857</v>
          </cell>
          <cell r="J6910" t="str">
            <v>B</v>
          </cell>
          <cell r="N6910" t="str">
            <v>B</v>
          </cell>
        </row>
        <row r="6911">
          <cell r="B6911" t="str">
            <v>DC-B1858</v>
          </cell>
          <cell r="J6911" t="str">
            <v>B</v>
          </cell>
          <cell r="N6911" t="str">
            <v>B</v>
          </cell>
        </row>
        <row r="6912">
          <cell r="B6912" t="str">
            <v>DC-B1859</v>
          </cell>
          <cell r="J6912" t="str">
            <v>B</v>
          </cell>
          <cell r="N6912" t="str">
            <v>B</v>
          </cell>
        </row>
        <row r="6913">
          <cell r="B6913" t="str">
            <v>DC-B1860</v>
          </cell>
          <cell r="J6913" t="str">
            <v>B</v>
          </cell>
          <cell r="N6913" t="str">
            <v>B</v>
          </cell>
        </row>
        <row r="6914">
          <cell r="B6914" t="str">
            <v>DC-B1861</v>
          </cell>
          <cell r="J6914" t="str">
            <v>B</v>
          </cell>
          <cell r="N6914" t="str">
            <v>B</v>
          </cell>
        </row>
        <row r="6915">
          <cell r="B6915" t="str">
            <v>DC-B1862</v>
          </cell>
          <cell r="J6915" t="str">
            <v>B</v>
          </cell>
          <cell r="N6915" t="str">
            <v>B</v>
          </cell>
        </row>
        <row r="6916">
          <cell r="B6916" t="str">
            <v>DC-B1863</v>
          </cell>
          <cell r="J6916" t="str">
            <v>B</v>
          </cell>
          <cell r="N6916" t="str">
            <v>B</v>
          </cell>
        </row>
        <row r="6917">
          <cell r="B6917" t="str">
            <v>DC-B1864</v>
          </cell>
          <cell r="J6917" t="str">
            <v>B</v>
          </cell>
          <cell r="N6917" t="str">
            <v>B</v>
          </cell>
        </row>
        <row r="6918">
          <cell r="B6918" t="str">
            <v>DC-B1865</v>
          </cell>
          <cell r="J6918" t="str">
            <v>B</v>
          </cell>
          <cell r="N6918" t="str">
            <v>B</v>
          </cell>
        </row>
        <row r="6919">
          <cell r="B6919" t="str">
            <v>DC-B1866</v>
          </cell>
          <cell r="J6919" t="str">
            <v>B</v>
          </cell>
          <cell r="N6919" t="str">
            <v>B</v>
          </cell>
        </row>
        <row r="6920">
          <cell r="B6920" t="str">
            <v>DC-B1867</v>
          </cell>
          <cell r="J6920" t="str">
            <v>B</v>
          </cell>
          <cell r="N6920" t="str">
            <v>B</v>
          </cell>
        </row>
        <row r="6921">
          <cell r="B6921" t="str">
            <v>DC-B1868</v>
          </cell>
          <cell r="J6921" t="str">
            <v>B</v>
          </cell>
          <cell r="N6921" t="str">
            <v>B</v>
          </cell>
        </row>
        <row r="6922">
          <cell r="B6922" t="str">
            <v>LA-B1869</v>
          </cell>
          <cell r="J6922" t="str">
            <v>B</v>
          </cell>
          <cell r="N6922" t="str">
            <v>B</v>
          </cell>
        </row>
        <row r="6923">
          <cell r="B6923" t="str">
            <v>LA-B1870</v>
          </cell>
          <cell r="J6923" t="str">
            <v>B</v>
          </cell>
          <cell r="N6923" t="str">
            <v>B</v>
          </cell>
        </row>
        <row r="6924">
          <cell r="B6924" t="str">
            <v>LA-B1871</v>
          </cell>
          <cell r="J6924" t="str">
            <v>B</v>
          </cell>
          <cell r="N6924" t="str">
            <v>B</v>
          </cell>
        </row>
        <row r="6925">
          <cell r="B6925" t="str">
            <v>LA-B1872</v>
          </cell>
          <cell r="J6925" t="str">
            <v>B</v>
          </cell>
          <cell r="N6925" t="str">
            <v>B</v>
          </cell>
        </row>
        <row r="6926">
          <cell r="B6926" t="str">
            <v>LA-B1873</v>
          </cell>
          <cell r="J6926" t="str">
            <v>B</v>
          </cell>
          <cell r="N6926" t="str">
            <v>B</v>
          </cell>
        </row>
        <row r="6927">
          <cell r="B6927" t="str">
            <v>LA-B1874</v>
          </cell>
          <cell r="J6927" t="str">
            <v>B</v>
          </cell>
          <cell r="N6927" t="str">
            <v>B</v>
          </cell>
        </row>
        <row r="6928">
          <cell r="B6928" t="str">
            <v>LA-B1875</v>
          </cell>
          <cell r="J6928" t="str">
            <v>B</v>
          </cell>
          <cell r="N6928" t="str">
            <v>B</v>
          </cell>
        </row>
        <row r="6929">
          <cell r="B6929" t="str">
            <v>LA-B1876</v>
          </cell>
          <cell r="J6929" t="str">
            <v>B</v>
          </cell>
          <cell r="N6929" t="str">
            <v>B</v>
          </cell>
        </row>
        <row r="6930">
          <cell r="B6930" t="str">
            <v>LA-B1877</v>
          </cell>
          <cell r="J6930" t="str">
            <v>B</v>
          </cell>
          <cell r="N6930" t="str">
            <v>B</v>
          </cell>
        </row>
        <row r="6931">
          <cell r="B6931" t="str">
            <v>LA-B1878</v>
          </cell>
          <cell r="J6931" t="str">
            <v>B</v>
          </cell>
          <cell r="N6931" t="str">
            <v>B</v>
          </cell>
        </row>
        <row r="6932">
          <cell r="B6932" t="str">
            <v>LA-B1879</v>
          </cell>
          <cell r="J6932" t="str">
            <v>B</v>
          </cell>
          <cell r="N6932" t="str">
            <v>B</v>
          </cell>
        </row>
        <row r="6933">
          <cell r="B6933" t="str">
            <v>LA-A1880</v>
          </cell>
          <cell r="J6933" t="str">
            <v>A</v>
          </cell>
          <cell r="N6933" t="str">
            <v>A</v>
          </cell>
        </row>
        <row r="6934">
          <cell r="B6934" t="str">
            <v>LA-A1881</v>
          </cell>
          <cell r="J6934" t="str">
            <v>A</v>
          </cell>
          <cell r="N6934" t="str">
            <v>A</v>
          </cell>
        </row>
        <row r="6935">
          <cell r="B6935" t="str">
            <v>LA-A1882</v>
          </cell>
          <cell r="J6935" t="str">
            <v>A</v>
          </cell>
          <cell r="N6935" t="str">
            <v>A</v>
          </cell>
        </row>
        <row r="6936">
          <cell r="B6936" t="str">
            <v>LA-A1883</v>
          </cell>
          <cell r="J6936" t="str">
            <v>A</v>
          </cell>
          <cell r="N6936" t="str">
            <v>A</v>
          </cell>
        </row>
        <row r="6937">
          <cell r="B6937" t="str">
            <v>LA-A1884</v>
          </cell>
          <cell r="J6937" t="str">
            <v>A</v>
          </cell>
          <cell r="N6937" t="str">
            <v>A</v>
          </cell>
        </row>
        <row r="6938">
          <cell r="B6938" t="str">
            <v>LA-A1885</v>
          </cell>
          <cell r="J6938" t="str">
            <v>A</v>
          </cell>
          <cell r="N6938" t="str">
            <v>A</v>
          </cell>
        </row>
        <row r="6939">
          <cell r="B6939" t="str">
            <v>LA-A1886</v>
          </cell>
          <cell r="J6939" t="str">
            <v>A</v>
          </cell>
          <cell r="N6939" t="str">
            <v>A</v>
          </cell>
        </row>
        <row r="6940">
          <cell r="B6940" t="str">
            <v>LA-A1887</v>
          </cell>
          <cell r="J6940" t="str">
            <v>A</v>
          </cell>
          <cell r="N6940" t="str">
            <v>A</v>
          </cell>
        </row>
        <row r="6941">
          <cell r="B6941" t="str">
            <v>LA-A1888</v>
          </cell>
          <cell r="J6941" t="str">
            <v>A</v>
          </cell>
          <cell r="N6941" t="str">
            <v>A</v>
          </cell>
        </row>
        <row r="6942">
          <cell r="B6942" t="str">
            <v>LA-B1889</v>
          </cell>
          <cell r="J6942" t="str">
            <v>B</v>
          </cell>
          <cell r="N6942" t="str">
            <v>B</v>
          </cell>
        </row>
        <row r="6943">
          <cell r="B6943" t="str">
            <v>LA-B1890</v>
          </cell>
          <cell r="J6943" t="str">
            <v>B</v>
          </cell>
          <cell r="N6943" t="str">
            <v>B</v>
          </cell>
        </row>
        <row r="6944">
          <cell r="B6944" t="str">
            <v>LA-B1891</v>
          </cell>
          <cell r="J6944" t="str">
            <v>B</v>
          </cell>
          <cell r="N6944" t="str">
            <v>B</v>
          </cell>
        </row>
        <row r="6945">
          <cell r="B6945" t="str">
            <v>LA-B1892</v>
          </cell>
          <cell r="J6945" t="str">
            <v>B</v>
          </cell>
          <cell r="N6945" t="str">
            <v>B</v>
          </cell>
        </row>
        <row r="6946">
          <cell r="B6946" t="str">
            <v>LA-B1893</v>
          </cell>
          <cell r="J6946" t="str">
            <v>B</v>
          </cell>
          <cell r="N6946" t="str">
            <v>B</v>
          </cell>
        </row>
        <row r="6947">
          <cell r="B6947" t="str">
            <v>LA-B1894</v>
          </cell>
          <cell r="J6947" t="str">
            <v>B</v>
          </cell>
          <cell r="N6947" t="str">
            <v>B</v>
          </cell>
        </row>
        <row r="6948">
          <cell r="B6948" t="str">
            <v>LA-B1895</v>
          </cell>
          <cell r="J6948" t="str">
            <v>B</v>
          </cell>
          <cell r="N6948" t="str">
            <v>B</v>
          </cell>
        </row>
        <row r="6949">
          <cell r="B6949" t="str">
            <v>LA-B1896</v>
          </cell>
          <cell r="J6949" t="str">
            <v>B</v>
          </cell>
          <cell r="N6949" t="str">
            <v>B</v>
          </cell>
        </row>
        <row r="6950">
          <cell r="B6950" t="str">
            <v>LA-B1897</v>
          </cell>
          <cell r="J6950" t="str">
            <v>B</v>
          </cell>
          <cell r="N6950" t="str">
            <v>B</v>
          </cell>
        </row>
        <row r="6951">
          <cell r="B6951" t="str">
            <v>LA-B1898</v>
          </cell>
          <cell r="J6951" t="str">
            <v>B</v>
          </cell>
          <cell r="N6951" t="str">
            <v>B</v>
          </cell>
        </row>
        <row r="6952">
          <cell r="B6952" t="str">
            <v>LA-B1899</v>
          </cell>
          <cell r="J6952" t="str">
            <v>B</v>
          </cell>
          <cell r="N6952" t="str">
            <v>B</v>
          </cell>
        </row>
        <row r="6953">
          <cell r="B6953" t="str">
            <v>LA-B1900</v>
          </cell>
          <cell r="J6953" t="str">
            <v>B</v>
          </cell>
          <cell r="N6953" t="str">
            <v>B</v>
          </cell>
        </row>
        <row r="6954">
          <cell r="B6954" t="str">
            <v>LA-B1901</v>
          </cell>
          <cell r="J6954" t="str">
            <v>B</v>
          </cell>
          <cell r="N6954" t="str">
            <v>B</v>
          </cell>
        </row>
        <row r="6955">
          <cell r="B6955" t="str">
            <v>LA-B1902</v>
          </cell>
          <cell r="J6955" t="str">
            <v>B</v>
          </cell>
          <cell r="N6955" t="str">
            <v>B</v>
          </cell>
        </row>
        <row r="6956">
          <cell r="B6956" t="str">
            <v>LA-B1903</v>
          </cell>
          <cell r="J6956" t="str">
            <v>B</v>
          </cell>
          <cell r="N6956" t="str">
            <v>B</v>
          </cell>
        </row>
        <row r="6957">
          <cell r="B6957" t="str">
            <v>LA-B1904</v>
          </cell>
          <cell r="J6957" t="str">
            <v>B</v>
          </cell>
          <cell r="N6957" t="str">
            <v>B</v>
          </cell>
        </row>
        <row r="6958">
          <cell r="B6958" t="str">
            <v>LA-B1905</v>
          </cell>
          <cell r="J6958" t="str">
            <v>B</v>
          </cell>
          <cell r="N6958" t="str">
            <v>B</v>
          </cell>
        </row>
        <row r="6959">
          <cell r="B6959" t="str">
            <v>LA-B1906</v>
          </cell>
          <cell r="J6959" t="str">
            <v>B</v>
          </cell>
          <cell r="N6959" t="str">
            <v>B</v>
          </cell>
        </row>
        <row r="6960">
          <cell r="B6960" t="str">
            <v>LA-B1907</v>
          </cell>
          <cell r="J6960" t="str">
            <v>B</v>
          </cell>
          <cell r="N6960" t="str">
            <v>B</v>
          </cell>
        </row>
        <row r="6961">
          <cell r="B6961" t="str">
            <v>LA-B1908</v>
          </cell>
          <cell r="J6961" t="str">
            <v>B</v>
          </cell>
          <cell r="N6961" t="str">
            <v>B</v>
          </cell>
        </row>
        <row r="6962">
          <cell r="B6962" t="str">
            <v>LA-B1909</v>
          </cell>
          <cell r="J6962" t="str">
            <v>B</v>
          </cell>
          <cell r="N6962" t="str">
            <v>B</v>
          </cell>
        </row>
        <row r="6963">
          <cell r="B6963" t="str">
            <v>LA-B1910</v>
          </cell>
          <cell r="J6963" t="str">
            <v>B</v>
          </cell>
          <cell r="N6963" t="str">
            <v>B</v>
          </cell>
        </row>
        <row r="6964">
          <cell r="B6964" t="str">
            <v>LA-B1911</v>
          </cell>
          <cell r="J6964" t="str">
            <v>B</v>
          </cell>
          <cell r="N6964" t="str">
            <v>B</v>
          </cell>
        </row>
        <row r="6965">
          <cell r="B6965" t="str">
            <v>LA-B1912</v>
          </cell>
          <cell r="J6965" t="str">
            <v>B</v>
          </cell>
          <cell r="N6965" t="str">
            <v>B</v>
          </cell>
        </row>
        <row r="6966">
          <cell r="B6966" t="str">
            <v>LA-B1913</v>
          </cell>
          <cell r="J6966" t="str">
            <v>B</v>
          </cell>
          <cell r="N6966" t="str">
            <v>B</v>
          </cell>
        </row>
        <row r="6967">
          <cell r="B6967" t="str">
            <v>LA-B1914</v>
          </cell>
          <cell r="J6967" t="str">
            <v>B</v>
          </cell>
          <cell r="N6967" t="str">
            <v>B</v>
          </cell>
        </row>
        <row r="6968">
          <cell r="B6968" t="str">
            <v>LA-B1915</v>
          </cell>
          <cell r="J6968" t="str">
            <v>B</v>
          </cell>
          <cell r="N6968" t="str">
            <v>B</v>
          </cell>
        </row>
        <row r="6969">
          <cell r="B6969" t="str">
            <v>LA-B1916</v>
          </cell>
          <cell r="J6969" t="str">
            <v>B</v>
          </cell>
          <cell r="N6969" t="str">
            <v>B</v>
          </cell>
        </row>
        <row r="6970">
          <cell r="B6970" t="str">
            <v>LA-B1917</v>
          </cell>
          <cell r="J6970" t="str">
            <v>B</v>
          </cell>
          <cell r="N6970" t="str">
            <v>B</v>
          </cell>
        </row>
        <row r="6971">
          <cell r="B6971" t="str">
            <v>LA-B1918</v>
          </cell>
          <cell r="J6971" t="str">
            <v>B</v>
          </cell>
          <cell r="N6971" t="str">
            <v>B</v>
          </cell>
        </row>
        <row r="6972">
          <cell r="B6972" t="str">
            <v>LA-B1919</v>
          </cell>
          <cell r="J6972" t="str">
            <v>B</v>
          </cell>
          <cell r="N6972" t="str">
            <v>B</v>
          </cell>
        </row>
        <row r="6973">
          <cell r="B6973" t="str">
            <v>LA-B1920</v>
          </cell>
          <cell r="J6973" t="str">
            <v>B</v>
          </cell>
          <cell r="N6973" t="str">
            <v>B</v>
          </cell>
        </row>
        <row r="6974">
          <cell r="B6974" t="str">
            <v>LA-B1921</v>
          </cell>
          <cell r="J6974" t="str">
            <v>B</v>
          </cell>
          <cell r="N6974" t="str">
            <v>B</v>
          </cell>
        </row>
        <row r="6975">
          <cell r="B6975" t="str">
            <v>LA-B1922</v>
          </cell>
          <cell r="J6975" t="str">
            <v>B</v>
          </cell>
          <cell r="N6975" t="str">
            <v>B</v>
          </cell>
        </row>
        <row r="6976">
          <cell r="B6976" t="str">
            <v>LA-B1923</v>
          </cell>
          <cell r="J6976" t="str">
            <v>B</v>
          </cell>
          <cell r="N6976" t="str">
            <v>B</v>
          </cell>
        </row>
        <row r="6977">
          <cell r="B6977" t="str">
            <v>LA-B1924</v>
          </cell>
          <cell r="J6977" t="str">
            <v>B</v>
          </cell>
          <cell r="N6977" t="str">
            <v>B</v>
          </cell>
        </row>
        <row r="6978">
          <cell r="B6978" t="str">
            <v>LA-B1925</v>
          </cell>
          <cell r="J6978" t="str">
            <v>B</v>
          </cell>
          <cell r="N6978" t="str">
            <v>B</v>
          </cell>
        </row>
        <row r="6979">
          <cell r="B6979" t="str">
            <v>LA-B1926</v>
          </cell>
          <cell r="J6979" t="str">
            <v>B</v>
          </cell>
          <cell r="N6979" t="str">
            <v>B</v>
          </cell>
        </row>
        <row r="6980">
          <cell r="B6980" t="str">
            <v>LA-B1927</v>
          </cell>
          <cell r="J6980" t="str">
            <v>B</v>
          </cell>
          <cell r="N6980" t="str">
            <v>B</v>
          </cell>
        </row>
        <row r="6981">
          <cell r="B6981" t="str">
            <v>LA-B1928</v>
          </cell>
          <cell r="J6981" t="str">
            <v>B</v>
          </cell>
          <cell r="N6981" t="str">
            <v>B</v>
          </cell>
        </row>
        <row r="6982">
          <cell r="B6982" t="str">
            <v>LA-B1929</v>
          </cell>
          <cell r="J6982" t="str">
            <v>B</v>
          </cell>
          <cell r="N6982" t="str">
            <v>B</v>
          </cell>
        </row>
        <row r="6983">
          <cell r="B6983" t="str">
            <v>LA-B1930</v>
          </cell>
          <cell r="J6983" t="str">
            <v>B</v>
          </cell>
          <cell r="N6983" t="str">
            <v>B</v>
          </cell>
        </row>
        <row r="6984">
          <cell r="B6984" t="str">
            <v>LA-B1931</v>
          </cell>
          <cell r="J6984" t="str">
            <v>B</v>
          </cell>
          <cell r="N6984" t="str">
            <v>B</v>
          </cell>
        </row>
        <row r="6985">
          <cell r="B6985" t="str">
            <v>LA-B1932</v>
          </cell>
          <cell r="J6985" t="str">
            <v>B</v>
          </cell>
          <cell r="N6985" t="str">
            <v>B</v>
          </cell>
        </row>
        <row r="6986">
          <cell r="B6986" t="str">
            <v>LA-B1933</v>
          </cell>
          <cell r="J6986" t="str">
            <v>B</v>
          </cell>
          <cell r="N6986" t="str">
            <v>B</v>
          </cell>
        </row>
        <row r="6987">
          <cell r="B6987" t="str">
            <v>LA-B1934</v>
          </cell>
          <cell r="J6987" t="str">
            <v>B</v>
          </cell>
          <cell r="N6987" t="str">
            <v>B</v>
          </cell>
        </row>
        <row r="6988">
          <cell r="B6988" t="str">
            <v>LA-B1935</v>
          </cell>
          <cell r="J6988" t="str">
            <v>B</v>
          </cell>
          <cell r="N6988" t="str">
            <v>B</v>
          </cell>
        </row>
        <row r="6989">
          <cell r="B6989" t="str">
            <v>LA-B1936</v>
          </cell>
          <cell r="J6989" t="str">
            <v>B</v>
          </cell>
          <cell r="N6989" t="str">
            <v>B</v>
          </cell>
        </row>
        <row r="6990">
          <cell r="B6990" t="str">
            <v>LA-B1937</v>
          </cell>
          <cell r="J6990" t="str">
            <v>B</v>
          </cell>
          <cell r="N6990" t="str">
            <v>B</v>
          </cell>
        </row>
        <row r="6991">
          <cell r="B6991" t="str">
            <v>LA-B1938</v>
          </cell>
          <cell r="J6991" t="str">
            <v>B</v>
          </cell>
          <cell r="N6991" t="str">
            <v>B</v>
          </cell>
        </row>
        <row r="6992">
          <cell r="B6992" t="str">
            <v>LA-B1939</v>
          </cell>
          <cell r="J6992" t="str">
            <v>B</v>
          </cell>
          <cell r="N6992" t="str">
            <v>B</v>
          </cell>
        </row>
        <row r="6993">
          <cell r="B6993" t="str">
            <v>LA-B1940</v>
          </cell>
          <cell r="J6993" t="str">
            <v>B</v>
          </cell>
          <cell r="N6993" t="str">
            <v>B</v>
          </cell>
        </row>
        <row r="6994">
          <cell r="B6994" t="str">
            <v>LA-B1941</v>
          </cell>
          <cell r="J6994" t="str">
            <v>B</v>
          </cell>
          <cell r="N6994" t="str">
            <v>B</v>
          </cell>
        </row>
        <row r="6995">
          <cell r="B6995" t="str">
            <v>LA-B1942</v>
          </cell>
          <cell r="J6995" t="str">
            <v>B</v>
          </cell>
          <cell r="N6995" t="str">
            <v>B</v>
          </cell>
        </row>
        <row r="6996">
          <cell r="B6996" t="str">
            <v>LA-B1943</v>
          </cell>
          <cell r="J6996" t="str">
            <v>B</v>
          </cell>
          <cell r="N6996" t="str">
            <v>B</v>
          </cell>
        </row>
        <row r="6997">
          <cell r="B6997" t="str">
            <v>LA-B1944</v>
          </cell>
          <cell r="J6997" t="str">
            <v>B</v>
          </cell>
          <cell r="N6997" t="str">
            <v>B</v>
          </cell>
        </row>
        <row r="6998">
          <cell r="B6998" t="str">
            <v>LA-B1945</v>
          </cell>
          <cell r="J6998" t="str">
            <v>B</v>
          </cell>
          <cell r="N6998" t="str">
            <v>B</v>
          </cell>
        </row>
        <row r="6999">
          <cell r="B6999" t="str">
            <v>LA-B1946</v>
          </cell>
          <cell r="J6999" t="str">
            <v>B</v>
          </cell>
          <cell r="N6999" t="str">
            <v>B</v>
          </cell>
        </row>
        <row r="7000">
          <cell r="B7000" t="str">
            <v>LA-B1947</v>
          </cell>
          <cell r="J7000" t="str">
            <v>B</v>
          </cell>
          <cell r="N7000" t="str">
            <v>B</v>
          </cell>
        </row>
        <row r="7001">
          <cell r="B7001" t="str">
            <v>LA-B1948</v>
          </cell>
          <cell r="J7001" t="str">
            <v>B</v>
          </cell>
          <cell r="N7001" t="str">
            <v>B</v>
          </cell>
        </row>
        <row r="7002">
          <cell r="B7002" t="str">
            <v>LA-B1949</v>
          </cell>
          <cell r="J7002" t="str">
            <v>B</v>
          </cell>
          <cell r="N7002" t="str">
            <v>B</v>
          </cell>
        </row>
        <row r="7003">
          <cell r="B7003" t="str">
            <v>LA-B1950</v>
          </cell>
          <cell r="J7003" t="str">
            <v>B</v>
          </cell>
          <cell r="N7003" t="str">
            <v>B</v>
          </cell>
        </row>
        <row r="7004">
          <cell r="B7004" t="str">
            <v>LA-B1951</v>
          </cell>
          <cell r="J7004" t="str">
            <v>B</v>
          </cell>
          <cell r="N7004" t="str">
            <v>B</v>
          </cell>
        </row>
        <row r="7005">
          <cell r="B7005" t="str">
            <v>LA-B1952</v>
          </cell>
          <cell r="J7005" t="str">
            <v>B</v>
          </cell>
          <cell r="N7005" t="str">
            <v>B</v>
          </cell>
        </row>
        <row r="7006">
          <cell r="B7006" t="str">
            <v>LA-B1953</v>
          </cell>
          <cell r="J7006" t="str">
            <v>B</v>
          </cell>
          <cell r="N7006" t="str">
            <v>B</v>
          </cell>
        </row>
        <row r="7007">
          <cell r="B7007" t="str">
            <v>LA-B1954</v>
          </cell>
          <cell r="J7007" t="str">
            <v>B</v>
          </cell>
          <cell r="N7007" t="str">
            <v>B</v>
          </cell>
        </row>
        <row r="7008">
          <cell r="B7008" t="str">
            <v>LA-B1955</v>
          </cell>
          <cell r="J7008" t="str">
            <v>B</v>
          </cell>
          <cell r="N7008" t="str">
            <v>B</v>
          </cell>
        </row>
        <row r="7009">
          <cell r="B7009" t="str">
            <v>LA-B1956</v>
          </cell>
          <cell r="J7009" t="str">
            <v>B</v>
          </cell>
          <cell r="N7009" t="str">
            <v>B</v>
          </cell>
        </row>
        <row r="7010">
          <cell r="B7010" t="str">
            <v>LA-B1957</v>
          </cell>
          <cell r="J7010" t="str">
            <v>B</v>
          </cell>
          <cell r="N7010" t="str">
            <v>B</v>
          </cell>
        </row>
        <row r="7011">
          <cell r="B7011" t="str">
            <v>LA-B1958</v>
          </cell>
          <cell r="J7011" t="str">
            <v>B</v>
          </cell>
          <cell r="N7011" t="str">
            <v>B</v>
          </cell>
        </row>
        <row r="7012">
          <cell r="B7012" t="str">
            <v>LA-B1959</v>
          </cell>
          <cell r="J7012" t="str">
            <v>B</v>
          </cell>
          <cell r="N7012" t="str">
            <v>B</v>
          </cell>
        </row>
        <row r="7013">
          <cell r="B7013" t="str">
            <v>LA-B1960</v>
          </cell>
          <cell r="J7013" t="str">
            <v>B</v>
          </cell>
          <cell r="N7013" t="str">
            <v>B</v>
          </cell>
        </row>
        <row r="7014">
          <cell r="B7014" t="str">
            <v>LA-B1961</v>
          </cell>
          <cell r="J7014" t="str">
            <v>B</v>
          </cell>
          <cell r="M7014" t="str">
            <v>SJ-BP1012 / GCBB-18|</v>
          </cell>
          <cell r="N7014" t="str">
            <v>B</v>
          </cell>
        </row>
        <row r="7015">
          <cell r="B7015" t="str">
            <v>LA-B1962</v>
          </cell>
          <cell r="J7015" t="str">
            <v>B</v>
          </cell>
          <cell r="N7015" t="str">
            <v>B</v>
          </cell>
        </row>
        <row r="7016">
          <cell r="B7016" t="str">
            <v>LA-B1963</v>
          </cell>
          <cell r="J7016" t="str">
            <v>B</v>
          </cell>
          <cell r="N7016" t="str">
            <v>B</v>
          </cell>
        </row>
        <row r="7017">
          <cell r="B7017" t="str">
            <v>LA-B1964</v>
          </cell>
          <cell r="J7017" t="str">
            <v>B</v>
          </cell>
          <cell r="N7017" t="str">
            <v>B</v>
          </cell>
        </row>
        <row r="7018">
          <cell r="B7018" t="str">
            <v>LA-B1965</v>
          </cell>
          <cell r="J7018" t="str">
            <v>B</v>
          </cell>
          <cell r="N7018" t="str">
            <v>B</v>
          </cell>
        </row>
        <row r="7019">
          <cell r="B7019" t="str">
            <v>LA-B1966</v>
          </cell>
          <cell r="J7019" t="str">
            <v>B</v>
          </cell>
          <cell r="N7019" t="str">
            <v>B</v>
          </cell>
        </row>
        <row r="7020">
          <cell r="B7020" t="str">
            <v>LA-B1967</v>
          </cell>
          <cell r="J7020" t="str">
            <v>B</v>
          </cell>
          <cell r="N7020" t="str">
            <v>B</v>
          </cell>
        </row>
        <row r="7021">
          <cell r="B7021" t="str">
            <v>LA-B1968</v>
          </cell>
          <cell r="J7021" t="str">
            <v>B</v>
          </cell>
          <cell r="N7021" t="str">
            <v>B</v>
          </cell>
        </row>
        <row r="7022">
          <cell r="B7022" t="str">
            <v>LA-B1969</v>
          </cell>
          <cell r="J7022" t="str">
            <v>B</v>
          </cell>
          <cell r="N7022" t="str">
            <v>B</v>
          </cell>
        </row>
        <row r="7023">
          <cell r="B7023" t="str">
            <v>LA-B1970</v>
          </cell>
          <cell r="J7023" t="str">
            <v>B</v>
          </cell>
          <cell r="N7023" t="str">
            <v>B</v>
          </cell>
        </row>
        <row r="7024">
          <cell r="B7024" t="str">
            <v>LA-B1971</v>
          </cell>
          <cell r="J7024" t="str">
            <v>B</v>
          </cell>
          <cell r="N7024" t="str">
            <v>B</v>
          </cell>
        </row>
        <row r="7025">
          <cell r="B7025" t="str">
            <v>LA-B1972</v>
          </cell>
          <cell r="J7025" t="str">
            <v>B</v>
          </cell>
          <cell r="N7025" t="str">
            <v>B</v>
          </cell>
        </row>
        <row r="7026">
          <cell r="B7026" t="str">
            <v>LL-BP1000</v>
          </cell>
          <cell r="J7026" t="str">
            <v>B2PAL</v>
          </cell>
          <cell r="N7026" t="str">
            <v>B2PAL</v>
          </cell>
        </row>
        <row r="7027">
          <cell r="B7027" t="str">
            <v>LL-BP1002</v>
          </cell>
          <cell r="J7027" t="str">
            <v>B2PAL</v>
          </cell>
          <cell r="N7027" t="str">
            <v>B2PAL</v>
          </cell>
        </row>
        <row r="7028">
          <cell r="B7028" t="str">
            <v>LL-BP1003</v>
          </cell>
          <cell r="J7028" t="str">
            <v>B2PAL</v>
          </cell>
          <cell r="N7028" t="str">
            <v>B2PAL</v>
          </cell>
        </row>
        <row r="7029">
          <cell r="B7029" t="str">
            <v>SJ-BP1004</v>
          </cell>
          <cell r="J7029" t="str">
            <v>B2PAL</v>
          </cell>
          <cell r="N7029" t="str">
            <v>B2PAL</v>
          </cell>
        </row>
        <row r="7030">
          <cell r="B7030" t="str">
            <v>SJ-BP1005</v>
          </cell>
          <cell r="J7030" t="str">
            <v>B2PAL</v>
          </cell>
          <cell r="N7030" t="str">
            <v>B2PAL</v>
          </cell>
        </row>
        <row r="7031">
          <cell r="B7031" t="str">
            <v>SJ-BP1006</v>
          </cell>
          <cell r="J7031" t="str">
            <v>B2PAL</v>
          </cell>
          <cell r="N7031" t="str">
            <v>B2PAL</v>
          </cell>
        </row>
        <row r="7032">
          <cell r="B7032" t="str">
            <v>LL-BP1007</v>
          </cell>
          <cell r="J7032" t="str">
            <v>B2PAL</v>
          </cell>
          <cell r="N7032" t="str">
            <v>B2PAL</v>
          </cell>
        </row>
        <row r="7033">
          <cell r="B7033" t="str">
            <v>LL-BP1008</v>
          </cell>
          <cell r="J7033" t="str">
            <v>B2PAL</v>
          </cell>
          <cell r="N7033" t="str">
            <v>B2PAL</v>
          </cell>
        </row>
        <row r="7034">
          <cell r="B7034" t="str">
            <v>LL-BP1009</v>
          </cell>
          <cell r="J7034" t="str">
            <v>B2PAL</v>
          </cell>
          <cell r="N7034" t="str">
            <v>B2PAL</v>
          </cell>
        </row>
        <row r="7035">
          <cell r="B7035" t="str">
            <v>LL-BP1010</v>
          </cell>
          <cell r="J7035" t="str">
            <v>B2PAL</v>
          </cell>
          <cell r="N7035" t="str">
            <v>B2PAL</v>
          </cell>
        </row>
        <row r="7036">
          <cell r="B7036" t="str">
            <v>LL-BP1011</v>
          </cell>
          <cell r="J7036" t="str">
            <v>B2PAL</v>
          </cell>
          <cell r="N7036" t="str">
            <v>B2PAL</v>
          </cell>
        </row>
        <row r="7037">
          <cell r="B7037" t="str">
            <v>SJ-BP1012</v>
          </cell>
          <cell r="J7037" t="str">
            <v>B2PAL</v>
          </cell>
          <cell r="N7037" t="str">
            <v>B2PAL</v>
          </cell>
        </row>
        <row r="7038">
          <cell r="B7038" t="str">
            <v>LL-BP1013</v>
          </cell>
          <cell r="J7038" t="str">
            <v>B2PAL</v>
          </cell>
          <cell r="N7038" t="str">
            <v>B2PAL</v>
          </cell>
        </row>
        <row r="7039">
          <cell r="B7039" t="str">
            <v>LL-BP1014</v>
          </cell>
          <cell r="J7039" t="str">
            <v>B2PAL</v>
          </cell>
          <cell r="N7039" t="str">
            <v>B2PAL</v>
          </cell>
        </row>
        <row r="7040">
          <cell r="B7040" t="str">
            <v>LL-BP1015</v>
          </cell>
          <cell r="J7040" t="str">
            <v>B2PAL</v>
          </cell>
          <cell r="N7040" t="str">
            <v>B2PAL</v>
          </cell>
        </row>
        <row r="7041">
          <cell r="B7041" t="str">
            <v>LL-BP1016</v>
          </cell>
          <cell r="J7041" t="str">
            <v>B2PAL</v>
          </cell>
          <cell r="N7041" t="str">
            <v>B2PAL</v>
          </cell>
        </row>
        <row r="7042">
          <cell r="B7042" t="str">
            <v>LL-BP1017</v>
          </cell>
          <cell r="J7042" t="str">
            <v>B2PAL</v>
          </cell>
          <cell r="N7042" t="str">
            <v>B2PAL</v>
          </cell>
        </row>
        <row r="7043">
          <cell r="B7043" t="str">
            <v>LL-BP1018</v>
          </cell>
          <cell r="J7043" t="str">
            <v>B2PAL</v>
          </cell>
          <cell r="N7043" t="str">
            <v>B2PAL</v>
          </cell>
        </row>
        <row r="7044">
          <cell r="B7044" t="str">
            <v>LL-BP1019</v>
          </cell>
          <cell r="J7044" t="str">
            <v>B2PAL</v>
          </cell>
          <cell r="N7044" t="str">
            <v>B2PAL</v>
          </cell>
        </row>
        <row r="7045">
          <cell r="B7045" t="str">
            <v>LL-BP1020</v>
          </cell>
          <cell r="J7045" t="str">
            <v>B2PAL</v>
          </cell>
          <cell r="N7045" t="str">
            <v>B2PAL</v>
          </cell>
        </row>
        <row r="7046">
          <cell r="B7046" t="str">
            <v>LL-BP1021</v>
          </cell>
          <cell r="J7046" t="str">
            <v>B2PAL</v>
          </cell>
          <cell r="N7046" t="str">
            <v>B2PAL</v>
          </cell>
        </row>
        <row r="7047">
          <cell r="B7047" t="str">
            <v>LL-BP1022</v>
          </cell>
          <cell r="J7047" t="str">
            <v>B2PAL</v>
          </cell>
          <cell r="N7047" t="str">
            <v>B2PAL</v>
          </cell>
        </row>
        <row r="7048">
          <cell r="B7048" t="str">
            <v>LL-BP1023</v>
          </cell>
          <cell r="J7048" t="str">
            <v>B2PAL</v>
          </cell>
          <cell r="N7048" t="str">
            <v>B2PAL</v>
          </cell>
        </row>
        <row r="7049">
          <cell r="B7049" t="str">
            <v>LL-BP1024</v>
          </cell>
          <cell r="J7049" t="str">
            <v>B2PAL</v>
          </cell>
          <cell r="N7049" t="str">
            <v>B2PAL</v>
          </cell>
        </row>
        <row r="7050">
          <cell r="B7050" t="str">
            <v>LL-BP1025</v>
          </cell>
          <cell r="J7050" t="str">
            <v>B2PAL</v>
          </cell>
          <cell r="N7050" t="str">
            <v>B2PAL</v>
          </cell>
        </row>
        <row r="7051">
          <cell r="B7051" t="str">
            <v>LL-BP1026</v>
          </cell>
          <cell r="J7051" t="str">
            <v>B2PAL</v>
          </cell>
          <cell r="N7051" t="str">
            <v>B2PAL</v>
          </cell>
        </row>
        <row r="7052">
          <cell r="B7052" t="str">
            <v>LL-BP1027</v>
          </cell>
          <cell r="J7052" t="str">
            <v>B2PAL</v>
          </cell>
          <cell r="N7052" t="str">
            <v>B2PAL</v>
          </cell>
        </row>
        <row r="7053">
          <cell r="B7053" t="str">
            <v>SJ-BP1028</v>
          </cell>
          <cell r="J7053" t="str">
            <v>B2PAL</v>
          </cell>
          <cell r="N7053" t="str">
            <v>B2PAL</v>
          </cell>
        </row>
        <row r="7054">
          <cell r="B7054" t="str">
            <v>LL-BP1029</v>
          </cell>
          <cell r="J7054" t="str">
            <v>B2PAL</v>
          </cell>
          <cell r="N7054" t="str">
            <v>B2PAL</v>
          </cell>
        </row>
        <row r="7055">
          <cell r="B7055" t="str">
            <v>LL-BP1030</v>
          </cell>
          <cell r="J7055" t="str">
            <v>B2PAL</v>
          </cell>
          <cell r="N7055" t="str">
            <v>B2PAL</v>
          </cell>
        </row>
        <row r="7056">
          <cell r="B7056" t="str">
            <v>LL-BP1031</v>
          </cell>
          <cell r="J7056" t="str">
            <v>B2PAL</v>
          </cell>
          <cell r="N7056" t="str">
            <v>B2PAL</v>
          </cell>
        </row>
        <row r="7057">
          <cell r="B7057" t="str">
            <v>LL-BP1032</v>
          </cell>
          <cell r="J7057" t="str">
            <v>B2PAL</v>
          </cell>
          <cell r="N7057" t="str">
            <v>B2PAL</v>
          </cell>
        </row>
        <row r="7058">
          <cell r="B7058" t="str">
            <v>LL-BP1033</v>
          </cell>
          <cell r="J7058" t="str">
            <v>B2PAL</v>
          </cell>
          <cell r="N7058" t="str">
            <v>B2PAL</v>
          </cell>
        </row>
        <row r="7059">
          <cell r="B7059" t="str">
            <v>LL-BP1034</v>
          </cell>
          <cell r="J7059" t="str">
            <v>B2PAL</v>
          </cell>
          <cell r="N7059" t="str">
            <v>B2PAL</v>
          </cell>
        </row>
        <row r="7060">
          <cell r="B7060" t="str">
            <v>LL-BP1035</v>
          </cell>
          <cell r="J7060" t="str">
            <v>B2PAL</v>
          </cell>
          <cell r="N7060" t="str">
            <v>B2PAL</v>
          </cell>
        </row>
        <row r="7061">
          <cell r="B7061" t="str">
            <v>LL-BP1036</v>
          </cell>
          <cell r="J7061" t="str">
            <v>B2PAL</v>
          </cell>
          <cell r="N7061" t="str">
            <v>B2PAL</v>
          </cell>
        </row>
        <row r="7062">
          <cell r="B7062" t="str">
            <v>LL-BP1037</v>
          </cell>
          <cell r="J7062" t="str">
            <v>B2PAL</v>
          </cell>
          <cell r="N7062" t="str">
            <v>B2PAL</v>
          </cell>
        </row>
        <row r="7063">
          <cell r="B7063" t="str">
            <v>LL-BP1038</v>
          </cell>
          <cell r="J7063" t="str">
            <v>B2PAL</v>
          </cell>
          <cell r="N7063" t="str">
            <v>B2PAL</v>
          </cell>
        </row>
        <row r="7064">
          <cell r="B7064" t="str">
            <v>LL-BP1039</v>
          </cell>
          <cell r="J7064" t="str">
            <v>B2PAL</v>
          </cell>
          <cell r="N7064" t="str">
            <v>B2PAL</v>
          </cell>
        </row>
        <row r="7065">
          <cell r="B7065" t="str">
            <v>LL-BP1040</v>
          </cell>
          <cell r="J7065" t="str">
            <v>B2PAL</v>
          </cell>
          <cell r="N7065" t="str">
            <v>B2PAL</v>
          </cell>
        </row>
        <row r="7066">
          <cell r="B7066" t="str">
            <v>LL-BP1041</v>
          </cell>
          <cell r="J7066" t="str">
            <v>B2PAL</v>
          </cell>
          <cell r="N7066" t="str">
            <v>B2PAL</v>
          </cell>
        </row>
        <row r="7067">
          <cell r="B7067" t="str">
            <v>LL-BP1042</v>
          </cell>
          <cell r="J7067" t="str">
            <v>B2PAL</v>
          </cell>
          <cell r="N7067" t="str">
            <v>B2PAL</v>
          </cell>
        </row>
        <row r="7068">
          <cell r="B7068" t="str">
            <v>LL-BP1043</v>
          </cell>
          <cell r="J7068" t="str">
            <v>B2PAL</v>
          </cell>
          <cell r="N7068" t="str">
            <v>B2PAL</v>
          </cell>
        </row>
        <row r="7069">
          <cell r="B7069" t="str">
            <v>LL-BP1044</v>
          </cell>
          <cell r="J7069" t="str">
            <v>B2PAL</v>
          </cell>
          <cell r="N7069" t="str">
            <v>B2PAL</v>
          </cell>
        </row>
        <row r="7070">
          <cell r="B7070" t="str">
            <v>LL-BP1045</v>
          </cell>
          <cell r="J7070" t="str">
            <v>B2PAL</v>
          </cell>
          <cell r="N7070" t="str">
            <v>B2PAL</v>
          </cell>
        </row>
        <row r="7071">
          <cell r="B7071" t="str">
            <v>LL-BP1046</v>
          </cell>
          <cell r="J7071" t="str">
            <v>B2PAL</v>
          </cell>
          <cell r="N7071" t="str">
            <v>B2PAL</v>
          </cell>
        </row>
        <row r="7072">
          <cell r="B7072" t="str">
            <v>LL-BP1047</v>
          </cell>
          <cell r="J7072" t="str">
            <v>B2PAL</v>
          </cell>
          <cell r="N7072" t="str">
            <v>B2PAL</v>
          </cell>
        </row>
        <row r="7073">
          <cell r="B7073" t="str">
            <v>LL-BP1048</v>
          </cell>
          <cell r="J7073" t="str">
            <v>B2PAL</v>
          </cell>
          <cell r="N7073" t="str">
            <v>B2PAL</v>
          </cell>
        </row>
        <row r="7074">
          <cell r="B7074" t="str">
            <v>LL-BP1049</v>
          </cell>
          <cell r="J7074" t="str">
            <v>B2PAL</v>
          </cell>
          <cell r="N7074" t="str">
            <v>B2PAL</v>
          </cell>
        </row>
        <row r="7075">
          <cell r="B7075" t="str">
            <v>LL-BP1050</v>
          </cell>
          <cell r="J7075" t="str">
            <v>B2PAL</v>
          </cell>
          <cell r="N7075" t="str">
            <v>B2PAL</v>
          </cell>
        </row>
        <row r="7076">
          <cell r="B7076" t="str">
            <v>LL-BP1051</v>
          </cell>
          <cell r="J7076" t="str">
            <v>B2PAL</v>
          </cell>
          <cell r="N7076" t="str">
            <v>B2PAL</v>
          </cell>
        </row>
        <row r="7077">
          <cell r="B7077" t="str">
            <v>LL-BP1052</v>
          </cell>
          <cell r="J7077" t="str">
            <v>B2PAL</v>
          </cell>
          <cell r="N7077" t="str">
            <v>B2PAL</v>
          </cell>
        </row>
        <row r="7078">
          <cell r="B7078" t="str">
            <v>LL-BP1053</v>
          </cell>
          <cell r="J7078" t="str">
            <v>B2PAL</v>
          </cell>
          <cell r="N7078" t="str">
            <v>B2PAL</v>
          </cell>
        </row>
        <row r="7079">
          <cell r="B7079" t="str">
            <v>LL-BP1054</v>
          </cell>
          <cell r="J7079" t="str">
            <v>B2PAL</v>
          </cell>
          <cell r="N7079" t="str">
            <v>B2PAL</v>
          </cell>
        </row>
        <row r="7080">
          <cell r="B7080" t="str">
            <v>LL-BP1055</v>
          </cell>
          <cell r="J7080" t="str">
            <v>B2PAL</v>
          </cell>
          <cell r="N7080" t="str">
            <v>B2PAL</v>
          </cell>
        </row>
        <row r="7081">
          <cell r="B7081" t="str">
            <v>LL-BP1056</v>
          </cell>
          <cell r="J7081" t="str">
            <v>B2PAL</v>
          </cell>
          <cell r="N7081" t="str">
            <v>B2PAL</v>
          </cell>
        </row>
        <row r="7082">
          <cell r="B7082" t="str">
            <v>LL-BP1057</v>
          </cell>
          <cell r="J7082" t="str">
            <v>B2PAL</v>
          </cell>
          <cell r="N7082" t="str">
            <v>B2PAL</v>
          </cell>
        </row>
        <row r="7083">
          <cell r="B7083" t="str">
            <v>LL-BP1058</v>
          </cell>
          <cell r="J7083" t="str">
            <v>B2PAL</v>
          </cell>
          <cell r="N7083" t="str">
            <v>B2PAL</v>
          </cell>
        </row>
        <row r="7084">
          <cell r="B7084" t="str">
            <v>LL-BP1059</v>
          </cell>
          <cell r="J7084" t="str">
            <v>B2PAL</v>
          </cell>
          <cell r="N7084" t="str">
            <v>B2PAL</v>
          </cell>
        </row>
        <row r="7085">
          <cell r="B7085" t="str">
            <v>LL-BP1060</v>
          </cell>
          <cell r="J7085" t="str">
            <v>B2PAL</v>
          </cell>
          <cell r="N7085" t="str">
            <v>B2PAL</v>
          </cell>
        </row>
        <row r="7086">
          <cell r="B7086" t="str">
            <v>LL-BP1061</v>
          </cell>
          <cell r="J7086" t="str">
            <v>B2PAL</v>
          </cell>
          <cell r="N7086" t="str">
            <v>B2PAL</v>
          </cell>
        </row>
        <row r="7087">
          <cell r="B7087" t="str">
            <v>LL-BP1062</v>
          </cell>
          <cell r="J7087" t="str">
            <v>B2PAL</v>
          </cell>
          <cell r="N7087" t="str">
            <v>B2PAL</v>
          </cell>
        </row>
        <row r="7088">
          <cell r="B7088" t="str">
            <v>LL-BP1063</v>
          </cell>
          <cell r="J7088" t="str">
            <v>B2PAL</v>
          </cell>
          <cell r="N7088" t="str">
            <v>B2PAL</v>
          </cell>
        </row>
        <row r="7089">
          <cell r="B7089" t="str">
            <v>LL-BP1064</v>
          </cell>
          <cell r="J7089" t="str">
            <v>B2PAL</v>
          </cell>
          <cell r="N7089" t="str">
            <v>B2PAL</v>
          </cell>
        </row>
        <row r="7090">
          <cell r="B7090" t="str">
            <v>LL-BP1065</v>
          </cell>
          <cell r="J7090" t="str">
            <v>B2PAL</v>
          </cell>
          <cell r="N7090" t="str">
            <v>B2PAL</v>
          </cell>
        </row>
        <row r="7091">
          <cell r="B7091" t="str">
            <v>LL-BP1066</v>
          </cell>
          <cell r="J7091" t="str">
            <v>B2PAL</v>
          </cell>
          <cell r="N7091" t="str">
            <v>B2PAL</v>
          </cell>
        </row>
        <row r="7092">
          <cell r="B7092" t="str">
            <v>SJ-BP1067</v>
          </cell>
          <cell r="J7092" t="str">
            <v>B2PAL</v>
          </cell>
          <cell r="N7092" t="str">
            <v>B2PAL</v>
          </cell>
        </row>
        <row r="7093">
          <cell r="B7093" t="str">
            <v>LL-BP1068</v>
          </cell>
          <cell r="J7093" t="str">
            <v>B2PAL</v>
          </cell>
          <cell r="N7093" t="str">
            <v>B2PAL</v>
          </cell>
        </row>
        <row r="7094">
          <cell r="B7094" t="str">
            <v>LL-BP1069</v>
          </cell>
          <cell r="J7094" t="str">
            <v>B2PAL</v>
          </cell>
          <cell r="N7094" t="str">
            <v>B2PAL</v>
          </cell>
        </row>
        <row r="7095">
          <cell r="B7095" t="str">
            <v>LL-BP1070</v>
          </cell>
          <cell r="J7095" t="str">
            <v>B2PAL</v>
          </cell>
          <cell r="N7095" t="str">
            <v>B2PAL</v>
          </cell>
        </row>
        <row r="7096">
          <cell r="B7096" t="str">
            <v>LL-BP1071</v>
          </cell>
          <cell r="J7096" t="str">
            <v>B2PAL</v>
          </cell>
          <cell r="N7096" t="str">
            <v>B2PAL</v>
          </cell>
        </row>
        <row r="7097">
          <cell r="B7097" t="str">
            <v>SJ-BP1072</v>
          </cell>
          <cell r="J7097" t="str">
            <v>B2PAL</v>
          </cell>
          <cell r="N7097" t="str">
            <v>B2PAL</v>
          </cell>
        </row>
        <row r="7098">
          <cell r="B7098" t="str">
            <v>LL-BP1073</v>
          </cell>
          <cell r="J7098" t="str">
            <v>B2PAL</v>
          </cell>
          <cell r="N7098" t="str">
            <v>B2PAL</v>
          </cell>
        </row>
        <row r="7099">
          <cell r="B7099" t="str">
            <v>LL-BP1074</v>
          </cell>
          <cell r="J7099" t="str">
            <v>B2PAL</v>
          </cell>
          <cell r="N7099" t="str">
            <v>B2PAL</v>
          </cell>
        </row>
        <row r="7100">
          <cell r="B7100" t="str">
            <v>LL-BP1075</v>
          </cell>
          <cell r="J7100" t="str">
            <v>B2PAL</v>
          </cell>
          <cell r="N7100" t="str">
            <v>B2PAL</v>
          </cell>
        </row>
        <row r="7101">
          <cell r="B7101" t="str">
            <v>SJ-BP1076</v>
          </cell>
          <cell r="J7101" t="str">
            <v>B2PAL</v>
          </cell>
          <cell r="N7101" t="str">
            <v>B2PAL</v>
          </cell>
        </row>
        <row r="7102">
          <cell r="B7102" t="str">
            <v>LL-BP1077</v>
          </cell>
          <cell r="J7102" t="str">
            <v>B2PAL</v>
          </cell>
          <cell r="N7102" t="str">
            <v>B2PAL</v>
          </cell>
        </row>
        <row r="7103">
          <cell r="B7103" t="str">
            <v>LL-BP1078</v>
          </cell>
          <cell r="J7103" t="str">
            <v>B2PAL</v>
          </cell>
          <cell r="N7103" t="str">
            <v>B2PAL</v>
          </cell>
        </row>
        <row r="7104">
          <cell r="B7104" t="str">
            <v>SJ-BP1079</v>
          </cell>
          <cell r="J7104" t="str">
            <v>B2PAL</v>
          </cell>
          <cell r="N7104" t="str">
            <v>B2PAL</v>
          </cell>
        </row>
        <row r="7105">
          <cell r="B7105" t="str">
            <v>SJ-BP1080</v>
          </cell>
          <cell r="J7105" t="str">
            <v>B2PAL</v>
          </cell>
          <cell r="N7105" t="str">
            <v>B2PAL</v>
          </cell>
        </row>
        <row r="7106">
          <cell r="B7106" t="str">
            <v>SJ-BP1081</v>
          </cell>
          <cell r="J7106" t="str">
            <v>B2PAL</v>
          </cell>
          <cell r="N7106" t="str">
            <v>B2PAL</v>
          </cell>
        </row>
        <row r="7107">
          <cell r="B7107" t="str">
            <v>SJ-BP1082</v>
          </cell>
          <cell r="J7107" t="str">
            <v>B2PAL</v>
          </cell>
          <cell r="N7107" t="str">
            <v>B2PAL</v>
          </cell>
        </row>
        <row r="7108">
          <cell r="B7108" t="str">
            <v>LL-BP1083</v>
          </cell>
          <cell r="J7108" t="str">
            <v>B2PAL</v>
          </cell>
          <cell r="N7108" t="str">
            <v>B2PAL</v>
          </cell>
        </row>
        <row r="7109">
          <cell r="B7109" t="str">
            <v>SJ-BP1084</v>
          </cell>
          <cell r="J7109" t="str">
            <v>B2PAL</v>
          </cell>
          <cell r="N7109" t="str">
            <v>B2PAL</v>
          </cell>
        </row>
        <row r="7110">
          <cell r="B7110" t="str">
            <v>LL-BP1085</v>
          </cell>
          <cell r="J7110" t="str">
            <v>B2PAL</v>
          </cell>
          <cell r="N7110" t="str">
            <v>B2PAL</v>
          </cell>
        </row>
        <row r="7111">
          <cell r="B7111" t="str">
            <v>LL-BP1086</v>
          </cell>
          <cell r="J7111" t="str">
            <v>B2PAL</v>
          </cell>
          <cell r="N7111" t="str">
            <v>B2PAL</v>
          </cell>
        </row>
        <row r="7112">
          <cell r="B7112" t="str">
            <v>SJ-BP1087</v>
          </cell>
          <cell r="J7112" t="str">
            <v>B2PAL</v>
          </cell>
          <cell r="N7112" t="str">
            <v>B2PAL</v>
          </cell>
        </row>
        <row r="7113">
          <cell r="B7113" t="str">
            <v>SJ-BP1088</v>
          </cell>
          <cell r="J7113" t="str">
            <v>B2PAL</v>
          </cell>
          <cell r="N7113" t="str">
            <v>B2PAL</v>
          </cell>
        </row>
        <row r="7114">
          <cell r="B7114" t="str">
            <v>SJ-BP1089</v>
          </cell>
          <cell r="J7114" t="str">
            <v>B2PAL</v>
          </cell>
          <cell r="N7114" t="str">
            <v>B2PAL</v>
          </cell>
        </row>
        <row r="7115">
          <cell r="B7115" t="str">
            <v>SJ-BP1090</v>
          </cell>
          <cell r="J7115" t="str">
            <v>B2PAL</v>
          </cell>
          <cell r="N7115" t="str">
            <v>B2PAL</v>
          </cell>
        </row>
        <row r="7116">
          <cell r="B7116" t="str">
            <v>LL-BP1091</v>
          </cell>
          <cell r="J7116" t="str">
            <v>B2PAL</v>
          </cell>
          <cell r="N7116" t="str">
            <v>B2PAL</v>
          </cell>
        </row>
        <row r="7117">
          <cell r="B7117" t="str">
            <v>SJ-BP1092</v>
          </cell>
          <cell r="J7117" t="str">
            <v>B2PAL</v>
          </cell>
          <cell r="N7117" t="str">
            <v>B2PAL</v>
          </cell>
        </row>
        <row r="7118">
          <cell r="B7118" t="str">
            <v>SJ-BP1093</v>
          </cell>
          <cell r="J7118" t="str">
            <v>B2PAL</v>
          </cell>
          <cell r="N7118" t="str">
            <v>B2PAL</v>
          </cell>
        </row>
        <row r="7119">
          <cell r="B7119" t="str">
            <v>LL-BP1094</v>
          </cell>
          <cell r="J7119" t="str">
            <v>B2PAL</v>
          </cell>
          <cell r="N7119" t="str">
            <v>B2PAL</v>
          </cell>
        </row>
        <row r="7120">
          <cell r="B7120" t="str">
            <v>SJ-BP1095</v>
          </cell>
          <cell r="J7120" t="str">
            <v>B2PAL</v>
          </cell>
          <cell r="N7120" t="str">
            <v>B2PAL</v>
          </cell>
        </row>
        <row r="7121">
          <cell r="B7121" t="str">
            <v>LL-BP1096</v>
          </cell>
          <cell r="J7121" t="str">
            <v>B2PAL</v>
          </cell>
          <cell r="N7121" t="str">
            <v>B2PAL</v>
          </cell>
        </row>
        <row r="7122">
          <cell r="B7122" t="str">
            <v>LL-BP1096</v>
          </cell>
          <cell r="J7122" t="str">
            <v>B2PAL</v>
          </cell>
          <cell r="N7122" t="str">
            <v>B2PAL</v>
          </cell>
        </row>
        <row r="7123">
          <cell r="B7123" t="str">
            <v>SJ-BP1097</v>
          </cell>
          <cell r="J7123" t="str">
            <v>B2PAL</v>
          </cell>
          <cell r="N7123" t="str">
            <v>B2PAL</v>
          </cell>
        </row>
        <row r="7124">
          <cell r="B7124" t="str">
            <v>SJ-BP1098</v>
          </cell>
          <cell r="J7124" t="str">
            <v>B2PAL</v>
          </cell>
          <cell r="N7124" t="str">
            <v>B2PAL</v>
          </cell>
        </row>
        <row r="7125">
          <cell r="B7125" t="str">
            <v>SJ-BP1099</v>
          </cell>
          <cell r="J7125" t="str">
            <v>B2PAL</v>
          </cell>
          <cell r="N7125" t="str">
            <v>B2PAL</v>
          </cell>
        </row>
        <row r="7126">
          <cell r="B7126" t="str">
            <v>SJ-BP1101</v>
          </cell>
          <cell r="J7126" t="str">
            <v>B2PAL</v>
          </cell>
          <cell r="N7126" t="str">
            <v>B2PAL</v>
          </cell>
        </row>
        <row r="7127">
          <cell r="B7127" t="str">
            <v>SJ-BP1102</v>
          </cell>
          <cell r="J7127" t="str">
            <v>B2PAL</v>
          </cell>
          <cell r="N7127" t="str">
            <v>B2PAL</v>
          </cell>
        </row>
        <row r="7128">
          <cell r="B7128" t="str">
            <v>SJ-BP1103</v>
          </cell>
          <cell r="J7128" t="str">
            <v>B2PAL</v>
          </cell>
          <cell r="N7128" t="str">
            <v>B2PAL</v>
          </cell>
        </row>
        <row r="7129">
          <cell r="B7129" t="str">
            <v>SJ-BP1104</v>
          </cell>
          <cell r="J7129" t="str">
            <v>B2PAL</v>
          </cell>
          <cell r="N7129" t="str">
            <v>B2PAL</v>
          </cell>
        </row>
        <row r="7130">
          <cell r="B7130" t="str">
            <v>SJ-BP1105</v>
          </cell>
          <cell r="J7130" t="str">
            <v>B2PAL</v>
          </cell>
          <cell r="N7130" t="str">
            <v>B2PAL</v>
          </cell>
        </row>
        <row r="7131">
          <cell r="B7131" t="str">
            <v>SJ-BP1106</v>
          </cell>
          <cell r="J7131" t="str">
            <v>B2PAL</v>
          </cell>
          <cell r="N7131" t="str">
            <v>B2PAL</v>
          </cell>
        </row>
        <row r="7132">
          <cell r="B7132" t="str">
            <v>SJ-B1107</v>
          </cell>
          <cell r="J7132" t="str">
            <v>B</v>
          </cell>
          <cell r="N7132" t="str">
            <v>B</v>
          </cell>
        </row>
        <row r="7133">
          <cell r="B7133" t="str">
            <v>SJ-B1108</v>
          </cell>
          <cell r="J7133" t="str">
            <v>B</v>
          </cell>
          <cell r="N7133" t="str">
            <v>B</v>
          </cell>
        </row>
        <row r="7134">
          <cell r="B7134" t="str">
            <v>SJ-B1109</v>
          </cell>
          <cell r="J7134" t="str">
            <v>B</v>
          </cell>
          <cell r="N7134" t="str">
            <v>B</v>
          </cell>
        </row>
        <row r="7135">
          <cell r="B7135" t="str">
            <v>SJ-B1110</v>
          </cell>
          <cell r="J7135" t="str">
            <v>B</v>
          </cell>
          <cell r="N7135" t="str">
            <v>B</v>
          </cell>
        </row>
        <row r="7136">
          <cell r="B7136" t="str">
            <v>SJ-B1111</v>
          </cell>
          <cell r="J7136" t="str">
            <v>B</v>
          </cell>
          <cell r="N7136" t="str">
            <v>B</v>
          </cell>
        </row>
        <row r="7137">
          <cell r="B7137" t="str">
            <v>SJ-B1112</v>
          </cell>
          <cell r="J7137" t="str">
            <v>B</v>
          </cell>
          <cell r="N7137" t="str">
            <v>B</v>
          </cell>
        </row>
        <row r="7138">
          <cell r="B7138" t="str">
            <v>SJ-B1113</v>
          </cell>
          <cell r="J7138" t="str">
            <v>B</v>
          </cell>
          <cell r="N7138" t="str">
            <v>B</v>
          </cell>
        </row>
        <row r="7139">
          <cell r="B7139" t="str">
            <v>SJ-B1114</v>
          </cell>
          <cell r="J7139" t="str">
            <v>B</v>
          </cell>
          <cell r="N7139" t="str">
            <v>B</v>
          </cell>
        </row>
        <row r="7140">
          <cell r="B7140" t="str">
            <v>SJ-B1115</v>
          </cell>
          <cell r="J7140" t="str">
            <v>B</v>
          </cell>
          <cell r="N7140" t="str">
            <v>B</v>
          </cell>
        </row>
        <row r="7141">
          <cell r="B7141" t="str">
            <v>SJ-B1116</v>
          </cell>
          <cell r="J7141" t="str">
            <v>B</v>
          </cell>
          <cell r="N7141" t="str">
            <v>B</v>
          </cell>
        </row>
        <row r="7142">
          <cell r="B7142" t="str">
            <v>SJ-B1117</v>
          </cell>
          <cell r="J7142" t="str">
            <v>B</v>
          </cell>
          <cell r="N7142" t="str">
            <v>B</v>
          </cell>
        </row>
        <row r="7143">
          <cell r="B7143" t="str">
            <v>SJ-B1118</v>
          </cell>
          <cell r="J7143" t="str">
            <v>B</v>
          </cell>
          <cell r="N7143" t="str">
            <v>B</v>
          </cell>
        </row>
        <row r="7144">
          <cell r="B7144" t="str">
            <v>SJ-B1119</v>
          </cell>
          <cell r="J7144" t="str">
            <v>B</v>
          </cell>
          <cell r="N7144" t="str">
            <v>B</v>
          </cell>
        </row>
        <row r="7145">
          <cell r="B7145" t="str">
            <v>SJ-B1120</v>
          </cell>
          <cell r="J7145" t="str">
            <v>B</v>
          </cell>
          <cell r="N7145" t="str">
            <v>B</v>
          </cell>
        </row>
        <row r="7146">
          <cell r="B7146" t="str">
            <v>SJ-B1121</v>
          </cell>
          <cell r="J7146" t="str">
            <v>B</v>
          </cell>
          <cell r="N7146" t="str">
            <v>B</v>
          </cell>
        </row>
        <row r="7147">
          <cell r="B7147" t="str">
            <v>CER-B1122</v>
          </cell>
          <cell r="J7147" t="str">
            <v>B</v>
          </cell>
          <cell r="N7147" t="str">
            <v>B</v>
          </cell>
        </row>
        <row r="7148">
          <cell r="B7148" t="str">
            <v>LL-B1123</v>
          </cell>
          <cell r="J7148" t="str">
            <v>B</v>
          </cell>
          <cell r="N7148" t="str">
            <v>B</v>
          </cell>
        </row>
        <row r="7149">
          <cell r="B7149" t="str">
            <v>LL-B1124</v>
          </cell>
          <cell r="J7149" t="str">
            <v>B</v>
          </cell>
          <cell r="N7149" t="str">
            <v>B</v>
          </cell>
        </row>
        <row r="7150">
          <cell r="B7150" t="str">
            <v>LL-B1125</v>
          </cell>
          <cell r="J7150" t="str">
            <v>B</v>
          </cell>
          <cell r="N7150" t="str">
            <v>B</v>
          </cell>
        </row>
        <row r="7151">
          <cell r="B7151" t="str">
            <v>SJ-B1126</v>
          </cell>
          <cell r="J7151" t="str">
            <v>B</v>
          </cell>
          <cell r="N7151" t="str">
            <v>B</v>
          </cell>
        </row>
        <row r="7152">
          <cell r="B7152" t="str">
            <v>SJ-B1127</v>
          </cell>
          <cell r="J7152" t="str">
            <v>B</v>
          </cell>
          <cell r="N7152" t="str">
            <v>B</v>
          </cell>
        </row>
        <row r="7153">
          <cell r="B7153" t="str">
            <v>SJ-B1128</v>
          </cell>
          <cell r="J7153" t="str">
            <v>B</v>
          </cell>
          <cell r="N7153" t="str">
            <v>B</v>
          </cell>
        </row>
        <row r="7154">
          <cell r="B7154" t="str">
            <v>SJ-B1129</v>
          </cell>
          <cell r="J7154" t="str">
            <v>B</v>
          </cell>
          <cell r="N7154" t="str">
            <v>B</v>
          </cell>
        </row>
        <row r="7155">
          <cell r="B7155" t="str">
            <v>CER-B1130</v>
          </cell>
          <cell r="J7155" t="str">
            <v>B</v>
          </cell>
          <cell r="N7155" t="str">
            <v>B</v>
          </cell>
        </row>
        <row r="7156">
          <cell r="B7156" t="str">
            <v>LL-B1131</v>
          </cell>
          <cell r="J7156" t="str">
            <v>B</v>
          </cell>
          <cell r="N7156" t="str">
            <v>B</v>
          </cell>
        </row>
        <row r="7157">
          <cell r="B7157" t="str">
            <v>LL-B1132</v>
          </cell>
          <cell r="J7157" t="str">
            <v>B</v>
          </cell>
          <cell r="N7157" t="str">
            <v>B</v>
          </cell>
        </row>
        <row r="7158">
          <cell r="B7158" t="str">
            <v>LL-B1133</v>
          </cell>
          <cell r="J7158" t="str">
            <v>B</v>
          </cell>
          <cell r="N7158" t="str">
            <v>B</v>
          </cell>
        </row>
        <row r="7159">
          <cell r="B7159" t="str">
            <v>LL-B1134</v>
          </cell>
          <cell r="J7159" t="str">
            <v>B</v>
          </cell>
          <cell r="N7159" t="str">
            <v>B</v>
          </cell>
        </row>
        <row r="7160">
          <cell r="B7160" t="str">
            <v>LL-B1135</v>
          </cell>
          <cell r="J7160" t="str">
            <v>B</v>
          </cell>
          <cell r="N7160" t="str">
            <v>B</v>
          </cell>
        </row>
        <row r="7161">
          <cell r="B7161" t="str">
            <v>LL-B1136</v>
          </cell>
          <cell r="J7161" t="str">
            <v>B</v>
          </cell>
          <cell r="N7161" t="str">
            <v>B</v>
          </cell>
        </row>
        <row r="7162">
          <cell r="B7162" t="str">
            <v>LL-B1137</v>
          </cell>
          <cell r="J7162" t="str">
            <v>B</v>
          </cell>
          <cell r="N7162" t="str">
            <v>B</v>
          </cell>
        </row>
        <row r="7163">
          <cell r="B7163" t="str">
            <v>LL-B1138</v>
          </cell>
          <cell r="J7163" t="str">
            <v>B</v>
          </cell>
          <cell r="N7163" t="str">
            <v>B</v>
          </cell>
        </row>
        <row r="7164">
          <cell r="B7164" t="str">
            <v>LL-B1139</v>
          </cell>
          <cell r="J7164" t="str">
            <v>B</v>
          </cell>
          <cell r="N7164" t="str">
            <v>B</v>
          </cell>
        </row>
        <row r="7165">
          <cell r="B7165" t="str">
            <v>SJ-B1140</v>
          </cell>
          <cell r="J7165" t="str">
            <v>B</v>
          </cell>
          <cell r="N7165" t="str">
            <v>B</v>
          </cell>
        </row>
        <row r="7166">
          <cell r="B7166" t="str">
            <v>LL-B1141</v>
          </cell>
          <cell r="J7166" t="str">
            <v>B</v>
          </cell>
          <cell r="N7166" t="str">
            <v>B</v>
          </cell>
        </row>
        <row r="7167">
          <cell r="B7167" t="str">
            <v>LL-B1142</v>
          </cell>
          <cell r="J7167" t="str">
            <v>B</v>
          </cell>
          <cell r="N7167" t="str">
            <v>B</v>
          </cell>
        </row>
        <row r="7168">
          <cell r="B7168" t="str">
            <v>LL-B1143</v>
          </cell>
          <cell r="J7168" t="str">
            <v>B</v>
          </cell>
          <cell r="N7168" t="str">
            <v>B</v>
          </cell>
        </row>
        <row r="7169">
          <cell r="B7169" t="str">
            <v>LL-B1144</v>
          </cell>
          <cell r="J7169" t="str">
            <v>B</v>
          </cell>
          <cell r="N7169" t="str">
            <v>B</v>
          </cell>
        </row>
        <row r="7170">
          <cell r="B7170" t="str">
            <v>LL-B1145</v>
          </cell>
          <cell r="J7170" t="str">
            <v>B</v>
          </cell>
          <cell r="N7170" t="str">
            <v>B</v>
          </cell>
        </row>
        <row r="7171">
          <cell r="B7171" t="str">
            <v>LL-B1146</v>
          </cell>
          <cell r="J7171" t="str">
            <v>B</v>
          </cell>
          <cell r="N7171" t="str">
            <v>B</v>
          </cell>
        </row>
        <row r="7172">
          <cell r="B7172" t="str">
            <v>LL-B1147</v>
          </cell>
          <cell r="J7172" t="str">
            <v>B</v>
          </cell>
          <cell r="N7172" t="str">
            <v>B</v>
          </cell>
        </row>
        <row r="7173">
          <cell r="B7173" t="str">
            <v>LL-B1148</v>
          </cell>
          <cell r="J7173" t="str">
            <v>B</v>
          </cell>
          <cell r="N7173" t="str">
            <v>B</v>
          </cell>
        </row>
        <row r="7174">
          <cell r="B7174" t="str">
            <v>SJ-B1149</v>
          </cell>
          <cell r="J7174" t="str">
            <v>B</v>
          </cell>
          <cell r="N7174" t="str">
            <v>B</v>
          </cell>
        </row>
        <row r="7175">
          <cell r="B7175" t="str">
            <v>SJ-B1150</v>
          </cell>
          <cell r="J7175" t="str">
            <v>B</v>
          </cell>
          <cell r="N7175" t="str">
            <v>B</v>
          </cell>
        </row>
        <row r="7176">
          <cell r="B7176" t="str">
            <v>SJ-B1151</v>
          </cell>
          <cell r="J7176" t="str">
            <v>B</v>
          </cell>
          <cell r="N7176" t="str">
            <v>B</v>
          </cell>
        </row>
        <row r="7177">
          <cell r="B7177" t="str">
            <v>CER-B1152</v>
          </cell>
          <cell r="J7177" t="str">
            <v>B</v>
          </cell>
          <cell r="N7177" t="str">
            <v>B</v>
          </cell>
        </row>
        <row r="7178">
          <cell r="B7178" t="str">
            <v>SA-B1153</v>
          </cell>
          <cell r="J7178" t="str">
            <v>B</v>
          </cell>
          <cell r="N7178" t="str">
            <v>B</v>
          </cell>
        </row>
        <row r="7179">
          <cell r="B7179" t="str">
            <v>PA-C1154</v>
          </cell>
          <cell r="J7179" t="str">
            <v>C</v>
          </cell>
          <cell r="N7179" t="str">
            <v>C</v>
          </cell>
        </row>
        <row r="7180">
          <cell r="B7180" t="str">
            <v>PA-C1155</v>
          </cell>
          <cell r="J7180" t="str">
            <v>C</v>
          </cell>
          <cell r="N7180" t="str">
            <v>C</v>
          </cell>
        </row>
        <row r="7181">
          <cell r="B7181" t="str">
            <v>PA-C1156</v>
          </cell>
          <cell r="J7181" t="str">
            <v>C</v>
          </cell>
          <cell r="N7181" t="str">
            <v>C</v>
          </cell>
        </row>
        <row r="7182">
          <cell r="B7182" t="str">
            <v>PA-C1157</v>
          </cell>
          <cell r="J7182" t="str">
            <v>C</v>
          </cell>
          <cell r="N7182" t="str">
            <v>C</v>
          </cell>
        </row>
        <row r="7183">
          <cell r="B7183" t="str">
            <v>PA-C1158</v>
          </cell>
          <cell r="J7183" t="str">
            <v>C</v>
          </cell>
          <cell r="N7183" t="str">
            <v>C</v>
          </cell>
        </row>
        <row r="7184">
          <cell r="B7184" t="str">
            <v>PA-C1159</v>
          </cell>
          <cell r="J7184" t="str">
            <v>C</v>
          </cell>
          <cell r="N7184" t="str">
            <v>C</v>
          </cell>
        </row>
        <row r="7185">
          <cell r="B7185" t="str">
            <v>PA-C1160</v>
          </cell>
          <cell r="J7185" t="str">
            <v>C</v>
          </cell>
          <cell r="N7185" t="str">
            <v>C</v>
          </cell>
        </row>
        <row r="7186">
          <cell r="B7186" t="str">
            <v>PA-C1161</v>
          </cell>
          <cell r="J7186" t="str">
            <v>C</v>
          </cell>
          <cell r="N7186" t="str">
            <v>C</v>
          </cell>
        </row>
        <row r="7187">
          <cell r="B7187" t="str">
            <v>PA-C1162</v>
          </cell>
          <cell r="J7187" t="str">
            <v>C</v>
          </cell>
          <cell r="N7187" t="str">
            <v>C</v>
          </cell>
        </row>
        <row r="7188">
          <cell r="B7188" t="str">
            <v>PA-C1163</v>
          </cell>
          <cell r="J7188" t="str">
            <v>C</v>
          </cell>
          <cell r="N7188" t="str">
            <v>C</v>
          </cell>
        </row>
        <row r="7189">
          <cell r="B7189" t="str">
            <v>PA-C1164</v>
          </cell>
          <cell r="J7189" t="str">
            <v>C</v>
          </cell>
          <cell r="N7189" t="str">
            <v>C</v>
          </cell>
        </row>
        <row r="7190">
          <cell r="B7190" t="str">
            <v>PA-C1165</v>
          </cell>
          <cell r="J7190" t="str">
            <v>C</v>
          </cell>
          <cell r="N7190" t="str">
            <v>C</v>
          </cell>
        </row>
        <row r="7191">
          <cell r="B7191" t="str">
            <v>PA-C1166</v>
          </cell>
          <cell r="J7191" t="str">
            <v>C</v>
          </cell>
          <cell r="N7191" t="str">
            <v>C</v>
          </cell>
        </row>
        <row r="7192">
          <cell r="B7192" t="str">
            <v>PA-C1167</v>
          </cell>
          <cell r="J7192" t="str">
            <v>C</v>
          </cell>
          <cell r="N7192" t="str">
            <v>C</v>
          </cell>
        </row>
        <row r="7193">
          <cell r="B7193" t="str">
            <v>PA-C1168</v>
          </cell>
          <cell r="J7193" t="str">
            <v>C</v>
          </cell>
          <cell r="N7193" t="str">
            <v>C</v>
          </cell>
        </row>
        <row r="7194">
          <cell r="B7194" t="str">
            <v>PA-C1169</v>
          </cell>
          <cell r="J7194" t="str">
            <v>C</v>
          </cell>
          <cell r="N7194" t="str">
            <v>C</v>
          </cell>
        </row>
        <row r="7195">
          <cell r="B7195" t="str">
            <v>PA-C1170</v>
          </cell>
          <cell r="J7195" t="str">
            <v>C</v>
          </cell>
          <cell r="N7195" t="str">
            <v>C</v>
          </cell>
        </row>
        <row r="7196">
          <cell r="B7196" t="str">
            <v>PA-C1171</v>
          </cell>
          <cell r="J7196" t="str">
            <v>C</v>
          </cell>
          <cell r="N7196" t="str">
            <v>C</v>
          </cell>
        </row>
        <row r="7197">
          <cell r="B7197" t="str">
            <v>PA-C1172</v>
          </cell>
          <cell r="J7197" t="str">
            <v>C</v>
          </cell>
          <cell r="N7197" t="str">
            <v>C</v>
          </cell>
        </row>
        <row r="7198">
          <cell r="B7198" t="str">
            <v>PA-C1173</v>
          </cell>
          <cell r="J7198" t="str">
            <v>C</v>
          </cell>
          <cell r="N7198" t="str">
            <v>C</v>
          </cell>
        </row>
        <row r="7199">
          <cell r="B7199" t="str">
            <v>PA-C1174</v>
          </cell>
          <cell r="J7199" t="str">
            <v>C</v>
          </cell>
          <cell r="N7199" t="str">
            <v>C</v>
          </cell>
        </row>
        <row r="7200">
          <cell r="B7200" t="str">
            <v>PA-C1175</v>
          </cell>
          <cell r="J7200" t="str">
            <v>C</v>
          </cell>
          <cell r="N7200" t="str">
            <v>C</v>
          </cell>
        </row>
        <row r="7201">
          <cell r="B7201" t="str">
            <v>PA-C1176</v>
          </cell>
          <cell r="J7201" t="str">
            <v>C</v>
          </cell>
          <cell r="N7201" t="str">
            <v>C</v>
          </cell>
        </row>
        <row r="7202">
          <cell r="B7202" t="str">
            <v>PA-C1177</v>
          </cell>
          <cell r="J7202" t="str">
            <v>C</v>
          </cell>
          <cell r="N7202" t="str">
            <v>C</v>
          </cell>
        </row>
        <row r="7203">
          <cell r="B7203" t="str">
            <v>PA-C1178</v>
          </cell>
          <cell r="J7203" t="str">
            <v>C</v>
          </cell>
          <cell r="N7203" t="str">
            <v>C</v>
          </cell>
        </row>
        <row r="7204">
          <cell r="B7204" t="str">
            <v>PA-C1179</v>
          </cell>
          <cell r="J7204" t="str">
            <v>C</v>
          </cell>
          <cell r="N7204" t="str">
            <v>C</v>
          </cell>
        </row>
        <row r="7205">
          <cell r="B7205" t="str">
            <v>PA-C1180</v>
          </cell>
          <cell r="J7205" t="str">
            <v>C</v>
          </cell>
          <cell r="N7205" t="str">
            <v>C</v>
          </cell>
        </row>
        <row r="7206">
          <cell r="B7206" t="str">
            <v>PA-C1181</v>
          </cell>
          <cell r="J7206" t="str">
            <v>C</v>
          </cell>
          <cell r="N7206" t="str">
            <v>C</v>
          </cell>
        </row>
        <row r="7207">
          <cell r="B7207" t="str">
            <v>PA-C1182</v>
          </cell>
          <cell r="J7207" t="str">
            <v>C</v>
          </cell>
          <cell r="N7207" t="str">
            <v>C</v>
          </cell>
        </row>
        <row r="7208">
          <cell r="B7208" t="str">
            <v>PA-C1183</v>
          </cell>
          <cell r="J7208" t="str">
            <v>C</v>
          </cell>
          <cell r="N7208" t="str">
            <v>C</v>
          </cell>
        </row>
        <row r="7209">
          <cell r="B7209" t="str">
            <v>PA-C1184</v>
          </cell>
          <cell r="J7209" t="str">
            <v>C</v>
          </cell>
          <cell r="N7209" t="str">
            <v>C</v>
          </cell>
        </row>
        <row r="7210">
          <cell r="B7210" t="str">
            <v>PA-C1185</v>
          </cell>
          <cell r="J7210" t="str">
            <v>C</v>
          </cell>
          <cell r="N7210" t="str">
            <v>C</v>
          </cell>
        </row>
        <row r="7211">
          <cell r="B7211" t="str">
            <v>PA-C1187</v>
          </cell>
          <cell r="J7211" t="str">
            <v>C</v>
          </cell>
          <cell r="N7211" t="str">
            <v>C</v>
          </cell>
        </row>
        <row r="7212">
          <cell r="B7212" t="str">
            <v>PA-C1188</v>
          </cell>
          <cell r="J7212" t="str">
            <v>C</v>
          </cell>
          <cell r="N7212" t="str">
            <v>C</v>
          </cell>
        </row>
        <row r="7213">
          <cell r="B7213" t="str">
            <v>PA-C1189</v>
          </cell>
          <cell r="J7213" t="str">
            <v>C</v>
          </cell>
          <cell r="N7213" t="str">
            <v>C</v>
          </cell>
        </row>
        <row r="7214">
          <cell r="B7214" t="str">
            <v>PA-C1190</v>
          </cell>
          <cell r="J7214" t="str">
            <v>C</v>
          </cell>
          <cell r="N7214" t="str">
            <v>C</v>
          </cell>
        </row>
        <row r="7215">
          <cell r="B7215" t="str">
            <v>PA-C1191</v>
          </cell>
          <cell r="J7215" t="str">
            <v>C</v>
          </cell>
          <cell r="N7215" t="str">
            <v>C</v>
          </cell>
        </row>
        <row r="7216">
          <cell r="B7216" t="str">
            <v>PA-C1192</v>
          </cell>
          <cell r="J7216" t="str">
            <v>C</v>
          </cell>
          <cell r="N7216" t="str">
            <v>C</v>
          </cell>
        </row>
        <row r="7217">
          <cell r="B7217" t="str">
            <v>PA-C1193</v>
          </cell>
          <cell r="J7217" t="str">
            <v>C</v>
          </cell>
          <cell r="N7217" t="str">
            <v>C</v>
          </cell>
        </row>
        <row r="7218">
          <cell r="B7218" t="str">
            <v>PA-C1194</v>
          </cell>
          <cell r="J7218" t="str">
            <v>C</v>
          </cell>
          <cell r="N7218" t="str">
            <v>C</v>
          </cell>
        </row>
        <row r="7219">
          <cell r="B7219" t="str">
            <v>PA-C1195</v>
          </cell>
          <cell r="J7219" t="str">
            <v>C</v>
          </cell>
          <cell r="N7219" t="str">
            <v>C</v>
          </cell>
        </row>
        <row r="7220">
          <cell r="B7220" t="str">
            <v>PA-C1196</v>
          </cell>
          <cell r="J7220" t="str">
            <v>C</v>
          </cell>
          <cell r="N7220" t="str">
            <v>C</v>
          </cell>
        </row>
        <row r="7221">
          <cell r="B7221" t="str">
            <v>PA-C1197</v>
          </cell>
          <cell r="J7221" t="str">
            <v>C</v>
          </cell>
          <cell r="N7221" t="str">
            <v>C</v>
          </cell>
        </row>
        <row r="7222">
          <cell r="B7222" t="str">
            <v>PA-C1198</v>
          </cell>
          <cell r="J7222" t="str">
            <v>C</v>
          </cell>
          <cell r="N7222" t="str">
            <v>C</v>
          </cell>
        </row>
        <row r="7223">
          <cell r="B7223" t="str">
            <v>PA-C1199</v>
          </cell>
          <cell r="J7223" t="str">
            <v>C</v>
          </cell>
          <cell r="N7223" t="str">
            <v>C</v>
          </cell>
        </row>
        <row r="7224">
          <cell r="B7224" t="str">
            <v>PA-C1200</v>
          </cell>
          <cell r="J7224" t="str">
            <v>C</v>
          </cell>
          <cell r="N7224" t="str">
            <v>C</v>
          </cell>
        </row>
        <row r="7225">
          <cell r="B7225" t="str">
            <v>PA-C1201</v>
          </cell>
          <cell r="J7225" t="str">
            <v>C</v>
          </cell>
          <cell r="N7225" t="str">
            <v>C</v>
          </cell>
        </row>
        <row r="7226">
          <cell r="B7226" t="str">
            <v>PA-C1202</v>
          </cell>
          <cell r="J7226" t="str">
            <v>C</v>
          </cell>
          <cell r="N7226" t="str">
            <v>C</v>
          </cell>
        </row>
        <row r="7227">
          <cell r="B7227" t="str">
            <v>PA-C1203</v>
          </cell>
          <cell r="J7227" t="str">
            <v>C</v>
          </cell>
          <cell r="N7227" t="str">
            <v>C</v>
          </cell>
        </row>
        <row r="7228">
          <cell r="B7228" t="str">
            <v>PA-C1204</v>
          </cell>
          <cell r="J7228" t="str">
            <v>C</v>
          </cell>
          <cell r="N7228" t="str">
            <v>C</v>
          </cell>
        </row>
        <row r="7229">
          <cell r="B7229" t="str">
            <v>PA-C1205</v>
          </cell>
          <cell r="J7229" t="str">
            <v>C</v>
          </cell>
          <cell r="N7229" t="str">
            <v>C</v>
          </cell>
        </row>
        <row r="7230">
          <cell r="B7230" t="str">
            <v>PA-C1206</v>
          </cell>
          <cell r="J7230" t="str">
            <v>C</v>
          </cell>
          <cell r="N7230" t="str">
            <v>C</v>
          </cell>
        </row>
        <row r="7231">
          <cell r="B7231" t="str">
            <v>PA-C1207</v>
          </cell>
          <cell r="J7231" t="str">
            <v>C</v>
          </cell>
          <cell r="N7231" t="str">
            <v>C</v>
          </cell>
        </row>
        <row r="7232">
          <cell r="B7232" t="str">
            <v>PA-C1208</v>
          </cell>
          <cell r="J7232" t="str">
            <v>C</v>
          </cell>
          <cell r="N7232" t="str">
            <v>C</v>
          </cell>
        </row>
        <row r="7233">
          <cell r="B7233" t="str">
            <v>PA-C1209</v>
          </cell>
          <cell r="J7233" t="str">
            <v>C</v>
          </cell>
          <cell r="N7233" t="str">
            <v>C</v>
          </cell>
        </row>
        <row r="7234">
          <cell r="B7234" t="str">
            <v>PA-C1210</v>
          </cell>
          <cell r="J7234" t="str">
            <v>C</v>
          </cell>
          <cell r="N7234" t="str">
            <v>C</v>
          </cell>
        </row>
        <row r="7235">
          <cell r="B7235" t="str">
            <v>PA-C1211</v>
          </cell>
          <cell r="J7235" t="str">
            <v>C</v>
          </cell>
          <cell r="N7235" t="str">
            <v>C</v>
          </cell>
        </row>
        <row r="7236">
          <cell r="B7236" t="str">
            <v>PA-C1212</v>
          </cell>
          <cell r="J7236" t="str">
            <v>C</v>
          </cell>
          <cell r="N7236" t="str">
            <v>C</v>
          </cell>
        </row>
        <row r="7237">
          <cell r="B7237" t="str">
            <v>SA-C1213</v>
          </cell>
          <cell r="J7237" t="str">
            <v>C</v>
          </cell>
          <cell r="N7237" t="str">
            <v>C</v>
          </cell>
        </row>
        <row r="7238">
          <cell r="B7238" t="str">
            <v>SA-C1214</v>
          </cell>
          <cell r="J7238" t="str">
            <v>C</v>
          </cell>
          <cell r="N7238" t="str">
            <v>C</v>
          </cell>
        </row>
        <row r="7239">
          <cell r="B7239" t="str">
            <v>SA-C1215</v>
          </cell>
          <cell r="J7239" t="str">
            <v>C</v>
          </cell>
          <cell r="N7239" t="str">
            <v>C</v>
          </cell>
        </row>
        <row r="7240">
          <cell r="B7240" t="str">
            <v>SA-C1216</v>
          </cell>
          <cell r="J7240" t="str">
            <v>C</v>
          </cell>
          <cell r="N7240" t="str">
            <v>C</v>
          </cell>
        </row>
        <row r="7241">
          <cell r="B7241" t="str">
            <v>SA-C1217</v>
          </cell>
          <cell r="J7241" t="str">
            <v>C</v>
          </cell>
          <cell r="N7241" t="str">
            <v>C</v>
          </cell>
        </row>
        <row r="7242">
          <cell r="B7242" t="str">
            <v>SA-C1218</v>
          </cell>
          <cell r="J7242" t="str">
            <v>C</v>
          </cell>
          <cell r="N7242" t="str">
            <v>C</v>
          </cell>
        </row>
        <row r="7243">
          <cell r="B7243" t="str">
            <v>SA-C1219</v>
          </cell>
          <cell r="J7243" t="str">
            <v>C</v>
          </cell>
          <cell r="N7243" t="str">
            <v>C</v>
          </cell>
        </row>
        <row r="7244">
          <cell r="B7244" t="str">
            <v>SA-C1220</v>
          </cell>
          <cell r="J7244" t="str">
            <v>C</v>
          </cell>
          <cell r="N7244" t="str">
            <v>C</v>
          </cell>
        </row>
        <row r="7245">
          <cell r="B7245" t="str">
            <v>SA-C1221</v>
          </cell>
          <cell r="J7245" t="str">
            <v>C</v>
          </cell>
          <cell r="N7245" t="str">
            <v>C</v>
          </cell>
        </row>
        <row r="7246">
          <cell r="B7246" t="str">
            <v>SA-C1222</v>
          </cell>
          <cell r="J7246" t="str">
            <v>C</v>
          </cell>
          <cell r="N7246" t="str">
            <v>C</v>
          </cell>
        </row>
        <row r="7247">
          <cell r="B7247" t="str">
            <v>SA-C1223</v>
          </cell>
          <cell r="J7247" t="str">
            <v>C</v>
          </cell>
          <cell r="N7247" t="str">
            <v>C</v>
          </cell>
        </row>
        <row r="7248">
          <cell r="B7248" t="str">
            <v>SA-C1224</v>
          </cell>
          <cell r="J7248" t="str">
            <v>C</v>
          </cell>
          <cell r="N7248" t="str">
            <v>C</v>
          </cell>
        </row>
        <row r="7249">
          <cell r="B7249" t="str">
            <v>SA-C1225</v>
          </cell>
          <cell r="J7249" t="str">
            <v>C</v>
          </cell>
          <cell r="N7249" t="str">
            <v>C</v>
          </cell>
        </row>
        <row r="7250">
          <cell r="B7250" t="str">
            <v>SA-C1226</v>
          </cell>
          <cell r="J7250" t="str">
            <v>C</v>
          </cell>
          <cell r="N7250" t="str">
            <v>C</v>
          </cell>
        </row>
        <row r="7251">
          <cell r="B7251" t="str">
            <v>SA-C1227</v>
          </cell>
          <cell r="J7251" t="str">
            <v>C</v>
          </cell>
          <cell r="N7251" t="str">
            <v>C</v>
          </cell>
        </row>
        <row r="7252">
          <cell r="B7252" t="str">
            <v>SA-C1228</v>
          </cell>
          <cell r="J7252" t="str">
            <v>C</v>
          </cell>
          <cell r="N7252" t="str">
            <v>C</v>
          </cell>
        </row>
        <row r="7253">
          <cell r="B7253" t="str">
            <v>SA-C1229</v>
          </cell>
          <cell r="J7253" t="str">
            <v>C</v>
          </cell>
          <cell r="N7253" t="str">
            <v>C</v>
          </cell>
        </row>
        <row r="7254">
          <cell r="B7254" t="str">
            <v>SA-C1230</v>
          </cell>
          <cell r="J7254" t="str">
            <v>C</v>
          </cell>
          <cell r="N7254" t="str">
            <v>C</v>
          </cell>
        </row>
        <row r="7255">
          <cell r="B7255" t="str">
            <v>SA-C1231</v>
          </cell>
          <cell r="J7255" t="str">
            <v>C</v>
          </cell>
          <cell r="N7255" t="str">
            <v>C</v>
          </cell>
        </row>
        <row r="7256">
          <cell r="B7256" t="str">
            <v>SA-C1232</v>
          </cell>
          <cell r="J7256" t="str">
            <v>C</v>
          </cell>
          <cell r="N7256" t="str">
            <v>C</v>
          </cell>
        </row>
        <row r="7257">
          <cell r="B7257" t="str">
            <v>SA-C1233</v>
          </cell>
          <cell r="J7257" t="str">
            <v>C</v>
          </cell>
          <cell r="N7257" t="str">
            <v>C</v>
          </cell>
        </row>
        <row r="7258">
          <cell r="B7258" t="str">
            <v>SA-C1234</v>
          </cell>
          <cell r="J7258" t="str">
            <v>C</v>
          </cell>
          <cell r="N7258" t="str">
            <v>C</v>
          </cell>
        </row>
        <row r="7259">
          <cell r="B7259" t="str">
            <v>SA-C1235</v>
          </cell>
          <cell r="J7259" t="str">
            <v>C</v>
          </cell>
          <cell r="N7259" t="str">
            <v>C</v>
          </cell>
        </row>
        <row r="7260">
          <cell r="B7260" t="str">
            <v>SA-C1236</v>
          </cell>
          <cell r="J7260" t="str">
            <v>C</v>
          </cell>
          <cell r="N7260" t="str">
            <v>C</v>
          </cell>
        </row>
        <row r="7261">
          <cell r="B7261" t="str">
            <v>SA-C1237</v>
          </cell>
          <cell r="J7261" t="str">
            <v>C</v>
          </cell>
          <cell r="N7261" t="str">
            <v>C</v>
          </cell>
        </row>
        <row r="7262">
          <cell r="B7262" t="str">
            <v>SA-C1238</v>
          </cell>
          <cell r="J7262" t="str">
            <v>C</v>
          </cell>
          <cell r="N7262" t="str">
            <v>C</v>
          </cell>
        </row>
        <row r="7263">
          <cell r="B7263" t="str">
            <v>SA-C1239</v>
          </cell>
          <cell r="J7263" t="str">
            <v>C</v>
          </cell>
          <cell r="N7263" t="str">
            <v>C</v>
          </cell>
        </row>
        <row r="7264">
          <cell r="B7264" t="str">
            <v>SA-C1240</v>
          </cell>
          <cell r="J7264" t="str">
            <v>C</v>
          </cell>
          <cell r="N7264" t="str">
            <v>C</v>
          </cell>
        </row>
        <row r="7265">
          <cell r="B7265" t="str">
            <v>SA-C1241</v>
          </cell>
          <cell r="J7265" t="str">
            <v>C</v>
          </cell>
          <cell r="N7265" t="str">
            <v>C</v>
          </cell>
        </row>
        <row r="7266">
          <cell r="B7266" t="str">
            <v>SA-C1242</v>
          </cell>
          <cell r="J7266" t="str">
            <v>C</v>
          </cell>
          <cell r="N7266" t="str">
            <v>C</v>
          </cell>
        </row>
        <row r="7267">
          <cell r="B7267" t="str">
            <v>SA-C1243</v>
          </cell>
          <cell r="J7267" t="str">
            <v>C</v>
          </cell>
          <cell r="N7267" t="str">
            <v>C</v>
          </cell>
        </row>
        <row r="7268">
          <cell r="B7268" t="str">
            <v>SA-C1244</v>
          </cell>
          <cell r="J7268" t="str">
            <v>C</v>
          </cell>
          <cell r="N7268" t="str">
            <v>C</v>
          </cell>
        </row>
        <row r="7269">
          <cell r="B7269" t="str">
            <v>SA-C1245</v>
          </cell>
          <cell r="J7269" t="str">
            <v>C</v>
          </cell>
          <cell r="N7269" t="str">
            <v>C</v>
          </cell>
        </row>
        <row r="7270">
          <cell r="B7270" t="str">
            <v>SA-C1246</v>
          </cell>
          <cell r="J7270" t="str">
            <v>C</v>
          </cell>
          <cell r="N7270" t="str">
            <v>C</v>
          </cell>
        </row>
        <row r="7271">
          <cell r="B7271" t="str">
            <v>SA-C1247</v>
          </cell>
          <cell r="J7271" t="str">
            <v>C</v>
          </cell>
          <cell r="N7271" t="str">
            <v>C</v>
          </cell>
        </row>
        <row r="7272">
          <cell r="B7272" t="str">
            <v>SA-C1248</v>
          </cell>
          <cell r="J7272" t="str">
            <v>C</v>
          </cell>
          <cell r="N7272" t="str">
            <v>C</v>
          </cell>
        </row>
        <row r="7273">
          <cell r="B7273" t="str">
            <v>CER-B1251</v>
          </cell>
          <cell r="J7273" t="str">
            <v>B</v>
          </cell>
          <cell r="N7273" t="str">
            <v>B</v>
          </cell>
        </row>
        <row r="7274">
          <cell r="B7274" t="str">
            <v>PA-B1252</v>
          </cell>
          <cell r="J7274" t="str">
            <v>B</v>
          </cell>
          <cell r="N7274" t="str">
            <v>B</v>
          </cell>
        </row>
        <row r="7275">
          <cell r="B7275" t="str">
            <v>SA-B1253</v>
          </cell>
          <cell r="J7275" t="str">
            <v>B</v>
          </cell>
          <cell r="N7275" t="str">
            <v>B</v>
          </cell>
        </row>
        <row r="7276">
          <cell r="B7276" t="str">
            <v>SA-B1254</v>
          </cell>
          <cell r="J7276" t="str">
            <v>B</v>
          </cell>
          <cell r="N7276" t="str">
            <v>B</v>
          </cell>
        </row>
        <row r="7277">
          <cell r="B7277" t="str">
            <v>PA-B1255</v>
          </cell>
          <cell r="J7277" t="str">
            <v>B</v>
          </cell>
          <cell r="N7277" t="str">
            <v>B</v>
          </cell>
        </row>
        <row r="7278">
          <cell r="B7278" t="str">
            <v>CER-B1256</v>
          </cell>
          <cell r="J7278" t="str">
            <v>B</v>
          </cell>
          <cell r="N7278" t="str">
            <v>B</v>
          </cell>
        </row>
        <row r="7279">
          <cell r="B7279" t="str">
            <v>PA-B1257</v>
          </cell>
          <cell r="J7279" t="str">
            <v>B</v>
          </cell>
          <cell r="N7279" t="str">
            <v>B</v>
          </cell>
        </row>
        <row r="7280">
          <cell r="B7280" t="str">
            <v>CER-B1258</v>
          </cell>
          <cell r="J7280" t="str">
            <v>B</v>
          </cell>
          <cell r="N7280" t="str">
            <v>B</v>
          </cell>
        </row>
        <row r="7281">
          <cell r="B7281" t="str">
            <v>CER-B1259</v>
          </cell>
          <cell r="J7281" t="str">
            <v>B</v>
          </cell>
          <cell r="N7281" t="str">
            <v>B</v>
          </cell>
        </row>
        <row r="7282">
          <cell r="B7282" t="str">
            <v>CER-B1260</v>
          </cell>
          <cell r="J7282" t="str">
            <v>B</v>
          </cell>
          <cell r="N7282" t="str">
            <v>B</v>
          </cell>
        </row>
        <row r="7283">
          <cell r="B7283" t="str">
            <v>CER-B1261</v>
          </cell>
          <cell r="J7283" t="str">
            <v>B</v>
          </cell>
          <cell r="N7283" t="str">
            <v>B</v>
          </cell>
        </row>
        <row r="7284">
          <cell r="B7284" t="str">
            <v>PA-B1262</v>
          </cell>
          <cell r="J7284" t="str">
            <v>B</v>
          </cell>
          <cell r="N7284" t="str">
            <v>B</v>
          </cell>
        </row>
        <row r="7285">
          <cell r="B7285" t="str">
            <v>CER-B1263</v>
          </cell>
          <cell r="J7285" t="str">
            <v>B</v>
          </cell>
          <cell r="N7285" t="str">
            <v>B</v>
          </cell>
        </row>
        <row r="7286">
          <cell r="B7286" t="str">
            <v>CER-B1264</v>
          </cell>
          <cell r="J7286" t="str">
            <v>B</v>
          </cell>
          <cell r="N7286" t="str">
            <v>B</v>
          </cell>
        </row>
        <row r="7287">
          <cell r="B7287" t="str">
            <v>PA-B1265</v>
          </cell>
          <cell r="J7287" t="str">
            <v>B</v>
          </cell>
          <cell r="N7287" t="str">
            <v>B</v>
          </cell>
        </row>
        <row r="7288">
          <cell r="B7288" t="str">
            <v>SA-B1266</v>
          </cell>
          <cell r="J7288" t="str">
            <v>B</v>
          </cell>
          <cell r="N7288" t="str">
            <v>B</v>
          </cell>
        </row>
        <row r="7289">
          <cell r="B7289" t="str">
            <v>CER-B1267</v>
          </cell>
          <cell r="J7289" t="str">
            <v>B</v>
          </cell>
          <cell r="N7289" t="str">
            <v>B</v>
          </cell>
        </row>
        <row r="7290">
          <cell r="B7290" t="str">
            <v>CER-B1268</v>
          </cell>
          <cell r="J7290" t="str">
            <v>B</v>
          </cell>
          <cell r="N7290" t="str">
            <v>B</v>
          </cell>
        </row>
        <row r="7291">
          <cell r="B7291" t="str">
            <v>PA-B1269</v>
          </cell>
          <cell r="J7291" t="str">
            <v>B</v>
          </cell>
          <cell r="N7291" t="str">
            <v>B</v>
          </cell>
        </row>
        <row r="7292">
          <cell r="B7292" t="str">
            <v>PA-B1270</v>
          </cell>
          <cell r="J7292" t="str">
            <v>B</v>
          </cell>
          <cell r="N7292" t="str">
            <v>B</v>
          </cell>
        </row>
        <row r="7293">
          <cell r="B7293" t="str">
            <v>CER-B1271</v>
          </cell>
          <cell r="J7293" t="str">
            <v>B</v>
          </cell>
          <cell r="N7293" t="str">
            <v>B</v>
          </cell>
        </row>
        <row r="7294">
          <cell r="B7294" t="str">
            <v>PA-B1272</v>
          </cell>
          <cell r="J7294" t="str">
            <v>B</v>
          </cell>
          <cell r="N7294" t="str">
            <v>B</v>
          </cell>
        </row>
        <row r="7295">
          <cell r="B7295" t="str">
            <v>CER-B1273</v>
          </cell>
          <cell r="J7295" t="str">
            <v>B</v>
          </cell>
          <cell r="N7295" t="str">
            <v>B</v>
          </cell>
        </row>
        <row r="7296">
          <cell r="B7296" t="str">
            <v>PA-B1274</v>
          </cell>
          <cell r="J7296" t="str">
            <v>B</v>
          </cell>
          <cell r="N7296" t="str">
            <v>B</v>
          </cell>
        </row>
        <row r="7297">
          <cell r="B7297" t="str">
            <v>PA-B1275</v>
          </cell>
          <cell r="J7297" t="str">
            <v>B</v>
          </cell>
          <cell r="N7297" t="str">
            <v>B</v>
          </cell>
        </row>
        <row r="7298">
          <cell r="B7298" t="str">
            <v>PA-B1276</v>
          </cell>
          <cell r="J7298" t="str">
            <v>B</v>
          </cell>
          <cell r="N7298" t="str">
            <v>B</v>
          </cell>
        </row>
        <row r="7299">
          <cell r="B7299" t="str">
            <v>SA-B1277</v>
          </cell>
          <cell r="J7299" t="str">
            <v>B</v>
          </cell>
          <cell r="N7299" t="str">
            <v>B</v>
          </cell>
        </row>
        <row r="7300">
          <cell r="B7300" t="str">
            <v>CER-B1278</v>
          </cell>
          <cell r="J7300" t="str">
            <v>B</v>
          </cell>
          <cell r="N7300" t="str">
            <v>B</v>
          </cell>
        </row>
        <row r="7301">
          <cell r="B7301" t="str">
            <v>PA-B1279</v>
          </cell>
          <cell r="J7301" t="str">
            <v>B</v>
          </cell>
          <cell r="N7301" t="str">
            <v>B</v>
          </cell>
        </row>
        <row r="7302">
          <cell r="B7302" t="str">
            <v>PA-B1280</v>
          </cell>
          <cell r="J7302" t="str">
            <v>B</v>
          </cell>
          <cell r="N7302" t="str">
            <v>B</v>
          </cell>
        </row>
        <row r="7303">
          <cell r="B7303" t="str">
            <v>CER-B1281</v>
          </cell>
          <cell r="J7303" t="str">
            <v>B</v>
          </cell>
          <cell r="N7303" t="str">
            <v>B</v>
          </cell>
        </row>
        <row r="7304">
          <cell r="B7304" t="str">
            <v>PA-B1282</v>
          </cell>
          <cell r="J7304" t="str">
            <v>B</v>
          </cell>
          <cell r="N7304" t="str">
            <v>B</v>
          </cell>
        </row>
        <row r="7305">
          <cell r="B7305" t="str">
            <v>CER-B1283</v>
          </cell>
          <cell r="J7305" t="str">
            <v>B</v>
          </cell>
          <cell r="N7305" t="str">
            <v>B</v>
          </cell>
        </row>
        <row r="7306">
          <cell r="B7306" t="str">
            <v>PA-B1284</v>
          </cell>
          <cell r="J7306" t="str">
            <v>B</v>
          </cell>
          <cell r="N7306" t="str">
            <v>B</v>
          </cell>
        </row>
        <row r="7307">
          <cell r="B7307" t="str">
            <v>CER-B1285</v>
          </cell>
          <cell r="J7307" t="str">
            <v>B</v>
          </cell>
          <cell r="N7307" t="str">
            <v>B</v>
          </cell>
        </row>
        <row r="7308">
          <cell r="B7308" t="str">
            <v>PA-B1286</v>
          </cell>
          <cell r="J7308" t="str">
            <v>B</v>
          </cell>
          <cell r="N7308" t="str">
            <v>B</v>
          </cell>
        </row>
        <row r="7309">
          <cell r="B7309" t="str">
            <v>CER-B1287</v>
          </cell>
          <cell r="J7309" t="str">
            <v>B</v>
          </cell>
          <cell r="N7309" t="str">
            <v>B</v>
          </cell>
        </row>
        <row r="7310">
          <cell r="B7310" t="str">
            <v>PA-B1288</v>
          </cell>
          <cell r="J7310" t="str">
            <v>B</v>
          </cell>
          <cell r="N7310" t="str">
            <v>B</v>
          </cell>
        </row>
        <row r="7311">
          <cell r="B7311" t="str">
            <v>CER-B1289</v>
          </cell>
          <cell r="J7311" t="str">
            <v>B</v>
          </cell>
          <cell r="N7311" t="str">
            <v>B</v>
          </cell>
        </row>
        <row r="7312">
          <cell r="B7312" t="str">
            <v>PA-B1290</v>
          </cell>
          <cell r="J7312" t="str">
            <v>B</v>
          </cell>
          <cell r="N7312" t="str">
            <v>B</v>
          </cell>
        </row>
        <row r="7313">
          <cell r="B7313" t="str">
            <v>PA-B1291</v>
          </cell>
          <cell r="J7313" t="str">
            <v>B</v>
          </cell>
          <cell r="N7313" t="str">
            <v>B</v>
          </cell>
        </row>
        <row r="7314">
          <cell r="B7314" t="str">
            <v>PA-B1292</v>
          </cell>
          <cell r="J7314" t="str">
            <v>B</v>
          </cell>
          <cell r="N7314" t="str">
            <v>B</v>
          </cell>
        </row>
        <row r="7315">
          <cell r="B7315" t="str">
            <v>PA-B1293</v>
          </cell>
          <cell r="J7315" t="str">
            <v>B</v>
          </cell>
          <cell r="N7315" t="str">
            <v>B</v>
          </cell>
        </row>
        <row r="7316">
          <cell r="B7316" t="str">
            <v>PA-B1294</v>
          </cell>
          <cell r="J7316" t="str">
            <v>B</v>
          </cell>
          <cell r="N7316" t="str">
            <v>B</v>
          </cell>
        </row>
        <row r="7317">
          <cell r="B7317" t="str">
            <v>PA-B1295</v>
          </cell>
          <cell r="J7317" t="str">
            <v>B</v>
          </cell>
          <cell r="N7317" t="str">
            <v>B</v>
          </cell>
        </row>
        <row r="7318">
          <cell r="B7318" t="str">
            <v>PA-B1296</v>
          </cell>
          <cell r="J7318" t="str">
            <v>B</v>
          </cell>
          <cell r="N7318" t="str">
            <v>B</v>
          </cell>
        </row>
        <row r="7319">
          <cell r="B7319" t="str">
            <v>SA-B1297</v>
          </cell>
          <cell r="J7319" t="str">
            <v>B</v>
          </cell>
          <cell r="N7319" t="str">
            <v>B</v>
          </cell>
        </row>
        <row r="7320">
          <cell r="B7320" t="str">
            <v>SA-B1298</v>
          </cell>
          <cell r="J7320" t="str">
            <v>B</v>
          </cell>
          <cell r="N7320" t="str">
            <v>B</v>
          </cell>
        </row>
        <row r="7321">
          <cell r="B7321" t="str">
            <v>CER-B1299</v>
          </cell>
          <cell r="J7321" t="str">
            <v>B</v>
          </cell>
          <cell r="N7321" t="str">
            <v>B</v>
          </cell>
        </row>
        <row r="7322">
          <cell r="B7322" t="str">
            <v>CER-B1300</v>
          </cell>
          <cell r="J7322" t="str">
            <v>B</v>
          </cell>
          <cell r="N7322" t="str">
            <v>B</v>
          </cell>
        </row>
        <row r="7323">
          <cell r="B7323" t="str">
            <v>CER-B1301</v>
          </cell>
          <cell r="J7323" t="str">
            <v>B</v>
          </cell>
          <cell r="N7323" t="str">
            <v>B</v>
          </cell>
        </row>
        <row r="7324">
          <cell r="B7324" t="str">
            <v>CER-B1302</v>
          </cell>
          <cell r="J7324" t="str">
            <v>B</v>
          </cell>
          <cell r="N7324" t="str">
            <v>B</v>
          </cell>
        </row>
        <row r="7325">
          <cell r="B7325" t="str">
            <v>PA-B1303</v>
          </cell>
          <cell r="J7325" t="str">
            <v>B</v>
          </cell>
          <cell r="N7325" t="str">
            <v>B</v>
          </cell>
        </row>
        <row r="7326">
          <cell r="B7326" t="str">
            <v>CER-B1304</v>
          </cell>
          <cell r="J7326" t="str">
            <v>B</v>
          </cell>
          <cell r="N7326" t="str">
            <v>B</v>
          </cell>
        </row>
        <row r="7327">
          <cell r="B7327" t="str">
            <v>CER-B1305</v>
          </cell>
          <cell r="J7327" t="str">
            <v>B</v>
          </cell>
          <cell r="N7327" t="str">
            <v>B</v>
          </cell>
        </row>
        <row r="7328">
          <cell r="B7328" t="str">
            <v>CER-B1306</v>
          </cell>
          <cell r="J7328" t="str">
            <v>B</v>
          </cell>
          <cell r="N7328" t="str">
            <v>B</v>
          </cell>
        </row>
        <row r="7329">
          <cell r="B7329" t="str">
            <v>PA-B1307</v>
          </cell>
          <cell r="J7329" t="str">
            <v>B</v>
          </cell>
          <cell r="N7329" t="str">
            <v>B</v>
          </cell>
        </row>
        <row r="7330">
          <cell r="B7330" t="str">
            <v>PA-B1308</v>
          </cell>
          <cell r="J7330" t="str">
            <v>B</v>
          </cell>
          <cell r="N7330" t="str">
            <v>B</v>
          </cell>
        </row>
        <row r="7331">
          <cell r="B7331" t="str">
            <v>PA-B1309</v>
          </cell>
          <cell r="J7331" t="str">
            <v>B</v>
          </cell>
          <cell r="N7331" t="str">
            <v>B</v>
          </cell>
        </row>
        <row r="7332">
          <cell r="B7332" t="str">
            <v>CER-B1310</v>
          </cell>
          <cell r="J7332" t="str">
            <v>B</v>
          </cell>
          <cell r="N7332" t="str">
            <v>B</v>
          </cell>
        </row>
        <row r="7333">
          <cell r="B7333" t="str">
            <v>CER-B1311</v>
          </cell>
          <cell r="J7333" t="str">
            <v>B</v>
          </cell>
          <cell r="N7333" t="str">
            <v>B</v>
          </cell>
        </row>
        <row r="7334">
          <cell r="B7334" t="str">
            <v>PA-B1312</v>
          </cell>
          <cell r="J7334" t="str">
            <v>B</v>
          </cell>
          <cell r="N7334" t="str">
            <v>B</v>
          </cell>
        </row>
        <row r="7335">
          <cell r="B7335" t="str">
            <v>PA-B1313</v>
          </cell>
          <cell r="J7335" t="str">
            <v>B</v>
          </cell>
          <cell r="N7335" t="str">
            <v>B</v>
          </cell>
        </row>
        <row r="7336">
          <cell r="B7336" t="str">
            <v>CER-B1314</v>
          </cell>
          <cell r="J7336" t="str">
            <v>B</v>
          </cell>
          <cell r="N7336" t="str">
            <v>B</v>
          </cell>
        </row>
        <row r="7337">
          <cell r="B7337" t="str">
            <v>CER-B1315</v>
          </cell>
          <cell r="J7337" t="str">
            <v>B</v>
          </cell>
          <cell r="N7337" t="str">
            <v>B</v>
          </cell>
        </row>
        <row r="7338">
          <cell r="B7338" t="str">
            <v>PA-B1316</v>
          </cell>
          <cell r="J7338" t="str">
            <v>B</v>
          </cell>
          <cell r="N7338" t="str">
            <v>B</v>
          </cell>
        </row>
        <row r="7339">
          <cell r="B7339" t="str">
            <v>PA-B1317</v>
          </cell>
          <cell r="J7339" t="str">
            <v>B</v>
          </cell>
          <cell r="N7339" t="str">
            <v>B</v>
          </cell>
        </row>
        <row r="7340">
          <cell r="B7340" t="str">
            <v>PA-B1318</v>
          </cell>
          <cell r="J7340" t="str">
            <v>B</v>
          </cell>
          <cell r="N7340" t="str">
            <v>B</v>
          </cell>
        </row>
        <row r="7341">
          <cell r="B7341" t="str">
            <v>PA-B1319</v>
          </cell>
          <cell r="J7341" t="str">
            <v>B</v>
          </cell>
          <cell r="N7341" t="str">
            <v>B</v>
          </cell>
        </row>
        <row r="7342">
          <cell r="B7342" t="str">
            <v>CER-B1320</v>
          </cell>
          <cell r="J7342" t="str">
            <v>B</v>
          </cell>
          <cell r="N7342" t="str">
            <v>B</v>
          </cell>
        </row>
        <row r="7343">
          <cell r="B7343" t="str">
            <v>PA-B1321</v>
          </cell>
          <cell r="J7343" t="str">
            <v>B</v>
          </cell>
          <cell r="N7343" t="str">
            <v>B</v>
          </cell>
        </row>
        <row r="7344">
          <cell r="B7344" t="str">
            <v>PA-B1322</v>
          </cell>
          <cell r="J7344" t="str">
            <v>B</v>
          </cell>
          <cell r="N7344" t="str">
            <v>B</v>
          </cell>
        </row>
        <row r="7345">
          <cell r="B7345" t="str">
            <v>PA-B1323</v>
          </cell>
          <cell r="J7345" t="str">
            <v>B</v>
          </cell>
          <cell r="N7345" t="str">
            <v>B</v>
          </cell>
        </row>
        <row r="7346">
          <cell r="B7346" t="str">
            <v>SA-B1324</v>
          </cell>
          <cell r="J7346" t="str">
            <v>B</v>
          </cell>
          <cell r="N7346" t="str">
            <v>B</v>
          </cell>
        </row>
        <row r="7347">
          <cell r="B7347" t="str">
            <v>SA-B1325</v>
          </cell>
          <cell r="J7347" t="str">
            <v>B</v>
          </cell>
          <cell r="N7347" t="str">
            <v>B</v>
          </cell>
        </row>
        <row r="7348">
          <cell r="B7348" t="str">
            <v>PA-B1326</v>
          </cell>
          <cell r="J7348" t="str">
            <v>B</v>
          </cell>
          <cell r="N7348" t="str">
            <v>B</v>
          </cell>
        </row>
        <row r="7349">
          <cell r="B7349" t="str">
            <v>PA-B1327</v>
          </cell>
          <cell r="J7349" t="str">
            <v>B</v>
          </cell>
          <cell r="N7349" t="str">
            <v>B</v>
          </cell>
        </row>
        <row r="7350">
          <cell r="B7350" t="str">
            <v>PA-B1328</v>
          </cell>
          <cell r="J7350" t="str">
            <v>B</v>
          </cell>
          <cell r="N7350" t="str">
            <v>B</v>
          </cell>
        </row>
        <row r="7351">
          <cell r="B7351" t="str">
            <v>PA-B1329</v>
          </cell>
          <cell r="J7351" t="str">
            <v>B</v>
          </cell>
          <cell r="N7351" t="str">
            <v>B</v>
          </cell>
        </row>
        <row r="7352">
          <cell r="B7352" t="str">
            <v>PA-B1330</v>
          </cell>
          <cell r="J7352" t="str">
            <v>B</v>
          </cell>
          <cell r="N7352" t="str">
            <v>B</v>
          </cell>
        </row>
        <row r="7353">
          <cell r="B7353" t="str">
            <v>SA-B1331</v>
          </cell>
          <cell r="J7353" t="str">
            <v>B</v>
          </cell>
          <cell r="N7353" t="str">
            <v>B</v>
          </cell>
        </row>
        <row r="7354">
          <cell r="B7354" t="str">
            <v>SA-B1332</v>
          </cell>
          <cell r="J7354" t="str">
            <v>B</v>
          </cell>
          <cell r="N7354" t="str">
            <v>B</v>
          </cell>
        </row>
        <row r="7355">
          <cell r="B7355" t="str">
            <v>PA-B1333</v>
          </cell>
          <cell r="J7355" t="str">
            <v>B</v>
          </cell>
          <cell r="N7355" t="str">
            <v>B</v>
          </cell>
        </row>
        <row r="7356">
          <cell r="B7356" t="str">
            <v>PA-B1334</v>
          </cell>
          <cell r="J7356" t="str">
            <v>B</v>
          </cell>
          <cell r="N7356" t="str">
            <v>B</v>
          </cell>
        </row>
        <row r="7357">
          <cell r="B7357" t="str">
            <v>SA-B1335</v>
          </cell>
          <cell r="J7357" t="str">
            <v>B</v>
          </cell>
          <cell r="N7357" t="str">
            <v>B</v>
          </cell>
        </row>
        <row r="7358">
          <cell r="B7358" t="str">
            <v>SA-B1336</v>
          </cell>
          <cell r="J7358" t="str">
            <v>B</v>
          </cell>
          <cell r="N7358" t="str">
            <v>B</v>
          </cell>
        </row>
        <row r="7359">
          <cell r="B7359" t="str">
            <v>SA-B1337</v>
          </cell>
          <cell r="J7359" t="str">
            <v>B</v>
          </cell>
          <cell r="N7359" t="str">
            <v>B</v>
          </cell>
        </row>
        <row r="7360">
          <cell r="B7360" t="str">
            <v>PA-B1338</v>
          </cell>
          <cell r="J7360" t="str">
            <v>B</v>
          </cell>
          <cell r="N7360" t="str">
            <v>B</v>
          </cell>
        </row>
        <row r="7361">
          <cell r="B7361" t="str">
            <v>SA-B1339</v>
          </cell>
          <cell r="J7361" t="str">
            <v>B</v>
          </cell>
          <cell r="N7361" t="str">
            <v>B</v>
          </cell>
        </row>
        <row r="7362">
          <cell r="B7362" t="str">
            <v>SA-B1340</v>
          </cell>
          <cell r="J7362" t="str">
            <v>B</v>
          </cell>
          <cell r="N7362" t="str">
            <v>B</v>
          </cell>
        </row>
        <row r="7363">
          <cell r="B7363" t="str">
            <v>SA-B1341</v>
          </cell>
          <cell r="J7363" t="str">
            <v>B</v>
          </cell>
          <cell r="N7363" t="str">
            <v>B</v>
          </cell>
        </row>
        <row r="7364">
          <cell r="B7364" t="str">
            <v>PA-B1342</v>
          </cell>
          <cell r="J7364" t="str">
            <v>B</v>
          </cell>
          <cell r="N7364" t="str">
            <v>B</v>
          </cell>
        </row>
        <row r="7365">
          <cell r="B7365" t="str">
            <v>PA-B1343</v>
          </cell>
          <cell r="J7365" t="str">
            <v>B</v>
          </cell>
          <cell r="N7365" t="str">
            <v>B</v>
          </cell>
        </row>
        <row r="7366">
          <cell r="B7366" t="str">
            <v>PA-B1344</v>
          </cell>
          <cell r="J7366" t="str">
            <v>B</v>
          </cell>
          <cell r="N7366" t="str">
            <v>B</v>
          </cell>
        </row>
        <row r="7367">
          <cell r="B7367" t="str">
            <v>PA-B1345</v>
          </cell>
          <cell r="J7367" t="str">
            <v>B</v>
          </cell>
          <cell r="N7367" t="str">
            <v>B</v>
          </cell>
        </row>
        <row r="7368">
          <cell r="B7368" t="str">
            <v>SA-B1346</v>
          </cell>
          <cell r="J7368" t="str">
            <v>B</v>
          </cell>
          <cell r="N7368" t="str">
            <v>B</v>
          </cell>
        </row>
        <row r="7369">
          <cell r="B7369" t="str">
            <v>PA-B1347</v>
          </cell>
          <cell r="J7369" t="str">
            <v>B</v>
          </cell>
          <cell r="N7369" t="str">
            <v>B</v>
          </cell>
        </row>
        <row r="7370">
          <cell r="B7370" t="str">
            <v>PA-B1348</v>
          </cell>
          <cell r="J7370" t="str">
            <v>B</v>
          </cell>
          <cell r="N7370" t="str">
            <v>B</v>
          </cell>
        </row>
        <row r="7371">
          <cell r="B7371" t="str">
            <v>SA-B1349</v>
          </cell>
          <cell r="J7371" t="str">
            <v>B</v>
          </cell>
          <cell r="N7371" t="str">
            <v>B</v>
          </cell>
        </row>
        <row r="7372">
          <cell r="B7372" t="str">
            <v>SA-B1350</v>
          </cell>
          <cell r="J7372" t="str">
            <v>B</v>
          </cell>
          <cell r="N7372" t="str">
            <v>B</v>
          </cell>
        </row>
        <row r="7373">
          <cell r="B7373" t="str">
            <v>SA-B1351</v>
          </cell>
          <cell r="J7373" t="str">
            <v>B</v>
          </cell>
          <cell r="N7373" t="str">
            <v>B</v>
          </cell>
        </row>
        <row r="7374">
          <cell r="B7374" t="str">
            <v>SA-B1352</v>
          </cell>
          <cell r="J7374" t="str">
            <v>B</v>
          </cell>
          <cell r="N7374" t="str">
            <v>B</v>
          </cell>
        </row>
        <row r="7375">
          <cell r="B7375" t="str">
            <v>SA-B1353</v>
          </cell>
          <cell r="J7375" t="str">
            <v>B</v>
          </cell>
          <cell r="N7375" t="str">
            <v>B</v>
          </cell>
        </row>
        <row r="7376">
          <cell r="B7376" t="str">
            <v>PA-B1354</v>
          </cell>
          <cell r="J7376" t="str">
            <v>B</v>
          </cell>
          <cell r="N7376" t="str">
            <v>B</v>
          </cell>
        </row>
        <row r="7377">
          <cell r="B7377" t="str">
            <v>PA-B1355</v>
          </cell>
          <cell r="J7377" t="str">
            <v>B</v>
          </cell>
          <cell r="N7377" t="str">
            <v>B</v>
          </cell>
        </row>
        <row r="7378">
          <cell r="B7378" t="str">
            <v>PA-B1356</v>
          </cell>
          <cell r="J7378" t="str">
            <v>B</v>
          </cell>
          <cell r="N7378" t="str">
            <v>B</v>
          </cell>
        </row>
        <row r="7379">
          <cell r="B7379" t="str">
            <v>SA-B1357</v>
          </cell>
          <cell r="J7379" t="str">
            <v>B</v>
          </cell>
          <cell r="N7379" t="str">
            <v>B</v>
          </cell>
        </row>
        <row r="7380">
          <cell r="B7380" t="str">
            <v>SA-B1358</v>
          </cell>
          <cell r="J7380" t="str">
            <v>B</v>
          </cell>
          <cell r="N7380" t="str">
            <v>B</v>
          </cell>
        </row>
        <row r="7381">
          <cell r="B7381" t="str">
            <v>SA-B1359</v>
          </cell>
          <cell r="J7381" t="str">
            <v>B</v>
          </cell>
          <cell r="N7381" t="str">
            <v>B</v>
          </cell>
        </row>
        <row r="7382">
          <cell r="B7382" t="str">
            <v>SA-B1360</v>
          </cell>
          <cell r="J7382" t="str">
            <v>B</v>
          </cell>
          <cell r="N7382" t="str">
            <v>B</v>
          </cell>
        </row>
        <row r="7383">
          <cell r="B7383" t="str">
            <v>SA-B1361</v>
          </cell>
          <cell r="J7383" t="str">
            <v>B</v>
          </cell>
          <cell r="N7383" t="str">
            <v>B</v>
          </cell>
        </row>
        <row r="7384">
          <cell r="B7384" t="str">
            <v>PA-B1362</v>
          </cell>
          <cell r="J7384" t="str">
            <v>B</v>
          </cell>
          <cell r="N7384" t="str">
            <v>B</v>
          </cell>
        </row>
        <row r="7385">
          <cell r="B7385" t="str">
            <v>SA-B1363</v>
          </cell>
          <cell r="J7385" t="str">
            <v>B</v>
          </cell>
          <cell r="N7385" t="str">
            <v>B</v>
          </cell>
        </row>
        <row r="7386">
          <cell r="B7386" t="str">
            <v>SA-B1364</v>
          </cell>
          <cell r="J7386" t="str">
            <v>B</v>
          </cell>
          <cell r="N7386" t="str">
            <v>B</v>
          </cell>
        </row>
        <row r="7387">
          <cell r="B7387" t="str">
            <v>PA-B1365</v>
          </cell>
          <cell r="J7387" t="str">
            <v>B</v>
          </cell>
          <cell r="N7387" t="str">
            <v>B</v>
          </cell>
        </row>
        <row r="7388">
          <cell r="B7388" t="str">
            <v>SA-B1366</v>
          </cell>
          <cell r="J7388" t="str">
            <v>B</v>
          </cell>
          <cell r="N7388" t="str">
            <v>B</v>
          </cell>
        </row>
        <row r="7389">
          <cell r="B7389" t="str">
            <v>SA-B1367</v>
          </cell>
          <cell r="J7389" t="str">
            <v>B</v>
          </cell>
          <cell r="N7389" t="str">
            <v>B</v>
          </cell>
        </row>
        <row r="7390">
          <cell r="B7390" t="str">
            <v>PA-B1368</v>
          </cell>
          <cell r="J7390" t="str">
            <v>B</v>
          </cell>
          <cell r="N7390" t="str">
            <v>B</v>
          </cell>
        </row>
        <row r="7391">
          <cell r="B7391" t="str">
            <v>SA-B1369</v>
          </cell>
          <cell r="J7391" t="str">
            <v>B</v>
          </cell>
          <cell r="N7391" t="str">
            <v>B</v>
          </cell>
        </row>
        <row r="7392">
          <cell r="B7392" t="str">
            <v>SA-B1370</v>
          </cell>
          <cell r="J7392" t="str">
            <v>B</v>
          </cell>
          <cell r="N7392" t="str">
            <v>B</v>
          </cell>
        </row>
        <row r="7393">
          <cell r="B7393" t="str">
            <v>PA-B1371</v>
          </cell>
          <cell r="J7393" t="str">
            <v>B</v>
          </cell>
          <cell r="N7393" t="str">
            <v>B</v>
          </cell>
        </row>
        <row r="7394">
          <cell r="B7394" t="str">
            <v>SA-B1372</v>
          </cell>
          <cell r="J7394" t="str">
            <v>B</v>
          </cell>
          <cell r="N7394" t="str">
            <v>B</v>
          </cell>
        </row>
        <row r="7395">
          <cell r="B7395" t="str">
            <v>PA-B1373</v>
          </cell>
          <cell r="J7395" t="str">
            <v>B</v>
          </cell>
          <cell r="N7395" t="str">
            <v>B</v>
          </cell>
        </row>
        <row r="7396">
          <cell r="B7396" t="str">
            <v>PA-B1374</v>
          </cell>
          <cell r="J7396" t="str">
            <v>B</v>
          </cell>
          <cell r="N7396" t="str">
            <v>B</v>
          </cell>
        </row>
        <row r="7397">
          <cell r="B7397" t="str">
            <v>SA-B1375</v>
          </cell>
          <cell r="J7397" t="str">
            <v>B</v>
          </cell>
          <cell r="N7397" t="str">
            <v>B</v>
          </cell>
        </row>
        <row r="7398">
          <cell r="B7398" t="str">
            <v>PA-B1376</v>
          </cell>
          <cell r="J7398" t="str">
            <v>B</v>
          </cell>
          <cell r="N7398" t="str">
            <v>B</v>
          </cell>
        </row>
        <row r="7399">
          <cell r="B7399" t="str">
            <v>PA-B1377</v>
          </cell>
          <cell r="J7399" t="str">
            <v>B</v>
          </cell>
          <cell r="N7399" t="str">
            <v>B</v>
          </cell>
        </row>
        <row r="7400">
          <cell r="B7400" t="str">
            <v>CER-B1378</v>
          </cell>
          <cell r="J7400" t="str">
            <v>B</v>
          </cell>
          <cell r="N7400" t="str">
            <v>B</v>
          </cell>
        </row>
        <row r="7401">
          <cell r="B7401" t="str">
            <v>PA-B1379</v>
          </cell>
          <cell r="J7401" t="str">
            <v>B</v>
          </cell>
          <cell r="N7401" t="str">
            <v>B</v>
          </cell>
        </row>
        <row r="7402">
          <cell r="B7402" t="str">
            <v>CER-B1380</v>
          </cell>
          <cell r="J7402" t="str">
            <v>B</v>
          </cell>
          <cell r="N7402" t="str">
            <v>B</v>
          </cell>
        </row>
        <row r="7403">
          <cell r="B7403" t="str">
            <v>PA-B1381</v>
          </cell>
          <cell r="J7403" t="str">
            <v>B</v>
          </cell>
          <cell r="N7403" t="str">
            <v>B</v>
          </cell>
        </row>
        <row r="7404">
          <cell r="B7404" t="str">
            <v>PA-B1382</v>
          </cell>
          <cell r="J7404" t="str">
            <v>B</v>
          </cell>
          <cell r="N7404" t="str">
            <v>B</v>
          </cell>
        </row>
        <row r="7405">
          <cell r="B7405" t="str">
            <v>PA-B1383</v>
          </cell>
          <cell r="J7405" t="str">
            <v>B</v>
          </cell>
          <cell r="N7405" t="str">
            <v>B</v>
          </cell>
        </row>
        <row r="7406">
          <cell r="B7406" t="str">
            <v>PA-B1384</v>
          </cell>
          <cell r="J7406" t="str">
            <v>B</v>
          </cell>
          <cell r="N7406" t="str">
            <v>B</v>
          </cell>
        </row>
        <row r="7407">
          <cell r="B7407" t="str">
            <v>CER-B1385</v>
          </cell>
          <cell r="J7407" t="str">
            <v>B</v>
          </cell>
          <cell r="N7407" t="str">
            <v>B</v>
          </cell>
        </row>
        <row r="7408">
          <cell r="B7408" t="str">
            <v>PA-B1386</v>
          </cell>
          <cell r="J7408" t="str">
            <v>B</v>
          </cell>
          <cell r="N7408" t="str">
            <v>B</v>
          </cell>
        </row>
        <row r="7409">
          <cell r="B7409" t="str">
            <v>PA-B1387</v>
          </cell>
          <cell r="J7409" t="str">
            <v>B</v>
          </cell>
          <cell r="N7409" t="str">
            <v>B</v>
          </cell>
        </row>
        <row r="7410">
          <cell r="B7410" t="str">
            <v>PA-B1388</v>
          </cell>
          <cell r="J7410" t="str">
            <v>B</v>
          </cell>
          <cell r="N7410" t="str">
            <v>B</v>
          </cell>
        </row>
        <row r="7411">
          <cell r="B7411" t="str">
            <v>SA-B1389</v>
          </cell>
          <cell r="J7411" t="str">
            <v>B</v>
          </cell>
          <cell r="N7411" t="str">
            <v>B</v>
          </cell>
        </row>
        <row r="7412">
          <cell r="B7412" t="str">
            <v>SA-B1390</v>
          </cell>
          <cell r="J7412" t="str">
            <v>B</v>
          </cell>
          <cell r="N7412" t="str">
            <v>B</v>
          </cell>
        </row>
        <row r="7413">
          <cell r="B7413" t="str">
            <v>SA-B1391</v>
          </cell>
          <cell r="J7413" t="str">
            <v>B</v>
          </cell>
          <cell r="N7413" t="str">
            <v>B</v>
          </cell>
        </row>
        <row r="7414">
          <cell r="B7414" t="str">
            <v>PA-B1392</v>
          </cell>
          <cell r="J7414" t="str">
            <v>B</v>
          </cell>
          <cell r="N7414" t="str">
            <v>B</v>
          </cell>
        </row>
        <row r="7415">
          <cell r="B7415" t="str">
            <v>CER-B1393</v>
          </cell>
          <cell r="J7415" t="str">
            <v>B</v>
          </cell>
          <cell r="N7415" t="str">
            <v>B</v>
          </cell>
        </row>
        <row r="7416">
          <cell r="B7416" t="str">
            <v>SA-B1394</v>
          </cell>
          <cell r="J7416" t="str">
            <v>B</v>
          </cell>
          <cell r="N7416" t="str">
            <v>B</v>
          </cell>
        </row>
        <row r="7417">
          <cell r="B7417" t="str">
            <v>PA-B1395</v>
          </cell>
          <cell r="J7417" t="str">
            <v>B</v>
          </cell>
          <cell r="N7417" t="str">
            <v>B</v>
          </cell>
        </row>
        <row r="7418">
          <cell r="B7418" t="str">
            <v>SA-B1396</v>
          </cell>
          <cell r="J7418" t="str">
            <v>B</v>
          </cell>
          <cell r="N7418" t="str">
            <v>B</v>
          </cell>
        </row>
        <row r="7419">
          <cell r="B7419" t="str">
            <v>SA-B1397</v>
          </cell>
          <cell r="J7419" t="str">
            <v>B</v>
          </cell>
          <cell r="N7419" t="str">
            <v>B</v>
          </cell>
        </row>
        <row r="7420">
          <cell r="B7420" t="str">
            <v>PA-B1398</v>
          </cell>
          <cell r="J7420" t="str">
            <v>B</v>
          </cell>
          <cell r="N7420" t="str">
            <v>B</v>
          </cell>
        </row>
        <row r="7421">
          <cell r="B7421" t="str">
            <v>PA-B1399</v>
          </cell>
          <cell r="J7421" t="str">
            <v>B</v>
          </cell>
          <cell r="N7421" t="str">
            <v>B</v>
          </cell>
        </row>
        <row r="7422">
          <cell r="B7422" t="str">
            <v>PA-B1400</v>
          </cell>
          <cell r="J7422" t="str">
            <v>B</v>
          </cell>
          <cell r="N7422" t="str">
            <v>B</v>
          </cell>
        </row>
        <row r="7423">
          <cell r="B7423" t="str">
            <v>SA-B1401</v>
          </cell>
          <cell r="J7423" t="str">
            <v>B</v>
          </cell>
          <cell r="N7423" t="str">
            <v>B</v>
          </cell>
        </row>
        <row r="7424">
          <cell r="B7424" t="str">
            <v>PA-B1402</v>
          </cell>
          <cell r="J7424" t="str">
            <v>B</v>
          </cell>
          <cell r="N7424" t="str">
            <v>B</v>
          </cell>
        </row>
        <row r="7425">
          <cell r="B7425" t="str">
            <v>PA-B1403</v>
          </cell>
          <cell r="J7425" t="str">
            <v>B</v>
          </cell>
          <cell r="N7425" t="str">
            <v>B</v>
          </cell>
        </row>
        <row r="7426">
          <cell r="B7426" t="str">
            <v>CER-B1404</v>
          </cell>
          <cell r="J7426" t="str">
            <v>B</v>
          </cell>
          <cell r="N7426" t="str">
            <v>B</v>
          </cell>
        </row>
        <row r="7427">
          <cell r="B7427" t="str">
            <v>SA-B1405</v>
          </cell>
          <cell r="J7427" t="str">
            <v>B</v>
          </cell>
          <cell r="N7427" t="str">
            <v>B</v>
          </cell>
        </row>
        <row r="7428">
          <cell r="B7428" t="str">
            <v>SA-B1406</v>
          </cell>
          <cell r="J7428" t="str">
            <v>B</v>
          </cell>
          <cell r="N7428" t="str">
            <v>B</v>
          </cell>
        </row>
        <row r="7429">
          <cell r="B7429" t="str">
            <v>PA-B1407</v>
          </cell>
          <cell r="J7429" t="str">
            <v>B</v>
          </cell>
          <cell r="N7429" t="str">
            <v>B</v>
          </cell>
        </row>
        <row r="7430">
          <cell r="B7430" t="str">
            <v>PA-B1408</v>
          </cell>
          <cell r="J7430" t="str">
            <v>B</v>
          </cell>
          <cell r="N7430" t="str">
            <v>B</v>
          </cell>
        </row>
        <row r="7431">
          <cell r="B7431" t="str">
            <v>PA-B1409</v>
          </cell>
          <cell r="J7431" t="str">
            <v>B</v>
          </cell>
          <cell r="N7431" t="str">
            <v>B</v>
          </cell>
        </row>
        <row r="7432">
          <cell r="B7432" t="str">
            <v>PA-B1410</v>
          </cell>
          <cell r="J7432" t="str">
            <v>B</v>
          </cell>
          <cell r="N7432" t="str">
            <v>B</v>
          </cell>
        </row>
        <row r="7433">
          <cell r="B7433" t="str">
            <v>LL-B1411</v>
          </cell>
          <cell r="J7433" t="str">
            <v>B</v>
          </cell>
          <cell r="N7433" t="str">
            <v>B</v>
          </cell>
        </row>
        <row r="7434">
          <cell r="B7434" t="str">
            <v>LL-B1412</v>
          </cell>
          <cell r="J7434" t="str">
            <v>B</v>
          </cell>
          <cell r="N7434" t="str">
            <v>B</v>
          </cell>
        </row>
        <row r="7435">
          <cell r="B7435" t="str">
            <v>LL-B1413</v>
          </cell>
          <cell r="J7435" t="str">
            <v>B</v>
          </cell>
          <cell r="N7435" t="str">
            <v>B</v>
          </cell>
        </row>
        <row r="7436">
          <cell r="B7436" t="str">
            <v>CER-B1414</v>
          </cell>
          <cell r="J7436" t="str">
            <v>B</v>
          </cell>
          <cell r="N7436" t="str">
            <v>B</v>
          </cell>
        </row>
        <row r="7437">
          <cell r="B7437" t="str">
            <v>PA-B1415</v>
          </cell>
          <cell r="J7437" t="str">
            <v>B</v>
          </cell>
          <cell r="N7437" t="str">
            <v>B</v>
          </cell>
        </row>
        <row r="7438">
          <cell r="B7438" t="str">
            <v>SA-B1416</v>
          </cell>
          <cell r="J7438" t="str">
            <v>B</v>
          </cell>
          <cell r="N7438" t="str">
            <v>B</v>
          </cell>
        </row>
        <row r="7439">
          <cell r="B7439" t="str">
            <v>CER-B1417</v>
          </cell>
          <cell r="J7439" t="str">
            <v>B</v>
          </cell>
          <cell r="N7439" t="str">
            <v>B</v>
          </cell>
        </row>
        <row r="7440">
          <cell r="B7440" t="str">
            <v>PA-B1418</v>
          </cell>
          <cell r="J7440" t="str">
            <v>B</v>
          </cell>
          <cell r="N7440" t="str">
            <v>B</v>
          </cell>
        </row>
        <row r="7441">
          <cell r="B7441" t="str">
            <v>CER-B1419</v>
          </cell>
          <cell r="J7441" t="str">
            <v>B</v>
          </cell>
          <cell r="N7441" t="str">
            <v>B</v>
          </cell>
        </row>
        <row r="7442">
          <cell r="B7442" t="str">
            <v>PA-B1420</v>
          </cell>
          <cell r="J7442" t="str">
            <v>B</v>
          </cell>
          <cell r="N7442" t="str">
            <v>B</v>
          </cell>
        </row>
        <row r="7443">
          <cell r="B7443" t="str">
            <v>PA-B1421</v>
          </cell>
          <cell r="J7443" t="str">
            <v>B</v>
          </cell>
          <cell r="N7443" t="str">
            <v>B</v>
          </cell>
        </row>
        <row r="7444">
          <cell r="B7444" t="str">
            <v>PA-B1422</v>
          </cell>
          <cell r="J7444" t="str">
            <v>B</v>
          </cell>
          <cell r="N7444" t="str">
            <v>B</v>
          </cell>
        </row>
        <row r="7445">
          <cell r="B7445" t="str">
            <v>PA-B1423</v>
          </cell>
          <cell r="J7445" t="str">
            <v>B</v>
          </cell>
          <cell r="N7445" t="str">
            <v>B</v>
          </cell>
        </row>
        <row r="7446">
          <cell r="B7446" t="str">
            <v>PA-B1424</v>
          </cell>
          <cell r="J7446" t="str">
            <v>B</v>
          </cell>
          <cell r="N7446" t="str">
            <v>B</v>
          </cell>
        </row>
        <row r="7447">
          <cell r="B7447" t="str">
            <v>PA-B1425</v>
          </cell>
          <cell r="J7447" t="str">
            <v>B</v>
          </cell>
          <cell r="N7447" t="str">
            <v>B</v>
          </cell>
        </row>
        <row r="7448">
          <cell r="B7448" t="str">
            <v>PA-B1426</v>
          </cell>
          <cell r="J7448" t="str">
            <v>B</v>
          </cell>
          <cell r="N7448" t="str">
            <v>B</v>
          </cell>
        </row>
        <row r="7449">
          <cell r="B7449" t="str">
            <v>RC-B1427</v>
          </cell>
          <cell r="J7449" t="str">
            <v>B</v>
          </cell>
          <cell r="N7449" t="str">
            <v>B</v>
          </cell>
        </row>
        <row r="7450">
          <cell r="B7450" t="str">
            <v>SR-BP1428</v>
          </cell>
          <cell r="J7450" t="str">
            <v>BPAL</v>
          </cell>
          <cell r="N7450" t="str">
            <v>BPAL</v>
          </cell>
        </row>
        <row r="7451">
          <cell r="B7451" t="str">
            <v>RC-BP1429</v>
          </cell>
          <cell r="J7451" t="str">
            <v>BPAL</v>
          </cell>
          <cell r="N7451" t="str">
            <v>BPAL</v>
          </cell>
        </row>
        <row r="7452">
          <cell r="B7452" t="str">
            <v>RC-BP1430</v>
          </cell>
          <cell r="J7452" t="str">
            <v>BPAL</v>
          </cell>
          <cell r="N7452" t="str">
            <v>BPAL</v>
          </cell>
        </row>
        <row r="7453">
          <cell r="B7453" t="str">
            <v>RC-BP1431</v>
          </cell>
          <cell r="J7453" t="str">
            <v>BPAL</v>
          </cell>
          <cell r="N7453" t="str">
            <v>BPAL</v>
          </cell>
        </row>
        <row r="7454">
          <cell r="B7454" t="str">
            <v>SR-BP1432</v>
          </cell>
          <cell r="J7454" t="str">
            <v>BPAL</v>
          </cell>
          <cell r="N7454" t="str">
            <v>BPAL</v>
          </cell>
        </row>
        <row r="7455">
          <cell r="B7455" t="str">
            <v>SR-BP1433</v>
          </cell>
          <cell r="J7455" t="str">
            <v>BPAL</v>
          </cell>
          <cell r="N7455" t="str">
            <v>BPAL</v>
          </cell>
        </row>
        <row r="7456">
          <cell r="B7456" t="str">
            <v>SR-BP1434</v>
          </cell>
          <cell r="J7456" t="str">
            <v>BPAL</v>
          </cell>
          <cell r="N7456" t="str">
            <v>BPAL</v>
          </cell>
        </row>
        <row r="7457">
          <cell r="B7457" t="str">
            <v>SR-BP1435</v>
          </cell>
          <cell r="J7457" t="str">
            <v>BPAL</v>
          </cell>
          <cell r="N7457" t="str">
            <v>BPAL</v>
          </cell>
        </row>
        <row r="7458">
          <cell r="B7458" t="str">
            <v>LL-BP1436</v>
          </cell>
          <cell r="J7458" t="str">
            <v>B2PAL</v>
          </cell>
          <cell r="N7458" t="str">
            <v>B2PAL</v>
          </cell>
        </row>
        <row r="7459">
          <cell r="B7459" t="str">
            <v>RC-BP1437</v>
          </cell>
          <cell r="J7459" t="str">
            <v>B2PAL</v>
          </cell>
          <cell r="N7459" t="str">
            <v>B2PAL</v>
          </cell>
        </row>
        <row r="7460">
          <cell r="B7460" t="str">
            <v>RC-BP1438</v>
          </cell>
          <cell r="J7460" t="str">
            <v>BPAL</v>
          </cell>
          <cell r="N7460" t="str">
            <v>BPAL</v>
          </cell>
        </row>
        <row r="7461">
          <cell r="B7461" t="str">
            <v>RC-BP1439</v>
          </cell>
          <cell r="J7461" t="str">
            <v>BPAL</v>
          </cell>
          <cell r="N7461" t="str">
            <v>BPAL</v>
          </cell>
        </row>
        <row r="7462">
          <cell r="B7462" t="str">
            <v>RC-C1440</v>
          </cell>
          <cell r="J7462" t="str">
            <v>C</v>
          </cell>
          <cell r="N7462" t="str">
            <v>C</v>
          </cell>
        </row>
        <row r="7463">
          <cell r="B7463" t="str">
            <v>RC-C1441</v>
          </cell>
          <cell r="J7463" t="str">
            <v>C</v>
          </cell>
          <cell r="N7463" t="str">
            <v>C</v>
          </cell>
        </row>
        <row r="7464">
          <cell r="B7464" t="str">
            <v>LB-C1442</v>
          </cell>
          <cell r="J7464" t="str">
            <v>C</v>
          </cell>
          <cell r="N7464" t="str">
            <v>C</v>
          </cell>
        </row>
        <row r="7465">
          <cell r="B7465" t="str">
            <v>RC-C1443</v>
          </cell>
          <cell r="J7465" t="str">
            <v>C</v>
          </cell>
          <cell r="N7465" t="str">
            <v>C</v>
          </cell>
        </row>
        <row r="7466">
          <cell r="B7466" t="str">
            <v>RC-C1444</v>
          </cell>
          <cell r="J7466" t="str">
            <v>C</v>
          </cell>
          <cell r="N7466" t="str">
            <v>C</v>
          </cell>
        </row>
        <row r="7467">
          <cell r="B7467" t="str">
            <v>RC-C1445</v>
          </cell>
          <cell r="J7467" t="str">
            <v>C</v>
          </cell>
          <cell r="N7467" t="str">
            <v>C</v>
          </cell>
        </row>
        <row r="7468">
          <cell r="B7468" t="str">
            <v>RC-C1446</v>
          </cell>
          <cell r="J7468" t="str">
            <v>C</v>
          </cell>
          <cell r="N7468" t="str">
            <v>C</v>
          </cell>
        </row>
        <row r="7469">
          <cell r="B7469" t="str">
            <v>RC-C1447</v>
          </cell>
          <cell r="J7469" t="str">
            <v>C</v>
          </cell>
          <cell r="N7469" t="str">
            <v>C</v>
          </cell>
        </row>
        <row r="7470">
          <cell r="B7470" t="str">
            <v>RC-C1448</v>
          </cell>
          <cell r="J7470" t="str">
            <v>C</v>
          </cell>
          <cell r="N7470" t="str">
            <v>C</v>
          </cell>
        </row>
        <row r="7471">
          <cell r="B7471" t="str">
            <v>RC-C1449</v>
          </cell>
          <cell r="J7471" t="str">
            <v>C</v>
          </cell>
          <cell r="N7471" t="str">
            <v>C</v>
          </cell>
        </row>
        <row r="7472">
          <cell r="B7472" t="str">
            <v>RC-C1450</v>
          </cell>
          <cell r="J7472" t="str">
            <v>C</v>
          </cell>
          <cell r="N7472" t="str">
            <v>C</v>
          </cell>
        </row>
        <row r="7473">
          <cell r="B7473" t="str">
            <v>RC-C1451</v>
          </cell>
          <cell r="J7473" t="str">
            <v>C</v>
          </cell>
          <cell r="N7473" t="str">
            <v>C</v>
          </cell>
        </row>
        <row r="7474">
          <cell r="B7474" t="str">
            <v>RC-C1452</v>
          </cell>
          <cell r="J7474" t="str">
            <v>C</v>
          </cell>
          <cell r="N7474" t="str">
            <v>C</v>
          </cell>
        </row>
        <row r="7475">
          <cell r="B7475" t="str">
            <v>LB-C1453</v>
          </cell>
          <cell r="J7475" t="str">
            <v>C</v>
          </cell>
          <cell r="N7475" t="str">
            <v>C</v>
          </cell>
        </row>
        <row r="7476">
          <cell r="B7476" t="str">
            <v>RC-C1454</v>
          </cell>
          <cell r="J7476" t="str">
            <v>C</v>
          </cell>
          <cell r="N7476" t="str">
            <v>C</v>
          </cell>
        </row>
        <row r="7477">
          <cell r="B7477" t="str">
            <v>RC-C1455</v>
          </cell>
          <cell r="J7477" t="str">
            <v>C</v>
          </cell>
          <cell r="N7477" t="str">
            <v>C</v>
          </cell>
        </row>
        <row r="7478">
          <cell r="B7478" t="str">
            <v>RC-C1456</v>
          </cell>
          <cell r="J7478" t="str">
            <v>C</v>
          </cell>
          <cell r="N7478" t="str">
            <v>C</v>
          </cell>
        </row>
        <row r="7479">
          <cell r="B7479" t="str">
            <v>RC-C1457</v>
          </cell>
          <cell r="J7479" t="str">
            <v>C</v>
          </cell>
          <cell r="N7479" t="str">
            <v>C</v>
          </cell>
        </row>
        <row r="7480">
          <cell r="B7480" t="str">
            <v>LB-C1458</v>
          </cell>
          <cell r="J7480" t="str">
            <v>C</v>
          </cell>
          <cell r="N7480" t="str">
            <v>C</v>
          </cell>
        </row>
        <row r="7481">
          <cell r="B7481" t="str">
            <v>LB-C1459</v>
          </cell>
          <cell r="J7481" t="str">
            <v>C</v>
          </cell>
          <cell r="N7481" t="str">
            <v>C</v>
          </cell>
        </row>
        <row r="7482">
          <cell r="B7482" t="str">
            <v>RC-C1460</v>
          </cell>
          <cell r="J7482" t="str">
            <v>C</v>
          </cell>
          <cell r="N7482" t="str">
            <v>C</v>
          </cell>
        </row>
        <row r="7483">
          <cell r="B7483" t="str">
            <v>LB-C1461</v>
          </cell>
          <cell r="J7483" t="str">
            <v>C</v>
          </cell>
          <cell r="N7483" t="str">
            <v>C</v>
          </cell>
        </row>
        <row r="7484">
          <cell r="B7484" t="str">
            <v>LB-C1462</v>
          </cell>
          <cell r="J7484" t="str">
            <v>C</v>
          </cell>
          <cell r="N7484" t="str">
            <v>C</v>
          </cell>
        </row>
        <row r="7485">
          <cell r="B7485" t="str">
            <v>LB-C1463</v>
          </cell>
          <cell r="J7485" t="str">
            <v>C</v>
          </cell>
          <cell r="N7485" t="str">
            <v>C</v>
          </cell>
        </row>
        <row r="7486">
          <cell r="B7486" t="str">
            <v>LB-C1464</v>
          </cell>
          <cell r="J7486" t="str">
            <v>C</v>
          </cell>
          <cell r="N7486" t="str">
            <v>C</v>
          </cell>
        </row>
        <row r="7487">
          <cell r="B7487" t="str">
            <v>LB-C1465</v>
          </cell>
          <cell r="J7487" t="str">
            <v>C</v>
          </cell>
          <cell r="N7487" t="str">
            <v>C</v>
          </cell>
        </row>
        <row r="7488">
          <cell r="B7488" t="str">
            <v>LB-C1466</v>
          </cell>
          <cell r="J7488" t="str">
            <v>C</v>
          </cell>
          <cell r="N7488" t="str">
            <v>C</v>
          </cell>
        </row>
        <row r="7489">
          <cell r="B7489" t="str">
            <v>LB-C1467</v>
          </cell>
          <cell r="J7489" t="str">
            <v>C</v>
          </cell>
          <cell r="N7489" t="str">
            <v>C</v>
          </cell>
        </row>
        <row r="7490">
          <cell r="B7490" t="str">
            <v>LB-C1468</v>
          </cell>
          <cell r="J7490" t="str">
            <v>C</v>
          </cell>
          <cell r="N7490" t="str">
            <v>C</v>
          </cell>
        </row>
        <row r="7491">
          <cell r="B7491" t="str">
            <v>LB-C1469</v>
          </cell>
          <cell r="J7491" t="str">
            <v>C</v>
          </cell>
          <cell r="N7491" t="str">
            <v>C</v>
          </cell>
        </row>
        <row r="7492">
          <cell r="B7492" t="str">
            <v>LB-C1470</v>
          </cell>
          <cell r="J7492" t="str">
            <v>C</v>
          </cell>
          <cell r="N7492" t="str">
            <v>C</v>
          </cell>
        </row>
        <row r="7493">
          <cell r="B7493" t="str">
            <v>LB-C1471</v>
          </cell>
          <cell r="J7493" t="str">
            <v>C</v>
          </cell>
          <cell r="N7493" t="str">
            <v>C</v>
          </cell>
        </row>
        <row r="7494">
          <cell r="B7494" t="str">
            <v>LB-C1472</v>
          </cell>
          <cell r="J7494" t="str">
            <v>C</v>
          </cell>
          <cell r="N7494" t="str">
            <v>C</v>
          </cell>
        </row>
        <row r="7495">
          <cell r="B7495" t="str">
            <v>LB-C1473</v>
          </cell>
          <cell r="J7495" t="str">
            <v>C</v>
          </cell>
          <cell r="N7495" t="str">
            <v>C</v>
          </cell>
        </row>
        <row r="7496">
          <cell r="B7496" t="str">
            <v>RC-C1474</v>
          </cell>
          <cell r="J7496" t="str">
            <v>C</v>
          </cell>
          <cell r="N7496" t="str">
            <v>C</v>
          </cell>
        </row>
        <row r="7497">
          <cell r="B7497" t="str">
            <v>RC-C1475</v>
          </cell>
          <cell r="J7497" t="str">
            <v>C</v>
          </cell>
          <cell r="N7497" t="str">
            <v>C</v>
          </cell>
        </row>
        <row r="7498">
          <cell r="B7498" t="str">
            <v>LB-C1476</v>
          </cell>
          <cell r="J7498" t="str">
            <v>C</v>
          </cell>
          <cell r="N7498" t="str">
            <v>C</v>
          </cell>
        </row>
        <row r="7499">
          <cell r="B7499" t="str">
            <v>LB-C1477</v>
          </cell>
          <cell r="J7499" t="str">
            <v>C</v>
          </cell>
          <cell r="N7499" t="str">
            <v>C</v>
          </cell>
        </row>
        <row r="7500">
          <cell r="B7500" t="str">
            <v>LB-C1478</v>
          </cell>
          <cell r="J7500" t="str">
            <v>C</v>
          </cell>
          <cell r="N7500" t="str">
            <v>C</v>
          </cell>
        </row>
        <row r="7501">
          <cell r="B7501" t="str">
            <v>LB-C1479</v>
          </cell>
          <cell r="J7501" t="str">
            <v>C</v>
          </cell>
          <cell r="N7501" t="str">
            <v>C</v>
          </cell>
        </row>
        <row r="7502">
          <cell r="B7502" t="str">
            <v>LB-C1480</v>
          </cell>
          <cell r="J7502" t="str">
            <v>C</v>
          </cell>
          <cell r="N7502" t="str">
            <v>C</v>
          </cell>
        </row>
        <row r="7503">
          <cell r="B7503" t="str">
            <v>LB-C1481</v>
          </cell>
          <cell r="J7503" t="str">
            <v>C</v>
          </cell>
          <cell r="N7503" t="str">
            <v>C</v>
          </cell>
        </row>
        <row r="7504">
          <cell r="B7504" t="str">
            <v>RC-C1482</v>
          </cell>
          <cell r="J7504" t="str">
            <v>C</v>
          </cell>
          <cell r="N7504" t="str">
            <v>C</v>
          </cell>
        </row>
        <row r="7505">
          <cell r="B7505" t="str">
            <v>LB-C1483</v>
          </cell>
          <cell r="J7505" t="str">
            <v>C</v>
          </cell>
          <cell r="N7505" t="str">
            <v>C</v>
          </cell>
        </row>
        <row r="7506">
          <cell r="B7506" t="str">
            <v>LB-C1484</v>
          </cell>
          <cell r="J7506" t="str">
            <v>C</v>
          </cell>
          <cell r="N7506" t="str">
            <v>C</v>
          </cell>
        </row>
        <row r="7507">
          <cell r="B7507" t="str">
            <v>LB-C1485</v>
          </cell>
          <cell r="J7507" t="str">
            <v>C</v>
          </cell>
          <cell r="N7507" t="str">
            <v>C</v>
          </cell>
        </row>
        <row r="7508">
          <cell r="B7508" t="str">
            <v>LB-C1486</v>
          </cell>
          <cell r="J7508" t="str">
            <v>C</v>
          </cell>
          <cell r="N7508" t="str">
            <v>C</v>
          </cell>
        </row>
        <row r="7509">
          <cell r="B7509" t="str">
            <v>RC-C1487</v>
          </cell>
          <cell r="J7509" t="str">
            <v>C</v>
          </cell>
          <cell r="N7509" t="str">
            <v>C</v>
          </cell>
        </row>
        <row r="7510">
          <cell r="B7510" t="str">
            <v>RC-C1488</v>
          </cell>
          <cell r="J7510" t="str">
            <v>C</v>
          </cell>
          <cell r="N7510" t="str">
            <v>C</v>
          </cell>
        </row>
        <row r="7511">
          <cell r="B7511" t="str">
            <v>RC-C1489</v>
          </cell>
          <cell r="J7511" t="str">
            <v>C</v>
          </cell>
          <cell r="N7511" t="str">
            <v>C</v>
          </cell>
        </row>
        <row r="7512">
          <cell r="B7512" t="str">
            <v>RC-C1490</v>
          </cell>
          <cell r="J7512" t="str">
            <v>C</v>
          </cell>
          <cell r="N7512" t="str">
            <v>C</v>
          </cell>
        </row>
        <row r="7513">
          <cell r="B7513" t="str">
            <v>RC-C1491</v>
          </cell>
          <cell r="J7513" t="str">
            <v>C</v>
          </cell>
          <cell r="N7513" t="str">
            <v>C</v>
          </cell>
        </row>
        <row r="7514">
          <cell r="B7514" t="str">
            <v>RC-C1492</v>
          </cell>
          <cell r="J7514" t="str">
            <v>C</v>
          </cell>
          <cell r="N7514" t="str">
            <v>C</v>
          </cell>
        </row>
        <row r="7515">
          <cell r="B7515" t="str">
            <v>RC-C1493</v>
          </cell>
          <cell r="J7515" t="str">
            <v>C</v>
          </cell>
          <cell r="N7515" t="str">
            <v>C</v>
          </cell>
        </row>
        <row r="7516">
          <cell r="B7516" t="str">
            <v>RC-C1494</v>
          </cell>
          <cell r="J7516" t="str">
            <v>C</v>
          </cell>
          <cell r="N7516" t="str">
            <v>C</v>
          </cell>
        </row>
        <row r="7517">
          <cell r="B7517" t="str">
            <v>RC-C1495</v>
          </cell>
          <cell r="J7517" t="str">
            <v>C</v>
          </cell>
          <cell r="N7517" t="str">
            <v>C</v>
          </cell>
        </row>
        <row r="7518">
          <cell r="B7518" t="str">
            <v>RC-C1496</v>
          </cell>
          <cell r="J7518" t="str">
            <v>C</v>
          </cell>
          <cell r="N7518" t="str">
            <v>C</v>
          </cell>
        </row>
        <row r="7519">
          <cell r="B7519" t="str">
            <v>RC-C1497</v>
          </cell>
          <cell r="J7519" t="str">
            <v>C</v>
          </cell>
          <cell r="N7519" t="str">
            <v>C</v>
          </cell>
        </row>
        <row r="7520">
          <cell r="B7520" t="str">
            <v>RC-C1498</v>
          </cell>
          <cell r="J7520" t="str">
            <v>C</v>
          </cell>
          <cell r="N7520" t="str">
            <v>C</v>
          </cell>
        </row>
        <row r="7521">
          <cell r="B7521" t="str">
            <v>RC-C1499</v>
          </cell>
          <cell r="J7521" t="str">
            <v>C</v>
          </cell>
          <cell r="N7521" t="str">
            <v>C</v>
          </cell>
        </row>
        <row r="7522">
          <cell r="B7522" t="str">
            <v>RC-C1500</v>
          </cell>
          <cell r="J7522" t="str">
            <v>C</v>
          </cell>
          <cell r="N7522" t="str">
            <v>C</v>
          </cell>
        </row>
        <row r="7523">
          <cell r="B7523" t="str">
            <v>RC-C1501</v>
          </cell>
          <cell r="J7523" t="str">
            <v>C</v>
          </cell>
          <cell r="N7523" t="str">
            <v>C</v>
          </cell>
        </row>
        <row r="7524">
          <cell r="B7524" t="str">
            <v>RC-C1502</v>
          </cell>
          <cell r="J7524" t="str">
            <v>C</v>
          </cell>
          <cell r="N7524" t="str">
            <v>C</v>
          </cell>
        </row>
        <row r="7525">
          <cell r="B7525" t="str">
            <v>RC-C1503</v>
          </cell>
          <cell r="J7525" t="str">
            <v>C</v>
          </cell>
          <cell r="N7525" t="str">
            <v>C</v>
          </cell>
        </row>
        <row r="7526">
          <cell r="B7526" t="str">
            <v>RC-C1504</v>
          </cell>
          <cell r="J7526" t="str">
            <v>C</v>
          </cell>
          <cell r="N7526" t="str">
            <v>C</v>
          </cell>
        </row>
        <row r="7527">
          <cell r="B7527" t="str">
            <v>RC-C1505</v>
          </cell>
          <cell r="J7527" t="str">
            <v>C</v>
          </cell>
          <cell r="N7527" t="str">
            <v>C</v>
          </cell>
        </row>
        <row r="7528">
          <cell r="B7528" t="str">
            <v>RC-C1506</v>
          </cell>
          <cell r="J7528" t="str">
            <v>C</v>
          </cell>
          <cell r="N7528" t="str">
            <v>C</v>
          </cell>
        </row>
        <row r="7529">
          <cell r="B7529" t="str">
            <v>RC-C1507</v>
          </cell>
          <cell r="J7529" t="str">
            <v>C</v>
          </cell>
          <cell r="N7529" t="str">
            <v>C</v>
          </cell>
        </row>
        <row r="7530">
          <cell r="B7530" t="str">
            <v>RC-C1508</v>
          </cell>
          <cell r="J7530" t="str">
            <v>C</v>
          </cell>
          <cell r="N7530" t="str">
            <v>C</v>
          </cell>
        </row>
        <row r="7531">
          <cell r="B7531" t="str">
            <v>RC-C1509</v>
          </cell>
          <cell r="J7531" t="str">
            <v>C</v>
          </cell>
          <cell r="N7531" t="str">
            <v>C</v>
          </cell>
        </row>
        <row r="7532">
          <cell r="B7532" t="str">
            <v>RC-C1510</v>
          </cell>
          <cell r="J7532" t="str">
            <v>C</v>
          </cell>
          <cell r="N7532" t="str">
            <v>C</v>
          </cell>
        </row>
        <row r="7533">
          <cell r="B7533" t="str">
            <v>RC-C1511</v>
          </cell>
          <cell r="J7533" t="str">
            <v>C</v>
          </cell>
          <cell r="N7533" t="str">
            <v>C</v>
          </cell>
        </row>
        <row r="7534">
          <cell r="B7534" t="str">
            <v>RC-C1512</v>
          </cell>
          <cell r="J7534" t="str">
            <v>C</v>
          </cell>
          <cell r="N7534" t="str">
            <v>C</v>
          </cell>
        </row>
        <row r="7535">
          <cell r="B7535" t="str">
            <v>RC-C1513</v>
          </cell>
          <cell r="J7535" t="str">
            <v>C</v>
          </cell>
          <cell r="N7535" t="str">
            <v>C</v>
          </cell>
        </row>
        <row r="7536">
          <cell r="B7536" t="str">
            <v>RC-C1514</v>
          </cell>
          <cell r="J7536" t="str">
            <v>C</v>
          </cell>
          <cell r="N7536" t="str">
            <v>C</v>
          </cell>
        </row>
        <row r="7537">
          <cell r="B7537" t="str">
            <v>RC-C1515</v>
          </cell>
          <cell r="J7537" t="str">
            <v>C</v>
          </cell>
          <cell r="N7537" t="str">
            <v>C</v>
          </cell>
        </row>
        <row r="7538">
          <cell r="B7538" t="str">
            <v>SR-C1516</v>
          </cell>
          <cell r="J7538" t="str">
            <v>C</v>
          </cell>
          <cell r="N7538" t="str">
            <v>C</v>
          </cell>
        </row>
        <row r="7539">
          <cell r="B7539" t="str">
            <v>RC-C1517</v>
          </cell>
          <cell r="J7539" t="str">
            <v>C</v>
          </cell>
          <cell r="N7539" t="str">
            <v>C</v>
          </cell>
        </row>
        <row r="7540">
          <cell r="B7540" t="str">
            <v>SR-C1518</v>
          </cell>
          <cell r="J7540" t="str">
            <v>C</v>
          </cell>
          <cell r="N7540" t="str">
            <v>C</v>
          </cell>
        </row>
        <row r="7541">
          <cell r="B7541" t="str">
            <v>RC-C1519</v>
          </cell>
          <cell r="J7541" t="str">
            <v>C</v>
          </cell>
          <cell r="N7541" t="str">
            <v>C</v>
          </cell>
        </row>
        <row r="7542">
          <cell r="B7542" t="str">
            <v>SR-C1520</v>
          </cell>
          <cell r="J7542" t="str">
            <v>C</v>
          </cell>
          <cell r="N7542" t="str">
            <v>C</v>
          </cell>
        </row>
        <row r="7543">
          <cell r="B7543" t="str">
            <v>RC-C1521</v>
          </cell>
          <cell r="J7543" t="str">
            <v>C</v>
          </cell>
          <cell r="N7543" t="str">
            <v>C</v>
          </cell>
        </row>
        <row r="7544">
          <cell r="B7544" t="str">
            <v>SR-C1522</v>
          </cell>
          <cell r="J7544" t="str">
            <v>C</v>
          </cell>
          <cell r="N7544" t="str">
            <v>C</v>
          </cell>
        </row>
        <row r="7545">
          <cell r="B7545" t="str">
            <v>RC-C1523</v>
          </cell>
          <cell r="J7545" t="str">
            <v>C</v>
          </cell>
          <cell r="N7545" t="str">
            <v>C</v>
          </cell>
        </row>
        <row r="7546">
          <cell r="B7546" t="str">
            <v>SR-C1524</v>
          </cell>
          <cell r="J7546" t="str">
            <v>C</v>
          </cell>
          <cell r="N7546" t="str">
            <v>C</v>
          </cell>
        </row>
        <row r="7547">
          <cell r="B7547" t="str">
            <v>SR-C1525</v>
          </cell>
          <cell r="J7547" t="str">
            <v>C</v>
          </cell>
          <cell r="N7547" t="str">
            <v>C</v>
          </cell>
        </row>
        <row r="7548">
          <cell r="B7548" t="str">
            <v>SR-C1526</v>
          </cell>
          <cell r="J7548" t="str">
            <v>C</v>
          </cell>
          <cell r="N7548" t="str">
            <v>C</v>
          </cell>
        </row>
        <row r="7549">
          <cell r="B7549" t="str">
            <v>SR-C1527</v>
          </cell>
          <cell r="J7549" t="str">
            <v>C</v>
          </cell>
          <cell r="N7549" t="str">
            <v>C</v>
          </cell>
        </row>
        <row r="7550">
          <cell r="B7550" t="str">
            <v>SR-C1528</v>
          </cell>
          <cell r="J7550" t="str">
            <v>C</v>
          </cell>
          <cell r="N7550" t="str">
            <v>C</v>
          </cell>
        </row>
        <row r="7551">
          <cell r="B7551" t="str">
            <v>RC-C1529</v>
          </cell>
          <cell r="J7551" t="str">
            <v>C</v>
          </cell>
          <cell r="N7551" t="str">
            <v>C</v>
          </cell>
        </row>
        <row r="7552">
          <cell r="B7552" t="str">
            <v>RC-C1530</v>
          </cell>
          <cell r="J7552" t="str">
            <v>C</v>
          </cell>
          <cell r="N7552" t="str">
            <v>C</v>
          </cell>
        </row>
        <row r="7553">
          <cell r="B7553" t="str">
            <v>SR-C1531</v>
          </cell>
          <cell r="J7553" t="str">
            <v>C</v>
          </cell>
          <cell r="N7553" t="str">
            <v>C</v>
          </cell>
        </row>
        <row r="7554">
          <cell r="B7554" t="str">
            <v>RC-C1532</v>
          </cell>
          <cell r="J7554" t="str">
            <v>C</v>
          </cell>
          <cell r="N7554" t="str">
            <v>C</v>
          </cell>
        </row>
        <row r="7555">
          <cell r="B7555" t="str">
            <v>RC-C1533</v>
          </cell>
          <cell r="J7555" t="str">
            <v>C</v>
          </cell>
          <cell r="N7555" t="str">
            <v>C</v>
          </cell>
        </row>
        <row r="7556">
          <cell r="B7556" t="str">
            <v>RC-C1534</v>
          </cell>
          <cell r="J7556" t="str">
            <v>C</v>
          </cell>
          <cell r="N7556" t="str">
            <v>C</v>
          </cell>
        </row>
        <row r="7557">
          <cell r="B7557" t="str">
            <v>SR-C1535</v>
          </cell>
          <cell r="J7557" t="str">
            <v>C</v>
          </cell>
          <cell r="N7557" t="str">
            <v>C</v>
          </cell>
        </row>
        <row r="7558">
          <cell r="B7558" t="str">
            <v>RC-C1536</v>
          </cell>
          <cell r="J7558" t="str">
            <v>C</v>
          </cell>
          <cell r="N7558" t="str">
            <v>C</v>
          </cell>
        </row>
        <row r="7559">
          <cell r="B7559" t="str">
            <v>SR-C1537</v>
          </cell>
          <cell r="J7559" t="str">
            <v>C</v>
          </cell>
          <cell r="N7559" t="str">
            <v>C</v>
          </cell>
        </row>
        <row r="7560">
          <cell r="B7560" t="str">
            <v>RC-C1538</v>
          </cell>
          <cell r="J7560" t="str">
            <v>C</v>
          </cell>
          <cell r="N7560" t="str">
            <v>C</v>
          </cell>
        </row>
        <row r="7561">
          <cell r="B7561" t="str">
            <v>SR-C1539</v>
          </cell>
          <cell r="J7561" t="str">
            <v>C</v>
          </cell>
          <cell r="N7561" t="str">
            <v>C</v>
          </cell>
        </row>
        <row r="7562">
          <cell r="B7562" t="str">
            <v>SR-C1540</v>
          </cell>
          <cell r="J7562" t="str">
            <v>C</v>
          </cell>
          <cell r="N7562" t="str">
            <v>C</v>
          </cell>
        </row>
        <row r="7563">
          <cell r="B7563" t="str">
            <v>SR-C1541</v>
          </cell>
          <cell r="J7563" t="str">
            <v>C</v>
          </cell>
          <cell r="N7563" t="str">
            <v>C</v>
          </cell>
        </row>
        <row r="7564">
          <cell r="B7564" t="str">
            <v>SR-C1542</v>
          </cell>
          <cell r="J7564" t="str">
            <v>C</v>
          </cell>
          <cell r="N7564" t="str">
            <v>C</v>
          </cell>
        </row>
        <row r="7565">
          <cell r="B7565" t="str">
            <v>SR-C1543</v>
          </cell>
          <cell r="J7565" t="str">
            <v>C</v>
          </cell>
          <cell r="N7565" t="str">
            <v>C</v>
          </cell>
        </row>
        <row r="7566">
          <cell r="B7566" t="str">
            <v>SR-C1544</v>
          </cell>
          <cell r="J7566" t="str">
            <v>C</v>
          </cell>
          <cell r="N7566" t="str">
            <v>C</v>
          </cell>
        </row>
        <row r="7567">
          <cell r="B7567" t="str">
            <v>SR-C1545</v>
          </cell>
          <cell r="J7567" t="str">
            <v>C</v>
          </cell>
          <cell r="N7567" t="str">
            <v>C</v>
          </cell>
        </row>
        <row r="7568">
          <cell r="B7568" t="str">
            <v>SR-C1546</v>
          </cell>
          <cell r="J7568" t="str">
            <v>C</v>
          </cell>
          <cell r="N7568" t="str">
            <v>C</v>
          </cell>
        </row>
        <row r="7569">
          <cell r="B7569" t="str">
            <v>SR-C1547</v>
          </cell>
          <cell r="J7569" t="str">
            <v>C</v>
          </cell>
          <cell r="N7569" t="str">
            <v>C</v>
          </cell>
        </row>
        <row r="7570">
          <cell r="B7570" t="str">
            <v>SR-C1548</v>
          </cell>
          <cell r="J7570" t="str">
            <v>C</v>
          </cell>
          <cell r="N7570" t="str">
            <v>C</v>
          </cell>
        </row>
        <row r="7571">
          <cell r="B7571" t="str">
            <v>SR-C1549</v>
          </cell>
          <cell r="J7571" t="str">
            <v>C</v>
          </cell>
          <cell r="N7571" t="str">
            <v>C</v>
          </cell>
        </row>
        <row r="7572">
          <cell r="B7572" t="str">
            <v>SR-C1550</v>
          </cell>
          <cell r="J7572" t="str">
            <v>C</v>
          </cell>
          <cell r="N7572" t="str">
            <v>C</v>
          </cell>
        </row>
        <row r="7573">
          <cell r="B7573" t="str">
            <v>SR-C1551</v>
          </cell>
          <cell r="J7573" t="str">
            <v>C</v>
          </cell>
          <cell r="N7573" t="str">
            <v>C</v>
          </cell>
        </row>
        <row r="7574">
          <cell r="B7574" t="str">
            <v>SR-C1552</v>
          </cell>
          <cell r="J7574" t="str">
            <v>C</v>
          </cell>
          <cell r="N7574" t="str">
            <v>C</v>
          </cell>
        </row>
        <row r="7575">
          <cell r="B7575" t="str">
            <v>SR-C1553</v>
          </cell>
          <cell r="J7575" t="str">
            <v>C</v>
          </cell>
          <cell r="N7575" t="str">
            <v>C</v>
          </cell>
        </row>
        <row r="7576">
          <cell r="B7576" t="str">
            <v>SR-C1554</v>
          </cell>
          <cell r="J7576" t="str">
            <v>C</v>
          </cell>
          <cell r="N7576" t="str">
            <v>C</v>
          </cell>
        </row>
        <row r="7577">
          <cell r="B7577" t="str">
            <v>SR-C1555</v>
          </cell>
          <cell r="J7577" t="str">
            <v>C</v>
          </cell>
          <cell r="N7577" t="str">
            <v>C</v>
          </cell>
        </row>
        <row r="7578">
          <cell r="B7578" t="str">
            <v>SR-C1556</v>
          </cell>
          <cell r="J7578" t="str">
            <v>C</v>
          </cell>
          <cell r="N7578" t="str">
            <v>C</v>
          </cell>
        </row>
        <row r="7579">
          <cell r="B7579" t="str">
            <v>SR-C1557</v>
          </cell>
          <cell r="J7579" t="str">
            <v>C</v>
          </cell>
          <cell r="N7579" t="str">
            <v>C</v>
          </cell>
        </row>
        <row r="7580">
          <cell r="B7580" t="str">
            <v>SR-C1558</v>
          </cell>
          <cell r="J7580" t="str">
            <v>C</v>
          </cell>
          <cell r="N7580" t="str">
            <v>C</v>
          </cell>
        </row>
        <row r="7581">
          <cell r="B7581" t="str">
            <v>SR-C1559</v>
          </cell>
          <cell r="J7581" t="str">
            <v>C</v>
          </cell>
          <cell r="N7581" t="str">
            <v>C</v>
          </cell>
        </row>
        <row r="7582">
          <cell r="B7582" t="str">
            <v>SR-C1560</v>
          </cell>
          <cell r="J7582" t="str">
            <v>C</v>
          </cell>
          <cell r="N7582" t="str">
            <v>C</v>
          </cell>
        </row>
        <row r="7583">
          <cell r="B7583" t="str">
            <v>SR-C1561</v>
          </cell>
          <cell r="J7583" t="str">
            <v>C</v>
          </cell>
          <cell r="N7583" t="str">
            <v>C</v>
          </cell>
        </row>
        <row r="7584">
          <cell r="B7584" t="str">
            <v>SR-C1562</v>
          </cell>
          <cell r="J7584" t="str">
            <v>C</v>
          </cell>
          <cell r="N7584" t="str">
            <v>C</v>
          </cell>
        </row>
        <row r="7585">
          <cell r="B7585" t="str">
            <v>RC-C1563</v>
          </cell>
          <cell r="J7585" t="str">
            <v>C</v>
          </cell>
          <cell r="N7585" t="str">
            <v>C</v>
          </cell>
        </row>
        <row r="7586">
          <cell r="B7586" t="str">
            <v>SR-C1564</v>
          </cell>
          <cell r="J7586" t="str">
            <v>C</v>
          </cell>
          <cell r="N7586" t="str">
            <v>C</v>
          </cell>
        </row>
        <row r="7587">
          <cell r="B7587" t="str">
            <v>SR-C1565</v>
          </cell>
          <cell r="J7587" t="str">
            <v>C</v>
          </cell>
          <cell r="N7587" t="str">
            <v>C</v>
          </cell>
        </row>
        <row r="7588">
          <cell r="B7588" t="str">
            <v>SR-C1566</v>
          </cell>
          <cell r="J7588" t="str">
            <v>C</v>
          </cell>
          <cell r="N7588" t="str">
            <v>C</v>
          </cell>
        </row>
        <row r="7589">
          <cell r="B7589" t="str">
            <v>SR-C1567</v>
          </cell>
          <cell r="J7589" t="str">
            <v>C</v>
          </cell>
          <cell r="N7589" t="str">
            <v>C</v>
          </cell>
        </row>
        <row r="7590">
          <cell r="B7590" t="str">
            <v>SR-C1568</v>
          </cell>
          <cell r="J7590" t="str">
            <v>C</v>
          </cell>
          <cell r="N7590" t="str">
            <v>C</v>
          </cell>
        </row>
        <row r="7591">
          <cell r="B7591" t="str">
            <v>RC-C1569</v>
          </cell>
          <cell r="J7591" t="str">
            <v>C</v>
          </cell>
          <cell r="N7591" t="str">
            <v>C</v>
          </cell>
        </row>
        <row r="7592">
          <cell r="B7592" t="str">
            <v>SR-C1570</v>
          </cell>
          <cell r="J7592" t="str">
            <v>C</v>
          </cell>
          <cell r="N7592" t="str">
            <v>C</v>
          </cell>
        </row>
        <row r="7593">
          <cell r="B7593" t="str">
            <v>SR-C1571</v>
          </cell>
          <cell r="J7593" t="str">
            <v>C</v>
          </cell>
          <cell r="N7593" t="str">
            <v>C</v>
          </cell>
        </row>
        <row r="7594">
          <cell r="B7594" t="str">
            <v>SR-C1572</v>
          </cell>
          <cell r="J7594" t="str">
            <v>C</v>
          </cell>
          <cell r="N7594" t="str">
            <v>C</v>
          </cell>
        </row>
        <row r="7595">
          <cell r="B7595" t="str">
            <v>SR-C1573</v>
          </cell>
          <cell r="J7595" t="str">
            <v>C</v>
          </cell>
          <cell r="N7595" t="str">
            <v>C</v>
          </cell>
        </row>
        <row r="7596">
          <cell r="B7596" t="str">
            <v>SR-C1574</v>
          </cell>
          <cell r="J7596" t="str">
            <v>C</v>
          </cell>
          <cell r="N7596" t="str">
            <v>C</v>
          </cell>
        </row>
        <row r="7597">
          <cell r="B7597" t="str">
            <v>SR-C1575</v>
          </cell>
          <cell r="J7597" t="str">
            <v>C</v>
          </cell>
          <cell r="N7597" t="str">
            <v>C</v>
          </cell>
        </row>
        <row r="7598">
          <cell r="B7598" t="str">
            <v>SR-C1576</v>
          </cell>
          <cell r="J7598" t="str">
            <v>C</v>
          </cell>
          <cell r="N7598" t="str">
            <v>C</v>
          </cell>
        </row>
        <row r="7599">
          <cell r="B7599" t="str">
            <v>SR-C1577</v>
          </cell>
          <cell r="J7599" t="str">
            <v>C</v>
          </cell>
          <cell r="N7599" t="str">
            <v>C</v>
          </cell>
        </row>
        <row r="7600">
          <cell r="B7600" t="str">
            <v>RC-C1578</v>
          </cell>
          <cell r="J7600" t="str">
            <v>C</v>
          </cell>
          <cell r="N7600" t="str">
            <v>C</v>
          </cell>
        </row>
        <row r="7601">
          <cell r="B7601" t="str">
            <v>SR-C1579</v>
          </cell>
          <cell r="J7601" t="str">
            <v>C</v>
          </cell>
          <cell r="N7601" t="str">
            <v>C</v>
          </cell>
        </row>
        <row r="7602">
          <cell r="B7602" t="str">
            <v>SR-C1580</v>
          </cell>
          <cell r="J7602" t="str">
            <v>C</v>
          </cell>
          <cell r="N7602" t="str">
            <v>C</v>
          </cell>
        </row>
        <row r="7603">
          <cell r="B7603" t="str">
            <v>SR-C1581</v>
          </cell>
          <cell r="J7603" t="str">
            <v>C</v>
          </cell>
          <cell r="N7603" t="str">
            <v>C</v>
          </cell>
        </row>
        <row r="7604">
          <cell r="B7604" t="str">
            <v>SR-C1582</v>
          </cell>
          <cell r="J7604" t="str">
            <v>C</v>
          </cell>
          <cell r="N7604" t="str">
            <v>C</v>
          </cell>
        </row>
        <row r="7605">
          <cell r="B7605" t="str">
            <v>SR-C1583</v>
          </cell>
          <cell r="J7605" t="str">
            <v>C</v>
          </cell>
          <cell r="N7605" t="str">
            <v>C</v>
          </cell>
        </row>
        <row r="7606">
          <cell r="B7606" t="str">
            <v>SR-C1584</v>
          </cell>
          <cell r="J7606" t="str">
            <v>C</v>
          </cell>
          <cell r="N7606" t="str">
            <v>C</v>
          </cell>
        </row>
        <row r="7607">
          <cell r="B7607" t="str">
            <v>DC-B1585</v>
          </cell>
          <cell r="J7607" t="str">
            <v>B</v>
          </cell>
          <cell r="N7607" t="str">
            <v>B</v>
          </cell>
        </row>
        <row r="7608">
          <cell r="B7608" t="str">
            <v>DC-B1586</v>
          </cell>
          <cell r="J7608" t="str">
            <v>B</v>
          </cell>
          <cell r="N7608" t="str">
            <v>B</v>
          </cell>
        </row>
        <row r="7609">
          <cell r="B7609" t="str">
            <v>SR-B1587</v>
          </cell>
          <cell r="J7609" t="str">
            <v>B</v>
          </cell>
          <cell r="N7609" t="str">
            <v>B</v>
          </cell>
        </row>
        <row r="7610">
          <cell r="B7610" t="str">
            <v>SR-B1588</v>
          </cell>
          <cell r="J7610" t="str">
            <v>B</v>
          </cell>
          <cell r="N7610" t="str">
            <v>B</v>
          </cell>
        </row>
        <row r="7611">
          <cell r="B7611" t="str">
            <v>SR-B1589</v>
          </cell>
          <cell r="J7611" t="str">
            <v>B</v>
          </cell>
          <cell r="N7611" t="str">
            <v>B</v>
          </cell>
        </row>
        <row r="7612">
          <cell r="B7612" t="str">
            <v>SR-B1590</v>
          </cell>
          <cell r="J7612" t="str">
            <v>B</v>
          </cell>
          <cell r="N7612" t="str">
            <v>B</v>
          </cell>
        </row>
        <row r="7613">
          <cell r="B7613" t="str">
            <v>LB-B1591</v>
          </cell>
          <cell r="J7613" t="str">
            <v>B</v>
          </cell>
          <cell r="N7613" t="str">
            <v>B</v>
          </cell>
        </row>
        <row r="7614">
          <cell r="B7614" t="str">
            <v>SR-B1592</v>
          </cell>
          <cell r="J7614" t="str">
            <v>B</v>
          </cell>
          <cell r="N7614" t="str">
            <v>B</v>
          </cell>
        </row>
        <row r="7615">
          <cell r="B7615" t="str">
            <v>SR-B1593</v>
          </cell>
          <cell r="J7615" t="str">
            <v>B</v>
          </cell>
          <cell r="N7615" t="str">
            <v>B</v>
          </cell>
        </row>
        <row r="7616">
          <cell r="B7616" t="str">
            <v>SR-B1594</v>
          </cell>
          <cell r="J7616" t="str">
            <v>B</v>
          </cell>
          <cell r="N7616" t="str">
            <v>B</v>
          </cell>
        </row>
        <row r="7617">
          <cell r="B7617" t="str">
            <v>SR-B1595</v>
          </cell>
          <cell r="J7617" t="str">
            <v>B</v>
          </cell>
          <cell r="N7617" t="str">
            <v>B</v>
          </cell>
        </row>
        <row r="7618">
          <cell r="B7618" t="str">
            <v>SR-B1596</v>
          </cell>
          <cell r="J7618" t="str">
            <v>B</v>
          </cell>
          <cell r="N7618" t="str">
            <v>B</v>
          </cell>
        </row>
        <row r="7619">
          <cell r="B7619" t="str">
            <v>SR-B1597</v>
          </cell>
          <cell r="J7619" t="str">
            <v>B</v>
          </cell>
          <cell r="N7619" t="str">
            <v>B</v>
          </cell>
        </row>
        <row r="7620">
          <cell r="B7620" t="str">
            <v>SR-B1598</v>
          </cell>
          <cell r="J7620" t="str">
            <v>B</v>
          </cell>
          <cell r="N7620" t="str">
            <v>B</v>
          </cell>
        </row>
        <row r="7621">
          <cell r="B7621" t="str">
            <v>LB-B1599</v>
          </cell>
          <cell r="J7621" t="str">
            <v>B</v>
          </cell>
          <cell r="N7621" t="str">
            <v>B</v>
          </cell>
        </row>
        <row r="7622">
          <cell r="B7622" t="str">
            <v>RC-B1600</v>
          </cell>
          <cell r="J7622" t="str">
            <v>B</v>
          </cell>
          <cell r="N7622" t="str">
            <v>B</v>
          </cell>
        </row>
        <row r="7623">
          <cell r="B7623" t="str">
            <v>SR-B1601</v>
          </cell>
          <cell r="J7623" t="str">
            <v>B</v>
          </cell>
          <cell r="N7623" t="str">
            <v>B</v>
          </cell>
        </row>
        <row r="7624">
          <cell r="B7624" t="str">
            <v>RC-B1602</v>
          </cell>
          <cell r="J7624" t="str">
            <v>B</v>
          </cell>
          <cell r="N7624" t="str">
            <v>B</v>
          </cell>
        </row>
        <row r="7625">
          <cell r="B7625" t="str">
            <v>SR-B1603</v>
          </cell>
          <cell r="J7625" t="str">
            <v>B</v>
          </cell>
          <cell r="N7625" t="str">
            <v>B</v>
          </cell>
        </row>
        <row r="7626">
          <cell r="B7626" t="str">
            <v>RC-B1604</v>
          </cell>
          <cell r="J7626" t="str">
            <v>B</v>
          </cell>
          <cell r="N7626" t="str">
            <v>B</v>
          </cell>
        </row>
        <row r="7627">
          <cell r="B7627" t="str">
            <v>SR-B1605</v>
          </cell>
          <cell r="J7627" t="str">
            <v>B</v>
          </cell>
          <cell r="N7627" t="str">
            <v>B</v>
          </cell>
        </row>
        <row r="7628">
          <cell r="B7628" t="str">
            <v>SR-B1606</v>
          </cell>
          <cell r="J7628" t="str">
            <v>B</v>
          </cell>
          <cell r="N7628" t="str">
            <v>B</v>
          </cell>
        </row>
        <row r="7629">
          <cell r="B7629" t="str">
            <v>SR-B1607</v>
          </cell>
          <cell r="J7629" t="str">
            <v>B</v>
          </cell>
          <cell r="N7629" t="str">
            <v>B</v>
          </cell>
        </row>
        <row r="7630">
          <cell r="B7630" t="str">
            <v>SR-B1608</v>
          </cell>
          <cell r="J7630" t="str">
            <v>B</v>
          </cell>
          <cell r="N7630" t="str">
            <v>B</v>
          </cell>
        </row>
        <row r="7631">
          <cell r="B7631" t="str">
            <v>RC-B1609</v>
          </cell>
          <cell r="J7631" t="str">
            <v>B</v>
          </cell>
          <cell r="N7631" t="str">
            <v>B</v>
          </cell>
        </row>
        <row r="7632">
          <cell r="B7632" t="str">
            <v>SR-B1610</v>
          </cell>
          <cell r="J7632" t="str">
            <v>B</v>
          </cell>
          <cell r="N7632" t="str">
            <v>B</v>
          </cell>
        </row>
        <row r="7633">
          <cell r="B7633" t="str">
            <v>RC-B1611</v>
          </cell>
          <cell r="J7633" t="str">
            <v>B</v>
          </cell>
          <cell r="N7633" t="str">
            <v>B</v>
          </cell>
        </row>
        <row r="7634">
          <cell r="B7634" t="str">
            <v>SR-B1612</v>
          </cell>
          <cell r="J7634" t="str">
            <v>B</v>
          </cell>
          <cell r="N7634" t="str">
            <v>B</v>
          </cell>
        </row>
        <row r="7635">
          <cell r="B7635" t="str">
            <v>SR-B1613</v>
          </cell>
          <cell r="J7635" t="str">
            <v>B</v>
          </cell>
          <cell r="N7635" t="str">
            <v>B</v>
          </cell>
        </row>
        <row r="7636">
          <cell r="B7636" t="str">
            <v>SR-B1614</v>
          </cell>
          <cell r="J7636" t="str">
            <v>B</v>
          </cell>
          <cell r="N7636" t="str">
            <v>B</v>
          </cell>
        </row>
        <row r="7637">
          <cell r="B7637" t="str">
            <v>SR-B1615</v>
          </cell>
          <cell r="J7637" t="str">
            <v>B</v>
          </cell>
          <cell r="N7637" t="str">
            <v>B</v>
          </cell>
        </row>
        <row r="7638">
          <cell r="B7638" t="str">
            <v>RC-B1616</v>
          </cell>
          <cell r="J7638" t="str">
            <v>B</v>
          </cell>
          <cell r="N7638" t="str">
            <v>B</v>
          </cell>
        </row>
        <row r="7639">
          <cell r="B7639" t="str">
            <v>SR-B1617</v>
          </cell>
          <cell r="J7639" t="str">
            <v>B</v>
          </cell>
          <cell r="N7639" t="str">
            <v>B</v>
          </cell>
        </row>
        <row r="7640">
          <cell r="B7640" t="str">
            <v>RC-B1618</v>
          </cell>
          <cell r="J7640" t="str">
            <v>B</v>
          </cell>
          <cell r="N7640" t="str">
            <v>B</v>
          </cell>
        </row>
        <row r="7641">
          <cell r="B7641" t="str">
            <v>SR-B1619</v>
          </cell>
          <cell r="J7641" t="str">
            <v>B</v>
          </cell>
          <cell r="N7641" t="str">
            <v>B</v>
          </cell>
        </row>
        <row r="7642">
          <cell r="B7642" t="str">
            <v>SR-B1620</v>
          </cell>
          <cell r="J7642" t="str">
            <v>B</v>
          </cell>
          <cell r="N7642" t="str">
            <v>B</v>
          </cell>
        </row>
        <row r="7643">
          <cell r="B7643" t="str">
            <v>RC-B1621</v>
          </cell>
          <cell r="J7643" t="str">
            <v>B</v>
          </cell>
          <cell r="N7643" t="str">
            <v>B</v>
          </cell>
        </row>
        <row r="7644">
          <cell r="B7644" t="str">
            <v>SR-B1622</v>
          </cell>
          <cell r="J7644" t="str">
            <v>B</v>
          </cell>
          <cell r="N7644" t="str">
            <v>B</v>
          </cell>
        </row>
        <row r="7645">
          <cell r="B7645" t="str">
            <v>SR-B1623</v>
          </cell>
          <cell r="J7645" t="str">
            <v>B</v>
          </cell>
          <cell r="N7645" t="str">
            <v>B</v>
          </cell>
        </row>
        <row r="7646">
          <cell r="B7646" t="str">
            <v>SR-B1624</v>
          </cell>
          <cell r="J7646" t="str">
            <v>B</v>
          </cell>
          <cell r="N7646" t="str">
            <v>B</v>
          </cell>
        </row>
        <row r="7647">
          <cell r="B7647" t="str">
            <v>SR-B1625</v>
          </cell>
          <cell r="J7647" t="str">
            <v>B</v>
          </cell>
          <cell r="N7647" t="str">
            <v>B</v>
          </cell>
        </row>
        <row r="7648">
          <cell r="B7648" t="str">
            <v>SR-B1626</v>
          </cell>
          <cell r="J7648" t="str">
            <v>B</v>
          </cell>
          <cell r="N7648" t="str">
            <v>B</v>
          </cell>
        </row>
        <row r="7649">
          <cell r="B7649" t="str">
            <v>SR-B1627</v>
          </cell>
          <cell r="J7649" t="str">
            <v>B</v>
          </cell>
          <cell r="N7649" t="str">
            <v>B</v>
          </cell>
        </row>
        <row r="7650">
          <cell r="B7650" t="str">
            <v>RC-B1628</v>
          </cell>
          <cell r="J7650" t="str">
            <v>B</v>
          </cell>
          <cell r="N7650" t="str">
            <v>B</v>
          </cell>
        </row>
        <row r="7651">
          <cell r="B7651" t="str">
            <v>SR-B1629</v>
          </cell>
          <cell r="J7651" t="str">
            <v>B</v>
          </cell>
          <cell r="N7651" t="str">
            <v>B</v>
          </cell>
        </row>
        <row r="7652">
          <cell r="B7652" t="str">
            <v>SR-B1630</v>
          </cell>
          <cell r="J7652" t="str">
            <v>B</v>
          </cell>
          <cell r="N7652" t="str">
            <v>B</v>
          </cell>
        </row>
        <row r="7653">
          <cell r="B7653" t="str">
            <v>RC-B1631</v>
          </cell>
          <cell r="J7653" t="str">
            <v>B</v>
          </cell>
          <cell r="N7653" t="str">
            <v>B</v>
          </cell>
        </row>
        <row r="7654">
          <cell r="B7654" t="str">
            <v>SR-B1632</v>
          </cell>
          <cell r="J7654" t="str">
            <v>B</v>
          </cell>
          <cell r="N7654" t="str">
            <v>B</v>
          </cell>
        </row>
        <row r="7655">
          <cell r="B7655" t="str">
            <v>SR-B1633</v>
          </cell>
          <cell r="J7655" t="str">
            <v>B</v>
          </cell>
          <cell r="N7655" t="str">
            <v>B</v>
          </cell>
        </row>
        <row r="7656">
          <cell r="B7656" t="str">
            <v>SR-B1634</v>
          </cell>
          <cell r="J7656" t="str">
            <v>B</v>
          </cell>
          <cell r="N7656" t="str">
            <v>B</v>
          </cell>
        </row>
        <row r="7657">
          <cell r="B7657" t="str">
            <v>SR-B1635</v>
          </cell>
          <cell r="J7657" t="str">
            <v>B</v>
          </cell>
          <cell r="N7657" t="str">
            <v>B</v>
          </cell>
        </row>
        <row r="7658">
          <cell r="B7658" t="str">
            <v>SR-B1636</v>
          </cell>
          <cell r="J7658" t="str">
            <v>B</v>
          </cell>
          <cell r="N7658" t="str">
            <v>B</v>
          </cell>
        </row>
        <row r="7659">
          <cell r="B7659" t="str">
            <v>SR-B1637</v>
          </cell>
          <cell r="J7659" t="str">
            <v>B</v>
          </cell>
          <cell r="N7659" t="str">
            <v>B</v>
          </cell>
        </row>
        <row r="7660">
          <cell r="B7660" t="str">
            <v>SR-B1638</v>
          </cell>
          <cell r="J7660" t="str">
            <v>B</v>
          </cell>
          <cell r="N7660" t="str">
            <v>B</v>
          </cell>
        </row>
        <row r="7661">
          <cell r="B7661" t="str">
            <v>RC-B1639</v>
          </cell>
          <cell r="J7661" t="str">
            <v>B</v>
          </cell>
          <cell r="N7661" t="str">
            <v>B</v>
          </cell>
        </row>
        <row r="7662">
          <cell r="B7662" t="str">
            <v>RC-B1640</v>
          </cell>
          <cell r="J7662" t="str">
            <v>B</v>
          </cell>
          <cell r="N7662" t="str">
            <v>B</v>
          </cell>
        </row>
        <row r="7663">
          <cell r="B7663" t="str">
            <v>SR-B1641</v>
          </cell>
          <cell r="J7663" t="str">
            <v>B</v>
          </cell>
          <cell r="N7663" t="str">
            <v>B</v>
          </cell>
        </row>
        <row r="7664">
          <cell r="B7664" t="str">
            <v>SR-B1642</v>
          </cell>
          <cell r="J7664" t="str">
            <v>B</v>
          </cell>
          <cell r="N7664" t="str">
            <v>B</v>
          </cell>
        </row>
        <row r="7665">
          <cell r="B7665" t="str">
            <v>SR-B1643</v>
          </cell>
          <cell r="J7665" t="str">
            <v>B</v>
          </cell>
          <cell r="N7665" t="str">
            <v>B</v>
          </cell>
        </row>
        <row r="7666">
          <cell r="B7666" t="str">
            <v>SR-B1644</v>
          </cell>
          <cell r="J7666" t="str">
            <v>B</v>
          </cell>
          <cell r="N7666" t="str">
            <v>B</v>
          </cell>
        </row>
        <row r="7667">
          <cell r="B7667" t="str">
            <v>SR-B1645</v>
          </cell>
          <cell r="J7667" t="str">
            <v>B</v>
          </cell>
          <cell r="N7667" t="str">
            <v>B</v>
          </cell>
        </row>
        <row r="7668">
          <cell r="B7668" t="str">
            <v>SR-B1646</v>
          </cell>
          <cell r="J7668" t="str">
            <v>B</v>
          </cell>
          <cell r="N7668" t="str">
            <v>B</v>
          </cell>
        </row>
        <row r="7669">
          <cell r="B7669" t="str">
            <v>RC-B1647</v>
          </cell>
          <cell r="J7669" t="str">
            <v>B</v>
          </cell>
          <cell r="N7669" t="str">
            <v>B</v>
          </cell>
        </row>
        <row r="7670">
          <cell r="B7670" t="str">
            <v>RC-B1648</v>
          </cell>
          <cell r="J7670" t="str">
            <v>B</v>
          </cell>
          <cell r="N7670" t="str">
            <v>B</v>
          </cell>
        </row>
        <row r="7671">
          <cell r="B7671" t="str">
            <v>RC-B1649</v>
          </cell>
          <cell r="J7671" t="str">
            <v>B</v>
          </cell>
          <cell r="N7671" t="str">
            <v>B</v>
          </cell>
        </row>
        <row r="7672">
          <cell r="B7672" t="str">
            <v>SR-B1650</v>
          </cell>
          <cell r="J7672" t="str">
            <v>B</v>
          </cell>
          <cell r="N7672" t="str">
            <v>B</v>
          </cell>
        </row>
        <row r="7673">
          <cell r="B7673" t="str">
            <v>RC-B1651</v>
          </cell>
          <cell r="J7673" t="str">
            <v>B</v>
          </cell>
          <cell r="N7673" t="str">
            <v>B</v>
          </cell>
        </row>
        <row r="7674">
          <cell r="B7674" t="str">
            <v>SR-B1652</v>
          </cell>
          <cell r="J7674" t="str">
            <v>B</v>
          </cell>
          <cell r="N7674" t="str">
            <v>B</v>
          </cell>
        </row>
        <row r="7675">
          <cell r="B7675" t="str">
            <v>SR-B1653</v>
          </cell>
          <cell r="J7675" t="str">
            <v>B</v>
          </cell>
          <cell r="N7675" t="str">
            <v>B</v>
          </cell>
        </row>
        <row r="7676">
          <cell r="B7676" t="str">
            <v>RC-B1654</v>
          </cell>
          <cell r="J7676" t="str">
            <v>B</v>
          </cell>
          <cell r="N7676" t="str">
            <v>B</v>
          </cell>
        </row>
        <row r="7677">
          <cell r="B7677" t="str">
            <v>SR-B1655</v>
          </cell>
          <cell r="J7677" t="str">
            <v>B</v>
          </cell>
          <cell r="N7677" t="str">
            <v>B</v>
          </cell>
        </row>
        <row r="7678">
          <cell r="B7678" t="str">
            <v>RC-B1656</v>
          </cell>
          <cell r="J7678" t="str">
            <v>B</v>
          </cell>
          <cell r="N7678" t="str">
            <v>B</v>
          </cell>
        </row>
        <row r="7679">
          <cell r="B7679" t="str">
            <v>SR-B1657</v>
          </cell>
          <cell r="J7679" t="str">
            <v>B</v>
          </cell>
          <cell r="N7679" t="str">
            <v>B</v>
          </cell>
        </row>
        <row r="7680">
          <cell r="B7680" t="str">
            <v>RC-B1658</v>
          </cell>
          <cell r="J7680" t="str">
            <v>B</v>
          </cell>
          <cell r="N7680" t="str">
            <v>B</v>
          </cell>
        </row>
        <row r="7681">
          <cell r="B7681" t="str">
            <v>SR-B1659</v>
          </cell>
          <cell r="J7681" t="str">
            <v>B</v>
          </cell>
          <cell r="N7681" t="str">
            <v>B</v>
          </cell>
        </row>
        <row r="7682">
          <cell r="B7682" t="str">
            <v>RC-B1660</v>
          </cell>
          <cell r="J7682" t="str">
            <v>B</v>
          </cell>
          <cell r="N7682" t="str">
            <v>B</v>
          </cell>
        </row>
        <row r="7683">
          <cell r="B7683" t="str">
            <v>RC-B1661</v>
          </cell>
          <cell r="J7683" t="str">
            <v>B</v>
          </cell>
          <cell r="N7683" t="str">
            <v>B</v>
          </cell>
        </row>
        <row r="7684">
          <cell r="B7684" t="str">
            <v>RC-B1662</v>
          </cell>
          <cell r="J7684" t="str">
            <v>B</v>
          </cell>
          <cell r="N7684" t="str">
            <v>B</v>
          </cell>
        </row>
        <row r="7685">
          <cell r="B7685" t="str">
            <v>RC-B1663</v>
          </cell>
          <cell r="J7685" t="str">
            <v>B</v>
          </cell>
          <cell r="N7685" t="str">
            <v>B</v>
          </cell>
        </row>
        <row r="7686">
          <cell r="B7686" t="str">
            <v>RC-B1664</v>
          </cell>
          <cell r="J7686" t="str">
            <v>B</v>
          </cell>
          <cell r="N7686" t="str">
            <v>B</v>
          </cell>
        </row>
        <row r="7687">
          <cell r="B7687" t="str">
            <v>RC-B1665</v>
          </cell>
          <cell r="J7687" t="str">
            <v>B</v>
          </cell>
          <cell r="N7687" t="str">
            <v>B</v>
          </cell>
        </row>
        <row r="7688">
          <cell r="B7688" t="str">
            <v>RC-B1666</v>
          </cell>
          <cell r="J7688" t="str">
            <v>B</v>
          </cell>
          <cell r="N7688" t="str">
            <v>B</v>
          </cell>
        </row>
        <row r="7689">
          <cell r="B7689" t="str">
            <v>RC-B1667</v>
          </cell>
          <cell r="J7689" t="str">
            <v>B</v>
          </cell>
          <cell r="N7689" t="str">
            <v>B</v>
          </cell>
        </row>
        <row r="7690">
          <cell r="B7690" t="str">
            <v>SR-B1668</v>
          </cell>
          <cell r="J7690" t="str">
            <v>B</v>
          </cell>
          <cell r="N7690" t="str">
            <v>B</v>
          </cell>
        </row>
        <row r="7691">
          <cell r="B7691" t="str">
            <v>RC-B1669</v>
          </cell>
          <cell r="J7691" t="str">
            <v>B</v>
          </cell>
          <cell r="N7691" t="str">
            <v>B</v>
          </cell>
        </row>
        <row r="7692">
          <cell r="B7692" t="str">
            <v>RC-B1670</v>
          </cell>
          <cell r="J7692" t="str">
            <v>B</v>
          </cell>
          <cell r="N7692" t="str">
            <v>B</v>
          </cell>
        </row>
        <row r="7693">
          <cell r="B7693" t="str">
            <v>RC-B1671</v>
          </cell>
          <cell r="J7693" t="str">
            <v>B</v>
          </cell>
          <cell r="N7693" t="str">
            <v>B</v>
          </cell>
        </row>
        <row r="7694">
          <cell r="B7694" t="str">
            <v>SR-B1672</v>
          </cell>
          <cell r="J7694" t="str">
            <v>B</v>
          </cell>
          <cell r="N7694" t="str">
            <v>B</v>
          </cell>
        </row>
        <row r="7695">
          <cell r="B7695" t="str">
            <v>RC-B1673</v>
          </cell>
          <cell r="J7695" t="str">
            <v>B</v>
          </cell>
          <cell r="N7695" t="str">
            <v>B</v>
          </cell>
        </row>
        <row r="7696">
          <cell r="B7696" t="str">
            <v>RC-B1674</v>
          </cell>
          <cell r="J7696" t="str">
            <v>B</v>
          </cell>
          <cell r="N7696" t="str">
            <v>B</v>
          </cell>
        </row>
        <row r="7697">
          <cell r="B7697" t="str">
            <v>RC-B1675</v>
          </cell>
          <cell r="J7697" t="str">
            <v>B</v>
          </cell>
          <cell r="N7697" t="str">
            <v>B</v>
          </cell>
        </row>
        <row r="7698">
          <cell r="B7698" t="str">
            <v>SR-B1676</v>
          </cell>
          <cell r="J7698" t="str">
            <v>B</v>
          </cell>
          <cell r="N7698" t="str">
            <v>B</v>
          </cell>
        </row>
        <row r="7699">
          <cell r="B7699" t="str">
            <v>SR-B1677</v>
          </cell>
          <cell r="J7699" t="str">
            <v>B</v>
          </cell>
          <cell r="N7699" t="str">
            <v>B</v>
          </cell>
        </row>
        <row r="7700">
          <cell r="B7700" t="str">
            <v>RC-B1678</v>
          </cell>
          <cell r="J7700" t="str">
            <v>B</v>
          </cell>
          <cell r="N7700" t="str">
            <v>B</v>
          </cell>
        </row>
        <row r="7701">
          <cell r="B7701" t="str">
            <v>SR-B1679</v>
          </cell>
          <cell r="J7701" t="str">
            <v>B</v>
          </cell>
          <cell r="N7701" t="str">
            <v>B</v>
          </cell>
        </row>
        <row r="7702">
          <cell r="B7702" t="str">
            <v>RC-B1680</v>
          </cell>
          <cell r="J7702" t="str">
            <v>B</v>
          </cell>
          <cell r="N7702" t="str">
            <v>B</v>
          </cell>
        </row>
        <row r="7703">
          <cell r="B7703" t="str">
            <v>SR-B1681</v>
          </cell>
          <cell r="J7703" t="str">
            <v>B</v>
          </cell>
          <cell r="N7703" t="str">
            <v>B</v>
          </cell>
        </row>
        <row r="7704">
          <cell r="B7704" t="str">
            <v>SR-B1682</v>
          </cell>
          <cell r="J7704" t="str">
            <v>B</v>
          </cell>
          <cell r="N7704" t="str">
            <v>B</v>
          </cell>
        </row>
        <row r="7705">
          <cell r="B7705" t="str">
            <v>SR-B1683</v>
          </cell>
          <cell r="J7705" t="str">
            <v>B</v>
          </cell>
          <cell r="N7705" t="str">
            <v>B</v>
          </cell>
        </row>
        <row r="7706">
          <cell r="B7706" t="str">
            <v>SR-B1684</v>
          </cell>
          <cell r="J7706" t="str">
            <v>B</v>
          </cell>
          <cell r="N7706" t="str">
            <v>B</v>
          </cell>
        </row>
        <row r="7707">
          <cell r="B7707" t="str">
            <v>SR-B1685</v>
          </cell>
          <cell r="J7707" t="str">
            <v>B</v>
          </cell>
          <cell r="N7707" t="str">
            <v>B</v>
          </cell>
        </row>
        <row r="7708">
          <cell r="B7708" t="str">
            <v>RC-B1686</v>
          </cell>
          <cell r="J7708" t="str">
            <v>B</v>
          </cell>
          <cell r="N7708" t="str">
            <v>B</v>
          </cell>
        </row>
        <row r="7709">
          <cell r="B7709" t="str">
            <v>RC-B1687</v>
          </cell>
          <cell r="J7709" t="str">
            <v>B</v>
          </cell>
          <cell r="N7709" t="str">
            <v>B</v>
          </cell>
        </row>
        <row r="7710">
          <cell r="B7710" t="str">
            <v>RC-B1688</v>
          </cell>
          <cell r="J7710" t="str">
            <v>B</v>
          </cell>
          <cell r="N7710" t="str">
            <v>B</v>
          </cell>
        </row>
        <row r="7711">
          <cell r="B7711" t="str">
            <v>RC-B1689</v>
          </cell>
          <cell r="J7711" t="str">
            <v>B</v>
          </cell>
          <cell r="N7711" t="str">
            <v>B</v>
          </cell>
        </row>
        <row r="7712">
          <cell r="B7712" t="str">
            <v>SR-B1690</v>
          </cell>
          <cell r="J7712" t="str">
            <v>B</v>
          </cell>
          <cell r="N7712" t="str">
            <v>B</v>
          </cell>
        </row>
        <row r="7713">
          <cell r="B7713" t="str">
            <v>SR-C1691</v>
          </cell>
          <cell r="J7713" t="str">
            <v>C</v>
          </cell>
          <cell r="N7713" t="str">
            <v>C</v>
          </cell>
        </row>
        <row r="7714">
          <cell r="B7714" t="str">
            <v>SR-C1692</v>
          </cell>
          <cell r="J7714" t="str">
            <v>C</v>
          </cell>
          <cell r="N7714" t="str">
            <v>C</v>
          </cell>
        </row>
        <row r="7715">
          <cell r="B7715" t="str">
            <v>SR-C1693</v>
          </cell>
          <cell r="J7715" t="str">
            <v>C</v>
          </cell>
          <cell r="N7715" t="str">
            <v>C</v>
          </cell>
        </row>
        <row r="7716">
          <cell r="B7716" t="str">
            <v>SR-C1694</v>
          </cell>
          <cell r="J7716" t="str">
            <v>C</v>
          </cell>
          <cell r="N7716" t="str">
            <v>C</v>
          </cell>
        </row>
        <row r="7717">
          <cell r="B7717" t="str">
            <v>CER-A1695</v>
          </cell>
          <cell r="J7717" t="str">
            <v>A</v>
          </cell>
          <cell r="N7717" t="str">
            <v>A</v>
          </cell>
        </row>
        <row r="7718">
          <cell r="B7718" t="str">
            <v>CER-A1696</v>
          </cell>
          <cell r="J7718" t="str">
            <v>A</v>
          </cell>
          <cell r="N7718" t="str">
            <v>A</v>
          </cell>
        </row>
        <row r="7719">
          <cell r="B7719" t="str">
            <v>CER-A1697</v>
          </cell>
          <cell r="J7719" t="str">
            <v>A</v>
          </cell>
          <cell r="N7719" t="str">
            <v>A</v>
          </cell>
        </row>
        <row r="7720">
          <cell r="B7720" t="str">
            <v>CER-A1698</v>
          </cell>
          <cell r="J7720" t="str">
            <v>A</v>
          </cell>
          <cell r="N7720" t="str">
            <v>A</v>
          </cell>
        </row>
        <row r="7721">
          <cell r="B7721" t="str">
            <v>CER-A1699</v>
          </cell>
          <cell r="J7721" t="str">
            <v>A</v>
          </cell>
          <cell r="N7721" t="str">
            <v>A</v>
          </cell>
        </row>
        <row r="7722">
          <cell r="B7722" t="str">
            <v>CER-A1700</v>
          </cell>
          <cell r="J7722" t="str">
            <v>A</v>
          </cell>
          <cell r="N7722" t="str">
            <v>A</v>
          </cell>
        </row>
        <row r="7723">
          <cell r="B7723" t="str">
            <v>CER-A1701</v>
          </cell>
          <cell r="J7723" t="str">
            <v>A</v>
          </cell>
          <cell r="N7723" t="str">
            <v>A</v>
          </cell>
        </row>
        <row r="7724">
          <cell r="B7724" t="str">
            <v>CER-A1702</v>
          </cell>
          <cell r="J7724" t="str">
            <v>A</v>
          </cell>
          <cell r="N7724" t="str">
            <v>A</v>
          </cell>
        </row>
        <row r="7725">
          <cell r="B7725" t="str">
            <v>CER-A1703</v>
          </cell>
          <cell r="J7725" t="str">
            <v>A</v>
          </cell>
          <cell r="N7725" t="str">
            <v>A</v>
          </cell>
        </row>
        <row r="7726">
          <cell r="B7726" t="str">
            <v>CER-A1704</v>
          </cell>
          <cell r="J7726" t="str">
            <v>A</v>
          </cell>
          <cell r="N7726" t="str">
            <v>A</v>
          </cell>
        </row>
        <row r="7727">
          <cell r="B7727" t="str">
            <v>CER-A1705</v>
          </cell>
          <cell r="J7727" t="str">
            <v>A</v>
          </cell>
          <cell r="N7727" t="str">
            <v>A</v>
          </cell>
        </row>
        <row r="7728">
          <cell r="B7728" t="str">
            <v>CER-A1706</v>
          </cell>
          <cell r="J7728" t="str">
            <v>A</v>
          </cell>
          <cell r="N7728" t="str">
            <v>A</v>
          </cell>
        </row>
        <row r="7729">
          <cell r="B7729" t="str">
            <v>CER-A1707</v>
          </cell>
          <cell r="J7729" t="str">
            <v>A</v>
          </cell>
          <cell r="N7729" t="str">
            <v>A</v>
          </cell>
        </row>
        <row r="7730">
          <cell r="B7730" t="str">
            <v>CER-A1708</v>
          </cell>
          <cell r="J7730" t="str">
            <v>A</v>
          </cell>
          <cell r="N7730" t="str">
            <v>A</v>
          </cell>
        </row>
        <row r="7731">
          <cell r="B7731" t="str">
            <v>CER-A1709</v>
          </cell>
          <cell r="J7731" t="str">
            <v>A</v>
          </cell>
          <cell r="N7731" t="str">
            <v>A</v>
          </cell>
        </row>
        <row r="7732">
          <cell r="B7732" t="str">
            <v>CER-A1710</v>
          </cell>
          <cell r="J7732" t="str">
            <v>A</v>
          </cell>
          <cell r="N7732" t="str">
            <v>A</v>
          </cell>
        </row>
        <row r="7733">
          <cell r="B7733" t="str">
            <v>CER-A1711</v>
          </cell>
          <cell r="J7733" t="str">
            <v>A</v>
          </cell>
          <cell r="N7733" t="str">
            <v>A</v>
          </cell>
        </row>
        <row r="7734">
          <cell r="B7734" t="str">
            <v>CER-A1712</v>
          </cell>
          <cell r="J7734" t="str">
            <v>A</v>
          </cell>
          <cell r="N7734" t="str">
            <v>A</v>
          </cell>
        </row>
        <row r="7735">
          <cell r="B7735" t="str">
            <v>CER-A1713</v>
          </cell>
          <cell r="J7735" t="str">
            <v>A</v>
          </cell>
          <cell r="N7735" t="str">
            <v>A</v>
          </cell>
        </row>
        <row r="7736">
          <cell r="B7736" t="str">
            <v>CER-A1714</v>
          </cell>
          <cell r="J7736" t="str">
            <v>A</v>
          </cell>
          <cell r="N7736" t="str">
            <v>A</v>
          </cell>
        </row>
        <row r="7737">
          <cell r="B7737" t="str">
            <v>CER-A1715</v>
          </cell>
          <cell r="J7737" t="str">
            <v>A</v>
          </cell>
          <cell r="N7737" t="str">
            <v>A</v>
          </cell>
        </row>
        <row r="7738">
          <cell r="B7738" t="str">
            <v>CER-A1716</v>
          </cell>
          <cell r="J7738" t="str">
            <v>A</v>
          </cell>
          <cell r="N7738" t="str">
            <v>A</v>
          </cell>
        </row>
        <row r="7739">
          <cell r="B7739" t="str">
            <v>CER-A1717</v>
          </cell>
          <cell r="J7739" t="str">
            <v>A</v>
          </cell>
          <cell r="N7739" t="str">
            <v>A</v>
          </cell>
        </row>
        <row r="7740">
          <cell r="B7740" t="str">
            <v>CER-A1718</v>
          </cell>
          <cell r="J7740" t="str">
            <v>A</v>
          </cell>
          <cell r="N7740" t="str">
            <v>A</v>
          </cell>
        </row>
        <row r="7741">
          <cell r="B7741" t="str">
            <v>CER-A1719</v>
          </cell>
          <cell r="J7741" t="str">
            <v>A</v>
          </cell>
          <cell r="N7741" t="str">
            <v>A</v>
          </cell>
        </row>
        <row r="7742">
          <cell r="B7742" t="str">
            <v>CER-A1720</v>
          </cell>
          <cell r="J7742" t="str">
            <v>A</v>
          </cell>
          <cell r="N7742" t="str">
            <v>A</v>
          </cell>
        </row>
        <row r="7743">
          <cell r="B7743" t="str">
            <v>CER-A1721</v>
          </cell>
          <cell r="J7743" t="str">
            <v>A</v>
          </cell>
          <cell r="N7743" t="str">
            <v>A</v>
          </cell>
        </row>
        <row r="7744">
          <cell r="B7744" t="str">
            <v>CER-A1722</v>
          </cell>
          <cell r="J7744" t="str">
            <v>A</v>
          </cell>
          <cell r="N7744" t="str">
            <v>A</v>
          </cell>
        </row>
        <row r="7745">
          <cell r="B7745" t="str">
            <v>CER-A1723</v>
          </cell>
          <cell r="J7745" t="str">
            <v>A</v>
          </cell>
          <cell r="N7745" t="str">
            <v>A</v>
          </cell>
        </row>
        <row r="7746">
          <cell r="B7746" t="str">
            <v>CER-A1724</v>
          </cell>
          <cell r="J7746" t="str">
            <v>A</v>
          </cell>
          <cell r="N7746" t="str">
            <v>A</v>
          </cell>
        </row>
        <row r="7747">
          <cell r="B7747" t="str">
            <v>CER-A1725</v>
          </cell>
          <cell r="J7747" t="str">
            <v>A</v>
          </cell>
          <cell r="N7747" t="str">
            <v>A</v>
          </cell>
        </row>
        <row r="7748">
          <cell r="B7748" t="str">
            <v>CER-A1726</v>
          </cell>
          <cell r="J7748" t="str">
            <v>A</v>
          </cell>
          <cell r="N7748" t="str">
            <v>A</v>
          </cell>
        </row>
        <row r="7749">
          <cell r="B7749" t="str">
            <v>RC-B1727</v>
          </cell>
          <cell r="J7749" t="str">
            <v>B</v>
          </cell>
          <cell r="N7749" t="str">
            <v>B</v>
          </cell>
        </row>
        <row r="7750">
          <cell r="B7750" t="str">
            <v>RC-B1728</v>
          </cell>
          <cell r="J7750" t="str">
            <v>B</v>
          </cell>
          <cell r="N7750" t="str">
            <v>B</v>
          </cell>
        </row>
        <row r="7751">
          <cell r="B7751" t="str">
            <v>RC-B1729</v>
          </cell>
          <cell r="J7751" t="str">
            <v>B</v>
          </cell>
          <cell r="N7751" t="str">
            <v>B</v>
          </cell>
        </row>
        <row r="7752">
          <cell r="B7752" t="str">
            <v>RC-B1730</v>
          </cell>
          <cell r="J7752" t="str">
            <v>B</v>
          </cell>
          <cell r="N7752" t="str">
            <v>B</v>
          </cell>
        </row>
        <row r="7753">
          <cell r="B7753" t="str">
            <v>LB-B1731</v>
          </cell>
          <cell r="J7753" t="str">
            <v>B</v>
          </cell>
          <cell r="N7753" t="str">
            <v>B</v>
          </cell>
        </row>
        <row r="7754">
          <cell r="B7754" t="str">
            <v>RC-B1732</v>
          </cell>
          <cell r="J7754" t="str">
            <v>B</v>
          </cell>
          <cell r="N7754" t="str">
            <v>B</v>
          </cell>
        </row>
        <row r="7755">
          <cell r="B7755" t="str">
            <v>RC-B1733</v>
          </cell>
          <cell r="J7755" t="str">
            <v>B</v>
          </cell>
          <cell r="N7755" t="str">
            <v>B</v>
          </cell>
        </row>
        <row r="7756">
          <cell r="B7756" t="str">
            <v>RC-B1734</v>
          </cell>
          <cell r="J7756" t="str">
            <v>B</v>
          </cell>
          <cell r="N7756" t="str">
            <v>B</v>
          </cell>
        </row>
        <row r="7757">
          <cell r="B7757" t="str">
            <v>RC-B1735</v>
          </cell>
          <cell r="J7757" t="str">
            <v>B</v>
          </cell>
          <cell r="N7757" t="str">
            <v>B</v>
          </cell>
        </row>
        <row r="7758">
          <cell r="B7758" t="str">
            <v>RC-B1736</v>
          </cell>
          <cell r="J7758" t="str">
            <v>B</v>
          </cell>
          <cell r="N7758" t="str">
            <v>B</v>
          </cell>
        </row>
        <row r="7759">
          <cell r="B7759" t="str">
            <v>RC-B1737</v>
          </cell>
          <cell r="J7759" t="str">
            <v>B</v>
          </cell>
          <cell r="N7759" t="str">
            <v>B</v>
          </cell>
        </row>
        <row r="7760">
          <cell r="B7760" t="str">
            <v>RC-B1738</v>
          </cell>
          <cell r="J7760" t="str">
            <v>B</v>
          </cell>
          <cell r="N7760" t="str">
            <v>B</v>
          </cell>
        </row>
        <row r="7761">
          <cell r="B7761" t="str">
            <v>DC-B1739</v>
          </cell>
          <cell r="J7761" t="str">
            <v>B</v>
          </cell>
          <cell r="N7761" t="str">
            <v>B</v>
          </cell>
        </row>
        <row r="7762">
          <cell r="B7762" t="str">
            <v>DC-B1740</v>
          </cell>
          <cell r="J7762" t="str">
            <v>B</v>
          </cell>
          <cell r="N7762" t="str">
            <v>B</v>
          </cell>
        </row>
        <row r="7763">
          <cell r="B7763" t="str">
            <v>DC-B1741</v>
          </cell>
          <cell r="J7763" t="str">
            <v>B</v>
          </cell>
          <cell r="N7763" t="str">
            <v>B</v>
          </cell>
        </row>
        <row r="7764">
          <cell r="B7764" t="str">
            <v>DC-B1742</v>
          </cell>
          <cell r="J7764" t="str">
            <v>B</v>
          </cell>
          <cell r="N7764" t="str">
            <v>B</v>
          </cell>
        </row>
        <row r="7765">
          <cell r="B7765" t="str">
            <v>DC-B1743</v>
          </cell>
          <cell r="J7765" t="str">
            <v>B</v>
          </cell>
          <cell r="N7765" t="str">
            <v>B</v>
          </cell>
        </row>
        <row r="7766">
          <cell r="B7766" t="str">
            <v>DC-B1744</v>
          </cell>
          <cell r="J7766" t="str">
            <v>B</v>
          </cell>
          <cell r="N7766" t="str">
            <v>B</v>
          </cell>
        </row>
        <row r="7767">
          <cell r="B7767" t="str">
            <v>DC-B1745</v>
          </cell>
          <cell r="J7767" t="str">
            <v>B</v>
          </cell>
          <cell r="N7767" t="str">
            <v>B</v>
          </cell>
        </row>
        <row r="7768">
          <cell r="B7768" t="str">
            <v>RC-B1746</v>
          </cell>
          <cell r="J7768" t="str">
            <v>B</v>
          </cell>
          <cell r="N7768" t="str">
            <v>B</v>
          </cell>
        </row>
        <row r="7769">
          <cell r="B7769" t="str">
            <v>LB-B1747</v>
          </cell>
          <cell r="J7769" t="str">
            <v>B</v>
          </cell>
          <cell r="N7769" t="str">
            <v>B</v>
          </cell>
        </row>
        <row r="7770">
          <cell r="B7770" t="str">
            <v>LB-B1748</v>
          </cell>
          <cell r="J7770" t="str">
            <v>B</v>
          </cell>
          <cell r="N7770" t="str">
            <v>B</v>
          </cell>
        </row>
        <row r="7771">
          <cell r="B7771" t="str">
            <v>LB-B1749</v>
          </cell>
          <cell r="J7771" t="str">
            <v>B</v>
          </cell>
          <cell r="N7771" t="str">
            <v>B</v>
          </cell>
        </row>
        <row r="7772">
          <cell r="B7772" t="str">
            <v>LB-B1750</v>
          </cell>
          <cell r="J7772" t="str">
            <v>B</v>
          </cell>
          <cell r="N7772" t="str">
            <v>B</v>
          </cell>
        </row>
        <row r="7773">
          <cell r="B7773" t="str">
            <v>LB-B1751</v>
          </cell>
          <cell r="J7773" t="str">
            <v>B</v>
          </cell>
          <cell r="N7773" t="str">
            <v>B</v>
          </cell>
        </row>
        <row r="7774">
          <cell r="B7774" t="str">
            <v>LB-B1752</v>
          </cell>
          <cell r="J7774" t="str">
            <v>B</v>
          </cell>
          <cell r="N7774" t="str">
            <v>B</v>
          </cell>
        </row>
        <row r="7775">
          <cell r="B7775" t="str">
            <v>LB-B1753</v>
          </cell>
          <cell r="J7775" t="str">
            <v>B</v>
          </cell>
          <cell r="N7775" t="str">
            <v>B</v>
          </cell>
        </row>
        <row r="7776">
          <cell r="B7776" t="str">
            <v>LB-B1754</v>
          </cell>
          <cell r="J7776" t="str">
            <v>B</v>
          </cell>
          <cell r="N7776" t="str">
            <v>B</v>
          </cell>
        </row>
        <row r="7777">
          <cell r="B7777" t="str">
            <v>LB-B1755</v>
          </cell>
          <cell r="J7777" t="str">
            <v>B</v>
          </cell>
          <cell r="N7777" t="str">
            <v>B</v>
          </cell>
        </row>
        <row r="7778">
          <cell r="B7778" t="str">
            <v>LB-B1756</v>
          </cell>
          <cell r="J7778" t="str">
            <v>B</v>
          </cell>
          <cell r="N7778" t="str">
            <v>B</v>
          </cell>
        </row>
        <row r="7779">
          <cell r="B7779" t="str">
            <v>LB-B1757</v>
          </cell>
          <cell r="J7779" t="str">
            <v>B</v>
          </cell>
          <cell r="N7779" t="str">
            <v>B</v>
          </cell>
        </row>
        <row r="7780">
          <cell r="B7780" t="str">
            <v>LB-B1758</v>
          </cell>
          <cell r="J7780" t="str">
            <v>B</v>
          </cell>
          <cell r="N7780" t="str">
            <v>B</v>
          </cell>
        </row>
        <row r="7781">
          <cell r="B7781" t="str">
            <v>LB-B1759</v>
          </cell>
          <cell r="J7781" t="str">
            <v>B</v>
          </cell>
          <cell r="N7781" t="str">
            <v>B</v>
          </cell>
        </row>
        <row r="7782">
          <cell r="B7782" t="str">
            <v>DC-B1760</v>
          </cell>
          <cell r="J7782" t="str">
            <v>B</v>
          </cell>
          <cell r="N7782" t="str">
            <v>B</v>
          </cell>
        </row>
        <row r="7783">
          <cell r="B7783" t="str">
            <v>DC-B1761</v>
          </cell>
          <cell r="J7783" t="str">
            <v>B</v>
          </cell>
          <cell r="N7783" t="str">
            <v>B</v>
          </cell>
        </row>
        <row r="7784">
          <cell r="B7784" t="str">
            <v>DC-B1762</v>
          </cell>
          <cell r="J7784" t="str">
            <v>B</v>
          </cell>
          <cell r="N7784" t="str">
            <v>B</v>
          </cell>
        </row>
        <row r="7785">
          <cell r="B7785" t="str">
            <v>LB-B1763</v>
          </cell>
          <cell r="J7785" t="str">
            <v>B</v>
          </cell>
          <cell r="N7785" t="str">
            <v>B</v>
          </cell>
        </row>
        <row r="7786">
          <cell r="B7786" t="str">
            <v>LB-B1764</v>
          </cell>
          <cell r="J7786" t="str">
            <v>B</v>
          </cell>
          <cell r="N7786" t="str">
            <v>B</v>
          </cell>
        </row>
        <row r="7787">
          <cell r="B7787" t="str">
            <v>LB-B1765</v>
          </cell>
          <cell r="J7787" t="str">
            <v>B</v>
          </cell>
          <cell r="N7787" t="str">
            <v>B</v>
          </cell>
        </row>
        <row r="7788">
          <cell r="B7788" t="str">
            <v>LB-B1766</v>
          </cell>
          <cell r="J7788" t="str">
            <v>B</v>
          </cell>
          <cell r="N7788" t="str">
            <v>B</v>
          </cell>
        </row>
        <row r="7789">
          <cell r="B7789" t="str">
            <v>LB-B1767</v>
          </cell>
          <cell r="J7789" t="str">
            <v>B</v>
          </cell>
          <cell r="N7789" t="str">
            <v>B</v>
          </cell>
        </row>
        <row r="7790">
          <cell r="B7790" t="str">
            <v>LB-B1768</v>
          </cell>
          <cell r="J7790" t="str">
            <v>B</v>
          </cell>
          <cell r="N7790" t="str">
            <v>B</v>
          </cell>
        </row>
        <row r="7791">
          <cell r="B7791" t="str">
            <v>LB-B1769</v>
          </cell>
          <cell r="J7791" t="str">
            <v>B</v>
          </cell>
          <cell r="N7791" t="str">
            <v>B</v>
          </cell>
        </row>
        <row r="7792">
          <cell r="B7792" t="str">
            <v>LB-B1770</v>
          </cell>
          <cell r="J7792" t="str">
            <v>B</v>
          </cell>
          <cell r="N7792" t="str">
            <v>B</v>
          </cell>
        </row>
        <row r="7793">
          <cell r="B7793" t="str">
            <v>LB-B1771</v>
          </cell>
          <cell r="J7793" t="str">
            <v>B</v>
          </cell>
          <cell r="N7793" t="str">
            <v>B</v>
          </cell>
        </row>
        <row r="7794">
          <cell r="B7794" t="str">
            <v>LB-B1772</v>
          </cell>
          <cell r="J7794" t="str">
            <v>B</v>
          </cell>
          <cell r="N7794" t="str">
            <v>B</v>
          </cell>
        </row>
        <row r="7795">
          <cell r="B7795" t="str">
            <v>DC-B1773</v>
          </cell>
          <cell r="J7795" t="str">
            <v>B</v>
          </cell>
          <cell r="N7795" t="str">
            <v>B</v>
          </cell>
        </row>
        <row r="7796">
          <cell r="B7796" t="str">
            <v>DC-B1774</v>
          </cell>
          <cell r="J7796" t="str">
            <v>B</v>
          </cell>
          <cell r="N7796" t="str">
            <v>B</v>
          </cell>
        </row>
        <row r="7797">
          <cell r="B7797" t="str">
            <v>DC-B1775</v>
          </cell>
          <cell r="J7797" t="str">
            <v>B</v>
          </cell>
          <cell r="N7797" t="str">
            <v>B</v>
          </cell>
        </row>
        <row r="7798">
          <cell r="B7798" t="str">
            <v>DC-B1776</v>
          </cell>
          <cell r="J7798" t="str">
            <v>B</v>
          </cell>
          <cell r="N7798" t="str">
            <v>B</v>
          </cell>
        </row>
        <row r="7799">
          <cell r="B7799" t="str">
            <v>DC-B1777</v>
          </cell>
          <cell r="J7799" t="str">
            <v>B</v>
          </cell>
          <cell r="N7799" t="str">
            <v>B</v>
          </cell>
        </row>
        <row r="7800">
          <cell r="B7800" t="str">
            <v>DC-B1778</v>
          </cell>
          <cell r="J7800" t="str">
            <v>B</v>
          </cell>
          <cell r="N7800" t="str">
            <v>B</v>
          </cell>
        </row>
        <row r="7801">
          <cell r="B7801" t="str">
            <v>DC-B1779</v>
          </cell>
          <cell r="J7801" t="str">
            <v>B</v>
          </cell>
          <cell r="N7801" t="str">
            <v>B</v>
          </cell>
        </row>
        <row r="7802">
          <cell r="B7802" t="str">
            <v>DC-B1780</v>
          </cell>
          <cell r="J7802" t="str">
            <v>B</v>
          </cell>
          <cell r="N7802" t="str">
            <v>B</v>
          </cell>
        </row>
        <row r="7803">
          <cell r="B7803" t="str">
            <v>DC-B1781</v>
          </cell>
          <cell r="J7803" t="str">
            <v>B</v>
          </cell>
          <cell r="N7803" t="str">
            <v>B</v>
          </cell>
        </row>
        <row r="7804">
          <cell r="B7804" t="str">
            <v>DC-B1782</v>
          </cell>
          <cell r="J7804" t="str">
            <v>B</v>
          </cell>
          <cell r="N7804" t="str">
            <v>B</v>
          </cell>
        </row>
        <row r="7805">
          <cell r="B7805" t="str">
            <v>LB-B1783</v>
          </cell>
          <cell r="J7805" t="str">
            <v>B</v>
          </cell>
          <cell r="N7805" t="str">
            <v>B</v>
          </cell>
        </row>
        <row r="7806">
          <cell r="B7806" t="str">
            <v>LB-B1784</v>
          </cell>
          <cell r="J7806" t="str">
            <v>B</v>
          </cell>
          <cell r="N7806" t="str">
            <v>B</v>
          </cell>
        </row>
        <row r="7807">
          <cell r="B7807" t="str">
            <v>DC-B1785</v>
          </cell>
          <cell r="J7807" t="str">
            <v>B</v>
          </cell>
          <cell r="N7807" t="str">
            <v>B</v>
          </cell>
        </row>
        <row r="7808">
          <cell r="B7808" t="str">
            <v>LB-B1786</v>
          </cell>
          <cell r="J7808" t="str">
            <v>B</v>
          </cell>
          <cell r="N7808" t="str">
            <v>B</v>
          </cell>
        </row>
        <row r="7809">
          <cell r="B7809" t="str">
            <v>DC-B1787</v>
          </cell>
          <cell r="J7809" t="str">
            <v>B</v>
          </cell>
          <cell r="N7809" t="str">
            <v>B</v>
          </cell>
        </row>
        <row r="7810">
          <cell r="B7810" t="str">
            <v>DC-B1788</v>
          </cell>
          <cell r="J7810" t="str">
            <v>B</v>
          </cell>
          <cell r="N7810" t="str">
            <v>B</v>
          </cell>
        </row>
        <row r="7811">
          <cell r="B7811" t="str">
            <v>DC-B1789</v>
          </cell>
          <cell r="J7811" t="str">
            <v>B</v>
          </cell>
          <cell r="N7811" t="str">
            <v>B</v>
          </cell>
        </row>
        <row r="7812">
          <cell r="B7812" t="str">
            <v>DC-B1790</v>
          </cell>
          <cell r="J7812" t="str">
            <v>B</v>
          </cell>
          <cell r="N7812" t="str">
            <v>B</v>
          </cell>
        </row>
        <row r="7813">
          <cell r="B7813" t="str">
            <v>DC-B1791</v>
          </cell>
          <cell r="J7813" t="str">
            <v>B</v>
          </cell>
          <cell r="N7813" t="str">
            <v>B</v>
          </cell>
        </row>
        <row r="7814">
          <cell r="B7814" t="str">
            <v>DC-B1792</v>
          </cell>
          <cell r="J7814" t="str">
            <v>B</v>
          </cell>
          <cell r="N7814" t="str">
            <v>B</v>
          </cell>
        </row>
        <row r="7815">
          <cell r="B7815" t="str">
            <v>DC-B1793</v>
          </cell>
          <cell r="J7815" t="str">
            <v>B</v>
          </cell>
          <cell r="N7815" t="str">
            <v>B</v>
          </cell>
        </row>
        <row r="7816">
          <cell r="B7816" t="str">
            <v>DC-B1794</v>
          </cell>
          <cell r="J7816" t="str">
            <v>B</v>
          </cell>
          <cell r="N7816" t="str">
            <v>B</v>
          </cell>
        </row>
        <row r="7817">
          <cell r="B7817" t="str">
            <v>DC-B1795</v>
          </cell>
          <cell r="J7817" t="str">
            <v>B</v>
          </cell>
          <cell r="N7817" t="str">
            <v>B</v>
          </cell>
        </row>
        <row r="7818">
          <cell r="B7818" t="str">
            <v>DC-B1796</v>
          </cell>
          <cell r="J7818" t="str">
            <v>B</v>
          </cell>
          <cell r="N7818" t="str">
            <v>B</v>
          </cell>
        </row>
        <row r="7819">
          <cell r="B7819" t="str">
            <v>DC-B1797</v>
          </cell>
          <cell r="J7819" t="str">
            <v>B</v>
          </cell>
          <cell r="N7819" t="str">
            <v>B</v>
          </cell>
        </row>
        <row r="7820">
          <cell r="B7820" t="str">
            <v>DC-B1798</v>
          </cell>
          <cell r="J7820" t="str">
            <v>B</v>
          </cell>
          <cell r="N7820" t="str">
            <v>B</v>
          </cell>
        </row>
        <row r="7821">
          <cell r="B7821" t="str">
            <v>DC-B1799</v>
          </cell>
          <cell r="J7821" t="str">
            <v>B</v>
          </cell>
          <cell r="N7821" t="str">
            <v>B</v>
          </cell>
        </row>
        <row r="7822">
          <cell r="B7822" t="str">
            <v>DC-B1800</v>
          </cell>
          <cell r="J7822" t="str">
            <v>B</v>
          </cell>
          <cell r="N7822" t="str">
            <v>B</v>
          </cell>
        </row>
        <row r="7823">
          <cell r="B7823" t="str">
            <v>DC-B1801</v>
          </cell>
          <cell r="J7823" t="str">
            <v>B</v>
          </cell>
          <cell r="N7823" t="str">
            <v>B</v>
          </cell>
        </row>
        <row r="7824">
          <cell r="B7824" t="str">
            <v>DC-B1802</v>
          </cell>
          <cell r="J7824" t="str">
            <v>B</v>
          </cell>
          <cell r="N7824" t="str">
            <v>B</v>
          </cell>
        </row>
        <row r="7825">
          <cell r="B7825" t="str">
            <v>DC-B1803</v>
          </cell>
          <cell r="J7825" t="str">
            <v>B</v>
          </cell>
          <cell r="N7825" t="str">
            <v>B</v>
          </cell>
        </row>
        <row r="7826">
          <cell r="B7826" t="str">
            <v>LB-B1804</v>
          </cell>
          <cell r="J7826" t="str">
            <v>B</v>
          </cell>
          <cell r="N7826" t="str">
            <v>B</v>
          </cell>
        </row>
        <row r="7827">
          <cell r="B7827" t="str">
            <v>LB-B1805</v>
          </cell>
          <cell r="J7827" t="str">
            <v>B</v>
          </cell>
          <cell r="N7827" t="str">
            <v>B</v>
          </cell>
        </row>
        <row r="7828">
          <cell r="B7828" t="str">
            <v>LB-B1806</v>
          </cell>
          <cell r="J7828" t="str">
            <v>B</v>
          </cell>
          <cell r="N7828" t="str">
            <v>B</v>
          </cell>
        </row>
        <row r="7829">
          <cell r="B7829" t="str">
            <v>LB-B1807</v>
          </cell>
          <cell r="J7829" t="str">
            <v>B</v>
          </cell>
          <cell r="N7829" t="str">
            <v>B</v>
          </cell>
        </row>
        <row r="7830">
          <cell r="B7830" t="str">
            <v>LB-B1808</v>
          </cell>
          <cell r="J7830" t="str">
            <v>B</v>
          </cell>
          <cell r="N7830" t="str">
            <v>B</v>
          </cell>
        </row>
        <row r="7831">
          <cell r="B7831" t="str">
            <v>DC-B1809</v>
          </cell>
          <cell r="J7831" t="str">
            <v>B</v>
          </cell>
          <cell r="N7831" t="str">
            <v>B</v>
          </cell>
        </row>
        <row r="7832">
          <cell r="B7832" t="str">
            <v>DC-B1810</v>
          </cell>
          <cell r="J7832" t="str">
            <v>B</v>
          </cell>
          <cell r="N7832" t="str">
            <v>B</v>
          </cell>
        </row>
        <row r="7833">
          <cell r="B7833" t="str">
            <v>DC-B1811</v>
          </cell>
          <cell r="J7833" t="str">
            <v>B</v>
          </cell>
          <cell r="N7833" t="str">
            <v>B</v>
          </cell>
        </row>
        <row r="7834">
          <cell r="B7834" t="str">
            <v>DC-B1812</v>
          </cell>
          <cell r="J7834" t="str">
            <v>B</v>
          </cell>
          <cell r="N7834" t="str">
            <v>B</v>
          </cell>
        </row>
        <row r="7835">
          <cell r="B7835" t="str">
            <v>DC-B1813</v>
          </cell>
          <cell r="J7835" t="str">
            <v>B</v>
          </cell>
          <cell r="N7835" t="str">
            <v>B</v>
          </cell>
        </row>
        <row r="7836">
          <cell r="B7836" t="str">
            <v>DC-B1814</v>
          </cell>
          <cell r="J7836" t="str">
            <v>B</v>
          </cell>
          <cell r="N7836" t="str">
            <v>B</v>
          </cell>
        </row>
        <row r="7837">
          <cell r="B7837" t="str">
            <v>DC-B1815</v>
          </cell>
          <cell r="J7837" t="str">
            <v>B</v>
          </cell>
          <cell r="N7837" t="str">
            <v>B</v>
          </cell>
        </row>
        <row r="7838">
          <cell r="B7838" t="str">
            <v>DC-B1816</v>
          </cell>
          <cell r="J7838" t="str">
            <v>B</v>
          </cell>
          <cell r="N7838" t="str">
            <v>B</v>
          </cell>
        </row>
        <row r="7839">
          <cell r="B7839" t="str">
            <v>DC-B1817</v>
          </cell>
          <cell r="J7839" t="str">
            <v>B</v>
          </cell>
          <cell r="N7839" t="str">
            <v>B</v>
          </cell>
        </row>
        <row r="7840">
          <cell r="B7840" t="str">
            <v>DC-B1818</v>
          </cell>
          <cell r="J7840" t="str">
            <v>B</v>
          </cell>
          <cell r="N7840" t="str">
            <v>B</v>
          </cell>
        </row>
        <row r="7841">
          <cell r="B7841" t="str">
            <v>DC-B1819</v>
          </cell>
          <cell r="J7841" t="str">
            <v>B</v>
          </cell>
          <cell r="N7841" t="str">
            <v>B</v>
          </cell>
        </row>
        <row r="7842">
          <cell r="B7842" t="str">
            <v>DC-B1820</v>
          </cell>
          <cell r="J7842" t="str">
            <v>B</v>
          </cell>
          <cell r="N7842" t="str">
            <v>B</v>
          </cell>
        </row>
        <row r="7843">
          <cell r="B7843" t="str">
            <v>DC-B1821</v>
          </cell>
          <cell r="J7843" t="str">
            <v>B</v>
          </cell>
          <cell r="N7843" t="str">
            <v>B</v>
          </cell>
        </row>
        <row r="7844">
          <cell r="B7844" t="str">
            <v>DC-B1822</v>
          </cell>
          <cell r="J7844" t="str">
            <v>B</v>
          </cell>
          <cell r="N7844" t="str">
            <v>B</v>
          </cell>
        </row>
        <row r="7845">
          <cell r="B7845" t="str">
            <v>DC-B1823</v>
          </cell>
          <cell r="J7845" t="str">
            <v>B</v>
          </cell>
          <cell r="N7845" t="str">
            <v>B</v>
          </cell>
        </row>
        <row r="7846">
          <cell r="B7846" t="str">
            <v>DC-B1824</v>
          </cell>
          <cell r="J7846" t="str">
            <v>B</v>
          </cell>
          <cell r="N7846" t="str">
            <v>B</v>
          </cell>
        </row>
        <row r="7847">
          <cell r="B7847" t="str">
            <v>DC-B1825</v>
          </cell>
          <cell r="J7847" t="str">
            <v>B</v>
          </cell>
          <cell r="N7847" t="str">
            <v>B</v>
          </cell>
        </row>
        <row r="7848">
          <cell r="B7848" t="str">
            <v>DC-B1826</v>
          </cell>
          <cell r="J7848" t="str">
            <v>B</v>
          </cell>
          <cell r="N7848" t="str">
            <v>B</v>
          </cell>
        </row>
        <row r="7849">
          <cell r="B7849" t="str">
            <v>DC-B1827</v>
          </cell>
          <cell r="J7849" t="str">
            <v>B</v>
          </cell>
          <cell r="N7849" t="str">
            <v>B</v>
          </cell>
        </row>
        <row r="7850">
          <cell r="B7850" t="str">
            <v>DC-B1828</v>
          </cell>
          <cell r="J7850" t="str">
            <v>B</v>
          </cell>
          <cell r="N7850" t="str">
            <v>B</v>
          </cell>
        </row>
        <row r="7851">
          <cell r="B7851" t="str">
            <v>DC-B1829</v>
          </cell>
          <cell r="J7851" t="str">
            <v>B</v>
          </cell>
          <cell r="N7851" t="str">
            <v>B</v>
          </cell>
        </row>
        <row r="7852">
          <cell r="B7852" t="str">
            <v>DC-B1830</v>
          </cell>
          <cell r="J7852" t="str">
            <v>B</v>
          </cell>
          <cell r="N7852" t="str">
            <v>B</v>
          </cell>
        </row>
        <row r="7853">
          <cell r="B7853" t="str">
            <v>DC-B1831</v>
          </cell>
          <cell r="J7853" t="str">
            <v>B</v>
          </cell>
          <cell r="N7853" t="str">
            <v>B</v>
          </cell>
        </row>
        <row r="7854">
          <cell r="B7854" t="str">
            <v>DC-B1832</v>
          </cell>
          <cell r="J7854" t="str">
            <v>B</v>
          </cell>
          <cell r="N7854" t="str">
            <v>B</v>
          </cell>
        </row>
        <row r="7855">
          <cell r="B7855" t="str">
            <v>DC-B1833</v>
          </cell>
          <cell r="J7855" t="str">
            <v>B</v>
          </cell>
          <cell r="N7855" t="str">
            <v>B</v>
          </cell>
        </row>
        <row r="7856">
          <cell r="B7856" t="str">
            <v>DC-B1834</v>
          </cell>
          <cell r="J7856" t="str">
            <v>B</v>
          </cell>
          <cell r="N7856" t="str">
            <v>B</v>
          </cell>
        </row>
        <row r="7857">
          <cell r="B7857" t="str">
            <v>DC-B1835</v>
          </cell>
          <cell r="J7857" t="str">
            <v>B</v>
          </cell>
          <cell r="N7857" t="str">
            <v>B</v>
          </cell>
        </row>
        <row r="7858">
          <cell r="B7858" t="str">
            <v>DC-B1836</v>
          </cell>
          <cell r="J7858" t="str">
            <v>B</v>
          </cell>
          <cell r="N7858" t="str">
            <v>B</v>
          </cell>
        </row>
        <row r="7859">
          <cell r="B7859" t="str">
            <v>DC-B1837</v>
          </cell>
          <cell r="J7859" t="str">
            <v>B</v>
          </cell>
          <cell r="N7859" t="str">
            <v>B</v>
          </cell>
        </row>
        <row r="7860">
          <cell r="B7860" t="str">
            <v>DC-B1838</v>
          </cell>
          <cell r="J7860" t="str">
            <v>B</v>
          </cell>
          <cell r="N7860" t="str">
            <v>B</v>
          </cell>
        </row>
        <row r="7861">
          <cell r="B7861" t="str">
            <v>DC-B1839</v>
          </cell>
          <cell r="J7861" t="str">
            <v>B</v>
          </cell>
          <cell r="N7861" t="str">
            <v>B</v>
          </cell>
        </row>
        <row r="7862">
          <cell r="B7862" t="str">
            <v>DC-B1840</v>
          </cell>
          <cell r="J7862" t="str">
            <v>B</v>
          </cell>
          <cell r="N7862" t="str">
            <v>B</v>
          </cell>
        </row>
        <row r="7863">
          <cell r="B7863" t="str">
            <v>DC-B1841</v>
          </cell>
          <cell r="J7863" t="str">
            <v>B</v>
          </cell>
          <cell r="N7863" t="str">
            <v>B</v>
          </cell>
        </row>
        <row r="7864">
          <cell r="B7864" t="str">
            <v>DC-B1842</v>
          </cell>
          <cell r="J7864" t="str">
            <v>B</v>
          </cell>
          <cell r="N7864" t="str">
            <v>B</v>
          </cell>
        </row>
        <row r="7865">
          <cell r="B7865" t="str">
            <v>DC-B1843</v>
          </cell>
          <cell r="J7865" t="str">
            <v>B</v>
          </cell>
          <cell r="N7865" t="str">
            <v>B</v>
          </cell>
        </row>
        <row r="7866">
          <cell r="B7866" t="str">
            <v>DC-B1844</v>
          </cell>
          <cell r="J7866" t="str">
            <v>B</v>
          </cell>
          <cell r="N7866" t="str">
            <v>B</v>
          </cell>
        </row>
        <row r="7867">
          <cell r="B7867" t="str">
            <v>DC-B1845</v>
          </cell>
          <cell r="J7867" t="str">
            <v>B</v>
          </cell>
          <cell r="N7867" t="str">
            <v>B</v>
          </cell>
        </row>
        <row r="7868">
          <cell r="B7868" t="str">
            <v>DC-B1846</v>
          </cell>
          <cell r="J7868" t="str">
            <v>B</v>
          </cell>
          <cell r="N7868" t="str">
            <v>B</v>
          </cell>
        </row>
        <row r="7869">
          <cell r="B7869" t="str">
            <v>DC-B1847</v>
          </cell>
          <cell r="J7869" t="str">
            <v>B</v>
          </cell>
          <cell r="N7869" t="str">
            <v>B</v>
          </cell>
        </row>
        <row r="7870">
          <cell r="B7870" t="str">
            <v>DC-B1848</v>
          </cell>
          <cell r="J7870" t="str">
            <v>B</v>
          </cell>
          <cell r="N7870" t="str">
            <v>B</v>
          </cell>
        </row>
        <row r="7871">
          <cell r="B7871" t="str">
            <v>DC-B1849</v>
          </cell>
          <cell r="J7871" t="str">
            <v>B</v>
          </cell>
          <cell r="N7871" t="str">
            <v>B</v>
          </cell>
        </row>
        <row r="7872">
          <cell r="B7872" t="str">
            <v>DC-B1850</v>
          </cell>
          <cell r="J7872" t="str">
            <v>B</v>
          </cell>
          <cell r="N7872" t="str">
            <v>B</v>
          </cell>
        </row>
        <row r="7873">
          <cell r="B7873" t="str">
            <v>DC-B1851</v>
          </cell>
          <cell r="J7873" t="str">
            <v>B</v>
          </cell>
          <cell r="N7873" t="str">
            <v>B</v>
          </cell>
        </row>
        <row r="7874">
          <cell r="B7874" t="str">
            <v>DC-B1852</v>
          </cell>
          <cell r="J7874" t="str">
            <v>B</v>
          </cell>
          <cell r="N7874" t="str">
            <v>B</v>
          </cell>
        </row>
        <row r="7875">
          <cell r="B7875" t="str">
            <v>DC-B1853</v>
          </cell>
          <cell r="J7875" t="str">
            <v>B</v>
          </cell>
          <cell r="N7875" t="str">
            <v>B</v>
          </cell>
        </row>
        <row r="7876">
          <cell r="B7876" t="str">
            <v>DC-B1854</v>
          </cell>
          <cell r="J7876" t="str">
            <v>B</v>
          </cell>
          <cell r="N7876" t="str">
            <v>B</v>
          </cell>
        </row>
        <row r="7877">
          <cell r="B7877" t="str">
            <v>DC-B1855</v>
          </cell>
          <cell r="J7877" t="str">
            <v>B</v>
          </cell>
          <cell r="N7877" t="str">
            <v>B</v>
          </cell>
        </row>
        <row r="7878">
          <cell r="B7878" t="str">
            <v>DC-B1856</v>
          </cell>
          <cell r="J7878" t="str">
            <v>B</v>
          </cell>
          <cell r="N7878" t="str">
            <v>B</v>
          </cell>
        </row>
        <row r="7879">
          <cell r="B7879" t="str">
            <v>DC-B1857</v>
          </cell>
          <cell r="J7879" t="str">
            <v>B</v>
          </cell>
          <cell r="N7879" t="str">
            <v>B</v>
          </cell>
        </row>
        <row r="7880">
          <cell r="B7880" t="str">
            <v>DC-B1858</v>
          </cell>
          <cell r="J7880" t="str">
            <v>B</v>
          </cell>
          <cell r="N7880" t="str">
            <v>B</v>
          </cell>
        </row>
        <row r="7881">
          <cell r="B7881" t="str">
            <v>DC-B1859</v>
          </cell>
          <cell r="J7881" t="str">
            <v>B</v>
          </cell>
          <cell r="N7881" t="str">
            <v>B</v>
          </cell>
        </row>
        <row r="7882">
          <cell r="B7882" t="str">
            <v>DC-B1860</v>
          </cell>
          <cell r="J7882" t="str">
            <v>B</v>
          </cell>
          <cell r="N7882" t="str">
            <v>B</v>
          </cell>
        </row>
        <row r="7883">
          <cell r="B7883" t="str">
            <v>DC-B1861</v>
          </cell>
          <cell r="J7883" t="str">
            <v>B</v>
          </cell>
          <cell r="N7883" t="str">
            <v>B</v>
          </cell>
        </row>
        <row r="7884">
          <cell r="B7884" t="str">
            <v>DC-B1862</v>
          </cell>
          <cell r="J7884" t="str">
            <v>B</v>
          </cell>
          <cell r="N7884" t="str">
            <v>B</v>
          </cell>
        </row>
        <row r="7885">
          <cell r="B7885" t="str">
            <v>DC-B1863</v>
          </cell>
          <cell r="J7885" t="str">
            <v>B</v>
          </cell>
          <cell r="N7885" t="str">
            <v>B</v>
          </cell>
        </row>
        <row r="7886">
          <cell r="B7886" t="str">
            <v>DC-B1864</v>
          </cell>
          <cell r="J7886" t="str">
            <v>B</v>
          </cell>
          <cell r="N7886" t="str">
            <v>B</v>
          </cell>
        </row>
        <row r="7887">
          <cell r="B7887" t="str">
            <v>DC-B1865</v>
          </cell>
          <cell r="J7887" t="str">
            <v>B</v>
          </cell>
          <cell r="N7887" t="str">
            <v>B</v>
          </cell>
        </row>
        <row r="7888">
          <cell r="B7888" t="str">
            <v>DC-B1866</v>
          </cell>
          <cell r="J7888" t="str">
            <v>B</v>
          </cell>
          <cell r="N7888" t="str">
            <v>B</v>
          </cell>
        </row>
        <row r="7889">
          <cell r="B7889" t="str">
            <v>DC-B1867</v>
          </cell>
          <cell r="J7889" t="str">
            <v>B</v>
          </cell>
          <cell r="N7889" t="str">
            <v>B</v>
          </cell>
        </row>
        <row r="7890">
          <cell r="B7890" t="str">
            <v>DC-B1868</v>
          </cell>
          <cell r="J7890" t="str">
            <v>B</v>
          </cell>
          <cell r="N7890" t="str">
            <v>B</v>
          </cell>
        </row>
        <row r="7891">
          <cell r="B7891" t="str">
            <v>LA-B1869</v>
          </cell>
          <cell r="J7891" t="str">
            <v>B</v>
          </cell>
          <cell r="N7891" t="str">
            <v>B</v>
          </cell>
        </row>
        <row r="7892">
          <cell r="B7892" t="str">
            <v>LA-B1870</v>
          </cell>
          <cell r="J7892" t="str">
            <v>B</v>
          </cell>
          <cell r="N7892" t="str">
            <v>B</v>
          </cell>
        </row>
        <row r="7893">
          <cell r="B7893" t="str">
            <v>LA-B1871</v>
          </cell>
          <cell r="J7893" t="str">
            <v>B</v>
          </cell>
          <cell r="N7893" t="str">
            <v>B</v>
          </cell>
        </row>
        <row r="7894">
          <cell r="B7894" t="str">
            <v>LA-B1872</v>
          </cell>
          <cell r="J7894" t="str">
            <v>B</v>
          </cell>
          <cell r="N7894" t="str">
            <v>B</v>
          </cell>
        </row>
        <row r="7895">
          <cell r="B7895" t="str">
            <v>LA-B1873</v>
          </cell>
          <cell r="J7895" t="str">
            <v>B</v>
          </cell>
          <cell r="N7895" t="str">
            <v>B</v>
          </cell>
        </row>
        <row r="7896">
          <cell r="B7896" t="str">
            <v>LA-B1874</v>
          </cell>
          <cell r="J7896" t="str">
            <v>B</v>
          </cell>
          <cell r="N7896" t="str">
            <v>B</v>
          </cell>
        </row>
        <row r="7897">
          <cell r="B7897" t="str">
            <v>LA-B1875</v>
          </cell>
          <cell r="J7897" t="str">
            <v>B</v>
          </cell>
          <cell r="N7897" t="str">
            <v>B</v>
          </cell>
        </row>
        <row r="7898">
          <cell r="B7898" t="str">
            <v>LA-B1876</v>
          </cell>
          <cell r="J7898" t="str">
            <v>B</v>
          </cell>
          <cell r="N7898" t="str">
            <v>B</v>
          </cell>
        </row>
        <row r="7899">
          <cell r="B7899" t="str">
            <v>LA-B1877</v>
          </cell>
          <cell r="J7899" t="str">
            <v>B</v>
          </cell>
          <cell r="N7899" t="str">
            <v>B</v>
          </cell>
        </row>
        <row r="7900">
          <cell r="B7900" t="str">
            <v>LA-B1878</v>
          </cell>
          <cell r="J7900" t="str">
            <v>B</v>
          </cell>
          <cell r="N7900" t="str">
            <v>B</v>
          </cell>
        </row>
        <row r="7901">
          <cell r="B7901" t="str">
            <v>LA-B1879</v>
          </cell>
          <cell r="J7901" t="str">
            <v>B</v>
          </cell>
          <cell r="N7901" t="str">
            <v>B</v>
          </cell>
        </row>
        <row r="7902">
          <cell r="B7902" t="str">
            <v>LA-A1880</v>
          </cell>
          <cell r="J7902" t="str">
            <v>A</v>
          </cell>
          <cell r="N7902" t="str">
            <v>A</v>
          </cell>
        </row>
        <row r="7903">
          <cell r="B7903" t="str">
            <v>LA-A1881</v>
          </cell>
          <cell r="J7903" t="str">
            <v>A</v>
          </cell>
          <cell r="N7903" t="str">
            <v>A</v>
          </cell>
        </row>
        <row r="7904">
          <cell r="B7904" t="str">
            <v>LA-A1882</v>
          </cell>
          <cell r="J7904" t="str">
            <v>A</v>
          </cell>
          <cell r="N7904" t="str">
            <v>A</v>
          </cell>
        </row>
        <row r="7905">
          <cell r="B7905" t="str">
            <v>LA-A1883</v>
          </cell>
          <cell r="J7905" t="str">
            <v>A</v>
          </cell>
          <cell r="N7905" t="str">
            <v>A</v>
          </cell>
        </row>
        <row r="7906">
          <cell r="B7906" t="str">
            <v>LA-A1884</v>
          </cell>
          <cell r="J7906" t="str">
            <v>A</v>
          </cell>
          <cell r="N7906" t="str">
            <v>A</v>
          </cell>
        </row>
        <row r="7907">
          <cell r="B7907" t="str">
            <v>LA-A1885</v>
          </cell>
          <cell r="J7907" t="str">
            <v>A</v>
          </cell>
          <cell r="N7907" t="str">
            <v>A</v>
          </cell>
        </row>
        <row r="7908">
          <cell r="B7908" t="str">
            <v>LA-A1886</v>
          </cell>
          <cell r="J7908" t="str">
            <v>A</v>
          </cell>
          <cell r="N7908" t="str">
            <v>A</v>
          </cell>
        </row>
        <row r="7909">
          <cell r="B7909" t="str">
            <v>LA-A1887</v>
          </cell>
          <cell r="J7909" t="str">
            <v>A</v>
          </cell>
          <cell r="N7909" t="str">
            <v>A</v>
          </cell>
        </row>
        <row r="7910">
          <cell r="B7910" t="str">
            <v>LA-A1888</v>
          </cell>
          <cell r="J7910" t="str">
            <v>A</v>
          </cell>
          <cell r="N7910" t="str">
            <v>A</v>
          </cell>
        </row>
        <row r="7911">
          <cell r="B7911" t="str">
            <v>LA-B1889</v>
          </cell>
          <cell r="J7911" t="str">
            <v>B</v>
          </cell>
          <cell r="N7911" t="str">
            <v>B</v>
          </cell>
        </row>
        <row r="7912">
          <cell r="B7912" t="str">
            <v>LA-B1890</v>
          </cell>
          <cell r="J7912" t="str">
            <v>B</v>
          </cell>
          <cell r="N7912" t="str">
            <v>B</v>
          </cell>
        </row>
        <row r="7913">
          <cell r="B7913" t="str">
            <v>LA-B1891</v>
          </cell>
          <cell r="J7913" t="str">
            <v>B</v>
          </cell>
          <cell r="N7913" t="str">
            <v>B</v>
          </cell>
        </row>
        <row r="7914">
          <cell r="B7914" t="str">
            <v>LA-B1892</v>
          </cell>
          <cell r="J7914" t="str">
            <v>B</v>
          </cell>
          <cell r="N7914" t="str">
            <v>B</v>
          </cell>
        </row>
        <row r="7915">
          <cell r="B7915" t="str">
            <v>LA-B1893</v>
          </cell>
          <cell r="J7915" t="str">
            <v>B</v>
          </cell>
          <cell r="N7915" t="str">
            <v>B</v>
          </cell>
        </row>
        <row r="7916">
          <cell r="B7916" t="str">
            <v>LA-B1894</v>
          </cell>
          <cell r="J7916" t="str">
            <v>B</v>
          </cell>
          <cell r="N7916" t="str">
            <v>B</v>
          </cell>
        </row>
        <row r="7917">
          <cell r="B7917" t="str">
            <v>LA-B1895</v>
          </cell>
          <cell r="J7917" t="str">
            <v>B</v>
          </cell>
          <cell r="N7917" t="str">
            <v>B</v>
          </cell>
        </row>
        <row r="7918">
          <cell r="B7918" t="str">
            <v>LA-B1896</v>
          </cell>
          <cell r="J7918" t="str">
            <v>B</v>
          </cell>
          <cell r="N7918" t="str">
            <v>B</v>
          </cell>
        </row>
        <row r="7919">
          <cell r="B7919" t="str">
            <v>LA-B1897</v>
          </cell>
          <cell r="J7919" t="str">
            <v>B</v>
          </cell>
          <cell r="N7919" t="str">
            <v>B</v>
          </cell>
        </row>
        <row r="7920">
          <cell r="B7920" t="str">
            <v>LA-B1898</v>
          </cell>
          <cell r="J7920" t="str">
            <v>B</v>
          </cell>
          <cell r="N7920" t="str">
            <v>B</v>
          </cell>
        </row>
        <row r="7921">
          <cell r="B7921" t="str">
            <v>LA-B1899</v>
          </cell>
          <cell r="J7921" t="str">
            <v>B</v>
          </cell>
          <cell r="N7921" t="str">
            <v>B</v>
          </cell>
        </row>
        <row r="7922">
          <cell r="B7922" t="str">
            <v>LA-B1900</v>
          </cell>
          <cell r="J7922" t="str">
            <v>B</v>
          </cell>
          <cell r="N7922" t="str">
            <v>B</v>
          </cell>
        </row>
        <row r="7923">
          <cell r="B7923" t="str">
            <v>LA-B1901</v>
          </cell>
          <cell r="J7923" t="str">
            <v>B</v>
          </cell>
          <cell r="N7923" t="str">
            <v>B</v>
          </cell>
        </row>
        <row r="7924">
          <cell r="B7924" t="str">
            <v>LA-B1902</v>
          </cell>
          <cell r="J7924" t="str">
            <v>B</v>
          </cell>
          <cell r="N7924" t="str">
            <v>B</v>
          </cell>
        </row>
        <row r="7925">
          <cell r="B7925" t="str">
            <v>LA-B1903</v>
          </cell>
          <cell r="J7925" t="str">
            <v>B</v>
          </cell>
          <cell r="N7925" t="str">
            <v>B</v>
          </cell>
        </row>
        <row r="7926">
          <cell r="B7926" t="str">
            <v>LA-B1904</v>
          </cell>
          <cell r="J7926" t="str">
            <v>B</v>
          </cell>
          <cell r="N7926" t="str">
            <v>B</v>
          </cell>
        </row>
        <row r="7927">
          <cell r="B7927" t="str">
            <v>LA-B1905</v>
          </cell>
          <cell r="J7927" t="str">
            <v>B</v>
          </cell>
          <cell r="N7927" t="str">
            <v>B</v>
          </cell>
        </row>
        <row r="7928">
          <cell r="B7928" t="str">
            <v>LA-B1906</v>
          </cell>
          <cell r="J7928" t="str">
            <v>B</v>
          </cell>
          <cell r="N7928" t="str">
            <v>B</v>
          </cell>
        </row>
        <row r="7929">
          <cell r="B7929" t="str">
            <v>LA-B1907</v>
          </cell>
          <cell r="J7929" t="str">
            <v>B</v>
          </cell>
          <cell r="N7929" t="str">
            <v>B</v>
          </cell>
        </row>
        <row r="7930">
          <cell r="B7930" t="str">
            <v>LA-B1908</v>
          </cell>
          <cell r="J7930" t="str">
            <v>B</v>
          </cell>
          <cell r="N7930" t="str">
            <v>B</v>
          </cell>
        </row>
        <row r="7931">
          <cell r="B7931" t="str">
            <v>LA-B1909</v>
          </cell>
          <cell r="J7931" t="str">
            <v>B</v>
          </cell>
          <cell r="N7931" t="str">
            <v>B</v>
          </cell>
        </row>
        <row r="7932">
          <cell r="B7932" t="str">
            <v>LA-B1910</v>
          </cell>
          <cell r="J7932" t="str">
            <v>B</v>
          </cell>
          <cell r="N7932" t="str">
            <v>B</v>
          </cell>
        </row>
        <row r="7933">
          <cell r="B7933" t="str">
            <v>LA-B1911</v>
          </cell>
          <cell r="J7933" t="str">
            <v>B</v>
          </cell>
          <cell r="N7933" t="str">
            <v>B</v>
          </cell>
        </row>
        <row r="7934">
          <cell r="B7934" t="str">
            <v>LA-B1912</v>
          </cell>
          <cell r="J7934" t="str">
            <v>B</v>
          </cell>
          <cell r="N7934" t="str">
            <v>B</v>
          </cell>
        </row>
        <row r="7935">
          <cell r="B7935" t="str">
            <v>LA-B1913</v>
          </cell>
          <cell r="J7935" t="str">
            <v>B</v>
          </cell>
          <cell r="N7935" t="str">
            <v>B</v>
          </cell>
        </row>
        <row r="7936">
          <cell r="B7936" t="str">
            <v>LA-B1914</v>
          </cell>
          <cell r="J7936" t="str">
            <v>B</v>
          </cell>
          <cell r="N7936" t="str">
            <v>B</v>
          </cell>
        </row>
        <row r="7937">
          <cell r="B7937" t="str">
            <v>LA-B1915</v>
          </cell>
          <cell r="J7937" t="str">
            <v>B</v>
          </cell>
          <cell r="N7937" t="str">
            <v>B</v>
          </cell>
        </row>
        <row r="7938">
          <cell r="B7938" t="str">
            <v>LA-B1916</v>
          </cell>
          <cell r="J7938" t="str">
            <v>B</v>
          </cell>
          <cell r="N7938" t="str">
            <v>B</v>
          </cell>
        </row>
        <row r="7939">
          <cell r="B7939" t="str">
            <v>LA-B1917</v>
          </cell>
          <cell r="J7939" t="str">
            <v>B</v>
          </cell>
          <cell r="N7939" t="str">
            <v>B</v>
          </cell>
        </row>
        <row r="7940">
          <cell r="B7940" t="str">
            <v>LA-B1918</v>
          </cell>
          <cell r="J7940" t="str">
            <v>B</v>
          </cell>
          <cell r="N7940" t="str">
            <v>B</v>
          </cell>
        </row>
        <row r="7941">
          <cell r="B7941" t="str">
            <v>LA-B1919</v>
          </cell>
          <cell r="J7941" t="str">
            <v>B</v>
          </cell>
          <cell r="N7941" t="str">
            <v>B</v>
          </cell>
        </row>
        <row r="7942">
          <cell r="B7942" t="str">
            <v>LA-B1920</v>
          </cell>
          <cell r="J7942" t="str">
            <v>B</v>
          </cell>
          <cell r="N7942" t="str">
            <v>B</v>
          </cell>
        </row>
        <row r="7943">
          <cell r="B7943" t="str">
            <v>LA-B1921</v>
          </cell>
          <cell r="J7943" t="str">
            <v>B</v>
          </cell>
          <cell r="N7943" t="str">
            <v>B</v>
          </cell>
        </row>
        <row r="7944">
          <cell r="B7944" t="str">
            <v>LA-B1922</v>
          </cell>
          <cell r="J7944" t="str">
            <v>B</v>
          </cell>
          <cell r="N7944" t="str">
            <v>B</v>
          </cell>
        </row>
        <row r="7945">
          <cell r="B7945" t="str">
            <v>LA-B1923</v>
          </cell>
          <cell r="J7945" t="str">
            <v>B</v>
          </cell>
          <cell r="N7945" t="str">
            <v>B</v>
          </cell>
        </row>
        <row r="7946">
          <cell r="B7946" t="str">
            <v>LA-B1924</v>
          </cell>
          <cell r="J7946" t="str">
            <v>B</v>
          </cell>
          <cell r="N7946" t="str">
            <v>B</v>
          </cell>
        </row>
        <row r="7947">
          <cell r="B7947" t="str">
            <v>LA-B1925</v>
          </cell>
          <cell r="J7947" t="str">
            <v>B</v>
          </cell>
          <cell r="N7947" t="str">
            <v>B</v>
          </cell>
        </row>
        <row r="7948">
          <cell r="B7948" t="str">
            <v>LA-B1926</v>
          </cell>
          <cell r="J7948" t="str">
            <v>B</v>
          </cell>
          <cell r="N7948" t="str">
            <v>B</v>
          </cell>
        </row>
        <row r="7949">
          <cell r="B7949" t="str">
            <v>LA-B1927</v>
          </cell>
          <cell r="J7949" t="str">
            <v>B</v>
          </cell>
          <cell r="N7949" t="str">
            <v>B</v>
          </cell>
        </row>
        <row r="7950">
          <cell r="B7950" t="str">
            <v>LA-B1928</v>
          </cell>
          <cell r="J7950" t="str">
            <v>B</v>
          </cell>
          <cell r="N7950" t="str">
            <v>B</v>
          </cell>
        </row>
        <row r="7951">
          <cell r="B7951" t="str">
            <v>LA-B1929</v>
          </cell>
          <cell r="J7951" t="str">
            <v>B</v>
          </cell>
          <cell r="N7951" t="str">
            <v>B</v>
          </cell>
        </row>
        <row r="7952">
          <cell r="B7952" t="str">
            <v>LA-B1930</v>
          </cell>
          <cell r="J7952" t="str">
            <v>B</v>
          </cell>
          <cell r="N7952" t="str">
            <v>B</v>
          </cell>
        </row>
        <row r="7953">
          <cell r="B7953" t="str">
            <v>LA-B1931</v>
          </cell>
          <cell r="J7953" t="str">
            <v>B</v>
          </cell>
          <cell r="N7953" t="str">
            <v>B</v>
          </cell>
        </row>
        <row r="7954">
          <cell r="B7954" t="str">
            <v>LA-B1932</v>
          </cell>
          <cell r="J7954" t="str">
            <v>B</v>
          </cell>
          <cell r="N7954" t="str">
            <v>B</v>
          </cell>
        </row>
        <row r="7955">
          <cell r="B7955" t="str">
            <v>LA-B1933</v>
          </cell>
          <cell r="J7955" t="str">
            <v>B</v>
          </cell>
          <cell r="N7955" t="str">
            <v>B</v>
          </cell>
        </row>
        <row r="7956">
          <cell r="B7956" t="str">
            <v>LA-B1934</v>
          </cell>
          <cell r="J7956" t="str">
            <v>B</v>
          </cell>
          <cell r="N7956" t="str">
            <v>B</v>
          </cell>
        </row>
        <row r="7957">
          <cell r="B7957" t="str">
            <v>LA-B1935</v>
          </cell>
          <cell r="J7957" t="str">
            <v>B</v>
          </cell>
          <cell r="N7957" t="str">
            <v>B</v>
          </cell>
        </row>
        <row r="7958">
          <cell r="B7958" t="str">
            <v>LA-B1936</v>
          </cell>
          <cell r="J7958" t="str">
            <v>B</v>
          </cell>
          <cell r="N7958" t="str">
            <v>B</v>
          </cell>
        </row>
        <row r="7959">
          <cell r="B7959" t="str">
            <v>LA-B1937</v>
          </cell>
          <cell r="J7959" t="str">
            <v>B</v>
          </cell>
          <cell r="N7959" t="str">
            <v>B</v>
          </cell>
        </row>
        <row r="7960">
          <cell r="B7960" t="str">
            <v>LA-B1938</v>
          </cell>
          <cell r="J7960" t="str">
            <v>B</v>
          </cell>
          <cell r="N7960" t="str">
            <v>B</v>
          </cell>
        </row>
        <row r="7961">
          <cell r="B7961" t="str">
            <v>LA-B1939</v>
          </cell>
          <cell r="J7961" t="str">
            <v>B</v>
          </cell>
          <cell r="N7961" t="str">
            <v>B</v>
          </cell>
        </row>
        <row r="7962">
          <cell r="B7962" t="str">
            <v>LA-B1940</v>
          </cell>
          <cell r="J7962" t="str">
            <v>B</v>
          </cell>
          <cell r="N7962" t="str">
            <v>B</v>
          </cell>
        </row>
        <row r="7963">
          <cell r="B7963" t="str">
            <v>LA-B1941</v>
          </cell>
          <cell r="J7963" t="str">
            <v>B</v>
          </cell>
          <cell r="N7963" t="str">
            <v>B</v>
          </cell>
        </row>
        <row r="7964">
          <cell r="B7964" t="str">
            <v>LA-B1942</v>
          </cell>
          <cell r="J7964" t="str">
            <v>B</v>
          </cell>
          <cell r="N7964" t="str">
            <v>B</v>
          </cell>
        </row>
        <row r="7965">
          <cell r="B7965" t="str">
            <v>LA-B1943</v>
          </cell>
          <cell r="J7965" t="str">
            <v>B</v>
          </cell>
          <cell r="N7965" t="str">
            <v>B</v>
          </cell>
        </row>
        <row r="7966">
          <cell r="B7966" t="str">
            <v>LA-B1944</v>
          </cell>
          <cell r="J7966" t="str">
            <v>B</v>
          </cell>
          <cell r="N7966" t="str">
            <v>B</v>
          </cell>
        </row>
        <row r="7967">
          <cell r="B7967" t="str">
            <v>LA-B1945</v>
          </cell>
          <cell r="J7967" t="str">
            <v>B</v>
          </cell>
          <cell r="N7967" t="str">
            <v>B</v>
          </cell>
        </row>
        <row r="7968">
          <cell r="B7968" t="str">
            <v>LA-B1946</v>
          </cell>
          <cell r="J7968" t="str">
            <v>B</v>
          </cell>
          <cell r="N7968" t="str">
            <v>B</v>
          </cell>
        </row>
        <row r="7969">
          <cell r="B7969" t="str">
            <v>LA-B1947</v>
          </cell>
          <cell r="J7969" t="str">
            <v>B</v>
          </cell>
          <cell r="N7969" t="str">
            <v>B</v>
          </cell>
        </row>
        <row r="7970">
          <cell r="B7970" t="str">
            <v>LA-B1948</v>
          </cell>
          <cell r="J7970" t="str">
            <v>B</v>
          </cell>
          <cell r="N7970" t="str">
            <v>B</v>
          </cell>
        </row>
        <row r="7971">
          <cell r="B7971" t="str">
            <v>LA-B1949</v>
          </cell>
          <cell r="J7971" t="str">
            <v>B</v>
          </cell>
          <cell r="N7971" t="str">
            <v>B</v>
          </cell>
        </row>
        <row r="7972">
          <cell r="B7972" t="str">
            <v>LA-B1950</v>
          </cell>
          <cell r="J7972" t="str">
            <v>B</v>
          </cell>
          <cell r="N7972" t="str">
            <v>B</v>
          </cell>
        </row>
        <row r="7973">
          <cell r="B7973" t="str">
            <v>LA-B1951</v>
          </cell>
          <cell r="J7973" t="str">
            <v>B</v>
          </cell>
          <cell r="N7973" t="str">
            <v>B</v>
          </cell>
        </row>
        <row r="7974">
          <cell r="B7974" t="str">
            <v>LA-B1952</v>
          </cell>
          <cell r="J7974" t="str">
            <v>B</v>
          </cell>
          <cell r="N7974" t="str">
            <v>B</v>
          </cell>
        </row>
        <row r="7975">
          <cell r="B7975" t="str">
            <v>LA-B1953</v>
          </cell>
          <cell r="J7975" t="str">
            <v>B</v>
          </cell>
          <cell r="N7975" t="str">
            <v>B</v>
          </cell>
        </row>
        <row r="7976">
          <cell r="B7976" t="str">
            <v>LA-B1954</v>
          </cell>
          <cell r="J7976" t="str">
            <v>B</v>
          </cell>
          <cell r="N7976" t="str">
            <v>B</v>
          </cell>
        </row>
        <row r="7977">
          <cell r="B7977" t="str">
            <v>LA-B1955</v>
          </cell>
          <cell r="J7977" t="str">
            <v>B</v>
          </cell>
          <cell r="N7977" t="str">
            <v>B</v>
          </cell>
        </row>
        <row r="7978">
          <cell r="B7978" t="str">
            <v>LA-B1956</v>
          </cell>
          <cell r="J7978" t="str">
            <v>B</v>
          </cell>
          <cell r="N7978" t="str">
            <v>B</v>
          </cell>
        </row>
        <row r="7979">
          <cell r="B7979" t="str">
            <v>LA-B1957</v>
          </cell>
          <cell r="J7979" t="str">
            <v>B</v>
          </cell>
          <cell r="N7979" t="str">
            <v>B</v>
          </cell>
        </row>
        <row r="7980">
          <cell r="B7980" t="str">
            <v>LA-B1958</v>
          </cell>
          <cell r="J7980" t="str">
            <v>B</v>
          </cell>
          <cell r="N7980" t="str">
            <v>B</v>
          </cell>
        </row>
        <row r="7981">
          <cell r="B7981" t="str">
            <v>LA-B1959</v>
          </cell>
          <cell r="J7981" t="str">
            <v>B</v>
          </cell>
          <cell r="N7981" t="str">
            <v>B</v>
          </cell>
        </row>
        <row r="7982">
          <cell r="B7982" t="str">
            <v>LA-B1960</v>
          </cell>
          <cell r="J7982" t="str">
            <v>B</v>
          </cell>
          <cell r="N7982" t="str">
            <v>B</v>
          </cell>
        </row>
        <row r="7983">
          <cell r="B7983" t="str">
            <v>LA-B1961</v>
          </cell>
          <cell r="J7983" t="str">
            <v>B</v>
          </cell>
          <cell r="N7983" t="str">
            <v>B</v>
          </cell>
        </row>
        <row r="7984">
          <cell r="B7984" t="str">
            <v>LA-B1962</v>
          </cell>
          <cell r="J7984" t="str">
            <v>B</v>
          </cell>
          <cell r="N7984" t="str">
            <v>B</v>
          </cell>
        </row>
        <row r="7985">
          <cell r="B7985" t="str">
            <v>LA-B1963</v>
          </cell>
          <cell r="J7985" t="str">
            <v>B</v>
          </cell>
          <cell r="N7985" t="str">
            <v>B</v>
          </cell>
        </row>
        <row r="7986">
          <cell r="B7986" t="str">
            <v>LA-B1964</v>
          </cell>
          <cell r="J7986" t="str">
            <v>B</v>
          </cell>
          <cell r="N7986" t="str">
            <v>B</v>
          </cell>
        </row>
        <row r="7987">
          <cell r="B7987" t="str">
            <v>LA-B1965</v>
          </cell>
          <cell r="J7987" t="str">
            <v>B</v>
          </cell>
          <cell r="N7987" t="str">
            <v>B</v>
          </cell>
        </row>
        <row r="7988">
          <cell r="B7988" t="str">
            <v>LA-B1966</v>
          </cell>
          <cell r="J7988" t="str">
            <v>B</v>
          </cell>
          <cell r="N7988" t="str">
            <v>B</v>
          </cell>
        </row>
        <row r="7989">
          <cell r="B7989" t="str">
            <v>LA-B1967</v>
          </cell>
          <cell r="J7989" t="str">
            <v>B</v>
          </cell>
          <cell r="N7989" t="str">
            <v>B</v>
          </cell>
        </row>
        <row r="7990">
          <cell r="B7990" t="str">
            <v>LA-B1968</v>
          </cell>
          <cell r="J7990" t="str">
            <v>B</v>
          </cell>
          <cell r="N7990" t="str">
            <v>B</v>
          </cell>
        </row>
        <row r="7991">
          <cell r="B7991" t="str">
            <v>LA-B1969</v>
          </cell>
          <cell r="J7991" t="str">
            <v>B</v>
          </cell>
          <cell r="N7991" t="str">
            <v>B</v>
          </cell>
        </row>
        <row r="7992">
          <cell r="B7992" t="str">
            <v>LA-B1970</v>
          </cell>
          <cell r="J7992" t="str">
            <v>B</v>
          </cell>
          <cell r="N7992" t="str">
            <v>B</v>
          </cell>
        </row>
        <row r="7993">
          <cell r="B7993" t="str">
            <v>LA-B1971</v>
          </cell>
          <cell r="J7993" t="str">
            <v>B</v>
          </cell>
          <cell r="N7993" t="str">
            <v>B</v>
          </cell>
        </row>
        <row r="7994">
          <cell r="B7994" t="str">
            <v>LA-B1972</v>
          </cell>
          <cell r="J7994" t="str">
            <v>B</v>
          </cell>
          <cell r="N7994" t="str">
            <v>B</v>
          </cell>
        </row>
        <row r="7995">
          <cell r="B7995" t="str">
            <v>LL-BP1000 / FLXZ-94|</v>
          </cell>
          <cell r="J7995" t="str">
            <v>B2PAL</v>
          </cell>
          <cell r="N7995" t="str">
            <v>B2PAL</v>
          </cell>
        </row>
        <row r="7996">
          <cell r="B7996" t="str">
            <v>LL-BP1002 / GCBC-16|</v>
          </cell>
          <cell r="J7996" t="str">
            <v>B2PAL</v>
          </cell>
          <cell r="N7996" t="str">
            <v>B2PAL</v>
          </cell>
        </row>
        <row r="7997">
          <cell r="B7997" t="str">
            <v>LL-BP1003 / GCBC-17|</v>
          </cell>
          <cell r="J7997" t="str">
            <v>B2PAL</v>
          </cell>
          <cell r="N7997" t="str">
            <v>B2PAL</v>
          </cell>
        </row>
        <row r="7998">
          <cell r="B7998" t="str">
            <v>SJ-BP1004 / GCBC-18|</v>
          </cell>
          <cell r="J7998" t="str">
            <v>B2PAL</v>
          </cell>
          <cell r="N7998" t="str">
            <v>B2PAL</v>
          </cell>
        </row>
        <row r="7999">
          <cell r="B7999" t="str">
            <v>SJ-BP1005 / GCBC-19|</v>
          </cell>
          <cell r="J7999" t="str">
            <v>B2PAL</v>
          </cell>
          <cell r="N7999" t="str">
            <v>B2PAL</v>
          </cell>
        </row>
        <row r="8000">
          <cell r="B8000" t="str">
            <v>SJ-BP1006 / GCBC-20|</v>
          </cell>
          <cell r="J8000" t="str">
            <v>B2PAL</v>
          </cell>
          <cell r="N8000" t="str">
            <v>B2PAL</v>
          </cell>
        </row>
        <row r="8001">
          <cell r="B8001" t="str">
            <v>LL-BP1007 / GCBC-21|</v>
          </cell>
          <cell r="J8001" t="str">
            <v>B2PAL</v>
          </cell>
          <cell r="N8001" t="str">
            <v>B2PAL</v>
          </cell>
        </row>
        <row r="8002">
          <cell r="B8002" t="str">
            <v>LL-BP1008 / GCBC-22|</v>
          </cell>
          <cell r="J8002" t="str">
            <v>B2PAL</v>
          </cell>
          <cell r="N8002" t="str">
            <v>B2PAL</v>
          </cell>
        </row>
        <row r="8003">
          <cell r="B8003" t="str">
            <v>LL-BP1009 / GCBC-23|</v>
          </cell>
          <cell r="J8003" t="str">
            <v>B2PAL</v>
          </cell>
          <cell r="N8003" t="str">
            <v>B2PAL</v>
          </cell>
        </row>
        <row r="8004">
          <cell r="B8004" t="str">
            <v>LL-BP1010 / GCBB-16|</v>
          </cell>
          <cell r="J8004" t="str">
            <v>B2PAL</v>
          </cell>
          <cell r="N8004" t="str">
            <v>B2PAL</v>
          </cell>
        </row>
        <row r="8005">
          <cell r="B8005" t="str">
            <v>LL-BP1011 / GCBB-17|</v>
          </cell>
          <cell r="J8005" t="str">
            <v>B2PAL</v>
          </cell>
          <cell r="N8005" t="str">
            <v>B2PAL</v>
          </cell>
        </row>
        <row r="8006">
          <cell r="B8006" t="str">
            <v>SJ-BP1012 / GCBB-18|</v>
          </cell>
          <cell r="J8006" t="str">
            <v>B2PAL</v>
          </cell>
          <cell r="N8006" t="str">
            <v>B2PAL</v>
          </cell>
        </row>
        <row r="8007">
          <cell r="B8007" t="str">
            <v>LL-BP1013 / GCBB-19|</v>
          </cell>
          <cell r="J8007" t="str">
            <v>B2PAL</v>
          </cell>
          <cell r="N8007" t="str">
            <v>B2PAL</v>
          </cell>
        </row>
        <row r="8008">
          <cell r="B8008" t="str">
            <v>LL-BP1014 / GCBB-20|</v>
          </cell>
          <cell r="J8008" t="str">
            <v>B2PAL</v>
          </cell>
          <cell r="N8008" t="str">
            <v>B2PAL</v>
          </cell>
        </row>
        <row r="8009">
          <cell r="B8009" t="str">
            <v>LL-BP1015 / GCBB-21|</v>
          </cell>
          <cell r="J8009" t="str">
            <v>B2PAL</v>
          </cell>
          <cell r="N8009" t="str">
            <v>B2PAL</v>
          </cell>
        </row>
        <row r="8010">
          <cell r="B8010" t="str">
            <v>LL-BP1016 / GCBB-22|</v>
          </cell>
          <cell r="J8010" t="str">
            <v>B2PAL</v>
          </cell>
          <cell r="N8010" t="str">
            <v>B2PAL</v>
          </cell>
        </row>
        <row r="8011">
          <cell r="B8011" t="str">
            <v>LL-BP1017 / GCBB-23|</v>
          </cell>
          <cell r="J8011" t="str">
            <v>B2PAL</v>
          </cell>
          <cell r="N8011" t="str">
            <v>B2PAL</v>
          </cell>
        </row>
        <row r="8012">
          <cell r="B8012" t="str">
            <v>LL-BP1018 / GCBB-24|</v>
          </cell>
          <cell r="J8012" t="str">
            <v>B2PAL</v>
          </cell>
          <cell r="N8012" t="str">
            <v>B2PAL</v>
          </cell>
        </row>
        <row r="8013">
          <cell r="B8013" t="str">
            <v>LL-BP1019 / FLXZ-96|</v>
          </cell>
          <cell r="J8013" t="str">
            <v>B2PAL</v>
          </cell>
          <cell r="N8013" t="str">
            <v>B2PAL</v>
          </cell>
        </row>
        <row r="8014">
          <cell r="B8014" t="str">
            <v>LL-BP1020 / GCBB-25|</v>
          </cell>
          <cell r="J8014" t="str">
            <v>B2PAL</v>
          </cell>
          <cell r="N8014" t="str">
            <v>B2PAL</v>
          </cell>
        </row>
        <row r="8015">
          <cell r="B8015" t="str">
            <v>LL-BP1021 / GCBB-26|</v>
          </cell>
          <cell r="J8015" t="str">
            <v>B2PAL</v>
          </cell>
          <cell r="N8015" t="str">
            <v>B2PAL</v>
          </cell>
        </row>
        <row r="8016">
          <cell r="B8016" t="str">
            <v>LL-BP1022 / GCBB-27|</v>
          </cell>
          <cell r="J8016" t="str">
            <v>B2PAL</v>
          </cell>
          <cell r="N8016" t="str">
            <v>B2PAL</v>
          </cell>
        </row>
        <row r="8017">
          <cell r="B8017" t="str">
            <v>LL-BP1023 / GCBB-28|</v>
          </cell>
          <cell r="J8017" t="str">
            <v>B2PAL</v>
          </cell>
          <cell r="N8017" t="str">
            <v>B2PAL</v>
          </cell>
        </row>
        <row r="8018">
          <cell r="B8018" t="str">
            <v>LL-BP1024 / GCBB-29|</v>
          </cell>
          <cell r="J8018" t="str">
            <v>B2PAL</v>
          </cell>
          <cell r="N8018" t="str">
            <v>B2PAL</v>
          </cell>
        </row>
        <row r="8019">
          <cell r="B8019" t="str">
            <v>LL-BP1025 / GCBB-30|</v>
          </cell>
          <cell r="J8019" t="str">
            <v>B2PAL</v>
          </cell>
          <cell r="N8019" t="str">
            <v>B2PAL</v>
          </cell>
        </row>
        <row r="8020">
          <cell r="B8020" t="str">
            <v>LL-BP1026 / GCBB-31|</v>
          </cell>
          <cell r="J8020" t="str">
            <v>B2PAL</v>
          </cell>
          <cell r="N8020" t="str">
            <v>B2PAL</v>
          </cell>
        </row>
        <row r="8021">
          <cell r="B8021" t="str">
            <v>LL-BP1027 / GCBB-32|</v>
          </cell>
          <cell r="J8021" t="str">
            <v>B2PAL</v>
          </cell>
          <cell r="N8021" t="str">
            <v>B2PAL</v>
          </cell>
        </row>
        <row r="8022">
          <cell r="B8022" t="str">
            <v>SJ-BP1028 / GCBB-33|</v>
          </cell>
          <cell r="J8022" t="str">
            <v>B2PAL</v>
          </cell>
          <cell r="N8022" t="str">
            <v>B2PAL</v>
          </cell>
        </row>
        <row r="8023">
          <cell r="B8023" t="str">
            <v>LL-BP1029 / GCBB-34|</v>
          </cell>
          <cell r="J8023" t="str">
            <v>B2PAL</v>
          </cell>
          <cell r="N8023" t="str">
            <v>B2PAL</v>
          </cell>
        </row>
        <row r="8024">
          <cell r="B8024" t="str">
            <v>LL-BP1030 / FLXZ-97|</v>
          </cell>
          <cell r="J8024" t="str">
            <v>B2PAL</v>
          </cell>
          <cell r="N8024" t="str">
            <v>B2PAL</v>
          </cell>
        </row>
        <row r="8025">
          <cell r="B8025" t="str">
            <v>LL-BP1031 / GCBB-35|</v>
          </cell>
          <cell r="J8025" t="str">
            <v>B2PAL</v>
          </cell>
          <cell r="N8025" t="str">
            <v>B2PAL</v>
          </cell>
        </row>
        <row r="8026">
          <cell r="B8026" t="str">
            <v>LL-BP1032 / GCBB-36|</v>
          </cell>
          <cell r="J8026" t="str">
            <v>B2PAL</v>
          </cell>
          <cell r="N8026" t="str">
            <v>B2PAL</v>
          </cell>
        </row>
        <row r="8027">
          <cell r="B8027" t="str">
            <v>LL-BP1033 / GCBB-37|</v>
          </cell>
          <cell r="J8027" t="str">
            <v>B2PAL</v>
          </cell>
          <cell r="N8027" t="str">
            <v>B2PAL</v>
          </cell>
        </row>
        <row r="8028">
          <cell r="B8028" t="str">
            <v>LL-BP1034 / GCBB-38|</v>
          </cell>
          <cell r="J8028" t="str">
            <v>B2PAL</v>
          </cell>
          <cell r="N8028" t="str">
            <v>B2PAL</v>
          </cell>
        </row>
        <row r="8029">
          <cell r="B8029" t="str">
            <v>LL-BP1035 / GCBB-39|</v>
          </cell>
          <cell r="J8029" t="str">
            <v>B2PAL</v>
          </cell>
          <cell r="N8029" t="str">
            <v>B2PAL</v>
          </cell>
        </row>
        <row r="8030">
          <cell r="B8030" t="str">
            <v>LL-BP1036 / GCBB-40|</v>
          </cell>
          <cell r="J8030" t="str">
            <v>B2PAL</v>
          </cell>
          <cell r="N8030" t="str">
            <v>B2PAL</v>
          </cell>
        </row>
        <row r="8031">
          <cell r="B8031" t="str">
            <v>LL-BP1037 / GCBB-41|</v>
          </cell>
          <cell r="J8031" t="str">
            <v>B2PAL</v>
          </cell>
          <cell r="N8031" t="str">
            <v>B2PAL</v>
          </cell>
        </row>
        <row r="8032">
          <cell r="B8032" t="str">
            <v>LL-BP1038 / GCBB-42|</v>
          </cell>
          <cell r="J8032" t="str">
            <v>B2PAL</v>
          </cell>
          <cell r="N8032" t="str">
            <v>B2PAL</v>
          </cell>
        </row>
        <row r="8033">
          <cell r="B8033" t="str">
            <v>LL-BP1039 / GCBB-43|</v>
          </cell>
          <cell r="J8033" t="str">
            <v>B2PAL</v>
          </cell>
          <cell r="N8033" t="str">
            <v>B2PAL</v>
          </cell>
        </row>
        <row r="8034">
          <cell r="B8034" t="str">
            <v>LL-BP1040 / GCBB-44|</v>
          </cell>
          <cell r="J8034" t="str">
            <v>B2PAL</v>
          </cell>
          <cell r="N8034" t="str">
            <v>B2PAL</v>
          </cell>
        </row>
        <row r="8035">
          <cell r="B8035" t="str">
            <v>LL-BP1041 / FLXZ-98|</v>
          </cell>
          <cell r="J8035" t="str">
            <v>B2PAL</v>
          </cell>
          <cell r="N8035" t="str">
            <v>B2PAL</v>
          </cell>
        </row>
        <row r="8036">
          <cell r="B8036" t="str">
            <v>LL-BP1042 / GCBB-45|</v>
          </cell>
          <cell r="J8036" t="str">
            <v>B2PAL</v>
          </cell>
          <cell r="N8036" t="str">
            <v>B2PAL</v>
          </cell>
        </row>
        <row r="8037">
          <cell r="B8037" t="str">
            <v>LL-BP1043 / GCBB-46|</v>
          </cell>
          <cell r="J8037" t="str">
            <v>B2PAL</v>
          </cell>
          <cell r="N8037" t="str">
            <v>B2PAL</v>
          </cell>
        </row>
        <row r="8038">
          <cell r="B8038" t="str">
            <v>LL-BP1044 / GCBB-47|</v>
          </cell>
          <cell r="J8038" t="str">
            <v>B2PAL</v>
          </cell>
          <cell r="N8038" t="str">
            <v>B2PAL</v>
          </cell>
        </row>
        <row r="8039">
          <cell r="B8039" t="str">
            <v>LL-BP1045 / GCBB-48|</v>
          </cell>
          <cell r="J8039" t="str">
            <v>B2PAL</v>
          </cell>
          <cell r="N8039" t="str">
            <v>B2PAL</v>
          </cell>
        </row>
        <row r="8040">
          <cell r="B8040" t="str">
            <v>LL-BP1046 / GCBB-49|</v>
          </cell>
          <cell r="J8040" t="str">
            <v>B2PAL</v>
          </cell>
          <cell r="N8040" t="str">
            <v>B2PAL</v>
          </cell>
        </row>
        <row r="8041">
          <cell r="B8041" t="str">
            <v>LL-BP1047 / GCBB-50|</v>
          </cell>
          <cell r="J8041" t="str">
            <v>B2PAL</v>
          </cell>
          <cell r="N8041" t="str">
            <v>B2PAL</v>
          </cell>
        </row>
        <row r="8042">
          <cell r="B8042" t="str">
            <v>LL-BP1048 / GCBB-51|</v>
          </cell>
          <cell r="J8042" t="str">
            <v>B2PAL</v>
          </cell>
          <cell r="N8042" t="str">
            <v>B2PAL</v>
          </cell>
        </row>
        <row r="8043">
          <cell r="B8043" t="str">
            <v>LL-BP1049 / GCBB-52|</v>
          </cell>
          <cell r="J8043" t="str">
            <v>B2PAL</v>
          </cell>
          <cell r="N8043" t="str">
            <v>B2PAL</v>
          </cell>
        </row>
        <row r="8044">
          <cell r="B8044" t="str">
            <v>LL-BP1050 / GCBB-53|</v>
          </cell>
          <cell r="J8044" t="str">
            <v>B2PAL</v>
          </cell>
          <cell r="N8044" t="str">
            <v>B2PAL</v>
          </cell>
        </row>
        <row r="8045">
          <cell r="B8045" t="str">
            <v>LL-BP1051 / GCBB-54|</v>
          </cell>
          <cell r="J8045" t="str">
            <v>B2PAL</v>
          </cell>
          <cell r="N8045" t="str">
            <v>B2PAL</v>
          </cell>
        </row>
        <row r="8046">
          <cell r="B8046" t="str">
            <v>LL-BP1052 / FLXZ-99|</v>
          </cell>
          <cell r="J8046" t="str">
            <v>B2PAL</v>
          </cell>
          <cell r="N8046" t="str">
            <v>B2PAL</v>
          </cell>
        </row>
        <row r="8047">
          <cell r="B8047" t="str">
            <v>LL-BP1053 / GCBB-55|</v>
          </cell>
          <cell r="J8047" t="str">
            <v>B2PAL</v>
          </cell>
          <cell r="N8047" t="str">
            <v>B2PAL</v>
          </cell>
        </row>
        <row r="8048">
          <cell r="B8048" t="str">
            <v>LL-BP1054 / GCBB-56|</v>
          </cell>
          <cell r="J8048" t="str">
            <v>B2PAL</v>
          </cell>
          <cell r="N8048" t="str">
            <v>B2PAL</v>
          </cell>
        </row>
        <row r="8049">
          <cell r="B8049" t="str">
            <v>LL-BP1055 / GCBB-57|</v>
          </cell>
          <cell r="J8049" t="str">
            <v>B2PAL</v>
          </cell>
          <cell r="N8049" t="str">
            <v>B2PAL</v>
          </cell>
        </row>
        <row r="8050">
          <cell r="B8050" t="str">
            <v>LL-BP1056 / GCBB-58|</v>
          </cell>
          <cell r="J8050" t="str">
            <v>B2PAL</v>
          </cell>
          <cell r="N8050" t="str">
            <v>B2PAL</v>
          </cell>
        </row>
        <row r="8051">
          <cell r="B8051" t="str">
            <v>LL-BP1057 / GCBB-59|</v>
          </cell>
          <cell r="J8051" t="str">
            <v>B2PAL</v>
          </cell>
          <cell r="N8051" t="str">
            <v>B2PAL</v>
          </cell>
        </row>
        <row r="8052">
          <cell r="B8052" t="str">
            <v>LL-BP1058 / GCBB-60|</v>
          </cell>
          <cell r="J8052" t="str">
            <v>B2PAL</v>
          </cell>
          <cell r="N8052" t="str">
            <v>B2PAL</v>
          </cell>
        </row>
        <row r="8053">
          <cell r="B8053" t="str">
            <v>LL-BP1059 / GCBB-61|</v>
          </cell>
          <cell r="J8053" t="str">
            <v>B2PAL</v>
          </cell>
          <cell r="N8053" t="str">
            <v>B2PAL</v>
          </cell>
        </row>
        <row r="8054">
          <cell r="B8054" t="str">
            <v>LL-BP1060 / GCBB-62|</v>
          </cell>
          <cell r="J8054" t="str">
            <v>B2PAL</v>
          </cell>
          <cell r="N8054" t="str">
            <v>B2PAL</v>
          </cell>
        </row>
        <row r="8055">
          <cell r="B8055" t="str">
            <v>LL-BP1061 / GCBB-63|</v>
          </cell>
          <cell r="J8055" t="str">
            <v>B2PAL</v>
          </cell>
          <cell r="N8055" t="str">
            <v>B2PAL</v>
          </cell>
        </row>
        <row r="8056">
          <cell r="B8056" t="str">
            <v>LL-BP1062 / GCBB-64|</v>
          </cell>
          <cell r="J8056" t="str">
            <v>B2PAL</v>
          </cell>
          <cell r="N8056" t="str">
            <v>B2PAL</v>
          </cell>
        </row>
        <row r="8057">
          <cell r="B8057" t="str">
            <v>LL-BP1063 / GCBB-10|</v>
          </cell>
          <cell r="J8057" t="str">
            <v>B2PAL</v>
          </cell>
          <cell r="N8057" t="str">
            <v>B2PAL</v>
          </cell>
        </row>
        <row r="8058">
          <cell r="B8058" t="str">
            <v>LL-BP1064 / GCBB-65|</v>
          </cell>
          <cell r="J8058" t="str">
            <v>B2PAL</v>
          </cell>
          <cell r="N8058" t="str">
            <v>B2PAL</v>
          </cell>
        </row>
        <row r="8059">
          <cell r="B8059" t="str">
            <v>LL-BP1065 / GCBB-66|</v>
          </cell>
          <cell r="J8059" t="str">
            <v>B2PAL</v>
          </cell>
          <cell r="N8059" t="str">
            <v>B2PAL</v>
          </cell>
        </row>
        <row r="8060">
          <cell r="B8060" t="str">
            <v>LL-BP1066 / GCBB-67|</v>
          </cell>
          <cell r="J8060" t="str">
            <v>B2PAL</v>
          </cell>
          <cell r="N8060" t="str">
            <v>B2PAL</v>
          </cell>
        </row>
        <row r="8061">
          <cell r="B8061" t="str">
            <v>SJ-BP1067 / GCBB-68|</v>
          </cell>
          <cell r="J8061" t="str">
            <v>B2PAL</v>
          </cell>
          <cell r="N8061" t="str">
            <v>B2PAL</v>
          </cell>
        </row>
        <row r="8062">
          <cell r="B8062" t="str">
            <v>LL-BP1068 / GCBB-69|</v>
          </cell>
          <cell r="J8062" t="str">
            <v>B2PAL</v>
          </cell>
          <cell r="N8062" t="str">
            <v>B2PAL</v>
          </cell>
        </row>
        <row r="8063">
          <cell r="B8063" t="str">
            <v>LL-BP1069 / GCBB-70|</v>
          </cell>
          <cell r="J8063" t="str">
            <v>B2PAL</v>
          </cell>
          <cell r="N8063" t="str">
            <v>B2PAL</v>
          </cell>
        </row>
        <row r="8064">
          <cell r="B8064" t="str">
            <v>LL-BP1070 / GCBB-71|</v>
          </cell>
          <cell r="J8064" t="str">
            <v>B2PAL</v>
          </cell>
          <cell r="N8064" t="str">
            <v>B2PAL</v>
          </cell>
        </row>
        <row r="8065">
          <cell r="B8065" t="str">
            <v>LL-BP1071 / GCBB-72|</v>
          </cell>
          <cell r="J8065" t="str">
            <v>B2PAL</v>
          </cell>
          <cell r="N8065" t="str">
            <v>B2PAL</v>
          </cell>
        </row>
        <row r="8066">
          <cell r="B8066" t="str">
            <v>SJ-BP1072 / GCBB-73|</v>
          </cell>
          <cell r="J8066" t="str">
            <v>B2PAL</v>
          </cell>
          <cell r="N8066" t="str">
            <v>B2PAL</v>
          </cell>
        </row>
        <row r="8067">
          <cell r="B8067" t="str">
            <v>LL-BP1073 / GCBB-74|</v>
          </cell>
          <cell r="J8067" t="str">
            <v>B2PAL</v>
          </cell>
          <cell r="N8067" t="str">
            <v>B2PAL</v>
          </cell>
        </row>
        <row r="8068">
          <cell r="B8068" t="str">
            <v>LL-BP1074 / GCBB-11|</v>
          </cell>
          <cell r="J8068" t="str">
            <v>B2PAL</v>
          </cell>
          <cell r="N8068" t="str">
            <v>B2PAL</v>
          </cell>
        </row>
        <row r="8069">
          <cell r="B8069" t="str">
            <v>LL-BP1075 / GCBB-75|</v>
          </cell>
          <cell r="J8069" t="str">
            <v>B2PAL</v>
          </cell>
          <cell r="N8069" t="str">
            <v>B2PAL</v>
          </cell>
        </row>
        <row r="8070">
          <cell r="B8070" t="str">
            <v>SJ-BP1076 / GCBB-76|</v>
          </cell>
          <cell r="J8070" t="str">
            <v>B2PAL</v>
          </cell>
          <cell r="N8070" t="str">
            <v>B2PAL</v>
          </cell>
        </row>
        <row r="8071">
          <cell r="B8071" t="str">
            <v>LL-BP1077 / GCBB-77|</v>
          </cell>
          <cell r="J8071" t="str">
            <v>B2PAL</v>
          </cell>
          <cell r="N8071" t="str">
            <v>B2PAL</v>
          </cell>
        </row>
        <row r="8072">
          <cell r="B8072" t="str">
            <v>LL-BP1078 / GCBB-78|</v>
          </cell>
          <cell r="J8072" t="str">
            <v>B2PAL</v>
          </cell>
          <cell r="N8072" t="str">
            <v>B2PAL</v>
          </cell>
        </row>
        <row r="8073">
          <cell r="B8073" t="str">
            <v>SJ-BP1079 / GCBB-79|</v>
          </cell>
          <cell r="J8073" t="str">
            <v>B2PAL</v>
          </cell>
          <cell r="N8073" t="str">
            <v>B2PAL</v>
          </cell>
        </row>
        <row r="8074">
          <cell r="B8074" t="str">
            <v>SJ-BP1080 / GCBB-80|</v>
          </cell>
          <cell r="J8074" t="str">
            <v>B2PAL</v>
          </cell>
          <cell r="N8074" t="str">
            <v>B2PAL</v>
          </cell>
        </row>
        <row r="8075">
          <cell r="B8075" t="str">
            <v>SJ-BP1081 / GCBB-81|</v>
          </cell>
          <cell r="J8075" t="str">
            <v>B2PAL</v>
          </cell>
          <cell r="N8075" t="str">
            <v>B2PAL</v>
          </cell>
        </row>
        <row r="8076">
          <cell r="B8076" t="str">
            <v>SJ-BP1082 / GCBB-82|</v>
          </cell>
          <cell r="J8076" t="str">
            <v>B2PAL</v>
          </cell>
          <cell r="N8076" t="str">
            <v>B2PAL</v>
          </cell>
        </row>
        <row r="8077">
          <cell r="B8077" t="str">
            <v>LL-BP1083 / GCBB-83|</v>
          </cell>
          <cell r="J8077" t="str">
            <v>B2PAL</v>
          </cell>
          <cell r="N8077" t="str">
            <v>B2PAL</v>
          </cell>
        </row>
        <row r="8078">
          <cell r="B8078" t="str">
            <v>SJ-BP1084 / GCBB-84|</v>
          </cell>
          <cell r="J8078" t="str">
            <v>B2PAL</v>
          </cell>
          <cell r="N8078" t="str">
            <v>B2PAL</v>
          </cell>
        </row>
        <row r="8079">
          <cell r="B8079" t="str">
            <v>LL-BP1085 / GCBB-12|</v>
          </cell>
          <cell r="J8079" t="str">
            <v>B2PAL</v>
          </cell>
          <cell r="N8079" t="str">
            <v>B2PAL</v>
          </cell>
        </row>
        <row r="8080">
          <cell r="B8080" t="str">
            <v>LL-BP1086 / GCBB-85|</v>
          </cell>
          <cell r="J8080" t="str">
            <v>B2PAL</v>
          </cell>
          <cell r="N8080" t="str">
            <v>B2PAL</v>
          </cell>
        </row>
        <row r="8081">
          <cell r="B8081" t="str">
            <v>SJ-BP1087 / GCBB-86|</v>
          </cell>
          <cell r="J8081" t="str">
            <v>B2PAL</v>
          </cell>
          <cell r="N8081" t="str">
            <v>B2PAL</v>
          </cell>
        </row>
        <row r="8082">
          <cell r="B8082" t="str">
            <v>SJ-BP1088 / GCBB-87|</v>
          </cell>
          <cell r="J8082" t="str">
            <v>B2PAL</v>
          </cell>
          <cell r="N8082" t="str">
            <v>B2PAL</v>
          </cell>
        </row>
        <row r="8083">
          <cell r="B8083" t="str">
            <v>SJ-BP1089 / GCBB-88|</v>
          </cell>
          <cell r="J8083" t="str">
            <v>B2PAL</v>
          </cell>
          <cell r="N8083" t="str">
            <v>B2PAL</v>
          </cell>
        </row>
        <row r="8084">
          <cell r="B8084" t="str">
            <v>SJ-BP1090 / GCBB-89|</v>
          </cell>
          <cell r="J8084" t="str">
            <v>B2PAL</v>
          </cell>
          <cell r="N8084" t="str">
            <v>B2PAL</v>
          </cell>
        </row>
        <row r="8085">
          <cell r="B8085" t="str">
            <v>LL-BP1091 / GCBB-91|</v>
          </cell>
          <cell r="J8085" t="str">
            <v>B2PAL</v>
          </cell>
          <cell r="N8085" t="str">
            <v>B2PAL</v>
          </cell>
        </row>
        <row r="8086">
          <cell r="B8086" t="str">
            <v>SJ-BP1092 / GCBB-92|</v>
          </cell>
          <cell r="J8086" t="str">
            <v>B2PAL</v>
          </cell>
          <cell r="N8086" t="str">
            <v>B2PAL</v>
          </cell>
        </row>
        <row r="8087">
          <cell r="B8087" t="str">
            <v>SJ-BP1093 / GCBB-93|</v>
          </cell>
          <cell r="J8087" t="str">
            <v>B2PAL</v>
          </cell>
          <cell r="N8087" t="str">
            <v>B2PAL</v>
          </cell>
        </row>
        <row r="8088">
          <cell r="B8088" t="str">
            <v>LL-BP1094 / GCBB-94|</v>
          </cell>
          <cell r="J8088" t="str">
            <v>B2PAL</v>
          </cell>
          <cell r="N8088" t="str">
            <v>B2PAL</v>
          </cell>
        </row>
        <row r="8089">
          <cell r="B8089" t="str">
            <v>SJ-BP1095 / GCBB-95|</v>
          </cell>
          <cell r="J8089" t="str">
            <v>B2PAL</v>
          </cell>
          <cell r="N8089" t="str">
            <v>B2PAL</v>
          </cell>
        </row>
        <row r="8090">
          <cell r="B8090" t="str">
            <v>LL-BP1096 / GCBB-13|</v>
          </cell>
          <cell r="J8090" t="str">
            <v>B2PAL</v>
          </cell>
          <cell r="N8090" t="str">
            <v>B2PAL</v>
          </cell>
        </row>
        <row r="8091">
          <cell r="B8091" t="str">
            <v>LL-BP1096 / GCBB-13|</v>
          </cell>
          <cell r="J8091" t="str">
            <v>B2PAL</v>
          </cell>
          <cell r="N8091" t="str">
            <v>B2PAL</v>
          </cell>
        </row>
        <row r="8092">
          <cell r="B8092" t="str">
            <v>SJ-BP1097 / GCBB-96|</v>
          </cell>
          <cell r="J8092" t="str">
            <v>B2PAL</v>
          </cell>
          <cell r="N8092" t="str">
            <v>B2PAL</v>
          </cell>
        </row>
        <row r="8093">
          <cell r="B8093" t="str">
            <v>SJ-BP1098 / GCBB-97|</v>
          </cell>
          <cell r="J8093" t="str">
            <v>B2PAL</v>
          </cell>
          <cell r="N8093" t="str">
            <v>B2PAL</v>
          </cell>
        </row>
        <row r="8094">
          <cell r="B8094" t="str">
            <v>SJ-BP1099 / GCBB-98|</v>
          </cell>
          <cell r="J8094" t="str">
            <v>B2PAL</v>
          </cell>
          <cell r="N8094" t="str">
            <v>B2PAL</v>
          </cell>
        </row>
        <row r="8095">
          <cell r="B8095" t="str">
            <v>SJ-BP1101 / GCBC-10|</v>
          </cell>
          <cell r="J8095" t="str">
            <v>B2PAL</v>
          </cell>
          <cell r="N8095" t="str">
            <v>B2PAL</v>
          </cell>
        </row>
        <row r="8096">
          <cell r="B8096" t="str">
            <v>SJ-BP1102 / GCBC-11|</v>
          </cell>
          <cell r="J8096" t="str">
            <v>B2PAL</v>
          </cell>
          <cell r="N8096" t="str">
            <v>B2PAL</v>
          </cell>
        </row>
        <row r="8097">
          <cell r="B8097" t="str">
            <v>SJ-BP1103 / GCBC-12|</v>
          </cell>
          <cell r="J8097" t="str">
            <v>B2PAL</v>
          </cell>
          <cell r="N8097" t="str">
            <v>B2PAL</v>
          </cell>
        </row>
        <row r="8098">
          <cell r="B8098" t="str">
            <v>SJ-BP1104 / GCBC-13|</v>
          </cell>
          <cell r="J8098" t="str">
            <v>B2PAL</v>
          </cell>
          <cell r="N8098" t="str">
            <v>B2PAL</v>
          </cell>
        </row>
        <row r="8099">
          <cell r="B8099" t="str">
            <v>SJ-BP1105 / GCBC-14|</v>
          </cell>
          <cell r="J8099" t="str">
            <v>B2PAL</v>
          </cell>
          <cell r="N8099" t="str">
            <v>B2PAL</v>
          </cell>
        </row>
        <row r="8100">
          <cell r="B8100" t="str">
            <v>SJ-BP1106 / GCBC-15|</v>
          </cell>
          <cell r="J8100" t="str">
            <v>B2PAL</v>
          </cell>
          <cell r="N8100" t="str">
            <v>B2PAL</v>
          </cell>
        </row>
        <row r="8101">
          <cell r="B8101" t="str">
            <v>SJ-B1107 / VFHJ-88|</v>
          </cell>
          <cell r="J8101" t="str">
            <v>B</v>
          </cell>
          <cell r="N8101" t="str">
            <v>B</v>
          </cell>
        </row>
        <row r="8102">
          <cell r="B8102" t="str">
            <v>SJ-B1108 / VFHL-33|</v>
          </cell>
          <cell r="J8102" t="str">
            <v>B</v>
          </cell>
          <cell r="N8102" t="str">
            <v>B</v>
          </cell>
        </row>
        <row r="8103">
          <cell r="B8103" t="str">
            <v>SJ-B1109 / VFHL-39|</v>
          </cell>
          <cell r="J8103" t="str">
            <v>B</v>
          </cell>
          <cell r="N8103" t="str">
            <v>B</v>
          </cell>
        </row>
        <row r="8104">
          <cell r="B8104" t="str">
            <v>SJ-B1110 / VFHL-46|</v>
          </cell>
          <cell r="J8104" t="str">
            <v>B</v>
          </cell>
          <cell r="N8104" t="str">
            <v>B</v>
          </cell>
        </row>
        <row r="8105">
          <cell r="B8105" t="str">
            <v>SJ-B1111 / VFHL-56|</v>
          </cell>
          <cell r="J8105" t="str">
            <v>B</v>
          </cell>
          <cell r="N8105" t="str">
            <v>B</v>
          </cell>
        </row>
        <row r="8106">
          <cell r="B8106" t="str">
            <v>SJ-B1112 / VFHG-99|</v>
          </cell>
          <cell r="J8106" t="str">
            <v>B</v>
          </cell>
          <cell r="N8106" t="str">
            <v>B</v>
          </cell>
        </row>
        <row r="8107">
          <cell r="B8107" t="str">
            <v>SJ-B1113 / VFHH-49|</v>
          </cell>
          <cell r="J8107" t="str">
            <v>B</v>
          </cell>
          <cell r="N8107" t="str">
            <v>B</v>
          </cell>
        </row>
        <row r="8108">
          <cell r="B8108" t="str">
            <v>SJ-B1114 / VFHH-65|</v>
          </cell>
          <cell r="J8108" t="str">
            <v>B</v>
          </cell>
          <cell r="N8108" t="str">
            <v>B</v>
          </cell>
        </row>
        <row r="8109">
          <cell r="B8109" t="str">
            <v>SJ-B1115 / VFHJ-21|</v>
          </cell>
          <cell r="J8109" t="str">
            <v>B</v>
          </cell>
          <cell r="N8109" t="str">
            <v>B</v>
          </cell>
        </row>
        <row r="8110">
          <cell r="B8110" t="str">
            <v>SJ-B1116 / VFHJ-43|</v>
          </cell>
          <cell r="J8110" t="str">
            <v>B</v>
          </cell>
          <cell r="N8110" t="str">
            <v>B</v>
          </cell>
        </row>
        <row r="8111">
          <cell r="B8111" t="str">
            <v>SJ-B1117 / VFHJ-59|</v>
          </cell>
          <cell r="J8111" t="str">
            <v>B</v>
          </cell>
          <cell r="N8111" t="str">
            <v>B</v>
          </cell>
        </row>
        <row r="8112">
          <cell r="B8112" t="str">
            <v>SJ-B1118 / VFHJ-92|</v>
          </cell>
          <cell r="J8112" t="str">
            <v>B</v>
          </cell>
          <cell r="N8112" t="str">
            <v>B</v>
          </cell>
        </row>
        <row r="8113">
          <cell r="B8113" t="str">
            <v>SJ-B1119 / VFHJ-69|</v>
          </cell>
          <cell r="J8113" t="str">
            <v>B</v>
          </cell>
          <cell r="N8113" t="str">
            <v>B</v>
          </cell>
        </row>
        <row r="8114">
          <cell r="B8114" t="str">
            <v>SJ-B1120 / VFHJ-77|</v>
          </cell>
          <cell r="J8114" t="str">
            <v>B</v>
          </cell>
          <cell r="N8114" t="str">
            <v>B</v>
          </cell>
        </row>
        <row r="8115">
          <cell r="B8115" t="str">
            <v>SJ-B1121 / VFHL-62|</v>
          </cell>
          <cell r="J8115" t="str">
            <v>B</v>
          </cell>
          <cell r="N8115" t="str">
            <v>B</v>
          </cell>
        </row>
        <row r="8116">
          <cell r="B8116" t="str">
            <v>CER-B1122 / VFHL-66|</v>
          </cell>
          <cell r="J8116" t="str">
            <v>B</v>
          </cell>
          <cell r="N8116" t="str">
            <v>B</v>
          </cell>
        </row>
        <row r="8117">
          <cell r="B8117" t="str">
            <v>LL-B1123 / VFHL-81|</v>
          </cell>
          <cell r="J8117" t="str">
            <v>B</v>
          </cell>
          <cell r="N8117" t="str">
            <v>B</v>
          </cell>
        </row>
        <row r="8118">
          <cell r="B8118" t="str">
            <v>LL-B1124 / VFHS-85|</v>
          </cell>
          <cell r="J8118" t="str">
            <v>B</v>
          </cell>
          <cell r="N8118" t="str">
            <v>B</v>
          </cell>
        </row>
        <row r="8119">
          <cell r="B8119" t="str">
            <v>LL-B1125 / VFHS-95|</v>
          </cell>
          <cell r="J8119" t="str">
            <v>B</v>
          </cell>
          <cell r="N8119" t="str">
            <v>B</v>
          </cell>
        </row>
        <row r="8120">
          <cell r="B8120" t="str">
            <v>SJ-B1126 / VFHS-98|</v>
          </cell>
          <cell r="J8120" t="str">
            <v>B</v>
          </cell>
          <cell r="N8120" t="str">
            <v>B</v>
          </cell>
        </row>
        <row r="8121">
          <cell r="B8121" t="str">
            <v>SJ-B1127 / VFHT-45|</v>
          </cell>
          <cell r="J8121" t="str">
            <v>B</v>
          </cell>
          <cell r="N8121" t="str">
            <v>B</v>
          </cell>
        </row>
        <row r="8122">
          <cell r="B8122" t="str">
            <v>SJ-B1128 / VFHT-55|</v>
          </cell>
          <cell r="J8122" t="str">
            <v>B</v>
          </cell>
          <cell r="N8122" t="str">
            <v>B</v>
          </cell>
        </row>
        <row r="8123">
          <cell r="B8123" t="str">
            <v>SJ-B1129 / VFHK-16|</v>
          </cell>
          <cell r="J8123" t="str">
            <v>B</v>
          </cell>
          <cell r="N8123" t="str">
            <v>B</v>
          </cell>
        </row>
        <row r="8124">
          <cell r="B8124" t="str">
            <v>CER-B1130 / VFHT-73|</v>
          </cell>
          <cell r="J8124" t="str">
            <v>B</v>
          </cell>
          <cell r="N8124" t="str">
            <v>B</v>
          </cell>
        </row>
        <row r="8125">
          <cell r="B8125" t="str">
            <v>LL-B1131 / VFHT-80|</v>
          </cell>
          <cell r="J8125" t="str">
            <v>B</v>
          </cell>
          <cell r="N8125" t="str">
            <v>B</v>
          </cell>
        </row>
        <row r="8126">
          <cell r="B8126" t="str">
            <v>LL-B1132 / VFHT-81|</v>
          </cell>
          <cell r="J8126" t="str">
            <v>B</v>
          </cell>
          <cell r="N8126" t="str">
            <v>B</v>
          </cell>
        </row>
        <row r="8127">
          <cell r="B8127" t="str">
            <v>LL-B1133 / VFHV-57|</v>
          </cell>
          <cell r="J8127" t="str">
            <v>B</v>
          </cell>
          <cell r="N8127" t="str">
            <v>B</v>
          </cell>
        </row>
        <row r="8128">
          <cell r="B8128" t="str">
            <v>LL-B1134 / VFHV-67|</v>
          </cell>
          <cell r="J8128" t="str">
            <v>B</v>
          </cell>
          <cell r="N8128" t="str">
            <v>B</v>
          </cell>
        </row>
        <row r="8129">
          <cell r="B8129" t="str">
            <v>LL-B1135 / VFHV-82|</v>
          </cell>
          <cell r="J8129" t="str">
            <v>B</v>
          </cell>
          <cell r="N8129" t="str">
            <v>B</v>
          </cell>
        </row>
        <row r="8130">
          <cell r="B8130" t="str">
            <v>LL-B1136 / VFHV-87|</v>
          </cell>
          <cell r="J8130" t="str">
            <v>B</v>
          </cell>
          <cell r="N8130" t="str">
            <v>B</v>
          </cell>
        </row>
        <row r="8131">
          <cell r="B8131" t="str">
            <v>LL-B1137 / VFHW-46|</v>
          </cell>
          <cell r="J8131" t="str">
            <v>B</v>
          </cell>
          <cell r="N8131" t="str">
            <v>B</v>
          </cell>
        </row>
        <row r="8132">
          <cell r="B8132" t="str">
            <v>LL-B1138 / VFHW-51|</v>
          </cell>
          <cell r="J8132" t="str">
            <v>B</v>
          </cell>
          <cell r="N8132" t="str">
            <v>B</v>
          </cell>
        </row>
        <row r="8133">
          <cell r="B8133" t="str">
            <v>LL-B1139 / VFHW-63|</v>
          </cell>
          <cell r="J8133" t="str">
            <v>B</v>
          </cell>
          <cell r="N8133" t="str">
            <v>B</v>
          </cell>
        </row>
        <row r="8134">
          <cell r="B8134" t="str">
            <v>SJ-B1140 / VFHK-27|</v>
          </cell>
          <cell r="J8134" t="str">
            <v>B</v>
          </cell>
          <cell r="N8134" t="str">
            <v>B</v>
          </cell>
        </row>
        <row r="8135">
          <cell r="B8135" t="str">
            <v>LL-B1141 / VFPB-70|</v>
          </cell>
          <cell r="J8135" t="str">
            <v>B</v>
          </cell>
          <cell r="N8135" t="str">
            <v>B</v>
          </cell>
        </row>
        <row r="8136">
          <cell r="B8136" t="str">
            <v>LL-B1142 / VFPC-10|</v>
          </cell>
          <cell r="J8136" t="str">
            <v>B</v>
          </cell>
          <cell r="N8136" t="str">
            <v>B</v>
          </cell>
        </row>
        <row r="8137">
          <cell r="B8137" t="str">
            <v>LL-B1143 / VFPC-31|</v>
          </cell>
          <cell r="J8137" t="str">
            <v>B</v>
          </cell>
          <cell r="N8137" t="str">
            <v>B</v>
          </cell>
        </row>
        <row r="8138">
          <cell r="B8138" t="str">
            <v>LL-B1144 / VFPC-80|</v>
          </cell>
          <cell r="J8138" t="str">
            <v>B</v>
          </cell>
          <cell r="N8138" t="str">
            <v>B</v>
          </cell>
        </row>
        <row r="8139">
          <cell r="B8139" t="str">
            <v>LL-B1145 / VFPC-51|</v>
          </cell>
          <cell r="J8139" t="str">
            <v>B</v>
          </cell>
          <cell r="N8139" t="str">
            <v>B</v>
          </cell>
        </row>
        <row r="8140">
          <cell r="B8140" t="str">
            <v>LL-B1146 / VFPD-84|</v>
          </cell>
          <cell r="J8140" t="str">
            <v>B</v>
          </cell>
          <cell r="N8140" t="str">
            <v>B</v>
          </cell>
        </row>
        <row r="8141">
          <cell r="B8141" t="str">
            <v>LL-B1147 / VFPD-94|</v>
          </cell>
          <cell r="J8141" t="str">
            <v>B</v>
          </cell>
          <cell r="N8141" t="str">
            <v>B</v>
          </cell>
        </row>
        <row r="8142">
          <cell r="B8142" t="str">
            <v>LL-B1148 / VFHL-60|</v>
          </cell>
          <cell r="J8142" t="str">
            <v>B</v>
          </cell>
          <cell r="N8142" t="str">
            <v>B</v>
          </cell>
        </row>
        <row r="8143">
          <cell r="B8143" t="str">
            <v>SJ-B1149 / VFHK-31|</v>
          </cell>
          <cell r="J8143" t="str">
            <v>B</v>
          </cell>
          <cell r="N8143" t="str">
            <v>B</v>
          </cell>
        </row>
        <row r="8144">
          <cell r="B8144" t="str">
            <v>SJ-B1150 / VFHK-58|</v>
          </cell>
          <cell r="J8144" t="str">
            <v>B</v>
          </cell>
          <cell r="N8144" t="str">
            <v>B</v>
          </cell>
        </row>
        <row r="8145">
          <cell r="B8145" t="str">
            <v>SJ-B1151 / VFHK-69|</v>
          </cell>
          <cell r="J8145" t="str">
            <v>B</v>
          </cell>
          <cell r="N8145" t="str">
            <v>B</v>
          </cell>
        </row>
        <row r="8146">
          <cell r="B8146" t="str">
            <v>CER-B1152 / VFHK-89|</v>
          </cell>
          <cell r="J8146" t="str">
            <v>B</v>
          </cell>
          <cell r="N8146" t="str">
            <v>B</v>
          </cell>
        </row>
        <row r="8147">
          <cell r="B8147" t="str">
            <v>SA-B1153 / VFHK-96|</v>
          </cell>
          <cell r="J8147" t="str">
            <v>B</v>
          </cell>
          <cell r="N8147" t="str">
            <v>B</v>
          </cell>
        </row>
        <row r="8148">
          <cell r="B8148" t="str">
            <v>PA-C1154 / LZRB-89|</v>
          </cell>
          <cell r="J8148" t="str">
            <v>C</v>
          </cell>
          <cell r="N8148" t="str">
            <v>C</v>
          </cell>
        </row>
        <row r="8149">
          <cell r="B8149" t="str">
            <v>PA-C1155 / LZRB-90|</v>
          </cell>
          <cell r="J8149" t="str">
            <v>C</v>
          </cell>
          <cell r="N8149" t="str">
            <v>C</v>
          </cell>
        </row>
        <row r="8150">
          <cell r="B8150" t="str">
            <v>PA-C1156 / LZRB-91|</v>
          </cell>
          <cell r="J8150" t="str">
            <v>C</v>
          </cell>
          <cell r="N8150" t="str">
            <v>C</v>
          </cell>
        </row>
        <row r="8151">
          <cell r="B8151" t="str">
            <v>PA-C1157 / LZRB-92|</v>
          </cell>
          <cell r="J8151" t="str">
            <v>C</v>
          </cell>
          <cell r="N8151" t="str">
            <v>C</v>
          </cell>
        </row>
        <row r="8152">
          <cell r="B8152" t="str">
            <v>PA-C1158 / LZRB-93|</v>
          </cell>
          <cell r="J8152" t="str">
            <v>C</v>
          </cell>
          <cell r="N8152" t="str">
            <v>C</v>
          </cell>
        </row>
        <row r="8153">
          <cell r="B8153" t="str">
            <v>PA-C1159 / LZRB-94|</v>
          </cell>
          <cell r="J8153" t="str">
            <v>C</v>
          </cell>
          <cell r="N8153" t="str">
            <v>C</v>
          </cell>
        </row>
        <row r="8154">
          <cell r="B8154" t="str">
            <v>PA-C1160 / LZRB-95|</v>
          </cell>
          <cell r="J8154" t="str">
            <v>C</v>
          </cell>
          <cell r="N8154" t="str">
            <v>C</v>
          </cell>
        </row>
        <row r="8155">
          <cell r="B8155" t="str">
            <v>PA-C1161 / LZRB-96|</v>
          </cell>
          <cell r="J8155" t="str">
            <v>C</v>
          </cell>
          <cell r="N8155" t="str">
            <v>C</v>
          </cell>
        </row>
        <row r="8156">
          <cell r="B8156" t="str">
            <v>PA-C1162 / LZRD-61|</v>
          </cell>
          <cell r="J8156" t="str">
            <v>C</v>
          </cell>
          <cell r="N8156" t="str">
            <v>C</v>
          </cell>
        </row>
        <row r="8157">
          <cell r="B8157" t="str">
            <v>PA-C1163 / LZRD-62|</v>
          </cell>
          <cell r="J8157" t="str">
            <v>C</v>
          </cell>
          <cell r="N8157" t="str">
            <v>C</v>
          </cell>
        </row>
        <row r="8158">
          <cell r="B8158" t="str">
            <v>PA-C1164 / LZRD-63|</v>
          </cell>
          <cell r="J8158" t="str">
            <v>C</v>
          </cell>
          <cell r="N8158" t="str">
            <v>C</v>
          </cell>
        </row>
        <row r="8159">
          <cell r="B8159" t="str">
            <v>PA-C1165 / LZRD-64|</v>
          </cell>
          <cell r="J8159" t="str">
            <v>C</v>
          </cell>
          <cell r="N8159" t="str">
            <v>C</v>
          </cell>
        </row>
        <row r="8160">
          <cell r="B8160" t="str">
            <v>PA-C1166 / LZRD-65|</v>
          </cell>
          <cell r="J8160" t="str">
            <v>C</v>
          </cell>
          <cell r="N8160" t="str">
            <v>C</v>
          </cell>
        </row>
        <row r="8161">
          <cell r="B8161" t="str">
            <v>PA-C1167 / LZRD-66|</v>
          </cell>
          <cell r="J8161" t="str">
            <v>C</v>
          </cell>
          <cell r="N8161" t="str">
            <v>C</v>
          </cell>
        </row>
        <row r="8162">
          <cell r="B8162" t="str">
            <v>PA-C1168 / LZRD-68|</v>
          </cell>
          <cell r="J8162" t="str">
            <v>C</v>
          </cell>
          <cell r="N8162" t="str">
            <v>C</v>
          </cell>
        </row>
        <row r="8163">
          <cell r="B8163" t="str">
            <v>PA-C1169 / LZRD-69|</v>
          </cell>
          <cell r="J8163" t="str">
            <v>C</v>
          </cell>
          <cell r="N8163" t="str">
            <v>C</v>
          </cell>
        </row>
        <row r="8164">
          <cell r="B8164" t="str">
            <v>PA-C1170 / LZRD-70|</v>
          </cell>
          <cell r="J8164" t="str">
            <v>C</v>
          </cell>
          <cell r="N8164" t="str">
            <v>C</v>
          </cell>
        </row>
        <row r="8165">
          <cell r="B8165" t="str">
            <v>PA-C1171 / LZRD-71|</v>
          </cell>
          <cell r="J8165" t="str">
            <v>C</v>
          </cell>
          <cell r="N8165" t="str">
            <v>C</v>
          </cell>
        </row>
        <row r="8166">
          <cell r="B8166" t="str">
            <v>PA-C1172 / LZRD-72|</v>
          </cell>
          <cell r="J8166" t="str">
            <v>C</v>
          </cell>
          <cell r="N8166" t="str">
            <v>C</v>
          </cell>
        </row>
        <row r="8167">
          <cell r="B8167" t="str">
            <v>PA-C1173 / LZRD-73|</v>
          </cell>
          <cell r="J8167" t="str">
            <v>C</v>
          </cell>
          <cell r="N8167" t="str">
            <v>C</v>
          </cell>
        </row>
        <row r="8168">
          <cell r="B8168" t="str">
            <v>PA-C1174 / LZRD-74|</v>
          </cell>
          <cell r="J8168" t="str">
            <v>C</v>
          </cell>
          <cell r="N8168" t="str">
            <v>C</v>
          </cell>
        </row>
        <row r="8169">
          <cell r="B8169" t="str">
            <v>PA-C1175 / LZRD-77|</v>
          </cell>
          <cell r="J8169" t="str">
            <v>C</v>
          </cell>
          <cell r="N8169" t="str">
            <v>C</v>
          </cell>
        </row>
        <row r="8170">
          <cell r="B8170" t="str">
            <v>PA-C1176 / LZRD-79|</v>
          </cell>
          <cell r="J8170" t="str">
            <v>C</v>
          </cell>
          <cell r="N8170" t="str">
            <v>C</v>
          </cell>
        </row>
        <row r="8171">
          <cell r="B8171" t="str">
            <v>PA-C1177 / LZRD-80|</v>
          </cell>
          <cell r="J8171" t="str">
            <v>C</v>
          </cell>
          <cell r="N8171" t="str">
            <v>C</v>
          </cell>
        </row>
        <row r="8172">
          <cell r="B8172" t="str">
            <v>PA-C1178 / LZRD-81|</v>
          </cell>
          <cell r="J8172" t="str">
            <v>C</v>
          </cell>
          <cell r="N8172" t="str">
            <v>C</v>
          </cell>
        </row>
        <row r="8173">
          <cell r="B8173" t="str">
            <v>PA-C1179 / LZRD-82|</v>
          </cell>
          <cell r="J8173" t="str">
            <v>C</v>
          </cell>
          <cell r="N8173" t="str">
            <v>C</v>
          </cell>
        </row>
        <row r="8174">
          <cell r="B8174" t="str">
            <v>PA-C1180 / LZRD-84|</v>
          </cell>
          <cell r="J8174" t="str">
            <v>C</v>
          </cell>
          <cell r="N8174" t="str">
            <v>C</v>
          </cell>
        </row>
        <row r="8175">
          <cell r="B8175" t="str">
            <v>PA-C1181 / LZRD-85|</v>
          </cell>
          <cell r="J8175" t="str">
            <v>C</v>
          </cell>
          <cell r="N8175" t="str">
            <v>C</v>
          </cell>
        </row>
        <row r="8176">
          <cell r="B8176" t="str">
            <v>PA-C1182 / LZRD-86|</v>
          </cell>
          <cell r="J8176" t="str">
            <v>C</v>
          </cell>
          <cell r="N8176" t="str">
            <v>C</v>
          </cell>
        </row>
        <row r="8177">
          <cell r="B8177" t="str">
            <v>PA-C1183 / LZRD-87|</v>
          </cell>
          <cell r="J8177" t="str">
            <v>C</v>
          </cell>
          <cell r="N8177" t="str">
            <v>C</v>
          </cell>
        </row>
        <row r="8178">
          <cell r="B8178" t="str">
            <v>PA-C1184 / LZRD-89|</v>
          </cell>
          <cell r="J8178" t="str">
            <v>C</v>
          </cell>
          <cell r="N8178" t="str">
            <v>C</v>
          </cell>
        </row>
        <row r="8179">
          <cell r="B8179" t="str">
            <v>PA-C1185 / LZRD-90|</v>
          </cell>
          <cell r="J8179" t="str">
            <v>C</v>
          </cell>
          <cell r="N8179" t="str">
            <v>C</v>
          </cell>
        </row>
        <row r="8180">
          <cell r="B8180" t="str">
            <v>PA-C1187 / LZRD-94|</v>
          </cell>
          <cell r="J8180" t="str">
            <v>C</v>
          </cell>
          <cell r="N8180" t="str">
            <v>C</v>
          </cell>
        </row>
        <row r="8181">
          <cell r="B8181" t="str">
            <v>PA-C1188 / LZRD-95|</v>
          </cell>
          <cell r="J8181" t="str">
            <v>C</v>
          </cell>
          <cell r="N8181" t="str">
            <v>C</v>
          </cell>
        </row>
        <row r="8182">
          <cell r="B8182" t="str">
            <v>PA-C1189 / LZRD-96|</v>
          </cell>
          <cell r="J8182" t="str">
            <v>C</v>
          </cell>
          <cell r="N8182" t="str">
            <v>C</v>
          </cell>
        </row>
        <row r="8183">
          <cell r="B8183" t="str">
            <v>PA-C1190 / LZRD-97|</v>
          </cell>
          <cell r="J8183" t="str">
            <v>C</v>
          </cell>
          <cell r="N8183" t="str">
            <v>C</v>
          </cell>
        </row>
        <row r="8184">
          <cell r="B8184" t="str">
            <v>PA-C1191 / LZRD-98|</v>
          </cell>
          <cell r="J8184" t="str">
            <v>C</v>
          </cell>
          <cell r="N8184" t="str">
            <v>C</v>
          </cell>
        </row>
        <row r="8185">
          <cell r="B8185" t="str">
            <v>PA-C1192 / LZRD-99|</v>
          </cell>
          <cell r="J8185" t="str">
            <v>C</v>
          </cell>
          <cell r="N8185" t="str">
            <v>C</v>
          </cell>
        </row>
        <row r="8186">
          <cell r="B8186" t="str">
            <v>PA-C1193 / LZRF-10|</v>
          </cell>
          <cell r="J8186" t="str">
            <v>C</v>
          </cell>
          <cell r="N8186" t="str">
            <v>C</v>
          </cell>
        </row>
        <row r="8187">
          <cell r="B8187" t="str">
            <v>PA-C1194 / LZRF-11|</v>
          </cell>
          <cell r="J8187" t="str">
            <v>C</v>
          </cell>
          <cell r="N8187" t="str">
            <v>C</v>
          </cell>
        </row>
        <row r="8188">
          <cell r="B8188" t="str">
            <v>PA-C1195 / LZRF-12|</v>
          </cell>
          <cell r="J8188" t="str">
            <v>C</v>
          </cell>
          <cell r="N8188" t="str">
            <v>C</v>
          </cell>
        </row>
        <row r="8189">
          <cell r="B8189" t="str">
            <v>PA-C1196 / LZRF-13|</v>
          </cell>
          <cell r="J8189" t="str">
            <v>C</v>
          </cell>
          <cell r="N8189" t="str">
            <v>C</v>
          </cell>
        </row>
        <row r="8190">
          <cell r="B8190" t="str">
            <v>PA-C1197 / LZRF-14|</v>
          </cell>
          <cell r="J8190" t="str">
            <v>C</v>
          </cell>
          <cell r="N8190" t="str">
            <v>C</v>
          </cell>
        </row>
        <row r="8191">
          <cell r="B8191" t="str">
            <v>PA-C1198 / LZRF-15|</v>
          </cell>
          <cell r="J8191" t="str">
            <v>C</v>
          </cell>
          <cell r="N8191" t="str">
            <v>C</v>
          </cell>
        </row>
        <row r="8192">
          <cell r="B8192" t="str">
            <v>PA-C1199 / RJXT-26|</v>
          </cell>
          <cell r="J8192" t="str">
            <v>C</v>
          </cell>
          <cell r="N8192" t="str">
            <v>C</v>
          </cell>
        </row>
        <row r="8193">
          <cell r="B8193" t="str">
            <v>PA-C1200 / RWTP-78|</v>
          </cell>
          <cell r="J8193" t="str">
            <v>C</v>
          </cell>
          <cell r="N8193" t="str">
            <v>C</v>
          </cell>
        </row>
        <row r="8194">
          <cell r="B8194" t="str">
            <v>PA-C1201 / RWTP-83|</v>
          </cell>
          <cell r="J8194" t="str">
            <v>C</v>
          </cell>
          <cell r="N8194" t="str">
            <v>C</v>
          </cell>
        </row>
        <row r="8195">
          <cell r="B8195" t="str">
            <v>PA-C1202 / RWTP-85|</v>
          </cell>
          <cell r="J8195" t="str">
            <v>C</v>
          </cell>
          <cell r="N8195" t="str">
            <v>C</v>
          </cell>
        </row>
        <row r="8196">
          <cell r="B8196" t="str">
            <v>PA-C1203 / RWTP-86|</v>
          </cell>
          <cell r="J8196" t="str">
            <v>C</v>
          </cell>
          <cell r="N8196" t="str">
            <v>C</v>
          </cell>
        </row>
        <row r="8197">
          <cell r="B8197" t="str">
            <v>PA-C1204 / RWTP-90|</v>
          </cell>
          <cell r="J8197" t="str">
            <v>C</v>
          </cell>
          <cell r="N8197" t="str">
            <v>C</v>
          </cell>
        </row>
        <row r="8198">
          <cell r="B8198" t="str">
            <v>PA-C1205 / RWTP-94|</v>
          </cell>
          <cell r="J8198" t="str">
            <v>C</v>
          </cell>
          <cell r="N8198" t="str">
            <v>C</v>
          </cell>
        </row>
        <row r="8199">
          <cell r="B8199" t="str">
            <v>PA-C1206 / RWTP-95|</v>
          </cell>
          <cell r="J8199" t="str">
            <v>C</v>
          </cell>
          <cell r="N8199" t="str">
            <v>C</v>
          </cell>
        </row>
        <row r="8200">
          <cell r="B8200" t="str">
            <v>PA-C1207 / RWTP-96|</v>
          </cell>
          <cell r="J8200" t="str">
            <v>C</v>
          </cell>
          <cell r="N8200" t="str">
            <v>C</v>
          </cell>
        </row>
        <row r="8201">
          <cell r="B8201" t="str">
            <v>PA-C1208 / RWTP-97|</v>
          </cell>
          <cell r="J8201" t="str">
            <v>C</v>
          </cell>
          <cell r="N8201" t="str">
            <v>C</v>
          </cell>
        </row>
        <row r="8202">
          <cell r="B8202" t="str">
            <v>PA-C1209 / RWTP-98|</v>
          </cell>
          <cell r="J8202" t="str">
            <v>C</v>
          </cell>
          <cell r="N8202" t="str">
            <v>C</v>
          </cell>
        </row>
        <row r="8203">
          <cell r="B8203" t="str">
            <v>PA-C1210 / RWTP-99|</v>
          </cell>
          <cell r="J8203" t="str">
            <v>C</v>
          </cell>
          <cell r="N8203" t="str">
            <v>C</v>
          </cell>
        </row>
        <row r="8204">
          <cell r="B8204" t="str">
            <v>PA-C1211 / RYJG-90|</v>
          </cell>
          <cell r="J8204" t="str">
            <v>C</v>
          </cell>
          <cell r="N8204" t="str">
            <v>C</v>
          </cell>
        </row>
        <row r="8205">
          <cell r="B8205" t="str">
            <v>PA-C1212 / RYJG-91|</v>
          </cell>
          <cell r="J8205" t="str">
            <v>C</v>
          </cell>
          <cell r="N8205" t="str">
            <v>C</v>
          </cell>
        </row>
        <row r="8206">
          <cell r="B8206" t="str">
            <v>SA-C1213 / RYJG-92|</v>
          </cell>
          <cell r="J8206" t="str">
            <v>C</v>
          </cell>
          <cell r="N8206" t="str">
            <v>C</v>
          </cell>
        </row>
        <row r="8207">
          <cell r="B8207" t="str">
            <v>SA-C1214 / RYJG-93|</v>
          </cell>
          <cell r="J8207" t="str">
            <v>C</v>
          </cell>
          <cell r="N8207" t="str">
            <v>C</v>
          </cell>
        </row>
        <row r="8208">
          <cell r="B8208" t="str">
            <v>SA-C1215 / RYJG-94|</v>
          </cell>
          <cell r="J8208" t="str">
            <v>C</v>
          </cell>
          <cell r="N8208" t="str">
            <v>C</v>
          </cell>
        </row>
        <row r="8209">
          <cell r="B8209" t="str">
            <v>SA-C1216 / RYJG-95|</v>
          </cell>
          <cell r="J8209" t="str">
            <v>C</v>
          </cell>
          <cell r="N8209" t="str">
            <v>C</v>
          </cell>
        </row>
        <row r="8210">
          <cell r="B8210" t="str">
            <v>SA-C1217 / SXKV-87|</v>
          </cell>
          <cell r="J8210" t="str">
            <v>C</v>
          </cell>
          <cell r="N8210" t="str">
            <v>C</v>
          </cell>
        </row>
        <row r="8211">
          <cell r="B8211" t="str">
            <v>SA-C1218 / SXKV-88|</v>
          </cell>
          <cell r="J8211" t="str">
            <v>C</v>
          </cell>
          <cell r="N8211" t="str">
            <v>C</v>
          </cell>
        </row>
        <row r="8212">
          <cell r="B8212" t="str">
            <v>SA-C1219 / SXKV-91|</v>
          </cell>
          <cell r="J8212" t="str">
            <v>C</v>
          </cell>
          <cell r="N8212" t="str">
            <v>C</v>
          </cell>
        </row>
        <row r="8213">
          <cell r="B8213" t="str">
            <v>SA-C1220 / SXKV-92|</v>
          </cell>
          <cell r="J8213" t="str">
            <v>C</v>
          </cell>
          <cell r="N8213" t="str">
            <v>C</v>
          </cell>
        </row>
        <row r="8214">
          <cell r="B8214" t="str">
            <v>SA-C1221 / SXKV-93|</v>
          </cell>
          <cell r="J8214" t="str">
            <v>C</v>
          </cell>
          <cell r="N8214" t="str">
            <v>C</v>
          </cell>
        </row>
        <row r="8215">
          <cell r="B8215" t="str">
            <v>SA-C1222 / SXKV-94|</v>
          </cell>
          <cell r="J8215" t="str">
            <v>C</v>
          </cell>
          <cell r="N8215" t="str">
            <v>C</v>
          </cell>
        </row>
        <row r="8216">
          <cell r="B8216" t="str">
            <v>SA-C1223 / SXKV-95|</v>
          </cell>
          <cell r="J8216" t="str">
            <v>C</v>
          </cell>
          <cell r="N8216" t="str">
            <v>C</v>
          </cell>
        </row>
        <row r="8217">
          <cell r="B8217" t="str">
            <v>SA-C1224 / SXKV-96|</v>
          </cell>
          <cell r="J8217" t="str">
            <v>C</v>
          </cell>
          <cell r="N8217" t="str">
            <v>C</v>
          </cell>
        </row>
        <row r="8218">
          <cell r="B8218" t="str">
            <v>SA-C1225 / GCBF-42|</v>
          </cell>
          <cell r="J8218" t="str">
            <v>C</v>
          </cell>
          <cell r="N8218" t="str">
            <v>C</v>
          </cell>
        </row>
        <row r="8219">
          <cell r="B8219" t="str">
            <v>SA-C1226 / LZRD-67|</v>
          </cell>
          <cell r="J8219" t="str">
            <v>C</v>
          </cell>
          <cell r="N8219" t="str">
            <v>C</v>
          </cell>
        </row>
        <row r="8220">
          <cell r="B8220" t="str">
            <v>SA-C1227 / LZRD-75|</v>
          </cell>
          <cell r="J8220" t="str">
            <v>C</v>
          </cell>
          <cell r="N8220" t="str">
            <v>C</v>
          </cell>
        </row>
        <row r="8221">
          <cell r="B8221" t="str">
            <v>SA-C1228 / LZRD-76|</v>
          </cell>
          <cell r="J8221" t="str">
            <v>C</v>
          </cell>
          <cell r="N8221" t="str">
            <v>C</v>
          </cell>
        </row>
        <row r="8222">
          <cell r="B8222" t="str">
            <v>SA-C1229 / LZRD-78|</v>
          </cell>
          <cell r="J8222" t="str">
            <v>C</v>
          </cell>
          <cell r="N8222" t="str">
            <v>C</v>
          </cell>
        </row>
        <row r="8223">
          <cell r="B8223" t="str">
            <v>SA-C1230 / LZRD-83|</v>
          </cell>
          <cell r="J8223" t="str">
            <v>C</v>
          </cell>
          <cell r="N8223" t="str">
            <v>C</v>
          </cell>
        </row>
        <row r="8224">
          <cell r="B8224" t="str">
            <v>SA-C1231 / LZRD-88|</v>
          </cell>
          <cell r="J8224" t="str">
            <v>C</v>
          </cell>
          <cell r="N8224" t="str">
            <v>C</v>
          </cell>
        </row>
        <row r="8225">
          <cell r="B8225" t="str">
            <v>SA-C1232 / LZRD-91|</v>
          </cell>
          <cell r="J8225" t="str">
            <v>C</v>
          </cell>
          <cell r="N8225" t="str">
            <v>C</v>
          </cell>
        </row>
        <row r="8226">
          <cell r="B8226" t="str">
            <v>SA-C1233 / LZRD-92|</v>
          </cell>
          <cell r="J8226" t="str">
            <v>C</v>
          </cell>
          <cell r="N8226" t="str">
            <v>C</v>
          </cell>
        </row>
        <row r="8227">
          <cell r="B8227" t="str">
            <v>SA-C1234 / RWTP-79|</v>
          </cell>
          <cell r="J8227" t="str">
            <v>C</v>
          </cell>
          <cell r="N8227" t="str">
            <v>C</v>
          </cell>
        </row>
        <row r="8228">
          <cell r="B8228" t="str">
            <v>SA-C1235 / RWTP-80|</v>
          </cell>
          <cell r="J8228" t="str">
            <v>C</v>
          </cell>
          <cell r="N8228" t="str">
            <v>C</v>
          </cell>
        </row>
        <row r="8229">
          <cell r="B8229" t="str">
            <v>SA-C1236 / RWTP-81|</v>
          </cell>
          <cell r="J8229" t="str">
            <v>C</v>
          </cell>
          <cell r="N8229" t="str">
            <v>C</v>
          </cell>
        </row>
        <row r="8230">
          <cell r="B8230" t="str">
            <v>SA-C1237 / RWTP-82|</v>
          </cell>
          <cell r="J8230" t="str">
            <v>C</v>
          </cell>
          <cell r="N8230" t="str">
            <v>C</v>
          </cell>
        </row>
        <row r="8231">
          <cell r="B8231" t="str">
            <v>SA-C1238 / RWTP-84|</v>
          </cell>
          <cell r="J8231" t="str">
            <v>C</v>
          </cell>
          <cell r="N8231" t="str">
            <v>C</v>
          </cell>
        </row>
        <row r="8232">
          <cell r="B8232" t="str">
            <v>SA-C1239 / RWTP-87|</v>
          </cell>
          <cell r="J8232" t="str">
            <v>C</v>
          </cell>
          <cell r="N8232" t="str">
            <v>C</v>
          </cell>
        </row>
        <row r="8233">
          <cell r="B8233" t="str">
            <v>SA-C1240 / RWTP-88|</v>
          </cell>
          <cell r="J8233" t="str">
            <v>C</v>
          </cell>
          <cell r="N8233" t="str">
            <v>C</v>
          </cell>
        </row>
        <row r="8234">
          <cell r="B8234" t="str">
            <v>SA-C1241 / RWTP-89|</v>
          </cell>
          <cell r="J8234" t="str">
            <v>C</v>
          </cell>
          <cell r="N8234" t="str">
            <v>C</v>
          </cell>
        </row>
        <row r="8235">
          <cell r="B8235" t="str">
            <v>SA-C1242 / RWTP-91|</v>
          </cell>
          <cell r="J8235" t="str">
            <v>C</v>
          </cell>
          <cell r="N8235" t="str">
            <v>C</v>
          </cell>
        </row>
        <row r="8236">
          <cell r="B8236" t="str">
            <v>SA-C1243 / RWTP-92|</v>
          </cell>
          <cell r="J8236" t="str">
            <v>C</v>
          </cell>
          <cell r="N8236" t="str">
            <v>C</v>
          </cell>
        </row>
        <row r="8237">
          <cell r="B8237" t="str">
            <v>SA-C1244 / RWTP-93|</v>
          </cell>
          <cell r="J8237" t="str">
            <v>C</v>
          </cell>
          <cell r="N8237" t="str">
            <v>C</v>
          </cell>
        </row>
        <row r="8238">
          <cell r="B8238" t="str">
            <v>SA-C1245 / RWTR-10|</v>
          </cell>
          <cell r="J8238" t="str">
            <v>C</v>
          </cell>
          <cell r="N8238" t="str">
            <v>C</v>
          </cell>
        </row>
        <row r="8239">
          <cell r="B8239" t="str">
            <v>SA-C1246 / RWTR-11|</v>
          </cell>
          <cell r="J8239" t="str">
            <v>C</v>
          </cell>
          <cell r="N8239" t="str">
            <v>C</v>
          </cell>
        </row>
        <row r="8240">
          <cell r="B8240" t="str">
            <v>SA-C1247 / SXKV-89|</v>
          </cell>
          <cell r="J8240" t="str">
            <v>C</v>
          </cell>
          <cell r="N8240" t="str">
            <v>C</v>
          </cell>
        </row>
        <row r="8241">
          <cell r="B8241" t="str">
            <v>SA-C1248 / SXKV-90|</v>
          </cell>
          <cell r="J8241" t="str">
            <v>C</v>
          </cell>
          <cell r="N8241" t="str">
            <v>C</v>
          </cell>
        </row>
        <row r="8242">
          <cell r="B8242" t="str">
            <v>CER-B1251 / VFPB-75|</v>
          </cell>
          <cell r="J8242" t="str">
            <v>B</v>
          </cell>
          <cell r="N8242" t="str">
            <v>B</v>
          </cell>
        </row>
        <row r="8243">
          <cell r="B8243" t="str">
            <v>PA-B1252 / VFPB-85|</v>
          </cell>
          <cell r="J8243" t="str">
            <v>B</v>
          </cell>
          <cell r="N8243" t="str">
            <v>B</v>
          </cell>
        </row>
        <row r="8244">
          <cell r="B8244" t="str">
            <v>SA-B1253 / VFPC-59|</v>
          </cell>
          <cell r="J8244" t="str">
            <v>B</v>
          </cell>
          <cell r="N8244" t="str">
            <v>B</v>
          </cell>
        </row>
        <row r="8245">
          <cell r="B8245" t="str">
            <v>SA-B1254 / VFPC-66|</v>
          </cell>
          <cell r="J8245" t="str">
            <v>B</v>
          </cell>
          <cell r="N8245" t="str">
            <v>B</v>
          </cell>
        </row>
        <row r="8246">
          <cell r="B8246" t="str">
            <v>PA-B1255 / VFPC-69|</v>
          </cell>
          <cell r="J8246" t="str">
            <v>B</v>
          </cell>
          <cell r="N8246" t="str">
            <v>B</v>
          </cell>
        </row>
        <row r="8247">
          <cell r="B8247" t="str">
            <v>CER-B1256 / VFPD-10|</v>
          </cell>
          <cell r="J8247" t="str">
            <v>B</v>
          </cell>
          <cell r="N8247" t="str">
            <v>B</v>
          </cell>
        </row>
        <row r="8248">
          <cell r="B8248" t="str">
            <v>PA-B1257 / VFPD-41|</v>
          </cell>
          <cell r="J8248" t="str">
            <v>B</v>
          </cell>
          <cell r="N8248" t="str">
            <v>B</v>
          </cell>
        </row>
        <row r="8249">
          <cell r="B8249" t="str">
            <v>CER-B1258 / VFPD-51|</v>
          </cell>
          <cell r="J8249" t="str">
            <v>B</v>
          </cell>
          <cell r="N8249" t="str">
            <v>B</v>
          </cell>
        </row>
        <row r="8250">
          <cell r="B8250" t="str">
            <v>CER-B1259 / VFPD-61|</v>
          </cell>
          <cell r="J8250" t="str">
            <v>B</v>
          </cell>
          <cell r="N8250" t="str">
            <v>B</v>
          </cell>
        </row>
        <row r="8251">
          <cell r="B8251" t="str">
            <v>CER-B1260 / VFPD-71|</v>
          </cell>
          <cell r="J8251" t="str">
            <v>B</v>
          </cell>
          <cell r="N8251" t="str">
            <v>B</v>
          </cell>
        </row>
        <row r="8252">
          <cell r="B8252" t="str">
            <v>CER-B1261 / VFPD-81|</v>
          </cell>
          <cell r="J8252" t="str">
            <v>B</v>
          </cell>
          <cell r="N8252" t="str">
            <v>B</v>
          </cell>
        </row>
        <row r="8253">
          <cell r="B8253" t="str">
            <v>PA-B1262 / VFPF-21|</v>
          </cell>
          <cell r="J8253" t="str">
            <v>B</v>
          </cell>
          <cell r="N8253" t="str">
            <v>B</v>
          </cell>
        </row>
        <row r="8254">
          <cell r="B8254" t="str">
            <v>CER-B1263 / VFPF-31|</v>
          </cell>
          <cell r="J8254" t="str">
            <v>B</v>
          </cell>
          <cell r="N8254" t="str">
            <v>B</v>
          </cell>
        </row>
        <row r="8255">
          <cell r="B8255" t="str">
            <v>CER-B1264 / VFPF-51|</v>
          </cell>
          <cell r="J8255" t="str">
            <v>B</v>
          </cell>
          <cell r="N8255" t="str">
            <v>B</v>
          </cell>
        </row>
        <row r="8256">
          <cell r="B8256" t="str">
            <v>PA-B1265 / VFPF-54|</v>
          </cell>
          <cell r="J8256" t="str">
            <v>B</v>
          </cell>
          <cell r="N8256" t="str">
            <v>B</v>
          </cell>
        </row>
        <row r="8257">
          <cell r="B8257" t="str">
            <v>SA-B1266 / VFPF-61|</v>
          </cell>
          <cell r="J8257" t="str">
            <v>B</v>
          </cell>
          <cell r="N8257" t="str">
            <v>B</v>
          </cell>
        </row>
        <row r="8258">
          <cell r="B8258" t="str">
            <v>CER-B1267 / VFPG-48|</v>
          </cell>
          <cell r="J8258" t="str">
            <v>B</v>
          </cell>
          <cell r="N8258" t="str">
            <v>B</v>
          </cell>
        </row>
        <row r="8259">
          <cell r="B8259" t="str">
            <v>CER-B1268 / VFPG-58|</v>
          </cell>
          <cell r="J8259" t="str">
            <v>B</v>
          </cell>
          <cell r="N8259" t="str">
            <v>B</v>
          </cell>
        </row>
        <row r="8260">
          <cell r="B8260" t="str">
            <v>PA-B1269 / VFPG-91|</v>
          </cell>
          <cell r="J8260" t="str">
            <v>B</v>
          </cell>
          <cell r="N8260" t="str">
            <v>B</v>
          </cell>
        </row>
        <row r="8261">
          <cell r="B8261" t="str">
            <v>PA-B1270 / VFPH-21|</v>
          </cell>
          <cell r="J8261" t="str">
            <v>B</v>
          </cell>
          <cell r="N8261" t="str">
            <v>B</v>
          </cell>
        </row>
        <row r="8262">
          <cell r="B8262" t="str">
            <v>CER-B1271 / VFPH-35|</v>
          </cell>
          <cell r="J8262" t="str">
            <v>B</v>
          </cell>
          <cell r="N8262" t="str">
            <v>B</v>
          </cell>
        </row>
        <row r="8263">
          <cell r="B8263" t="str">
            <v>PA-B1272 / VFPH-51|</v>
          </cell>
          <cell r="J8263" t="str">
            <v>B</v>
          </cell>
          <cell r="N8263" t="str">
            <v>B</v>
          </cell>
        </row>
        <row r="8264">
          <cell r="B8264" t="str">
            <v>CER-B1273 / VFPH-66|</v>
          </cell>
          <cell r="J8264" t="str">
            <v>B</v>
          </cell>
          <cell r="N8264" t="str">
            <v>B</v>
          </cell>
        </row>
        <row r="8265">
          <cell r="B8265" t="str">
            <v>PA-B1274 / VFPH-79|</v>
          </cell>
          <cell r="J8265" t="str">
            <v>B</v>
          </cell>
          <cell r="N8265" t="str">
            <v>B</v>
          </cell>
        </row>
        <row r="8266">
          <cell r="B8266" t="str">
            <v>PA-B1275 / VFPH-81|</v>
          </cell>
          <cell r="J8266" t="str">
            <v>B</v>
          </cell>
          <cell r="N8266" t="str">
            <v>B</v>
          </cell>
        </row>
        <row r="8267">
          <cell r="B8267" t="str">
            <v>PA-B1276 / VFPH-91|</v>
          </cell>
          <cell r="J8267" t="str">
            <v>B</v>
          </cell>
          <cell r="N8267" t="str">
            <v>B</v>
          </cell>
        </row>
        <row r="8268">
          <cell r="B8268" t="str">
            <v>SA-B1277 / VFPH-98|</v>
          </cell>
          <cell r="J8268" t="str">
            <v>B</v>
          </cell>
          <cell r="N8268" t="str">
            <v>B</v>
          </cell>
        </row>
        <row r="8269">
          <cell r="B8269" t="str">
            <v>CER-B1278 / VFPJ-11|</v>
          </cell>
          <cell r="J8269" t="str">
            <v>B</v>
          </cell>
          <cell r="N8269" t="str">
            <v>B</v>
          </cell>
        </row>
        <row r="8270">
          <cell r="B8270" t="str">
            <v>PA-B1279 / VFPJ-25|</v>
          </cell>
          <cell r="J8270" t="str">
            <v>B</v>
          </cell>
          <cell r="N8270" t="str">
            <v>B</v>
          </cell>
        </row>
        <row r="8271">
          <cell r="B8271" t="str">
            <v>PA-B1280 / VFPJ-28|</v>
          </cell>
          <cell r="J8271" t="str">
            <v>B</v>
          </cell>
          <cell r="N8271" t="str">
            <v>B</v>
          </cell>
        </row>
        <row r="8272">
          <cell r="B8272" t="str">
            <v>CER-B1281 / VFPJ-31|</v>
          </cell>
          <cell r="J8272" t="str">
            <v>B</v>
          </cell>
          <cell r="N8272" t="str">
            <v>B</v>
          </cell>
        </row>
        <row r="8273">
          <cell r="B8273" t="str">
            <v>PA-B1282 / VFPJ-51|</v>
          </cell>
          <cell r="J8273" t="str">
            <v>B</v>
          </cell>
          <cell r="N8273" t="str">
            <v>B</v>
          </cell>
        </row>
        <row r="8274">
          <cell r="B8274" t="str">
            <v>CER-B1283 / VFPJ-53|</v>
          </cell>
          <cell r="J8274" t="str">
            <v>B</v>
          </cell>
          <cell r="N8274" t="str">
            <v>B</v>
          </cell>
        </row>
        <row r="8275">
          <cell r="B8275" t="str">
            <v>PA-B1284 / VFPJ-61|</v>
          </cell>
          <cell r="J8275" t="str">
            <v>B</v>
          </cell>
          <cell r="N8275" t="str">
            <v>B</v>
          </cell>
        </row>
        <row r="8276">
          <cell r="B8276" t="str">
            <v>CER-B1285 / VFPJ-66|</v>
          </cell>
          <cell r="J8276" t="str">
            <v>B</v>
          </cell>
          <cell r="N8276" t="str">
            <v>B</v>
          </cell>
        </row>
        <row r="8277">
          <cell r="B8277" t="str">
            <v>PA-B1286 / VFPJ-68|</v>
          </cell>
          <cell r="J8277" t="str">
            <v>B</v>
          </cell>
          <cell r="N8277" t="str">
            <v>B</v>
          </cell>
        </row>
        <row r="8278">
          <cell r="B8278" t="str">
            <v>CER-B1287 / VFPJ-71|</v>
          </cell>
          <cell r="J8278" t="str">
            <v>B</v>
          </cell>
          <cell r="N8278" t="str">
            <v>B</v>
          </cell>
        </row>
        <row r="8279">
          <cell r="B8279" t="str">
            <v>PA-B1288 / VFPJ-77|</v>
          </cell>
          <cell r="J8279" t="str">
            <v>B</v>
          </cell>
          <cell r="N8279" t="str">
            <v>B</v>
          </cell>
        </row>
        <row r="8280">
          <cell r="B8280" t="str">
            <v>CER-B1289 / VFPK-64|</v>
          </cell>
          <cell r="J8280" t="str">
            <v>B</v>
          </cell>
          <cell r="N8280" t="str">
            <v>B</v>
          </cell>
        </row>
        <row r="8281">
          <cell r="B8281" t="str">
            <v>PA-B1290 / VFPK-81|</v>
          </cell>
          <cell r="J8281" t="str">
            <v>B</v>
          </cell>
          <cell r="N8281" t="str">
            <v>B</v>
          </cell>
        </row>
        <row r="8282">
          <cell r="B8282" t="str">
            <v>PA-B1291 / VFPK-91|</v>
          </cell>
          <cell r="J8282" t="str">
            <v>B</v>
          </cell>
          <cell r="N8282" t="str">
            <v>B</v>
          </cell>
        </row>
        <row r="8283">
          <cell r="B8283" t="str">
            <v>PA-B1292 / VFPL-11|</v>
          </cell>
          <cell r="J8283" t="str">
            <v>B</v>
          </cell>
          <cell r="N8283" t="str">
            <v>B</v>
          </cell>
        </row>
        <row r="8284">
          <cell r="B8284" t="str">
            <v>PA-B1293 / VFPL-15|</v>
          </cell>
          <cell r="J8284" t="str">
            <v>B</v>
          </cell>
          <cell r="N8284" t="str">
            <v>B</v>
          </cell>
        </row>
        <row r="8285">
          <cell r="B8285" t="str">
            <v>PA-B1294 / VFPL-21|</v>
          </cell>
          <cell r="J8285" t="str">
            <v>B</v>
          </cell>
          <cell r="N8285" t="str">
            <v>B</v>
          </cell>
        </row>
        <row r="8286">
          <cell r="B8286" t="str">
            <v>PA-B1295 / VFPL-31|</v>
          </cell>
          <cell r="J8286" t="str">
            <v>B</v>
          </cell>
          <cell r="N8286" t="str">
            <v>B</v>
          </cell>
        </row>
        <row r="8287">
          <cell r="B8287" t="str">
            <v>PA-B1296 / VFPL-35|</v>
          </cell>
          <cell r="J8287" t="str">
            <v>B</v>
          </cell>
          <cell r="N8287" t="str">
            <v>B</v>
          </cell>
        </row>
        <row r="8288">
          <cell r="B8288" t="str">
            <v>SA-B1297 / VFPL-41|</v>
          </cell>
          <cell r="J8288" t="str">
            <v>B</v>
          </cell>
          <cell r="N8288" t="str">
            <v>B</v>
          </cell>
        </row>
        <row r="8289">
          <cell r="B8289" t="str">
            <v>SA-B1298 / VFPL-46|</v>
          </cell>
          <cell r="J8289" t="str">
            <v>B</v>
          </cell>
          <cell r="N8289" t="str">
            <v>B</v>
          </cell>
        </row>
        <row r="8290">
          <cell r="B8290" t="str">
            <v>CER-B1299 / VFPL-57|</v>
          </cell>
          <cell r="J8290" t="str">
            <v>B</v>
          </cell>
          <cell r="N8290" t="str">
            <v>B</v>
          </cell>
        </row>
        <row r="8291">
          <cell r="B8291" t="str">
            <v>CER-B1300 / VFPL-61|</v>
          </cell>
          <cell r="J8291" t="str">
            <v>B</v>
          </cell>
          <cell r="N8291" t="str">
            <v>B</v>
          </cell>
        </row>
        <row r="8292">
          <cell r="B8292" t="str">
            <v>CER-B1301 / VFPL-63|</v>
          </cell>
          <cell r="J8292" t="str">
            <v>B</v>
          </cell>
          <cell r="N8292" t="str">
            <v>B</v>
          </cell>
        </row>
        <row r="8293">
          <cell r="B8293" t="str">
            <v>CER-B1302 / VFPL-71|</v>
          </cell>
          <cell r="J8293" t="str">
            <v>B</v>
          </cell>
          <cell r="N8293" t="str">
            <v>B</v>
          </cell>
        </row>
        <row r="8294">
          <cell r="B8294" t="str">
            <v>PA-B1303 / VFPL-73|</v>
          </cell>
          <cell r="J8294" t="str">
            <v>B</v>
          </cell>
          <cell r="N8294" t="str">
            <v>B</v>
          </cell>
        </row>
        <row r="8295">
          <cell r="B8295" t="str">
            <v>CER-B1304 / VFPL-74|</v>
          </cell>
          <cell r="J8295" t="str">
            <v>B</v>
          </cell>
          <cell r="N8295" t="str">
            <v>B</v>
          </cell>
        </row>
        <row r="8296">
          <cell r="B8296" t="str">
            <v>CER-B1305 / VFPL-81|</v>
          </cell>
          <cell r="J8296" t="str">
            <v>B</v>
          </cell>
          <cell r="N8296" t="str">
            <v>B</v>
          </cell>
        </row>
        <row r="8297">
          <cell r="B8297" t="str">
            <v>CER-B1306 / VFPL-87|</v>
          </cell>
          <cell r="J8297" t="str">
            <v>B</v>
          </cell>
          <cell r="N8297" t="str">
            <v>B</v>
          </cell>
        </row>
        <row r="8298">
          <cell r="B8298" t="str">
            <v>PA-B1307 / VFPL-88|</v>
          </cell>
          <cell r="J8298" t="str">
            <v>B</v>
          </cell>
          <cell r="N8298" t="str">
            <v>B</v>
          </cell>
        </row>
        <row r="8299">
          <cell r="B8299" t="str">
            <v>PA-B1308 / VFPL-92|</v>
          </cell>
          <cell r="J8299" t="str">
            <v>B</v>
          </cell>
          <cell r="N8299" t="str">
            <v>B</v>
          </cell>
        </row>
        <row r="8300">
          <cell r="B8300" t="str">
            <v>PA-B1309 / VFPP-11|</v>
          </cell>
          <cell r="J8300" t="str">
            <v>B</v>
          </cell>
          <cell r="N8300" t="str">
            <v>B</v>
          </cell>
        </row>
        <row r="8301">
          <cell r="B8301" t="str">
            <v>CER-B1310 / VFPS-39|</v>
          </cell>
          <cell r="J8301" t="str">
            <v>B</v>
          </cell>
          <cell r="N8301" t="str">
            <v>B</v>
          </cell>
        </row>
        <row r="8302">
          <cell r="B8302" t="str">
            <v>CER-B1311 / VFPS-47|</v>
          </cell>
          <cell r="J8302" t="str">
            <v>B</v>
          </cell>
          <cell r="N8302" t="str">
            <v>B</v>
          </cell>
        </row>
        <row r="8303">
          <cell r="B8303" t="str">
            <v>PA-B1312 / VFPS-48|</v>
          </cell>
          <cell r="J8303" t="str">
            <v>B</v>
          </cell>
          <cell r="N8303" t="str">
            <v>B</v>
          </cell>
        </row>
        <row r="8304">
          <cell r="B8304" t="str">
            <v>PA-B1313 / VFPS-56|</v>
          </cell>
          <cell r="J8304" t="str">
            <v>B</v>
          </cell>
          <cell r="N8304" t="str">
            <v>B</v>
          </cell>
        </row>
        <row r="8305">
          <cell r="B8305" t="str">
            <v>CER-B1314 / VFPS-65|</v>
          </cell>
          <cell r="J8305" t="str">
            <v>B</v>
          </cell>
          <cell r="N8305" t="str">
            <v>B</v>
          </cell>
        </row>
        <row r="8306">
          <cell r="B8306" t="str">
            <v>CER-B1315 / VFPS-69|</v>
          </cell>
          <cell r="J8306" t="str">
            <v>B</v>
          </cell>
          <cell r="N8306" t="str">
            <v>B</v>
          </cell>
        </row>
        <row r="8307">
          <cell r="B8307" t="str">
            <v>PA-B1316 / VFPS-74|</v>
          </cell>
          <cell r="J8307" t="str">
            <v>B</v>
          </cell>
          <cell r="N8307" t="str">
            <v>B</v>
          </cell>
        </row>
        <row r="8308">
          <cell r="B8308" t="str">
            <v>PA-B1317 / VFPS-78|</v>
          </cell>
          <cell r="J8308" t="str">
            <v>B</v>
          </cell>
          <cell r="N8308" t="str">
            <v>B</v>
          </cell>
        </row>
        <row r="8309">
          <cell r="B8309" t="str">
            <v>PA-B1318 / VFPS-85|</v>
          </cell>
          <cell r="J8309" t="str">
            <v>B</v>
          </cell>
          <cell r="N8309" t="str">
            <v>B</v>
          </cell>
        </row>
        <row r="8310">
          <cell r="B8310" t="str">
            <v>PA-B1319 / VFPS-86|</v>
          </cell>
          <cell r="J8310" t="str">
            <v>B</v>
          </cell>
          <cell r="N8310" t="str">
            <v>B</v>
          </cell>
        </row>
        <row r="8311">
          <cell r="B8311" t="str">
            <v>CER-B1320 / VFPS-87|</v>
          </cell>
          <cell r="J8311" t="str">
            <v>B</v>
          </cell>
          <cell r="N8311" t="str">
            <v>B</v>
          </cell>
        </row>
        <row r="8312">
          <cell r="B8312" t="str">
            <v>PA-B1321 / VFPS-89|</v>
          </cell>
          <cell r="J8312" t="str">
            <v>B</v>
          </cell>
          <cell r="N8312" t="str">
            <v>B</v>
          </cell>
        </row>
        <row r="8313">
          <cell r="B8313" t="str">
            <v>PA-B1322 / VFPS-94|</v>
          </cell>
          <cell r="J8313" t="str">
            <v>B</v>
          </cell>
          <cell r="N8313" t="str">
            <v>B</v>
          </cell>
        </row>
        <row r="8314">
          <cell r="B8314" t="str">
            <v>PA-B1323 / VFPS-99|</v>
          </cell>
          <cell r="J8314" t="str">
            <v>B</v>
          </cell>
          <cell r="N8314" t="str">
            <v>B</v>
          </cell>
        </row>
        <row r="8315">
          <cell r="B8315" t="str">
            <v>SA-B1324 / VFPT-23|</v>
          </cell>
          <cell r="J8315" t="str">
            <v>B</v>
          </cell>
          <cell r="N8315" t="str">
            <v>B</v>
          </cell>
        </row>
        <row r="8316">
          <cell r="B8316" t="str">
            <v>SA-B1325 / VFPT-27|</v>
          </cell>
          <cell r="J8316" t="str">
            <v>B</v>
          </cell>
          <cell r="N8316" t="str">
            <v>B</v>
          </cell>
        </row>
        <row r="8317">
          <cell r="B8317" t="str">
            <v>PA-B1326 / VFPT-47|</v>
          </cell>
          <cell r="J8317" t="str">
            <v>B</v>
          </cell>
          <cell r="N8317" t="str">
            <v>B</v>
          </cell>
        </row>
        <row r="8318">
          <cell r="B8318" t="str">
            <v>PA-B1327 / VFPT-63|</v>
          </cell>
          <cell r="J8318" t="str">
            <v>B</v>
          </cell>
          <cell r="N8318" t="str">
            <v>B</v>
          </cell>
        </row>
        <row r="8319">
          <cell r="B8319" t="str">
            <v>PA-B1328 / VFPT-64|</v>
          </cell>
          <cell r="J8319" t="str">
            <v>B</v>
          </cell>
          <cell r="N8319" t="str">
            <v>B</v>
          </cell>
        </row>
        <row r="8320">
          <cell r="B8320" t="str">
            <v>PA-B1329 / VFPT-65|</v>
          </cell>
          <cell r="J8320" t="str">
            <v>B</v>
          </cell>
          <cell r="N8320" t="str">
            <v>B</v>
          </cell>
        </row>
        <row r="8321">
          <cell r="B8321" t="str">
            <v>PA-B1330 / VFPV-53|</v>
          </cell>
          <cell r="J8321" t="str">
            <v>B</v>
          </cell>
          <cell r="N8321" t="str">
            <v>B</v>
          </cell>
        </row>
        <row r="8322">
          <cell r="B8322" t="str">
            <v>SA-B1331 / VFPV-63|</v>
          </cell>
          <cell r="J8322" t="str">
            <v>B</v>
          </cell>
          <cell r="N8322" t="str">
            <v>B</v>
          </cell>
        </row>
        <row r="8323">
          <cell r="B8323" t="str">
            <v>SA-B1332 / VFPV-73|</v>
          </cell>
          <cell r="J8323" t="str">
            <v>B</v>
          </cell>
          <cell r="N8323" t="str">
            <v>B</v>
          </cell>
        </row>
        <row r="8324">
          <cell r="B8324" t="str">
            <v>PA-B1333 / VFPV-83|</v>
          </cell>
          <cell r="J8324" t="str">
            <v>B</v>
          </cell>
          <cell r="N8324" t="str">
            <v>B</v>
          </cell>
        </row>
        <row r="8325">
          <cell r="B8325" t="str">
            <v>PA-B1334 / VFPV-93|</v>
          </cell>
          <cell r="J8325" t="str">
            <v>B</v>
          </cell>
          <cell r="N8325" t="str">
            <v>B</v>
          </cell>
        </row>
        <row r="8326">
          <cell r="B8326" t="str">
            <v>SA-B1335 / VFPW-13|</v>
          </cell>
          <cell r="J8326" t="str">
            <v>B</v>
          </cell>
          <cell r="N8326" t="str">
            <v>B</v>
          </cell>
        </row>
        <row r="8327">
          <cell r="B8327" t="str">
            <v>SA-B1336 / VFPW-23|</v>
          </cell>
          <cell r="J8327" t="str">
            <v>B</v>
          </cell>
          <cell r="N8327" t="str">
            <v>B</v>
          </cell>
        </row>
        <row r="8328">
          <cell r="B8328" t="str">
            <v>SA-B1337 / VFPW-33|</v>
          </cell>
          <cell r="J8328" t="str">
            <v>B</v>
          </cell>
          <cell r="N8328" t="str">
            <v>B</v>
          </cell>
        </row>
        <row r="8329">
          <cell r="B8329" t="str">
            <v>PA-B1338 / VFPW-63|</v>
          </cell>
          <cell r="J8329" t="str">
            <v>B</v>
          </cell>
          <cell r="N8329" t="str">
            <v>B</v>
          </cell>
        </row>
        <row r="8330">
          <cell r="B8330" t="str">
            <v>SA-B1339 / VFPW-73|</v>
          </cell>
          <cell r="J8330" t="str">
            <v>B</v>
          </cell>
          <cell r="N8330" t="str">
            <v>B</v>
          </cell>
        </row>
        <row r="8331">
          <cell r="B8331" t="str">
            <v>SA-B1340 / VFPX-13|</v>
          </cell>
          <cell r="J8331" t="str">
            <v>B</v>
          </cell>
          <cell r="N8331" t="str">
            <v>B</v>
          </cell>
        </row>
        <row r="8332">
          <cell r="B8332" t="str">
            <v>SA-B1341 / VFPX-33|</v>
          </cell>
          <cell r="J8332" t="str">
            <v>B</v>
          </cell>
          <cell r="N8332" t="str">
            <v>B</v>
          </cell>
        </row>
        <row r="8333">
          <cell r="B8333" t="str">
            <v>PA-B1342 / VFPX-53|</v>
          </cell>
          <cell r="J8333" t="str">
            <v>B</v>
          </cell>
          <cell r="N8333" t="str">
            <v>B</v>
          </cell>
        </row>
        <row r="8334">
          <cell r="B8334" t="str">
            <v>PA-B1343 / VFPX-63|</v>
          </cell>
          <cell r="J8334" t="str">
            <v>B</v>
          </cell>
          <cell r="N8334" t="str">
            <v>B</v>
          </cell>
        </row>
        <row r="8335">
          <cell r="B8335" t="str">
            <v>PA-B1344 / VFPX-83|</v>
          </cell>
          <cell r="J8335" t="str">
            <v>B</v>
          </cell>
          <cell r="N8335" t="str">
            <v>B</v>
          </cell>
        </row>
        <row r="8336">
          <cell r="B8336" t="str">
            <v>PA-B1345 / VFPX-93|</v>
          </cell>
          <cell r="J8336" t="str">
            <v>B</v>
          </cell>
          <cell r="N8336" t="str">
            <v>B</v>
          </cell>
        </row>
        <row r="8337">
          <cell r="B8337" t="str">
            <v>SA-B1346 / VFPY-13|</v>
          </cell>
          <cell r="J8337" t="str">
            <v>B</v>
          </cell>
          <cell r="N8337" t="str">
            <v>B</v>
          </cell>
        </row>
        <row r="8338">
          <cell r="B8338" t="str">
            <v>PA-B1347 / VFPY-23|</v>
          </cell>
          <cell r="J8338" t="str">
            <v>B</v>
          </cell>
          <cell r="N8338" t="str">
            <v>B</v>
          </cell>
        </row>
        <row r="8339">
          <cell r="B8339" t="str">
            <v>PA-B1348 / VFPY-33|</v>
          </cell>
          <cell r="J8339" t="str">
            <v>B</v>
          </cell>
          <cell r="N8339" t="str">
            <v>B</v>
          </cell>
        </row>
        <row r="8340">
          <cell r="B8340" t="str">
            <v>SA-B1349 / VFPY-43|</v>
          </cell>
          <cell r="J8340" t="str">
            <v>B</v>
          </cell>
          <cell r="N8340" t="str">
            <v>B</v>
          </cell>
        </row>
        <row r="8341">
          <cell r="B8341" t="str">
            <v>SA-B1350 / VFPZ-27|</v>
          </cell>
          <cell r="J8341" t="str">
            <v>B</v>
          </cell>
          <cell r="N8341" t="str">
            <v>B</v>
          </cell>
        </row>
        <row r="8342">
          <cell r="B8342" t="str">
            <v>SA-B1351 / VFPZ-38|</v>
          </cell>
          <cell r="J8342" t="str">
            <v>B</v>
          </cell>
          <cell r="N8342" t="str">
            <v>B</v>
          </cell>
        </row>
        <row r="8343">
          <cell r="B8343" t="str">
            <v>SA-B1352 / VFPZ-39|</v>
          </cell>
          <cell r="J8343" t="str">
            <v>B</v>
          </cell>
          <cell r="N8343" t="str">
            <v>B</v>
          </cell>
        </row>
        <row r="8344">
          <cell r="B8344" t="str">
            <v>SA-B1353 / VFPZ-55|</v>
          </cell>
          <cell r="J8344" t="str">
            <v>B</v>
          </cell>
          <cell r="N8344" t="str">
            <v>B</v>
          </cell>
        </row>
        <row r="8345">
          <cell r="B8345" t="str">
            <v>PA-B1354 / VFPZ-56|</v>
          </cell>
          <cell r="J8345" t="str">
            <v>B</v>
          </cell>
          <cell r="N8345" t="str">
            <v>B</v>
          </cell>
        </row>
        <row r="8346">
          <cell r="B8346" t="str">
            <v>PA-B1355 / VFPZ-74|</v>
          </cell>
          <cell r="J8346" t="str">
            <v>B</v>
          </cell>
          <cell r="N8346" t="str">
            <v>B</v>
          </cell>
        </row>
        <row r="8347">
          <cell r="B8347" t="str">
            <v>PA-B1356 / VFPZ-78|</v>
          </cell>
          <cell r="J8347" t="str">
            <v>B</v>
          </cell>
          <cell r="N8347" t="str">
            <v>B</v>
          </cell>
        </row>
        <row r="8348">
          <cell r="B8348" t="str">
            <v>SA-B1357 / VFPZ-88|</v>
          </cell>
          <cell r="J8348" t="str">
            <v>B</v>
          </cell>
          <cell r="N8348" t="str">
            <v>B</v>
          </cell>
        </row>
        <row r="8349">
          <cell r="B8349" t="str">
            <v>SA-B1358 / VFPZ-89|</v>
          </cell>
          <cell r="J8349" t="str">
            <v>B</v>
          </cell>
          <cell r="N8349" t="str">
            <v>B</v>
          </cell>
        </row>
        <row r="8350">
          <cell r="B8350" t="str">
            <v>SA-B1359 / VFPZ-92|</v>
          </cell>
          <cell r="J8350" t="str">
            <v>B</v>
          </cell>
          <cell r="N8350" t="str">
            <v>B</v>
          </cell>
        </row>
        <row r="8351">
          <cell r="B8351" t="str">
            <v>SA-B1360 / VFPZ-97|</v>
          </cell>
          <cell r="J8351" t="str">
            <v>B</v>
          </cell>
          <cell r="N8351" t="str">
            <v>B</v>
          </cell>
        </row>
        <row r="8352">
          <cell r="B8352" t="str">
            <v>SA-B1361 / VFPZ-98|</v>
          </cell>
          <cell r="J8352" t="str">
            <v>B</v>
          </cell>
          <cell r="N8352" t="str">
            <v>B</v>
          </cell>
        </row>
        <row r="8353">
          <cell r="B8353" t="str">
            <v>PA-B1362 / VFRB-13|</v>
          </cell>
          <cell r="J8353" t="str">
            <v>B</v>
          </cell>
          <cell r="N8353" t="str">
            <v>B</v>
          </cell>
        </row>
        <row r="8354">
          <cell r="B8354" t="str">
            <v>SA-B1363 / VFRB-15|</v>
          </cell>
          <cell r="J8354" t="str">
            <v>B</v>
          </cell>
          <cell r="N8354" t="str">
            <v>B</v>
          </cell>
        </row>
        <row r="8355">
          <cell r="B8355" t="str">
            <v>SA-B1364 / VFRB-54|</v>
          </cell>
          <cell r="J8355" t="str">
            <v>B</v>
          </cell>
          <cell r="N8355" t="str">
            <v>B</v>
          </cell>
        </row>
        <row r="8356">
          <cell r="B8356" t="str">
            <v>PA-B1365 / VFRB-56|</v>
          </cell>
          <cell r="J8356" t="str">
            <v>B</v>
          </cell>
          <cell r="N8356" t="str">
            <v>B</v>
          </cell>
        </row>
        <row r="8357">
          <cell r="B8357" t="str">
            <v>SA-B1366 / VFRB-63|</v>
          </cell>
          <cell r="J8357" t="str">
            <v>B</v>
          </cell>
          <cell r="N8357" t="str">
            <v>B</v>
          </cell>
        </row>
        <row r="8358">
          <cell r="B8358" t="str">
            <v>SA-B1367 / VFRB-67|</v>
          </cell>
          <cell r="J8358" t="str">
            <v>B</v>
          </cell>
          <cell r="N8358" t="str">
            <v>B</v>
          </cell>
        </row>
        <row r="8359">
          <cell r="B8359" t="str">
            <v>PA-B1368 / VFRB-68|</v>
          </cell>
          <cell r="J8359" t="str">
            <v>B</v>
          </cell>
          <cell r="N8359" t="str">
            <v>B</v>
          </cell>
        </row>
        <row r="8360">
          <cell r="B8360" t="str">
            <v>SA-B1369 / VFRB-81|</v>
          </cell>
          <cell r="J8360" t="str">
            <v>B</v>
          </cell>
          <cell r="N8360" t="str">
            <v>B</v>
          </cell>
        </row>
        <row r="8361">
          <cell r="B8361" t="str">
            <v>SA-B1370 / VFRC-75|</v>
          </cell>
          <cell r="J8361" t="str">
            <v>B</v>
          </cell>
          <cell r="N8361" t="str">
            <v>B</v>
          </cell>
        </row>
        <row r="8362">
          <cell r="B8362" t="str">
            <v>PA-B1371 / VFRD-35|</v>
          </cell>
          <cell r="J8362" t="str">
            <v>B</v>
          </cell>
          <cell r="N8362" t="str">
            <v>B</v>
          </cell>
        </row>
        <row r="8363">
          <cell r="B8363" t="str">
            <v>SA-B1372 / VFRD-45|</v>
          </cell>
          <cell r="J8363" t="str">
            <v>B</v>
          </cell>
          <cell r="N8363" t="str">
            <v>B</v>
          </cell>
        </row>
        <row r="8364">
          <cell r="B8364" t="str">
            <v>PA-B1373 / VFRD-55|</v>
          </cell>
          <cell r="J8364" t="str">
            <v>B</v>
          </cell>
          <cell r="N8364" t="str">
            <v>B</v>
          </cell>
        </row>
        <row r="8365">
          <cell r="B8365" t="str">
            <v>PA-B1374 / VFRD-65|</v>
          </cell>
          <cell r="J8365" t="str">
            <v>B</v>
          </cell>
          <cell r="N8365" t="str">
            <v>B</v>
          </cell>
        </row>
        <row r="8366">
          <cell r="B8366" t="str">
            <v>SA-B1375 / VFRD-75|</v>
          </cell>
          <cell r="J8366" t="str">
            <v>B</v>
          </cell>
          <cell r="N8366" t="str">
            <v>B</v>
          </cell>
        </row>
        <row r="8367">
          <cell r="B8367" t="str">
            <v>PA-B1376 / VFRD-85|</v>
          </cell>
          <cell r="J8367" t="str">
            <v>B</v>
          </cell>
          <cell r="N8367" t="str">
            <v>B</v>
          </cell>
        </row>
        <row r="8368">
          <cell r="B8368" t="str">
            <v>PA-B1377 / VFRD-95|</v>
          </cell>
          <cell r="J8368" t="str">
            <v>B</v>
          </cell>
          <cell r="N8368" t="str">
            <v>B</v>
          </cell>
        </row>
        <row r="8369">
          <cell r="B8369" t="str">
            <v>CER-B1378 / VFRF-15|</v>
          </cell>
          <cell r="J8369" t="str">
            <v>B</v>
          </cell>
          <cell r="N8369" t="str">
            <v>B</v>
          </cell>
        </row>
        <row r="8370">
          <cell r="B8370" t="str">
            <v>PA-B1379 / VFRF-35|</v>
          </cell>
          <cell r="J8370" t="str">
            <v>B</v>
          </cell>
          <cell r="N8370" t="str">
            <v>B</v>
          </cell>
        </row>
        <row r="8371">
          <cell r="B8371" t="str">
            <v>CER-B1380 / VFRF-55|</v>
          </cell>
          <cell r="J8371" t="str">
            <v>B</v>
          </cell>
          <cell r="N8371" t="str">
            <v>B</v>
          </cell>
        </row>
        <row r="8372">
          <cell r="B8372" t="str">
            <v>PA-B1381 / VFRF-65|</v>
          </cell>
          <cell r="J8372" t="str">
            <v>B</v>
          </cell>
          <cell r="N8372" t="str">
            <v>B</v>
          </cell>
        </row>
        <row r="8373">
          <cell r="B8373" t="str">
            <v>PA-B1382 / VFRF-75|</v>
          </cell>
          <cell r="J8373" t="str">
            <v>B</v>
          </cell>
          <cell r="N8373" t="str">
            <v>B</v>
          </cell>
        </row>
        <row r="8374">
          <cell r="B8374" t="str">
            <v>PA-B1383 / VFRF-85|</v>
          </cell>
          <cell r="J8374" t="str">
            <v>B</v>
          </cell>
          <cell r="N8374" t="str">
            <v>B</v>
          </cell>
        </row>
        <row r="8375">
          <cell r="B8375" t="str">
            <v>PA-B1384 / VFRF-95|</v>
          </cell>
          <cell r="J8375" t="str">
            <v>B</v>
          </cell>
          <cell r="N8375" t="str">
            <v>B</v>
          </cell>
        </row>
        <row r="8376">
          <cell r="B8376" t="str">
            <v>CER-B1385 / VFRG-15|</v>
          </cell>
          <cell r="J8376" t="str">
            <v>B</v>
          </cell>
          <cell r="N8376" t="str">
            <v>B</v>
          </cell>
        </row>
        <row r="8377">
          <cell r="B8377" t="str">
            <v>PA-B1386 / VFRG-25|</v>
          </cell>
          <cell r="J8377" t="str">
            <v>B</v>
          </cell>
          <cell r="N8377" t="str">
            <v>B</v>
          </cell>
        </row>
        <row r="8378">
          <cell r="B8378" t="str">
            <v>PA-B1387 / VFRG-35|</v>
          </cell>
          <cell r="J8378" t="str">
            <v>B</v>
          </cell>
          <cell r="N8378" t="str">
            <v>B</v>
          </cell>
        </row>
        <row r="8379">
          <cell r="B8379" t="str">
            <v>PA-B1388 / VFRG-45|</v>
          </cell>
          <cell r="J8379" t="str">
            <v>B</v>
          </cell>
          <cell r="N8379" t="str">
            <v>B</v>
          </cell>
        </row>
        <row r="8380">
          <cell r="B8380" t="str">
            <v>SA-B1389 / VGBS-15|</v>
          </cell>
          <cell r="J8380" t="str">
            <v>B</v>
          </cell>
          <cell r="N8380" t="str">
            <v>B</v>
          </cell>
        </row>
        <row r="8381">
          <cell r="B8381" t="str">
            <v>SA-B1390 / VGBV-29|</v>
          </cell>
          <cell r="J8381" t="str">
            <v>B</v>
          </cell>
          <cell r="N8381" t="str">
            <v>B</v>
          </cell>
        </row>
        <row r="8382">
          <cell r="B8382" t="str">
            <v>SA-B1391 / VGBV-35|</v>
          </cell>
          <cell r="J8382" t="str">
            <v>B</v>
          </cell>
          <cell r="N8382" t="str">
            <v>B</v>
          </cell>
        </row>
        <row r="8383">
          <cell r="B8383" t="str">
            <v>PA-B1392 / VGBV-36|</v>
          </cell>
          <cell r="J8383" t="str">
            <v>B</v>
          </cell>
          <cell r="N8383" t="str">
            <v>B</v>
          </cell>
        </row>
        <row r="8384">
          <cell r="B8384" t="str">
            <v>CER-B1393 / VGBV-41|</v>
          </cell>
          <cell r="J8384" t="str">
            <v>B</v>
          </cell>
          <cell r="N8384" t="str">
            <v>B</v>
          </cell>
        </row>
        <row r="8385">
          <cell r="B8385" t="str">
            <v>SA-B1394 / VGBV-51|</v>
          </cell>
          <cell r="J8385" t="str">
            <v>B</v>
          </cell>
          <cell r="N8385" t="str">
            <v>B</v>
          </cell>
        </row>
        <row r="8386">
          <cell r="B8386" t="str">
            <v>PA-B1395 / VGBV-55|</v>
          </cell>
          <cell r="J8386" t="str">
            <v>B</v>
          </cell>
          <cell r="N8386" t="str">
            <v>B</v>
          </cell>
        </row>
        <row r="8387">
          <cell r="B8387" t="str">
            <v>SA-B1396 / VGBV-69|</v>
          </cell>
          <cell r="J8387" t="str">
            <v>B</v>
          </cell>
          <cell r="N8387" t="str">
            <v>B</v>
          </cell>
        </row>
        <row r="8388">
          <cell r="B8388" t="str">
            <v>SA-B1397 / VGBV-79|</v>
          </cell>
          <cell r="J8388" t="str">
            <v>B</v>
          </cell>
          <cell r="N8388" t="str">
            <v>B</v>
          </cell>
        </row>
        <row r="8389">
          <cell r="B8389" t="str">
            <v>PA-B1398 / VGBV-99|</v>
          </cell>
          <cell r="J8389" t="str">
            <v>B</v>
          </cell>
          <cell r="N8389" t="str">
            <v>B</v>
          </cell>
        </row>
        <row r="8390">
          <cell r="B8390" t="str">
            <v>PA-B1399 / VGBW-19|</v>
          </cell>
          <cell r="J8390" t="str">
            <v>B</v>
          </cell>
          <cell r="N8390" t="str">
            <v>B</v>
          </cell>
        </row>
        <row r="8391">
          <cell r="B8391" t="str">
            <v>PA-B1400 / VGBW-29|</v>
          </cell>
          <cell r="J8391" t="str">
            <v>B</v>
          </cell>
          <cell r="N8391" t="str">
            <v>B</v>
          </cell>
        </row>
        <row r="8392">
          <cell r="B8392" t="str">
            <v>SA-B1401 / VGBW-39|</v>
          </cell>
          <cell r="J8392" t="str">
            <v>B</v>
          </cell>
          <cell r="N8392" t="str">
            <v>B</v>
          </cell>
        </row>
        <row r="8393">
          <cell r="B8393" t="str">
            <v>PA-B1402 / VGBW-48|</v>
          </cell>
          <cell r="J8393" t="str">
            <v>B</v>
          </cell>
          <cell r="N8393" t="str">
            <v>B</v>
          </cell>
        </row>
        <row r="8394">
          <cell r="B8394" t="str">
            <v>PA-B1403 / VGBW-58|</v>
          </cell>
          <cell r="J8394" t="str">
            <v>B</v>
          </cell>
          <cell r="N8394" t="str">
            <v>B</v>
          </cell>
        </row>
        <row r="8395">
          <cell r="B8395" t="str">
            <v>CER-B1404 / VGBW-68|</v>
          </cell>
          <cell r="J8395" t="str">
            <v>B</v>
          </cell>
          <cell r="N8395" t="str">
            <v>B</v>
          </cell>
        </row>
        <row r="8396">
          <cell r="B8396" t="str">
            <v>SA-B1405 / VGBW-98|</v>
          </cell>
          <cell r="J8396" t="str">
            <v>B</v>
          </cell>
          <cell r="N8396" t="str">
            <v>B</v>
          </cell>
        </row>
        <row r="8397">
          <cell r="B8397" t="str">
            <v>SA-B1406 / VGBW-99|</v>
          </cell>
          <cell r="J8397" t="str">
            <v>B</v>
          </cell>
          <cell r="N8397" t="str">
            <v>B</v>
          </cell>
        </row>
        <row r="8398">
          <cell r="B8398" t="str">
            <v>PA-B1407 / VGBX-29|</v>
          </cell>
          <cell r="J8398" t="str">
            <v>B</v>
          </cell>
          <cell r="N8398" t="str">
            <v>B</v>
          </cell>
        </row>
        <row r="8399">
          <cell r="B8399" t="str">
            <v>PA-B1408 / VGBX-48|</v>
          </cell>
          <cell r="J8399" t="str">
            <v>B</v>
          </cell>
          <cell r="N8399" t="str">
            <v>B</v>
          </cell>
        </row>
        <row r="8400">
          <cell r="B8400" t="str">
            <v>PA-B1409 / VGBX-49|</v>
          </cell>
          <cell r="J8400" t="str">
            <v>B</v>
          </cell>
          <cell r="N8400" t="str">
            <v>B</v>
          </cell>
        </row>
        <row r="8401">
          <cell r="B8401" t="str">
            <v>PA-B1410 / VGBX-58|</v>
          </cell>
          <cell r="J8401" t="str">
            <v>B</v>
          </cell>
          <cell r="N8401" t="str">
            <v>B</v>
          </cell>
        </row>
        <row r="8402">
          <cell r="B8402" t="str">
            <v>LL-B1411 / VGBX-59|</v>
          </cell>
          <cell r="J8402" t="str">
            <v>B</v>
          </cell>
          <cell r="N8402" t="str">
            <v>B</v>
          </cell>
        </row>
        <row r="8403">
          <cell r="B8403" t="str">
            <v>LL-B1412 / VGBX-78|</v>
          </cell>
          <cell r="J8403" t="str">
            <v>B</v>
          </cell>
          <cell r="N8403" t="str">
            <v>B</v>
          </cell>
        </row>
        <row r="8404">
          <cell r="B8404" t="str">
            <v>LL-B1413 / VGCB-39|</v>
          </cell>
          <cell r="J8404" t="str">
            <v>B</v>
          </cell>
          <cell r="N8404" t="str">
            <v>B</v>
          </cell>
        </row>
        <row r="8405">
          <cell r="B8405" t="str">
            <v>CER-B1414 / VGCB-59|</v>
          </cell>
          <cell r="J8405" t="str">
            <v>B</v>
          </cell>
          <cell r="N8405" t="str">
            <v>B</v>
          </cell>
        </row>
        <row r="8406">
          <cell r="B8406" t="str">
            <v>PA-B1415 / VGKX-42|</v>
          </cell>
          <cell r="J8406" t="str">
            <v>B</v>
          </cell>
          <cell r="N8406" t="str">
            <v>B</v>
          </cell>
        </row>
        <row r="8407">
          <cell r="B8407" t="str">
            <v>SA-B1416 / VGKX-52|</v>
          </cell>
          <cell r="J8407" t="str">
            <v>B</v>
          </cell>
          <cell r="N8407" t="str">
            <v>B</v>
          </cell>
        </row>
        <row r="8408">
          <cell r="B8408" t="str">
            <v>CER-B1417 / VGKX-62|</v>
          </cell>
          <cell r="J8408" t="str">
            <v>B</v>
          </cell>
          <cell r="N8408" t="str">
            <v>B</v>
          </cell>
        </row>
        <row r="8409">
          <cell r="B8409" t="str">
            <v>PA-B1418 / VGKX-82|</v>
          </cell>
          <cell r="J8409" t="str">
            <v>B</v>
          </cell>
          <cell r="N8409" t="str">
            <v>B</v>
          </cell>
        </row>
        <row r="8410">
          <cell r="B8410" t="str">
            <v>CER-B1419 / VGKY-12|</v>
          </cell>
          <cell r="J8410" t="str">
            <v>B</v>
          </cell>
          <cell r="N8410" t="str">
            <v>B</v>
          </cell>
        </row>
        <row r="8411">
          <cell r="B8411" t="str">
            <v>PA-B1420 / VGKY-22|</v>
          </cell>
          <cell r="J8411" t="str">
            <v>B</v>
          </cell>
          <cell r="N8411" t="str">
            <v>B</v>
          </cell>
        </row>
        <row r="8412">
          <cell r="B8412" t="str">
            <v>PA-B1421 / VGKY-42|</v>
          </cell>
          <cell r="J8412" t="str">
            <v>B</v>
          </cell>
          <cell r="N8412" t="str">
            <v>B</v>
          </cell>
        </row>
        <row r="8413">
          <cell r="B8413" t="str">
            <v>PA-B1422 / VGKY-72|</v>
          </cell>
          <cell r="J8413" t="str">
            <v>B</v>
          </cell>
          <cell r="N8413" t="str">
            <v>B</v>
          </cell>
        </row>
        <row r="8414">
          <cell r="B8414" t="str">
            <v>PA-B1423 / VGKY-82|</v>
          </cell>
          <cell r="J8414" t="str">
            <v>B</v>
          </cell>
          <cell r="N8414" t="str">
            <v>B</v>
          </cell>
        </row>
        <row r="8415">
          <cell r="B8415" t="str">
            <v>PA-B1424 / VGKZ-62|</v>
          </cell>
          <cell r="J8415" t="str">
            <v>B</v>
          </cell>
          <cell r="N8415" t="str">
            <v>B</v>
          </cell>
        </row>
        <row r="8416">
          <cell r="B8416" t="str">
            <v>PA-B1425 / VGKZ-82|</v>
          </cell>
          <cell r="J8416" t="str">
            <v>B</v>
          </cell>
          <cell r="N8416" t="str">
            <v>B</v>
          </cell>
        </row>
        <row r="8417">
          <cell r="B8417" t="str">
            <v>PA-B1426 / VGKZ-92|</v>
          </cell>
          <cell r="J8417" t="str">
            <v>B</v>
          </cell>
          <cell r="N8417" t="str">
            <v>B</v>
          </cell>
        </row>
        <row r="8418">
          <cell r="B8418" t="str">
            <v>RC-B1427 / FLXZ-95|</v>
          </cell>
          <cell r="J8418" t="str">
            <v>B</v>
          </cell>
          <cell r="N8418" t="str">
            <v>B</v>
          </cell>
        </row>
        <row r="8419">
          <cell r="B8419" t="str">
            <v>SR-BP1428 / GCBC-24|</v>
          </cell>
          <cell r="J8419" t="str">
            <v>BPAL</v>
          </cell>
          <cell r="N8419" t="str">
            <v>BPAL</v>
          </cell>
        </row>
        <row r="8420">
          <cell r="B8420" t="str">
            <v>RC-BP1429 / GCBC-25|</v>
          </cell>
          <cell r="J8420" t="str">
            <v>BPAL</v>
          </cell>
          <cell r="N8420" t="str">
            <v>BPAL</v>
          </cell>
        </row>
        <row r="8421">
          <cell r="B8421" t="str">
            <v>RC-BP7739 / GCBC-26|</v>
          </cell>
          <cell r="J8421" t="str">
            <v>BPAL</v>
          </cell>
          <cell r="N8421" t="str">
            <v>BPAL</v>
          </cell>
        </row>
        <row r="8422">
          <cell r="B8422" t="str">
            <v>RC-BP1431 / GCBC-27|</v>
          </cell>
          <cell r="J8422" t="str">
            <v>BPAL</v>
          </cell>
          <cell r="N8422" t="str">
            <v>BPAL</v>
          </cell>
        </row>
        <row r="8423">
          <cell r="B8423" t="str">
            <v>SR-BP1432 / GCBC-28|</v>
          </cell>
          <cell r="J8423" t="str">
            <v>BPAL</v>
          </cell>
          <cell r="N8423" t="str">
            <v>BPAL</v>
          </cell>
        </row>
        <row r="8424">
          <cell r="B8424" t="str">
            <v>SR-BP1433 / GCBC-29|</v>
          </cell>
          <cell r="J8424" t="str">
            <v>BPAL</v>
          </cell>
          <cell r="N8424" t="str">
            <v>BPAL</v>
          </cell>
        </row>
        <row r="8425">
          <cell r="B8425" t="str">
            <v>SR-BP1434 / GCBC-30|</v>
          </cell>
          <cell r="J8425" t="str">
            <v>BPAL</v>
          </cell>
          <cell r="N8425" t="str">
            <v>BPAL</v>
          </cell>
        </row>
        <row r="8426">
          <cell r="B8426" t="str">
            <v>SR-BP1435 / GCBC-31|</v>
          </cell>
          <cell r="J8426" t="str">
            <v>BPAL</v>
          </cell>
          <cell r="N8426" t="str">
            <v>BPAL</v>
          </cell>
        </row>
        <row r="8427">
          <cell r="B8427" t="str">
            <v>LL-BP1436 / GCBc-33|</v>
          </cell>
          <cell r="J8427" t="str">
            <v>B2PAL</v>
          </cell>
          <cell r="N8427" t="str">
            <v>B2PAL</v>
          </cell>
        </row>
        <row r="8428">
          <cell r="B8428" t="str">
            <v>RC-BP1437 / GCBC-33|</v>
          </cell>
          <cell r="J8428" t="str">
            <v>B2PAL</v>
          </cell>
          <cell r="N8428" t="str">
            <v>B2PAL</v>
          </cell>
        </row>
        <row r="8429">
          <cell r="B8429" t="str">
            <v>RC-BP7747 / GCBC-34|</v>
          </cell>
          <cell r="J8429" t="str">
            <v>BPAL</v>
          </cell>
          <cell r="N8429" t="str">
            <v>BPAL</v>
          </cell>
        </row>
        <row r="8430">
          <cell r="B8430" t="str">
            <v>RC-BP1439 / GCBC-35|</v>
          </cell>
          <cell r="J8430" t="str">
            <v>BPAL</v>
          </cell>
          <cell r="N8430" t="str">
            <v>BPAL</v>
          </cell>
        </row>
        <row r="8431">
          <cell r="B8431" t="str">
            <v>RC-C1440 / GCBF-43|</v>
          </cell>
          <cell r="J8431" t="str">
            <v>C</v>
          </cell>
          <cell r="N8431" t="str">
            <v>C</v>
          </cell>
        </row>
        <row r="8432">
          <cell r="B8432" t="str">
            <v>RC-C1441 / GCBF-44|</v>
          </cell>
          <cell r="J8432" t="str">
            <v>C</v>
          </cell>
          <cell r="N8432" t="str">
            <v>C</v>
          </cell>
        </row>
        <row r="8433">
          <cell r="B8433" t="str">
            <v>LB-C1442 / GCBF-45|</v>
          </cell>
          <cell r="J8433" t="str">
            <v>C</v>
          </cell>
          <cell r="N8433" t="str">
            <v>C</v>
          </cell>
        </row>
        <row r="8434">
          <cell r="B8434" t="str">
            <v>RC-C1443 / GCBF-46|</v>
          </cell>
          <cell r="J8434" t="str">
            <v>C</v>
          </cell>
          <cell r="N8434" t="str">
            <v>C</v>
          </cell>
        </row>
        <row r="8435">
          <cell r="B8435" t="str">
            <v>RC-C1444 / GCBF-47|</v>
          </cell>
          <cell r="J8435" t="str">
            <v>C</v>
          </cell>
          <cell r="N8435" t="str">
            <v>C</v>
          </cell>
        </row>
        <row r="8436">
          <cell r="B8436" t="str">
            <v>RC-C1445 / GCBF-48|</v>
          </cell>
          <cell r="J8436" t="str">
            <v>C</v>
          </cell>
          <cell r="N8436" t="str">
            <v>C</v>
          </cell>
        </row>
        <row r="8437">
          <cell r="B8437" t="str">
            <v>RC-C1446 / GCBF-49|</v>
          </cell>
          <cell r="J8437" t="str">
            <v>C</v>
          </cell>
          <cell r="N8437" t="str">
            <v>C</v>
          </cell>
        </row>
        <row r="8438">
          <cell r="B8438" t="str">
            <v>RC-C1447 / GCBF-50|</v>
          </cell>
          <cell r="J8438" t="str">
            <v>C</v>
          </cell>
          <cell r="N8438" t="str">
            <v>C</v>
          </cell>
        </row>
        <row r="8439">
          <cell r="B8439" t="str">
            <v>RC-C1448 / GCBF-51|</v>
          </cell>
          <cell r="J8439" t="str">
            <v>C</v>
          </cell>
          <cell r="N8439" t="str">
            <v>C</v>
          </cell>
        </row>
        <row r="8440">
          <cell r="B8440" t="str">
            <v>RC-C1449 / GCBF-52|</v>
          </cell>
          <cell r="J8440" t="str">
            <v>C</v>
          </cell>
          <cell r="N8440" t="str">
            <v>C</v>
          </cell>
        </row>
        <row r="8441">
          <cell r="B8441" t="str">
            <v>RC-C1450 / GCBF-53|</v>
          </cell>
          <cell r="J8441" t="str">
            <v>C</v>
          </cell>
          <cell r="N8441" t="str">
            <v>C</v>
          </cell>
        </row>
        <row r="8442">
          <cell r="B8442" t="str">
            <v>RC-C1451 / LXWT-82|</v>
          </cell>
          <cell r="J8442" t="str">
            <v>C</v>
          </cell>
          <cell r="N8442" t="str">
            <v>C</v>
          </cell>
        </row>
        <row r="8443">
          <cell r="B8443" t="str">
            <v>RC-C1452 / LXWT-83|</v>
          </cell>
          <cell r="J8443" t="str">
            <v>C</v>
          </cell>
          <cell r="N8443" t="str">
            <v>C</v>
          </cell>
        </row>
        <row r="8444">
          <cell r="B8444" t="str">
            <v>LB-C1453 / LXWT-84|</v>
          </cell>
          <cell r="J8444" t="str">
            <v>C</v>
          </cell>
          <cell r="N8444" t="str">
            <v>C</v>
          </cell>
        </row>
        <row r="8445">
          <cell r="B8445" t="str">
            <v>RC-C1454 / LXWT-85|</v>
          </cell>
          <cell r="J8445" t="str">
            <v>C</v>
          </cell>
          <cell r="N8445" t="str">
            <v>C</v>
          </cell>
        </row>
        <row r="8446">
          <cell r="B8446" t="str">
            <v>RC-C1455 / LXWT-86|</v>
          </cell>
          <cell r="J8446" t="str">
            <v>C</v>
          </cell>
          <cell r="N8446" t="str">
            <v>C</v>
          </cell>
        </row>
        <row r="8447">
          <cell r="B8447" t="str">
            <v>RC-C1456 / LXWT-87|</v>
          </cell>
          <cell r="J8447" t="str">
            <v>C</v>
          </cell>
          <cell r="N8447" t="str">
            <v>C</v>
          </cell>
        </row>
        <row r="8448">
          <cell r="B8448" t="str">
            <v>RC-C1457 / LXWT-88|</v>
          </cell>
          <cell r="J8448" t="str">
            <v>C</v>
          </cell>
          <cell r="N8448" t="str">
            <v>C</v>
          </cell>
        </row>
        <row r="8449">
          <cell r="B8449" t="str">
            <v>LB-C1458 / LXWT-89|</v>
          </cell>
          <cell r="J8449" t="str">
            <v>C</v>
          </cell>
          <cell r="N8449" t="str">
            <v>C</v>
          </cell>
        </row>
        <row r="8450">
          <cell r="B8450" t="str">
            <v>LB-C1459 / LXWT-90|</v>
          </cell>
          <cell r="J8450" t="str">
            <v>C</v>
          </cell>
          <cell r="N8450" t="str">
            <v>C</v>
          </cell>
        </row>
        <row r="8451">
          <cell r="B8451" t="str">
            <v>RC-C1460 / LXWT-91|</v>
          </cell>
          <cell r="J8451" t="str">
            <v>C</v>
          </cell>
          <cell r="N8451" t="str">
            <v>C</v>
          </cell>
        </row>
        <row r="8452">
          <cell r="B8452" t="str">
            <v>LB-C1461 / LXWT-92|</v>
          </cell>
          <cell r="J8452" t="str">
            <v>C</v>
          </cell>
          <cell r="N8452" t="str">
            <v>C</v>
          </cell>
        </row>
        <row r="8453">
          <cell r="B8453" t="str">
            <v>LB-C1462 / LXWT-93|</v>
          </cell>
          <cell r="J8453" t="str">
            <v>C</v>
          </cell>
          <cell r="N8453" t="str">
            <v>C</v>
          </cell>
        </row>
        <row r="8454">
          <cell r="B8454" t="str">
            <v>LB-C1463 / LXWT-94|</v>
          </cell>
          <cell r="J8454" t="str">
            <v>C</v>
          </cell>
          <cell r="N8454" t="str">
            <v>C</v>
          </cell>
        </row>
        <row r="8455">
          <cell r="B8455" t="str">
            <v>LB-C1464 / LXWT-95|</v>
          </cell>
          <cell r="J8455" t="str">
            <v>C</v>
          </cell>
          <cell r="N8455" t="str">
            <v>C</v>
          </cell>
        </row>
        <row r="8456">
          <cell r="B8456" t="str">
            <v>LB-C1465 / LXWT-96|</v>
          </cell>
          <cell r="J8456" t="str">
            <v>C</v>
          </cell>
          <cell r="N8456" t="str">
            <v>C</v>
          </cell>
        </row>
        <row r="8457">
          <cell r="B8457" t="str">
            <v>LB-C1466 / LXWT-97|</v>
          </cell>
          <cell r="J8457" t="str">
            <v>C</v>
          </cell>
          <cell r="N8457" t="str">
            <v>C</v>
          </cell>
        </row>
        <row r="8458">
          <cell r="B8458" t="str">
            <v>LB-C1467 / LXWT-98|</v>
          </cell>
          <cell r="J8458" t="str">
            <v>C</v>
          </cell>
          <cell r="N8458" t="str">
            <v>C</v>
          </cell>
        </row>
        <row r="8459">
          <cell r="B8459" t="str">
            <v>LB-C1468 / LXWT-99|</v>
          </cell>
          <cell r="J8459" t="str">
            <v>C</v>
          </cell>
          <cell r="N8459" t="str">
            <v>C</v>
          </cell>
        </row>
        <row r="8460">
          <cell r="B8460" t="str">
            <v>LB-C1469 / LZPG-10|</v>
          </cell>
          <cell r="J8460" t="str">
            <v>C</v>
          </cell>
          <cell r="N8460" t="str">
            <v>C</v>
          </cell>
        </row>
        <row r="8461">
          <cell r="B8461" t="str">
            <v>LB-C1470 / LZPG-11|</v>
          </cell>
          <cell r="J8461" t="str">
            <v>C</v>
          </cell>
          <cell r="N8461" t="str">
            <v>C</v>
          </cell>
        </row>
        <row r="8462">
          <cell r="B8462" t="str">
            <v>LB-C1471 / LZPG-12|</v>
          </cell>
          <cell r="J8462" t="str">
            <v>C</v>
          </cell>
          <cell r="N8462" t="str">
            <v>C</v>
          </cell>
        </row>
        <row r="8463">
          <cell r="B8463" t="str">
            <v>LB-C1472 / LZPG-13|</v>
          </cell>
          <cell r="J8463" t="str">
            <v>C</v>
          </cell>
          <cell r="N8463" t="str">
            <v>C</v>
          </cell>
        </row>
        <row r="8464">
          <cell r="B8464" t="str">
            <v>LB-C1473 / LZPG-14|</v>
          </cell>
          <cell r="J8464" t="str">
            <v>C</v>
          </cell>
          <cell r="N8464" t="str">
            <v>C</v>
          </cell>
        </row>
        <row r="8465">
          <cell r="B8465" t="str">
            <v>RC-C1474 / LZPG-15|</v>
          </cell>
          <cell r="J8465" t="str">
            <v>C</v>
          </cell>
          <cell r="N8465" t="str">
            <v>C</v>
          </cell>
        </row>
        <row r="8466">
          <cell r="B8466" t="str">
            <v>RC-C1475 / LZPG-16|</v>
          </cell>
          <cell r="J8466" t="str">
            <v>C</v>
          </cell>
          <cell r="N8466" t="str">
            <v>C</v>
          </cell>
        </row>
        <row r="8467">
          <cell r="B8467" t="str">
            <v>LB-C1476 / LZPG-17|</v>
          </cell>
          <cell r="J8467" t="str">
            <v>C</v>
          </cell>
          <cell r="N8467" t="str">
            <v>C</v>
          </cell>
        </row>
        <row r="8468">
          <cell r="B8468" t="str">
            <v>LB-C1477 / LZPG-18|</v>
          </cell>
          <cell r="J8468" t="str">
            <v>C</v>
          </cell>
          <cell r="N8468" t="str">
            <v>C</v>
          </cell>
        </row>
        <row r="8469">
          <cell r="B8469" t="str">
            <v>LB-C1478 / LZPG-19|</v>
          </cell>
          <cell r="J8469" t="str">
            <v>C</v>
          </cell>
          <cell r="N8469" t="str">
            <v>C</v>
          </cell>
        </row>
        <row r="8470">
          <cell r="B8470" t="str">
            <v>LB-C1479 / LZPG-20|</v>
          </cell>
          <cell r="J8470" t="str">
            <v>C</v>
          </cell>
          <cell r="N8470" t="str">
            <v>C</v>
          </cell>
        </row>
        <row r="8471">
          <cell r="B8471" t="str">
            <v>LB-C1480 / LZPG-21|</v>
          </cell>
          <cell r="J8471" t="str">
            <v>C</v>
          </cell>
          <cell r="N8471" t="str">
            <v>C</v>
          </cell>
        </row>
        <row r="8472">
          <cell r="B8472" t="str">
            <v>LB-C1481 / LZPG-22|</v>
          </cell>
          <cell r="J8472" t="str">
            <v>C</v>
          </cell>
          <cell r="N8472" t="str">
            <v>C</v>
          </cell>
        </row>
        <row r="8473">
          <cell r="B8473" t="str">
            <v>RC-C1482 / LZPG-23|</v>
          </cell>
          <cell r="J8473" t="str">
            <v>C</v>
          </cell>
          <cell r="N8473" t="str">
            <v>C</v>
          </cell>
        </row>
        <row r="8474">
          <cell r="B8474" t="str">
            <v>LB-C1483 / LZPG-24|</v>
          </cell>
          <cell r="J8474" t="str">
            <v>C</v>
          </cell>
          <cell r="N8474" t="str">
            <v>C</v>
          </cell>
        </row>
        <row r="8475">
          <cell r="B8475" t="str">
            <v>LB-C1484 / LZPG-25|</v>
          </cell>
          <cell r="J8475" t="str">
            <v>C</v>
          </cell>
          <cell r="N8475" t="str">
            <v>C</v>
          </cell>
        </row>
        <row r="8476">
          <cell r="B8476" t="str">
            <v>LB-C1485 / LZPG-26|</v>
          </cell>
          <cell r="J8476" t="str">
            <v>C</v>
          </cell>
          <cell r="N8476" t="str">
            <v>C</v>
          </cell>
        </row>
        <row r="8477">
          <cell r="B8477" t="str">
            <v>LB-C1486 / LZPG-27|</v>
          </cell>
          <cell r="J8477" t="str">
            <v>C</v>
          </cell>
          <cell r="N8477" t="str">
            <v>C</v>
          </cell>
        </row>
        <row r="8478">
          <cell r="B8478" t="str">
            <v>RC-C1487 / LZPR-78|</v>
          </cell>
          <cell r="J8478" t="str">
            <v>C</v>
          </cell>
          <cell r="N8478" t="str">
            <v>C</v>
          </cell>
        </row>
        <row r="8479">
          <cell r="B8479" t="str">
            <v>RC-C1488 / LZPR-79|</v>
          </cell>
          <cell r="J8479" t="str">
            <v>C</v>
          </cell>
          <cell r="N8479" t="str">
            <v>C</v>
          </cell>
        </row>
        <row r="8480">
          <cell r="B8480" t="str">
            <v>RC-C1489 / LZPR-80|</v>
          </cell>
          <cell r="J8480" t="str">
            <v>C</v>
          </cell>
          <cell r="N8480" t="str">
            <v>C</v>
          </cell>
        </row>
        <row r="8481">
          <cell r="B8481" t="str">
            <v>RC-C1490 / LZPR-81|</v>
          </cell>
          <cell r="J8481" t="str">
            <v>C</v>
          </cell>
          <cell r="N8481" t="str">
            <v>C</v>
          </cell>
        </row>
        <row r="8482">
          <cell r="B8482" t="str">
            <v>RC-C1491 / LZPR-82|</v>
          </cell>
          <cell r="J8482" t="str">
            <v>C</v>
          </cell>
          <cell r="N8482" t="str">
            <v>C</v>
          </cell>
        </row>
        <row r="8483">
          <cell r="B8483" t="str">
            <v>RC-C1492 / LZPR-83|</v>
          </cell>
          <cell r="J8483" t="str">
            <v>C</v>
          </cell>
          <cell r="N8483" t="str">
            <v>C</v>
          </cell>
        </row>
        <row r="8484">
          <cell r="B8484" t="str">
            <v>RC-C1493 / LZPR-84|</v>
          </cell>
          <cell r="J8484" t="str">
            <v>C</v>
          </cell>
          <cell r="N8484" t="str">
            <v>C</v>
          </cell>
        </row>
        <row r="8485">
          <cell r="B8485" t="str">
            <v>RC-C1494 / LZPR-85|</v>
          </cell>
          <cell r="J8485" t="str">
            <v>C</v>
          </cell>
          <cell r="N8485" t="str">
            <v>C</v>
          </cell>
        </row>
        <row r="8486">
          <cell r="B8486" t="str">
            <v>RC-C1495 / LZPR-86|</v>
          </cell>
          <cell r="J8486" t="str">
            <v>C</v>
          </cell>
          <cell r="N8486" t="str">
            <v>C</v>
          </cell>
        </row>
        <row r="8487">
          <cell r="B8487" t="str">
            <v>RC-C1496 / LZPR-87|</v>
          </cell>
          <cell r="J8487" t="str">
            <v>C</v>
          </cell>
          <cell r="N8487" t="str">
            <v>C</v>
          </cell>
        </row>
        <row r="8488">
          <cell r="B8488" t="str">
            <v>RC-C1497 / LZPR-88|</v>
          </cell>
          <cell r="J8488" t="str">
            <v>C</v>
          </cell>
          <cell r="N8488" t="str">
            <v>C</v>
          </cell>
        </row>
        <row r="8489">
          <cell r="B8489" t="str">
            <v>RC-C1498 / LZPR-89|</v>
          </cell>
          <cell r="J8489" t="str">
            <v>C</v>
          </cell>
          <cell r="N8489" t="str">
            <v>C</v>
          </cell>
        </row>
        <row r="8490">
          <cell r="B8490" t="str">
            <v>RC-C1499 / LZPR-90|</v>
          </cell>
          <cell r="J8490" t="str">
            <v>C</v>
          </cell>
          <cell r="N8490" t="str">
            <v>C</v>
          </cell>
        </row>
        <row r="8491">
          <cell r="B8491" t="str">
            <v>RC-C1500 / LZPR-92|</v>
          </cell>
          <cell r="J8491" t="str">
            <v>C</v>
          </cell>
          <cell r="N8491" t="str">
            <v>C</v>
          </cell>
        </row>
        <row r="8492">
          <cell r="B8492" t="str">
            <v>RC-C1501 / LZPR-93|</v>
          </cell>
          <cell r="J8492" t="str">
            <v>C</v>
          </cell>
          <cell r="N8492" t="str">
            <v>C</v>
          </cell>
        </row>
        <row r="8493">
          <cell r="B8493" t="str">
            <v>RC-C1502 / LZPR-94|</v>
          </cell>
          <cell r="J8493" t="str">
            <v>C</v>
          </cell>
          <cell r="N8493" t="str">
            <v>C</v>
          </cell>
        </row>
        <row r="8494">
          <cell r="B8494" t="str">
            <v>RC-C1503 / LZPR-95|</v>
          </cell>
          <cell r="J8494" t="str">
            <v>C</v>
          </cell>
          <cell r="N8494" t="str">
            <v>C</v>
          </cell>
        </row>
        <row r="8495">
          <cell r="B8495" t="str">
            <v>RC-C1504 / LZPR-96|</v>
          </cell>
          <cell r="J8495" t="str">
            <v>C</v>
          </cell>
          <cell r="N8495" t="str">
            <v>C</v>
          </cell>
        </row>
        <row r="8496">
          <cell r="B8496" t="str">
            <v>RC-C1505 / LZPR-97|</v>
          </cell>
          <cell r="J8496" t="str">
            <v>C</v>
          </cell>
          <cell r="N8496" t="str">
            <v>C</v>
          </cell>
        </row>
        <row r="8497">
          <cell r="B8497" t="str">
            <v>RC-C1506 / LZPR-98|</v>
          </cell>
          <cell r="J8497" t="str">
            <v>C</v>
          </cell>
          <cell r="N8497" t="str">
            <v>C</v>
          </cell>
        </row>
        <row r="8498">
          <cell r="B8498" t="str">
            <v>RC-C1507 / LZPR-99|</v>
          </cell>
          <cell r="J8498" t="str">
            <v>C</v>
          </cell>
          <cell r="N8498" t="str">
            <v>C</v>
          </cell>
        </row>
        <row r="8499">
          <cell r="B8499" t="str">
            <v>RC-C1508 / LZPS-10|</v>
          </cell>
          <cell r="J8499" t="str">
            <v>C</v>
          </cell>
          <cell r="N8499" t="str">
            <v>C</v>
          </cell>
        </row>
        <row r="8500">
          <cell r="B8500" t="str">
            <v>RC-C1509 / LZPS-11|</v>
          </cell>
          <cell r="J8500" t="str">
            <v>C</v>
          </cell>
          <cell r="N8500" t="str">
            <v>C</v>
          </cell>
        </row>
        <row r="8501">
          <cell r="B8501" t="str">
            <v>RC-C1510 / LZPS-12|</v>
          </cell>
          <cell r="J8501" t="str">
            <v>C</v>
          </cell>
          <cell r="N8501" t="str">
            <v>C</v>
          </cell>
        </row>
        <row r="8502">
          <cell r="B8502" t="str">
            <v>RC-C1511 / LZPS-13|</v>
          </cell>
          <cell r="J8502" t="str">
            <v>C</v>
          </cell>
          <cell r="N8502" t="str">
            <v>C</v>
          </cell>
        </row>
        <row r="8503">
          <cell r="B8503" t="str">
            <v>RC-C1512 / LZPS-14|</v>
          </cell>
          <cell r="J8503" t="str">
            <v>C</v>
          </cell>
          <cell r="N8503" t="str">
            <v>C</v>
          </cell>
        </row>
        <row r="8504">
          <cell r="B8504" t="str">
            <v>RC-C1513 / LZPS-15|</v>
          </cell>
          <cell r="J8504" t="str">
            <v>C</v>
          </cell>
          <cell r="N8504" t="str">
            <v>C</v>
          </cell>
        </row>
        <row r="8505">
          <cell r="B8505" t="str">
            <v>RC-C1514 / LZPS-16|</v>
          </cell>
          <cell r="J8505" t="str">
            <v>C</v>
          </cell>
          <cell r="N8505" t="str">
            <v>C</v>
          </cell>
        </row>
        <row r="8506">
          <cell r="B8506" t="str">
            <v>RC-C1515 / LZPS-17|</v>
          </cell>
          <cell r="J8506" t="str">
            <v>C</v>
          </cell>
          <cell r="N8506" t="str">
            <v>C</v>
          </cell>
        </row>
        <row r="8507">
          <cell r="B8507" t="str">
            <v>SR-C1516 / LZPS-18|</v>
          </cell>
          <cell r="J8507" t="str">
            <v>C</v>
          </cell>
          <cell r="N8507" t="str">
            <v>C</v>
          </cell>
        </row>
        <row r="8508">
          <cell r="B8508" t="str">
            <v>RC-C1517 / LZPS-19|</v>
          </cell>
          <cell r="J8508" t="str">
            <v>C</v>
          </cell>
          <cell r="N8508" t="str">
            <v>C</v>
          </cell>
        </row>
        <row r="8509">
          <cell r="B8509" t="str">
            <v>SR-C1518 / LZPS-20|</v>
          </cell>
          <cell r="J8509" t="str">
            <v>C</v>
          </cell>
          <cell r="N8509" t="str">
            <v>C</v>
          </cell>
        </row>
        <row r="8510">
          <cell r="B8510" t="str">
            <v>RC-C1519 / LZPS-21|</v>
          </cell>
          <cell r="J8510" t="str">
            <v>C</v>
          </cell>
          <cell r="N8510" t="str">
            <v>C</v>
          </cell>
        </row>
        <row r="8511">
          <cell r="B8511" t="str">
            <v>SR-C1520 / LZPS-22|</v>
          </cell>
          <cell r="J8511" t="str">
            <v>C</v>
          </cell>
          <cell r="N8511" t="str">
            <v>C</v>
          </cell>
        </row>
        <row r="8512">
          <cell r="B8512" t="str">
            <v>RC-C1521 / LZPS-23|</v>
          </cell>
          <cell r="J8512" t="str">
            <v>C</v>
          </cell>
          <cell r="N8512" t="str">
            <v>C</v>
          </cell>
        </row>
        <row r="8513">
          <cell r="B8513" t="str">
            <v>SR-C1522 / LZPS-24|</v>
          </cell>
          <cell r="J8513" t="str">
            <v>C</v>
          </cell>
          <cell r="N8513" t="str">
            <v>C</v>
          </cell>
        </row>
        <row r="8514">
          <cell r="B8514" t="str">
            <v>RC-C1523 / LZPS-25|</v>
          </cell>
          <cell r="J8514" t="str">
            <v>C</v>
          </cell>
          <cell r="N8514" t="str">
            <v>C</v>
          </cell>
        </row>
        <row r="8515">
          <cell r="B8515" t="str">
            <v>SR-C1524 / LZPT-38|</v>
          </cell>
          <cell r="J8515" t="str">
            <v>C</v>
          </cell>
          <cell r="N8515" t="str">
            <v>C</v>
          </cell>
        </row>
        <row r="8516">
          <cell r="B8516" t="str">
            <v>SR-C1525 / LZPT-39|</v>
          </cell>
          <cell r="J8516" t="str">
            <v>C</v>
          </cell>
          <cell r="N8516" t="str">
            <v>C</v>
          </cell>
        </row>
        <row r="8517">
          <cell r="B8517" t="str">
            <v>SR-C1526 / LZPT-40|</v>
          </cell>
          <cell r="J8517" t="str">
            <v>C</v>
          </cell>
          <cell r="N8517" t="str">
            <v>C</v>
          </cell>
        </row>
        <row r="8518">
          <cell r="B8518" t="str">
            <v>SR-C1527 / LZPT-41|</v>
          </cell>
          <cell r="J8518" t="str">
            <v>C</v>
          </cell>
          <cell r="N8518" t="str">
            <v>C</v>
          </cell>
        </row>
        <row r="8519">
          <cell r="B8519" t="str">
            <v>SR-C1528 / LZPT-42|</v>
          </cell>
          <cell r="J8519" t="str">
            <v>C</v>
          </cell>
          <cell r="N8519" t="str">
            <v>C</v>
          </cell>
        </row>
        <row r="8520">
          <cell r="B8520" t="str">
            <v>RC-C1529 / LZPT-43|</v>
          </cell>
          <cell r="J8520" t="str">
            <v>C</v>
          </cell>
          <cell r="N8520" t="str">
            <v>C</v>
          </cell>
        </row>
        <row r="8521">
          <cell r="B8521" t="str">
            <v>RC-C1530 / LZPT-44|</v>
          </cell>
          <cell r="J8521" t="str">
            <v>C</v>
          </cell>
          <cell r="N8521" t="str">
            <v>C</v>
          </cell>
        </row>
        <row r="8522">
          <cell r="B8522" t="str">
            <v>SR-C1531 / LZPT-45|</v>
          </cell>
          <cell r="J8522" t="str">
            <v>C</v>
          </cell>
          <cell r="N8522" t="str">
            <v>C</v>
          </cell>
        </row>
        <row r="8523">
          <cell r="B8523" t="str">
            <v>RC-C1532 / LZPT-46|</v>
          </cell>
          <cell r="J8523" t="str">
            <v>C</v>
          </cell>
          <cell r="N8523" t="str">
            <v>C</v>
          </cell>
        </row>
        <row r="8524">
          <cell r="B8524" t="str">
            <v>RC-C1533 / LZPT-47|</v>
          </cell>
          <cell r="J8524" t="str">
            <v>C</v>
          </cell>
          <cell r="N8524" t="str">
            <v>C</v>
          </cell>
        </row>
        <row r="8525">
          <cell r="B8525" t="str">
            <v>RC-C1534 / LZPT-48|</v>
          </cell>
          <cell r="J8525" t="str">
            <v>C</v>
          </cell>
          <cell r="N8525" t="str">
            <v>C</v>
          </cell>
        </row>
        <row r="8526">
          <cell r="B8526" t="str">
            <v>SR-C1535 / LZPT-49|</v>
          </cell>
          <cell r="J8526" t="str">
            <v>C</v>
          </cell>
          <cell r="N8526" t="str">
            <v>C</v>
          </cell>
        </row>
        <row r="8527">
          <cell r="B8527" t="str">
            <v>RC-C1536 / LZPT-50|</v>
          </cell>
          <cell r="J8527" t="str">
            <v>C</v>
          </cell>
          <cell r="N8527" t="str">
            <v>C</v>
          </cell>
        </row>
        <row r="8528">
          <cell r="B8528" t="str">
            <v>SR-C1537 / LZPT-51|</v>
          </cell>
          <cell r="J8528" t="str">
            <v>C</v>
          </cell>
          <cell r="N8528" t="str">
            <v>C</v>
          </cell>
        </row>
        <row r="8529">
          <cell r="B8529" t="str">
            <v>RC-C1538 / LZPT-52|</v>
          </cell>
          <cell r="J8529" t="str">
            <v>C</v>
          </cell>
          <cell r="N8529" t="str">
            <v>C</v>
          </cell>
        </row>
        <row r="8530">
          <cell r="B8530" t="str">
            <v>SR-C1539 / LZPT-53|</v>
          </cell>
          <cell r="J8530" t="str">
            <v>C</v>
          </cell>
          <cell r="N8530" t="str">
            <v>C</v>
          </cell>
        </row>
        <row r="8531">
          <cell r="B8531" t="str">
            <v>SR-C1540 / LZPT-54|</v>
          </cell>
          <cell r="J8531" t="str">
            <v>C</v>
          </cell>
          <cell r="N8531" t="str">
            <v>C</v>
          </cell>
        </row>
        <row r="8532">
          <cell r="B8532" t="str">
            <v>SR-C1541 / LZPT-55|</v>
          </cell>
          <cell r="J8532" t="str">
            <v>C</v>
          </cell>
          <cell r="N8532" t="str">
            <v>C</v>
          </cell>
        </row>
        <row r="8533">
          <cell r="B8533" t="str">
            <v>SR-C1542 / LZPT-56|</v>
          </cell>
          <cell r="J8533" t="str">
            <v>C</v>
          </cell>
          <cell r="N8533" t="str">
            <v>C</v>
          </cell>
        </row>
        <row r="8534">
          <cell r="B8534" t="str">
            <v>SR-C1543 / LZPT-57|</v>
          </cell>
          <cell r="J8534" t="str">
            <v>C</v>
          </cell>
          <cell r="N8534" t="str">
            <v>C</v>
          </cell>
        </row>
        <row r="8535">
          <cell r="B8535" t="str">
            <v>SR-C1544 / LZPT-58|</v>
          </cell>
          <cell r="J8535" t="str">
            <v>C</v>
          </cell>
          <cell r="N8535" t="str">
            <v>C</v>
          </cell>
        </row>
        <row r="8536">
          <cell r="B8536" t="str">
            <v>SR-C1545 / LZPT-59|</v>
          </cell>
          <cell r="J8536" t="str">
            <v>C</v>
          </cell>
          <cell r="N8536" t="str">
            <v>C</v>
          </cell>
        </row>
        <row r="8537">
          <cell r="B8537" t="str">
            <v>SR-C1546 / LZPT-60|</v>
          </cell>
          <cell r="J8537" t="str">
            <v>C</v>
          </cell>
          <cell r="N8537" t="str">
            <v>C</v>
          </cell>
        </row>
        <row r="8538">
          <cell r="B8538" t="str">
            <v>SR-C1547 / LZPT-61|</v>
          </cell>
          <cell r="J8538" t="str">
            <v>C</v>
          </cell>
          <cell r="N8538" t="str">
            <v>C</v>
          </cell>
        </row>
        <row r="8539">
          <cell r="B8539" t="str">
            <v>SR-C1548 / LZPT-62|</v>
          </cell>
          <cell r="J8539" t="str">
            <v>C</v>
          </cell>
          <cell r="N8539" t="str">
            <v>C</v>
          </cell>
        </row>
        <row r="8540">
          <cell r="B8540" t="str">
            <v>SR-C1549 / LZPT-63|</v>
          </cell>
          <cell r="J8540" t="str">
            <v>C</v>
          </cell>
          <cell r="N8540" t="str">
            <v>C</v>
          </cell>
        </row>
        <row r="8541">
          <cell r="B8541" t="str">
            <v>SR-C1550 / LZPT-64|</v>
          </cell>
          <cell r="J8541" t="str">
            <v>C</v>
          </cell>
          <cell r="N8541" t="str">
            <v>C</v>
          </cell>
        </row>
        <row r="8542">
          <cell r="B8542" t="str">
            <v>SR-C1551 / LZPT-65|</v>
          </cell>
          <cell r="J8542" t="str">
            <v>C</v>
          </cell>
          <cell r="N8542" t="str">
            <v>C</v>
          </cell>
        </row>
        <row r="8543">
          <cell r="B8543" t="str">
            <v>SR-C1552 / LZPT-66|</v>
          </cell>
          <cell r="J8543" t="str">
            <v>C</v>
          </cell>
          <cell r="N8543" t="str">
            <v>C</v>
          </cell>
        </row>
        <row r="8544">
          <cell r="B8544" t="str">
            <v>SR-C1553 / LZPT-67|</v>
          </cell>
          <cell r="J8544" t="str">
            <v>C</v>
          </cell>
          <cell r="N8544" t="str">
            <v>C</v>
          </cell>
        </row>
        <row r="8545">
          <cell r="B8545" t="str">
            <v>SR-C1554 / LZPT-69|</v>
          </cell>
          <cell r="J8545" t="str">
            <v>C</v>
          </cell>
          <cell r="N8545" t="str">
            <v>C</v>
          </cell>
        </row>
        <row r="8546">
          <cell r="B8546" t="str">
            <v>SR-C1555 / LZPT-70|</v>
          </cell>
          <cell r="J8546" t="str">
            <v>C</v>
          </cell>
          <cell r="N8546" t="str">
            <v>C</v>
          </cell>
        </row>
        <row r="8547">
          <cell r="B8547" t="str">
            <v>SR-C1556 / LZPT-71|</v>
          </cell>
          <cell r="J8547" t="str">
            <v>C</v>
          </cell>
          <cell r="N8547" t="str">
            <v>C</v>
          </cell>
        </row>
        <row r="8548">
          <cell r="B8548" t="str">
            <v>SR-C1557 / LZPT-72|</v>
          </cell>
          <cell r="J8548" t="str">
            <v>C</v>
          </cell>
          <cell r="N8548" t="str">
            <v>C</v>
          </cell>
        </row>
        <row r="8549">
          <cell r="B8549" t="str">
            <v>SR-C1558 / LZPT-73|</v>
          </cell>
          <cell r="J8549" t="str">
            <v>C</v>
          </cell>
          <cell r="N8549" t="str">
            <v>C</v>
          </cell>
        </row>
        <row r="8550">
          <cell r="B8550" t="str">
            <v>SR-C1559 / LZPT-74|</v>
          </cell>
          <cell r="J8550" t="str">
            <v>C</v>
          </cell>
          <cell r="N8550" t="str">
            <v>C</v>
          </cell>
        </row>
        <row r="8551">
          <cell r="B8551" t="str">
            <v>SR-C1560 / LZPT-75|</v>
          </cell>
          <cell r="J8551" t="str">
            <v>C</v>
          </cell>
          <cell r="N8551" t="str">
            <v>C</v>
          </cell>
        </row>
        <row r="8552">
          <cell r="B8552" t="str">
            <v>SR-C1561 / LZPT-76|</v>
          </cell>
          <cell r="J8552" t="str">
            <v>C</v>
          </cell>
          <cell r="N8552" t="str">
            <v>C</v>
          </cell>
        </row>
        <row r="8553">
          <cell r="B8553" t="str">
            <v>SR-C1562 / LZPT-77|</v>
          </cell>
          <cell r="J8553" t="str">
            <v>C</v>
          </cell>
          <cell r="N8553" t="str">
            <v>C</v>
          </cell>
        </row>
        <row r="8554">
          <cell r="B8554" t="str">
            <v>RC-C1563 / LZPV-98|</v>
          </cell>
          <cell r="J8554" t="str">
            <v>C</v>
          </cell>
          <cell r="N8554" t="str">
            <v>C</v>
          </cell>
        </row>
        <row r="8555">
          <cell r="B8555" t="str">
            <v>SR-C1564 / LZPV-99|</v>
          </cell>
          <cell r="J8555" t="str">
            <v>C</v>
          </cell>
          <cell r="N8555" t="str">
            <v>C</v>
          </cell>
        </row>
        <row r="8556">
          <cell r="B8556" t="str">
            <v>SR-C1565 / LZPW-10|</v>
          </cell>
          <cell r="J8556" t="str">
            <v>C</v>
          </cell>
          <cell r="N8556" t="str">
            <v>C</v>
          </cell>
        </row>
        <row r="8557">
          <cell r="B8557" t="str">
            <v>SR-C1566 / LZPW-11|</v>
          </cell>
          <cell r="J8557" t="str">
            <v>C</v>
          </cell>
          <cell r="N8557" t="str">
            <v>C</v>
          </cell>
        </row>
        <row r="8558">
          <cell r="B8558" t="str">
            <v>SR-C1567 / LZPW-12|</v>
          </cell>
          <cell r="J8558" t="str">
            <v>C</v>
          </cell>
          <cell r="N8558" t="str">
            <v>C</v>
          </cell>
        </row>
        <row r="8559">
          <cell r="B8559" t="str">
            <v>SR-C1568 / LZPW-13|</v>
          </cell>
          <cell r="J8559" t="str">
            <v>C</v>
          </cell>
          <cell r="N8559" t="str">
            <v>C</v>
          </cell>
        </row>
        <row r="8560">
          <cell r="B8560" t="str">
            <v>RC-C1569 / LZPW-14|</v>
          </cell>
          <cell r="J8560" t="str">
            <v>C</v>
          </cell>
          <cell r="N8560" t="str">
            <v>C</v>
          </cell>
        </row>
        <row r="8561">
          <cell r="B8561" t="str">
            <v>SR-C1570 / LZPW-15|</v>
          </cell>
          <cell r="J8561" t="str">
            <v>C</v>
          </cell>
          <cell r="N8561" t="str">
            <v>C</v>
          </cell>
        </row>
        <row r="8562">
          <cell r="B8562" t="str">
            <v>SR-C1571 / LZPW-16|</v>
          </cell>
          <cell r="J8562" t="str">
            <v>C</v>
          </cell>
          <cell r="N8562" t="str">
            <v>C</v>
          </cell>
        </row>
        <row r="8563">
          <cell r="B8563" t="str">
            <v>SR-C1572 / LZPW-17|</v>
          </cell>
          <cell r="J8563" t="str">
            <v>C</v>
          </cell>
          <cell r="N8563" t="str">
            <v>C</v>
          </cell>
        </row>
        <row r="8564">
          <cell r="B8564" t="str">
            <v>SR-C1573 / LZPW-18|</v>
          </cell>
          <cell r="J8564" t="str">
            <v>C</v>
          </cell>
          <cell r="N8564" t="str">
            <v>C</v>
          </cell>
        </row>
        <row r="8565">
          <cell r="B8565" t="str">
            <v>SR-C1574 / LZPW-19|</v>
          </cell>
          <cell r="J8565" t="str">
            <v>C</v>
          </cell>
          <cell r="N8565" t="str">
            <v>C</v>
          </cell>
        </row>
        <row r="8566">
          <cell r="B8566" t="str">
            <v>SR-C1575 / LZPW-20|</v>
          </cell>
          <cell r="J8566" t="str">
            <v>C</v>
          </cell>
          <cell r="N8566" t="str">
            <v>C</v>
          </cell>
        </row>
        <row r="8567">
          <cell r="B8567" t="str">
            <v>SR-C1576 / LZPW-21|</v>
          </cell>
          <cell r="J8567" t="str">
            <v>C</v>
          </cell>
          <cell r="N8567" t="str">
            <v>C</v>
          </cell>
        </row>
        <row r="8568">
          <cell r="B8568" t="str">
            <v>SR-C1577 / LZPW-22|</v>
          </cell>
          <cell r="J8568" t="str">
            <v>C</v>
          </cell>
          <cell r="N8568" t="str">
            <v>C</v>
          </cell>
        </row>
        <row r="8569">
          <cell r="B8569" t="str">
            <v>RC-C1578 / LZRB-82|</v>
          </cell>
          <cell r="J8569" t="str">
            <v>C</v>
          </cell>
          <cell r="N8569" t="str">
            <v>C</v>
          </cell>
        </row>
        <row r="8570">
          <cell r="B8570" t="str">
            <v>SR-C1579 / LZRB-83|</v>
          </cell>
          <cell r="J8570" t="str">
            <v>C</v>
          </cell>
          <cell r="N8570" t="str">
            <v>C</v>
          </cell>
        </row>
        <row r="8571">
          <cell r="B8571" t="str">
            <v>SR-C1580 / LZRB-84|</v>
          </cell>
          <cell r="J8571" t="str">
            <v>C</v>
          </cell>
          <cell r="N8571" t="str">
            <v>C</v>
          </cell>
        </row>
        <row r="8572">
          <cell r="B8572" t="str">
            <v>SR-C1581 / LZRB-85|</v>
          </cell>
          <cell r="J8572" t="str">
            <v>C</v>
          </cell>
          <cell r="N8572" t="str">
            <v>C</v>
          </cell>
        </row>
        <row r="8573">
          <cell r="B8573" t="str">
            <v>SR-C1582 / LZRB-86|</v>
          </cell>
          <cell r="J8573" t="str">
            <v>C</v>
          </cell>
          <cell r="N8573" t="str">
            <v>C</v>
          </cell>
        </row>
        <row r="8574">
          <cell r="B8574" t="str">
            <v>SR-C1583 / LZRB-87|</v>
          </cell>
          <cell r="J8574" t="str">
            <v>C</v>
          </cell>
          <cell r="N8574" t="str">
            <v>C</v>
          </cell>
        </row>
        <row r="8575">
          <cell r="B8575" t="str">
            <v>SR-C1584 / LZRB-88|</v>
          </cell>
          <cell r="J8575" t="str">
            <v>C</v>
          </cell>
          <cell r="N8575" t="str">
            <v>C</v>
          </cell>
        </row>
        <row r="8576">
          <cell r="B8576" t="str">
            <v>DC-B3033 / SFVZ-29|</v>
          </cell>
          <cell r="J8576" t="str">
            <v>B</v>
          </cell>
          <cell r="N8576" t="str">
            <v>B</v>
          </cell>
        </row>
        <row r="8577">
          <cell r="B8577" t="str">
            <v>DC-B3047 / SFVZ-39|</v>
          </cell>
          <cell r="J8577" t="str">
            <v>B</v>
          </cell>
          <cell r="N8577" t="str">
            <v>B</v>
          </cell>
        </row>
        <row r="8578">
          <cell r="B8578" t="str">
            <v>SR-B3065 / SFVZ-40|</v>
          </cell>
          <cell r="J8578" t="str">
            <v>B</v>
          </cell>
          <cell r="N8578" t="str">
            <v>B</v>
          </cell>
        </row>
        <row r="8579">
          <cell r="B8579" t="str">
            <v>SR-B3025 / SFVZ-44|</v>
          </cell>
          <cell r="J8579" t="str">
            <v>B</v>
          </cell>
          <cell r="N8579" t="str">
            <v>B</v>
          </cell>
        </row>
        <row r="8580">
          <cell r="B8580" t="str">
            <v>SR-B3041 / SFVZ-49|</v>
          </cell>
          <cell r="J8580" t="str">
            <v>B</v>
          </cell>
          <cell r="N8580" t="str">
            <v>B</v>
          </cell>
        </row>
        <row r="8581">
          <cell r="B8581" t="str">
            <v>SR-B3042 / SFVZ-56|</v>
          </cell>
          <cell r="J8581" t="str">
            <v>B</v>
          </cell>
          <cell r="N8581" t="str">
            <v>B</v>
          </cell>
        </row>
        <row r="8582">
          <cell r="B8582" t="str">
            <v>LB-B1591 / SFVZ-60|</v>
          </cell>
          <cell r="J8582" t="str">
            <v>B</v>
          </cell>
          <cell r="N8582" t="str">
            <v>B</v>
          </cell>
        </row>
        <row r="8583">
          <cell r="B8583" t="str">
            <v>SR-B3015 / SFVZ-63|</v>
          </cell>
          <cell r="J8583" t="str">
            <v>B</v>
          </cell>
          <cell r="N8583" t="str">
            <v>B</v>
          </cell>
        </row>
        <row r="8584">
          <cell r="B8584" t="str">
            <v>SR-B3044 / SFVZ-67|</v>
          </cell>
          <cell r="J8584" t="str">
            <v>B</v>
          </cell>
          <cell r="N8584" t="str">
            <v>B</v>
          </cell>
        </row>
        <row r="8585">
          <cell r="B8585" t="str">
            <v>SR-B1594 / SFVZ-70|</v>
          </cell>
          <cell r="J8585" t="str">
            <v>B</v>
          </cell>
          <cell r="N8585" t="str">
            <v>B</v>
          </cell>
        </row>
        <row r="8586">
          <cell r="B8586" t="str">
            <v>SR-B3051 / SFVZ-80|</v>
          </cell>
          <cell r="J8586" t="str">
            <v>B</v>
          </cell>
          <cell r="N8586" t="str">
            <v>B</v>
          </cell>
        </row>
        <row r="8587">
          <cell r="B8587" t="str">
            <v>SR-B3026 / SFVZ-81|</v>
          </cell>
          <cell r="J8587" t="str">
            <v>B</v>
          </cell>
          <cell r="N8587" t="str">
            <v>B</v>
          </cell>
        </row>
        <row r="8588">
          <cell r="B8588" t="str">
            <v>SR-B3027 / SFVZ-85|</v>
          </cell>
          <cell r="J8588" t="str">
            <v>B</v>
          </cell>
          <cell r="N8588" t="str">
            <v>B</v>
          </cell>
        </row>
        <row r="8589">
          <cell r="B8589" t="str">
            <v>SR-B3052 / SFVZ-86|</v>
          </cell>
          <cell r="J8589" t="str">
            <v>B</v>
          </cell>
          <cell r="N8589" t="str">
            <v>B</v>
          </cell>
        </row>
        <row r="8590">
          <cell r="B8590" t="str">
            <v>LB-B3009 / SFVZ-87|</v>
          </cell>
          <cell r="J8590" t="str">
            <v>B</v>
          </cell>
          <cell r="N8590" t="str">
            <v>B</v>
          </cell>
        </row>
        <row r="8591">
          <cell r="B8591" t="str">
            <v>RC-B3006 / SFVZ-94|</v>
          </cell>
          <cell r="J8591" t="str">
            <v>B</v>
          </cell>
          <cell r="N8591" t="str">
            <v>B</v>
          </cell>
        </row>
        <row r="8592">
          <cell r="B8592" t="str">
            <v>SR-B3048 / SFVZ-96|</v>
          </cell>
          <cell r="J8592" t="str">
            <v>B</v>
          </cell>
          <cell r="N8592" t="str">
            <v>B</v>
          </cell>
        </row>
        <row r="8593">
          <cell r="B8593" t="str">
            <v>RC-B3066 / SFWB-10|</v>
          </cell>
          <cell r="J8593" t="str">
            <v>B</v>
          </cell>
          <cell r="N8593" t="str">
            <v>B</v>
          </cell>
        </row>
        <row r="8594">
          <cell r="B8594" t="str">
            <v>SR-B3060 / SFWB-14|</v>
          </cell>
          <cell r="J8594" t="str">
            <v>B</v>
          </cell>
          <cell r="N8594" t="str">
            <v>B</v>
          </cell>
        </row>
        <row r="8595">
          <cell r="B8595" t="str">
            <v>RC-B3057 / SFWB-16|</v>
          </cell>
          <cell r="J8595" t="str">
            <v>B</v>
          </cell>
          <cell r="N8595" t="str">
            <v>B</v>
          </cell>
        </row>
        <row r="8596">
          <cell r="B8596" t="str">
            <v>SR-B3053 / SFWB-21|</v>
          </cell>
          <cell r="J8596" t="str">
            <v>B</v>
          </cell>
          <cell r="N8596" t="str">
            <v>B</v>
          </cell>
        </row>
        <row r="8597">
          <cell r="B8597" t="str">
            <v>SR-B3054 / SFWB-24|</v>
          </cell>
          <cell r="J8597" t="str">
            <v>B</v>
          </cell>
          <cell r="N8597" t="str">
            <v>B</v>
          </cell>
        </row>
        <row r="8598">
          <cell r="B8598" t="str">
            <v>SR-B3016 / SFWB-28|</v>
          </cell>
          <cell r="J8598" t="str">
            <v>B</v>
          </cell>
          <cell r="N8598" t="str">
            <v>B</v>
          </cell>
        </row>
        <row r="8599">
          <cell r="B8599" t="str">
            <v>SR-B3017 / SFWB-29|</v>
          </cell>
          <cell r="J8599" t="str">
            <v>B</v>
          </cell>
          <cell r="N8599" t="str">
            <v>B</v>
          </cell>
        </row>
        <row r="8600">
          <cell r="B8600" t="str">
            <v>RC-B3022 / SFWB-31|</v>
          </cell>
          <cell r="J8600" t="str">
            <v>B</v>
          </cell>
          <cell r="N8600" t="str">
            <v>B</v>
          </cell>
        </row>
        <row r="8601">
          <cell r="B8601" t="str">
            <v>SR-B3023 / SFWB-33|</v>
          </cell>
          <cell r="J8601" t="str">
            <v>B</v>
          </cell>
          <cell r="N8601" t="str">
            <v>B</v>
          </cell>
        </row>
        <row r="8602">
          <cell r="B8602" t="str">
            <v>RC-B1611 / SFWB-35|</v>
          </cell>
          <cell r="J8602" t="str">
            <v>B</v>
          </cell>
          <cell r="N8602" t="str">
            <v>B</v>
          </cell>
        </row>
        <row r="8603">
          <cell r="B8603" t="str">
            <v>SR-B1612 / SFWB-42|</v>
          </cell>
          <cell r="J8603" t="str">
            <v>B</v>
          </cell>
          <cell r="N8603" t="str">
            <v>B</v>
          </cell>
        </row>
        <row r="8604">
          <cell r="B8604" t="str">
            <v>SR-B3019 / SFWB-44|</v>
          </cell>
          <cell r="J8604" t="str">
            <v>B</v>
          </cell>
          <cell r="N8604" t="str">
            <v>B</v>
          </cell>
        </row>
        <row r="8605">
          <cell r="B8605" t="str">
            <v>SR-B3011 / SFWB-46|</v>
          </cell>
          <cell r="J8605" t="str">
            <v>B</v>
          </cell>
          <cell r="N8605" t="str">
            <v>B</v>
          </cell>
        </row>
        <row r="8606">
          <cell r="B8606" t="str">
            <v>SR-B3045 / SFWB-48|</v>
          </cell>
          <cell r="J8606" t="str">
            <v>B</v>
          </cell>
          <cell r="N8606" t="str">
            <v>B</v>
          </cell>
        </row>
        <row r="8607">
          <cell r="B8607" t="str">
            <v>RC-B3007 / SFWB-50|</v>
          </cell>
          <cell r="J8607" t="str">
            <v>B</v>
          </cell>
          <cell r="N8607" t="str">
            <v>B</v>
          </cell>
        </row>
        <row r="8608">
          <cell r="B8608" t="str">
            <v>SR-B3055 / SFWB-51|</v>
          </cell>
          <cell r="J8608" t="str">
            <v>B</v>
          </cell>
          <cell r="N8608" t="str">
            <v>B</v>
          </cell>
        </row>
        <row r="8609">
          <cell r="B8609" t="str">
            <v>RC-B3008 / SFWB-58|</v>
          </cell>
          <cell r="J8609" t="str">
            <v>B</v>
          </cell>
          <cell r="N8609" t="str">
            <v>B</v>
          </cell>
        </row>
        <row r="8610">
          <cell r="B8610" t="str">
            <v>SR-B3056 / SFWB-61|</v>
          </cell>
          <cell r="J8610" t="str">
            <v>B</v>
          </cell>
          <cell r="N8610" t="str">
            <v>B</v>
          </cell>
        </row>
        <row r="8611">
          <cell r="B8611" t="str">
            <v>SR-B3035 / SFWB-64|</v>
          </cell>
          <cell r="J8611" t="str">
            <v>B</v>
          </cell>
          <cell r="N8611" t="str">
            <v>B</v>
          </cell>
        </row>
        <row r="8612">
          <cell r="B8612" t="str">
            <v>RC-B3061 / SFWB-68|</v>
          </cell>
          <cell r="J8612" t="str">
            <v>B</v>
          </cell>
          <cell r="N8612" t="str">
            <v>B</v>
          </cell>
        </row>
        <row r="8613">
          <cell r="B8613" t="str">
            <v>SR-B3012 / SFWB-72|</v>
          </cell>
          <cell r="J8613" t="str">
            <v>B</v>
          </cell>
          <cell r="N8613" t="str">
            <v>B</v>
          </cell>
        </row>
        <row r="8614">
          <cell r="B8614" t="str">
            <v>SR-B3067 / SFWB-73|</v>
          </cell>
          <cell r="J8614" t="str">
            <v>B</v>
          </cell>
          <cell r="N8614" t="str">
            <v>B</v>
          </cell>
        </row>
        <row r="8615">
          <cell r="B8615" t="str">
            <v>SR-B3028 / SFWB-75|</v>
          </cell>
          <cell r="J8615" t="str">
            <v>B</v>
          </cell>
          <cell r="N8615" t="str">
            <v>B</v>
          </cell>
        </row>
        <row r="8616">
          <cell r="B8616" t="str">
            <v>SR-B3024 / SFWB-76|</v>
          </cell>
          <cell r="J8616" t="str">
            <v>B</v>
          </cell>
          <cell r="N8616" t="str">
            <v>B</v>
          </cell>
        </row>
        <row r="8617">
          <cell r="B8617" t="str">
            <v>SR-B3036 / SFWB-77|</v>
          </cell>
          <cell r="J8617" t="str">
            <v>B</v>
          </cell>
          <cell r="N8617" t="str">
            <v>B</v>
          </cell>
        </row>
        <row r="8618">
          <cell r="B8618" t="str">
            <v>SR-B3050 / SFWB-82|</v>
          </cell>
          <cell r="J8618" t="str">
            <v>B</v>
          </cell>
          <cell r="N8618" t="str">
            <v>B</v>
          </cell>
        </row>
        <row r="8619">
          <cell r="B8619" t="str">
            <v>RC-B3068 / SFWB-84|</v>
          </cell>
          <cell r="J8619" t="str">
            <v>B</v>
          </cell>
          <cell r="N8619" t="str">
            <v>B</v>
          </cell>
        </row>
        <row r="8620">
          <cell r="B8620" t="str">
            <v>SR-B3058 / SFWB-85|</v>
          </cell>
          <cell r="J8620" t="str">
            <v>B</v>
          </cell>
          <cell r="N8620" t="str">
            <v>B</v>
          </cell>
        </row>
        <row r="8621">
          <cell r="B8621" t="str">
            <v>SR-B3037 / SFWB-87|</v>
          </cell>
          <cell r="J8621" t="str">
            <v>B</v>
          </cell>
          <cell r="N8621" t="str">
            <v>B</v>
          </cell>
        </row>
        <row r="8622">
          <cell r="B8622" t="str">
            <v>RC-B3072 / SFWB-89|</v>
          </cell>
          <cell r="J8622" t="str">
            <v>B</v>
          </cell>
          <cell r="N8622" t="str">
            <v>B</v>
          </cell>
        </row>
        <row r="8623">
          <cell r="B8623" t="str">
            <v>SR-B3038 / SFWB-90|</v>
          </cell>
          <cell r="J8623" t="str">
            <v>B</v>
          </cell>
          <cell r="N8623" t="str">
            <v>B</v>
          </cell>
        </row>
        <row r="8624">
          <cell r="B8624" t="str">
            <v>SR-B1633 / SFWB-95|</v>
          </cell>
          <cell r="J8624" t="str">
            <v>B</v>
          </cell>
          <cell r="N8624" t="str">
            <v>B</v>
          </cell>
        </row>
        <row r="8625">
          <cell r="B8625" t="str">
            <v>SR-B3073 / SFWB-96|</v>
          </cell>
          <cell r="J8625" t="str">
            <v>B</v>
          </cell>
          <cell r="N8625" t="str">
            <v>B</v>
          </cell>
        </row>
        <row r="8626">
          <cell r="B8626" t="str">
            <v>SR-B3046 / SFWB-98|</v>
          </cell>
          <cell r="J8626" t="str">
            <v>B</v>
          </cell>
          <cell r="N8626" t="str">
            <v>B</v>
          </cell>
        </row>
        <row r="8627">
          <cell r="B8627" t="str">
            <v>SR-B3062 / SFWZ-10|</v>
          </cell>
          <cell r="J8627" t="str">
            <v>B</v>
          </cell>
          <cell r="N8627" t="str">
            <v>B</v>
          </cell>
        </row>
        <row r="8628">
          <cell r="B8628" t="str">
            <v>SR-B3049 / SFWZ-13|</v>
          </cell>
          <cell r="J8628" t="str">
            <v>B</v>
          </cell>
          <cell r="N8628" t="str">
            <v>B</v>
          </cell>
        </row>
        <row r="8629">
          <cell r="B8629" t="str">
            <v>SR-B3030 / SFWZ-14|</v>
          </cell>
          <cell r="J8629" t="str">
            <v>B</v>
          </cell>
          <cell r="N8629" t="str">
            <v>B</v>
          </cell>
        </row>
        <row r="8630">
          <cell r="B8630" t="str">
            <v>RC-B3003 / SFWZ-16|</v>
          </cell>
          <cell r="J8630" t="str">
            <v>B</v>
          </cell>
          <cell r="N8630" t="str">
            <v>B</v>
          </cell>
        </row>
        <row r="8631">
          <cell r="B8631" t="str">
            <v>RC-B3074 / SFWZ-17|</v>
          </cell>
          <cell r="J8631" t="str">
            <v>B</v>
          </cell>
          <cell r="N8631" t="str">
            <v>B</v>
          </cell>
        </row>
        <row r="8632">
          <cell r="B8632" t="str">
            <v>SR-B3013 / SFWZ-18|</v>
          </cell>
          <cell r="J8632" t="str">
            <v>B</v>
          </cell>
          <cell r="N8632" t="str">
            <v>B</v>
          </cell>
        </row>
        <row r="8633">
          <cell r="B8633" t="str">
            <v>SR-B3020 / SFWZ-20|</v>
          </cell>
          <cell r="J8633" t="str">
            <v>B</v>
          </cell>
          <cell r="N8633" t="str">
            <v>B</v>
          </cell>
        </row>
        <row r="8634">
          <cell r="B8634" t="str">
            <v>SR-B3063 / SFWZ-21|</v>
          </cell>
          <cell r="J8634" t="str">
            <v>B</v>
          </cell>
          <cell r="N8634" t="str">
            <v>B</v>
          </cell>
        </row>
        <row r="8635">
          <cell r="B8635" t="str">
            <v>SR-B1644 / SFWZ-23|</v>
          </cell>
          <cell r="J8635" t="str">
            <v>B</v>
          </cell>
          <cell r="N8635" t="str">
            <v>B</v>
          </cell>
        </row>
        <row r="8636">
          <cell r="B8636" t="str">
            <v>SR-B1645 / SFWZ-25|</v>
          </cell>
          <cell r="J8636" t="str">
            <v>B</v>
          </cell>
          <cell r="N8636" t="str">
            <v>B</v>
          </cell>
        </row>
        <row r="8637">
          <cell r="B8637" t="str">
            <v>SR-B3014 / SFWZ-26|</v>
          </cell>
          <cell r="J8637" t="str">
            <v>B</v>
          </cell>
          <cell r="N8637" t="str">
            <v>B</v>
          </cell>
        </row>
        <row r="8638">
          <cell r="B8638" t="str">
            <v>RC-B3040 / SFWZ-27|</v>
          </cell>
          <cell r="J8638" t="str">
            <v>B</v>
          </cell>
          <cell r="N8638" t="str">
            <v>B</v>
          </cell>
        </row>
        <row r="8639">
          <cell r="B8639" t="str">
            <v>RC-B3071 / SFWZ-29|</v>
          </cell>
          <cell r="J8639" t="str">
            <v>B</v>
          </cell>
          <cell r="N8639" t="str">
            <v>B</v>
          </cell>
        </row>
        <row r="8640">
          <cell r="B8640" t="str">
            <v>RC-B3004 / SFWZ-31|</v>
          </cell>
          <cell r="J8640" t="str">
            <v>B</v>
          </cell>
          <cell r="N8640" t="str">
            <v>B</v>
          </cell>
        </row>
        <row r="8641">
          <cell r="B8641" t="str">
            <v>SR-B3069 / SFWZ-32|</v>
          </cell>
          <cell r="J8641" t="str">
            <v>B</v>
          </cell>
          <cell r="N8641" t="str">
            <v>B</v>
          </cell>
        </row>
        <row r="8642">
          <cell r="B8642" t="str">
            <v>RC-B3031 / SFWZ-33|</v>
          </cell>
          <cell r="J8642" t="str">
            <v>B</v>
          </cell>
          <cell r="N8642" t="str">
            <v>B</v>
          </cell>
        </row>
        <row r="8643">
          <cell r="B8643" t="str">
            <v>SR-B3032 / SFWZ-34|</v>
          </cell>
          <cell r="J8643" t="str">
            <v>B</v>
          </cell>
          <cell r="N8643" t="str">
            <v>B</v>
          </cell>
        </row>
        <row r="8644">
          <cell r="B8644" t="str">
            <v>SR-B3021 / SFWZ-36|</v>
          </cell>
          <cell r="J8644" t="str">
            <v>B</v>
          </cell>
          <cell r="N8644" t="str">
            <v>B</v>
          </cell>
        </row>
        <row r="8645">
          <cell r="B8645" t="str">
            <v>RC-B3099 / SFWZ-37|</v>
          </cell>
          <cell r="J8645" t="str">
            <v>B</v>
          </cell>
          <cell r="N8645" t="str">
            <v>B</v>
          </cell>
        </row>
        <row r="8646">
          <cell r="B8646" t="str">
            <v>SR-B3070 / SFWZ-38|</v>
          </cell>
          <cell r="J8646" t="str">
            <v>B</v>
          </cell>
          <cell r="N8646" t="str">
            <v>B</v>
          </cell>
        </row>
        <row r="8647">
          <cell r="B8647" t="str">
            <v>RC-B3005 / SFWZ-39|</v>
          </cell>
          <cell r="J8647" t="str">
            <v>B</v>
          </cell>
          <cell r="N8647" t="str">
            <v>B</v>
          </cell>
        </row>
        <row r="8648">
          <cell r="B8648" t="str">
            <v>SR-B3094 / SFWZ-40|</v>
          </cell>
          <cell r="J8648" t="str">
            <v>B</v>
          </cell>
          <cell r="N8648" t="str">
            <v>B</v>
          </cell>
        </row>
        <row r="8649">
          <cell r="B8649" t="str">
            <v>RC-B1658 / SFWZ-42|</v>
          </cell>
          <cell r="J8649" t="str">
            <v>B</v>
          </cell>
          <cell r="N8649" t="str">
            <v>B</v>
          </cell>
        </row>
        <row r="8650">
          <cell r="B8650" t="str">
            <v>SR-B1659 / SFWZ-45|</v>
          </cell>
          <cell r="J8650" t="str">
            <v>B</v>
          </cell>
          <cell r="N8650" t="str">
            <v>B</v>
          </cell>
        </row>
        <row r="8651">
          <cell r="B8651" t="str">
            <v>RC-B3085 / SFWZ-48|</v>
          </cell>
          <cell r="J8651" t="str">
            <v>B</v>
          </cell>
          <cell r="N8651" t="str">
            <v>B</v>
          </cell>
        </row>
        <row r="8652">
          <cell r="B8652" t="str">
            <v>RC-B3091 / SFWZ-49|</v>
          </cell>
          <cell r="J8652" t="str">
            <v>B</v>
          </cell>
          <cell r="N8652" t="str">
            <v>B</v>
          </cell>
        </row>
        <row r="8653">
          <cell r="B8653" t="str">
            <v>RC-B1662 / SFWZ-50|</v>
          </cell>
          <cell r="J8653" t="str">
            <v>B</v>
          </cell>
          <cell r="N8653" t="str">
            <v>B</v>
          </cell>
        </row>
        <row r="8654">
          <cell r="B8654" t="str">
            <v>RC-B3104 / SFWZ-52|</v>
          </cell>
          <cell r="J8654" t="str">
            <v>B</v>
          </cell>
          <cell r="N8654" t="str">
            <v>B</v>
          </cell>
        </row>
        <row r="8655">
          <cell r="B8655" t="str">
            <v>RC-B3076 / SFWZ-53|</v>
          </cell>
          <cell r="J8655" t="str">
            <v>B</v>
          </cell>
          <cell r="N8655" t="str">
            <v>B</v>
          </cell>
        </row>
        <row r="8656">
          <cell r="B8656" t="str">
            <v>RC-B3105 / SFWZ-54|</v>
          </cell>
          <cell r="J8656" t="str">
            <v>B</v>
          </cell>
          <cell r="N8656" t="str">
            <v>B</v>
          </cell>
        </row>
        <row r="8657">
          <cell r="B8657" t="str">
            <v>RC-B3077 / SFWZ-55|</v>
          </cell>
          <cell r="J8657" t="str">
            <v>B</v>
          </cell>
          <cell r="N8657" t="str">
            <v>B</v>
          </cell>
        </row>
        <row r="8658">
          <cell r="B8658" t="str">
            <v>RC-B3082 / SFWZ-56|</v>
          </cell>
          <cell r="J8658" t="str">
            <v>B</v>
          </cell>
          <cell r="N8658" t="str">
            <v>B</v>
          </cell>
        </row>
        <row r="8659">
          <cell r="B8659" t="str">
            <v>SR-B3095 / SFWZ-58|</v>
          </cell>
          <cell r="J8659" t="str">
            <v>B</v>
          </cell>
          <cell r="N8659" t="str">
            <v>B</v>
          </cell>
        </row>
        <row r="8660">
          <cell r="B8660" t="str">
            <v>RC-B3102 / SFWZ-59|</v>
          </cell>
          <cell r="J8660" t="str">
            <v>B</v>
          </cell>
          <cell r="N8660" t="str">
            <v>B</v>
          </cell>
        </row>
        <row r="8661">
          <cell r="B8661" t="str">
            <v>RC-B3064 / SFWZ-61|</v>
          </cell>
          <cell r="J8661" t="str">
            <v>B</v>
          </cell>
          <cell r="N8661" t="str">
            <v>B</v>
          </cell>
        </row>
        <row r="8662">
          <cell r="B8662" t="str">
            <v>RC-B3079 / SFWZ-62|</v>
          </cell>
          <cell r="J8662" t="str">
            <v>B</v>
          </cell>
          <cell r="N8662" t="str">
            <v>B</v>
          </cell>
        </row>
        <row r="8663">
          <cell r="B8663" t="str">
            <v>SR-B1672 / SFWZ-63|</v>
          </cell>
          <cell r="J8663" t="str">
            <v>B</v>
          </cell>
          <cell r="N8663" t="str">
            <v>B</v>
          </cell>
        </row>
        <row r="8664">
          <cell r="B8664" t="str">
            <v>RC-B3075 / SFWZ-64|</v>
          </cell>
          <cell r="J8664" t="str">
            <v>B</v>
          </cell>
          <cell r="N8664" t="str">
            <v>B</v>
          </cell>
        </row>
        <row r="8665">
          <cell r="B8665" t="str">
            <v>RC-B3080 / SFWZ-65|</v>
          </cell>
          <cell r="J8665" t="str">
            <v>B</v>
          </cell>
          <cell r="N8665" t="str">
            <v>B</v>
          </cell>
        </row>
        <row r="8666">
          <cell r="B8666" t="str">
            <v>RC-B1675 / SFWZ-66|</v>
          </cell>
          <cell r="J8666" t="str">
            <v>B</v>
          </cell>
          <cell r="N8666" t="str">
            <v>B</v>
          </cell>
        </row>
        <row r="8667">
          <cell r="B8667" t="str">
            <v>SR-B3092 / SFWZ-67|</v>
          </cell>
          <cell r="J8667" t="str">
            <v>B</v>
          </cell>
          <cell r="N8667" t="str">
            <v>B</v>
          </cell>
        </row>
        <row r="8668">
          <cell r="B8668" t="str">
            <v>SR-B3106 / SFWZ-68|</v>
          </cell>
          <cell r="J8668" t="str">
            <v>B</v>
          </cell>
          <cell r="N8668" t="str">
            <v>B</v>
          </cell>
        </row>
        <row r="8669">
          <cell r="B8669" t="str">
            <v>RC-B3078 / SFWZ-69|</v>
          </cell>
          <cell r="J8669" t="str">
            <v>B</v>
          </cell>
          <cell r="N8669" t="str">
            <v>B</v>
          </cell>
        </row>
        <row r="8670">
          <cell r="B8670" t="str">
            <v>SR-B3083 / SFWZ-70|</v>
          </cell>
          <cell r="J8670" t="str">
            <v>B</v>
          </cell>
          <cell r="N8670" t="str">
            <v>B</v>
          </cell>
        </row>
        <row r="8671">
          <cell r="B8671" t="str">
            <v>RC-B3089 / SFWZ-73|</v>
          </cell>
          <cell r="J8671" t="str">
            <v>B</v>
          </cell>
          <cell r="N8671" t="str">
            <v>B</v>
          </cell>
        </row>
        <row r="8672">
          <cell r="B8672" t="str">
            <v>SR-B3096 / SFWZ-74|</v>
          </cell>
          <cell r="J8672" t="str">
            <v>B</v>
          </cell>
          <cell r="N8672" t="str">
            <v>B</v>
          </cell>
        </row>
        <row r="8673">
          <cell r="B8673" t="str">
            <v>SR-B1682 / SFWZ-75|</v>
          </cell>
          <cell r="J8673" t="str">
            <v>B</v>
          </cell>
          <cell r="N8673" t="str">
            <v>B</v>
          </cell>
        </row>
        <row r="8674">
          <cell r="B8674" t="str">
            <v>SR-B1683 / SFWZ-76|</v>
          </cell>
          <cell r="J8674" t="str">
            <v>B</v>
          </cell>
          <cell r="N8674" t="str">
            <v>B</v>
          </cell>
        </row>
        <row r="8675">
          <cell r="B8675" t="str">
            <v>SR-B3097 / SFWZ-77|</v>
          </cell>
          <cell r="J8675" t="str">
            <v>B</v>
          </cell>
          <cell r="N8675" t="str">
            <v>B</v>
          </cell>
        </row>
        <row r="8676">
          <cell r="B8676" t="str">
            <v>SR-B3103 / SFWZ-78|</v>
          </cell>
          <cell r="J8676" t="str">
            <v>B</v>
          </cell>
          <cell r="N8676" t="str">
            <v>B</v>
          </cell>
        </row>
        <row r="8677">
          <cell r="B8677" t="str">
            <v>RC-B1686 / SFWZ-80|</v>
          </cell>
          <cell r="J8677" t="str">
            <v>B</v>
          </cell>
          <cell r="N8677" t="str">
            <v>B</v>
          </cell>
        </row>
        <row r="8678">
          <cell r="B8678" t="str">
            <v>RC-B3088 / SFWZ-81|</v>
          </cell>
          <cell r="J8678" t="str">
            <v>B</v>
          </cell>
          <cell r="N8678" t="str">
            <v>B</v>
          </cell>
        </row>
        <row r="8679">
          <cell r="B8679" t="str">
            <v>RC-B3093 / SFWZ-82|</v>
          </cell>
          <cell r="J8679" t="str">
            <v>B</v>
          </cell>
          <cell r="N8679" t="str">
            <v>B</v>
          </cell>
        </row>
        <row r="8680">
          <cell r="B8680" t="str">
            <v>RC-B3100 / SFWZ-83|</v>
          </cell>
          <cell r="J8680" t="str">
            <v>B</v>
          </cell>
          <cell r="N8680" t="str">
            <v>B</v>
          </cell>
        </row>
        <row r="8681">
          <cell r="B8681" t="str">
            <v>SR-B3107 / SFWZ-85|</v>
          </cell>
          <cell r="J8681" t="str">
            <v>B</v>
          </cell>
          <cell r="N8681" t="str">
            <v>B</v>
          </cell>
        </row>
        <row r="8682">
          <cell r="B8682" t="str">
            <v>SR-C9925 / SXKV-97|</v>
          </cell>
          <cell r="J8682" t="str">
            <v>C</v>
          </cell>
          <cell r="N8682" t="str">
            <v>C</v>
          </cell>
        </row>
        <row r="8683">
          <cell r="B8683" t="str">
            <v>SR-C9929 / SXKV-98|</v>
          </cell>
          <cell r="J8683" t="str">
            <v>C</v>
          </cell>
          <cell r="N8683" t="str">
            <v>C</v>
          </cell>
        </row>
        <row r="8684">
          <cell r="B8684" t="str">
            <v>SR-C9930 / SXKV-99|</v>
          </cell>
          <cell r="J8684" t="str">
            <v>C</v>
          </cell>
          <cell r="N8684" t="str">
            <v>C</v>
          </cell>
        </row>
        <row r="8685">
          <cell r="B8685" t="str">
            <v>SR-C9951 / TBZB-24|</v>
          </cell>
          <cell r="J8685" t="str">
            <v>C</v>
          </cell>
          <cell r="N8685" t="str">
            <v>C</v>
          </cell>
        </row>
        <row r="8686">
          <cell r="B8686" t="str">
            <v>CER-A1695 / VGLZ-33|</v>
          </cell>
          <cell r="J8686" t="str">
            <v>A</v>
          </cell>
          <cell r="N8686" t="str">
            <v>A</v>
          </cell>
        </row>
        <row r="8687">
          <cell r="B8687" t="str">
            <v>CER-A1696 / VGLZ-43|</v>
          </cell>
          <cell r="J8687" t="str">
            <v>A</v>
          </cell>
          <cell r="N8687" t="str">
            <v>A</v>
          </cell>
        </row>
        <row r="8688">
          <cell r="B8688" t="str">
            <v>CER-A1697 / VGRB-23|</v>
          </cell>
          <cell r="J8688" t="str">
            <v>A</v>
          </cell>
          <cell r="N8688" t="str">
            <v>A</v>
          </cell>
        </row>
        <row r="8689">
          <cell r="B8689" t="str">
            <v>CER-A1698 / VGRB-24|</v>
          </cell>
          <cell r="J8689" t="str">
            <v>A</v>
          </cell>
          <cell r="N8689" t="str">
            <v>A</v>
          </cell>
        </row>
        <row r="8690">
          <cell r="B8690" t="str">
            <v>CER-A1699 / VGRB-33|</v>
          </cell>
          <cell r="J8690" t="str">
            <v>A</v>
          </cell>
          <cell r="N8690" t="str">
            <v>A</v>
          </cell>
        </row>
        <row r="8691">
          <cell r="B8691" t="str">
            <v>CER-A1700 / VGRB-63|</v>
          </cell>
          <cell r="J8691" t="str">
            <v>A</v>
          </cell>
          <cell r="N8691" t="str">
            <v>A</v>
          </cell>
        </row>
        <row r="8692">
          <cell r="B8692" t="str">
            <v>CER-A1701 / VGRB-73|</v>
          </cell>
          <cell r="J8692" t="str">
            <v>A</v>
          </cell>
          <cell r="N8692" t="str">
            <v>A</v>
          </cell>
        </row>
        <row r="8693">
          <cell r="B8693" t="str">
            <v>CER-A1702 / VGRB-93|</v>
          </cell>
          <cell r="J8693" t="str">
            <v>A</v>
          </cell>
          <cell r="N8693" t="str">
            <v>A</v>
          </cell>
        </row>
        <row r="8694">
          <cell r="B8694" t="str">
            <v>CER-A1703 / VGRC-13|</v>
          </cell>
          <cell r="J8694" t="str">
            <v>A</v>
          </cell>
          <cell r="N8694" t="str">
            <v>A</v>
          </cell>
        </row>
        <row r="8695">
          <cell r="B8695" t="str">
            <v>CER-A1704 / VGRC-23|</v>
          </cell>
          <cell r="J8695" t="str">
            <v>A</v>
          </cell>
          <cell r="N8695" t="str">
            <v>A</v>
          </cell>
        </row>
        <row r="8696">
          <cell r="B8696" t="str">
            <v>CER-A1705 / VGRC-33|</v>
          </cell>
          <cell r="J8696" t="str">
            <v>A</v>
          </cell>
          <cell r="N8696" t="str">
            <v>A</v>
          </cell>
        </row>
        <row r="8697">
          <cell r="B8697" t="str">
            <v>CER-A1706 / VGRC-43|</v>
          </cell>
          <cell r="J8697" t="str">
            <v>A</v>
          </cell>
          <cell r="N8697" t="str">
            <v>A</v>
          </cell>
        </row>
        <row r="8698">
          <cell r="B8698" t="str">
            <v>CER-A1707 / VGRC-53|</v>
          </cell>
          <cell r="J8698" t="str">
            <v>A</v>
          </cell>
          <cell r="N8698" t="str">
            <v>A</v>
          </cell>
        </row>
        <row r="8699">
          <cell r="B8699" t="str">
            <v>CER-A1708 / VGRC-73|</v>
          </cell>
          <cell r="J8699" t="str">
            <v>A</v>
          </cell>
          <cell r="N8699" t="str">
            <v>A</v>
          </cell>
        </row>
        <row r="8700">
          <cell r="B8700" t="str">
            <v>CER-A1709 / VGRC-83|</v>
          </cell>
          <cell r="J8700" t="str">
            <v>A</v>
          </cell>
          <cell r="N8700" t="str">
            <v>A</v>
          </cell>
        </row>
        <row r="8701">
          <cell r="B8701" t="str">
            <v>CER-A1710 / VGRC-93|</v>
          </cell>
          <cell r="J8701" t="str">
            <v>A</v>
          </cell>
          <cell r="N8701" t="str">
            <v>A</v>
          </cell>
        </row>
        <row r="8702">
          <cell r="B8702" t="str">
            <v>CER-A1711 / VGRD-25|</v>
          </cell>
          <cell r="J8702" t="str">
            <v>A</v>
          </cell>
          <cell r="N8702" t="str">
            <v>A</v>
          </cell>
        </row>
        <row r="8703">
          <cell r="B8703" t="str">
            <v>CER-A1712 / VGRD-35|</v>
          </cell>
          <cell r="J8703" t="str">
            <v>A</v>
          </cell>
          <cell r="N8703" t="str">
            <v>A</v>
          </cell>
        </row>
        <row r="8704">
          <cell r="B8704" t="str">
            <v>CER-A1713 / VGRD-55|</v>
          </cell>
          <cell r="J8704" t="str">
            <v>A</v>
          </cell>
          <cell r="N8704" t="str">
            <v>A</v>
          </cell>
        </row>
        <row r="8705">
          <cell r="B8705" t="str">
            <v>CER-A1714 / VGRF-45|</v>
          </cell>
          <cell r="J8705" t="str">
            <v>A</v>
          </cell>
          <cell r="N8705" t="str">
            <v>A</v>
          </cell>
        </row>
        <row r="8706">
          <cell r="B8706" t="str">
            <v>CER-A1715 / VGRF-55|</v>
          </cell>
          <cell r="J8706" t="str">
            <v>A</v>
          </cell>
          <cell r="N8706" t="str">
            <v>A</v>
          </cell>
        </row>
        <row r="8707">
          <cell r="B8707" t="str">
            <v>CER-A1716 / VGRF-65|</v>
          </cell>
          <cell r="J8707" t="str">
            <v>A</v>
          </cell>
          <cell r="N8707" t="str">
            <v>A</v>
          </cell>
        </row>
        <row r="8708">
          <cell r="B8708" t="str">
            <v>CER-A1717 / VGRF-75|</v>
          </cell>
          <cell r="J8708" t="str">
            <v>A</v>
          </cell>
          <cell r="N8708" t="str">
            <v>A</v>
          </cell>
        </row>
        <row r="8709">
          <cell r="B8709" t="str">
            <v>CER-A1718 / VGRF-84|</v>
          </cell>
          <cell r="J8709" t="str">
            <v>A</v>
          </cell>
          <cell r="N8709" t="str">
            <v>A</v>
          </cell>
        </row>
        <row r="8710">
          <cell r="B8710" t="str">
            <v>CER-A1719 / VGRF-85|</v>
          </cell>
          <cell r="J8710" t="str">
            <v>A</v>
          </cell>
          <cell r="N8710" t="str">
            <v>A</v>
          </cell>
        </row>
        <row r="8711">
          <cell r="B8711" t="str">
            <v>CER-A1720 / VGRF-94|</v>
          </cell>
          <cell r="J8711" t="str">
            <v>A</v>
          </cell>
          <cell r="N8711" t="str">
            <v>A</v>
          </cell>
        </row>
        <row r="8712">
          <cell r="B8712" t="str">
            <v>CER-A1721 / VGRG-14|</v>
          </cell>
          <cell r="J8712" t="str">
            <v>A</v>
          </cell>
          <cell r="N8712" t="str">
            <v>A</v>
          </cell>
        </row>
        <row r="8713">
          <cell r="B8713" t="str">
            <v>CER-A1722 / VGRG-24|</v>
          </cell>
          <cell r="J8713" t="str">
            <v>A</v>
          </cell>
          <cell r="N8713" t="str">
            <v>A</v>
          </cell>
        </row>
        <row r="8714">
          <cell r="B8714" t="str">
            <v>CER-A1723 / VGRG-34|</v>
          </cell>
          <cell r="J8714" t="str">
            <v>A</v>
          </cell>
          <cell r="N8714" t="str">
            <v>A</v>
          </cell>
        </row>
        <row r="8715">
          <cell r="B8715" t="str">
            <v>CER-A1724 / VGRG-44|</v>
          </cell>
          <cell r="J8715" t="str">
            <v>A</v>
          </cell>
          <cell r="N8715" t="str">
            <v>A</v>
          </cell>
        </row>
        <row r="8716">
          <cell r="B8716" t="str">
            <v>CER-A1725 / VGRG-45|</v>
          </cell>
          <cell r="J8716" t="str">
            <v>A</v>
          </cell>
          <cell r="N8716" t="str">
            <v>A</v>
          </cell>
        </row>
        <row r="8717">
          <cell r="B8717" t="str">
            <v>CER-A1726 / VGRG-54|</v>
          </cell>
          <cell r="J8717" t="str">
            <v>A</v>
          </cell>
          <cell r="N8717" t="str">
            <v>A</v>
          </cell>
        </row>
        <row r="8718">
          <cell r="B8718" t="str">
            <v>RC-B1727 / VJKD-70|</v>
          </cell>
          <cell r="J8718" t="str">
            <v>B</v>
          </cell>
          <cell r="N8718" t="str">
            <v>B</v>
          </cell>
        </row>
        <row r="8719">
          <cell r="B8719" t="str">
            <v>RC-B1728 / VJKD-85|</v>
          </cell>
          <cell r="J8719" t="str">
            <v>B</v>
          </cell>
          <cell r="N8719" t="str">
            <v>B</v>
          </cell>
        </row>
        <row r="8720">
          <cell r="B8720" t="str">
            <v>RC-B1729 / VJKD-94|</v>
          </cell>
          <cell r="J8720" t="str">
            <v>B</v>
          </cell>
          <cell r="N8720" t="str">
            <v>B</v>
          </cell>
        </row>
        <row r="8721">
          <cell r="B8721" t="str">
            <v>RC-B1730 / VJKF-29|</v>
          </cell>
          <cell r="J8721" t="str">
            <v>B</v>
          </cell>
          <cell r="N8721" t="str">
            <v>B</v>
          </cell>
        </row>
        <row r="8722">
          <cell r="B8722" t="str">
            <v>LB-B1731 / VJKF-44|</v>
          </cell>
          <cell r="J8722" t="str">
            <v>B</v>
          </cell>
          <cell r="N8722" t="str">
            <v>B</v>
          </cell>
        </row>
        <row r="8723">
          <cell r="B8723" t="str">
            <v>RC-B1732 / VJKF-46|</v>
          </cell>
          <cell r="J8723" t="str">
            <v>B</v>
          </cell>
          <cell r="N8723" t="str">
            <v>B</v>
          </cell>
        </row>
        <row r="8724">
          <cell r="B8724" t="str">
            <v>RC-B1733 / VJKF-55|</v>
          </cell>
          <cell r="J8724" t="str">
            <v>B</v>
          </cell>
          <cell r="N8724" t="str">
            <v>B</v>
          </cell>
        </row>
        <row r="8725">
          <cell r="B8725" t="str">
            <v>RC-B1734 / VJKF-61|</v>
          </cell>
          <cell r="J8725" t="str">
            <v>B</v>
          </cell>
          <cell r="N8725" t="str">
            <v>B</v>
          </cell>
        </row>
        <row r="8726">
          <cell r="B8726" t="str">
            <v>RC-B1735 / VJKF-66|</v>
          </cell>
          <cell r="J8726" t="str">
            <v>B</v>
          </cell>
          <cell r="N8726" t="str">
            <v>B</v>
          </cell>
        </row>
        <row r="8727">
          <cell r="B8727" t="str">
            <v>RC-B1736 / VJKG-16|</v>
          </cell>
          <cell r="J8727" t="str">
            <v>B</v>
          </cell>
          <cell r="N8727" t="str">
            <v>B</v>
          </cell>
        </row>
        <row r="8728">
          <cell r="B8728" t="str">
            <v>RC-B1737 / VJKG-25|</v>
          </cell>
          <cell r="J8728" t="str">
            <v>B</v>
          </cell>
          <cell r="N8728" t="str">
            <v>B</v>
          </cell>
        </row>
        <row r="8729">
          <cell r="B8729" t="str">
            <v>RC-B1738 / VJKG-36|</v>
          </cell>
          <cell r="J8729" t="str">
            <v>B</v>
          </cell>
          <cell r="N8729" t="str">
            <v>B</v>
          </cell>
        </row>
        <row r="8730">
          <cell r="B8730" t="str">
            <v>DC-B1739 / VJKG-37|</v>
          </cell>
          <cell r="J8730" t="str">
            <v>B</v>
          </cell>
          <cell r="N8730" t="str">
            <v>B</v>
          </cell>
        </row>
        <row r="8731">
          <cell r="B8731" t="str">
            <v>DC-B1740 / VJKG-66|</v>
          </cell>
          <cell r="J8731" t="str">
            <v>B</v>
          </cell>
          <cell r="N8731" t="str">
            <v>B</v>
          </cell>
        </row>
        <row r="8732">
          <cell r="B8732" t="str">
            <v>DC-B1741 / VJKG-75|</v>
          </cell>
          <cell r="J8732" t="str">
            <v>B</v>
          </cell>
          <cell r="N8732" t="str">
            <v>B</v>
          </cell>
        </row>
        <row r="8733">
          <cell r="B8733" t="str">
            <v>DC-B1742 / VJKG-85|</v>
          </cell>
          <cell r="J8733" t="str">
            <v>B</v>
          </cell>
          <cell r="N8733" t="str">
            <v>B</v>
          </cell>
        </row>
        <row r="8734">
          <cell r="B8734" t="str">
            <v>DC-B1743 / VJKT-45|</v>
          </cell>
          <cell r="J8734" t="str">
            <v>B</v>
          </cell>
          <cell r="N8734" t="str">
            <v>B</v>
          </cell>
        </row>
        <row r="8735">
          <cell r="B8735" t="str">
            <v>DC-B1744 / VJKT-55|</v>
          </cell>
          <cell r="J8735" t="str">
            <v>B</v>
          </cell>
          <cell r="N8735" t="str">
            <v>B</v>
          </cell>
        </row>
        <row r="8736">
          <cell r="B8736" t="str">
            <v>DC-B1745 / VJKT-63|</v>
          </cell>
          <cell r="J8736" t="str">
            <v>B</v>
          </cell>
          <cell r="N8736" t="str">
            <v>B</v>
          </cell>
        </row>
        <row r="8737">
          <cell r="B8737" t="str">
            <v>RC-B1746 / VJKT-83|</v>
          </cell>
          <cell r="J8737" t="str">
            <v>B</v>
          </cell>
          <cell r="N8737" t="str">
            <v>B</v>
          </cell>
        </row>
        <row r="8738">
          <cell r="B8738" t="str">
            <v>LB-B1747 / VJKT-92|</v>
          </cell>
          <cell r="J8738" t="str">
            <v>B</v>
          </cell>
          <cell r="N8738" t="str">
            <v>B</v>
          </cell>
        </row>
        <row r="8739">
          <cell r="B8739" t="str">
            <v>LB-B1748 / VJKV-14|</v>
          </cell>
          <cell r="J8739" t="str">
            <v>B</v>
          </cell>
          <cell r="N8739" t="str">
            <v>B</v>
          </cell>
        </row>
        <row r="8740">
          <cell r="B8740" t="str">
            <v>LB-B1749 / VJKV-58|</v>
          </cell>
          <cell r="J8740" t="str">
            <v>B</v>
          </cell>
          <cell r="N8740" t="str">
            <v>B</v>
          </cell>
        </row>
        <row r="8741">
          <cell r="B8741" t="str">
            <v>LB-B1750 / VJKV-78|</v>
          </cell>
          <cell r="J8741" t="str">
            <v>B</v>
          </cell>
          <cell r="N8741" t="str">
            <v>B</v>
          </cell>
        </row>
        <row r="8742">
          <cell r="B8742" t="str">
            <v>LB-B1751 / VJKV-88|</v>
          </cell>
          <cell r="J8742" t="str">
            <v>B</v>
          </cell>
          <cell r="N8742" t="str">
            <v>B</v>
          </cell>
        </row>
        <row r="8743">
          <cell r="B8743" t="str">
            <v>LB-B1752 / VJKW-68|</v>
          </cell>
          <cell r="J8743" t="str">
            <v>B</v>
          </cell>
          <cell r="N8743" t="str">
            <v>B</v>
          </cell>
        </row>
        <row r="8744">
          <cell r="B8744" t="str">
            <v>LB-B1753 / VJKX-18|</v>
          </cell>
          <cell r="J8744" t="str">
            <v>B</v>
          </cell>
          <cell r="N8744" t="str">
            <v>B</v>
          </cell>
        </row>
        <row r="8745">
          <cell r="B8745" t="str">
            <v>LB-B1754 / VJKX-38|</v>
          </cell>
          <cell r="J8745" t="str">
            <v>B</v>
          </cell>
          <cell r="N8745" t="str">
            <v>B</v>
          </cell>
        </row>
        <row r="8746">
          <cell r="B8746" t="str">
            <v>LB-B1755 / VJKX-78|</v>
          </cell>
          <cell r="J8746" t="str">
            <v>B</v>
          </cell>
          <cell r="N8746" t="str">
            <v>B</v>
          </cell>
        </row>
        <row r="8747">
          <cell r="B8747" t="str">
            <v>LB-B1756 / VJKY-18|</v>
          </cell>
          <cell r="J8747" t="str">
            <v>B</v>
          </cell>
          <cell r="N8747" t="str">
            <v>B</v>
          </cell>
        </row>
        <row r="8748">
          <cell r="B8748" t="str">
            <v>LB-B1757 / VJKY-58|</v>
          </cell>
          <cell r="J8748" t="str">
            <v>B</v>
          </cell>
          <cell r="N8748" t="str">
            <v>B</v>
          </cell>
        </row>
        <row r="8749">
          <cell r="B8749" t="str">
            <v>LB-B1758 / VJKZ-38|</v>
          </cell>
          <cell r="J8749" t="str">
            <v>B</v>
          </cell>
          <cell r="N8749" t="str">
            <v>B</v>
          </cell>
        </row>
        <row r="8750">
          <cell r="B8750" t="str">
            <v>LB-B1759 / VJKZ-78|</v>
          </cell>
          <cell r="J8750" t="str">
            <v>B</v>
          </cell>
          <cell r="N8750" t="str">
            <v>B</v>
          </cell>
        </row>
        <row r="8751">
          <cell r="B8751" t="str">
            <v>DC-B1760 / VJLH-14|</v>
          </cell>
          <cell r="J8751" t="str">
            <v>B</v>
          </cell>
          <cell r="N8751" t="str">
            <v>B</v>
          </cell>
        </row>
        <row r="8752">
          <cell r="B8752" t="str">
            <v>DC-B1761 / VJLH-24|</v>
          </cell>
          <cell r="J8752" t="str">
            <v>B</v>
          </cell>
          <cell r="N8752" t="str">
            <v>B</v>
          </cell>
        </row>
        <row r="8753">
          <cell r="B8753" t="str">
            <v>DC-B1762 / VJLH-33|</v>
          </cell>
          <cell r="J8753" t="str">
            <v>B</v>
          </cell>
          <cell r="N8753" t="str">
            <v>B</v>
          </cell>
        </row>
        <row r="8754">
          <cell r="B8754" t="str">
            <v>LB-B1763 / VJWZ-74|</v>
          </cell>
          <cell r="J8754" t="str">
            <v>B</v>
          </cell>
          <cell r="N8754" t="str">
            <v>B</v>
          </cell>
        </row>
        <row r="8755">
          <cell r="B8755" t="str">
            <v>LB-B1764 / VJWZ-95|</v>
          </cell>
          <cell r="J8755" t="str">
            <v>B</v>
          </cell>
          <cell r="N8755" t="str">
            <v>B</v>
          </cell>
        </row>
        <row r="8756">
          <cell r="B8756" t="str">
            <v>LB-B1765 / VJXB-27|</v>
          </cell>
          <cell r="J8756" t="str">
            <v>B</v>
          </cell>
          <cell r="N8756" t="str">
            <v>B</v>
          </cell>
        </row>
        <row r="8757">
          <cell r="B8757" t="str">
            <v>LB-B1766 / VJXB-56|</v>
          </cell>
          <cell r="J8757" t="str">
            <v>B</v>
          </cell>
          <cell r="N8757" t="str">
            <v>B</v>
          </cell>
        </row>
        <row r="8758">
          <cell r="B8758" t="str">
            <v>LB-B1767 / VJXB-87|</v>
          </cell>
          <cell r="J8758" t="str">
            <v>B</v>
          </cell>
          <cell r="N8758" t="str">
            <v>B</v>
          </cell>
        </row>
        <row r="8759">
          <cell r="B8759" t="str">
            <v>LB-B1768 / VJXC-26|</v>
          </cell>
          <cell r="J8759" t="str">
            <v>B</v>
          </cell>
          <cell r="N8759" t="str">
            <v>B</v>
          </cell>
        </row>
        <row r="8760">
          <cell r="B8760" t="str">
            <v>LB-B1769 / VJXC-42|</v>
          </cell>
          <cell r="J8760" t="str">
            <v>B</v>
          </cell>
          <cell r="N8760" t="str">
            <v>B</v>
          </cell>
        </row>
        <row r="8761">
          <cell r="B8761" t="str">
            <v>LB-B1770 / VJXC-53|</v>
          </cell>
          <cell r="J8761" t="str">
            <v>B</v>
          </cell>
          <cell r="N8761" t="str">
            <v>B</v>
          </cell>
        </row>
        <row r="8762">
          <cell r="B8762" t="str">
            <v>LB-B1771 / VJXC-75|</v>
          </cell>
          <cell r="J8762" t="str">
            <v>B</v>
          </cell>
          <cell r="N8762" t="str">
            <v>B</v>
          </cell>
        </row>
        <row r="8763">
          <cell r="B8763" t="str">
            <v>LB-B1772 / VJXC-91|</v>
          </cell>
          <cell r="J8763" t="str">
            <v>B</v>
          </cell>
          <cell r="N8763" t="str">
            <v>B</v>
          </cell>
        </row>
        <row r="8764">
          <cell r="B8764" t="str">
            <v>DC-B1773 / VJXD-48|</v>
          </cell>
          <cell r="J8764" t="str">
            <v>B</v>
          </cell>
          <cell r="N8764" t="str">
            <v>B</v>
          </cell>
        </row>
        <row r="8765">
          <cell r="B8765" t="str">
            <v>DC-B1774 / VJXD-86|</v>
          </cell>
          <cell r="J8765" t="str">
            <v>B</v>
          </cell>
          <cell r="N8765" t="str">
            <v>B</v>
          </cell>
        </row>
        <row r="8766">
          <cell r="B8766" t="str">
            <v>DC-B1775 / VJXH-88|</v>
          </cell>
          <cell r="J8766" t="str">
            <v>B</v>
          </cell>
          <cell r="N8766" t="str">
            <v>B</v>
          </cell>
        </row>
        <row r="8767">
          <cell r="B8767" t="str">
            <v>DC-B1776 / VJXJ-27|</v>
          </cell>
          <cell r="J8767" t="str">
            <v>B</v>
          </cell>
          <cell r="N8767" t="str">
            <v>B</v>
          </cell>
        </row>
        <row r="8768">
          <cell r="B8768" t="str">
            <v>DC-B1777 / VJXJ-39|</v>
          </cell>
          <cell r="J8768" t="str">
            <v>B</v>
          </cell>
          <cell r="N8768" t="str">
            <v>B</v>
          </cell>
        </row>
        <row r="8769">
          <cell r="B8769" t="str">
            <v>DC-B1778 / VJXJ-44|</v>
          </cell>
          <cell r="J8769" t="str">
            <v>B</v>
          </cell>
          <cell r="N8769" t="str">
            <v>B</v>
          </cell>
        </row>
        <row r="8770">
          <cell r="B8770" t="str">
            <v>DC-B1779 / VJXJ-46|</v>
          </cell>
          <cell r="J8770" t="str">
            <v>B</v>
          </cell>
          <cell r="N8770" t="str">
            <v>B</v>
          </cell>
        </row>
        <row r="8771">
          <cell r="B8771" t="str">
            <v>DC-B1780 / VJXJ-94|</v>
          </cell>
          <cell r="J8771" t="str">
            <v>B</v>
          </cell>
          <cell r="N8771" t="str">
            <v>B</v>
          </cell>
        </row>
        <row r="8772">
          <cell r="B8772" t="str">
            <v>DC-B1781 / VJXK-14|</v>
          </cell>
          <cell r="J8772" t="str">
            <v>B</v>
          </cell>
          <cell r="N8772" t="str">
            <v>B</v>
          </cell>
        </row>
        <row r="8773">
          <cell r="B8773" t="str">
            <v>DC-B1782 / VJXK-15|</v>
          </cell>
          <cell r="J8773" t="str">
            <v>B</v>
          </cell>
          <cell r="N8773" t="str">
            <v>B</v>
          </cell>
        </row>
        <row r="8774">
          <cell r="B8774" t="str">
            <v>LB-B1783 / VJYH-63|</v>
          </cell>
          <cell r="J8774" t="str">
            <v>B</v>
          </cell>
          <cell r="N8774" t="str">
            <v>B</v>
          </cell>
        </row>
        <row r="8775">
          <cell r="B8775" t="str">
            <v>LB-B1784 / VJYJ-15|</v>
          </cell>
          <cell r="J8775" t="str">
            <v>B</v>
          </cell>
          <cell r="N8775" t="str">
            <v>B</v>
          </cell>
        </row>
        <row r="8776">
          <cell r="B8776" t="str">
            <v>DC-B1785 / VJYJ-22|</v>
          </cell>
          <cell r="J8776" t="str">
            <v>B</v>
          </cell>
          <cell r="N8776" t="str">
            <v>B</v>
          </cell>
        </row>
        <row r="8777">
          <cell r="B8777" t="str">
            <v>LB-B1786 / VJYJ-35|</v>
          </cell>
          <cell r="J8777" t="str">
            <v>B</v>
          </cell>
          <cell r="N8777" t="str">
            <v>B</v>
          </cell>
        </row>
        <row r="8778">
          <cell r="B8778" t="str">
            <v>DC-B1787 / VJYJ-37|</v>
          </cell>
          <cell r="J8778" t="str">
            <v>B</v>
          </cell>
          <cell r="N8778" t="str">
            <v>B</v>
          </cell>
        </row>
        <row r="8779">
          <cell r="B8779" t="str">
            <v>DC-B1788 / VJYJ-44|</v>
          </cell>
          <cell r="J8779" t="str">
            <v>B</v>
          </cell>
          <cell r="N8779" t="str">
            <v>B</v>
          </cell>
        </row>
        <row r="8780">
          <cell r="B8780" t="str">
            <v>DC-B1789 / VJYJ-46|</v>
          </cell>
          <cell r="J8780" t="str">
            <v>B</v>
          </cell>
          <cell r="N8780" t="str">
            <v>B</v>
          </cell>
        </row>
        <row r="8781">
          <cell r="B8781" t="str">
            <v>DC-B1790 / VJYJ-68|</v>
          </cell>
          <cell r="J8781" t="str">
            <v>B</v>
          </cell>
          <cell r="N8781" t="str">
            <v>B</v>
          </cell>
        </row>
        <row r="8782">
          <cell r="B8782" t="str">
            <v>DC-B1791 / VJYJ-75|</v>
          </cell>
          <cell r="J8782" t="str">
            <v>B</v>
          </cell>
          <cell r="N8782" t="str">
            <v>B</v>
          </cell>
        </row>
        <row r="8783">
          <cell r="B8783" t="str">
            <v>DC-B1792 / VJYJ-84|</v>
          </cell>
          <cell r="J8783" t="str">
            <v>B</v>
          </cell>
          <cell r="N8783" t="str">
            <v>B</v>
          </cell>
        </row>
        <row r="8784">
          <cell r="B8784" t="str">
            <v>DC-B1793 / VJYK-73|</v>
          </cell>
          <cell r="J8784" t="str">
            <v>B</v>
          </cell>
          <cell r="N8784" t="str">
            <v>B</v>
          </cell>
        </row>
        <row r="8785">
          <cell r="B8785" t="str">
            <v>DC-B1794 / VJYK-82|</v>
          </cell>
          <cell r="J8785" t="str">
            <v>B</v>
          </cell>
          <cell r="N8785" t="str">
            <v>B</v>
          </cell>
        </row>
        <row r="8786">
          <cell r="B8786" t="str">
            <v>DC-B1795 / VJYK-83|</v>
          </cell>
          <cell r="J8786" t="str">
            <v>B</v>
          </cell>
          <cell r="N8786" t="str">
            <v>B</v>
          </cell>
        </row>
        <row r="8787">
          <cell r="B8787" t="str">
            <v>DC-B1796 / VJYK-86|</v>
          </cell>
          <cell r="J8787" t="str">
            <v>B</v>
          </cell>
          <cell r="N8787" t="str">
            <v>B</v>
          </cell>
        </row>
        <row r="8788">
          <cell r="B8788" t="str">
            <v>DC-B1797 / VJYK-89|</v>
          </cell>
          <cell r="J8788" t="str">
            <v>B</v>
          </cell>
          <cell r="N8788" t="str">
            <v>B</v>
          </cell>
        </row>
        <row r="8789">
          <cell r="B8789" t="str">
            <v>DC-B1798 / VJYK-91|</v>
          </cell>
          <cell r="J8789" t="str">
            <v>B</v>
          </cell>
          <cell r="N8789" t="str">
            <v>B</v>
          </cell>
        </row>
        <row r="8790">
          <cell r="B8790" t="str">
            <v>DC-B1799 / VJYK-95|</v>
          </cell>
          <cell r="J8790" t="str">
            <v>B</v>
          </cell>
          <cell r="N8790" t="str">
            <v>B</v>
          </cell>
        </row>
        <row r="8791">
          <cell r="B8791" t="str">
            <v>DC-B1800 / VJYK-97|</v>
          </cell>
          <cell r="J8791" t="str">
            <v>B</v>
          </cell>
          <cell r="N8791" t="str">
            <v>B</v>
          </cell>
        </row>
        <row r="8792">
          <cell r="B8792" t="str">
            <v>DC-B1801 / VJYK-98|</v>
          </cell>
          <cell r="J8792" t="str">
            <v>B</v>
          </cell>
          <cell r="N8792" t="str">
            <v>B</v>
          </cell>
        </row>
        <row r="8793">
          <cell r="B8793" t="str">
            <v>DC-B1802 / VJYL-12|</v>
          </cell>
          <cell r="J8793" t="str">
            <v>B</v>
          </cell>
          <cell r="N8793" t="str">
            <v>B</v>
          </cell>
        </row>
        <row r="8794">
          <cell r="B8794" t="str">
            <v>DC-B1803 / VJYL-17|</v>
          </cell>
          <cell r="J8794" t="str">
            <v>B</v>
          </cell>
          <cell r="N8794" t="str">
            <v>B</v>
          </cell>
        </row>
        <row r="8795">
          <cell r="B8795" t="str">
            <v>LB-B1804 / VJZB-37|</v>
          </cell>
          <cell r="J8795" t="str">
            <v>B</v>
          </cell>
          <cell r="N8795" t="str">
            <v>B</v>
          </cell>
        </row>
        <row r="8796">
          <cell r="B8796" t="str">
            <v>LB-B1805 / VJZB-47|</v>
          </cell>
          <cell r="J8796" t="str">
            <v>B</v>
          </cell>
          <cell r="N8796" t="str">
            <v>B</v>
          </cell>
        </row>
        <row r="8797">
          <cell r="B8797" t="str">
            <v>LB-B1806 / VJZB-57|</v>
          </cell>
          <cell r="J8797" t="str">
            <v>B</v>
          </cell>
          <cell r="N8797" t="str">
            <v>B</v>
          </cell>
        </row>
        <row r="8798">
          <cell r="B8798" t="str">
            <v>LB-B1807 / VJZB-67|</v>
          </cell>
          <cell r="J8798" t="str">
            <v>B</v>
          </cell>
          <cell r="N8798" t="str">
            <v>B</v>
          </cell>
        </row>
        <row r="8799">
          <cell r="B8799" t="str">
            <v>LB-B1808 / VJZB-77|</v>
          </cell>
          <cell r="J8799" t="str">
            <v>B</v>
          </cell>
          <cell r="N8799" t="str">
            <v>B</v>
          </cell>
        </row>
        <row r="8800">
          <cell r="B8800" t="str">
            <v>DC-B1809 / VJZB-87|</v>
          </cell>
          <cell r="J8800" t="str">
            <v>B</v>
          </cell>
          <cell r="N8800" t="str">
            <v>B</v>
          </cell>
        </row>
        <row r="8801">
          <cell r="B8801" t="str">
            <v>DC-B1810 / VJZB-97|</v>
          </cell>
          <cell r="J8801" t="str">
            <v>B</v>
          </cell>
          <cell r="N8801" t="str">
            <v>B</v>
          </cell>
        </row>
        <row r="8802">
          <cell r="B8802" t="str">
            <v>DC-B1811 / VJZC-57|</v>
          </cell>
          <cell r="J8802" t="str">
            <v>B</v>
          </cell>
          <cell r="N8802" t="str">
            <v>B</v>
          </cell>
        </row>
        <row r="8803">
          <cell r="B8803" t="str">
            <v>DC-B1812 / VJZH-87|</v>
          </cell>
          <cell r="J8803" t="str">
            <v>B</v>
          </cell>
          <cell r="N8803" t="str">
            <v>B</v>
          </cell>
        </row>
        <row r="8804">
          <cell r="B8804" t="str">
            <v>DC-B1813 / VJZH-97|</v>
          </cell>
          <cell r="J8804" t="str">
            <v>B</v>
          </cell>
          <cell r="N8804" t="str">
            <v>B</v>
          </cell>
        </row>
        <row r="8805">
          <cell r="B8805" t="str">
            <v>DC-B1814 / VJZJ-56|</v>
          </cell>
          <cell r="J8805" t="str">
            <v>B</v>
          </cell>
          <cell r="N8805" t="str">
            <v>B</v>
          </cell>
        </row>
        <row r="8806">
          <cell r="B8806" t="str">
            <v>DC-B1815 / VJZJ-66|</v>
          </cell>
          <cell r="J8806" t="str">
            <v>B</v>
          </cell>
          <cell r="N8806" t="str">
            <v>B</v>
          </cell>
        </row>
        <row r="8807">
          <cell r="B8807" t="str">
            <v>DC-B1816 / VKFW-93|</v>
          </cell>
          <cell r="J8807" t="str">
            <v>B</v>
          </cell>
          <cell r="N8807" t="str">
            <v>B</v>
          </cell>
        </row>
        <row r="8808">
          <cell r="B8808" t="str">
            <v>DC-B1817 / VKFX-13|</v>
          </cell>
          <cell r="J8808" t="str">
            <v>B</v>
          </cell>
          <cell r="N8808" t="str">
            <v>B</v>
          </cell>
        </row>
        <row r="8809">
          <cell r="B8809" t="str">
            <v>DC-B1818 / VKFX-33|</v>
          </cell>
          <cell r="J8809" t="str">
            <v>B</v>
          </cell>
          <cell r="N8809" t="str">
            <v>B</v>
          </cell>
        </row>
        <row r="8810">
          <cell r="B8810" t="str">
            <v>DC-B1819 / VKFX-63|</v>
          </cell>
          <cell r="J8810" t="str">
            <v>B</v>
          </cell>
          <cell r="N8810" t="str">
            <v>B</v>
          </cell>
        </row>
        <row r="8811">
          <cell r="B8811" t="str">
            <v>DC-B1820 / VKFX-73|</v>
          </cell>
          <cell r="J8811" t="str">
            <v>B</v>
          </cell>
          <cell r="N8811" t="str">
            <v>B</v>
          </cell>
        </row>
        <row r="8812">
          <cell r="B8812" t="str">
            <v>DC-B1821 / VKFX-93|</v>
          </cell>
          <cell r="J8812" t="str">
            <v>B</v>
          </cell>
          <cell r="N8812" t="str">
            <v>B</v>
          </cell>
        </row>
        <row r="8813">
          <cell r="B8813" t="str">
            <v>DC-B1822 / VKFZ-33|</v>
          </cell>
          <cell r="J8813" t="str">
            <v>B</v>
          </cell>
          <cell r="N8813" t="str">
            <v>B</v>
          </cell>
        </row>
        <row r="8814">
          <cell r="B8814" t="str">
            <v>DC-B1823 / VKFZ-53|</v>
          </cell>
          <cell r="J8814" t="str">
            <v>B</v>
          </cell>
          <cell r="N8814" t="str">
            <v>B</v>
          </cell>
        </row>
        <row r="8815">
          <cell r="B8815" t="str">
            <v>DC-B1824 / VKFZ-93|</v>
          </cell>
          <cell r="J8815" t="str">
            <v>B</v>
          </cell>
          <cell r="N8815" t="str">
            <v>B</v>
          </cell>
        </row>
        <row r="8816">
          <cell r="B8816" t="str">
            <v>DC-B1825 / VKGB-43|</v>
          </cell>
          <cell r="J8816" t="str">
            <v>B</v>
          </cell>
          <cell r="N8816" t="str">
            <v>B</v>
          </cell>
        </row>
        <row r="8817">
          <cell r="B8817" t="str">
            <v>DC-B1826 / VKGB-83|</v>
          </cell>
          <cell r="J8817" t="str">
            <v>B</v>
          </cell>
          <cell r="N8817" t="str">
            <v>B</v>
          </cell>
        </row>
        <row r="8818">
          <cell r="B8818" t="str">
            <v>DC-B1827 / VKGC-23|</v>
          </cell>
          <cell r="J8818" t="str">
            <v>B</v>
          </cell>
          <cell r="N8818" t="str">
            <v>B</v>
          </cell>
        </row>
        <row r="8819">
          <cell r="B8819" t="str">
            <v>DC-B1828 / VKGC-63|</v>
          </cell>
          <cell r="J8819" t="str">
            <v>B</v>
          </cell>
          <cell r="N8819" t="str">
            <v>B</v>
          </cell>
        </row>
        <row r="8820">
          <cell r="B8820" t="str">
            <v>DC-B1829 / VKGC-73|</v>
          </cell>
          <cell r="J8820" t="str">
            <v>B</v>
          </cell>
          <cell r="N8820" t="str">
            <v>B</v>
          </cell>
        </row>
        <row r="8821">
          <cell r="B8821" t="str">
            <v>DC-B1830 / VKGD-33|</v>
          </cell>
          <cell r="J8821" t="str">
            <v>B</v>
          </cell>
          <cell r="N8821" t="str">
            <v>B</v>
          </cell>
        </row>
        <row r="8822">
          <cell r="B8822" t="str">
            <v>DC-B1831 / VKGD-43|</v>
          </cell>
          <cell r="J8822" t="str">
            <v>B</v>
          </cell>
          <cell r="N8822" t="str">
            <v>B</v>
          </cell>
        </row>
        <row r="8823">
          <cell r="B8823" t="str">
            <v>DC-B1832 / VKGF-93|</v>
          </cell>
          <cell r="J8823" t="str">
            <v>B</v>
          </cell>
          <cell r="N8823" t="str">
            <v>B</v>
          </cell>
        </row>
        <row r="8824">
          <cell r="B8824" t="str">
            <v>DC-B1833 / VKGG-13|</v>
          </cell>
          <cell r="J8824" t="str">
            <v>B</v>
          </cell>
          <cell r="N8824" t="str">
            <v>B</v>
          </cell>
        </row>
        <row r="8825">
          <cell r="B8825" t="str">
            <v>DC-B1834 / VKGG-23|</v>
          </cell>
          <cell r="J8825" t="str">
            <v>B</v>
          </cell>
          <cell r="N8825" t="str">
            <v>B</v>
          </cell>
        </row>
        <row r="8826">
          <cell r="B8826" t="str">
            <v>DC-B1835 / VKGG-33|</v>
          </cell>
          <cell r="J8826" t="str">
            <v>B</v>
          </cell>
          <cell r="N8826" t="str">
            <v>B</v>
          </cell>
        </row>
        <row r="8827">
          <cell r="B8827" t="str">
            <v>DC-B1836 / VKGG-53|</v>
          </cell>
          <cell r="J8827" t="str">
            <v>B</v>
          </cell>
          <cell r="N8827" t="str">
            <v>B</v>
          </cell>
        </row>
        <row r="8828">
          <cell r="B8828" t="str">
            <v>DC-B1837 / VKGG-73|</v>
          </cell>
          <cell r="J8828" t="str">
            <v>B</v>
          </cell>
          <cell r="N8828" t="str">
            <v>B</v>
          </cell>
        </row>
        <row r="8829">
          <cell r="B8829" t="str">
            <v>DC-B1838 / VKGG-83|</v>
          </cell>
          <cell r="J8829" t="str">
            <v>B</v>
          </cell>
          <cell r="N8829" t="str">
            <v>B</v>
          </cell>
        </row>
        <row r="8830">
          <cell r="B8830" t="str">
            <v>DC-B1839 / VKGG-93|</v>
          </cell>
          <cell r="J8830" t="str">
            <v>B</v>
          </cell>
          <cell r="N8830" t="str">
            <v>B</v>
          </cell>
        </row>
        <row r="8831">
          <cell r="B8831" t="str">
            <v>DC-B1840 / VKGH-13|</v>
          </cell>
          <cell r="J8831" t="str">
            <v>B</v>
          </cell>
          <cell r="N8831" t="str">
            <v>B</v>
          </cell>
        </row>
        <row r="8832">
          <cell r="B8832" t="str">
            <v>DC-B1841 / VKGH-23|</v>
          </cell>
          <cell r="J8832" t="str">
            <v>B</v>
          </cell>
          <cell r="N8832" t="str">
            <v>B</v>
          </cell>
        </row>
        <row r="8833">
          <cell r="B8833" t="str">
            <v>DC-B1842 / VKGH-33|</v>
          </cell>
          <cell r="J8833" t="str">
            <v>B</v>
          </cell>
          <cell r="N8833" t="str">
            <v>B</v>
          </cell>
        </row>
        <row r="8834">
          <cell r="B8834" t="str">
            <v>DC-B1843 / VKGL-84|</v>
          </cell>
          <cell r="J8834" t="str">
            <v>B</v>
          </cell>
          <cell r="N8834" t="str">
            <v>B</v>
          </cell>
        </row>
        <row r="8835">
          <cell r="B8835" t="str">
            <v>DC-B1844 / VKGP-35|</v>
          </cell>
          <cell r="J8835" t="str">
            <v>B</v>
          </cell>
          <cell r="N8835" t="str">
            <v>B</v>
          </cell>
        </row>
        <row r="8836">
          <cell r="B8836" t="str">
            <v>DC-B1845 / VKGP-45|</v>
          </cell>
          <cell r="J8836" t="str">
            <v>B</v>
          </cell>
          <cell r="N8836" t="str">
            <v>B</v>
          </cell>
        </row>
        <row r="8837">
          <cell r="B8837" t="str">
            <v>DC-B1846 / VKGP-55|</v>
          </cell>
          <cell r="J8837" t="str">
            <v>B</v>
          </cell>
          <cell r="N8837" t="str">
            <v>B</v>
          </cell>
        </row>
        <row r="8838">
          <cell r="B8838" t="str">
            <v>DC-B1847 / VKGP-75|</v>
          </cell>
          <cell r="J8838" t="str">
            <v>B</v>
          </cell>
          <cell r="N8838" t="str">
            <v>B</v>
          </cell>
        </row>
        <row r="8839">
          <cell r="B8839" t="str">
            <v>DC-B1848 / VLBP-23|</v>
          </cell>
          <cell r="J8839" t="str">
            <v>B</v>
          </cell>
          <cell r="N8839" t="str">
            <v>B</v>
          </cell>
        </row>
        <row r="8840">
          <cell r="B8840" t="str">
            <v>DC-B1849 / VLBP-73|</v>
          </cell>
          <cell r="J8840" t="str">
            <v>B</v>
          </cell>
          <cell r="N8840" t="str">
            <v>B</v>
          </cell>
        </row>
        <row r="8841">
          <cell r="B8841" t="str">
            <v>DC-B1850 / VLBZ-78|</v>
          </cell>
          <cell r="J8841" t="str">
            <v>B</v>
          </cell>
          <cell r="N8841" t="str">
            <v>B</v>
          </cell>
        </row>
        <row r="8842">
          <cell r="B8842" t="str">
            <v>DC-B1851 / VLBZ-96|</v>
          </cell>
          <cell r="J8842" t="str">
            <v>B</v>
          </cell>
          <cell r="N8842" t="str">
            <v>B</v>
          </cell>
        </row>
        <row r="8843">
          <cell r="B8843" t="str">
            <v>DC-B1852 / VLCB-26|</v>
          </cell>
          <cell r="J8843" t="str">
            <v>B</v>
          </cell>
          <cell r="N8843" t="str">
            <v>B</v>
          </cell>
        </row>
        <row r="8844">
          <cell r="B8844" t="str">
            <v>DC-B1853 / VLCB-56|</v>
          </cell>
          <cell r="J8844" t="str">
            <v>B</v>
          </cell>
          <cell r="N8844" t="str">
            <v>B</v>
          </cell>
        </row>
        <row r="8845">
          <cell r="B8845" t="str">
            <v>DC-B1854 / VLCC-16|</v>
          </cell>
          <cell r="J8845" t="str">
            <v>B</v>
          </cell>
          <cell r="N8845" t="str">
            <v>B</v>
          </cell>
        </row>
        <row r="8846">
          <cell r="B8846" t="str">
            <v>DC-B1855 / VLCC-36|</v>
          </cell>
          <cell r="J8846" t="str">
            <v>B</v>
          </cell>
          <cell r="N8846" t="str">
            <v>B</v>
          </cell>
        </row>
        <row r="8847">
          <cell r="B8847" t="str">
            <v>DC-B1856 / VLCD-56|</v>
          </cell>
          <cell r="J8847" t="str">
            <v>B</v>
          </cell>
          <cell r="N8847" t="str">
            <v>B</v>
          </cell>
        </row>
        <row r="8848">
          <cell r="B8848" t="str">
            <v>DC-B1857 / VLCD-65|</v>
          </cell>
          <cell r="J8848" t="str">
            <v>B</v>
          </cell>
          <cell r="N8848" t="str">
            <v>B</v>
          </cell>
        </row>
        <row r="8849">
          <cell r="B8849" t="str">
            <v>DC-B1858 / VLCF-18|</v>
          </cell>
          <cell r="J8849" t="str">
            <v>B</v>
          </cell>
          <cell r="N8849" t="str">
            <v>B</v>
          </cell>
        </row>
        <row r="8850">
          <cell r="B8850" t="str">
            <v>DC-B1859 / VLCF-76|</v>
          </cell>
          <cell r="J8850" t="str">
            <v>B</v>
          </cell>
          <cell r="N8850" t="str">
            <v>B</v>
          </cell>
        </row>
        <row r="8851">
          <cell r="B8851" t="str">
            <v>DC-B1860 / VLCG-67|</v>
          </cell>
          <cell r="J8851" t="str">
            <v>B</v>
          </cell>
          <cell r="N8851" t="str">
            <v>B</v>
          </cell>
        </row>
        <row r="8852">
          <cell r="B8852" t="str">
            <v>DC-B1861 / VLCK-37|</v>
          </cell>
          <cell r="J8852" t="str">
            <v>B</v>
          </cell>
          <cell r="N8852" t="str">
            <v>B</v>
          </cell>
        </row>
        <row r="8853">
          <cell r="B8853" t="str">
            <v>DC-B1862 / VLCK-77|</v>
          </cell>
          <cell r="J8853" t="str">
            <v>B</v>
          </cell>
          <cell r="N8853" t="str">
            <v>B</v>
          </cell>
        </row>
        <row r="8854">
          <cell r="B8854" t="str">
            <v>DC-B1863 / VLFG-56|</v>
          </cell>
          <cell r="J8854" t="str">
            <v>B</v>
          </cell>
          <cell r="N8854" t="str">
            <v>B</v>
          </cell>
        </row>
        <row r="8855">
          <cell r="B8855" t="str">
            <v>DC-B1864 / VLFG-69|</v>
          </cell>
          <cell r="J8855" t="str">
            <v>B</v>
          </cell>
          <cell r="N8855" t="str">
            <v>B</v>
          </cell>
        </row>
        <row r="8856">
          <cell r="B8856" t="str">
            <v>DC-B1865 / VLFG-78|</v>
          </cell>
          <cell r="J8856" t="str">
            <v>B</v>
          </cell>
          <cell r="N8856" t="str">
            <v>B</v>
          </cell>
        </row>
        <row r="8857">
          <cell r="B8857" t="str">
            <v>DC-B1866 / VLFG-89|</v>
          </cell>
          <cell r="J8857" t="str">
            <v>B</v>
          </cell>
          <cell r="N8857" t="str">
            <v>B</v>
          </cell>
        </row>
        <row r="8858">
          <cell r="B8858" t="str">
            <v>DC-B1867 / VLFH-16|</v>
          </cell>
          <cell r="J8858" t="str">
            <v>B</v>
          </cell>
          <cell r="N8858" t="str">
            <v>B</v>
          </cell>
        </row>
        <row r="8859">
          <cell r="B8859" t="str">
            <v>DC-B1868 / VLFH-46|</v>
          </cell>
          <cell r="J8859" t="str">
            <v>B</v>
          </cell>
          <cell r="N8859" t="str">
            <v>B</v>
          </cell>
        </row>
        <row r="8860">
          <cell r="B8860" t="str">
            <v>LA-B1869 / VLFH-48|</v>
          </cell>
          <cell r="J8860" t="str">
            <v>B</v>
          </cell>
          <cell r="N8860" t="str">
            <v>B</v>
          </cell>
        </row>
        <row r="8861">
          <cell r="B8861" t="str">
            <v>LA-B1870 / VLFH-56|</v>
          </cell>
          <cell r="J8861" t="str">
            <v>B</v>
          </cell>
          <cell r="N8861" t="str">
            <v>B</v>
          </cell>
        </row>
        <row r="8862">
          <cell r="B8862" t="str">
            <v>LA-B1871 / VLFH-63|</v>
          </cell>
          <cell r="J8862" t="str">
            <v>B</v>
          </cell>
          <cell r="N8862" t="str">
            <v>B</v>
          </cell>
        </row>
        <row r="8863">
          <cell r="B8863" t="str">
            <v>LA-B1872 / VLFJ-57|</v>
          </cell>
          <cell r="J8863" t="str">
            <v>B</v>
          </cell>
          <cell r="N8863" t="str">
            <v>B</v>
          </cell>
        </row>
        <row r="8864">
          <cell r="B8864" t="str">
            <v>LA-B1873 / VLFJ-62|</v>
          </cell>
          <cell r="J8864" t="str">
            <v>B</v>
          </cell>
          <cell r="N8864" t="str">
            <v>B</v>
          </cell>
        </row>
        <row r="8865">
          <cell r="B8865" t="str">
            <v>LA-B1874 / VLFJ-65|</v>
          </cell>
          <cell r="J8865" t="str">
            <v>B</v>
          </cell>
          <cell r="N8865" t="str">
            <v>B</v>
          </cell>
        </row>
        <row r="8866">
          <cell r="B8866" t="str">
            <v>LA-B1875 / VLFJ-82|</v>
          </cell>
          <cell r="J8866" t="str">
            <v>B</v>
          </cell>
          <cell r="N8866" t="str">
            <v>B</v>
          </cell>
        </row>
        <row r="8867">
          <cell r="B8867" t="str">
            <v>LA-B1876 / VLFJ-85|</v>
          </cell>
          <cell r="J8867" t="str">
            <v>B</v>
          </cell>
          <cell r="N8867" t="str">
            <v>B</v>
          </cell>
        </row>
        <row r="8868">
          <cell r="B8868" t="str">
            <v>LA-B1877 / VLLY-27|</v>
          </cell>
          <cell r="J8868" t="str">
            <v>B</v>
          </cell>
          <cell r="N8868" t="str">
            <v>B</v>
          </cell>
        </row>
        <row r="8869">
          <cell r="B8869" t="str">
            <v>LA-B1878 / VLPD-24|</v>
          </cell>
          <cell r="J8869" t="str">
            <v>B</v>
          </cell>
          <cell r="N8869" t="str">
            <v>B</v>
          </cell>
        </row>
        <row r="8870">
          <cell r="B8870" t="str">
            <v>LA-B1879 / VLRS-46|</v>
          </cell>
          <cell r="J8870" t="str">
            <v>B</v>
          </cell>
          <cell r="N8870" t="str">
            <v>B</v>
          </cell>
        </row>
        <row r="8871">
          <cell r="B8871" t="str">
            <v>LA-A1880 / VLSD-60|</v>
          </cell>
          <cell r="J8871" t="str">
            <v>A</v>
          </cell>
          <cell r="N8871" t="str">
            <v>A</v>
          </cell>
        </row>
        <row r="8872">
          <cell r="B8872" t="str">
            <v>LA-A1881 / VLSD-66|</v>
          </cell>
          <cell r="J8872" t="str">
            <v>A</v>
          </cell>
          <cell r="N8872" t="str">
            <v>A</v>
          </cell>
        </row>
        <row r="8873">
          <cell r="B8873" t="str">
            <v>LA-A1882 / VLSD-67|</v>
          </cell>
          <cell r="J8873" t="str">
            <v>A</v>
          </cell>
          <cell r="N8873" t="str">
            <v>A</v>
          </cell>
        </row>
        <row r="8874">
          <cell r="B8874" t="str">
            <v>LA-A1883 / VLSD-68|</v>
          </cell>
          <cell r="J8874" t="str">
            <v>A</v>
          </cell>
          <cell r="N8874" t="str">
            <v>A</v>
          </cell>
        </row>
        <row r="8875">
          <cell r="B8875" t="str">
            <v>LA-A1884 / VLSD-70|</v>
          </cell>
          <cell r="J8875" t="str">
            <v>A</v>
          </cell>
          <cell r="N8875" t="str">
            <v>A</v>
          </cell>
        </row>
        <row r="8876">
          <cell r="B8876" t="str">
            <v>LA-A1885 / VLSD-77|</v>
          </cell>
          <cell r="J8876" t="str">
            <v>A</v>
          </cell>
          <cell r="N8876" t="str">
            <v>A</v>
          </cell>
        </row>
        <row r="8877">
          <cell r="B8877" t="str">
            <v>LA-A1886 / VLSJ-88|</v>
          </cell>
          <cell r="J8877" t="str">
            <v>A</v>
          </cell>
          <cell r="N8877" t="str">
            <v>A</v>
          </cell>
        </row>
        <row r="8878">
          <cell r="B8878" t="str">
            <v>LA-A1887 / VLSK-17|</v>
          </cell>
          <cell r="J8878" t="str">
            <v>A</v>
          </cell>
          <cell r="N8878" t="str">
            <v>A</v>
          </cell>
        </row>
        <row r="8879">
          <cell r="B8879" t="str">
            <v>LA-A1888 / VLSK-18|</v>
          </cell>
          <cell r="J8879" t="str">
            <v>A</v>
          </cell>
          <cell r="N8879" t="str">
            <v>A</v>
          </cell>
        </row>
        <row r="8880">
          <cell r="B8880" t="str">
            <v>LA-B1889 / VLSK-19|</v>
          </cell>
          <cell r="J8880" t="str">
            <v>B</v>
          </cell>
          <cell r="N8880" t="str">
            <v>B</v>
          </cell>
        </row>
        <row r="8881">
          <cell r="B8881" t="str">
            <v>LA-B1890 / VLSK-23|</v>
          </cell>
          <cell r="J8881" t="str">
            <v>B</v>
          </cell>
          <cell r="N8881" t="str">
            <v>B</v>
          </cell>
        </row>
        <row r="8882">
          <cell r="B8882" t="str">
            <v>LA-B1891 / VLSK-25|</v>
          </cell>
          <cell r="J8882" t="str">
            <v>B</v>
          </cell>
          <cell r="N8882" t="str">
            <v>B</v>
          </cell>
        </row>
        <row r="8883">
          <cell r="B8883" t="str">
            <v>LA-B1892 / VLSK-26|</v>
          </cell>
          <cell r="J8883" t="str">
            <v>B</v>
          </cell>
          <cell r="N8883" t="str">
            <v>B</v>
          </cell>
        </row>
        <row r="8884">
          <cell r="B8884" t="str">
            <v>LA-B1893 / VLSK-29|</v>
          </cell>
          <cell r="J8884" t="str">
            <v>B</v>
          </cell>
          <cell r="N8884" t="str">
            <v>B</v>
          </cell>
        </row>
        <row r="8885">
          <cell r="B8885" t="str">
            <v>LA-B1894 / VLSK-30|</v>
          </cell>
          <cell r="J8885" t="str">
            <v>B</v>
          </cell>
          <cell r="N8885" t="str">
            <v>B</v>
          </cell>
        </row>
        <row r="8886">
          <cell r="B8886" t="str">
            <v>LA-B1895 / VLSK-39|</v>
          </cell>
          <cell r="J8886" t="str">
            <v>B</v>
          </cell>
          <cell r="N8886" t="str">
            <v>B</v>
          </cell>
        </row>
        <row r="8887">
          <cell r="B8887" t="str">
            <v>LA-B1896 / VLSK-44|</v>
          </cell>
          <cell r="J8887" t="str">
            <v>B</v>
          </cell>
          <cell r="N8887" t="str">
            <v>B</v>
          </cell>
        </row>
        <row r="8888">
          <cell r="B8888" t="str">
            <v>LA-B1897 / VLSK-46|</v>
          </cell>
          <cell r="J8888" t="str">
            <v>B</v>
          </cell>
          <cell r="N8888" t="str">
            <v>B</v>
          </cell>
        </row>
        <row r="8889">
          <cell r="B8889" t="str">
            <v>LA-B1898 / VLSK-53|</v>
          </cell>
          <cell r="J8889" t="str">
            <v>B</v>
          </cell>
          <cell r="N8889" t="str">
            <v>B</v>
          </cell>
        </row>
        <row r="8890">
          <cell r="B8890" t="str">
            <v>LA-B1899 / VLSK-64|</v>
          </cell>
          <cell r="J8890" t="str">
            <v>B</v>
          </cell>
          <cell r="N8890" t="str">
            <v>B</v>
          </cell>
        </row>
        <row r="8891">
          <cell r="B8891" t="str">
            <v>LA-B1900 / VLSK-70|</v>
          </cell>
          <cell r="J8891" t="str">
            <v>B</v>
          </cell>
          <cell r="N8891" t="str">
            <v>B</v>
          </cell>
        </row>
        <row r="8892">
          <cell r="B8892" t="str">
            <v>LA-B1901 / VLSK-77|</v>
          </cell>
          <cell r="J8892" t="str">
            <v>B</v>
          </cell>
          <cell r="N8892" t="str">
            <v>B</v>
          </cell>
        </row>
        <row r="8893">
          <cell r="B8893" t="str">
            <v>LA-B1902 / VLSK-86|</v>
          </cell>
          <cell r="J8893" t="str">
            <v>B</v>
          </cell>
          <cell r="N8893" t="str">
            <v>B</v>
          </cell>
        </row>
        <row r="8894">
          <cell r="B8894" t="str">
            <v>LA-B1903 / VLSK-93|</v>
          </cell>
          <cell r="J8894" t="str">
            <v>B</v>
          </cell>
          <cell r="N8894" t="str">
            <v>B</v>
          </cell>
        </row>
        <row r="8895">
          <cell r="B8895" t="str">
            <v>LA-B1904 / VLSK-95|</v>
          </cell>
          <cell r="J8895" t="str">
            <v>B</v>
          </cell>
          <cell r="N8895" t="str">
            <v>B</v>
          </cell>
        </row>
        <row r="8896">
          <cell r="B8896" t="str">
            <v>LA-B1905 / VLSK-99|</v>
          </cell>
          <cell r="J8896" t="str">
            <v>B</v>
          </cell>
          <cell r="N8896" t="str">
            <v>B</v>
          </cell>
        </row>
        <row r="8897">
          <cell r="B8897" t="str">
            <v>LA-B1906 / VLSL-10|</v>
          </cell>
          <cell r="J8897" t="str">
            <v>B</v>
          </cell>
          <cell r="N8897" t="str">
            <v>B</v>
          </cell>
        </row>
        <row r="8898">
          <cell r="B8898" t="str">
            <v>LA-B1907 / VLSL-16|</v>
          </cell>
          <cell r="J8898" t="str">
            <v>B</v>
          </cell>
          <cell r="N8898" t="str">
            <v>B</v>
          </cell>
        </row>
        <row r="8899">
          <cell r="B8899" t="str">
            <v>LA-B1908 / VLSL-25|</v>
          </cell>
          <cell r="J8899" t="str">
            <v>B</v>
          </cell>
          <cell r="N8899" t="str">
            <v>B</v>
          </cell>
        </row>
        <row r="8900">
          <cell r="B8900" t="str">
            <v>LA-B1909 / VLSS-34|</v>
          </cell>
          <cell r="J8900" t="str">
            <v>B</v>
          </cell>
          <cell r="N8900" t="str">
            <v>B</v>
          </cell>
        </row>
        <row r="8901">
          <cell r="B8901" t="str">
            <v>LA-B1910 / VLSS-37|</v>
          </cell>
          <cell r="J8901" t="str">
            <v>B</v>
          </cell>
          <cell r="N8901" t="str">
            <v>B</v>
          </cell>
        </row>
        <row r="8902">
          <cell r="B8902" t="str">
            <v>LA-B1911 / VLSS-45|</v>
          </cell>
          <cell r="J8902" t="str">
            <v>B</v>
          </cell>
          <cell r="N8902" t="str">
            <v>B</v>
          </cell>
        </row>
        <row r="8903">
          <cell r="B8903" t="str">
            <v>LA-B1912 / VLSS-69|</v>
          </cell>
          <cell r="J8903" t="str">
            <v>B</v>
          </cell>
          <cell r="N8903" t="str">
            <v>B</v>
          </cell>
        </row>
        <row r="8904">
          <cell r="B8904" t="str">
            <v>LA-B1913 / VLSS-88|</v>
          </cell>
          <cell r="J8904" t="str">
            <v>B</v>
          </cell>
          <cell r="N8904" t="str">
            <v>B</v>
          </cell>
        </row>
        <row r="8905">
          <cell r="B8905" t="str">
            <v>LA-B1914 / VLST-15|</v>
          </cell>
          <cell r="J8905" t="str">
            <v>B</v>
          </cell>
          <cell r="N8905" t="str">
            <v>B</v>
          </cell>
        </row>
        <row r="8906">
          <cell r="B8906" t="str">
            <v>LA-B1915 / VLST-23|</v>
          </cell>
          <cell r="J8906" t="str">
            <v>B</v>
          </cell>
          <cell r="N8906" t="str">
            <v>B</v>
          </cell>
        </row>
        <row r="8907">
          <cell r="B8907" t="str">
            <v>LA-B1916 / VLST-92|</v>
          </cell>
          <cell r="J8907" t="str">
            <v>B</v>
          </cell>
          <cell r="N8907" t="str">
            <v>B</v>
          </cell>
        </row>
        <row r="8908">
          <cell r="B8908" t="str">
            <v>LA-B1917 / VLSV-15|</v>
          </cell>
          <cell r="J8908" t="str">
            <v>B</v>
          </cell>
          <cell r="N8908" t="str">
            <v>B</v>
          </cell>
        </row>
        <row r="8909">
          <cell r="B8909" t="str">
            <v>LA-B1918 / VLSV-32|</v>
          </cell>
          <cell r="J8909" t="str">
            <v>B</v>
          </cell>
          <cell r="N8909" t="str">
            <v>B</v>
          </cell>
        </row>
        <row r="8910">
          <cell r="B8910" t="str">
            <v>LA-B1919 / VLSW-32|</v>
          </cell>
          <cell r="J8910" t="str">
            <v>B</v>
          </cell>
          <cell r="N8910" t="str">
            <v>B</v>
          </cell>
        </row>
        <row r="8911">
          <cell r="B8911" t="str">
            <v>LA-B1920 / VLSY-93|</v>
          </cell>
          <cell r="J8911" t="str">
            <v>B</v>
          </cell>
          <cell r="N8911" t="str">
            <v>B</v>
          </cell>
        </row>
        <row r="8912">
          <cell r="B8912" t="str">
            <v>LA-B1921 / VLSY-95|</v>
          </cell>
          <cell r="J8912" t="str">
            <v>B</v>
          </cell>
          <cell r="N8912" t="str">
            <v>B</v>
          </cell>
        </row>
        <row r="8913">
          <cell r="B8913" t="str">
            <v>LA-B1922 / VLSY-96|</v>
          </cell>
          <cell r="J8913" t="str">
            <v>B</v>
          </cell>
          <cell r="N8913" t="str">
            <v>B</v>
          </cell>
        </row>
        <row r="8914">
          <cell r="B8914" t="str">
            <v>LA-B1923 / VLSY-97|</v>
          </cell>
          <cell r="J8914" t="str">
            <v>B</v>
          </cell>
          <cell r="N8914" t="str">
            <v>B</v>
          </cell>
        </row>
        <row r="8915">
          <cell r="B8915" t="str">
            <v>LA-B1924 / VLSY-98|</v>
          </cell>
          <cell r="J8915" t="str">
            <v>B</v>
          </cell>
          <cell r="N8915" t="str">
            <v>B</v>
          </cell>
        </row>
        <row r="8916">
          <cell r="B8916" t="str">
            <v>LA-B1925 / VLSZ-15|</v>
          </cell>
          <cell r="J8916" t="str">
            <v>B</v>
          </cell>
          <cell r="N8916" t="str">
            <v>B</v>
          </cell>
        </row>
        <row r="8917">
          <cell r="B8917" t="str">
            <v>LA-B1926 / VLSZ-16|</v>
          </cell>
          <cell r="J8917" t="str">
            <v>B</v>
          </cell>
          <cell r="N8917" t="str">
            <v>B</v>
          </cell>
        </row>
        <row r="8918">
          <cell r="B8918" t="str">
            <v>LA-B1927 / VLSZ-23|</v>
          </cell>
          <cell r="J8918" t="str">
            <v>B</v>
          </cell>
          <cell r="N8918" t="str">
            <v>B</v>
          </cell>
        </row>
        <row r="8919">
          <cell r="B8919" t="str">
            <v>LA-B1928 / VLSZ-25|</v>
          </cell>
          <cell r="J8919" t="str">
            <v>B</v>
          </cell>
          <cell r="N8919" t="str">
            <v>B</v>
          </cell>
        </row>
        <row r="8920">
          <cell r="B8920" t="str">
            <v>LA-B1929 / VLSZ-26|</v>
          </cell>
          <cell r="J8920" t="str">
            <v>B</v>
          </cell>
          <cell r="N8920" t="str">
            <v>B</v>
          </cell>
        </row>
        <row r="8921">
          <cell r="B8921" t="str">
            <v>LA-B1930 / VLSZ-46|</v>
          </cell>
          <cell r="J8921" t="str">
            <v>B</v>
          </cell>
          <cell r="N8921" t="str">
            <v>B</v>
          </cell>
        </row>
        <row r="8922">
          <cell r="B8922" t="str">
            <v>LA-B1931 / VLSZ-52|</v>
          </cell>
          <cell r="J8922" t="str">
            <v>B</v>
          </cell>
          <cell r="N8922" t="str">
            <v>B</v>
          </cell>
        </row>
        <row r="8923">
          <cell r="B8923" t="str">
            <v>LA-B1932 / VLSZ-54|</v>
          </cell>
          <cell r="J8923" t="str">
            <v>B</v>
          </cell>
          <cell r="N8923" t="str">
            <v>B</v>
          </cell>
        </row>
        <row r="8924">
          <cell r="B8924" t="str">
            <v>LA-B1933 / VLSZ-65|</v>
          </cell>
          <cell r="J8924" t="str">
            <v>B</v>
          </cell>
          <cell r="N8924" t="str">
            <v>B</v>
          </cell>
        </row>
        <row r="8925">
          <cell r="B8925" t="str">
            <v>LA-B1934 / VLSZ-68|</v>
          </cell>
          <cell r="J8925" t="str">
            <v>B</v>
          </cell>
          <cell r="N8925" t="str">
            <v>B</v>
          </cell>
        </row>
        <row r="8926">
          <cell r="B8926" t="str">
            <v>LA-B1935 / VLSZ-75|</v>
          </cell>
          <cell r="J8926" t="str">
            <v>B</v>
          </cell>
          <cell r="N8926" t="str">
            <v>B</v>
          </cell>
        </row>
        <row r="8927">
          <cell r="B8927" t="str">
            <v>LA-B1936 / VLTB-15|</v>
          </cell>
          <cell r="J8927" t="str">
            <v>B</v>
          </cell>
          <cell r="N8927" t="str">
            <v>B</v>
          </cell>
        </row>
        <row r="8928">
          <cell r="B8928" t="str">
            <v>LA-B1937 / VLTB-35|</v>
          </cell>
          <cell r="J8928" t="str">
            <v>B</v>
          </cell>
          <cell r="N8928" t="str">
            <v>B</v>
          </cell>
        </row>
        <row r="8929">
          <cell r="B8929" t="str">
            <v>LA-B1938 / VLTB-43|</v>
          </cell>
          <cell r="J8929" t="str">
            <v>B</v>
          </cell>
          <cell r="N8929" t="str">
            <v>B</v>
          </cell>
        </row>
        <row r="8930">
          <cell r="B8930" t="str">
            <v>LA-B1939 / VLTB-85|</v>
          </cell>
          <cell r="J8930" t="str">
            <v>B</v>
          </cell>
          <cell r="N8930" t="str">
            <v>B</v>
          </cell>
        </row>
        <row r="8931">
          <cell r="B8931" t="str">
            <v>LA-B1940 / VLTB-93|</v>
          </cell>
          <cell r="J8931" t="str">
            <v>B</v>
          </cell>
          <cell r="N8931" t="str">
            <v>B</v>
          </cell>
        </row>
        <row r="8932">
          <cell r="B8932" t="str">
            <v>LA-B1941 / VLTB-94|</v>
          </cell>
          <cell r="J8932" t="str">
            <v>B</v>
          </cell>
          <cell r="N8932" t="str">
            <v>B</v>
          </cell>
        </row>
        <row r="8933">
          <cell r="B8933" t="str">
            <v>LA-B1942 / VLTC-16|</v>
          </cell>
          <cell r="J8933" t="str">
            <v>B</v>
          </cell>
          <cell r="N8933" t="str">
            <v>B</v>
          </cell>
        </row>
        <row r="8934">
          <cell r="B8934" t="str">
            <v>LA-B1943 / VLTC-17|</v>
          </cell>
          <cell r="J8934" t="str">
            <v>B</v>
          </cell>
          <cell r="N8934" t="str">
            <v>B</v>
          </cell>
        </row>
        <row r="8935">
          <cell r="B8935" t="str">
            <v>LA-B1944 / VLTC-21|</v>
          </cell>
          <cell r="J8935" t="str">
            <v>B</v>
          </cell>
          <cell r="N8935" t="str">
            <v>B</v>
          </cell>
        </row>
        <row r="8936">
          <cell r="B8936" t="str">
            <v>LA-B1945 / VLTC-23|</v>
          </cell>
          <cell r="J8936" t="str">
            <v>B</v>
          </cell>
          <cell r="N8936" t="str">
            <v>B</v>
          </cell>
        </row>
        <row r="8937">
          <cell r="B8937" t="str">
            <v>LA-B1946 / VLTC-32|</v>
          </cell>
          <cell r="J8937" t="str">
            <v>B</v>
          </cell>
          <cell r="N8937" t="str">
            <v>B</v>
          </cell>
        </row>
        <row r="8938">
          <cell r="B8938" t="str">
            <v>LA-B1947 / VLTC-33|</v>
          </cell>
          <cell r="J8938" t="str">
            <v>B</v>
          </cell>
          <cell r="N8938" t="str">
            <v>B</v>
          </cell>
        </row>
        <row r="8939">
          <cell r="B8939" t="str">
            <v>LA-B1948 / VLTC-34|</v>
          </cell>
          <cell r="J8939" t="str">
            <v>B</v>
          </cell>
          <cell r="N8939" t="str">
            <v>B</v>
          </cell>
        </row>
        <row r="8940">
          <cell r="B8940" t="str">
            <v>LA-B1949 / VLTC-35|</v>
          </cell>
          <cell r="J8940" t="str">
            <v>B</v>
          </cell>
          <cell r="N8940" t="str">
            <v>B</v>
          </cell>
        </row>
        <row r="8941">
          <cell r="B8941" t="str">
            <v>LA-B1950 / VLTC-36|</v>
          </cell>
          <cell r="J8941" t="str">
            <v>B</v>
          </cell>
          <cell r="N8941" t="str">
            <v>B</v>
          </cell>
        </row>
        <row r="8942">
          <cell r="B8942" t="str">
            <v>LA-B1951 / VLTC-37|</v>
          </cell>
          <cell r="J8942" t="str">
            <v>B</v>
          </cell>
          <cell r="N8942" t="str">
            <v>B</v>
          </cell>
        </row>
        <row r="8943">
          <cell r="B8943" t="str">
            <v>LA-B1952 / VLTC-43|</v>
          </cell>
          <cell r="J8943" t="str">
            <v>B</v>
          </cell>
          <cell r="N8943" t="str">
            <v>B</v>
          </cell>
        </row>
        <row r="8944">
          <cell r="B8944" t="str">
            <v>LA-B1953 / VLTC-44|</v>
          </cell>
          <cell r="J8944" t="str">
            <v>B</v>
          </cell>
          <cell r="N8944" t="str">
            <v>B</v>
          </cell>
        </row>
        <row r="8945">
          <cell r="B8945" t="str">
            <v>LA-B1954 / VLTC-45|</v>
          </cell>
          <cell r="J8945" t="str">
            <v>B</v>
          </cell>
          <cell r="N8945" t="str">
            <v>B</v>
          </cell>
        </row>
        <row r="8946">
          <cell r="B8946" t="str">
            <v>LA-B1955 / VLTC-53|</v>
          </cell>
          <cell r="J8946" t="str">
            <v>B</v>
          </cell>
          <cell r="N8946" t="str">
            <v>B</v>
          </cell>
        </row>
        <row r="8947">
          <cell r="B8947" t="str">
            <v>LA-B1956 / VLTC-62|</v>
          </cell>
          <cell r="J8947" t="str">
            <v>B</v>
          </cell>
          <cell r="N8947" t="str">
            <v>B</v>
          </cell>
        </row>
        <row r="8948">
          <cell r="B8948" t="str">
            <v>LA-B1957 / VLTC-92|</v>
          </cell>
          <cell r="J8948" t="str">
            <v>B</v>
          </cell>
          <cell r="N8948" t="str">
            <v>B</v>
          </cell>
        </row>
        <row r="8949">
          <cell r="B8949" t="str">
            <v>LA-B1958 / VPBC-75|</v>
          </cell>
          <cell r="J8949" t="str">
            <v>B</v>
          </cell>
          <cell r="N8949" t="str">
            <v>B</v>
          </cell>
        </row>
        <row r="8950">
          <cell r="B8950" t="str">
            <v>LA-B1959 / VPBD-15|</v>
          </cell>
          <cell r="J8950" t="str">
            <v>B</v>
          </cell>
          <cell r="N8950" t="str">
            <v>B</v>
          </cell>
        </row>
        <row r="8951">
          <cell r="B8951" t="str">
            <v>LA-B1960 / VPBD-25|</v>
          </cell>
          <cell r="J8951" t="str">
            <v>B</v>
          </cell>
          <cell r="N8951" t="str">
            <v>B</v>
          </cell>
        </row>
        <row r="8952">
          <cell r="B8952" t="str">
            <v>LA-B1961 / VPBD-64|</v>
          </cell>
          <cell r="J8952" t="str">
            <v>B</v>
          </cell>
          <cell r="N8952" t="str">
            <v>B</v>
          </cell>
        </row>
        <row r="8953">
          <cell r="B8953" t="str">
            <v>LA-B1962 / VPBD-84|</v>
          </cell>
          <cell r="J8953" t="str">
            <v>B</v>
          </cell>
          <cell r="N8953" t="str">
            <v>B</v>
          </cell>
        </row>
        <row r="8954">
          <cell r="B8954" t="str">
            <v>LA-B1963 / VPBF-11|</v>
          </cell>
          <cell r="J8954" t="str">
            <v>B</v>
          </cell>
          <cell r="N8954" t="str">
            <v>B</v>
          </cell>
        </row>
        <row r="8955">
          <cell r="B8955" t="str">
            <v>LA-B1964 / VPBF-13|</v>
          </cell>
          <cell r="J8955" t="str">
            <v>B</v>
          </cell>
          <cell r="N8955" t="str">
            <v>B</v>
          </cell>
        </row>
        <row r="8956">
          <cell r="B8956" t="str">
            <v>LA-B1965 / VPBF-14|</v>
          </cell>
          <cell r="J8956" t="str">
            <v>B</v>
          </cell>
          <cell r="N8956" t="str">
            <v>B</v>
          </cell>
        </row>
        <row r="8957">
          <cell r="B8957" t="str">
            <v>LA-B1966 / VPBF-41|</v>
          </cell>
          <cell r="J8957" t="str">
            <v>B</v>
          </cell>
          <cell r="N8957" t="str">
            <v>B</v>
          </cell>
        </row>
        <row r="8958">
          <cell r="B8958" t="str">
            <v>LA-B1967 / VPBF-51|</v>
          </cell>
          <cell r="J8958" t="str">
            <v>B</v>
          </cell>
          <cell r="N8958" t="str">
            <v>B</v>
          </cell>
        </row>
        <row r="8959">
          <cell r="B8959" t="str">
            <v>LA-B1968 / VPBF-63|</v>
          </cell>
          <cell r="J8959" t="str">
            <v>B</v>
          </cell>
          <cell r="N8959" t="str">
            <v>B</v>
          </cell>
        </row>
        <row r="8960">
          <cell r="B8960" t="str">
            <v>LA-B1969 / VPBF-71|</v>
          </cell>
          <cell r="J8960" t="str">
            <v>B</v>
          </cell>
          <cell r="N8960" t="str">
            <v>B</v>
          </cell>
        </row>
        <row r="8961">
          <cell r="B8961" t="str">
            <v>LA-B1970 / VPBF-93|</v>
          </cell>
          <cell r="J8961" t="str">
            <v>B</v>
          </cell>
          <cell r="N8961" t="str">
            <v>B</v>
          </cell>
        </row>
        <row r="8962">
          <cell r="B8962" t="str">
            <v>LA-B1971 / VPBG-88|</v>
          </cell>
          <cell r="J8962" t="str">
            <v>B</v>
          </cell>
          <cell r="N8962" t="str">
            <v>B</v>
          </cell>
        </row>
        <row r="8963">
          <cell r="B8963" t="str">
            <v>LA-B1972 / VPBK-91|</v>
          </cell>
          <cell r="J8963" t="str">
            <v>B</v>
          </cell>
          <cell r="N8963" t="str">
            <v>B</v>
          </cell>
        </row>
        <row r="8964">
          <cell r="B8964" t="str">
            <v>LL-BP1000 / FLXZ-94|</v>
          </cell>
          <cell r="J8964" t="str">
            <v>B2PAL</v>
          </cell>
          <cell r="N8964" t="str">
            <v>B2PAL</v>
          </cell>
        </row>
        <row r="8965">
          <cell r="B8965" t="str">
            <v>LL-BP1002 / GCBC-16|</v>
          </cell>
          <cell r="J8965" t="str">
            <v>B2PAL</v>
          </cell>
          <cell r="N8965" t="str">
            <v>B2PAL</v>
          </cell>
        </row>
        <row r="8966">
          <cell r="B8966" t="str">
            <v>LL-BP1003 / GCBC-17|</v>
          </cell>
          <cell r="J8966" t="str">
            <v>B2PAL</v>
          </cell>
          <cell r="N8966" t="str">
            <v>B2PAL</v>
          </cell>
        </row>
        <row r="8967">
          <cell r="B8967" t="str">
            <v>SJ-BP1004 / GCBC-18|</v>
          </cell>
          <cell r="J8967" t="str">
            <v>B2PAL</v>
          </cell>
          <cell r="N8967" t="str">
            <v>B2PAL</v>
          </cell>
        </row>
        <row r="8968">
          <cell r="B8968" t="str">
            <v>SJ-BP1005 / GCBC-19|</v>
          </cell>
          <cell r="J8968" t="str">
            <v>B2PAL</v>
          </cell>
          <cell r="N8968" t="str">
            <v>B2PAL</v>
          </cell>
        </row>
        <row r="8969">
          <cell r="B8969" t="str">
            <v>SJ-BP1006 / GCBC-20|</v>
          </cell>
          <cell r="J8969" t="str">
            <v>B2PAL</v>
          </cell>
          <cell r="N8969" t="str">
            <v>B2PAL</v>
          </cell>
        </row>
        <row r="8970">
          <cell r="B8970" t="str">
            <v>LL-BP1007 / GCBC-21|</v>
          </cell>
          <cell r="J8970" t="str">
            <v>B2PAL</v>
          </cell>
          <cell r="N8970" t="str">
            <v>B2PAL</v>
          </cell>
        </row>
        <row r="8971">
          <cell r="B8971" t="str">
            <v>LL-BP1008 / GCBC-22|</v>
          </cell>
          <cell r="J8971" t="str">
            <v>B2PAL</v>
          </cell>
          <cell r="N8971" t="str">
            <v>B2PAL</v>
          </cell>
        </row>
        <row r="8972">
          <cell r="B8972" t="str">
            <v>LL-BP1009 / GCBC-23|</v>
          </cell>
          <cell r="J8972" t="str">
            <v>B2PAL</v>
          </cell>
          <cell r="N8972" t="str">
            <v>B2PAL</v>
          </cell>
        </row>
        <row r="8973">
          <cell r="B8973" t="str">
            <v>LL-BP1010 / GCBB-16|</v>
          </cell>
          <cell r="J8973" t="str">
            <v>B2PAL</v>
          </cell>
          <cell r="N8973" t="str">
            <v>B2PAL</v>
          </cell>
        </row>
        <row r="8974">
          <cell r="B8974" t="str">
            <v>LL-BP1011 / GCBB-17|</v>
          </cell>
          <cell r="J8974" t="str">
            <v>B2PAL</v>
          </cell>
          <cell r="N8974" t="str">
            <v>B2PAL</v>
          </cell>
        </row>
        <row r="8975">
          <cell r="B8975" t="str">
            <v>SJ-BP1012 / GCBB-18|</v>
          </cell>
          <cell r="J8975" t="str">
            <v>B2PAL</v>
          </cell>
          <cell r="N8975" t="str">
            <v>B2PAL</v>
          </cell>
        </row>
        <row r="8976">
          <cell r="B8976" t="str">
            <v>LL-BP1013 / GCBB-19|</v>
          </cell>
          <cell r="J8976" t="str">
            <v>B2PAL</v>
          </cell>
          <cell r="N8976" t="str">
            <v>B2PAL</v>
          </cell>
        </row>
        <row r="8977">
          <cell r="B8977" t="str">
            <v>LL-BP1014 / GCBB-20|</v>
          </cell>
          <cell r="J8977" t="str">
            <v>B2PAL</v>
          </cell>
          <cell r="N8977" t="str">
            <v>B2PAL</v>
          </cell>
        </row>
        <row r="8978">
          <cell r="B8978" t="str">
            <v>LL-BP1015 / GCBB-21|</v>
          </cell>
          <cell r="J8978" t="str">
            <v>B2PAL</v>
          </cell>
          <cell r="N8978" t="str">
            <v>B2PAL</v>
          </cell>
        </row>
        <row r="8979">
          <cell r="B8979" t="str">
            <v>LL-BP1016 / GCBB-22|</v>
          </cell>
          <cell r="J8979" t="str">
            <v>B2PAL</v>
          </cell>
          <cell r="N8979" t="str">
            <v>B2PAL</v>
          </cell>
        </row>
        <row r="8980">
          <cell r="B8980" t="str">
            <v>LL-BP1017 / GCBB-23|</v>
          </cell>
          <cell r="J8980" t="str">
            <v>B2PAL</v>
          </cell>
          <cell r="N8980" t="str">
            <v>B2PAL</v>
          </cell>
        </row>
        <row r="8981">
          <cell r="B8981" t="str">
            <v>LL-BP1018 / GCBB-24|</v>
          </cell>
          <cell r="J8981" t="str">
            <v>B2PAL</v>
          </cell>
          <cell r="N8981" t="str">
            <v>B2PAL</v>
          </cell>
        </row>
        <row r="8982">
          <cell r="B8982" t="str">
            <v>LL-BP1019 / FLXZ-96|</v>
          </cell>
          <cell r="J8982" t="str">
            <v>B2PAL</v>
          </cell>
          <cell r="N8982" t="str">
            <v>B2PAL</v>
          </cell>
        </row>
        <row r="8983">
          <cell r="B8983" t="str">
            <v>LL-BP1020 / GCBB-25|</v>
          </cell>
          <cell r="J8983" t="str">
            <v>B2PAL</v>
          </cell>
          <cell r="N8983" t="str">
            <v>B2PAL</v>
          </cell>
        </row>
        <row r="8984">
          <cell r="B8984" t="str">
            <v>LL-BP1021 / GCBB-26|</v>
          </cell>
          <cell r="J8984" t="str">
            <v>B2PAL</v>
          </cell>
          <cell r="N8984" t="str">
            <v>B2PAL</v>
          </cell>
        </row>
        <row r="8985">
          <cell r="B8985" t="str">
            <v>LL-BP1022 / GCBB-27|</v>
          </cell>
          <cell r="J8985" t="str">
            <v>B2PAL</v>
          </cell>
          <cell r="N8985" t="str">
            <v>B2PAL</v>
          </cell>
        </row>
        <row r="8986">
          <cell r="B8986" t="str">
            <v>LL-BP1023 / GCBB-28|</v>
          </cell>
          <cell r="J8986" t="str">
            <v>B2PAL</v>
          </cell>
          <cell r="N8986" t="str">
            <v>B2PAL</v>
          </cell>
        </row>
        <row r="8987">
          <cell r="B8987" t="str">
            <v>LL-BP1024 / GCBB-29|</v>
          </cell>
          <cell r="J8987" t="str">
            <v>B2PAL</v>
          </cell>
          <cell r="N8987" t="str">
            <v>B2PAL</v>
          </cell>
        </row>
        <row r="8988">
          <cell r="B8988" t="str">
            <v>LL-BP1025 / GCBB-30|</v>
          </cell>
          <cell r="J8988" t="str">
            <v>B2PAL</v>
          </cell>
          <cell r="N8988" t="str">
            <v>B2PAL</v>
          </cell>
        </row>
        <row r="8989">
          <cell r="B8989" t="str">
            <v>LL-BP1026 / GCBB-31|</v>
          </cell>
          <cell r="J8989" t="str">
            <v>B2PAL</v>
          </cell>
          <cell r="N8989" t="str">
            <v>B2PAL</v>
          </cell>
        </row>
        <row r="8990">
          <cell r="B8990" t="str">
            <v>LL-BP1027 / GCBB-32|</v>
          </cell>
          <cell r="J8990" t="str">
            <v>B2PAL</v>
          </cell>
          <cell r="N8990" t="str">
            <v>B2PAL</v>
          </cell>
        </row>
        <row r="8991">
          <cell r="B8991" t="str">
            <v>SJ-BP1028 / GCBB-33|</v>
          </cell>
          <cell r="J8991" t="str">
            <v>B2PAL</v>
          </cell>
          <cell r="N8991" t="str">
            <v>B2PAL</v>
          </cell>
        </row>
        <row r="8992">
          <cell r="B8992" t="str">
            <v>LL-BP1029 / GCBB-34|</v>
          </cell>
          <cell r="J8992" t="str">
            <v>B2PAL</v>
          </cell>
          <cell r="N8992" t="str">
            <v>B2PAL</v>
          </cell>
        </row>
        <row r="8993">
          <cell r="B8993" t="str">
            <v>LL-BP1030 / FLXZ-97|</v>
          </cell>
          <cell r="J8993" t="str">
            <v>B2PAL</v>
          </cell>
          <cell r="N8993" t="str">
            <v>B2PAL</v>
          </cell>
        </row>
        <row r="8994">
          <cell r="B8994" t="str">
            <v>LL-BP1031 / GCBB-35|</v>
          </cell>
          <cell r="J8994" t="str">
            <v>B2PAL</v>
          </cell>
          <cell r="N8994" t="str">
            <v>B2PAL</v>
          </cell>
        </row>
        <row r="8995">
          <cell r="B8995" t="str">
            <v>LL-BP1032 / GCBB-36|</v>
          </cell>
          <cell r="J8995" t="str">
            <v>B2PAL</v>
          </cell>
          <cell r="N8995" t="str">
            <v>B2PAL</v>
          </cell>
        </row>
        <row r="8996">
          <cell r="B8996" t="str">
            <v>LL-BP1033 / GCBB-37|</v>
          </cell>
          <cell r="J8996" t="str">
            <v>B2PAL</v>
          </cell>
          <cell r="N8996" t="str">
            <v>B2PAL</v>
          </cell>
        </row>
        <row r="8997">
          <cell r="B8997" t="str">
            <v>LL-BP1034 / GCBB-38|</v>
          </cell>
          <cell r="J8997" t="str">
            <v>B2PAL</v>
          </cell>
          <cell r="N8997" t="str">
            <v>B2PAL</v>
          </cell>
        </row>
        <row r="8998">
          <cell r="B8998" t="str">
            <v>LL-BP1035 / GCBB-39|</v>
          </cell>
          <cell r="J8998" t="str">
            <v>B2PAL</v>
          </cell>
          <cell r="N8998" t="str">
            <v>B2PAL</v>
          </cell>
        </row>
        <row r="8999">
          <cell r="B8999" t="str">
            <v>LL-BP1036 / GCBB-40|</v>
          </cell>
          <cell r="J8999" t="str">
            <v>B2PAL</v>
          </cell>
          <cell r="N8999" t="str">
            <v>B2PAL</v>
          </cell>
        </row>
        <row r="9000">
          <cell r="B9000" t="str">
            <v>LL-BP1037 / GCBB-41|</v>
          </cell>
          <cell r="J9000" t="str">
            <v>B2PAL</v>
          </cell>
          <cell r="N9000" t="str">
            <v>B2PAL</v>
          </cell>
        </row>
        <row r="9001">
          <cell r="B9001" t="str">
            <v>LL-BP1038 / GCBB-42|</v>
          </cell>
          <cell r="J9001" t="str">
            <v>B2PAL</v>
          </cell>
          <cell r="N9001" t="str">
            <v>B2PAL</v>
          </cell>
        </row>
        <row r="9002">
          <cell r="B9002" t="str">
            <v>LL-BP1039 / GCBB-43|</v>
          </cell>
          <cell r="J9002" t="str">
            <v>B2PAL</v>
          </cell>
          <cell r="N9002" t="str">
            <v>B2PAL</v>
          </cell>
        </row>
        <row r="9003">
          <cell r="B9003" t="str">
            <v>LL-BP1040 / GCBB-44|</v>
          </cell>
          <cell r="J9003" t="str">
            <v>B2PAL</v>
          </cell>
          <cell r="N9003" t="str">
            <v>B2PAL</v>
          </cell>
        </row>
        <row r="9004">
          <cell r="B9004" t="str">
            <v>LL-BP1041 / FLXZ-98|</v>
          </cell>
          <cell r="J9004" t="str">
            <v>B2PAL</v>
          </cell>
          <cell r="N9004" t="str">
            <v>B2PAL</v>
          </cell>
        </row>
        <row r="9005">
          <cell r="B9005" t="str">
            <v>LL-BP1042 / GCBB-45|</v>
          </cell>
          <cell r="J9005" t="str">
            <v>B2PAL</v>
          </cell>
          <cell r="N9005" t="str">
            <v>B2PAL</v>
          </cell>
        </row>
        <row r="9006">
          <cell r="B9006" t="str">
            <v>LL-BP1043 / GCBB-46|</v>
          </cell>
          <cell r="J9006" t="str">
            <v>B2PAL</v>
          </cell>
          <cell r="N9006" t="str">
            <v>B2PAL</v>
          </cell>
        </row>
        <row r="9007">
          <cell r="B9007" t="str">
            <v>LL-BP1044 / GCBB-47|</v>
          </cell>
          <cell r="J9007" t="str">
            <v>B2PAL</v>
          </cell>
          <cell r="N9007" t="str">
            <v>B2PAL</v>
          </cell>
        </row>
        <row r="9008">
          <cell r="B9008" t="str">
            <v>LL-BP1045 / GCBB-48|</v>
          </cell>
          <cell r="J9008" t="str">
            <v>B2PAL</v>
          </cell>
          <cell r="N9008" t="str">
            <v>B2PAL</v>
          </cell>
        </row>
        <row r="9009">
          <cell r="B9009" t="str">
            <v>LL-BP1046 / GCBB-49|</v>
          </cell>
          <cell r="J9009" t="str">
            <v>B2PAL</v>
          </cell>
          <cell r="N9009" t="str">
            <v>B2PAL</v>
          </cell>
        </row>
        <row r="9010">
          <cell r="B9010" t="str">
            <v>LL-BP1047 / GCBB-50|</v>
          </cell>
          <cell r="J9010" t="str">
            <v>B2PAL</v>
          </cell>
          <cell r="N9010" t="str">
            <v>B2PAL</v>
          </cell>
        </row>
        <row r="9011">
          <cell r="B9011" t="str">
            <v>LL-BP1048 / GCBB-51|</v>
          </cell>
          <cell r="J9011" t="str">
            <v>B2PAL</v>
          </cell>
          <cell r="N9011" t="str">
            <v>B2PAL</v>
          </cell>
        </row>
        <row r="9012">
          <cell r="B9012" t="str">
            <v>LL-BP1049 / GCBB-52|</v>
          </cell>
          <cell r="J9012" t="str">
            <v>B2PAL</v>
          </cell>
          <cell r="N9012" t="str">
            <v>B2PAL</v>
          </cell>
        </row>
        <row r="9013">
          <cell r="B9013" t="str">
            <v>LL-BP1050 / GCBB-53|</v>
          </cell>
          <cell r="J9013" t="str">
            <v>B2PAL</v>
          </cell>
          <cell r="N9013" t="str">
            <v>B2PAL</v>
          </cell>
        </row>
        <row r="9014">
          <cell r="B9014" t="str">
            <v>LL-BP1051 / GCBB-54|</v>
          </cell>
          <cell r="J9014" t="str">
            <v>B2PAL</v>
          </cell>
          <cell r="N9014" t="str">
            <v>B2PAL</v>
          </cell>
        </row>
        <row r="9015">
          <cell r="B9015" t="str">
            <v>LL-BP1052 / FLXZ-99|</v>
          </cell>
          <cell r="J9015" t="str">
            <v>B2PAL</v>
          </cell>
          <cell r="N9015" t="str">
            <v>B2PAL</v>
          </cell>
        </row>
        <row r="9016">
          <cell r="B9016" t="str">
            <v>LL-BP1053 / GCBB-55|</v>
          </cell>
          <cell r="J9016" t="str">
            <v>B2PAL</v>
          </cell>
          <cell r="N9016" t="str">
            <v>B2PAL</v>
          </cell>
        </row>
        <row r="9017">
          <cell r="B9017" t="str">
            <v>LL-BP1054 / GCBB-56|</v>
          </cell>
          <cell r="J9017" t="str">
            <v>B2PAL</v>
          </cell>
          <cell r="N9017" t="str">
            <v>B2PAL</v>
          </cell>
        </row>
        <row r="9018">
          <cell r="B9018" t="str">
            <v>LL-BP1055 / GCBB-57|</v>
          </cell>
          <cell r="J9018" t="str">
            <v>B2PAL</v>
          </cell>
          <cell r="N9018" t="str">
            <v>B2PAL</v>
          </cell>
        </row>
        <row r="9019">
          <cell r="B9019" t="str">
            <v>LL-BP1056 / GCBB-58|</v>
          </cell>
          <cell r="J9019" t="str">
            <v>B2PAL</v>
          </cell>
          <cell r="N9019" t="str">
            <v>B2PAL</v>
          </cell>
        </row>
        <row r="9020">
          <cell r="B9020" t="str">
            <v>LL-BP1057 / GCBB-59|</v>
          </cell>
          <cell r="J9020" t="str">
            <v>B2PAL</v>
          </cell>
          <cell r="N9020" t="str">
            <v>B2PAL</v>
          </cell>
        </row>
        <row r="9021">
          <cell r="B9021" t="str">
            <v>LL-BP1058 / GCBB-60|</v>
          </cell>
          <cell r="J9021" t="str">
            <v>B2PAL</v>
          </cell>
          <cell r="N9021" t="str">
            <v>B2PAL</v>
          </cell>
        </row>
        <row r="9022">
          <cell r="B9022" t="str">
            <v>LL-BP1059 / GCBB-61|</v>
          </cell>
          <cell r="J9022" t="str">
            <v>B2PAL</v>
          </cell>
          <cell r="N9022" t="str">
            <v>B2PAL</v>
          </cell>
        </row>
        <row r="9023">
          <cell r="B9023" t="str">
            <v>LL-BP1060 / GCBB-62|</v>
          </cell>
          <cell r="J9023" t="str">
            <v>B2PAL</v>
          </cell>
          <cell r="N9023" t="str">
            <v>B2PAL</v>
          </cell>
        </row>
        <row r="9024">
          <cell r="B9024" t="str">
            <v>LL-BP1061 / GCBB-63|</v>
          </cell>
          <cell r="J9024" t="str">
            <v>B2PAL</v>
          </cell>
          <cell r="N9024" t="str">
            <v>B2PAL</v>
          </cell>
        </row>
        <row r="9025">
          <cell r="B9025" t="str">
            <v>LL-BP1062 / GCBB-64|</v>
          </cell>
          <cell r="J9025" t="str">
            <v>B2PAL</v>
          </cell>
          <cell r="N9025" t="str">
            <v>B2PAL</v>
          </cell>
        </row>
        <row r="9026">
          <cell r="B9026" t="str">
            <v>LL-BP1063 / GCBB-10|</v>
          </cell>
          <cell r="J9026" t="str">
            <v>B2PAL</v>
          </cell>
          <cell r="N9026" t="str">
            <v>B2PAL</v>
          </cell>
        </row>
        <row r="9027">
          <cell r="B9027" t="str">
            <v>LL-BP1064 / GCBB-65|</v>
          </cell>
          <cell r="J9027" t="str">
            <v>B2PAL</v>
          </cell>
          <cell r="N9027" t="str">
            <v>B2PAL</v>
          </cell>
        </row>
        <row r="9028">
          <cell r="B9028" t="str">
            <v>LL-BP1065 / GCBB-66|</v>
          </cell>
          <cell r="J9028" t="str">
            <v>B2PAL</v>
          </cell>
          <cell r="N9028" t="str">
            <v>B2PAL</v>
          </cell>
        </row>
        <row r="9029">
          <cell r="B9029" t="str">
            <v>LL-BP1066 / GCBB-67|</v>
          </cell>
          <cell r="J9029" t="str">
            <v>B2PAL</v>
          </cell>
          <cell r="N9029" t="str">
            <v>B2PAL</v>
          </cell>
        </row>
        <row r="9030">
          <cell r="B9030" t="str">
            <v>SJ-BP1067 / GCBB-68|</v>
          </cell>
          <cell r="J9030" t="str">
            <v>B2PAL</v>
          </cell>
          <cell r="N9030" t="str">
            <v>B2PAL</v>
          </cell>
        </row>
        <row r="9031">
          <cell r="B9031" t="str">
            <v>LL-BP1068 / GCBB-69|</v>
          </cell>
          <cell r="J9031" t="str">
            <v>B2PAL</v>
          </cell>
          <cell r="N9031" t="str">
            <v>B2PAL</v>
          </cell>
        </row>
        <row r="9032">
          <cell r="B9032" t="str">
            <v>LL-BP1069 / GCBB-70|</v>
          </cell>
          <cell r="J9032" t="str">
            <v>B2PAL</v>
          </cell>
          <cell r="N9032" t="str">
            <v>B2PAL</v>
          </cell>
        </row>
        <row r="9033">
          <cell r="B9033" t="str">
            <v>LL-BP1070 / GCBB-71|</v>
          </cell>
          <cell r="J9033" t="str">
            <v>B2PAL</v>
          </cell>
          <cell r="N9033" t="str">
            <v>B2PAL</v>
          </cell>
        </row>
        <row r="9034">
          <cell r="B9034" t="str">
            <v>LL-BP1071 / GCBB-72|</v>
          </cell>
          <cell r="J9034" t="str">
            <v>B2PAL</v>
          </cell>
          <cell r="N9034" t="str">
            <v>B2PAL</v>
          </cell>
        </row>
        <row r="9035">
          <cell r="B9035" t="str">
            <v>SJ-BP1072 / GCBB-73|</v>
          </cell>
          <cell r="J9035" t="str">
            <v>B2PAL</v>
          </cell>
          <cell r="N9035" t="str">
            <v>B2PAL</v>
          </cell>
        </row>
        <row r="9036">
          <cell r="B9036" t="str">
            <v>LL-BP1073 / GCBB-74|</v>
          </cell>
          <cell r="J9036" t="str">
            <v>B2PAL</v>
          </cell>
          <cell r="N9036" t="str">
            <v>B2PAL</v>
          </cell>
        </row>
        <row r="9037">
          <cell r="B9037" t="str">
            <v>LL-BP1074 / GCBB-11|</v>
          </cell>
          <cell r="J9037" t="str">
            <v>B2PAL</v>
          </cell>
          <cell r="N9037" t="str">
            <v>B2PAL</v>
          </cell>
        </row>
        <row r="9038">
          <cell r="B9038" t="str">
            <v>LL-BP1075 / GCBB-75|</v>
          </cell>
          <cell r="J9038" t="str">
            <v>B2PAL</v>
          </cell>
          <cell r="N9038" t="str">
            <v>B2PAL</v>
          </cell>
        </row>
        <row r="9039">
          <cell r="B9039" t="str">
            <v>SJ-BP1076 / GCBB-76|</v>
          </cell>
          <cell r="J9039" t="str">
            <v>B2PAL</v>
          </cell>
          <cell r="N9039" t="str">
            <v>B2PAL</v>
          </cell>
        </row>
        <row r="9040">
          <cell r="B9040" t="str">
            <v>LL-BP1077 / GCBB-77|</v>
          </cell>
          <cell r="J9040" t="str">
            <v>B2PAL</v>
          </cell>
          <cell r="N9040" t="str">
            <v>B2PAL</v>
          </cell>
        </row>
        <row r="9041">
          <cell r="B9041" t="str">
            <v>LL-BP1078 / GCBB-78|</v>
          </cell>
          <cell r="J9041" t="str">
            <v>B2PAL</v>
          </cell>
          <cell r="N9041" t="str">
            <v>B2PAL</v>
          </cell>
        </row>
        <row r="9042">
          <cell r="B9042" t="str">
            <v>SJ-BP1079 / GCBB-79|</v>
          </cell>
          <cell r="J9042" t="str">
            <v>B2PAL</v>
          </cell>
          <cell r="N9042" t="str">
            <v>B2PAL</v>
          </cell>
        </row>
        <row r="9043">
          <cell r="B9043" t="str">
            <v>SJ-BP1080 / GCBB-80|</v>
          </cell>
          <cell r="J9043" t="str">
            <v>B2PAL</v>
          </cell>
          <cell r="N9043" t="str">
            <v>B2PAL</v>
          </cell>
        </row>
        <row r="9044">
          <cell r="B9044" t="str">
            <v>SJ-BP1081 / GCBB-81|</v>
          </cell>
          <cell r="J9044" t="str">
            <v>B2PAL</v>
          </cell>
          <cell r="N9044" t="str">
            <v>B2PAL</v>
          </cell>
        </row>
        <row r="9045">
          <cell r="B9045" t="str">
            <v>SJ-BP1082 / GCBB-82|</v>
          </cell>
          <cell r="J9045" t="str">
            <v>B2PAL</v>
          </cell>
          <cell r="N9045" t="str">
            <v>B2PAL</v>
          </cell>
        </row>
        <row r="9046">
          <cell r="B9046" t="str">
            <v>LL-BP1083 / GCBB-83|</v>
          </cell>
          <cell r="J9046" t="str">
            <v>B2PAL</v>
          </cell>
          <cell r="N9046" t="str">
            <v>B2PAL</v>
          </cell>
        </row>
        <row r="9047">
          <cell r="B9047" t="str">
            <v>SJ-BP1084 / GCBB-84|</v>
          </cell>
          <cell r="J9047" t="str">
            <v>B2PAL</v>
          </cell>
          <cell r="N9047" t="str">
            <v>B2PAL</v>
          </cell>
        </row>
        <row r="9048">
          <cell r="B9048" t="str">
            <v>LL-BP1085 / GCBB-12|</v>
          </cell>
          <cell r="J9048" t="str">
            <v>B2PAL</v>
          </cell>
          <cell r="N9048" t="str">
            <v>B2PAL</v>
          </cell>
        </row>
        <row r="9049">
          <cell r="B9049" t="str">
            <v>LL-BP1086 / GCBB-85|</v>
          </cell>
          <cell r="J9049" t="str">
            <v>B2PAL</v>
          </cell>
          <cell r="N9049" t="str">
            <v>B2PAL</v>
          </cell>
        </row>
        <row r="9050">
          <cell r="B9050" t="str">
            <v>SJ-BP1087 / GCBB-86|</v>
          </cell>
          <cell r="J9050" t="str">
            <v>B2PAL</v>
          </cell>
          <cell r="N9050" t="str">
            <v>B2PAL</v>
          </cell>
        </row>
        <row r="9051">
          <cell r="B9051" t="str">
            <v>SJ-BP1088 / GCBB-87|</v>
          </cell>
          <cell r="J9051" t="str">
            <v>B2PAL</v>
          </cell>
          <cell r="N9051" t="str">
            <v>B2PAL</v>
          </cell>
        </row>
        <row r="9052">
          <cell r="B9052" t="str">
            <v>SJ-BP1089 / GCBB-88|</v>
          </cell>
          <cell r="J9052" t="str">
            <v>B2PAL</v>
          </cell>
          <cell r="N9052" t="str">
            <v>B2PAL</v>
          </cell>
        </row>
        <row r="9053">
          <cell r="B9053" t="str">
            <v>SJ-BP1090 / GCBB-89|</v>
          </cell>
          <cell r="J9053" t="str">
            <v>B2PAL</v>
          </cell>
          <cell r="N9053" t="str">
            <v>B2PAL</v>
          </cell>
        </row>
        <row r="9054">
          <cell r="B9054" t="str">
            <v>LL-BP1091 / GCBB-91|</v>
          </cell>
          <cell r="J9054" t="str">
            <v>B2PAL</v>
          </cell>
          <cell r="N9054" t="str">
            <v>B2PAL</v>
          </cell>
        </row>
        <row r="9055">
          <cell r="B9055" t="str">
            <v>SJ-BP1092 / GCBB-92|</v>
          </cell>
          <cell r="J9055" t="str">
            <v>B2PAL</v>
          </cell>
          <cell r="N9055" t="str">
            <v>B2PAL</v>
          </cell>
        </row>
        <row r="9056">
          <cell r="B9056" t="str">
            <v>SJ-BP1093 / GCBB-93|</v>
          </cell>
          <cell r="J9056" t="str">
            <v>B2PAL</v>
          </cell>
          <cell r="N9056" t="str">
            <v>B2PAL</v>
          </cell>
        </row>
        <row r="9057">
          <cell r="B9057" t="str">
            <v>LL-BP1094 / GCBB-94|</v>
          </cell>
          <cell r="J9057" t="str">
            <v>B2PAL</v>
          </cell>
          <cell r="N9057" t="str">
            <v>B2PAL</v>
          </cell>
        </row>
        <row r="9058">
          <cell r="B9058" t="str">
            <v>SJ-BP1095 / GCBB-95|</v>
          </cell>
          <cell r="J9058" t="str">
            <v>B2PAL</v>
          </cell>
          <cell r="N9058" t="str">
            <v>B2PAL</v>
          </cell>
        </row>
        <row r="9059">
          <cell r="B9059" t="str">
            <v>LL-BP1096 / GCBB-13|</v>
          </cell>
          <cell r="J9059" t="str">
            <v>B2PAL</v>
          </cell>
          <cell r="N9059" t="str">
            <v>B2PAL</v>
          </cell>
        </row>
        <row r="9060">
          <cell r="B9060" t="str">
            <v>LL-BP1096 / GCBB-13|</v>
          </cell>
          <cell r="J9060" t="str">
            <v>B2PAL</v>
          </cell>
          <cell r="N9060" t="str">
            <v>B2PAL</v>
          </cell>
        </row>
        <row r="9061">
          <cell r="B9061" t="str">
            <v>SJ-BP1097 / GCBB-96|</v>
          </cell>
          <cell r="J9061" t="str">
            <v>B2PAL</v>
          </cell>
          <cell r="N9061" t="str">
            <v>B2PAL</v>
          </cell>
        </row>
        <row r="9062">
          <cell r="B9062" t="str">
            <v>SJ-BP1098 / GCBB-97|</v>
          </cell>
          <cell r="J9062" t="str">
            <v>B2PAL</v>
          </cell>
          <cell r="N9062" t="str">
            <v>B2PAL</v>
          </cell>
        </row>
        <row r="9063">
          <cell r="B9063" t="str">
            <v>SJ-BP1099 / GCBB-98|</v>
          </cell>
          <cell r="J9063" t="str">
            <v>B2PAL</v>
          </cell>
          <cell r="N9063" t="str">
            <v>B2PAL</v>
          </cell>
        </row>
        <row r="9064">
          <cell r="B9064" t="str">
            <v>SJ-BP1101 / GCBC-10|</v>
          </cell>
          <cell r="J9064" t="str">
            <v>B2PAL</v>
          </cell>
          <cell r="N9064" t="str">
            <v>B2PAL</v>
          </cell>
        </row>
        <row r="9065">
          <cell r="B9065" t="str">
            <v>SJ-BP1102 / GCBC-11|</v>
          </cell>
          <cell r="J9065" t="str">
            <v>B2PAL</v>
          </cell>
          <cell r="N9065" t="str">
            <v>B2PAL</v>
          </cell>
        </row>
        <row r="9066">
          <cell r="B9066" t="str">
            <v>SJ-BP1103 / GCBC-12|</v>
          </cell>
          <cell r="J9066" t="str">
            <v>B2PAL</v>
          </cell>
          <cell r="N9066" t="str">
            <v>B2PAL</v>
          </cell>
        </row>
        <row r="9067">
          <cell r="B9067" t="str">
            <v>SJ-BP1104 / GCBC-13|</v>
          </cell>
          <cell r="J9067" t="str">
            <v>B2PAL</v>
          </cell>
          <cell r="N9067" t="str">
            <v>B2PAL</v>
          </cell>
        </row>
        <row r="9068">
          <cell r="B9068" t="str">
            <v>SJ-BP1105 / GCBC-14|</v>
          </cell>
          <cell r="J9068" t="str">
            <v>B2PAL</v>
          </cell>
          <cell r="N9068" t="str">
            <v>B2PAL</v>
          </cell>
        </row>
        <row r="9069">
          <cell r="B9069" t="str">
            <v>SJ-BP1106 / GCBC-15|</v>
          </cell>
          <cell r="J9069" t="str">
            <v>B2PAL</v>
          </cell>
          <cell r="N9069" t="str">
            <v>B2PAL</v>
          </cell>
        </row>
        <row r="9070">
          <cell r="B9070" t="str">
            <v>SJ-B1107 / VFHJ-88|</v>
          </cell>
          <cell r="J9070" t="str">
            <v>B</v>
          </cell>
          <cell r="N9070" t="str">
            <v>B</v>
          </cell>
        </row>
        <row r="9071">
          <cell r="B9071" t="str">
            <v>SJ-B1108 / VFHL-33|</v>
          </cell>
          <cell r="J9071" t="str">
            <v>B</v>
          </cell>
          <cell r="N9071" t="str">
            <v>B</v>
          </cell>
        </row>
        <row r="9072">
          <cell r="B9072" t="str">
            <v>SJ-B1109 / VFHL-39|</v>
          </cell>
          <cell r="J9072" t="str">
            <v>B</v>
          </cell>
          <cell r="N9072" t="str">
            <v>B</v>
          </cell>
        </row>
        <row r="9073">
          <cell r="B9073" t="str">
            <v>SJ-B1110 / VFHL-46|</v>
          </cell>
          <cell r="J9073" t="str">
            <v>B</v>
          </cell>
          <cell r="N9073" t="str">
            <v>B</v>
          </cell>
        </row>
        <row r="9074">
          <cell r="B9074" t="str">
            <v>SJ-B1111 / VFHL-56|</v>
          </cell>
          <cell r="J9074" t="str">
            <v>B</v>
          </cell>
          <cell r="N9074" t="str">
            <v>B</v>
          </cell>
        </row>
        <row r="9075">
          <cell r="B9075" t="str">
            <v>SJ-B1112 / VFHG-99|</v>
          </cell>
          <cell r="J9075" t="str">
            <v>B</v>
          </cell>
          <cell r="N9075" t="str">
            <v>B</v>
          </cell>
        </row>
        <row r="9076">
          <cell r="B9076" t="str">
            <v>SJ-B1113 / VFHH-49|</v>
          </cell>
          <cell r="J9076" t="str">
            <v>B</v>
          </cell>
          <cell r="N9076" t="str">
            <v>B</v>
          </cell>
        </row>
        <row r="9077">
          <cell r="B9077" t="str">
            <v>SJ-B1114 / VFHH-65|</v>
          </cell>
          <cell r="J9077" t="str">
            <v>B</v>
          </cell>
          <cell r="N9077" t="str">
            <v>B</v>
          </cell>
        </row>
        <row r="9078">
          <cell r="B9078" t="str">
            <v>SJ-B1115 / VFHJ-21|</v>
          </cell>
          <cell r="J9078" t="str">
            <v>B</v>
          </cell>
          <cell r="N9078" t="str">
            <v>B</v>
          </cell>
        </row>
        <row r="9079">
          <cell r="B9079" t="str">
            <v>SJ-B1116 / VFHJ-43|</v>
          </cell>
          <cell r="J9079" t="str">
            <v>B</v>
          </cell>
          <cell r="N9079" t="str">
            <v>B</v>
          </cell>
        </row>
        <row r="9080">
          <cell r="B9080" t="str">
            <v>SJ-B1117 / VFHJ-59|</v>
          </cell>
          <cell r="J9080" t="str">
            <v>B</v>
          </cell>
          <cell r="N9080" t="str">
            <v>B</v>
          </cell>
        </row>
        <row r="9081">
          <cell r="B9081" t="str">
            <v>SJ-B1118 / VFHJ-92|</v>
          </cell>
          <cell r="J9081" t="str">
            <v>B</v>
          </cell>
          <cell r="N9081" t="str">
            <v>B</v>
          </cell>
        </row>
        <row r="9082">
          <cell r="B9082" t="str">
            <v>SJ-B1119 / VFHJ-69|</v>
          </cell>
          <cell r="J9082" t="str">
            <v>B</v>
          </cell>
          <cell r="N9082" t="str">
            <v>B</v>
          </cell>
        </row>
        <row r="9083">
          <cell r="B9083" t="str">
            <v>SJ-B1120 / VFHJ-77|</v>
          </cell>
          <cell r="J9083" t="str">
            <v>B</v>
          </cell>
          <cell r="N9083" t="str">
            <v>B</v>
          </cell>
        </row>
        <row r="9084">
          <cell r="B9084" t="str">
            <v>SJ-B1121 / VFHL-62|</v>
          </cell>
          <cell r="J9084" t="str">
            <v>B</v>
          </cell>
          <cell r="N9084" t="str">
            <v>B</v>
          </cell>
        </row>
        <row r="9085">
          <cell r="B9085" t="str">
            <v>CER-B1122 / VFHL-66|</v>
          </cell>
          <cell r="J9085" t="str">
            <v>B</v>
          </cell>
          <cell r="N9085" t="str">
            <v>B</v>
          </cell>
        </row>
        <row r="9086">
          <cell r="B9086" t="str">
            <v>LL-B1123 / VFHL-81|</v>
          </cell>
          <cell r="J9086" t="str">
            <v>B</v>
          </cell>
          <cell r="N9086" t="str">
            <v>B</v>
          </cell>
        </row>
        <row r="9087">
          <cell r="B9087" t="str">
            <v>LL-B1124 / VFHS-85|</v>
          </cell>
          <cell r="J9087" t="str">
            <v>B</v>
          </cell>
          <cell r="N9087" t="str">
            <v>B</v>
          </cell>
        </row>
        <row r="9088">
          <cell r="B9088" t="str">
            <v>LL-B1125 / VFHS-95|</v>
          </cell>
          <cell r="J9088" t="str">
            <v>B</v>
          </cell>
          <cell r="N9088" t="str">
            <v>B</v>
          </cell>
        </row>
        <row r="9089">
          <cell r="B9089" t="str">
            <v>SJ-B1126 / VFHS-98|</v>
          </cell>
          <cell r="J9089" t="str">
            <v>B</v>
          </cell>
          <cell r="N9089" t="str">
            <v>B</v>
          </cell>
        </row>
        <row r="9090">
          <cell r="B9090" t="str">
            <v>SJ-B1127 / VFHT-45|</v>
          </cell>
          <cell r="J9090" t="str">
            <v>B</v>
          </cell>
          <cell r="N9090" t="str">
            <v>B</v>
          </cell>
        </row>
        <row r="9091">
          <cell r="B9091" t="str">
            <v>SJ-B1128 / VFHT-55|</v>
          </cell>
          <cell r="J9091" t="str">
            <v>B</v>
          </cell>
          <cell r="N9091" t="str">
            <v>B</v>
          </cell>
        </row>
        <row r="9092">
          <cell r="B9092" t="str">
            <v>SJ-B1129 / VFHK-16|</v>
          </cell>
          <cell r="J9092" t="str">
            <v>B</v>
          </cell>
          <cell r="N9092" t="str">
            <v>B</v>
          </cell>
        </row>
        <row r="9093">
          <cell r="B9093" t="str">
            <v>CER-B1130 / VFHT-73|</v>
          </cell>
          <cell r="J9093" t="str">
            <v>B</v>
          </cell>
          <cell r="N9093" t="str">
            <v>B</v>
          </cell>
        </row>
        <row r="9094">
          <cell r="B9094" t="str">
            <v>LL-B1131 / VFHT-80|</v>
          </cell>
          <cell r="J9094" t="str">
            <v>B</v>
          </cell>
          <cell r="N9094" t="str">
            <v>B</v>
          </cell>
        </row>
        <row r="9095">
          <cell r="B9095" t="str">
            <v>LL-B1132 / VFHT-81|</v>
          </cell>
          <cell r="J9095" t="str">
            <v>B</v>
          </cell>
          <cell r="N9095" t="str">
            <v>B</v>
          </cell>
        </row>
        <row r="9096">
          <cell r="B9096" t="str">
            <v>LL-B1133 / VFHV-57|</v>
          </cell>
          <cell r="J9096" t="str">
            <v>B</v>
          </cell>
          <cell r="N9096" t="str">
            <v>B</v>
          </cell>
        </row>
        <row r="9097">
          <cell r="B9097" t="str">
            <v>LL-B1134 / VFHV-67|</v>
          </cell>
          <cell r="J9097" t="str">
            <v>B</v>
          </cell>
          <cell r="N9097" t="str">
            <v>B</v>
          </cell>
        </row>
        <row r="9098">
          <cell r="B9098" t="str">
            <v>LL-B1135 / VFHV-82|</v>
          </cell>
          <cell r="J9098" t="str">
            <v>B</v>
          </cell>
          <cell r="N9098" t="str">
            <v>B</v>
          </cell>
        </row>
        <row r="9099">
          <cell r="B9099" t="str">
            <v>LL-B1136 / VFHV-87|</v>
          </cell>
          <cell r="J9099" t="str">
            <v>B</v>
          </cell>
          <cell r="N9099" t="str">
            <v>B</v>
          </cell>
        </row>
        <row r="9100">
          <cell r="B9100" t="str">
            <v>LL-B1137 / VFHW-46|</v>
          </cell>
          <cell r="J9100" t="str">
            <v>B</v>
          </cell>
          <cell r="N9100" t="str">
            <v>B</v>
          </cell>
        </row>
        <row r="9101">
          <cell r="B9101" t="str">
            <v>LL-B1138 / VFHW-51|</v>
          </cell>
          <cell r="J9101" t="str">
            <v>B</v>
          </cell>
          <cell r="N9101" t="str">
            <v>B</v>
          </cell>
        </row>
        <row r="9102">
          <cell r="B9102" t="str">
            <v>LL-B1139 / VFHW-63|</v>
          </cell>
          <cell r="J9102" t="str">
            <v>B</v>
          </cell>
          <cell r="N9102" t="str">
            <v>B</v>
          </cell>
        </row>
        <row r="9103">
          <cell r="B9103" t="str">
            <v>SJ-B1140 / VFHK-27|</v>
          </cell>
          <cell r="J9103" t="str">
            <v>B</v>
          </cell>
          <cell r="N9103" t="str">
            <v>B</v>
          </cell>
        </row>
        <row r="9104">
          <cell r="B9104" t="str">
            <v>LL-B1141 / VFPB-70|</v>
          </cell>
          <cell r="J9104" t="str">
            <v>B</v>
          </cell>
          <cell r="N9104" t="str">
            <v>B</v>
          </cell>
        </row>
        <row r="9105">
          <cell r="B9105" t="str">
            <v>LL-B1142 / VFPC-10|</v>
          </cell>
          <cell r="J9105" t="str">
            <v>B</v>
          </cell>
          <cell r="N9105" t="str">
            <v>B</v>
          </cell>
        </row>
        <row r="9106">
          <cell r="B9106" t="str">
            <v>LL-B1143 / VFPC-31|</v>
          </cell>
          <cell r="J9106" t="str">
            <v>B</v>
          </cell>
          <cell r="N9106" t="str">
            <v>B</v>
          </cell>
        </row>
        <row r="9107">
          <cell r="B9107" t="str">
            <v>LL-B1144 / VFPC-80|</v>
          </cell>
          <cell r="J9107" t="str">
            <v>B</v>
          </cell>
          <cell r="N9107" t="str">
            <v>B</v>
          </cell>
        </row>
        <row r="9108">
          <cell r="B9108" t="str">
            <v>LL-B1145 / VFPC-51|</v>
          </cell>
          <cell r="J9108" t="str">
            <v>B</v>
          </cell>
          <cell r="N9108" t="str">
            <v>B</v>
          </cell>
        </row>
        <row r="9109">
          <cell r="B9109" t="str">
            <v>LL-B1146 / VFPD-84|</v>
          </cell>
          <cell r="J9109" t="str">
            <v>B</v>
          </cell>
          <cell r="N9109" t="str">
            <v>B</v>
          </cell>
        </row>
        <row r="9110">
          <cell r="B9110" t="str">
            <v>LL-B1147 / VFPD-94|</v>
          </cell>
          <cell r="J9110" t="str">
            <v>B</v>
          </cell>
          <cell r="N9110" t="str">
            <v>B</v>
          </cell>
        </row>
        <row r="9111">
          <cell r="B9111" t="str">
            <v>LL-B1148 / VFHL-60|</v>
          </cell>
          <cell r="J9111" t="str">
            <v>B</v>
          </cell>
          <cell r="N9111" t="str">
            <v>B</v>
          </cell>
        </row>
        <row r="9112">
          <cell r="B9112" t="str">
            <v>SJ-B1149 / VFHK-31|</v>
          </cell>
          <cell r="J9112" t="str">
            <v>B</v>
          </cell>
          <cell r="N9112" t="str">
            <v>B</v>
          </cell>
        </row>
        <row r="9113">
          <cell r="B9113" t="str">
            <v>SJ-B1150 / VFHK-58|</v>
          </cell>
          <cell r="J9113" t="str">
            <v>B</v>
          </cell>
          <cell r="N9113" t="str">
            <v>B</v>
          </cell>
        </row>
        <row r="9114">
          <cell r="B9114" t="str">
            <v>SJ-B1151 / VFHK-69|</v>
          </cell>
          <cell r="J9114" t="str">
            <v>B</v>
          </cell>
          <cell r="N9114" t="str">
            <v>B</v>
          </cell>
        </row>
        <row r="9115">
          <cell r="B9115" t="str">
            <v>CER-B1152 / VFHK-89|</v>
          </cell>
          <cell r="J9115" t="str">
            <v>B</v>
          </cell>
          <cell r="N9115" t="str">
            <v>B</v>
          </cell>
        </row>
        <row r="9116">
          <cell r="B9116" t="str">
            <v>SA-B1153 / VFHK-96|</v>
          </cell>
          <cell r="J9116" t="str">
            <v>B</v>
          </cell>
          <cell r="N9116" t="str">
            <v>B</v>
          </cell>
        </row>
        <row r="9117">
          <cell r="B9117" t="str">
            <v>PA-C1154 / LZRB-89|</v>
          </cell>
          <cell r="J9117" t="str">
            <v>C</v>
          </cell>
          <cell r="N9117" t="str">
            <v>C</v>
          </cell>
        </row>
        <row r="9118">
          <cell r="B9118" t="str">
            <v>PA-C1155 / LZRB-90|</v>
          </cell>
          <cell r="J9118" t="str">
            <v>C</v>
          </cell>
          <cell r="N9118" t="str">
            <v>C</v>
          </cell>
        </row>
        <row r="9119">
          <cell r="B9119" t="str">
            <v>PA-C1156 / LZRB-91|</v>
          </cell>
          <cell r="J9119" t="str">
            <v>C</v>
          </cell>
          <cell r="N9119" t="str">
            <v>C</v>
          </cell>
        </row>
        <row r="9120">
          <cell r="B9120" t="str">
            <v>PA-C1157 / LZRB-92|</v>
          </cell>
          <cell r="J9120" t="str">
            <v>C</v>
          </cell>
          <cell r="N9120" t="str">
            <v>C</v>
          </cell>
        </row>
        <row r="9121">
          <cell r="B9121" t="str">
            <v>PA-C1158 / LZRB-93|</v>
          </cell>
          <cell r="J9121" t="str">
            <v>C</v>
          </cell>
          <cell r="N9121" t="str">
            <v>C</v>
          </cell>
        </row>
        <row r="9122">
          <cell r="B9122" t="str">
            <v>PA-C1159 / LZRB-94|</v>
          </cell>
          <cell r="J9122" t="str">
            <v>C</v>
          </cell>
          <cell r="N9122" t="str">
            <v>C</v>
          </cell>
        </row>
        <row r="9123">
          <cell r="B9123" t="str">
            <v>PA-C1160 / LZRB-95|</v>
          </cell>
          <cell r="J9123" t="str">
            <v>C</v>
          </cell>
          <cell r="N9123" t="str">
            <v>C</v>
          </cell>
        </row>
        <row r="9124">
          <cell r="B9124" t="str">
            <v>PA-C1161 / LZRB-96|</v>
          </cell>
          <cell r="J9124" t="str">
            <v>C</v>
          </cell>
          <cell r="N9124" t="str">
            <v>C</v>
          </cell>
        </row>
        <row r="9125">
          <cell r="B9125" t="str">
            <v>PA-C1162 / LZRD-61|</v>
          </cell>
          <cell r="J9125" t="str">
            <v>C</v>
          </cell>
          <cell r="N9125" t="str">
            <v>C</v>
          </cell>
        </row>
        <row r="9126">
          <cell r="B9126" t="str">
            <v>PA-C1163 / LZRD-62|</v>
          </cell>
          <cell r="J9126" t="str">
            <v>C</v>
          </cell>
          <cell r="N9126" t="str">
            <v>C</v>
          </cell>
        </row>
        <row r="9127">
          <cell r="B9127" t="str">
            <v>PA-C1164 / LZRD-63|</v>
          </cell>
          <cell r="J9127" t="str">
            <v>C</v>
          </cell>
          <cell r="N9127" t="str">
            <v>C</v>
          </cell>
        </row>
        <row r="9128">
          <cell r="B9128" t="str">
            <v>PA-C1165 / LZRD-64|</v>
          </cell>
          <cell r="J9128" t="str">
            <v>C</v>
          </cell>
          <cell r="N9128" t="str">
            <v>C</v>
          </cell>
        </row>
        <row r="9129">
          <cell r="B9129" t="str">
            <v>PA-C1166 / LZRD-65|</v>
          </cell>
          <cell r="J9129" t="str">
            <v>C</v>
          </cell>
          <cell r="N9129" t="str">
            <v>C</v>
          </cell>
        </row>
        <row r="9130">
          <cell r="B9130" t="str">
            <v>PA-C1167 / LZRD-66|</v>
          </cell>
          <cell r="J9130" t="str">
            <v>C</v>
          </cell>
          <cell r="N9130" t="str">
            <v>C</v>
          </cell>
        </row>
        <row r="9131">
          <cell r="B9131" t="str">
            <v>PA-C1168 / LZRD-68|</v>
          </cell>
          <cell r="J9131" t="str">
            <v>C</v>
          </cell>
          <cell r="N9131" t="str">
            <v>C</v>
          </cell>
        </row>
        <row r="9132">
          <cell r="B9132" t="str">
            <v>PA-C1169 / LZRD-69|</v>
          </cell>
          <cell r="J9132" t="str">
            <v>C</v>
          </cell>
          <cell r="N9132" t="str">
            <v>C</v>
          </cell>
        </row>
        <row r="9133">
          <cell r="B9133" t="str">
            <v>PA-C1170 / LZRD-70|</v>
          </cell>
          <cell r="J9133" t="str">
            <v>C</v>
          </cell>
          <cell r="N9133" t="str">
            <v>C</v>
          </cell>
        </row>
        <row r="9134">
          <cell r="B9134" t="str">
            <v>PA-C1171 / LZRD-71|</v>
          </cell>
          <cell r="J9134" t="str">
            <v>C</v>
          </cell>
          <cell r="N9134" t="str">
            <v>C</v>
          </cell>
        </row>
        <row r="9135">
          <cell r="B9135" t="str">
            <v>PA-C1172 / LZRD-72|</v>
          </cell>
          <cell r="J9135" t="str">
            <v>C</v>
          </cell>
          <cell r="N9135" t="str">
            <v>C</v>
          </cell>
        </row>
        <row r="9136">
          <cell r="B9136" t="str">
            <v>PA-C1173 / LZRD-73|</v>
          </cell>
          <cell r="J9136" t="str">
            <v>C</v>
          </cell>
          <cell r="N9136" t="str">
            <v>C</v>
          </cell>
        </row>
        <row r="9137">
          <cell r="B9137" t="str">
            <v>PA-C1174 / LZRD-74|</v>
          </cell>
          <cell r="J9137" t="str">
            <v>C</v>
          </cell>
          <cell r="N9137" t="str">
            <v>C</v>
          </cell>
        </row>
        <row r="9138">
          <cell r="B9138" t="str">
            <v>PA-C1175 / LZRD-77|</v>
          </cell>
          <cell r="J9138" t="str">
            <v>C</v>
          </cell>
          <cell r="N9138" t="str">
            <v>C</v>
          </cell>
        </row>
        <row r="9139">
          <cell r="B9139" t="str">
            <v>PA-C1176 / LZRD-79|</v>
          </cell>
          <cell r="J9139" t="str">
            <v>C</v>
          </cell>
          <cell r="N9139" t="str">
            <v>C</v>
          </cell>
        </row>
        <row r="9140">
          <cell r="B9140" t="str">
            <v>PA-C1177 / LZRD-80|</v>
          </cell>
          <cell r="J9140" t="str">
            <v>C</v>
          </cell>
          <cell r="N9140" t="str">
            <v>C</v>
          </cell>
        </row>
        <row r="9141">
          <cell r="B9141" t="str">
            <v>PA-C1178 / LZRD-81|</v>
          </cell>
          <cell r="J9141" t="str">
            <v>C</v>
          </cell>
          <cell r="N9141" t="str">
            <v>C</v>
          </cell>
        </row>
        <row r="9142">
          <cell r="B9142" t="str">
            <v>PA-C1179 / LZRD-82|</v>
          </cell>
          <cell r="J9142" t="str">
            <v>C</v>
          </cell>
          <cell r="N9142" t="str">
            <v>C</v>
          </cell>
        </row>
        <row r="9143">
          <cell r="B9143" t="str">
            <v>PA-C1180 / LZRD-84|</v>
          </cell>
          <cell r="J9143" t="str">
            <v>C</v>
          </cell>
          <cell r="N9143" t="str">
            <v>C</v>
          </cell>
        </row>
        <row r="9144">
          <cell r="B9144" t="str">
            <v>PA-C1181 / LZRD-85|</v>
          </cell>
          <cell r="J9144" t="str">
            <v>C</v>
          </cell>
          <cell r="N9144" t="str">
            <v>C</v>
          </cell>
        </row>
        <row r="9145">
          <cell r="B9145" t="str">
            <v>PA-C1182 / LZRD-86|</v>
          </cell>
          <cell r="J9145" t="str">
            <v>C</v>
          </cell>
          <cell r="N9145" t="str">
            <v>C</v>
          </cell>
        </row>
        <row r="9146">
          <cell r="B9146" t="str">
            <v>PA-C1183 / LZRD-87|</v>
          </cell>
          <cell r="J9146" t="str">
            <v>C</v>
          </cell>
          <cell r="N9146" t="str">
            <v>C</v>
          </cell>
        </row>
        <row r="9147">
          <cell r="B9147" t="str">
            <v>PA-C1184 / LZRD-89|</v>
          </cell>
          <cell r="J9147" t="str">
            <v>C</v>
          </cell>
          <cell r="N9147" t="str">
            <v>C</v>
          </cell>
        </row>
        <row r="9148">
          <cell r="B9148" t="str">
            <v>PA-C1185 / LZRD-90|</v>
          </cell>
          <cell r="J9148" t="str">
            <v>C</v>
          </cell>
          <cell r="N9148" t="str">
            <v>C</v>
          </cell>
        </row>
        <row r="9149">
          <cell r="B9149" t="str">
            <v>PA-C1187 / LZRD-94|</v>
          </cell>
          <cell r="J9149" t="str">
            <v>C</v>
          </cell>
          <cell r="N9149" t="str">
            <v>C</v>
          </cell>
        </row>
        <row r="9150">
          <cell r="B9150" t="str">
            <v>PA-C1188 / LZRD-95|</v>
          </cell>
          <cell r="J9150" t="str">
            <v>C</v>
          </cell>
          <cell r="N9150" t="str">
            <v>C</v>
          </cell>
        </row>
        <row r="9151">
          <cell r="B9151" t="str">
            <v>PA-C1189 / LZRD-96|</v>
          </cell>
          <cell r="J9151" t="str">
            <v>C</v>
          </cell>
          <cell r="N9151" t="str">
            <v>C</v>
          </cell>
        </row>
        <row r="9152">
          <cell r="B9152" t="str">
            <v>PA-C1190 / LZRD-97|</v>
          </cell>
          <cell r="J9152" t="str">
            <v>C</v>
          </cell>
          <cell r="N9152" t="str">
            <v>C</v>
          </cell>
        </row>
        <row r="9153">
          <cell r="B9153" t="str">
            <v>PA-C1191 / LZRD-98|</v>
          </cell>
          <cell r="J9153" t="str">
            <v>C</v>
          </cell>
          <cell r="N9153" t="str">
            <v>C</v>
          </cell>
        </row>
        <row r="9154">
          <cell r="B9154" t="str">
            <v>PA-C1192 / LZRD-99|</v>
          </cell>
          <cell r="J9154" t="str">
            <v>C</v>
          </cell>
          <cell r="N9154" t="str">
            <v>C</v>
          </cell>
        </row>
        <row r="9155">
          <cell r="B9155" t="str">
            <v>PA-C1193 / LZRF-10|</v>
          </cell>
          <cell r="J9155" t="str">
            <v>C</v>
          </cell>
          <cell r="N9155" t="str">
            <v>C</v>
          </cell>
        </row>
        <row r="9156">
          <cell r="B9156" t="str">
            <v>PA-C1194 / LZRF-11|</v>
          </cell>
          <cell r="J9156" t="str">
            <v>C</v>
          </cell>
          <cell r="N9156" t="str">
            <v>C</v>
          </cell>
        </row>
        <row r="9157">
          <cell r="B9157" t="str">
            <v>PA-C1195 / LZRF-12|</v>
          </cell>
          <cell r="J9157" t="str">
            <v>C</v>
          </cell>
          <cell r="N9157" t="str">
            <v>C</v>
          </cell>
        </row>
        <row r="9158">
          <cell r="B9158" t="str">
            <v>PA-C1196 / LZRF-13|</v>
          </cell>
          <cell r="J9158" t="str">
            <v>C</v>
          </cell>
          <cell r="N9158" t="str">
            <v>C</v>
          </cell>
        </row>
        <row r="9159">
          <cell r="B9159" t="str">
            <v>PA-C1197 / LZRF-14|</v>
          </cell>
          <cell r="J9159" t="str">
            <v>C</v>
          </cell>
          <cell r="N9159" t="str">
            <v>C</v>
          </cell>
        </row>
        <row r="9160">
          <cell r="B9160" t="str">
            <v>PA-C1198 / LZRF-15|</v>
          </cell>
          <cell r="J9160" t="str">
            <v>C</v>
          </cell>
          <cell r="N9160" t="str">
            <v>C</v>
          </cell>
        </row>
        <row r="9161">
          <cell r="B9161" t="str">
            <v>PA-C1199 / RJXT-26|</v>
          </cell>
          <cell r="J9161" t="str">
            <v>C</v>
          </cell>
          <cell r="N9161" t="str">
            <v>C</v>
          </cell>
        </row>
        <row r="9162">
          <cell r="B9162" t="str">
            <v>PA-C1200 / RWTP-78|</v>
          </cell>
          <cell r="J9162" t="str">
            <v>C</v>
          </cell>
          <cell r="N9162" t="str">
            <v>C</v>
          </cell>
        </row>
        <row r="9163">
          <cell r="B9163" t="str">
            <v>PA-C1201 / RWTP-83|</v>
          </cell>
          <cell r="J9163" t="str">
            <v>C</v>
          </cell>
          <cell r="N9163" t="str">
            <v>C</v>
          </cell>
        </row>
        <row r="9164">
          <cell r="B9164" t="str">
            <v>PA-C1202 / RWTP-85|</v>
          </cell>
          <cell r="J9164" t="str">
            <v>C</v>
          </cell>
          <cell r="N9164" t="str">
            <v>C</v>
          </cell>
        </row>
        <row r="9165">
          <cell r="B9165" t="str">
            <v>PA-C1203 / RWTP-86|</v>
          </cell>
          <cell r="J9165" t="str">
            <v>C</v>
          </cell>
          <cell r="N9165" t="str">
            <v>C</v>
          </cell>
        </row>
        <row r="9166">
          <cell r="B9166" t="str">
            <v>PA-C1204 / RWTP-90|</v>
          </cell>
          <cell r="J9166" t="str">
            <v>C</v>
          </cell>
          <cell r="N9166" t="str">
            <v>C</v>
          </cell>
        </row>
        <row r="9167">
          <cell r="B9167" t="str">
            <v>PA-C1205 / RWTP-94|</v>
          </cell>
          <cell r="J9167" t="str">
            <v>C</v>
          </cell>
          <cell r="N9167" t="str">
            <v>C</v>
          </cell>
        </row>
        <row r="9168">
          <cell r="B9168" t="str">
            <v>PA-C1206 / RWTP-95|</v>
          </cell>
          <cell r="J9168" t="str">
            <v>C</v>
          </cell>
          <cell r="N9168" t="str">
            <v>C</v>
          </cell>
        </row>
        <row r="9169">
          <cell r="B9169" t="str">
            <v>PA-C1207 / RWTP-96|</v>
          </cell>
          <cell r="J9169" t="str">
            <v>C</v>
          </cell>
          <cell r="N9169" t="str">
            <v>C</v>
          </cell>
        </row>
        <row r="9170">
          <cell r="B9170" t="str">
            <v>PA-C1208 / RWTP-97|</v>
          </cell>
          <cell r="J9170" t="str">
            <v>C</v>
          </cell>
          <cell r="N9170" t="str">
            <v>C</v>
          </cell>
        </row>
        <row r="9171">
          <cell r="B9171" t="str">
            <v>PA-C1209 / RWTP-98|</v>
          </cell>
          <cell r="J9171" t="str">
            <v>C</v>
          </cell>
          <cell r="N9171" t="str">
            <v>C</v>
          </cell>
        </row>
        <row r="9172">
          <cell r="B9172" t="str">
            <v>PA-C1210 / RWTP-99|</v>
          </cell>
          <cell r="J9172" t="str">
            <v>C</v>
          </cell>
          <cell r="N9172" t="str">
            <v>C</v>
          </cell>
        </row>
        <row r="9173">
          <cell r="B9173" t="str">
            <v>PA-C1211 / RYJG-90|</v>
          </cell>
          <cell r="J9173" t="str">
            <v>C</v>
          </cell>
          <cell r="N9173" t="str">
            <v>C</v>
          </cell>
        </row>
        <row r="9174">
          <cell r="B9174" t="str">
            <v>PA-C1212 / RYJG-91|</v>
          </cell>
          <cell r="J9174" t="str">
            <v>C</v>
          </cell>
          <cell r="N9174" t="str">
            <v>C</v>
          </cell>
        </row>
        <row r="9175">
          <cell r="B9175" t="str">
            <v>SA-C1213 / RYJG-92|</v>
          </cell>
          <cell r="J9175" t="str">
            <v>C</v>
          </cell>
          <cell r="N9175" t="str">
            <v>C</v>
          </cell>
        </row>
        <row r="9176">
          <cell r="B9176" t="str">
            <v>SA-C1214 / RYJG-93|</v>
          </cell>
          <cell r="J9176" t="str">
            <v>C</v>
          </cell>
          <cell r="N9176" t="str">
            <v>C</v>
          </cell>
        </row>
        <row r="9177">
          <cell r="B9177" t="str">
            <v>SA-C1215 / RYJG-94|</v>
          </cell>
          <cell r="J9177" t="str">
            <v>C</v>
          </cell>
          <cell r="N9177" t="str">
            <v>C</v>
          </cell>
        </row>
        <row r="9178">
          <cell r="B9178" t="str">
            <v>SA-C1216 / RYJG-95|</v>
          </cell>
          <cell r="J9178" t="str">
            <v>C</v>
          </cell>
          <cell r="N9178" t="str">
            <v>C</v>
          </cell>
        </row>
        <row r="9179">
          <cell r="B9179" t="str">
            <v>SA-C1217 / SXKV-87|</v>
          </cell>
          <cell r="J9179" t="str">
            <v>C</v>
          </cell>
          <cell r="N9179" t="str">
            <v>C</v>
          </cell>
        </row>
        <row r="9180">
          <cell r="B9180" t="str">
            <v>SA-C1218 / SXKV-88|</v>
          </cell>
          <cell r="J9180" t="str">
            <v>C</v>
          </cell>
          <cell r="N9180" t="str">
            <v>C</v>
          </cell>
        </row>
        <row r="9181">
          <cell r="B9181" t="str">
            <v>SA-C1219 / SXKV-91|</v>
          </cell>
          <cell r="J9181" t="str">
            <v>C</v>
          </cell>
          <cell r="N9181" t="str">
            <v>C</v>
          </cell>
        </row>
        <row r="9182">
          <cell r="B9182" t="str">
            <v>SA-C1220 / SXKV-92|</v>
          </cell>
          <cell r="J9182" t="str">
            <v>C</v>
          </cell>
          <cell r="N9182" t="str">
            <v>C</v>
          </cell>
        </row>
        <row r="9183">
          <cell r="B9183" t="str">
            <v>SA-C1221 / SXKV-93|</v>
          </cell>
          <cell r="J9183" t="str">
            <v>C</v>
          </cell>
          <cell r="N9183" t="str">
            <v>C</v>
          </cell>
        </row>
        <row r="9184">
          <cell r="B9184" t="str">
            <v>SA-C1222 / SXKV-94|</v>
          </cell>
          <cell r="J9184" t="str">
            <v>C</v>
          </cell>
          <cell r="N9184" t="str">
            <v>C</v>
          </cell>
        </row>
        <row r="9185">
          <cell r="B9185" t="str">
            <v>SA-C1223 / SXKV-95|</v>
          </cell>
          <cell r="J9185" t="str">
            <v>C</v>
          </cell>
          <cell r="N9185" t="str">
            <v>C</v>
          </cell>
        </row>
        <row r="9186">
          <cell r="B9186" t="str">
            <v>SA-C1224 / SXKV-96|</v>
          </cell>
          <cell r="J9186" t="str">
            <v>C</v>
          </cell>
          <cell r="N9186" t="str">
            <v>C</v>
          </cell>
        </row>
        <row r="9187">
          <cell r="B9187" t="str">
            <v>SA-C1225 / GCBF-42|</v>
          </cell>
          <cell r="J9187" t="str">
            <v>C</v>
          </cell>
          <cell r="N9187" t="str">
            <v>C</v>
          </cell>
        </row>
        <row r="9188">
          <cell r="B9188" t="str">
            <v>SA-C1226 / LZRD-67|</v>
          </cell>
          <cell r="J9188" t="str">
            <v>C</v>
          </cell>
          <cell r="N9188" t="str">
            <v>C</v>
          </cell>
        </row>
        <row r="9189">
          <cell r="B9189" t="str">
            <v>SA-C1227 / LZRD-75|</v>
          </cell>
          <cell r="J9189" t="str">
            <v>C</v>
          </cell>
          <cell r="N9189" t="str">
            <v>C</v>
          </cell>
        </row>
        <row r="9190">
          <cell r="B9190" t="str">
            <v>SA-C1228 / LZRD-76|</v>
          </cell>
          <cell r="J9190" t="str">
            <v>C</v>
          </cell>
          <cell r="N9190" t="str">
            <v>C</v>
          </cell>
        </row>
        <row r="9191">
          <cell r="B9191" t="str">
            <v>SA-C1229 / LZRD-78|</v>
          </cell>
          <cell r="J9191" t="str">
            <v>C</v>
          </cell>
          <cell r="N9191" t="str">
            <v>C</v>
          </cell>
        </row>
        <row r="9192">
          <cell r="B9192" t="str">
            <v>SA-C1230 / LZRD-83|</v>
          </cell>
          <cell r="J9192" t="str">
            <v>C</v>
          </cell>
          <cell r="N9192" t="str">
            <v>C</v>
          </cell>
        </row>
        <row r="9193">
          <cell r="B9193" t="str">
            <v>SA-C1231 / LZRD-88|</v>
          </cell>
          <cell r="J9193" t="str">
            <v>C</v>
          </cell>
          <cell r="N9193" t="str">
            <v>C</v>
          </cell>
        </row>
        <row r="9194">
          <cell r="B9194" t="str">
            <v>SA-C1232 / LZRD-91|</v>
          </cell>
          <cell r="J9194" t="str">
            <v>C</v>
          </cell>
          <cell r="N9194" t="str">
            <v>C</v>
          </cell>
        </row>
        <row r="9195">
          <cell r="B9195" t="str">
            <v>SA-C1233 / LZRD-92|</v>
          </cell>
          <cell r="J9195" t="str">
            <v>C</v>
          </cell>
          <cell r="N9195" t="str">
            <v>C</v>
          </cell>
        </row>
        <row r="9196">
          <cell r="B9196" t="str">
            <v>SA-C1234 / RWTP-79|</v>
          </cell>
          <cell r="J9196" t="str">
            <v>C</v>
          </cell>
          <cell r="N9196" t="str">
            <v>C</v>
          </cell>
        </row>
        <row r="9197">
          <cell r="B9197" t="str">
            <v>SA-C1235 / RWTP-80|</v>
          </cell>
          <cell r="J9197" t="str">
            <v>C</v>
          </cell>
          <cell r="N9197" t="str">
            <v>C</v>
          </cell>
        </row>
        <row r="9198">
          <cell r="B9198" t="str">
            <v>SA-C1236 / RWTP-81|</v>
          </cell>
          <cell r="J9198" t="str">
            <v>C</v>
          </cell>
          <cell r="N9198" t="str">
            <v>C</v>
          </cell>
        </row>
        <row r="9199">
          <cell r="B9199" t="str">
            <v>SA-C1237 / RWTP-82|</v>
          </cell>
          <cell r="J9199" t="str">
            <v>C</v>
          </cell>
          <cell r="N9199" t="str">
            <v>C</v>
          </cell>
        </row>
        <row r="9200">
          <cell r="B9200" t="str">
            <v>SA-C1238 / RWTP-84|</v>
          </cell>
          <cell r="J9200" t="str">
            <v>C</v>
          </cell>
          <cell r="N9200" t="str">
            <v>C</v>
          </cell>
        </row>
        <row r="9201">
          <cell r="B9201" t="str">
            <v>SA-C1239 / RWTP-87|</v>
          </cell>
          <cell r="J9201" t="str">
            <v>C</v>
          </cell>
          <cell r="N9201" t="str">
            <v>C</v>
          </cell>
        </row>
        <row r="9202">
          <cell r="B9202" t="str">
            <v>SA-C1240 / RWTP-88|</v>
          </cell>
          <cell r="J9202" t="str">
            <v>C</v>
          </cell>
          <cell r="N9202" t="str">
            <v>C</v>
          </cell>
        </row>
        <row r="9203">
          <cell r="B9203" t="str">
            <v>SA-C1241 / RWTP-89|</v>
          </cell>
          <cell r="J9203" t="str">
            <v>C</v>
          </cell>
          <cell r="N9203" t="str">
            <v>C</v>
          </cell>
        </row>
        <row r="9204">
          <cell r="B9204" t="str">
            <v>SA-C1242 / RWTP-91|</v>
          </cell>
          <cell r="J9204" t="str">
            <v>C</v>
          </cell>
          <cell r="N9204" t="str">
            <v>C</v>
          </cell>
        </row>
        <row r="9205">
          <cell r="B9205" t="str">
            <v>SA-C1243 / RWTP-92|</v>
          </cell>
          <cell r="J9205" t="str">
            <v>C</v>
          </cell>
          <cell r="N9205" t="str">
            <v>C</v>
          </cell>
        </row>
        <row r="9206">
          <cell r="B9206" t="str">
            <v>SA-C1244 / RWTP-93|</v>
          </cell>
          <cell r="J9206" t="str">
            <v>C</v>
          </cell>
          <cell r="N9206" t="str">
            <v>C</v>
          </cell>
        </row>
        <row r="9207">
          <cell r="B9207" t="str">
            <v>SA-C1245 / RWTR-10|</v>
          </cell>
          <cell r="J9207" t="str">
            <v>C</v>
          </cell>
          <cell r="N9207" t="str">
            <v>C</v>
          </cell>
        </row>
        <row r="9208">
          <cell r="B9208" t="str">
            <v>SA-C1246 / RWTR-11|</v>
          </cell>
          <cell r="J9208" t="str">
            <v>C</v>
          </cell>
          <cell r="N9208" t="str">
            <v>C</v>
          </cell>
        </row>
        <row r="9209">
          <cell r="B9209" t="str">
            <v>SA-C1247 / SXKV-89|</v>
          </cell>
          <cell r="J9209" t="str">
            <v>C</v>
          </cell>
          <cell r="N9209" t="str">
            <v>C</v>
          </cell>
        </row>
        <row r="9210">
          <cell r="B9210" t="str">
            <v>SA-C1248 / SXKV-90|</v>
          </cell>
          <cell r="J9210" t="str">
            <v>C</v>
          </cell>
          <cell r="N9210" t="str">
            <v>C</v>
          </cell>
        </row>
        <row r="9211">
          <cell r="B9211" t="str">
            <v>CER-B1251 / VFPB-75|</v>
          </cell>
          <cell r="J9211" t="str">
            <v>B</v>
          </cell>
          <cell r="N9211" t="str">
            <v>B</v>
          </cell>
        </row>
        <row r="9212">
          <cell r="B9212" t="str">
            <v>PA-B1252 / VFPB-85|</v>
          </cell>
          <cell r="J9212" t="str">
            <v>B</v>
          </cell>
          <cell r="N9212" t="str">
            <v>B</v>
          </cell>
        </row>
        <row r="9213">
          <cell r="B9213" t="str">
            <v>SA-B1253 / VFPC-59|</v>
          </cell>
          <cell r="J9213" t="str">
            <v>B</v>
          </cell>
          <cell r="N9213" t="str">
            <v>B</v>
          </cell>
        </row>
        <row r="9214">
          <cell r="B9214" t="str">
            <v>SA-B1254 / VFPC-66|</v>
          </cell>
          <cell r="J9214" t="str">
            <v>B</v>
          </cell>
          <cell r="N9214" t="str">
            <v>B</v>
          </cell>
        </row>
        <row r="9215">
          <cell r="B9215" t="str">
            <v>PA-B1255 / VFPC-69|</v>
          </cell>
          <cell r="J9215" t="str">
            <v>B</v>
          </cell>
          <cell r="N9215" t="str">
            <v>B</v>
          </cell>
        </row>
        <row r="9216">
          <cell r="B9216" t="str">
            <v>CER-B1256 / VFPD-10|</v>
          </cell>
          <cell r="J9216" t="str">
            <v>B</v>
          </cell>
          <cell r="N9216" t="str">
            <v>B</v>
          </cell>
        </row>
        <row r="9217">
          <cell r="B9217" t="str">
            <v>PA-B1257 / VFPD-41|</v>
          </cell>
          <cell r="J9217" t="str">
            <v>B</v>
          </cell>
          <cell r="N9217" t="str">
            <v>B</v>
          </cell>
        </row>
        <row r="9218">
          <cell r="B9218" t="str">
            <v>CER-B1258 / VFPD-51|</v>
          </cell>
          <cell r="J9218" t="str">
            <v>B</v>
          </cell>
          <cell r="N9218" t="str">
            <v>B</v>
          </cell>
        </row>
        <row r="9219">
          <cell r="B9219" t="str">
            <v>CER-B1259 / VFPD-61|</v>
          </cell>
          <cell r="J9219" t="str">
            <v>B</v>
          </cell>
          <cell r="N9219" t="str">
            <v>B</v>
          </cell>
        </row>
        <row r="9220">
          <cell r="B9220" t="str">
            <v>CER-B1260 / VFPD-71|</v>
          </cell>
          <cell r="J9220" t="str">
            <v>B</v>
          </cell>
          <cell r="N9220" t="str">
            <v>B</v>
          </cell>
        </row>
        <row r="9221">
          <cell r="B9221" t="str">
            <v>CER-B1261 / VFPD-81|</v>
          </cell>
          <cell r="J9221" t="str">
            <v>B</v>
          </cell>
          <cell r="N9221" t="str">
            <v>B</v>
          </cell>
        </row>
        <row r="9222">
          <cell r="B9222" t="str">
            <v>PA-B1262 / VFPF-21|</v>
          </cell>
          <cell r="J9222" t="str">
            <v>B</v>
          </cell>
          <cell r="N9222" t="str">
            <v>B</v>
          </cell>
        </row>
        <row r="9223">
          <cell r="B9223" t="str">
            <v>CER-B1263 / VFPF-31|</v>
          </cell>
          <cell r="J9223" t="str">
            <v>B</v>
          </cell>
          <cell r="N9223" t="str">
            <v>B</v>
          </cell>
        </row>
        <row r="9224">
          <cell r="B9224" t="str">
            <v>CER-B1264 / VFPF-51|</v>
          </cell>
          <cell r="J9224" t="str">
            <v>B</v>
          </cell>
          <cell r="N9224" t="str">
            <v>B</v>
          </cell>
        </row>
        <row r="9225">
          <cell r="B9225" t="str">
            <v>PA-B1265 / VFPF-54|</v>
          </cell>
          <cell r="J9225" t="str">
            <v>B</v>
          </cell>
          <cell r="N9225" t="str">
            <v>B</v>
          </cell>
        </row>
        <row r="9226">
          <cell r="B9226" t="str">
            <v>SA-B1266 / VFPF-61|</v>
          </cell>
          <cell r="J9226" t="str">
            <v>B</v>
          </cell>
          <cell r="N9226" t="str">
            <v>B</v>
          </cell>
        </row>
        <row r="9227">
          <cell r="B9227" t="str">
            <v>CER-B1267 / VFPG-48|</v>
          </cell>
          <cell r="J9227" t="str">
            <v>B</v>
          </cell>
          <cell r="N9227" t="str">
            <v>B</v>
          </cell>
        </row>
        <row r="9228">
          <cell r="B9228" t="str">
            <v>CER-B1268 / VFPG-58|</v>
          </cell>
          <cell r="J9228" t="str">
            <v>B</v>
          </cell>
          <cell r="N9228" t="str">
            <v>B</v>
          </cell>
        </row>
        <row r="9229">
          <cell r="B9229" t="str">
            <v>PA-B1269 / VFPG-91|</v>
          </cell>
          <cell r="J9229" t="str">
            <v>B</v>
          </cell>
          <cell r="N9229" t="str">
            <v>B</v>
          </cell>
        </row>
        <row r="9230">
          <cell r="B9230" t="str">
            <v>PA-B1270 / VFPH-21|</v>
          </cell>
          <cell r="J9230" t="str">
            <v>B</v>
          </cell>
          <cell r="N9230" t="str">
            <v>B</v>
          </cell>
        </row>
        <row r="9231">
          <cell r="B9231" t="str">
            <v>CER-B1271 / VFPH-35|</v>
          </cell>
          <cell r="J9231" t="str">
            <v>B</v>
          </cell>
          <cell r="N9231" t="str">
            <v>B</v>
          </cell>
        </row>
        <row r="9232">
          <cell r="B9232" t="str">
            <v>PA-B1272 / VFPH-51|</v>
          </cell>
          <cell r="J9232" t="str">
            <v>B</v>
          </cell>
          <cell r="N9232" t="str">
            <v>B</v>
          </cell>
        </row>
        <row r="9233">
          <cell r="B9233" t="str">
            <v>CER-B1273 / VFPH-66|</v>
          </cell>
          <cell r="J9233" t="str">
            <v>B</v>
          </cell>
          <cell r="N9233" t="str">
            <v>B</v>
          </cell>
        </row>
        <row r="9234">
          <cell r="B9234" t="str">
            <v>PA-B1274 / VFPH-79|</v>
          </cell>
          <cell r="J9234" t="str">
            <v>B</v>
          </cell>
          <cell r="N9234" t="str">
            <v>B</v>
          </cell>
        </row>
        <row r="9235">
          <cell r="B9235" t="str">
            <v>PA-B1275 / VFPH-81|</v>
          </cell>
          <cell r="J9235" t="str">
            <v>B</v>
          </cell>
          <cell r="N9235" t="str">
            <v>B</v>
          </cell>
        </row>
        <row r="9236">
          <cell r="B9236" t="str">
            <v>PA-B1276 / VFPH-91|</v>
          </cell>
          <cell r="J9236" t="str">
            <v>B</v>
          </cell>
          <cell r="N9236" t="str">
            <v>B</v>
          </cell>
        </row>
        <row r="9237">
          <cell r="B9237" t="str">
            <v>SA-B1277 / VFPH-98|</v>
          </cell>
          <cell r="J9237" t="str">
            <v>B</v>
          </cell>
          <cell r="N9237" t="str">
            <v>B</v>
          </cell>
        </row>
        <row r="9238">
          <cell r="B9238" t="str">
            <v>CER-B1278 / VFPJ-11|</v>
          </cell>
          <cell r="J9238" t="str">
            <v>B</v>
          </cell>
          <cell r="N9238" t="str">
            <v>B</v>
          </cell>
        </row>
        <row r="9239">
          <cell r="B9239" t="str">
            <v>PA-B1279 / VFPJ-25|</v>
          </cell>
          <cell r="J9239" t="str">
            <v>B</v>
          </cell>
          <cell r="N9239" t="str">
            <v>B</v>
          </cell>
        </row>
        <row r="9240">
          <cell r="B9240" t="str">
            <v>PA-B1280 / VFPJ-28|</v>
          </cell>
          <cell r="J9240" t="str">
            <v>B</v>
          </cell>
          <cell r="N9240" t="str">
            <v>B</v>
          </cell>
        </row>
        <row r="9241">
          <cell r="B9241" t="str">
            <v>CER-B1281 / VFPJ-31|</v>
          </cell>
          <cell r="J9241" t="str">
            <v>B</v>
          </cell>
          <cell r="N9241" t="str">
            <v>B</v>
          </cell>
        </row>
        <row r="9242">
          <cell r="B9242" t="str">
            <v>PA-B1282 / VFPJ-51|</v>
          </cell>
          <cell r="J9242" t="str">
            <v>B</v>
          </cell>
          <cell r="N9242" t="str">
            <v>B</v>
          </cell>
        </row>
        <row r="9243">
          <cell r="B9243" t="str">
            <v>CER-B1283 / VFPJ-53|</v>
          </cell>
          <cell r="J9243" t="str">
            <v>B</v>
          </cell>
          <cell r="N9243" t="str">
            <v>B</v>
          </cell>
        </row>
        <row r="9244">
          <cell r="B9244" t="str">
            <v>PA-B1284 / VFPJ-61|</v>
          </cell>
          <cell r="J9244" t="str">
            <v>B</v>
          </cell>
          <cell r="N9244" t="str">
            <v>B</v>
          </cell>
        </row>
        <row r="9245">
          <cell r="B9245" t="str">
            <v>CER-B1285 / VFPJ-66|</v>
          </cell>
          <cell r="J9245" t="str">
            <v>B</v>
          </cell>
          <cell r="N9245" t="str">
            <v>B</v>
          </cell>
        </row>
        <row r="9246">
          <cell r="B9246" t="str">
            <v>PA-B1286 / VFPJ-68|</v>
          </cell>
          <cell r="J9246" t="str">
            <v>B</v>
          </cell>
          <cell r="N9246" t="str">
            <v>B</v>
          </cell>
        </row>
        <row r="9247">
          <cell r="B9247" t="str">
            <v>CER-B1287 / VFPJ-71|</v>
          </cell>
          <cell r="J9247" t="str">
            <v>B</v>
          </cell>
          <cell r="N9247" t="str">
            <v>B</v>
          </cell>
        </row>
        <row r="9248">
          <cell r="B9248" t="str">
            <v>PA-B1288 / VFPJ-77|</v>
          </cell>
          <cell r="J9248" t="str">
            <v>B</v>
          </cell>
          <cell r="N9248" t="str">
            <v>B</v>
          </cell>
        </row>
        <row r="9249">
          <cell r="B9249" t="str">
            <v>CER-B1289 / VFPK-64|</v>
          </cell>
          <cell r="J9249" t="str">
            <v>B</v>
          </cell>
          <cell r="N9249" t="str">
            <v>B</v>
          </cell>
        </row>
        <row r="9250">
          <cell r="B9250" t="str">
            <v>PA-B1290 / VFPK-81|</v>
          </cell>
          <cell r="J9250" t="str">
            <v>B</v>
          </cell>
          <cell r="N9250" t="str">
            <v>B</v>
          </cell>
        </row>
        <row r="9251">
          <cell r="B9251" t="str">
            <v>PA-B1291 / VFPK-91|</v>
          </cell>
          <cell r="J9251" t="str">
            <v>B</v>
          </cell>
          <cell r="N9251" t="str">
            <v>B</v>
          </cell>
        </row>
        <row r="9252">
          <cell r="B9252" t="str">
            <v>PA-B1292 / VFPL-11|</v>
          </cell>
          <cell r="J9252" t="str">
            <v>B</v>
          </cell>
          <cell r="N9252" t="str">
            <v>B</v>
          </cell>
        </row>
        <row r="9253">
          <cell r="B9253" t="str">
            <v>PA-B1293 / VFPL-15|</v>
          </cell>
          <cell r="J9253" t="str">
            <v>B</v>
          </cell>
          <cell r="N9253" t="str">
            <v>B</v>
          </cell>
        </row>
        <row r="9254">
          <cell r="B9254" t="str">
            <v>PA-B1294 / VFPL-21|</v>
          </cell>
          <cell r="J9254" t="str">
            <v>B</v>
          </cell>
          <cell r="N9254" t="str">
            <v>B</v>
          </cell>
        </row>
        <row r="9255">
          <cell r="B9255" t="str">
            <v>PA-B1295 / VFPL-31|</v>
          </cell>
          <cell r="J9255" t="str">
            <v>B</v>
          </cell>
          <cell r="N9255" t="str">
            <v>B</v>
          </cell>
        </row>
        <row r="9256">
          <cell r="B9256" t="str">
            <v>PA-B1296 / VFPL-35|</v>
          </cell>
          <cell r="J9256" t="str">
            <v>B</v>
          </cell>
          <cell r="N9256" t="str">
            <v>B</v>
          </cell>
        </row>
        <row r="9257">
          <cell r="B9257" t="str">
            <v>SA-B1297 / VFPL-41|</v>
          </cell>
          <cell r="J9257" t="str">
            <v>B</v>
          </cell>
          <cell r="N9257" t="str">
            <v>B</v>
          </cell>
        </row>
        <row r="9258">
          <cell r="B9258" t="str">
            <v>SA-B1298 / VFPL-46|</v>
          </cell>
          <cell r="J9258" t="str">
            <v>B</v>
          </cell>
          <cell r="N9258" t="str">
            <v>B</v>
          </cell>
        </row>
        <row r="9259">
          <cell r="B9259" t="str">
            <v>CER-B1299 / VFPL-57|</v>
          </cell>
          <cell r="J9259" t="str">
            <v>B</v>
          </cell>
          <cell r="N9259" t="str">
            <v>B</v>
          </cell>
        </row>
        <row r="9260">
          <cell r="B9260" t="str">
            <v>CER-B1300 / VFPL-61|</v>
          </cell>
          <cell r="J9260" t="str">
            <v>B</v>
          </cell>
          <cell r="N9260" t="str">
            <v>B</v>
          </cell>
        </row>
        <row r="9261">
          <cell r="B9261" t="str">
            <v>CER-B1301 / VFPL-63|</v>
          </cell>
          <cell r="J9261" t="str">
            <v>B</v>
          </cell>
          <cell r="N9261" t="str">
            <v>B</v>
          </cell>
        </row>
        <row r="9262">
          <cell r="B9262" t="str">
            <v>CER-B1302 / VFPL-71|</v>
          </cell>
          <cell r="J9262" t="str">
            <v>B</v>
          </cell>
          <cell r="N9262" t="str">
            <v>B</v>
          </cell>
        </row>
        <row r="9263">
          <cell r="B9263" t="str">
            <v>PA-B1303 / VFPL-73|</v>
          </cell>
          <cell r="J9263" t="str">
            <v>B</v>
          </cell>
          <cell r="N9263" t="str">
            <v>B</v>
          </cell>
        </row>
        <row r="9264">
          <cell r="B9264" t="str">
            <v>CER-B1304 / VFPL-74|</v>
          </cell>
          <cell r="J9264" t="str">
            <v>B</v>
          </cell>
          <cell r="N9264" t="str">
            <v>B</v>
          </cell>
        </row>
        <row r="9265">
          <cell r="B9265" t="str">
            <v>CER-B1305 / VFPL-81|</v>
          </cell>
          <cell r="J9265" t="str">
            <v>B</v>
          </cell>
          <cell r="N9265" t="str">
            <v>B</v>
          </cell>
        </row>
        <row r="9266">
          <cell r="B9266" t="str">
            <v>CER-B1306 / VFPL-87|</v>
          </cell>
          <cell r="J9266" t="str">
            <v>B</v>
          </cell>
          <cell r="N9266" t="str">
            <v>B</v>
          </cell>
        </row>
        <row r="9267">
          <cell r="B9267" t="str">
            <v>PA-B1307 / VFPL-88|</v>
          </cell>
          <cell r="J9267" t="str">
            <v>B</v>
          </cell>
          <cell r="N9267" t="str">
            <v>B</v>
          </cell>
        </row>
        <row r="9268">
          <cell r="B9268" t="str">
            <v>PA-B1308 / VFPL-92|</v>
          </cell>
          <cell r="J9268" t="str">
            <v>B</v>
          </cell>
          <cell r="N9268" t="str">
            <v>B</v>
          </cell>
        </row>
        <row r="9269">
          <cell r="B9269" t="str">
            <v>PA-B1309 / VFPP-11|</v>
          </cell>
          <cell r="J9269" t="str">
            <v>B</v>
          </cell>
          <cell r="N9269" t="str">
            <v>B</v>
          </cell>
        </row>
        <row r="9270">
          <cell r="B9270" t="str">
            <v>CER-B1310 / VFPS-39|</v>
          </cell>
          <cell r="J9270" t="str">
            <v>B</v>
          </cell>
          <cell r="N9270" t="str">
            <v>B</v>
          </cell>
        </row>
        <row r="9271">
          <cell r="B9271" t="str">
            <v>CER-B1311 / VFPS-47|</v>
          </cell>
          <cell r="J9271" t="str">
            <v>B</v>
          </cell>
          <cell r="N9271" t="str">
            <v>B</v>
          </cell>
        </row>
        <row r="9272">
          <cell r="B9272" t="str">
            <v>PA-B1312 / VFPS-48|</v>
          </cell>
          <cell r="J9272" t="str">
            <v>B</v>
          </cell>
          <cell r="N9272" t="str">
            <v>B</v>
          </cell>
        </row>
        <row r="9273">
          <cell r="B9273" t="str">
            <v>PA-B1313 / VFPS-56|</v>
          </cell>
          <cell r="J9273" t="str">
            <v>B</v>
          </cell>
          <cell r="N9273" t="str">
            <v>B</v>
          </cell>
        </row>
        <row r="9274">
          <cell r="B9274" t="str">
            <v>CER-B1314 / VFPS-65|</v>
          </cell>
          <cell r="J9274" t="str">
            <v>B</v>
          </cell>
          <cell r="N9274" t="str">
            <v>B</v>
          </cell>
        </row>
        <row r="9275">
          <cell r="B9275" t="str">
            <v>CER-B1315 / VFPS-69|</v>
          </cell>
          <cell r="J9275" t="str">
            <v>B</v>
          </cell>
          <cell r="N9275" t="str">
            <v>B</v>
          </cell>
        </row>
        <row r="9276">
          <cell r="B9276" t="str">
            <v>PA-B1316 / VFPS-74|</v>
          </cell>
          <cell r="J9276" t="str">
            <v>B</v>
          </cell>
          <cell r="N9276" t="str">
            <v>B</v>
          </cell>
        </row>
        <row r="9277">
          <cell r="B9277" t="str">
            <v>PA-B1317 / VFPS-78|</v>
          </cell>
          <cell r="J9277" t="str">
            <v>B</v>
          </cell>
          <cell r="N9277" t="str">
            <v>B</v>
          </cell>
        </row>
        <row r="9278">
          <cell r="B9278" t="str">
            <v>PA-B1318 / VFPS-85|</v>
          </cell>
          <cell r="J9278" t="str">
            <v>B</v>
          </cell>
          <cell r="N9278" t="str">
            <v>B</v>
          </cell>
        </row>
        <row r="9279">
          <cell r="B9279" t="str">
            <v>PA-B1319 / VFPS-86|</v>
          </cell>
          <cell r="J9279" t="str">
            <v>B</v>
          </cell>
          <cell r="N9279" t="str">
            <v>B</v>
          </cell>
        </row>
        <row r="9280">
          <cell r="B9280" t="str">
            <v>CER-B1320 / VFPS-87|</v>
          </cell>
          <cell r="J9280" t="str">
            <v>B</v>
          </cell>
          <cell r="N9280" t="str">
            <v>B</v>
          </cell>
        </row>
        <row r="9281">
          <cell r="B9281" t="str">
            <v>PA-B1321 / VFPS-89|</v>
          </cell>
          <cell r="J9281" t="str">
            <v>B</v>
          </cell>
          <cell r="N9281" t="str">
            <v>B</v>
          </cell>
        </row>
        <row r="9282">
          <cell r="B9282" t="str">
            <v>PA-B1322 / VFPS-94|</v>
          </cell>
          <cell r="J9282" t="str">
            <v>B</v>
          </cell>
          <cell r="N9282" t="str">
            <v>B</v>
          </cell>
        </row>
        <row r="9283">
          <cell r="B9283" t="str">
            <v>PA-B1323 / VFPS-99|</v>
          </cell>
          <cell r="J9283" t="str">
            <v>B</v>
          </cell>
          <cell r="N9283" t="str">
            <v>B</v>
          </cell>
        </row>
        <row r="9284">
          <cell r="B9284" t="str">
            <v>SA-B1324 / VFPT-23|</v>
          </cell>
          <cell r="J9284" t="str">
            <v>B</v>
          </cell>
          <cell r="N9284" t="str">
            <v>B</v>
          </cell>
        </row>
        <row r="9285">
          <cell r="B9285" t="str">
            <v>SA-B1325 / VFPT-27|</v>
          </cell>
          <cell r="J9285" t="str">
            <v>B</v>
          </cell>
          <cell r="N9285" t="str">
            <v>B</v>
          </cell>
        </row>
        <row r="9286">
          <cell r="B9286" t="str">
            <v>PA-B1326 / VFPT-47|</v>
          </cell>
          <cell r="J9286" t="str">
            <v>B</v>
          </cell>
          <cell r="N9286" t="str">
            <v>B</v>
          </cell>
        </row>
        <row r="9287">
          <cell r="B9287" t="str">
            <v>PA-B1327 / VFPT-63|</v>
          </cell>
          <cell r="J9287" t="str">
            <v>B</v>
          </cell>
          <cell r="N9287" t="str">
            <v>B</v>
          </cell>
        </row>
        <row r="9288">
          <cell r="B9288" t="str">
            <v>PA-B1328 / VFPT-64|</v>
          </cell>
          <cell r="J9288" t="str">
            <v>B</v>
          </cell>
          <cell r="N9288" t="str">
            <v>B</v>
          </cell>
        </row>
        <row r="9289">
          <cell r="B9289" t="str">
            <v>PA-B1329 / VFPT-65|</v>
          </cell>
          <cell r="J9289" t="str">
            <v>B</v>
          </cell>
          <cell r="N9289" t="str">
            <v>B</v>
          </cell>
        </row>
        <row r="9290">
          <cell r="B9290" t="str">
            <v>PA-B1330 / VFPV-53|</v>
          </cell>
          <cell r="J9290" t="str">
            <v>B</v>
          </cell>
          <cell r="N9290" t="str">
            <v>B</v>
          </cell>
        </row>
        <row r="9291">
          <cell r="B9291" t="str">
            <v>SA-B1331 / VFPV-63|</v>
          </cell>
          <cell r="J9291" t="str">
            <v>B</v>
          </cell>
          <cell r="N9291" t="str">
            <v>B</v>
          </cell>
        </row>
        <row r="9292">
          <cell r="B9292" t="str">
            <v>SA-B1332 / VFPV-73|</v>
          </cell>
          <cell r="J9292" t="str">
            <v>B</v>
          </cell>
          <cell r="N9292" t="str">
            <v>B</v>
          </cell>
        </row>
        <row r="9293">
          <cell r="B9293" t="str">
            <v>PA-B1333 / VFPV-83|</v>
          </cell>
          <cell r="J9293" t="str">
            <v>B</v>
          </cell>
          <cell r="N9293" t="str">
            <v>B</v>
          </cell>
        </row>
        <row r="9294">
          <cell r="B9294" t="str">
            <v>PA-B1334 / VFPV-93|</v>
          </cell>
          <cell r="J9294" t="str">
            <v>B</v>
          </cell>
          <cell r="N9294" t="str">
            <v>B</v>
          </cell>
        </row>
        <row r="9295">
          <cell r="B9295" t="str">
            <v>SA-B1335 / VFPW-13|</v>
          </cell>
          <cell r="J9295" t="str">
            <v>B</v>
          </cell>
          <cell r="N9295" t="str">
            <v>B</v>
          </cell>
        </row>
        <row r="9296">
          <cell r="B9296" t="str">
            <v>SA-B1336 / VFPW-23|</v>
          </cell>
          <cell r="J9296" t="str">
            <v>B</v>
          </cell>
          <cell r="N9296" t="str">
            <v>B</v>
          </cell>
        </row>
        <row r="9297">
          <cell r="B9297" t="str">
            <v>SA-B1337 / VFPW-33|</v>
          </cell>
          <cell r="J9297" t="str">
            <v>B</v>
          </cell>
          <cell r="N9297" t="str">
            <v>B</v>
          </cell>
        </row>
        <row r="9298">
          <cell r="B9298" t="str">
            <v>PA-B1338 / VFPW-63|</v>
          </cell>
          <cell r="J9298" t="str">
            <v>B</v>
          </cell>
          <cell r="N9298" t="str">
            <v>B</v>
          </cell>
        </row>
        <row r="9299">
          <cell r="B9299" t="str">
            <v>SA-B1339 / VFPW-73|</v>
          </cell>
          <cell r="J9299" t="str">
            <v>B</v>
          </cell>
          <cell r="N9299" t="str">
            <v>B</v>
          </cell>
        </row>
        <row r="9300">
          <cell r="B9300" t="str">
            <v>SA-B1340 / VFPX-13|</v>
          </cell>
          <cell r="J9300" t="str">
            <v>B</v>
          </cell>
          <cell r="N9300" t="str">
            <v>B</v>
          </cell>
        </row>
        <row r="9301">
          <cell r="B9301" t="str">
            <v>SA-B1341 / VFPX-33|</v>
          </cell>
          <cell r="J9301" t="str">
            <v>B</v>
          </cell>
          <cell r="N9301" t="str">
            <v>B</v>
          </cell>
        </row>
        <row r="9302">
          <cell r="B9302" t="str">
            <v>PA-B1342 / VFPX-53|</v>
          </cell>
          <cell r="J9302" t="str">
            <v>B</v>
          </cell>
          <cell r="N9302" t="str">
            <v>B</v>
          </cell>
        </row>
        <row r="9303">
          <cell r="B9303" t="str">
            <v>PA-B1343 / VFPX-63|</v>
          </cell>
          <cell r="J9303" t="str">
            <v>B</v>
          </cell>
          <cell r="N9303" t="str">
            <v>B</v>
          </cell>
        </row>
        <row r="9304">
          <cell r="B9304" t="str">
            <v>PA-B1344 / VFPX-83|</v>
          </cell>
          <cell r="J9304" t="str">
            <v>B</v>
          </cell>
          <cell r="N9304" t="str">
            <v>B</v>
          </cell>
        </row>
        <row r="9305">
          <cell r="B9305" t="str">
            <v>PA-B1345 / VFPX-93|</v>
          </cell>
          <cell r="J9305" t="str">
            <v>B</v>
          </cell>
          <cell r="N9305" t="str">
            <v>B</v>
          </cell>
        </row>
        <row r="9306">
          <cell r="B9306" t="str">
            <v>SA-B1346 / VFPY-13|</v>
          </cell>
          <cell r="J9306" t="str">
            <v>B</v>
          </cell>
          <cell r="N9306" t="str">
            <v>B</v>
          </cell>
        </row>
        <row r="9307">
          <cell r="B9307" t="str">
            <v>PA-B1347 / VFPY-23|</v>
          </cell>
          <cell r="J9307" t="str">
            <v>B</v>
          </cell>
          <cell r="N9307" t="str">
            <v>B</v>
          </cell>
        </row>
        <row r="9308">
          <cell r="B9308" t="str">
            <v>PA-B1348 / VFPY-33|</v>
          </cell>
          <cell r="J9308" t="str">
            <v>B</v>
          </cell>
          <cell r="N9308" t="str">
            <v>B</v>
          </cell>
        </row>
        <row r="9309">
          <cell r="B9309" t="str">
            <v>SA-B1349 / VFPY-43|</v>
          </cell>
          <cell r="J9309" t="str">
            <v>B</v>
          </cell>
          <cell r="N9309" t="str">
            <v>B</v>
          </cell>
        </row>
        <row r="9310">
          <cell r="B9310" t="str">
            <v>SA-B1350 / VFPZ-27|</v>
          </cell>
          <cell r="J9310" t="str">
            <v>B</v>
          </cell>
          <cell r="N9310" t="str">
            <v>B</v>
          </cell>
        </row>
        <row r="9311">
          <cell r="B9311" t="str">
            <v>SA-B1351 / VFPZ-38|</v>
          </cell>
          <cell r="J9311" t="str">
            <v>B</v>
          </cell>
          <cell r="N9311" t="str">
            <v>B</v>
          </cell>
        </row>
        <row r="9312">
          <cell r="B9312" t="str">
            <v>SA-B1352 / VFPZ-39|</v>
          </cell>
          <cell r="J9312" t="str">
            <v>B</v>
          </cell>
          <cell r="N9312" t="str">
            <v>B</v>
          </cell>
        </row>
        <row r="9313">
          <cell r="B9313" t="str">
            <v>SA-B1353 / VFPZ-55|</v>
          </cell>
          <cell r="J9313" t="str">
            <v>B</v>
          </cell>
          <cell r="N9313" t="str">
            <v>B</v>
          </cell>
        </row>
        <row r="9314">
          <cell r="B9314" t="str">
            <v>PA-B1354 / VFPZ-56|</v>
          </cell>
          <cell r="J9314" t="str">
            <v>B</v>
          </cell>
          <cell r="N9314" t="str">
            <v>B</v>
          </cell>
        </row>
        <row r="9315">
          <cell r="B9315" t="str">
            <v>PA-B1355 / VFPZ-74|</v>
          </cell>
          <cell r="J9315" t="str">
            <v>B</v>
          </cell>
          <cell r="N9315" t="str">
            <v>B</v>
          </cell>
        </row>
        <row r="9316">
          <cell r="B9316" t="str">
            <v>PA-B1356 / VFPZ-78|</v>
          </cell>
          <cell r="J9316" t="str">
            <v>B</v>
          </cell>
          <cell r="N9316" t="str">
            <v>B</v>
          </cell>
        </row>
        <row r="9317">
          <cell r="B9317" t="str">
            <v>SA-B1357 / VFPZ-88|</v>
          </cell>
          <cell r="J9317" t="str">
            <v>B</v>
          </cell>
          <cell r="N9317" t="str">
            <v>B</v>
          </cell>
        </row>
        <row r="9318">
          <cell r="B9318" t="str">
            <v>SA-B1358 / VFPZ-89|</v>
          </cell>
          <cell r="J9318" t="str">
            <v>B</v>
          </cell>
          <cell r="N9318" t="str">
            <v>B</v>
          </cell>
        </row>
        <row r="9319">
          <cell r="B9319" t="str">
            <v>SA-B1359 / VFPZ-92|</v>
          </cell>
          <cell r="J9319" t="str">
            <v>B</v>
          </cell>
          <cell r="N9319" t="str">
            <v>B</v>
          </cell>
        </row>
        <row r="9320">
          <cell r="B9320" t="str">
            <v>SA-B1360 / VFPZ-97|</v>
          </cell>
          <cell r="J9320" t="str">
            <v>B</v>
          </cell>
          <cell r="N9320" t="str">
            <v>B</v>
          </cell>
        </row>
        <row r="9321">
          <cell r="B9321" t="str">
            <v>SA-B1361 / VFPZ-98|</v>
          </cell>
          <cell r="J9321" t="str">
            <v>B</v>
          </cell>
          <cell r="N9321" t="str">
            <v>B</v>
          </cell>
        </row>
        <row r="9322">
          <cell r="B9322" t="str">
            <v>PA-B1362 / VFRB-13|</v>
          </cell>
          <cell r="J9322" t="str">
            <v>B</v>
          </cell>
          <cell r="N9322" t="str">
            <v>B</v>
          </cell>
        </row>
        <row r="9323">
          <cell r="B9323" t="str">
            <v>SA-B1363 / VFRB-15|</v>
          </cell>
          <cell r="J9323" t="str">
            <v>B</v>
          </cell>
          <cell r="N9323" t="str">
            <v>B</v>
          </cell>
        </row>
        <row r="9324">
          <cell r="B9324" t="str">
            <v>SA-B1364 / VFRB-54|</v>
          </cell>
          <cell r="J9324" t="str">
            <v>B</v>
          </cell>
          <cell r="N9324" t="str">
            <v>B</v>
          </cell>
        </row>
        <row r="9325">
          <cell r="B9325" t="str">
            <v>PA-B1365 / VFRB-56|</v>
          </cell>
          <cell r="J9325" t="str">
            <v>B</v>
          </cell>
          <cell r="N9325" t="str">
            <v>B</v>
          </cell>
        </row>
        <row r="9326">
          <cell r="B9326" t="str">
            <v>SA-B1366 / VFRB-63|</v>
          </cell>
          <cell r="J9326" t="str">
            <v>B</v>
          </cell>
          <cell r="N9326" t="str">
            <v>B</v>
          </cell>
        </row>
        <row r="9327">
          <cell r="B9327" t="str">
            <v>SA-B1367 / VFRB-67|</v>
          </cell>
          <cell r="J9327" t="str">
            <v>B</v>
          </cell>
          <cell r="N9327" t="str">
            <v>B</v>
          </cell>
        </row>
        <row r="9328">
          <cell r="B9328" t="str">
            <v>PA-B1368 / VFRB-68|</v>
          </cell>
          <cell r="J9328" t="str">
            <v>B</v>
          </cell>
          <cell r="N9328" t="str">
            <v>B</v>
          </cell>
        </row>
        <row r="9329">
          <cell r="B9329" t="str">
            <v>SA-B1369 / VFRB-81|</v>
          </cell>
          <cell r="J9329" t="str">
            <v>B</v>
          </cell>
          <cell r="N9329" t="str">
            <v>B</v>
          </cell>
        </row>
        <row r="9330">
          <cell r="B9330" t="str">
            <v>SA-B1370 / VFRC-75|</v>
          </cell>
          <cell r="J9330" t="str">
            <v>B</v>
          </cell>
          <cell r="N9330" t="str">
            <v>B</v>
          </cell>
        </row>
        <row r="9331">
          <cell r="B9331" t="str">
            <v>PA-B1371 / VFRD-35|</v>
          </cell>
          <cell r="J9331" t="str">
            <v>B</v>
          </cell>
          <cell r="N9331" t="str">
            <v>B</v>
          </cell>
        </row>
        <row r="9332">
          <cell r="B9332" t="str">
            <v>SA-B1372 / VFRD-45|</v>
          </cell>
          <cell r="J9332" t="str">
            <v>B</v>
          </cell>
          <cell r="N9332" t="str">
            <v>B</v>
          </cell>
        </row>
        <row r="9333">
          <cell r="B9333" t="str">
            <v>PA-B1373 / VFRD-55|</v>
          </cell>
          <cell r="J9333" t="str">
            <v>B</v>
          </cell>
          <cell r="N9333" t="str">
            <v>B</v>
          </cell>
        </row>
        <row r="9334">
          <cell r="B9334" t="str">
            <v>PA-B1374 / VFRD-65|</v>
          </cell>
          <cell r="J9334" t="str">
            <v>B</v>
          </cell>
          <cell r="N9334" t="str">
            <v>B</v>
          </cell>
        </row>
        <row r="9335">
          <cell r="B9335" t="str">
            <v>SA-B1375 / VFRD-75|</v>
          </cell>
          <cell r="J9335" t="str">
            <v>B</v>
          </cell>
          <cell r="N9335" t="str">
            <v>B</v>
          </cell>
        </row>
        <row r="9336">
          <cell r="B9336" t="str">
            <v>PA-B1376 / VFRD-85|</v>
          </cell>
          <cell r="J9336" t="str">
            <v>B</v>
          </cell>
          <cell r="N9336" t="str">
            <v>B</v>
          </cell>
        </row>
        <row r="9337">
          <cell r="B9337" t="str">
            <v>PA-B1377 / VFRD-95|</v>
          </cell>
          <cell r="J9337" t="str">
            <v>B</v>
          </cell>
          <cell r="N9337" t="str">
            <v>B</v>
          </cell>
        </row>
        <row r="9338">
          <cell r="B9338" t="str">
            <v>CER-B1378 / VFRF-15|</v>
          </cell>
          <cell r="J9338" t="str">
            <v>B</v>
          </cell>
          <cell r="N9338" t="str">
            <v>B</v>
          </cell>
        </row>
        <row r="9339">
          <cell r="B9339" t="str">
            <v>PA-B1379 / VFRF-35|</v>
          </cell>
          <cell r="J9339" t="str">
            <v>B</v>
          </cell>
          <cell r="N9339" t="str">
            <v>B</v>
          </cell>
        </row>
        <row r="9340">
          <cell r="B9340" t="str">
            <v>CER-B1380 / VFRF-55|</v>
          </cell>
          <cell r="J9340" t="str">
            <v>B</v>
          </cell>
          <cell r="N9340" t="str">
            <v>B</v>
          </cell>
        </row>
        <row r="9341">
          <cell r="B9341" t="str">
            <v>PA-B1381 / VFRF-65|</v>
          </cell>
          <cell r="J9341" t="str">
            <v>B</v>
          </cell>
          <cell r="N9341" t="str">
            <v>B</v>
          </cell>
        </row>
        <row r="9342">
          <cell r="B9342" t="str">
            <v>PA-B1382 / VFRF-75|</v>
          </cell>
          <cell r="J9342" t="str">
            <v>B</v>
          </cell>
          <cell r="N9342" t="str">
            <v>B</v>
          </cell>
        </row>
        <row r="9343">
          <cell r="B9343" t="str">
            <v>PA-B1383 / VFRF-85|</v>
          </cell>
          <cell r="J9343" t="str">
            <v>B</v>
          </cell>
          <cell r="N9343" t="str">
            <v>B</v>
          </cell>
        </row>
        <row r="9344">
          <cell r="B9344" t="str">
            <v>PA-B1384 / VFRF-95|</v>
          </cell>
          <cell r="J9344" t="str">
            <v>B</v>
          </cell>
          <cell r="N9344" t="str">
            <v>B</v>
          </cell>
        </row>
        <row r="9345">
          <cell r="B9345" t="str">
            <v>CER-B1385 / VFRG-15|</v>
          </cell>
          <cell r="J9345" t="str">
            <v>B</v>
          </cell>
          <cell r="N9345" t="str">
            <v>B</v>
          </cell>
        </row>
        <row r="9346">
          <cell r="B9346" t="str">
            <v>PA-B1386 / VFRG-25|</v>
          </cell>
          <cell r="J9346" t="str">
            <v>B</v>
          </cell>
          <cell r="N9346" t="str">
            <v>B</v>
          </cell>
        </row>
        <row r="9347">
          <cell r="B9347" t="str">
            <v>PA-B1387 / VFRG-35|</v>
          </cell>
          <cell r="J9347" t="str">
            <v>B</v>
          </cell>
          <cell r="N9347" t="str">
            <v>B</v>
          </cell>
        </row>
        <row r="9348">
          <cell r="B9348" t="str">
            <v>PA-B1388 / VFRG-45|</v>
          </cell>
          <cell r="J9348" t="str">
            <v>B</v>
          </cell>
          <cell r="N9348" t="str">
            <v>B</v>
          </cell>
        </row>
        <row r="9349">
          <cell r="B9349" t="str">
            <v>SA-B1389 / VGBS-15|</v>
          </cell>
          <cell r="J9349" t="str">
            <v>B</v>
          </cell>
          <cell r="N9349" t="str">
            <v>B</v>
          </cell>
        </row>
        <row r="9350">
          <cell r="B9350" t="str">
            <v>SA-B1390 / VGBV-29|</v>
          </cell>
          <cell r="J9350" t="str">
            <v>B</v>
          </cell>
          <cell r="N9350" t="str">
            <v>B</v>
          </cell>
        </row>
        <row r="9351">
          <cell r="B9351" t="str">
            <v>SA-B1391 / VGBV-35|</v>
          </cell>
          <cell r="J9351" t="str">
            <v>B</v>
          </cell>
          <cell r="N9351" t="str">
            <v>B</v>
          </cell>
        </row>
        <row r="9352">
          <cell r="B9352" t="str">
            <v>PA-B1392 / VGBV-36|</v>
          </cell>
          <cell r="J9352" t="str">
            <v>B</v>
          </cell>
          <cell r="N9352" t="str">
            <v>B</v>
          </cell>
        </row>
        <row r="9353">
          <cell r="B9353" t="str">
            <v>CER-B1393 / VGBV-41|</v>
          </cell>
          <cell r="J9353" t="str">
            <v>B</v>
          </cell>
          <cell r="N9353" t="str">
            <v>B</v>
          </cell>
        </row>
        <row r="9354">
          <cell r="B9354" t="str">
            <v>SA-B1394 / VGBV-51|</v>
          </cell>
          <cell r="J9354" t="str">
            <v>B</v>
          </cell>
          <cell r="N9354" t="str">
            <v>B</v>
          </cell>
        </row>
        <row r="9355">
          <cell r="B9355" t="str">
            <v>PA-B1395 / VGBV-55|</v>
          </cell>
          <cell r="J9355" t="str">
            <v>B</v>
          </cell>
          <cell r="N9355" t="str">
            <v>B</v>
          </cell>
        </row>
        <row r="9356">
          <cell r="B9356" t="str">
            <v>SA-B1396 / VGBV-69|</v>
          </cell>
          <cell r="J9356" t="str">
            <v>B</v>
          </cell>
          <cell r="N9356" t="str">
            <v>B</v>
          </cell>
        </row>
        <row r="9357">
          <cell r="B9357" t="str">
            <v>SA-B1397 / VGBV-79|</v>
          </cell>
          <cell r="J9357" t="str">
            <v>B</v>
          </cell>
          <cell r="N9357" t="str">
            <v>B</v>
          </cell>
        </row>
        <row r="9358">
          <cell r="B9358" t="str">
            <v>PA-B1398 / VGBV-99|</v>
          </cell>
          <cell r="J9358" t="str">
            <v>B</v>
          </cell>
          <cell r="N9358" t="str">
            <v>B</v>
          </cell>
        </row>
        <row r="9359">
          <cell r="B9359" t="str">
            <v>PA-B1399 / VGBW-19|</v>
          </cell>
          <cell r="J9359" t="str">
            <v>B</v>
          </cell>
          <cell r="N9359" t="str">
            <v>B</v>
          </cell>
        </row>
        <row r="9360">
          <cell r="B9360" t="str">
            <v>PA-B1400 / VGBW-29|</v>
          </cell>
          <cell r="J9360" t="str">
            <v>B</v>
          </cell>
          <cell r="N9360" t="str">
            <v>B</v>
          </cell>
        </row>
        <row r="9361">
          <cell r="B9361" t="str">
            <v>SA-B1401 / VGBW-39|</v>
          </cell>
          <cell r="J9361" t="str">
            <v>B</v>
          </cell>
          <cell r="N9361" t="str">
            <v>B</v>
          </cell>
        </row>
        <row r="9362">
          <cell r="B9362" t="str">
            <v>PA-B1402 / VGBW-48|</v>
          </cell>
          <cell r="J9362" t="str">
            <v>B</v>
          </cell>
          <cell r="N9362" t="str">
            <v>B</v>
          </cell>
        </row>
        <row r="9363">
          <cell r="B9363" t="str">
            <v>PA-B1403 / VGBW-58|</v>
          </cell>
          <cell r="J9363" t="str">
            <v>B</v>
          </cell>
          <cell r="N9363" t="str">
            <v>B</v>
          </cell>
        </row>
        <row r="9364">
          <cell r="B9364" t="str">
            <v>CER-B1404 / VGBW-68|</v>
          </cell>
          <cell r="J9364" t="str">
            <v>B</v>
          </cell>
          <cell r="N9364" t="str">
            <v>B</v>
          </cell>
        </row>
        <row r="9365">
          <cell r="B9365" t="str">
            <v>SA-B1405 / VGBW-98|</v>
          </cell>
          <cell r="J9365" t="str">
            <v>B</v>
          </cell>
          <cell r="N9365" t="str">
            <v>B</v>
          </cell>
        </row>
        <row r="9366">
          <cell r="B9366" t="str">
            <v>SA-B1406 / VGBW-99|</v>
          </cell>
          <cell r="J9366" t="str">
            <v>B</v>
          </cell>
          <cell r="N9366" t="str">
            <v>B</v>
          </cell>
        </row>
        <row r="9367">
          <cell r="B9367" t="str">
            <v>PA-B1407 / VGBX-29|</v>
          </cell>
          <cell r="J9367" t="str">
            <v>B</v>
          </cell>
          <cell r="N9367" t="str">
            <v>B</v>
          </cell>
        </row>
        <row r="9368">
          <cell r="B9368" t="str">
            <v>PA-B1408 / VGBX-48|</v>
          </cell>
          <cell r="J9368" t="str">
            <v>B</v>
          </cell>
          <cell r="N9368" t="str">
            <v>B</v>
          </cell>
        </row>
        <row r="9369">
          <cell r="B9369" t="str">
            <v>PA-B1409 / VGBX-49|</v>
          </cell>
          <cell r="J9369" t="str">
            <v>B</v>
          </cell>
          <cell r="N9369" t="str">
            <v>B</v>
          </cell>
        </row>
        <row r="9370">
          <cell r="B9370" t="str">
            <v>PA-B1410 / VGBX-58|</v>
          </cell>
          <cell r="J9370" t="str">
            <v>B</v>
          </cell>
          <cell r="N9370" t="str">
            <v>B</v>
          </cell>
        </row>
        <row r="9371">
          <cell r="B9371" t="str">
            <v>LL-B1411 / VGBX-59|</v>
          </cell>
          <cell r="J9371" t="str">
            <v>B</v>
          </cell>
          <cell r="N9371" t="str">
            <v>B</v>
          </cell>
        </row>
        <row r="9372">
          <cell r="B9372" t="str">
            <v>LL-B1412 / VGBX-78|</v>
          </cell>
          <cell r="J9372" t="str">
            <v>B</v>
          </cell>
          <cell r="N9372" t="str">
            <v>B</v>
          </cell>
        </row>
        <row r="9373">
          <cell r="B9373" t="str">
            <v>LL-B1413 / VGCB-39|</v>
          </cell>
          <cell r="J9373" t="str">
            <v>B</v>
          </cell>
          <cell r="N9373" t="str">
            <v>B</v>
          </cell>
        </row>
        <row r="9374">
          <cell r="B9374" t="str">
            <v>CER-B1414 / VGCB-59|</v>
          </cell>
          <cell r="J9374" t="str">
            <v>B</v>
          </cell>
          <cell r="N9374" t="str">
            <v>B</v>
          </cell>
        </row>
        <row r="9375">
          <cell r="B9375" t="str">
            <v>PA-B1415 / VGKX-42|</v>
          </cell>
          <cell r="J9375" t="str">
            <v>B</v>
          </cell>
          <cell r="N9375" t="str">
            <v>B</v>
          </cell>
        </row>
        <row r="9376">
          <cell r="B9376" t="str">
            <v>SA-B1416 / VGKX-52|</v>
          </cell>
          <cell r="J9376" t="str">
            <v>B</v>
          </cell>
          <cell r="N9376" t="str">
            <v>B</v>
          </cell>
        </row>
        <row r="9377">
          <cell r="B9377" t="str">
            <v>CER-B1417 / VGKX-62|</v>
          </cell>
          <cell r="J9377" t="str">
            <v>B</v>
          </cell>
          <cell r="N9377" t="str">
            <v>B</v>
          </cell>
        </row>
        <row r="9378">
          <cell r="B9378" t="str">
            <v>PA-B1418 / VGKX-82|</v>
          </cell>
          <cell r="J9378" t="str">
            <v>B</v>
          </cell>
          <cell r="N9378" t="str">
            <v>B</v>
          </cell>
        </row>
        <row r="9379">
          <cell r="B9379" t="str">
            <v>CER-B1419 / VGKY-12|</v>
          </cell>
          <cell r="J9379" t="str">
            <v>B</v>
          </cell>
          <cell r="N9379" t="str">
            <v>B</v>
          </cell>
        </row>
        <row r="9380">
          <cell r="B9380" t="str">
            <v>PA-B1420 / VGKY-22|</v>
          </cell>
          <cell r="J9380" t="str">
            <v>B</v>
          </cell>
          <cell r="N9380" t="str">
            <v>B</v>
          </cell>
        </row>
        <row r="9381">
          <cell r="B9381" t="str">
            <v>PA-B1421 / VGKY-42|</v>
          </cell>
          <cell r="J9381" t="str">
            <v>B</v>
          </cell>
          <cell r="N9381" t="str">
            <v>B</v>
          </cell>
        </row>
        <row r="9382">
          <cell r="B9382" t="str">
            <v>PA-B1422 / VGKY-72|</v>
          </cell>
          <cell r="J9382" t="str">
            <v>B</v>
          </cell>
          <cell r="N9382" t="str">
            <v>B</v>
          </cell>
        </row>
        <row r="9383">
          <cell r="B9383" t="str">
            <v>PA-B1423 / VGKY-82|</v>
          </cell>
          <cell r="J9383" t="str">
            <v>B</v>
          </cell>
          <cell r="N9383" t="str">
            <v>B</v>
          </cell>
        </row>
        <row r="9384">
          <cell r="B9384" t="str">
            <v>PA-B1424 / VGKZ-62|</v>
          </cell>
          <cell r="J9384" t="str">
            <v>B</v>
          </cell>
          <cell r="N9384" t="str">
            <v>B</v>
          </cell>
        </row>
        <row r="9385">
          <cell r="B9385" t="str">
            <v>PA-B1425 / VGKZ-82|</v>
          </cell>
          <cell r="J9385" t="str">
            <v>B</v>
          </cell>
          <cell r="N9385" t="str">
            <v>B</v>
          </cell>
        </row>
        <row r="9386">
          <cell r="B9386" t="str">
            <v>PA-B1426 / VGKZ-92|</v>
          </cell>
          <cell r="J9386" t="str">
            <v>B</v>
          </cell>
          <cell r="N9386" t="str">
            <v>B</v>
          </cell>
        </row>
        <row r="9387">
          <cell r="B9387" t="str">
            <v>RC-B1427 / FLXZ-95|</v>
          </cell>
          <cell r="J9387" t="str">
            <v>B</v>
          </cell>
          <cell r="N9387" t="str">
            <v>B</v>
          </cell>
        </row>
        <row r="9388">
          <cell r="B9388" t="str">
            <v>SR-BP1428 / GCBC-24|</v>
          </cell>
          <cell r="J9388" t="str">
            <v>BPAL</v>
          </cell>
          <cell r="N9388" t="str">
            <v>BPAL</v>
          </cell>
        </row>
        <row r="9389">
          <cell r="B9389" t="str">
            <v>RC-BP1429 / GCBC-25|</v>
          </cell>
          <cell r="J9389" t="str">
            <v>BPAL</v>
          </cell>
          <cell r="N9389" t="str">
            <v>BPAL</v>
          </cell>
        </row>
        <row r="9390">
          <cell r="B9390" t="str">
            <v>RC-BP1430 / GCBC-26|</v>
          </cell>
          <cell r="J9390" t="str">
            <v>BPAL</v>
          </cell>
          <cell r="N9390" t="str">
            <v>BPAL</v>
          </cell>
        </row>
        <row r="9391">
          <cell r="B9391" t="str">
            <v>RC-BP1431 / GCBC-27|</v>
          </cell>
          <cell r="J9391" t="str">
            <v>BPAL</v>
          </cell>
          <cell r="N9391" t="str">
            <v>BPAL</v>
          </cell>
        </row>
        <row r="9392">
          <cell r="B9392" t="str">
            <v>SR-BP1432 / GCBC-28|</v>
          </cell>
          <cell r="J9392" t="str">
            <v>BPAL</v>
          </cell>
          <cell r="N9392" t="str">
            <v>BPAL</v>
          </cell>
        </row>
        <row r="9393">
          <cell r="B9393" t="str">
            <v>SR-BP1433 / GCBC-29|</v>
          </cell>
          <cell r="J9393" t="str">
            <v>BPAL</v>
          </cell>
          <cell r="N9393" t="str">
            <v>BPAL</v>
          </cell>
        </row>
        <row r="9394">
          <cell r="B9394" t="str">
            <v>SR-BP1434 / GCBC-30|</v>
          </cell>
          <cell r="J9394" t="str">
            <v>BPAL</v>
          </cell>
          <cell r="N9394" t="str">
            <v>BPAL</v>
          </cell>
        </row>
        <row r="9395">
          <cell r="B9395" t="str">
            <v>SR-BP1435 / GCBC-31|</v>
          </cell>
          <cell r="J9395" t="str">
            <v>BPAL</v>
          </cell>
          <cell r="N9395" t="str">
            <v>BPAL</v>
          </cell>
        </row>
        <row r="9396">
          <cell r="B9396" t="str">
            <v>LL-BP1436 / GCBc-33|</v>
          </cell>
          <cell r="J9396" t="str">
            <v>B2PAL</v>
          </cell>
          <cell r="N9396" t="str">
            <v>B2PAL</v>
          </cell>
        </row>
        <row r="9397">
          <cell r="B9397" t="str">
            <v>RC-BP1437 / GCBC-33|</v>
          </cell>
          <cell r="J9397" t="str">
            <v>B2PAL</v>
          </cell>
          <cell r="N9397" t="str">
            <v>B2PAL</v>
          </cell>
        </row>
        <row r="9398">
          <cell r="B9398" t="str">
            <v>RC-BP1438 / GCBC-34|</v>
          </cell>
          <cell r="J9398" t="str">
            <v>BPAL</v>
          </cell>
          <cell r="N9398" t="str">
            <v>BPAL</v>
          </cell>
        </row>
        <row r="9399">
          <cell r="B9399" t="str">
            <v>RC-BP1439 / GCBC-35|</v>
          </cell>
          <cell r="J9399" t="str">
            <v>BPAL</v>
          </cell>
          <cell r="N9399" t="str">
            <v>BPAL</v>
          </cell>
        </row>
        <row r="9400">
          <cell r="B9400" t="str">
            <v>RC-C1440 / GCBF-43|</v>
          </cell>
          <cell r="J9400" t="str">
            <v>C</v>
          </cell>
          <cell r="N9400" t="str">
            <v>C</v>
          </cell>
        </row>
        <row r="9401">
          <cell r="B9401" t="str">
            <v>RC-C1441 / GCBF-44|</v>
          </cell>
          <cell r="J9401" t="str">
            <v>C</v>
          </cell>
          <cell r="N9401" t="str">
            <v>C</v>
          </cell>
        </row>
        <row r="9402">
          <cell r="B9402" t="str">
            <v>LB-C1442 / GCBF-45|</v>
          </cell>
          <cell r="J9402" t="str">
            <v>C</v>
          </cell>
          <cell r="N9402" t="str">
            <v>C</v>
          </cell>
        </row>
        <row r="9403">
          <cell r="B9403" t="str">
            <v>RC-C1443 / GCBF-46|</v>
          </cell>
          <cell r="J9403" t="str">
            <v>C</v>
          </cell>
          <cell r="N9403" t="str">
            <v>C</v>
          </cell>
        </row>
        <row r="9404">
          <cell r="B9404" t="str">
            <v>RC-C1444 / GCBF-47|</v>
          </cell>
          <cell r="J9404" t="str">
            <v>C</v>
          </cell>
          <cell r="N9404" t="str">
            <v>C</v>
          </cell>
        </row>
        <row r="9405">
          <cell r="B9405" t="str">
            <v>RC-C1445 / GCBF-48|</v>
          </cell>
          <cell r="J9405" t="str">
            <v>C</v>
          </cell>
          <cell r="N9405" t="str">
            <v>C</v>
          </cell>
        </row>
        <row r="9406">
          <cell r="B9406" t="str">
            <v>RC-C1446 / GCBF-49|</v>
          </cell>
          <cell r="J9406" t="str">
            <v>C</v>
          </cell>
          <cell r="N9406" t="str">
            <v>C</v>
          </cell>
        </row>
        <row r="9407">
          <cell r="B9407" t="str">
            <v>RC-C1447 / GCBF-50|</v>
          </cell>
          <cell r="J9407" t="str">
            <v>C</v>
          </cell>
          <cell r="N9407" t="str">
            <v>C</v>
          </cell>
        </row>
        <row r="9408">
          <cell r="B9408" t="str">
            <v>RC-C1448 / GCBF-51|</v>
          </cell>
          <cell r="J9408" t="str">
            <v>C</v>
          </cell>
          <cell r="N9408" t="str">
            <v>C</v>
          </cell>
        </row>
        <row r="9409">
          <cell r="B9409" t="str">
            <v>RC-C1449 / GCBF-52|</v>
          </cell>
          <cell r="J9409" t="str">
            <v>C</v>
          </cell>
          <cell r="N9409" t="str">
            <v>C</v>
          </cell>
        </row>
        <row r="9410">
          <cell r="B9410" t="str">
            <v>RC-C1450 / GCBF-53|</v>
          </cell>
          <cell r="J9410" t="str">
            <v>C</v>
          </cell>
          <cell r="N9410" t="str">
            <v>C</v>
          </cell>
        </row>
        <row r="9411">
          <cell r="B9411" t="str">
            <v>RC-C1451 / LXWT-82|</v>
          </cell>
          <cell r="J9411" t="str">
            <v>C</v>
          </cell>
          <cell r="N9411" t="str">
            <v>C</v>
          </cell>
        </row>
        <row r="9412">
          <cell r="B9412" t="str">
            <v>RC-C1452 / LXWT-83|</v>
          </cell>
          <cell r="J9412" t="str">
            <v>C</v>
          </cell>
          <cell r="N9412" t="str">
            <v>C</v>
          </cell>
        </row>
        <row r="9413">
          <cell r="B9413" t="str">
            <v>LB-C1453 / LXWT-84|</v>
          </cell>
          <cell r="J9413" t="str">
            <v>C</v>
          </cell>
          <cell r="N9413" t="str">
            <v>C</v>
          </cell>
        </row>
        <row r="9414">
          <cell r="B9414" t="str">
            <v>RC-C1454 / LXWT-85|</v>
          </cell>
          <cell r="J9414" t="str">
            <v>C</v>
          </cell>
          <cell r="N9414" t="str">
            <v>C</v>
          </cell>
        </row>
        <row r="9415">
          <cell r="B9415" t="str">
            <v>RC-C1455 / LXWT-86|</v>
          </cell>
          <cell r="J9415" t="str">
            <v>C</v>
          </cell>
          <cell r="N9415" t="str">
            <v>C</v>
          </cell>
        </row>
        <row r="9416">
          <cell r="B9416" t="str">
            <v>RC-C1456 / LXWT-87|</v>
          </cell>
          <cell r="J9416" t="str">
            <v>C</v>
          </cell>
          <cell r="N9416" t="str">
            <v>C</v>
          </cell>
        </row>
        <row r="9417">
          <cell r="B9417" t="str">
            <v>RC-C1457 / LXWT-88|</v>
          </cell>
          <cell r="J9417" t="str">
            <v>C</v>
          </cell>
          <cell r="N9417" t="str">
            <v>C</v>
          </cell>
        </row>
        <row r="9418">
          <cell r="B9418" t="str">
            <v>LB-C1458 / LXWT-89|</v>
          </cell>
          <cell r="J9418" t="str">
            <v>C</v>
          </cell>
          <cell r="N9418" t="str">
            <v>C</v>
          </cell>
        </row>
        <row r="9419">
          <cell r="B9419" t="str">
            <v>LB-C1459 / LXWT-90|</v>
          </cell>
          <cell r="J9419" t="str">
            <v>C</v>
          </cell>
          <cell r="N9419" t="str">
            <v>C</v>
          </cell>
        </row>
        <row r="9420">
          <cell r="B9420" t="str">
            <v>RC-C1460 / LXWT-91|</v>
          </cell>
          <cell r="J9420" t="str">
            <v>C</v>
          </cell>
          <cell r="N9420" t="str">
            <v>C</v>
          </cell>
        </row>
        <row r="9421">
          <cell r="B9421" t="str">
            <v>LB-C1461 / LXWT-92|</v>
          </cell>
          <cell r="J9421" t="str">
            <v>C</v>
          </cell>
          <cell r="N9421" t="str">
            <v>C</v>
          </cell>
        </row>
        <row r="9422">
          <cell r="B9422" t="str">
            <v>LB-C1462 / LXWT-93|</v>
          </cell>
          <cell r="J9422" t="str">
            <v>C</v>
          </cell>
          <cell r="N9422" t="str">
            <v>C</v>
          </cell>
        </row>
        <row r="9423">
          <cell r="B9423" t="str">
            <v>LB-C1463 / LXWT-94|</v>
          </cell>
          <cell r="J9423" t="str">
            <v>C</v>
          </cell>
          <cell r="N9423" t="str">
            <v>C</v>
          </cell>
        </row>
        <row r="9424">
          <cell r="B9424" t="str">
            <v>LB-C1464 / LXWT-95|</v>
          </cell>
          <cell r="J9424" t="str">
            <v>C</v>
          </cell>
          <cell r="N9424" t="str">
            <v>C</v>
          </cell>
        </row>
        <row r="9425">
          <cell r="B9425" t="str">
            <v>LB-C1465 / LXWT-96|</v>
          </cell>
          <cell r="J9425" t="str">
            <v>C</v>
          </cell>
          <cell r="N9425" t="str">
            <v>C</v>
          </cell>
        </row>
        <row r="9426">
          <cell r="B9426" t="str">
            <v>LB-C1466 / LXWT-97|</v>
          </cell>
          <cell r="J9426" t="str">
            <v>C</v>
          </cell>
          <cell r="N9426" t="str">
            <v>C</v>
          </cell>
        </row>
        <row r="9427">
          <cell r="B9427" t="str">
            <v>LB-C1467 / LXWT-98|</v>
          </cell>
          <cell r="J9427" t="str">
            <v>C</v>
          </cell>
          <cell r="N9427" t="str">
            <v>C</v>
          </cell>
        </row>
        <row r="9428">
          <cell r="B9428" t="str">
            <v>LB-C1468 / LXWT-99|</v>
          </cell>
          <cell r="J9428" t="str">
            <v>C</v>
          </cell>
          <cell r="N9428" t="str">
            <v>C</v>
          </cell>
        </row>
        <row r="9429">
          <cell r="B9429" t="str">
            <v>LB-C1469 / LZPG-10|</v>
          </cell>
          <cell r="J9429" t="str">
            <v>C</v>
          </cell>
          <cell r="N9429" t="str">
            <v>C</v>
          </cell>
        </row>
        <row r="9430">
          <cell r="B9430" t="str">
            <v>LB-C1470 / LZPG-11|</v>
          </cell>
          <cell r="J9430" t="str">
            <v>C</v>
          </cell>
          <cell r="N9430" t="str">
            <v>C</v>
          </cell>
        </row>
        <row r="9431">
          <cell r="B9431" t="str">
            <v>LB-C1471 / LZPG-12|</v>
          </cell>
          <cell r="J9431" t="str">
            <v>C</v>
          </cell>
          <cell r="N9431" t="str">
            <v>C</v>
          </cell>
        </row>
        <row r="9432">
          <cell r="B9432" t="str">
            <v>LB-C1472 / LZPG-13|</v>
          </cell>
          <cell r="J9432" t="str">
            <v>C</v>
          </cell>
          <cell r="N9432" t="str">
            <v>C</v>
          </cell>
        </row>
        <row r="9433">
          <cell r="B9433" t="str">
            <v>LB-C1473 / LZPG-14|</v>
          </cell>
          <cell r="J9433" t="str">
            <v>C</v>
          </cell>
          <cell r="N9433" t="str">
            <v>C</v>
          </cell>
        </row>
        <row r="9434">
          <cell r="B9434" t="str">
            <v>RC-C1474 / LZPG-15|</v>
          </cell>
          <cell r="J9434" t="str">
            <v>C</v>
          </cell>
          <cell r="N9434" t="str">
            <v>C</v>
          </cell>
        </row>
        <row r="9435">
          <cell r="B9435" t="str">
            <v>RC-C1475 / LZPG-16|</v>
          </cell>
          <cell r="J9435" t="str">
            <v>C</v>
          </cell>
          <cell r="N9435" t="str">
            <v>C</v>
          </cell>
        </row>
        <row r="9436">
          <cell r="B9436" t="str">
            <v>LB-C1476 / LZPG-17|</v>
          </cell>
          <cell r="J9436" t="str">
            <v>C</v>
          </cell>
          <cell r="N9436" t="str">
            <v>C</v>
          </cell>
        </row>
        <row r="9437">
          <cell r="B9437" t="str">
            <v>LB-C1477 / LZPG-18|</v>
          </cell>
          <cell r="J9437" t="str">
            <v>C</v>
          </cell>
          <cell r="N9437" t="str">
            <v>C</v>
          </cell>
        </row>
        <row r="9438">
          <cell r="B9438" t="str">
            <v>LB-C1478 / LZPG-19|</v>
          </cell>
          <cell r="J9438" t="str">
            <v>C</v>
          </cell>
          <cell r="N9438" t="str">
            <v>C</v>
          </cell>
        </row>
        <row r="9439">
          <cell r="B9439" t="str">
            <v>LB-C1479 / LZPG-20|</v>
          </cell>
          <cell r="J9439" t="str">
            <v>C</v>
          </cell>
          <cell r="N9439" t="str">
            <v>C</v>
          </cell>
        </row>
        <row r="9440">
          <cell r="B9440" t="str">
            <v>LB-C1480 / LZPG-21|</v>
          </cell>
          <cell r="J9440" t="str">
            <v>C</v>
          </cell>
          <cell r="N9440" t="str">
            <v>C</v>
          </cell>
        </row>
        <row r="9441">
          <cell r="B9441" t="str">
            <v>LB-C1481 / LZPG-22|</v>
          </cell>
          <cell r="J9441" t="str">
            <v>C</v>
          </cell>
          <cell r="N9441" t="str">
            <v>C</v>
          </cell>
        </row>
        <row r="9442">
          <cell r="B9442" t="str">
            <v>RC-C1482 / LZPG-23|</v>
          </cell>
          <cell r="J9442" t="str">
            <v>C</v>
          </cell>
          <cell r="N9442" t="str">
            <v>C</v>
          </cell>
        </row>
        <row r="9443">
          <cell r="B9443" t="str">
            <v>LB-C1483 / LZPG-24|</v>
          </cell>
          <cell r="J9443" t="str">
            <v>C</v>
          </cell>
          <cell r="N9443" t="str">
            <v>C</v>
          </cell>
        </row>
        <row r="9444">
          <cell r="B9444" t="str">
            <v>LB-C1484 / LZPG-25|</v>
          </cell>
          <cell r="J9444" t="str">
            <v>C</v>
          </cell>
          <cell r="N9444" t="str">
            <v>C</v>
          </cell>
        </row>
        <row r="9445">
          <cell r="B9445" t="str">
            <v>LB-C1485 / LZPG-26|</v>
          </cell>
          <cell r="J9445" t="str">
            <v>C</v>
          </cell>
          <cell r="N9445" t="str">
            <v>C</v>
          </cell>
        </row>
        <row r="9446">
          <cell r="B9446" t="str">
            <v>LB-C1486 / LZPG-27|</v>
          </cell>
          <cell r="J9446" t="str">
            <v>C</v>
          </cell>
          <cell r="N9446" t="str">
            <v>C</v>
          </cell>
        </row>
        <row r="9447">
          <cell r="B9447" t="str">
            <v>RC-C1487 / LZPR-78|</v>
          </cell>
          <cell r="J9447" t="str">
            <v>C</v>
          </cell>
          <cell r="N9447" t="str">
            <v>C</v>
          </cell>
        </row>
        <row r="9448">
          <cell r="B9448" t="str">
            <v>RC-C1488 / LZPR-79|</v>
          </cell>
          <cell r="J9448" t="str">
            <v>C</v>
          </cell>
          <cell r="N9448" t="str">
            <v>C</v>
          </cell>
        </row>
        <row r="9449">
          <cell r="B9449" t="str">
            <v>RC-C1489 / LZPR-80|</v>
          </cell>
          <cell r="J9449" t="str">
            <v>C</v>
          </cell>
          <cell r="N9449" t="str">
            <v>C</v>
          </cell>
        </row>
        <row r="9450">
          <cell r="B9450" t="str">
            <v>RC-C1490 / LZPR-81|</v>
          </cell>
          <cell r="J9450" t="str">
            <v>C</v>
          </cell>
          <cell r="N9450" t="str">
            <v>C</v>
          </cell>
        </row>
        <row r="9451">
          <cell r="B9451" t="str">
            <v>RC-C1491 / LZPR-82|</v>
          </cell>
          <cell r="J9451" t="str">
            <v>C</v>
          </cell>
          <cell r="N9451" t="str">
            <v>C</v>
          </cell>
        </row>
        <row r="9452">
          <cell r="B9452" t="str">
            <v>RC-C1492 / LZPR-83|</v>
          </cell>
          <cell r="J9452" t="str">
            <v>C</v>
          </cell>
          <cell r="N9452" t="str">
            <v>C</v>
          </cell>
        </row>
        <row r="9453">
          <cell r="B9453" t="str">
            <v>RC-C1493 / LZPR-84|</v>
          </cell>
          <cell r="J9453" t="str">
            <v>C</v>
          </cell>
          <cell r="N9453" t="str">
            <v>C</v>
          </cell>
        </row>
        <row r="9454">
          <cell r="B9454" t="str">
            <v>RC-C1494 / LZPR-85|</v>
          </cell>
          <cell r="J9454" t="str">
            <v>C</v>
          </cell>
          <cell r="N9454" t="str">
            <v>C</v>
          </cell>
        </row>
        <row r="9455">
          <cell r="B9455" t="str">
            <v>RC-C1495 / LZPR-86|</v>
          </cell>
          <cell r="J9455" t="str">
            <v>C</v>
          </cell>
          <cell r="N9455" t="str">
            <v>C</v>
          </cell>
        </row>
        <row r="9456">
          <cell r="B9456" t="str">
            <v>RC-C1496 / LZPR-87|</v>
          </cell>
          <cell r="J9456" t="str">
            <v>C</v>
          </cell>
          <cell r="N9456" t="str">
            <v>C</v>
          </cell>
        </row>
        <row r="9457">
          <cell r="B9457" t="str">
            <v>RC-C1497 / LZPR-88|</v>
          </cell>
          <cell r="J9457" t="str">
            <v>C</v>
          </cell>
          <cell r="N9457" t="str">
            <v>C</v>
          </cell>
        </row>
        <row r="9458">
          <cell r="B9458" t="str">
            <v>RC-C1498 / LZPR-89|</v>
          </cell>
          <cell r="J9458" t="str">
            <v>C</v>
          </cell>
          <cell r="N9458" t="str">
            <v>C</v>
          </cell>
        </row>
        <row r="9459">
          <cell r="B9459" t="str">
            <v>RC-C1499 / LZPR-90|</v>
          </cell>
          <cell r="J9459" t="str">
            <v>C</v>
          </cell>
          <cell r="N9459" t="str">
            <v>C</v>
          </cell>
        </row>
        <row r="9460">
          <cell r="B9460" t="str">
            <v>RC-C1500 / LZPR-92|</v>
          </cell>
          <cell r="J9460" t="str">
            <v>C</v>
          </cell>
          <cell r="N9460" t="str">
            <v>C</v>
          </cell>
        </row>
        <row r="9461">
          <cell r="B9461" t="str">
            <v>RC-C1501 / LZPR-93|</v>
          </cell>
          <cell r="J9461" t="str">
            <v>C</v>
          </cell>
          <cell r="N9461" t="str">
            <v>C</v>
          </cell>
        </row>
        <row r="9462">
          <cell r="B9462" t="str">
            <v>RC-C1502 / LZPR-94|</v>
          </cell>
          <cell r="J9462" t="str">
            <v>C</v>
          </cell>
          <cell r="N9462" t="str">
            <v>C</v>
          </cell>
        </row>
        <row r="9463">
          <cell r="B9463" t="str">
            <v>RC-C1503 / LZPR-95|</v>
          </cell>
          <cell r="J9463" t="str">
            <v>C</v>
          </cell>
          <cell r="N9463" t="str">
            <v>C</v>
          </cell>
        </row>
        <row r="9464">
          <cell r="B9464" t="str">
            <v>RC-C1504 / LZPR-96|</v>
          </cell>
          <cell r="J9464" t="str">
            <v>C</v>
          </cell>
          <cell r="N9464" t="str">
            <v>C</v>
          </cell>
        </row>
        <row r="9465">
          <cell r="B9465" t="str">
            <v>RC-C1505 / LZPR-97|</v>
          </cell>
          <cell r="J9465" t="str">
            <v>C</v>
          </cell>
          <cell r="N9465" t="str">
            <v>C</v>
          </cell>
        </row>
        <row r="9466">
          <cell r="B9466" t="str">
            <v>RC-C1506 / LZPR-98|</v>
          </cell>
          <cell r="J9466" t="str">
            <v>C</v>
          </cell>
          <cell r="N9466" t="str">
            <v>C</v>
          </cell>
        </row>
        <row r="9467">
          <cell r="B9467" t="str">
            <v>RC-C1507 / LZPR-99|</v>
          </cell>
          <cell r="J9467" t="str">
            <v>C</v>
          </cell>
          <cell r="N9467" t="str">
            <v>C</v>
          </cell>
        </row>
        <row r="9468">
          <cell r="B9468" t="str">
            <v>RC-C1508 / LZPS-10|</v>
          </cell>
          <cell r="J9468" t="str">
            <v>C</v>
          </cell>
          <cell r="N9468" t="str">
            <v>C</v>
          </cell>
        </row>
        <row r="9469">
          <cell r="B9469" t="str">
            <v>RC-C1509 / LZPS-11|</v>
          </cell>
          <cell r="J9469" t="str">
            <v>C</v>
          </cell>
          <cell r="N9469" t="str">
            <v>C</v>
          </cell>
        </row>
        <row r="9470">
          <cell r="B9470" t="str">
            <v>RC-C1510 / LZPS-12|</v>
          </cell>
          <cell r="J9470" t="str">
            <v>C</v>
          </cell>
          <cell r="N9470" t="str">
            <v>C</v>
          </cell>
        </row>
        <row r="9471">
          <cell r="B9471" t="str">
            <v>RC-C1511 / LZPS-13|</v>
          </cell>
          <cell r="J9471" t="str">
            <v>C</v>
          </cell>
          <cell r="N9471" t="str">
            <v>C</v>
          </cell>
        </row>
        <row r="9472">
          <cell r="B9472" t="str">
            <v>RC-C1512 / LZPS-14|</v>
          </cell>
          <cell r="J9472" t="str">
            <v>C</v>
          </cell>
          <cell r="N9472" t="str">
            <v>C</v>
          </cell>
        </row>
        <row r="9473">
          <cell r="B9473" t="str">
            <v>RC-C1513 / LZPS-15|</v>
          </cell>
          <cell r="J9473" t="str">
            <v>C</v>
          </cell>
          <cell r="N9473" t="str">
            <v>C</v>
          </cell>
        </row>
        <row r="9474">
          <cell r="B9474" t="str">
            <v>RC-C1514 / LZPS-16|</v>
          </cell>
          <cell r="J9474" t="str">
            <v>C</v>
          </cell>
          <cell r="N9474" t="str">
            <v>C</v>
          </cell>
        </row>
        <row r="9475">
          <cell r="B9475" t="str">
            <v>RC-C1515 / LZPS-17|</v>
          </cell>
          <cell r="J9475" t="str">
            <v>C</v>
          </cell>
          <cell r="N9475" t="str">
            <v>C</v>
          </cell>
        </row>
        <row r="9476">
          <cell r="B9476" t="str">
            <v>SR-C1516 / LZPS-18|</v>
          </cell>
          <cell r="J9476" t="str">
            <v>C</v>
          </cell>
          <cell r="N9476" t="str">
            <v>C</v>
          </cell>
        </row>
        <row r="9477">
          <cell r="B9477" t="str">
            <v>RC-C1517 / LZPS-19|</v>
          </cell>
          <cell r="J9477" t="str">
            <v>C</v>
          </cell>
          <cell r="N9477" t="str">
            <v>C</v>
          </cell>
        </row>
        <row r="9478">
          <cell r="B9478" t="str">
            <v>SR-C1518 / LZPS-20|</v>
          </cell>
          <cell r="J9478" t="str">
            <v>C</v>
          </cell>
          <cell r="N9478" t="str">
            <v>C</v>
          </cell>
        </row>
        <row r="9479">
          <cell r="B9479" t="str">
            <v>RC-C1519 / LZPS-21|</v>
          </cell>
          <cell r="J9479" t="str">
            <v>C</v>
          </cell>
          <cell r="N9479" t="str">
            <v>C</v>
          </cell>
        </row>
        <row r="9480">
          <cell r="B9480" t="str">
            <v>SR-C1520 / LZPS-22|</v>
          </cell>
          <cell r="J9480" t="str">
            <v>C</v>
          </cell>
          <cell r="N9480" t="str">
            <v>C</v>
          </cell>
        </row>
        <row r="9481">
          <cell r="B9481" t="str">
            <v>RC-C1521 / LZPS-23|</v>
          </cell>
          <cell r="J9481" t="str">
            <v>C</v>
          </cell>
          <cell r="N9481" t="str">
            <v>C</v>
          </cell>
        </row>
        <row r="9482">
          <cell r="B9482" t="str">
            <v>SR-C1522 / LZPS-24|</v>
          </cell>
          <cell r="J9482" t="str">
            <v>C</v>
          </cell>
          <cell r="N9482" t="str">
            <v>C</v>
          </cell>
        </row>
        <row r="9483">
          <cell r="B9483" t="str">
            <v>RC-C1523 / LZPS-25|</v>
          </cell>
          <cell r="J9483" t="str">
            <v>C</v>
          </cell>
          <cell r="N9483" t="str">
            <v>C</v>
          </cell>
        </row>
        <row r="9484">
          <cell r="B9484" t="str">
            <v>SR-C1524 / LZPT-38|</v>
          </cell>
          <cell r="J9484" t="str">
            <v>C</v>
          </cell>
          <cell r="N9484" t="str">
            <v>C</v>
          </cell>
        </row>
        <row r="9485">
          <cell r="B9485" t="str">
            <v>SR-C1525 / LZPT-39|</v>
          </cell>
          <cell r="J9485" t="str">
            <v>C</v>
          </cell>
          <cell r="N9485" t="str">
            <v>C</v>
          </cell>
        </row>
        <row r="9486">
          <cell r="B9486" t="str">
            <v>SR-C1526 / LZPT-40|</v>
          </cell>
          <cell r="J9486" t="str">
            <v>C</v>
          </cell>
          <cell r="N9486" t="str">
            <v>C</v>
          </cell>
        </row>
        <row r="9487">
          <cell r="B9487" t="str">
            <v>SR-C1527 / LZPT-41|</v>
          </cell>
          <cell r="J9487" t="str">
            <v>C</v>
          </cell>
          <cell r="N9487" t="str">
            <v>C</v>
          </cell>
        </row>
        <row r="9488">
          <cell r="B9488" t="str">
            <v>SR-C1528 / LZPT-42|</v>
          </cell>
          <cell r="J9488" t="str">
            <v>C</v>
          </cell>
          <cell r="N9488" t="str">
            <v>C</v>
          </cell>
        </row>
        <row r="9489">
          <cell r="B9489" t="str">
            <v>RC-C1529 / LZPT-43|</v>
          </cell>
          <cell r="J9489" t="str">
            <v>C</v>
          </cell>
          <cell r="N9489" t="str">
            <v>C</v>
          </cell>
        </row>
        <row r="9490">
          <cell r="B9490" t="str">
            <v>RC-C1530 / LZPT-44|</v>
          </cell>
          <cell r="J9490" t="str">
            <v>C</v>
          </cell>
          <cell r="N9490" t="str">
            <v>C</v>
          </cell>
        </row>
        <row r="9491">
          <cell r="B9491" t="str">
            <v>SR-C1531 / LZPT-45|</v>
          </cell>
          <cell r="J9491" t="str">
            <v>C</v>
          </cell>
          <cell r="N9491" t="str">
            <v>C</v>
          </cell>
        </row>
        <row r="9492">
          <cell r="B9492" t="str">
            <v>RC-C1532 / LZPT-46|</v>
          </cell>
          <cell r="J9492" t="str">
            <v>C</v>
          </cell>
          <cell r="N9492" t="str">
            <v>C</v>
          </cell>
        </row>
        <row r="9493">
          <cell r="B9493" t="str">
            <v>RC-C1533 / LZPT-47|</v>
          </cell>
          <cell r="J9493" t="str">
            <v>C</v>
          </cell>
          <cell r="N9493" t="str">
            <v>C</v>
          </cell>
        </row>
        <row r="9494">
          <cell r="B9494" t="str">
            <v>RC-C1534 / LZPT-48|</v>
          </cell>
          <cell r="J9494" t="str">
            <v>C</v>
          </cell>
          <cell r="N9494" t="str">
            <v>C</v>
          </cell>
        </row>
        <row r="9495">
          <cell r="B9495" t="str">
            <v>SR-C1535 / LZPT-49|</v>
          </cell>
          <cell r="J9495" t="str">
            <v>C</v>
          </cell>
          <cell r="N9495" t="str">
            <v>C</v>
          </cell>
        </row>
        <row r="9496">
          <cell r="B9496" t="str">
            <v>RC-C1536 / LZPT-50|</v>
          </cell>
          <cell r="J9496" t="str">
            <v>C</v>
          </cell>
          <cell r="N9496" t="str">
            <v>C</v>
          </cell>
        </row>
        <row r="9497">
          <cell r="B9497" t="str">
            <v>SR-C1537 / LZPT-51|</v>
          </cell>
          <cell r="J9497" t="str">
            <v>C</v>
          </cell>
          <cell r="N9497" t="str">
            <v>C</v>
          </cell>
        </row>
        <row r="9498">
          <cell r="B9498" t="str">
            <v>RC-C1538 / LZPT-52|</v>
          </cell>
          <cell r="J9498" t="str">
            <v>C</v>
          </cell>
          <cell r="N9498" t="str">
            <v>C</v>
          </cell>
        </row>
        <row r="9499">
          <cell r="B9499" t="str">
            <v>SR-C1539 / LZPT-53|</v>
          </cell>
          <cell r="J9499" t="str">
            <v>C</v>
          </cell>
          <cell r="N9499" t="str">
            <v>C</v>
          </cell>
        </row>
        <row r="9500">
          <cell r="B9500" t="str">
            <v>SR-C1540 / LZPT-54|</v>
          </cell>
          <cell r="J9500" t="str">
            <v>C</v>
          </cell>
          <cell r="N9500" t="str">
            <v>C</v>
          </cell>
        </row>
        <row r="9501">
          <cell r="B9501" t="str">
            <v>SR-C1541 / LZPT-55|</v>
          </cell>
          <cell r="J9501" t="str">
            <v>C</v>
          </cell>
          <cell r="N9501" t="str">
            <v>C</v>
          </cell>
        </row>
        <row r="9502">
          <cell r="B9502" t="str">
            <v>SR-C1542 / LZPT-56|</v>
          </cell>
          <cell r="J9502" t="str">
            <v>C</v>
          </cell>
          <cell r="N9502" t="str">
            <v>C</v>
          </cell>
        </row>
        <row r="9503">
          <cell r="B9503" t="str">
            <v>SR-C1543 / LZPT-57|</v>
          </cell>
          <cell r="J9503" t="str">
            <v>C</v>
          </cell>
          <cell r="N9503" t="str">
            <v>C</v>
          </cell>
        </row>
        <row r="9504">
          <cell r="B9504" t="str">
            <v>SR-C1544 / LZPT-58|</v>
          </cell>
          <cell r="J9504" t="str">
            <v>C</v>
          </cell>
          <cell r="N9504" t="str">
            <v>C</v>
          </cell>
        </row>
        <row r="9505">
          <cell r="B9505" t="str">
            <v>SR-C1545 / LZPT-59|</v>
          </cell>
          <cell r="J9505" t="str">
            <v>C</v>
          </cell>
          <cell r="N9505" t="str">
            <v>C</v>
          </cell>
        </row>
        <row r="9506">
          <cell r="B9506" t="str">
            <v>SR-C1546 / LZPT-60|</v>
          </cell>
          <cell r="J9506" t="str">
            <v>C</v>
          </cell>
          <cell r="N9506" t="str">
            <v>C</v>
          </cell>
        </row>
        <row r="9507">
          <cell r="B9507" t="str">
            <v>SR-C1547 / LZPT-61|</v>
          </cell>
          <cell r="J9507" t="str">
            <v>C</v>
          </cell>
          <cell r="N9507" t="str">
            <v>C</v>
          </cell>
        </row>
        <row r="9508">
          <cell r="B9508" t="str">
            <v>SR-C1548 / LZPT-62|</v>
          </cell>
          <cell r="J9508" t="str">
            <v>C</v>
          </cell>
          <cell r="N9508" t="str">
            <v>C</v>
          </cell>
        </row>
        <row r="9509">
          <cell r="B9509" t="str">
            <v>SR-C1549 / LZPT-63|</v>
          </cell>
          <cell r="J9509" t="str">
            <v>C</v>
          </cell>
          <cell r="N9509" t="str">
            <v>C</v>
          </cell>
        </row>
        <row r="9510">
          <cell r="B9510" t="str">
            <v>SR-C1550 / LZPT-64|</v>
          </cell>
          <cell r="J9510" t="str">
            <v>C</v>
          </cell>
          <cell r="N9510" t="str">
            <v>C</v>
          </cell>
        </row>
        <row r="9511">
          <cell r="B9511" t="str">
            <v>SR-C1551 / LZPT-65|</v>
          </cell>
          <cell r="J9511" t="str">
            <v>C</v>
          </cell>
          <cell r="N9511" t="str">
            <v>C</v>
          </cell>
        </row>
        <row r="9512">
          <cell r="B9512" t="str">
            <v>SR-C1552 / LZPT-66|</v>
          </cell>
          <cell r="J9512" t="str">
            <v>C</v>
          </cell>
          <cell r="N9512" t="str">
            <v>C</v>
          </cell>
        </row>
        <row r="9513">
          <cell r="B9513" t="str">
            <v>SR-C1553 / LZPT-67|</v>
          </cell>
          <cell r="J9513" t="str">
            <v>C</v>
          </cell>
          <cell r="N9513" t="str">
            <v>C</v>
          </cell>
        </row>
        <row r="9514">
          <cell r="B9514" t="str">
            <v>SR-C1554 / LZPT-69|</v>
          </cell>
          <cell r="J9514" t="str">
            <v>C</v>
          </cell>
          <cell r="N9514" t="str">
            <v>C</v>
          </cell>
        </row>
        <row r="9515">
          <cell r="B9515" t="str">
            <v>SR-C1555 / LZPT-70|</v>
          </cell>
          <cell r="J9515" t="str">
            <v>C</v>
          </cell>
          <cell r="N9515" t="str">
            <v>C</v>
          </cell>
        </row>
        <row r="9516">
          <cell r="B9516" t="str">
            <v>SR-C1556 / LZPT-71|</v>
          </cell>
          <cell r="J9516" t="str">
            <v>C</v>
          </cell>
          <cell r="N9516" t="str">
            <v>C</v>
          </cell>
        </row>
        <row r="9517">
          <cell r="B9517" t="str">
            <v>SR-C1557 / LZPT-72|</v>
          </cell>
          <cell r="J9517" t="str">
            <v>C</v>
          </cell>
          <cell r="N9517" t="str">
            <v>C</v>
          </cell>
        </row>
        <row r="9518">
          <cell r="B9518" t="str">
            <v>SR-C1558 / LZPT-73|</v>
          </cell>
          <cell r="J9518" t="str">
            <v>C</v>
          </cell>
          <cell r="N9518" t="str">
            <v>C</v>
          </cell>
        </row>
        <row r="9519">
          <cell r="B9519" t="str">
            <v>SR-C1559 / LZPT-74|</v>
          </cell>
          <cell r="J9519" t="str">
            <v>C</v>
          </cell>
          <cell r="N9519" t="str">
            <v>C</v>
          </cell>
        </row>
        <row r="9520">
          <cell r="B9520" t="str">
            <v>SR-C1560 / LZPT-75|</v>
          </cell>
          <cell r="J9520" t="str">
            <v>C</v>
          </cell>
          <cell r="N9520" t="str">
            <v>C</v>
          </cell>
        </row>
        <row r="9521">
          <cell r="B9521" t="str">
            <v>SR-C1561 / LZPT-76|</v>
          </cell>
          <cell r="J9521" t="str">
            <v>C</v>
          </cell>
          <cell r="N9521" t="str">
            <v>C</v>
          </cell>
        </row>
        <row r="9522">
          <cell r="B9522" t="str">
            <v>SR-C1562 / LZPT-77|</v>
          </cell>
          <cell r="J9522" t="str">
            <v>C</v>
          </cell>
          <cell r="N9522" t="str">
            <v>C</v>
          </cell>
        </row>
        <row r="9523">
          <cell r="B9523" t="str">
            <v>RC-C1563 / LZPV-98|</v>
          </cell>
          <cell r="J9523" t="str">
            <v>C</v>
          </cell>
          <cell r="N9523" t="str">
            <v>C</v>
          </cell>
        </row>
        <row r="9524">
          <cell r="B9524" t="str">
            <v>SR-C1564 / LZPV-99|</v>
          </cell>
          <cell r="J9524" t="str">
            <v>C</v>
          </cell>
          <cell r="N9524" t="str">
            <v>C</v>
          </cell>
        </row>
        <row r="9525">
          <cell r="B9525" t="str">
            <v>SR-C1565 / LZPW-10|</v>
          </cell>
          <cell r="J9525" t="str">
            <v>C</v>
          </cell>
          <cell r="N9525" t="str">
            <v>C</v>
          </cell>
        </row>
        <row r="9526">
          <cell r="B9526" t="str">
            <v>SR-C1566 / LZPW-11|</v>
          </cell>
          <cell r="J9526" t="str">
            <v>C</v>
          </cell>
          <cell r="N9526" t="str">
            <v>C</v>
          </cell>
        </row>
        <row r="9527">
          <cell r="B9527" t="str">
            <v>SR-C1567 / LZPW-12|</v>
          </cell>
          <cell r="J9527" t="str">
            <v>C</v>
          </cell>
          <cell r="N9527" t="str">
            <v>C</v>
          </cell>
        </row>
        <row r="9528">
          <cell r="B9528" t="str">
            <v>SR-C1568 / LZPW-13|</v>
          </cell>
          <cell r="J9528" t="str">
            <v>C</v>
          </cell>
          <cell r="N9528" t="str">
            <v>C</v>
          </cell>
        </row>
        <row r="9529">
          <cell r="B9529" t="str">
            <v>RC-C1569 / LZPW-14|</v>
          </cell>
          <cell r="J9529" t="str">
            <v>C</v>
          </cell>
          <cell r="N9529" t="str">
            <v>C</v>
          </cell>
        </row>
        <row r="9530">
          <cell r="B9530" t="str">
            <v>SR-C1570 / LZPW-15|</v>
          </cell>
          <cell r="J9530" t="str">
            <v>C</v>
          </cell>
          <cell r="N9530" t="str">
            <v>C</v>
          </cell>
        </row>
        <row r="9531">
          <cell r="B9531" t="str">
            <v>SR-C1571 / LZPW-16|</v>
          </cell>
          <cell r="J9531" t="str">
            <v>C</v>
          </cell>
          <cell r="N9531" t="str">
            <v>C</v>
          </cell>
        </row>
        <row r="9532">
          <cell r="B9532" t="str">
            <v>SR-C1572 / LZPW-17|</v>
          </cell>
          <cell r="J9532" t="str">
            <v>C</v>
          </cell>
          <cell r="N9532" t="str">
            <v>C</v>
          </cell>
        </row>
        <row r="9533">
          <cell r="B9533" t="str">
            <v>SR-C1573 / LZPW-18|</v>
          </cell>
          <cell r="J9533" t="str">
            <v>C</v>
          </cell>
          <cell r="N9533" t="str">
            <v>C</v>
          </cell>
        </row>
        <row r="9534">
          <cell r="B9534" t="str">
            <v>SR-C1574 / LZPW-19|</v>
          </cell>
          <cell r="J9534" t="str">
            <v>C</v>
          </cell>
          <cell r="N9534" t="str">
            <v>C</v>
          </cell>
        </row>
        <row r="9535">
          <cell r="B9535" t="str">
            <v>SR-C1575 / LZPW-20|</v>
          </cell>
          <cell r="J9535" t="str">
            <v>C</v>
          </cell>
          <cell r="N9535" t="str">
            <v>C</v>
          </cell>
        </row>
        <row r="9536">
          <cell r="B9536" t="str">
            <v>SR-C1576 / LZPW-21|</v>
          </cell>
          <cell r="J9536" t="str">
            <v>C</v>
          </cell>
          <cell r="N9536" t="str">
            <v>C</v>
          </cell>
        </row>
        <row r="9537">
          <cell r="B9537" t="str">
            <v>SR-C1577 / LZPW-22|</v>
          </cell>
          <cell r="J9537" t="str">
            <v>C</v>
          </cell>
          <cell r="N9537" t="str">
            <v>C</v>
          </cell>
        </row>
        <row r="9538">
          <cell r="B9538" t="str">
            <v>RC-C1578 / LZRB-82|</v>
          </cell>
          <cell r="J9538" t="str">
            <v>C</v>
          </cell>
          <cell r="N9538" t="str">
            <v>C</v>
          </cell>
        </row>
        <row r="9539">
          <cell r="B9539" t="str">
            <v>SR-C1579 / LZRB-83|</v>
          </cell>
          <cell r="J9539" t="str">
            <v>C</v>
          </cell>
          <cell r="N9539" t="str">
            <v>C</v>
          </cell>
        </row>
        <row r="9540">
          <cell r="B9540" t="str">
            <v>SR-C1580 / LZRB-84|</v>
          </cell>
          <cell r="J9540" t="str">
            <v>C</v>
          </cell>
          <cell r="N9540" t="str">
            <v>C</v>
          </cell>
        </row>
        <row r="9541">
          <cell r="B9541" t="str">
            <v>SR-C1581 / LZRB-85|</v>
          </cell>
          <cell r="J9541" t="str">
            <v>C</v>
          </cell>
          <cell r="N9541" t="str">
            <v>C</v>
          </cell>
        </row>
        <row r="9542">
          <cell r="B9542" t="str">
            <v>SR-C1582 / LZRB-86|</v>
          </cell>
          <cell r="J9542" t="str">
            <v>C</v>
          </cell>
          <cell r="N9542" t="str">
            <v>C</v>
          </cell>
        </row>
        <row r="9543">
          <cell r="B9543" t="str">
            <v>SR-C1583 / LZRB-87|</v>
          </cell>
          <cell r="J9543" t="str">
            <v>C</v>
          </cell>
          <cell r="N9543" t="str">
            <v>C</v>
          </cell>
        </row>
        <row r="9544">
          <cell r="B9544" t="str">
            <v>SR-C1584 / LZRB-88|</v>
          </cell>
          <cell r="J9544" t="str">
            <v>C</v>
          </cell>
          <cell r="N9544" t="str">
            <v>C</v>
          </cell>
        </row>
        <row r="9545">
          <cell r="B9545" t="str">
            <v>DC-B1585 / SFVZ-29|</v>
          </cell>
          <cell r="J9545" t="str">
            <v>B</v>
          </cell>
          <cell r="N9545" t="str">
            <v>B</v>
          </cell>
        </row>
        <row r="9546">
          <cell r="B9546" t="str">
            <v>DC-B1586 / SFVZ-39|</v>
          </cell>
          <cell r="J9546" t="str">
            <v>B</v>
          </cell>
          <cell r="N9546" t="str">
            <v>B</v>
          </cell>
        </row>
        <row r="9547">
          <cell r="B9547" t="str">
            <v>SR-B1587 / SFVZ-40|</v>
          </cell>
          <cell r="J9547" t="str">
            <v>B</v>
          </cell>
          <cell r="N9547" t="str">
            <v>B</v>
          </cell>
        </row>
        <row r="9548">
          <cell r="B9548" t="str">
            <v>SR-B1588 / SFVZ-44|</v>
          </cell>
          <cell r="J9548" t="str">
            <v>B</v>
          </cell>
          <cell r="N9548" t="str">
            <v>B</v>
          </cell>
        </row>
        <row r="9549">
          <cell r="B9549" t="str">
            <v>SR-B1589 / SFVZ-49|</v>
          </cell>
          <cell r="J9549" t="str">
            <v>B</v>
          </cell>
          <cell r="N9549" t="str">
            <v>B</v>
          </cell>
        </row>
        <row r="9550">
          <cell r="B9550" t="str">
            <v>SR-B1590 / SFVZ-56|</v>
          </cell>
          <cell r="J9550" t="str">
            <v>B</v>
          </cell>
          <cell r="N9550" t="str">
            <v>B</v>
          </cell>
        </row>
        <row r="9551">
          <cell r="B9551" t="str">
            <v>LB-B1591 / SFVZ-60|</v>
          </cell>
          <cell r="J9551" t="str">
            <v>B</v>
          </cell>
          <cell r="N9551" t="str">
            <v>B</v>
          </cell>
        </row>
        <row r="9552">
          <cell r="B9552" t="str">
            <v>SR-B1592 / SFVZ-63|</v>
          </cell>
          <cell r="J9552" t="str">
            <v>B</v>
          </cell>
          <cell r="N9552" t="str">
            <v>B</v>
          </cell>
        </row>
        <row r="9553">
          <cell r="B9553" t="str">
            <v>SR-B1593 / SFVZ-67|</v>
          </cell>
          <cell r="J9553" t="str">
            <v>B</v>
          </cell>
          <cell r="N9553" t="str">
            <v>B</v>
          </cell>
        </row>
        <row r="9554">
          <cell r="B9554" t="str">
            <v>SR-B1594 / SFVZ-70|</v>
          </cell>
          <cell r="J9554" t="str">
            <v>B</v>
          </cell>
          <cell r="N9554" t="str">
            <v>B</v>
          </cell>
        </row>
        <row r="9555">
          <cell r="B9555" t="str">
            <v>SR-B1595 / SFVZ-80|</v>
          </cell>
          <cell r="J9555" t="str">
            <v>B</v>
          </cell>
          <cell r="N9555" t="str">
            <v>B</v>
          </cell>
        </row>
        <row r="9556">
          <cell r="B9556" t="str">
            <v>SR-B1596 / SFVZ-81|</v>
          </cell>
          <cell r="J9556" t="str">
            <v>B</v>
          </cell>
          <cell r="N9556" t="str">
            <v>B</v>
          </cell>
        </row>
        <row r="9557">
          <cell r="B9557" t="str">
            <v>SR-B1597 / SFVZ-85|</v>
          </cell>
          <cell r="J9557" t="str">
            <v>B</v>
          </cell>
          <cell r="N9557" t="str">
            <v>B</v>
          </cell>
        </row>
        <row r="9558">
          <cell r="B9558" t="str">
            <v>SR-B1598 / SFVZ-86|</v>
          </cell>
          <cell r="J9558" t="str">
            <v>B</v>
          </cell>
          <cell r="N9558" t="str">
            <v>B</v>
          </cell>
        </row>
        <row r="9559">
          <cell r="B9559" t="str">
            <v>LB-B1599 / SFVZ-87|</v>
          </cell>
          <cell r="J9559" t="str">
            <v>B</v>
          </cell>
          <cell r="N9559" t="str">
            <v>B</v>
          </cell>
        </row>
        <row r="9560">
          <cell r="B9560" t="str">
            <v>RC-B1600 / SFVZ-94|</v>
          </cell>
          <cell r="J9560" t="str">
            <v>B</v>
          </cell>
          <cell r="N9560" t="str">
            <v>B</v>
          </cell>
        </row>
        <row r="9561">
          <cell r="B9561" t="str">
            <v>SR-B1601 / SFVZ-96|</v>
          </cell>
          <cell r="J9561" t="str">
            <v>B</v>
          </cell>
          <cell r="N9561" t="str">
            <v>B</v>
          </cell>
        </row>
        <row r="9562">
          <cell r="B9562" t="str">
            <v>RC-B1602 / SFWB-10|</v>
          </cell>
          <cell r="J9562" t="str">
            <v>B</v>
          </cell>
          <cell r="N9562" t="str">
            <v>B</v>
          </cell>
        </row>
        <row r="9563">
          <cell r="B9563" t="str">
            <v>SR-B1603 / SFWB-14|</v>
          </cell>
          <cell r="J9563" t="str">
            <v>B</v>
          </cell>
          <cell r="N9563" t="str">
            <v>B</v>
          </cell>
        </row>
        <row r="9564">
          <cell r="B9564" t="str">
            <v>RC-B1604 / SFWB-16|</v>
          </cell>
          <cell r="J9564" t="str">
            <v>B</v>
          </cell>
          <cell r="N9564" t="str">
            <v>B</v>
          </cell>
        </row>
        <row r="9565">
          <cell r="B9565" t="str">
            <v>SR-B1605 / SFWB-21|</v>
          </cell>
          <cell r="J9565" t="str">
            <v>B</v>
          </cell>
          <cell r="N9565" t="str">
            <v>B</v>
          </cell>
        </row>
        <row r="9566">
          <cell r="B9566" t="str">
            <v>SR-B1606 / SFWB-24|</v>
          </cell>
          <cell r="J9566" t="str">
            <v>B</v>
          </cell>
          <cell r="N9566" t="str">
            <v>B</v>
          </cell>
        </row>
        <row r="9567">
          <cell r="B9567" t="str">
            <v>SR-B1607 / SFWB-28|</v>
          </cell>
          <cell r="J9567" t="str">
            <v>B</v>
          </cell>
          <cell r="N9567" t="str">
            <v>B</v>
          </cell>
        </row>
        <row r="9568">
          <cell r="B9568" t="str">
            <v>SR-B1608 / SFWB-29|</v>
          </cell>
          <cell r="J9568" t="str">
            <v>B</v>
          </cell>
          <cell r="N9568" t="str">
            <v>B</v>
          </cell>
        </row>
        <row r="9569">
          <cell r="B9569" t="str">
            <v>RC-B1609 / SFWB-31|</v>
          </cell>
          <cell r="J9569" t="str">
            <v>B</v>
          </cell>
          <cell r="N9569" t="str">
            <v>B</v>
          </cell>
        </row>
        <row r="9570">
          <cell r="B9570" t="str">
            <v>SR-B1610 / SFWB-33|</v>
          </cell>
          <cell r="J9570" t="str">
            <v>B</v>
          </cell>
          <cell r="N9570" t="str">
            <v>B</v>
          </cell>
        </row>
        <row r="9571">
          <cell r="B9571" t="str">
            <v>RC-B1611 / SFWB-35|</v>
          </cell>
          <cell r="J9571" t="str">
            <v>B</v>
          </cell>
          <cell r="N9571" t="str">
            <v>B</v>
          </cell>
        </row>
        <row r="9572">
          <cell r="B9572" t="str">
            <v>SR-B1612 / SFWB-42|</v>
          </cell>
          <cell r="J9572" t="str">
            <v>B</v>
          </cell>
          <cell r="N9572" t="str">
            <v>B</v>
          </cell>
        </row>
        <row r="9573">
          <cell r="B9573" t="str">
            <v>SR-B1613 / SFWB-44|</v>
          </cell>
          <cell r="J9573" t="str">
            <v>B</v>
          </cell>
          <cell r="N9573" t="str">
            <v>B</v>
          </cell>
        </row>
        <row r="9574">
          <cell r="B9574" t="str">
            <v>SR-B1614 / SFWB-46|</v>
          </cell>
          <cell r="J9574" t="str">
            <v>B</v>
          </cell>
          <cell r="N9574" t="str">
            <v>B</v>
          </cell>
        </row>
        <row r="9575">
          <cell r="B9575" t="str">
            <v>SR-B1615 / SFWB-48|</v>
          </cell>
          <cell r="J9575" t="str">
            <v>B</v>
          </cell>
          <cell r="N9575" t="str">
            <v>B</v>
          </cell>
        </row>
        <row r="9576">
          <cell r="B9576" t="str">
            <v>RC-B1616 / SFWB-50|</v>
          </cell>
          <cell r="J9576" t="str">
            <v>B</v>
          </cell>
          <cell r="N9576" t="str">
            <v>B</v>
          </cell>
        </row>
        <row r="9577">
          <cell r="B9577" t="str">
            <v>SR-B1617 / SFWB-51|</v>
          </cell>
          <cell r="J9577" t="str">
            <v>B</v>
          </cell>
          <cell r="N9577" t="str">
            <v>B</v>
          </cell>
        </row>
        <row r="9578">
          <cell r="B9578" t="str">
            <v>RC-B1618 / SFWB-58|</v>
          </cell>
          <cell r="J9578" t="str">
            <v>B</v>
          </cell>
          <cell r="N9578" t="str">
            <v>B</v>
          </cell>
        </row>
        <row r="9579">
          <cell r="B9579" t="str">
            <v>SR-B1619 / SFWB-61|</v>
          </cell>
          <cell r="J9579" t="str">
            <v>B</v>
          </cell>
          <cell r="N9579" t="str">
            <v>B</v>
          </cell>
        </row>
        <row r="9580">
          <cell r="B9580" t="str">
            <v>SR-B1620 / SFWB-64|</v>
          </cell>
          <cell r="J9580" t="str">
            <v>B</v>
          </cell>
          <cell r="N9580" t="str">
            <v>B</v>
          </cell>
        </row>
        <row r="9581">
          <cell r="B9581" t="str">
            <v>RC-B1621 / SFWB-68|</v>
          </cell>
          <cell r="J9581" t="str">
            <v>B</v>
          </cell>
          <cell r="N9581" t="str">
            <v>B</v>
          </cell>
        </row>
        <row r="9582">
          <cell r="B9582" t="str">
            <v>SR-B1622 / SFWB-72|</v>
          </cell>
          <cell r="J9582" t="str">
            <v>B</v>
          </cell>
          <cell r="N9582" t="str">
            <v>B</v>
          </cell>
        </row>
        <row r="9583">
          <cell r="B9583" t="str">
            <v>SR-B1623 / SFWB-73|</v>
          </cell>
          <cell r="J9583" t="str">
            <v>B</v>
          </cell>
          <cell r="N9583" t="str">
            <v>B</v>
          </cell>
        </row>
        <row r="9584">
          <cell r="B9584" t="str">
            <v>SR-B1624 / SFWB-75|</v>
          </cell>
          <cell r="J9584" t="str">
            <v>B</v>
          </cell>
          <cell r="N9584" t="str">
            <v>B</v>
          </cell>
        </row>
        <row r="9585">
          <cell r="B9585" t="str">
            <v>SR-B1625 / SFWB-76|</v>
          </cell>
          <cell r="J9585" t="str">
            <v>B</v>
          </cell>
          <cell r="N9585" t="str">
            <v>B</v>
          </cell>
        </row>
        <row r="9586">
          <cell r="B9586" t="str">
            <v>SR-B1626 / SFWB-77|</v>
          </cell>
          <cell r="J9586" t="str">
            <v>B</v>
          </cell>
          <cell r="N9586" t="str">
            <v>B</v>
          </cell>
        </row>
        <row r="9587">
          <cell r="B9587" t="str">
            <v>SR-B1627 / SFWB-82|</v>
          </cell>
          <cell r="J9587" t="str">
            <v>B</v>
          </cell>
          <cell r="N9587" t="str">
            <v>B</v>
          </cell>
        </row>
        <row r="9588">
          <cell r="B9588" t="str">
            <v>RC-B1628 / SFWB-84|</v>
          </cell>
          <cell r="J9588" t="str">
            <v>B</v>
          </cell>
          <cell r="N9588" t="str">
            <v>B</v>
          </cell>
        </row>
        <row r="9589">
          <cell r="B9589" t="str">
            <v>SR-B1629 / SFWB-85|</v>
          </cell>
          <cell r="J9589" t="str">
            <v>B</v>
          </cell>
          <cell r="N9589" t="str">
            <v>B</v>
          </cell>
        </row>
        <row r="9590">
          <cell r="B9590" t="str">
            <v>SR-B1630 / SFWB-87|</v>
          </cell>
          <cell r="J9590" t="str">
            <v>B</v>
          </cell>
          <cell r="N9590" t="str">
            <v>B</v>
          </cell>
        </row>
        <row r="9591">
          <cell r="B9591" t="str">
            <v>RC-B1631 / SFWB-89|</v>
          </cell>
          <cell r="J9591" t="str">
            <v>B</v>
          </cell>
          <cell r="N9591" t="str">
            <v>B</v>
          </cell>
        </row>
        <row r="9592">
          <cell r="B9592" t="str">
            <v>SR-B1632 / SFWB-90|</v>
          </cell>
          <cell r="J9592" t="str">
            <v>B</v>
          </cell>
          <cell r="N9592" t="str">
            <v>B</v>
          </cell>
        </row>
        <row r="9593">
          <cell r="B9593" t="str">
            <v>SR-B1633 / SFWB-95|</v>
          </cell>
          <cell r="J9593" t="str">
            <v>B</v>
          </cell>
          <cell r="N9593" t="str">
            <v>B</v>
          </cell>
        </row>
        <row r="9594">
          <cell r="B9594" t="str">
            <v>SR-B1634 / SFWB-96|</v>
          </cell>
          <cell r="J9594" t="str">
            <v>B</v>
          </cell>
          <cell r="N9594" t="str">
            <v>B</v>
          </cell>
        </row>
        <row r="9595">
          <cell r="B9595" t="str">
            <v>SR-B1635 / SFWB-98|</v>
          </cell>
          <cell r="J9595" t="str">
            <v>B</v>
          </cell>
          <cell r="N9595" t="str">
            <v>B</v>
          </cell>
        </row>
        <row r="9596">
          <cell r="B9596" t="str">
            <v>SR-B1636 / SFWZ-10|</v>
          </cell>
          <cell r="J9596" t="str">
            <v>B</v>
          </cell>
          <cell r="N9596" t="str">
            <v>B</v>
          </cell>
        </row>
        <row r="9597">
          <cell r="B9597" t="str">
            <v>SR-B1637 / SFWZ-13|</v>
          </cell>
          <cell r="J9597" t="str">
            <v>B</v>
          </cell>
          <cell r="N9597" t="str">
            <v>B</v>
          </cell>
        </row>
        <row r="9598">
          <cell r="B9598" t="str">
            <v>SR-B1638 / SFWZ-14|</v>
          </cell>
          <cell r="J9598" t="str">
            <v>B</v>
          </cell>
          <cell r="N9598" t="str">
            <v>B</v>
          </cell>
        </row>
        <row r="9599">
          <cell r="B9599" t="str">
            <v>RC-B1639 / SFWZ-16|</v>
          </cell>
          <cell r="J9599" t="str">
            <v>B</v>
          </cell>
          <cell r="N9599" t="str">
            <v>B</v>
          </cell>
        </row>
        <row r="9600">
          <cell r="B9600" t="str">
            <v>RC-B1640 / SFWZ-17|</v>
          </cell>
          <cell r="J9600" t="str">
            <v>B</v>
          </cell>
          <cell r="N9600" t="str">
            <v>B</v>
          </cell>
        </row>
        <row r="9601">
          <cell r="B9601" t="str">
            <v>SR-B1641 / SFWZ-18|</v>
          </cell>
          <cell r="J9601" t="str">
            <v>B</v>
          </cell>
          <cell r="N9601" t="str">
            <v>B</v>
          </cell>
        </row>
        <row r="9602">
          <cell r="B9602" t="str">
            <v>SR-B1642 / SFWZ-20|</v>
          </cell>
          <cell r="J9602" t="str">
            <v>B</v>
          </cell>
          <cell r="N9602" t="str">
            <v>B</v>
          </cell>
        </row>
        <row r="9603">
          <cell r="B9603" t="str">
            <v>SR-B1643 / SFWZ-21|</v>
          </cell>
          <cell r="J9603" t="str">
            <v>B</v>
          </cell>
          <cell r="N9603" t="str">
            <v>B</v>
          </cell>
        </row>
        <row r="9604">
          <cell r="B9604" t="str">
            <v>SR-B1644 / SFWZ-23|</v>
          </cell>
          <cell r="J9604" t="str">
            <v>B</v>
          </cell>
          <cell r="N9604" t="str">
            <v>B</v>
          </cell>
        </row>
        <row r="9605">
          <cell r="B9605" t="str">
            <v>SR-B1645 / SFWZ-25|</v>
          </cell>
          <cell r="J9605" t="str">
            <v>B</v>
          </cell>
          <cell r="N9605" t="str">
            <v>B</v>
          </cell>
        </row>
        <row r="9606">
          <cell r="B9606" t="str">
            <v>SR-B1646 / SFWZ-26|</v>
          </cell>
          <cell r="J9606" t="str">
            <v>B</v>
          </cell>
          <cell r="N9606" t="str">
            <v>B</v>
          </cell>
        </row>
        <row r="9607">
          <cell r="B9607" t="str">
            <v>RC-B1647 / SFWZ-27|</v>
          </cell>
          <cell r="J9607" t="str">
            <v>B</v>
          </cell>
          <cell r="N9607" t="str">
            <v>B</v>
          </cell>
        </row>
        <row r="9608">
          <cell r="B9608" t="str">
            <v>RC-B1648 / SFWZ-29|</v>
          </cell>
          <cell r="J9608" t="str">
            <v>B</v>
          </cell>
          <cell r="N9608" t="str">
            <v>B</v>
          </cell>
        </row>
        <row r="9609">
          <cell r="B9609" t="str">
            <v>RC-B1649 / SFWZ-31|</v>
          </cell>
          <cell r="J9609" t="str">
            <v>B</v>
          </cell>
          <cell r="N9609" t="str">
            <v>B</v>
          </cell>
        </row>
        <row r="9610">
          <cell r="B9610" t="str">
            <v>SR-B1650 / SFWZ-32|</v>
          </cell>
          <cell r="J9610" t="str">
            <v>B</v>
          </cell>
          <cell r="N9610" t="str">
            <v>B</v>
          </cell>
        </row>
        <row r="9611">
          <cell r="B9611" t="str">
            <v>RC-B1651 / SFWZ-33|</v>
          </cell>
          <cell r="J9611" t="str">
            <v>B</v>
          </cell>
          <cell r="N9611" t="str">
            <v>B</v>
          </cell>
        </row>
        <row r="9612">
          <cell r="B9612" t="str">
            <v>SR-B1652 / SFWZ-34|</v>
          </cell>
          <cell r="J9612" t="str">
            <v>B</v>
          </cell>
          <cell r="N9612" t="str">
            <v>B</v>
          </cell>
        </row>
        <row r="9613">
          <cell r="B9613" t="str">
            <v>SR-B1653 / SFWZ-36|</v>
          </cell>
          <cell r="J9613" t="str">
            <v>B</v>
          </cell>
          <cell r="N9613" t="str">
            <v>B</v>
          </cell>
        </row>
        <row r="9614">
          <cell r="B9614" t="str">
            <v>RC-B1654 / SFWZ-37|</v>
          </cell>
          <cell r="J9614" t="str">
            <v>B</v>
          </cell>
          <cell r="N9614" t="str">
            <v>B</v>
          </cell>
        </row>
        <row r="9615">
          <cell r="B9615" t="str">
            <v>SR-B1655 / SFWZ-38|</v>
          </cell>
          <cell r="J9615" t="str">
            <v>B</v>
          </cell>
          <cell r="N9615" t="str">
            <v>B</v>
          </cell>
        </row>
        <row r="9616">
          <cell r="B9616" t="str">
            <v>RC-B1656 / SFWZ-39|</v>
          </cell>
          <cell r="J9616" t="str">
            <v>B</v>
          </cell>
          <cell r="N9616" t="str">
            <v>B</v>
          </cell>
        </row>
        <row r="9617">
          <cell r="B9617" t="str">
            <v>SR-B1657 / SFWZ-40|</v>
          </cell>
          <cell r="J9617" t="str">
            <v>B</v>
          </cell>
          <cell r="N9617" t="str">
            <v>B</v>
          </cell>
        </row>
        <row r="9618">
          <cell r="B9618" t="str">
            <v>RC-B1658 / SFWZ-42|</v>
          </cell>
          <cell r="J9618" t="str">
            <v>B</v>
          </cell>
          <cell r="N9618" t="str">
            <v>B</v>
          </cell>
        </row>
        <row r="9619">
          <cell r="B9619" t="str">
            <v>SR-B1659 / SFWZ-45|</v>
          </cell>
          <cell r="J9619" t="str">
            <v>B</v>
          </cell>
          <cell r="N9619" t="str">
            <v>B</v>
          </cell>
        </row>
        <row r="9620">
          <cell r="B9620" t="str">
            <v>RC-B1660 / SFWZ-48|</v>
          </cell>
          <cell r="J9620" t="str">
            <v>B</v>
          </cell>
          <cell r="N9620" t="str">
            <v>B</v>
          </cell>
        </row>
        <row r="9621">
          <cell r="B9621" t="str">
            <v>RC-B1661 / SFWZ-49|</v>
          </cell>
          <cell r="J9621" t="str">
            <v>B</v>
          </cell>
          <cell r="N9621" t="str">
            <v>B</v>
          </cell>
        </row>
        <row r="9622">
          <cell r="B9622" t="str">
            <v>RC-B1662 / SFWZ-50|</v>
          </cell>
          <cell r="J9622" t="str">
            <v>B</v>
          </cell>
          <cell r="N9622" t="str">
            <v>B</v>
          </cell>
        </row>
        <row r="9623">
          <cell r="B9623" t="str">
            <v>RC-B1663 / SFWZ-52|</v>
          </cell>
          <cell r="J9623" t="str">
            <v>B</v>
          </cell>
          <cell r="N9623" t="str">
            <v>B</v>
          </cell>
        </row>
        <row r="9624">
          <cell r="B9624" t="str">
            <v>RC-B1664 / SFWZ-53|</v>
          </cell>
          <cell r="J9624" t="str">
            <v>B</v>
          </cell>
          <cell r="N9624" t="str">
            <v>B</v>
          </cell>
        </row>
        <row r="9625">
          <cell r="B9625" t="str">
            <v>RC-B1665 / SFWZ-54|</v>
          </cell>
          <cell r="J9625" t="str">
            <v>B</v>
          </cell>
          <cell r="N9625" t="str">
            <v>B</v>
          </cell>
        </row>
        <row r="9626">
          <cell r="B9626" t="str">
            <v>RC-B1666 / SFWZ-55|</v>
          </cell>
          <cell r="J9626" t="str">
            <v>B</v>
          </cell>
          <cell r="N9626" t="str">
            <v>B</v>
          </cell>
        </row>
        <row r="9627">
          <cell r="B9627" t="str">
            <v>RC-B1667 / SFWZ-56|</v>
          </cell>
          <cell r="J9627" t="str">
            <v>B</v>
          </cell>
          <cell r="N9627" t="str">
            <v>B</v>
          </cell>
        </row>
        <row r="9628">
          <cell r="B9628" t="str">
            <v>SR-B1668 / SFWZ-58|</v>
          </cell>
          <cell r="J9628" t="str">
            <v>B</v>
          </cell>
          <cell r="N9628" t="str">
            <v>B</v>
          </cell>
        </row>
        <row r="9629">
          <cell r="B9629" t="str">
            <v>RC-B1669 / SFWZ-59|</v>
          </cell>
          <cell r="J9629" t="str">
            <v>B</v>
          </cell>
          <cell r="N9629" t="str">
            <v>B</v>
          </cell>
        </row>
        <row r="9630">
          <cell r="B9630" t="str">
            <v>RC-B1670 / SFWZ-61|</v>
          </cell>
          <cell r="J9630" t="str">
            <v>B</v>
          </cell>
          <cell r="N9630" t="str">
            <v>B</v>
          </cell>
        </row>
        <row r="9631">
          <cell r="B9631" t="str">
            <v>RC-B1671 / SFWZ-62|</v>
          </cell>
          <cell r="J9631" t="str">
            <v>B</v>
          </cell>
          <cell r="N9631" t="str">
            <v>B</v>
          </cell>
        </row>
        <row r="9632">
          <cell r="B9632" t="str">
            <v>SR-B1672 / SFWZ-63|</v>
          </cell>
          <cell r="J9632" t="str">
            <v>B</v>
          </cell>
          <cell r="N9632" t="str">
            <v>B</v>
          </cell>
        </row>
        <row r="9633">
          <cell r="B9633" t="str">
            <v>RC-B1673 / SFWZ-64|</v>
          </cell>
          <cell r="J9633" t="str">
            <v>B</v>
          </cell>
          <cell r="N9633" t="str">
            <v>B</v>
          </cell>
        </row>
        <row r="9634">
          <cell r="B9634" t="str">
            <v>RC-B1674 / SFWZ-65|</v>
          </cell>
          <cell r="J9634" t="str">
            <v>B</v>
          </cell>
          <cell r="N9634" t="str">
            <v>B</v>
          </cell>
        </row>
        <row r="9635">
          <cell r="B9635" t="str">
            <v>RC-B1675 / SFWZ-66|</v>
          </cell>
          <cell r="J9635" t="str">
            <v>B</v>
          </cell>
          <cell r="N9635" t="str">
            <v>B</v>
          </cell>
        </row>
        <row r="9636">
          <cell r="B9636" t="str">
            <v>SR-B1676 / SFWZ-67|</v>
          </cell>
          <cell r="J9636" t="str">
            <v>B</v>
          </cell>
          <cell r="N9636" t="str">
            <v>B</v>
          </cell>
        </row>
        <row r="9637">
          <cell r="B9637" t="str">
            <v>SR-B1677 / SFWZ-68|</v>
          </cell>
          <cell r="J9637" t="str">
            <v>B</v>
          </cell>
          <cell r="N9637" t="str">
            <v>B</v>
          </cell>
        </row>
        <row r="9638">
          <cell r="B9638" t="str">
            <v>RC-B1678 / SFWZ-69|</v>
          </cell>
          <cell r="J9638" t="str">
            <v>B</v>
          </cell>
          <cell r="N9638" t="str">
            <v>B</v>
          </cell>
        </row>
        <row r="9639">
          <cell r="B9639" t="str">
            <v>SR-B1679 / SFWZ-70|</v>
          </cell>
          <cell r="J9639" t="str">
            <v>B</v>
          </cell>
          <cell r="N9639" t="str">
            <v>B</v>
          </cell>
        </row>
        <row r="9640">
          <cell r="B9640" t="str">
            <v>RC-B1680 / SFWZ-73|</v>
          </cell>
          <cell r="J9640" t="str">
            <v>B</v>
          </cell>
          <cell r="N9640" t="str">
            <v>B</v>
          </cell>
        </row>
        <row r="9641">
          <cell r="B9641" t="str">
            <v>SR-B1681 / SFWZ-74|</v>
          </cell>
          <cell r="J9641" t="str">
            <v>B</v>
          </cell>
          <cell r="N9641" t="str">
            <v>B</v>
          </cell>
        </row>
        <row r="9642">
          <cell r="B9642" t="str">
            <v>SR-B1682 / SFWZ-75|</v>
          </cell>
          <cell r="J9642" t="str">
            <v>B</v>
          </cell>
          <cell r="N9642" t="str">
            <v>B</v>
          </cell>
        </row>
        <row r="9643">
          <cell r="B9643" t="str">
            <v>SR-B1683 / SFWZ-76|</v>
          </cell>
          <cell r="J9643" t="str">
            <v>B</v>
          </cell>
          <cell r="N9643" t="str">
            <v>B</v>
          </cell>
        </row>
        <row r="9644">
          <cell r="B9644" t="str">
            <v>SR-B1684 / SFWZ-77|</v>
          </cell>
          <cell r="J9644" t="str">
            <v>B</v>
          </cell>
          <cell r="N9644" t="str">
            <v>B</v>
          </cell>
        </row>
        <row r="9645">
          <cell r="B9645" t="str">
            <v>SR-B1685 / SFWZ-78|</v>
          </cell>
          <cell r="J9645" t="str">
            <v>B</v>
          </cell>
          <cell r="N9645" t="str">
            <v>B</v>
          </cell>
        </row>
        <row r="9646">
          <cell r="B9646" t="str">
            <v>RC-B1686 / SFWZ-80|</v>
          </cell>
          <cell r="J9646" t="str">
            <v>B</v>
          </cell>
          <cell r="N9646" t="str">
            <v>B</v>
          </cell>
        </row>
        <row r="9647">
          <cell r="B9647" t="str">
            <v>RC-B1687 / SFWZ-81|</v>
          </cell>
          <cell r="J9647" t="str">
            <v>B</v>
          </cell>
          <cell r="N9647" t="str">
            <v>B</v>
          </cell>
        </row>
        <row r="9648">
          <cell r="B9648" t="str">
            <v>RC-B1688 / SFWZ-82|</v>
          </cell>
          <cell r="J9648" t="str">
            <v>B</v>
          </cell>
          <cell r="N9648" t="str">
            <v>B</v>
          </cell>
        </row>
        <row r="9649">
          <cell r="B9649" t="str">
            <v>RC-B1689 / SFWZ-83|</v>
          </cell>
          <cell r="J9649" t="str">
            <v>B</v>
          </cell>
          <cell r="N9649" t="str">
            <v>B</v>
          </cell>
        </row>
        <row r="9650">
          <cell r="B9650" t="str">
            <v>SR-B1690 / SFWZ-85|</v>
          </cell>
          <cell r="J9650" t="str">
            <v>B</v>
          </cell>
          <cell r="N9650" t="str">
            <v>B</v>
          </cell>
        </row>
        <row r="9651">
          <cell r="B9651" t="str">
            <v>SR-C1691 / SXKV-97|</v>
          </cell>
          <cell r="J9651" t="str">
            <v>C</v>
          </cell>
          <cell r="N9651" t="str">
            <v>C</v>
          </cell>
        </row>
        <row r="9652">
          <cell r="B9652" t="str">
            <v>SR-C1692 / SXKV-98|</v>
          </cell>
          <cell r="J9652" t="str">
            <v>C</v>
          </cell>
          <cell r="N9652" t="str">
            <v>C</v>
          </cell>
        </row>
        <row r="9653">
          <cell r="B9653" t="str">
            <v>SR-C1693 / SXKV-99|</v>
          </cell>
          <cell r="J9653" t="str">
            <v>C</v>
          </cell>
          <cell r="N9653" t="str">
            <v>C</v>
          </cell>
        </row>
        <row r="9654">
          <cell r="B9654" t="str">
            <v>SR-C1694 / TBZB-24|</v>
          </cell>
          <cell r="J9654" t="str">
            <v>C</v>
          </cell>
          <cell r="N9654" t="str">
            <v>C</v>
          </cell>
        </row>
        <row r="9655">
          <cell r="B9655" t="str">
            <v>CER-A1695 / VGLZ-33|</v>
          </cell>
          <cell r="J9655" t="str">
            <v>A</v>
          </cell>
          <cell r="N9655" t="str">
            <v>A</v>
          </cell>
        </row>
        <row r="9656">
          <cell r="B9656" t="str">
            <v>CER-A1696 / VGLZ-43|</v>
          </cell>
          <cell r="J9656" t="str">
            <v>A</v>
          </cell>
          <cell r="N9656" t="str">
            <v>A</v>
          </cell>
        </row>
        <row r="9657">
          <cell r="B9657" t="str">
            <v>CER-A1697 / VGRB-23|</v>
          </cell>
          <cell r="J9657" t="str">
            <v>A</v>
          </cell>
          <cell r="N9657" t="str">
            <v>A</v>
          </cell>
        </row>
        <row r="9658">
          <cell r="B9658" t="str">
            <v>CER-A1698 / VGRB-24|</v>
          </cell>
          <cell r="J9658" t="str">
            <v>A</v>
          </cell>
          <cell r="N9658" t="str">
            <v>A</v>
          </cell>
        </row>
        <row r="9659">
          <cell r="B9659" t="str">
            <v>CER-A1699 / VGRB-33|</v>
          </cell>
          <cell r="J9659" t="str">
            <v>A</v>
          </cell>
          <cell r="N9659" t="str">
            <v>A</v>
          </cell>
        </row>
        <row r="9660">
          <cell r="B9660" t="str">
            <v>CER-A1700 / VGRB-63|</v>
          </cell>
          <cell r="J9660" t="str">
            <v>A</v>
          </cell>
          <cell r="N9660" t="str">
            <v>A</v>
          </cell>
        </row>
        <row r="9661">
          <cell r="B9661" t="str">
            <v>CER-A1701 / VGRB-73|</v>
          </cell>
          <cell r="J9661" t="str">
            <v>A</v>
          </cell>
          <cell r="N9661" t="str">
            <v>A</v>
          </cell>
        </row>
        <row r="9662">
          <cell r="B9662" t="str">
            <v>CER-A1702 / VGRB-93|</v>
          </cell>
          <cell r="J9662" t="str">
            <v>A</v>
          </cell>
          <cell r="N9662" t="str">
            <v>A</v>
          </cell>
        </row>
        <row r="9663">
          <cell r="B9663" t="str">
            <v>CER-A1703 / VGRC-13|</v>
          </cell>
          <cell r="J9663" t="str">
            <v>A</v>
          </cell>
          <cell r="N9663" t="str">
            <v>A</v>
          </cell>
        </row>
        <row r="9664">
          <cell r="B9664" t="str">
            <v>CER-A1704 / VGRC-23|</v>
          </cell>
          <cell r="J9664" t="str">
            <v>A</v>
          </cell>
          <cell r="N9664" t="str">
            <v>A</v>
          </cell>
        </row>
        <row r="9665">
          <cell r="B9665" t="str">
            <v>CER-A1705 / VGRC-33|</v>
          </cell>
          <cell r="J9665" t="str">
            <v>A</v>
          </cell>
          <cell r="N9665" t="str">
            <v>A</v>
          </cell>
        </row>
        <row r="9666">
          <cell r="B9666" t="str">
            <v>CER-A1706 / VGRC-43|</v>
          </cell>
          <cell r="J9666" t="str">
            <v>A</v>
          </cell>
          <cell r="N9666" t="str">
            <v>A</v>
          </cell>
        </row>
        <row r="9667">
          <cell r="B9667" t="str">
            <v>CER-A1707 / VGRC-53|</v>
          </cell>
          <cell r="J9667" t="str">
            <v>A</v>
          </cell>
          <cell r="N9667" t="str">
            <v>A</v>
          </cell>
        </row>
        <row r="9668">
          <cell r="B9668" t="str">
            <v>CER-A1708 / VGRC-73|</v>
          </cell>
          <cell r="J9668" t="str">
            <v>A</v>
          </cell>
          <cell r="N9668" t="str">
            <v>A</v>
          </cell>
        </row>
        <row r="9669">
          <cell r="B9669" t="str">
            <v>CER-A1709 / VGRC-83|</v>
          </cell>
          <cell r="J9669" t="str">
            <v>A</v>
          </cell>
          <cell r="N9669" t="str">
            <v>A</v>
          </cell>
        </row>
        <row r="9670">
          <cell r="B9670" t="str">
            <v>CER-A1710 / VGRC-93|</v>
          </cell>
          <cell r="J9670" t="str">
            <v>A</v>
          </cell>
          <cell r="N9670" t="str">
            <v>A</v>
          </cell>
        </row>
        <row r="9671">
          <cell r="B9671" t="str">
            <v>CER-A1711 / VGRD-25|</v>
          </cell>
          <cell r="J9671" t="str">
            <v>A</v>
          </cell>
          <cell r="N9671" t="str">
            <v>A</v>
          </cell>
        </row>
        <row r="9672">
          <cell r="B9672" t="str">
            <v>CER-A1712 / VGRD-35|</v>
          </cell>
          <cell r="J9672" t="str">
            <v>A</v>
          </cell>
          <cell r="N9672" t="str">
            <v>A</v>
          </cell>
        </row>
        <row r="9673">
          <cell r="B9673" t="str">
            <v>CER-A1713 / VGRD-55|</v>
          </cell>
          <cell r="J9673" t="str">
            <v>A</v>
          </cell>
          <cell r="N9673" t="str">
            <v>A</v>
          </cell>
        </row>
        <row r="9674">
          <cell r="B9674" t="str">
            <v>CER-A1714 / VGRF-45|</v>
          </cell>
          <cell r="J9674" t="str">
            <v>A</v>
          </cell>
          <cell r="N9674" t="str">
            <v>A</v>
          </cell>
        </row>
        <row r="9675">
          <cell r="B9675" t="str">
            <v>CER-A1715 / VGRF-55|</v>
          </cell>
          <cell r="J9675" t="str">
            <v>A</v>
          </cell>
          <cell r="N9675" t="str">
            <v>A</v>
          </cell>
        </row>
        <row r="9676">
          <cell r="B9676" t="str">
            <v>CER-A1716 / VGRF-65|</v>
          </cell>
          <cell r="J9676" t="str">
            <v>A</v>
          </cell>
          <cell r="N9676" t="str">
            <v>A</v>
          </cell>
        </row>
        <row r="9677">
          <cell r="B9677" t="str">
            <v>CER-A1717 / VGRF-75|</v>
          </cell>
          <cell r="J9677" t="str">
            <v>A</v>
          </cell>
          <cell r="N9677" t="str">
            <v>A</v>
          </cell>
        </row>
        <row r="9678">
          <cell r="B9678" t="str">
            <v>CER-A1718 / VGRF-84|</v>
          </cell>
          <cell r="J9678" t="str">
            <v>A</v>
          </cell>
          <cell r="N9678" t="str">
            <v>A</v>
          </cell>
        </row>
        <row r="9679">
          <cell r="B9679" t="str">
            <v>CER-A1719 / VGRF-85|</v>
          </cell>
          <cell r="J9679" t="str">
            <v>A</v>
          </cell>
          <cell r="N9679" t="str">
            <v>A</v>
          </cell>
        </row>
        <row r="9680">
          <cell r="B9680" t="str">
            <v>CER-A1720 / VGRF-94|</v>
          </cell>
          <cell r="J9680" t="str">
            <v>A</v>
          </cell>
          <cell r="N9680" t="str">
            <v>A</v>
          </cell>
        </row>
        <row r="9681">
          <cell r="B9681" t="str">
            <v>CER-A1721 / VGRG-14|</v>
          </cell>
          <cell r="J9681" t="str">
            <v>A</v>
          </cell>
          <cell r="N9681" t="str">
            <v>A</v>
          </cell>
        </row>
        <row r="9682">
          <cell r="B9682" t="str">
            <v>CER-A1722 / VGRG-24|</v>
          </cell>
          <cell r="J9682" t="str">
            <v>A</v>
          </cell>
          <cell r="N9682" t="str">
            <v>A</v>
          </cell>
        </row>
        <row r="9683">
          <cell r="B9683" t="str">
            <v>CER-A1723 / VGRG-34|</v>
          </cell>
          <cell r="J9683" t="str">
            <v>A</v>
          </cell>
          <cell r="N9683" t="str">
            <v>A</v>
          </cell>
        </row>
        <row r="9684">
          <cell r="B9684" t="str">
            <v>CER-A1724 / VGRG-44|</v>
          </cell>
          <cell r="J9684" t="str">
            <v>A</v>
          </cell>
          <cell r="N9684" t="str">
            <v>A</v>
          </cell>
        </row>
        <row r="9685">
          <cell r="B9685" t="str">
            <v>CER-A1725 / VGRG-45|</v>
          </cell>
          <cell r="J9685" t="str">
            <v>A</v>
          </cell>
          <cell r="N9685" t="str">
            <v>A</v>
          </cell>
        </row>
        <row r="9686">
          <cell r="B9686" t="str">
            <v>CER-A1726 / VGRG-54|</v>
          </cell>
          <cell r="J9686" t="str">
            <v>A</v>
          </cell>
          <cell r="N9686" t="str">
            <v>A</v>
          </cell>
        </row>
        <row r="9687">
          <cell r="B9687" t="str">
            <v>RC-B1727 / VJKD-70|</v>
          </cell>
          <cell r="J9687" t="str">
            <v>B</v>
          </cell>
          <cell r="N9687" t="str">
            <v>B</v>
          </cell>
        </row>
        <row r="9688">
          <cell r="B9688" t="str">
            <v>RC-B1728 / VJKD-85|</v>
          </cell>
          <cell r="J9688" t="str">
            <v>B</v>
          </cell>
          <cell r="N9688" t="str">
            <v>B</v>
          </cell>
        </row>
        <row r="9689">
          <cell r="B9689" t="str">
            <v>RC-B1729 / VJKD-94|</v>
          </cell>
          <cell r="J9689" t="str">
            <v>B</v>
          </cell>
          <cell r="N9689" t="str">
            <v>B</v>
          </cell>
        </row>
        <row r="9690">
          <cell r="B9690" t="str">
            <v>RC-B1730 / VJKF-29|</v>
          </cell>
          <cell r="J9690" t="str">
            <v>B</v>
          </cell>
          <cell r="N9690" t="str">
            <v>B</v>
          </cell>
        </row>
        <row r="9691">
          <cell r="B9691" t="str">
            <v>LB-B1731 / VJKF-44|</v>
          </cell>
          <cell r="J9691" t="str">
            <v>B</v>
          </cell>
          <cell r="N9691" t="str">
            <v>B</v>
          </cell>
        </row>
        <row r="9692">
          <cell r="B9692" t="str">
            <v>RC-B1732 / VJKF-46|</v>
          </cell>
          <cell r="J9692" t="str">
            <v>B</v>
          </cell>
          <cell r="N9692" t="str">
            <v>B</v>
          </cell>
        </row>
        <row r="9693">
          <cell r="B9693" t="str">
            <v>RC-B1733 / VJKF-55|</v>
          </cell>
          <cell r="J9693" t="str">
            <v>B</v>
          </cell>
          <cell r="N9693" t="str">
            <v>B</v>
          </cell>
        </row>
        <row r="9694">
          <cell r="B9694" t="str">
            <v>RC-B1734 / VJKF-61|</v>
          </cell>
          <cell r="J9694" t="str">
            <v>B</v>
          </cell>
          <cell r="N9694" t="str">
            <v>B</v>
          </cell>
        </row>
        <row r="9695">
          <cell r="B9695" t="str">
            <v>RC-B1735 / VJKF-66|</v>
          </cell>
          <cell r="J9695" t="str">
            <v>B</v>
          </cell>
          <cell r="N9695" t="str">
            <v>B</v>
          </cell>
        </row>
        <row r="9696">
          <cell r="B9696" t="str">
            <v>RC-B1736 / VJKG-16|</v>
          </cell>
          <cell r="J9696" t="str">
            <v>B</v>
          </cell>
          <cell r="N9696" t="str">
            <v>B</v>
          </cell>
        </row>
        <row r="9697">
          <cell r="B9697" t="str">
            <v>RC-B1737 / VJKG-25|</v>
          </cell>
          <cell r="J9697" t="str">
            <v>B</v>
          </cell>
          <cell r="N9697" t="str">
            <v>B</v>
          </cell>
        </row>
        <row r="9698">
          <cell r="B9698" t="str">
            <v>RC-B1738 / VJKG-36|</v>
          </cell>
          <cell r="J9698" t="str">
            <v>B</v>
          </cell>
          <cell r="N9698" t="str">
            <v>B</v>
          </cell>
        </row>
        <row r="9699">
          <cell r="B9699" t="str">
            <v>DC-B1739 / VJKG-37|</v>
          </cell>
          <cell r="J9699" t="str">
            <v>B</v>
          </cell>
          <cell r="N9699" t="str">
            <v>B</v>
          </cell>
        </row>
        <row r="9700">
          <cell r="B9700" t="str">
            <v>DC-B1740 / VJKG-66|</v>
          </cell>
          <cell r="J9700" t="str">
            <v>B</v>
          </cell>
          <cell r="N9700" t="str">
            <v>B</v>
          </cell>
        </row>
        <row r="9701">
          <cell r="B9701" t="str">
            <v>DC-B1741 / VJKG-75|</v>
          </cell>
          <cell r="J9701" t="str">
            <v>B</v>
          </cell>
          <cell r="N9701" t="str">
            <v>B</v>
          </cell>
        </row>
        <row r="9702">
          <cell r="B9702" t="str">
            <v>DC-B1742 / VJKG-85|</v>
          </cell>
          <cell r="J9702" t="str">
            <v>B</v>
          </cell>
          <cell r="N9702" t="str">
            <v>B</v>
          </cell>
        </row>
        <row r="9703">
          <cell r="B9703" t="str">
            <v>DC-B1743 / VJKT-45|</v>
          </cell>
          <cell r="J9703" t="str">
            <v>B</v>
          </cell>
          <cell r="N9703" t="str">
            <v>B</v>
          </cell>
        </row>
        <row r="9704">
          <cell r="B9704" t="str">
            <v>DC-B1744 / VJKT-55|</v>
          </cell>
          <cell r="J9704" t="str">
            <v>B</v>
          </cell>
          <cell r="N9704" t="str">
            <v>B</v>
          </cell>
        </row>
        <row r="9705">
          <cell r="B9705" t="str">
            <v>DC-B1745 / VJKT-63|</v>
          </cell>
          <cell r="J9705" t="str">
            <v>B</v>
          </cell>
          <cell r="N9705" t="str">
            <v>B</v>
          </cell>
        </row>
        <row r="9706">
          <cell r="B9706" t="str">
            <v>RC-B1746 / VJKT-83|</v>
          </cell>
          <cell r="J9706" t="str">
            <v>B</v>
          </cell>
          <cell r="N9706" t="str">
            <v>B</v>
          </cell>
        </row>
        <row r="9707">
          <cell r="B9707" t="str">
            <v>LB-B1747 / VJKT-92|</v>
          </cell>
          <cell r="J9707" t="str">
            <v>B</v>
          </cell>
          <cell r="N9707" t="str">
            <v>B</v>
          </cell>
        </row>
        <row r="9708">
          <cell r="B9708" t="str">
            <v>LB-B1748 / VJKV-14|</v>
          </cell>
          <cell r="J9708" t="str">
            <v>B</v>
          </cell>
          <cell r="N9708" t="str">
            <v>B</v>
          </cell>
        </row>
        <row r="9709">
          <cell r="B9709" t="str">
            <v>LB-B1749 / VJKV-58|</v>
          </cell>
          <cell r="J9709" t="str">
            <v>B</v>
          </cell>
          <cell r="N9709" t="str">
            <v>B</v>
          </cell>
        </row>
        <row r="9710">
          <cell r="B9710" t="str">
            <v>LB-B1750 / VJKV-78|</v>
          </cell>
          <cell r="J9710" t="str">
            <v>B</v>
          </cell>
          <cell r="N9710" t="str">
            <v>B</v>
          </cell>
        </row>
        <row r="9711">
          <cell r="B9711" t="str">
            <v>LB-B1751 / VJKV-88|</v>
          </cell>
          <cell r="J9711" t="str">
            <v>B</v>
          </cell>
          <cell r="N9711" t="str">
            <v>B</v>
          </cell>
        </row>
        <row r="9712">
          <cell r="B9712" t="str">
            <v>LB-B1752 / VJKW-68|</v>
          </cell>
          <cell r="J9712" t="str">
            <v>B</v>
          </cell>
          <cell r="N9712" t="str">
            <v>B</v>
          </cell>
        </row>
        <row r="9713">
          <cell r="B9713" t="str">
            <v>LB-B1753 / VJKX-18|</v>
          </cell>
          <cell r="J9713" t="str">
            <v>B</v>
          </cell>
          <cell r="N9713" t="str">
            <v>B</v>
          </cell>
        </row>
        <row r="9714">
          <cell r="B9714" t="str">
            <v>LB-B1754 / VJKX-38|</v>
          </cell>
          <cell r="J9714" t="str">
            <v>B</v>
          </cell>
          <cell r="N9714" t="str">
            <v>B</v>
          </cell>
        </row>
        <row r="9715">
          <cell r="B9715" t="str">
            <v>LB-B1755 / VJKX-78|</v>
          </cell>
          <cell r="J9715" t="str">
            <v>B</v>
          </cell>
          <cell r="N9715" t="str">
            <v>B</v>
          </cell>
        </row>
        <row r="9716">
          <cell r="B9716" t="str">
            <v>LB-B1756 / VJKY-18|</v>
          </cell>
          <cell r="J9716" t="str">
            <v>B</v>
          </cell>
          <cell r="N9716" t="str">
            <v>B</v>
          </cell>
        </row>
        <row r="9717">
          <cell r="B9717" t="str">
            <v>LB-B1757 / VJKY-58|</v>
          </cell>
          <cell r="J9717" t="str">
            <v>B</v>
          </cell>
          <cell r="N9717" t="str">
            <v>B</v>
          </cell>
        </row>
        <row r="9718">
          <cell r="B9718" t="str">
            <v>LB-B1758 / VJKZ-38|</v>
          </cell>
          <cell r="J9718" t="str">
            <v>B</v>
          </cell>
          <cell r="N9718" t="str">
            <v>B</v>
          </cell>
        </row>
        <row r="9719">
          <cell r="B9719" t="str">
            <v>LB-B1759 / VJKZ-78|</v>
          </cell>
          <cell r="J9719" t="str">
            <v>B</v>
          </cell>
          <cell r="N9719" t="str">
            <v>B</v>
          </cell>
        </row>
        <row r="9720">
          <cell r="B9720" t="str">
            <v>DC-B1760 / VJLH-14|</v>
          </cell>
          <cell r="J9720" t="str">
            <v>B</v>
          </cell>
          <cell r="N9720" t="str">
            <v>B</v>
          </cell>
        </row>
        <row r="9721">
          <cell r="B9721" t="str">
            <v>DC-B1761 / VJLH-24|</v>
          </cell>
          <cell r="J9721" t="str">
            <v>B</v>
          </cell>
          <cell r="N9721" t="str">
            <v>B</v>
          </cell>
        </row>
        <row r="9722">
          <cell r="B9722" t="str">
            <v>DC-B1762 / VJLH-33|</v>
          </cell>
          <cell r="J9722" t="str">
            <v>B</v>
          </cell>
          <cell r="N9722" t="str">
            <v>B</v>
          </cell>
        </row>
        <row r="9723">
          <cell r="B9723" t="str">
            <v>LB-B1763 / VJWZ-74|</v>
          </cell>
          <cell r="J9723" t="str">
            <v>B</v>
          </cell>
          <cell r="N9723" t="str">
            <v>B</v>
          </cell>
        </row>
        <row r="9724">
          <cell r="B9724" t="str">
            <v>LB-B1764 / VJWZ-95|</v>
          </cell>
          <cell r="J9724" t="str">
            <v>B</v>
          </cell>
          <cell r="N9724" t="str">
            <v>B</v>
          </cell>
        </row>
        <row r="9725">
          <cell r="B9725" t="str">
            <v>LB-B1765 / VJXB-27|</v>
          </cell>
          <cell r="J9725" t="str">
            <v>B</v>
          </cell>
          <cell r="N9725" t="str">
            <v>B</v>
          </cell>
        </row>
        <row r="9726">
          <cell r="B9726" t="str">
            <v>LB-B1766 / VJXB-56|</v>
          </cell>
          <cell r="J9726" t="str">
            <v>B</v>
          </cell>
          <cell r="N9726" t="str">
            <v>B</v>
          </cell>
        </row>
        <row r="9727">
          <cell r="B9727" t="str">
            <v>LB-B1767 / VJXB-87|</v>
          </cell>
          <cell r="J9727" t="str">
            <v>B</v>
          </cell>
          <cell r="N9727" t="str">
            <v>B</v>
          </cell>
        </row>
        <row r="9728">
          <cell r="B9728" t="str">
            <v>LB-B1768 / VJXC-26|</v>
          </cell>
          <cell r="J9728" t="str">
            <v>B</v>
          </cell>
          <cell r="N9728" t="str">
            <v>B</v>
          </cell>
        </row>
        <row r="9729">
          <cell r="B9729" t="str">
            <v>LB-B1769 / VJXC-42|</v>
          </cell>
          <cell r="J9729" t="str">
            <v>B</v>
          </cell>
          <cell r="N9729" t="str">
            <v>B</v>
          </cell>
        </row>
        <row r="9730">
          <cell r="B9730" t="str">
            <v>LB-B1770 / VJXC-53|</v>
          </cell>
          <cell r="J9730" t="str">
            <v>B</v>
          </cell>
          <cell r="N9730" t="str">
            <v>B</v>
          </cell>
        </row>
        <row r="9731">
          <cell r="B9731" t="str">
            <v>LB-B1771 / VJXC-75|</v>
          </cell>
          <cell r="J9731" t="str">
            <v>B</v>
          </cell>
          <cell r="N9731" t="str">
            <v>B</v>
          </cell>
        </row>
        <row r="9732">
          <cell r="B9732" t="str">
            <v>LB-B1772 / VJXC-91|</v>
          </cell>
          <cell r="J9732" t="str">
            <v>B</v>
          </cell>
          <cell r="N9732" t="str">
            <v>B</v>
          </cell>
        </row>
        <row r="9733">
          <cell r="B9733" t="str">
            <v>DC-B1773 / VJXD-48|</v>
          </cell>
          <cell r="J9733" t="str">
            <v>B</v>
          </cell>
          <cell r="N9733" t="str">
            <v>B</v>
          </cell>
        </row>
        <row r="9734">
          <cell r="B9734" t="str">
            <v>DC-B1774 / VJXD-86|</v>
          </cell>
          <cell r="J9734" t="str">
            <v>B</v>
          </cell>
          <cell r="N9734" t="str">
            <v>B</v>
          </cell>
        </row>
        <row r="9735">
          <cell r="B9735" t="str">
            <v>DC-B1775 / VJXH-88|</v>
          </cell>
          <cell r="J9735" t="str">
            <v>B</v>
          </cell>
          <cell r="N9735" t="str">
            <v>B</v>
          </cell>
        </row>
        <row r="9736">
          <cell r="B9736" t="str">
            <v>DC-B1776 / VJXJ-27|</v>
          </cell>
          <cell r="J9736" t="str">
            <v>B</v>
          </cell>
          <cell r="N9736" t="str">
            <v>B</v>
          </cell>
        </row>
        <row r="9737">
          <cell r="B9737" t="str">
            <v>DC-B1777 / VJXJ-39|</v>
          </cell>
          <cell r="J9737" t="str">
            <v>B</v>
          </cell>
          <cell r="N9737" t="str">
            <v>B</v>
          </cell>
        </row>
        <row r="9738">
          <cell r="B9738" t="str">
            <v>DC-B1778 / VJXJ-44|</v>
          </cell>
          <cell r="J9738" t="str">
            <v>B</v>
          </cell>
          <cell r="N9738" t="str">
            <v>B</v>
          </cell>
        </row>
        <row r="9739">
          <cell r="B9739" t="str">
            <v>DC-B1779 / VJXJ-46|</v>
          </cell>
          <cell r="J9739" t="str">
            <v>B</v>
          </cell>
          <cell r="N9739" t="str">
            <v>B</v>
          </cell>
        </row>
        <row r="9740">
          <cell r="B9740" t="str">
            <v>DC-B1780 / VJXJ-94|</v>
          </cell>
          <cell r="J9740" t="str">
            <v>B</v>
          </cell>
          <cell r="N9740" t="str">
            <v>B</v>
          </cell>
        </row>
        <row r="9741">
          <cell r="B9741" t="str">
            <v>DC-B1781 / VJXK-14|</v>
          </cell>
          <cell r="J9741" t="str">
            <v>B</v>
          </cell>
          <cell r="N9741" t="str">
            <v>B</v>
          </cell>
        </row>
        <row r="9742">
          <cell r="B9742" t="str">
            <v>DC-B1782 / VJXK-15|</v>
          </cell>
          <cell r="J9742" t="str">
            <v>B</v>
          </cell>
          <cell r="N9742" t="str">
            <v>B</v>
          </cell>
        </row>
        <row r="9743">
          <cell r="B9743" t="str">
            <v>LB-B1783 / VJYH-63|</v>
          </cell>
          <cell r="J9743" t="str">
            <v>B</v>
          </cell>
          <cell r="N9743" t="str">
            <v>B</v>
          </cell>
        </row>
        <row r="9744">
          <cell r="B9744" t="str">
            <v>LB-B1784 / VJYJ-15|</v>
          </cell>
          <cell r="J9744" t="str">
            <v>B</v>
          </cell>
          <cell r="N9744" t="str">
            <v>B</v>
          </cell>
        </row>
        <row r="9745">
          <cell r="B9745" t="str">
            <v>DC-B1785 / VJYJ-22|</v>
          </cell>
          <cell r="J9745" t="str">
            <v>B</v>
          </cell>
          <cell r="N9745" t="str">
            <v>B</v>
          </cell>
        </row>
        <row r="9746">
          <cell r="B9746" t="str">
            <v>LB-B1786 / VJYJ-35|</v>
          </cell>
          <cell r="J9746" t="str">
            <v>B</v>
          </cell>
          <cell r="N9746" t="str">
            <v>B</v>
          </cell>
        </row>
        <row r="9747">
          <cell r="B9747" t="str">
            <v>DC-B1787 / VJYJ-37|</v>
          </cell>
          <cell r="J9747" t="str">
            <v>B</v>
          </cell>
          <cell r="N9747" t="str">
            <v>B</v>
          </cell>
        </row>
        <row r="9748">
          <cell r="B9748" t="str">
            <v>DC-B1788 / VJYJ-44|</v>
          </cell>
          <cell r="J9748" t="str">
            <v>B</v>
          </cell>
          <cell r="N9748" t="str">
            <v>B</v>
          </cell>
        </row>
        <row r="9749">
          <cell r="B9749" t="str">
            <v>DC-B1789 / VJYJ-46|</v>
          </cell>
          <cell r="J9749" t="str">
            <v>B</v>
          </cell>
          <cell r="N9749" t="str">
            <v>B</v>
          </cell>
        </row>
        <row r="9750">
          <cell r="B9750" t="str">
            <v>DC-B1790 / VJYJ-68|</v>
          </cell>
          <cell r="J9750" t="str">
            <v>B</v>
          </cell>
          <cell r="N9750" t="str">
            <v>B</v>
          </cell>
        </row>
        <row r="9751">
          <cell r="B9751" t="str">
            <v>DC-B1791 / VJYJ-75|</v>
          </cell>
          <cell r="J9751" t="str">
            <v>B</v>
          </cell>
          <cell r="N9751" t="str">
            <v>B</v>
          </cell>
        </row>
        <row r="9752">
          <cell r="B9752" t="str">
            <v>DC-B1792 / VJYJ-84|</v>
          </cell>
          <cell r="J9752" t="str">
            <v>B</v>
          </cell>
          <cell r="N9752" t="str">
            <v>B</v>
          </cell>
        </row>
        <row r="9753">
          <cell r="B9753" t="str">
            <v>DC-B1793 / VJYK-73|</v>
          </cell>
          <cell r="J9753" t="str">
            <v>B</v>
          </cell>
          <cell r="N9753" t="str">
            <v>B</v>
          </cell>
        </row>
        <row r="9754">
          <cell r="B9754" t="str">
            <v>DC-B1794 / VJYK-82|</v>
          </cell>
          <cell r="J9754" t="str">
            <v>B</v>
          </cell>
          <cell r="N9754" t="str">
            <v>B</v>
          </cell>
        </row>
        <row r="9755">
          <cell r="B9755" t="str">
            <v>DC-B1795 / VJYK-83|</v>
          </cell>
          <cell r="J9755" t="str">
            <v>B</v>
          </cell>
          <cell r="N9755" t="str">
            <v>B</v>
          </cell>
        </row>
        <row r="9756">
          <cell r="B9756" t="str">
            <v>DC-B1796 / VJYK-86|</v>
          </cell>
          <cell r="J9756" t="str">
            <v>B</v>
          </cell>
          <cell r="N9756" t="str">
            <v>B</v>
          </cell>
        </row>
        <row r="9757">
          <cell r="B9757" t="str">
            <v>DC-B1797 / VJYK-89|</v>
          </cell>
          <cell r="J9757" t="str">
            <v>B</v>
          </cell>
          <cell r="N9757" t="str">
            <v>B</v>
          </cell>
        </row>
        <row r="9758">
          <cell r="B9758" t="str">
            <v>DC-B1798 / VJYK-91|</v>
          </cell>
          <cell r="J9758" t="str">
            <v>B</v>
          </cell>
          <cell r="N9758" t="str">
            <v>B</v>
          </cell>
        </row>
        <row r="9759">
          <cell r="B9759" t="str">
            <v>DC-B1799 / VJYK-95|</v>
          </cell>
          <cell r="J9759" t="str">
            <v>B</v>
          </cell>
          <cell r="N9759" t="str">
            <v>B</v>
          </cell>
        </row>
        <row r="9760">
          <cell r="B9760" t="str">
            <v>DC-B1800 / VJYK-97|</v>
          </cell>
          <cell r="J9760" t="str">
            <v>B</v>
          </cell>
          <cell r="N9760" t="str">
            <v>B</v>
          </cell>
        </row>
        <row r="9761">
          <cell r="B9761" t="str">
            <v>DC-B1801 / VJYK-98|</v>
          </cell>
          <cell r="J9761" t="str">
            <v>B</v>
          </cell>
          <cell r="N9761" t="str">
            <v>B</v>
          </cell>
        </row>
        <row r="9762">
          <cell r="B9762" t="str">
            <v>DC-B1802 / VJYL-12|</v>
          </cell>
          <cell r="J9762" t="str">
            <v>B</v>
          </cell>
          <cell r="N9762" t="str">
            <v>B</v>
          </cell>
        </row>
        <row r="9763">
          <cell r="B9763" t="str">
            <v>DC-B1803 / VJYL-17|</v>
          </cell>
          <cell r="J9763" t="str">
            <v>B</v>
          </cell>
          <cell r="N9763" t="str">
            <v>B</v>
          </cell>
        </row>
        <row r="9764">
          <cell r="B9764" t="str">
            <v>LB-B1804 / VJZB-37|</v>
          </cell>
          <cell r="J9764" t="str">
            <v>B</v>
          </cell>
          <cell r="N9764" t="str">
            <v>B</v>
          </cell>
        </row>
        <row r="9765">
          <cell r="B9765" t="str">
            <v>LB-B1805 / VJZB-47|</v>
          </cell>
          <cell r="J9765" t="str">
            <v>B</v>
          </cell>
          <cell r="N9765" t="str">
            <v>B</v>
          </cell>
        </row>
        <row r="9766">
          <cell r="B9766" t="str">
            <v>LB-B1806 / VJZB-57|</v>
          </cell>
          <cell r="J9766" t="str">
            <v>B</v>
          </cell>
          <cell r="N9766" t="str">
            <v>B</v>
          </cell>
        </row>
        <row r="9767">
          <cell r="B9767" t="str">
            <v>LB-B1807 / VJZB-67|</v>
          </cell>
          <cell r="J9767" t="str">
            <v>B</v>
          </cell>
          <cell r="N9767" t="str">
            <v>B</v>
          </cell>
        </row>
        <row r="9768">
          <cell r="B9768" t="str">
            <v>LB-B1808 / VJZB-77|</v>
          </cell>
          <cell r="J9768" t="str">
            <v>B</v>
          </cell>
          <cell r="N9768" t="str">
            <v>B</v>
          </cell>
        </row>
        <row r="9769">
          <cell r="B9769" t="str">
            <v>DC-B1809 / VJZB-87|</v>
          </cell>
          <cell r="J9769" t="str">
            <v>B</v>
          </cell>
          <cell r="N9769" t="str">
            <v>B</v>
          </cell>
        </row>
        <row r="9770">
          <cell r="B9770" t="str">
            <v>DC-B1810 / VJZB-97|</v>
          </cell>
          <cell r="J9770" t="str">
            <v>B</v>
          </cell>
          <cell r="N9770" t="str">
            <v>B</v>
          </cell>
        </row>
        <row r="9771">
          <cell r="B9771" t="str">
            <v>DC-B1811 / VJZC-57|</v>
          </cell>
          <cell r="J9771" t="str">
            <v>B</v>
          </cell>
          <cell r="N9771" t="str">
            <v>B</v>
          </cell>
        </row>
        <row r="9772">
          <cell r="B9772" t="str">
            <v>DC-B1812 / VJZH-87|</v>
          </cell>
          <cell r="J9772" t="str">
            <v>B</v>
          </cell>
          <cell r="N9772" t="str">
            <v>B</v>
          </cell>
        </row>
        <row r="9773">
          <cell r="B9773" t="str">
            <v>DC-B1813 / VJZH-97|</v>
          </cell>
          <cell r="J9773" t="str">
            <v>B</v>
          </cell>
          <cell r="N9773" t="str">
            <v>B</v>
          </cell>
        </row>
        <row r="9774">
          <cell r="B9774" t="str">
            <v>DC-B1814 / VJZJ-56|</v>
          </cell>
          <cell r="J9774" t="str">
            <v>B</v>
          </cell>
          <cell r="N9774" t="str">
            <v>B</v>
          </cell>
        </row>
        <row r="9775">
          <cell r="B9775" t="str">
            <v>DC-B1815 / VJZJ-66|</v>
          </cell>
          <cell r="J9775" t="str">
            <v>B</v>
          </cell>
          <cell r="N9775" t="str">
            <v>B</v>
          </cell>
        </row>
        <row r="9776">
          <cell r="B9776" t="str">
            <v>DC-B1816 / VKFW-93|</v>
          </cell>
          <cell r="J9776" t="str">
            <v>B</v>
          </cell>
          <cell r="N9776" t="str">
            <v>B</v>
          </cell>
        </row>
        <row r="9777">
          <cell r="B9777" t="str">
            <v>DC-B1817 / VKFX-13|</v>
          </cell>
          <cell r="J9777" t="str">
            <v>B</v>
          </cell>
          <cell r="N9777" t="str">
            <v>B</v>
          </cell>
        </row>
        <row r="9778">
          <cell r="B9778" t="str">
            <v>DC-B1818 / VKFX-33|</v>
          </cell>
          <cell r="J9778" t="str">
            <v>B</v>
          </cell>
          <cell r="N9778" t="str">
            <v>B</v>
          </cell>
        </row>
        <row r="9779">
          <cell r="B9779" t="str">
            <v>DC-B1819 / VKFX-63|</v>
          </cell>
          <cell r="J9779" t="str">
            <v>B</v>
          </cell>
          <cell r="N9779" t="str">
            <v>B</v>
          </cell>
        </row>
        <row r="9780">
          <cell r="B9780" t="str">
            <v>DC-B1820 / VKFX-73|</v>
          </cell>
          <cell r="J9780" t="str">
            <v>B</v>
          </cell>
          <cell r="N9780" t="str">
            <v>B</v>
          </cell>
        </row>
        <row r="9781">
          <cell r="B9781" t="str">
            <v>DC-B1821 / VKFX-93|</v>
          </cell>
          <cell r="J9781" t="str">
            <v>B</v>
          </cell>
          <cell r="N9781" t="str">
            <v>B</v>
          </cell>
        </row>
        <row r="9782">
          <cell r="B9782" t="str">
            <v>DC-B1822 / VKFZ-33|</v>
          </cell>
          <cell r="J9782" t="str">
            <v>B</v>
          </cell>
          <cell r="N9782" t="str">
            <v>B</v>
          </cell>
        </row>
        <row r="9783">
          <cell r="B9783" t="str">
            <v>DC-B1823 / VKFZ-53|</v>
          </cell>
          <cell r="J9783" t="str">
            <v>B</v>
          </cell>
          <cell r="N9783" t="str">
            <v>B</v>
          </cell>
        </row>
        <row r="9784">
          <cell r="B9784" t="str">
            <v>DC-B1824 / VKFZ-93|</v>
          </cell>
          <cell r="J9784" t="str">
            <v>B</v>
          </cell>
          <cell r="N9784" t="str">
            <v>B</v>
          </cell>
        </row>
        <row r="9785">
          <cell r="B9785" t="str">
            <v>DC-B1825 / VKGB-43|</v>
          </cell>
          <cell r="J9785" t="str">
            <v>B</v>
          </cell>
          <cell r="N9785" t="str">
            <v>B</v>
          </cell>
        </row>
        <row r="9786">
          <cell r="B9786" t="str">
            <v>DC-B1826 / VKGB-83|</v>
          </cell>
          <cell r="J9786" t="str">
            <v>B</v>
          </cell>
          <cell r="N9786" t="str">
            <v>B</v>
          </cell>
        </row>
        <row r="9787">
          <cell r="B9787" t="str">
            <v>DC-B1827 / VKGC-23|</v>
          </cell>
          <cell r="J9787" t="str">
            <v>B</v>
          </cell>
          <cell r="N9787" t="str">
            <v>B</v>
          </cell>
        </row>
        <row r="9788">
          <cell r="B9788" t="str">
            <v>DC-B1828 / VKGC-63|</v>
          </cell>
          <cell r="J9788" t="str">
            <v>B</v>
          </cell>
          <cell r="N9788" t="str">
            <v>B</v>
          </cell>
        </row>
        <row r="9789">
          <cell r="B9789" t="str">
            <v>DC-B1829 / VKGC-73|</v>
          </cell>
          <cell r="J9789" t="str">
            <v>B</v>
          </cell>
          <cell r="N9789" t="str">
            <v>B</v>
          </cell>
        </row>
        <row r="9790">
          <cell r="B9790" t="str">
            <v>DC-B1830 / VKGD-33|</v>
          </cell>
          <cell r="J9790" t="str">
            <v>B</v>
          </cell>
          <cell r="N9790" t="str">
            <v>B</v>
          </cell>
        </row>
        <row r="9791">
          <cell r="B9791" t="str">
            <v>DC-B1831 / VKGD-43|</v>
          </cell>
          <cell r="J9791" t="str">
            <v>B</v>
          </cell>
          <cell r="N9791" t="str">
            <v>B</v>
          </cell>
        </row>
        <row r="9792">
          <cell r="B9792" t="str">
            <v>DC-B1832 / VKGF-93|</v>
          </cell>
          <cell r="J9792" t="str">
            <v>B</v>
          </cell>
          <cell r="N9792" t="str">
            <v>B</v>
          </cell>
        </row>
        <row r="9793">
          <cell r="B9793" t="str">
            <v>DC-B1833 / VKGG-13|</v>
          </cell>
          <cell r="J9793" t="str">
            <v>B</v>
          </cell>
          <cell r="N9793" t="str">
            <v>B</v>
          </cell>
        </row>
        <row r="9794">
          <cell r="B9794" t="str">
            <v>DC-B1834 / VKGG-23|</v>
          </cell>
          <cell r="J9794" t="str">
            <v>B</v>
          </cell>
          <cell r="N9794" t="str">
            <v>B</v>
          </cell>
        </row>
        <row r="9795">
          <cell r="B9795" t="str">
            <v>DC-B1835 / VKGG-33|</v>
          </cell>
          <cell r="J9795" t="str">
            <v>B</v>
          </cell>
          <cell r="N9795" t="str">
            <v>B</v>
          </cell>
        </row>
        <row r="9796">
          <cell r="B9796" t="str">
            <v>DC-B1836 / VKGG-53|</v>
          </cell>
          <cell r="J9796" t="str">
            <v>B</v>
          </cell>
          <cell r="N9796" t="str">
            <v>B</v>
          </cell>
        </row>
        <row r="9797">
          <cell r="B9797" t="str">
            <v>DC-B1837 / VKGG-73|</v>
          </cell>
          <cell r="J9797" t="str">
            <v>B</v>
          </cell>
          <cell r="N9797" t="str">
            <v>B</v>
          </cell>
        </row>
        <row r="9798">
          <cell r="B9798" t="str">
            <v>DC-B1838 / VKGG-83|</v>
          </cell>
          <cell r="J9798" t="str">
            <v>B</v>
          </cell>
          <cell r="N9798" t="str">
            <v>B</v>
          </cell>
        </row>
        <row r="9799">
          <cell r="B9799" t="str">
            <v>DC-B1839 / VKGG-93|</v>
          </cell>
          <cell r="J9799" t="str">
            <v>B</v>
          </cell>
          <cell r="N9799" t="str">
            <v>B</v>
          </cell>
        </row>
        <row r="9800">
          <cell r="B9800" t="str">
            <v>DC-B1840 / VKGH-13|</v>
          </cell>
          <cell r="J9800" t="str">
            <v>B</v>
          </cell>
          <cell r="N9800" t="str">
            <v>B</v>
          </cell>
        </row>
        <row r="9801">
          <cell r="B9801" t="str">
            <v>DC-B1841 / VKGH-23|</v>
          </cell>
          <cell r="J9801" t="str">
            <v>B</v>
          </cell>
          <cell r="N9801" t="str">
            <v>B</v>
          </cell>
        </row>
        <row r="9802">
          <cell r="B9802" t="str">
            <v>DC-B1842 / VKGH-33|</v>
          </cell>
          <cell r="J9802" t="str">
            <v>B</v>
          </cell>
          <cell r="N9802" t="str">
            <v>B</v>
          </cell>
        </row>
        <row r="9803">
          <cell r="B9803" t="str">
            <v>DC-B1843 / VKGL-84|</v>
          </cell>
          <cell r="J9803" t="str">
            <v>B</v>
          </cell>
          <cell r="N9803" t="str">
            <v>B</v>
          </cell>
        </row>
        <row r="9804">
          <cell r="B9804" t="str">
            <v>DC-B1844 / VKGP-35|</v>
          </cell>
          <cell r="J9804" t="str">
            <v>B</v>
          </cell>
          <cell r="N9804" t="str">
            <v>B</v>
          </cell>
        </row>
        <row r="9805">
          <cell r="B9805" t="str">
            <v>DC-B1845 / VKGP-45|</v>
          </cell>
          <cell r="J9805" t="str">
            <v>B</v>
          </cell>
          <cell r="N9805" t="str">
            <v>B</v>
          </cell>
        </row>
        <row r="9806">
          <cell r="B9806" t="str">
            <v>DC-B1846 / VKGP-55|</v>
          </cell>
          <cell r="J9806" t="str">
            <v>B</v>
          </cell>
          <cell r="N9806" t="str">
            <v>B</v>
          </cell>
        </row>
        <row r="9807">
          <cell r="B9807" t="str">
            <v>DC-B1847 / VKGP-75|</v>
          </cell>
          <cell r="J9807" t="str">
            <v>B</v>
          </cell>
          <cell r="N9807" t="str">
            <v>B</v>
          </cell>
        </row>
        <row r="9808">
          <cell r="B9808" t="str">
            <v>DC-B1848 / VLBP-23|</v>
          </cell>
          <cell r="J9808" t="str">
            <v>B</v>
          </cell>
          <cell r="N9808" t="str">
            <v>B</v>
          </cell>
        </row>
        <row r="9809">
          <cell r="B9809" t="str">
            <v>DC-B1849 / VLBP-73|</v>
          </cell>
          <cell r="J9809" t="str">
            <v>B</v>
          </cell>
          <cell r="N9809" t="str">
            <v>B</v>
          </cell>
        </row>
        <row r="9810">
          <cell r="B9810" t="str">
            <v>DC-B1850 / VLBZ-78|</v>
          </cell>
          <cell r="J9810" t="str">
            <v>B</v>
          </cell>
          <cell r="N9810" t="str">
            <v>B</v>
          </cell>
        </row>
        <row r="9811">
          <cell r="B9811" t="str">
            <v>DC-B1851 / VLBZ-96|</v>
          </cell>
          <cell r="J9811" t="str">
            <v>B</v>
          </cell>
          <cell r="N9811" t="str">
            <v>B</v>
          </cell>
        </row>
        <row r="9812">
          <cell r="B9812" t="str">
            <v>DC-B1852 / VLCB-26|</v>
          </cell>
          <cell r="J9812" t="str">
            <v>B</v>
          </cell>
          <cell r="N9812" t="str">
            <v>B</v>
          </cell>
        </row>
        <row r="9813">
          <cell r="B9813" t="str">
            <v>DC-B1853 / VLCB-56|</v>
          </cell>
          <cell r="J9813" t="str">
            <v>B</v>
          </cell>
          <cell r="N9813" t="str">
            <v>B</v>
          </cell>
        </row>
        <row r="9814">
          <cell r="B9814" t="str">
            <v>DC-B1854 / VLCC-16|</v>
          </cell>
          <cell r="J9814" t="str">
            <v>B</v>
          </cell>
          <cell r="N9814" t="str">
            <v>B</v>
          </cell>
        </row>
        <row r="9815">
          <cell r="B9815" t="str">
            <v>DC-B1855 / VLCC-36|</v>
          </cell>
          <cell r="J9815" t="str">
            <v>B</v>
          </cell>
          <cell r="N9815" t="str">
            <v>B</v>
          </cell>
        </row>
        <row r="9816">
          <cell r="B9816" t="str">
            <v>DC-B1856 / VLCD-56|</v>
          </cell>
          <cell r="J9816" t="str">
            <v>B</v>
          </cell>
          <cell r="N9816" t="str">
            <v>B</v>
          </cell>
        </row>
        <row r="9817">
          <cell r="B9817" t="str">
            <v>DC-B1857 / VLCD-65|</v>
          </cell>
          <cell r="J9817" t="str">
            <v>B</v>
          </cell>
          <cell r="N9817" t="str">
            <v>B</v>
          </cell>
        </row>
        <row r="9818">
          <cell r="B9818" t="str">
            <v>DC-B1858 / VLCF-18|</v>
          </cell>
          <cell r="J9818" t="str">
            <v>B</v>
          </cell>
          <cell r="N9818" t="str">
            <v>B</v>
          </cell>
        </row>
        <row r="9819">
          <cell r="B9819" t="str">
            <v>DC-B1859 / VLCF-76|</v>
          </cell>
          <cell r="J9819" t="str">
            <v>B</v>
          </cell>
          <cell r="N9819" t="str">
            <v>B</v>
          </cell>
        </row>
        <row r="9820">
          <cell r="B9820" t="str">
            <v>DC-B1860 / VLCG-67|</v>
          </cell>
          <cell r="J9820" t="str">
            <v>B</v>
          </cell>
          <cell r="N9820" t="str">
            <v>B</v>
          </cell>
        </row>
        <row r="9821">
          <cell r="B9821" t="str">
            <v>DC-B1861 / VLCK-37|</v>
          </cell>
          <cell r="J9821" t="str">
            <v>B</v>
          </cell>
          <cell r="N9821" t="str">
            <v>B</v>
          </cell>
        </row>
        <row r="9822">
          <cell r="B9822" t="str">
            <v>DC-B1862 / VLCK-77|</v>
          </cell>
          <cell r="J9822" t="str">
            <v>B</v>
          </cell>
          <cell r="N9822" t="str">
            <v>B</v>
          </cell>
        </row>
        <row r="9823">
          <cell r="B9823" t="str">
            <v>DC-B1863 / VLFG-56|</v>
          </cell>
          <cell r="J9823" t="str">
            <v>B</v>
          </cell>
          <cell r="N9823" t="str">
            <v>B</v>
          </cell>
        </row>
        <row r="9824">
          <cell r="B9824" t="str">
            <v>DC-B1864 / VLFG-69|</v>
          </cell>
          <cell r="J9824" t="str">
            <v>B</v>
          </cell>
          <cell r="N9824" t="str">
            <v>B</v>
          </cell>
        </row>
        <row r="9825">
          <cell r="B9825" t="str">
            <v>DC-B1865 / VLFG-78|</v>
          </cell>
          <cell r="J9825" t="str">
            <v>B</v>
          </cell>
          <cell r="N9825" t="str">
            <v>B</v>
          </cell>
        </row>
        <row r="9826">
          <cell r="B9826" t="str">
            <v>DC-B1866 / VLFG-89|</v>
          </cell>
          <cell r="J9826" t="str">
            <v>B</v>
          </cell>
          <cell r="N9826" t="str">
            <v>B</v>
          </cell>
        </row>
        <row r="9827">
          <cell r="B9827" t="str">
            <v>DC-B1867 / VLFH-16|</v>
          </cell>
          <cell r="J9827" t="str">
            <v>B</v>
          </cell>
          <cell r="N9827" t="str">
            <v>B</v>
          </cell>
        </row>
        <row r="9828">
          <cell r="B9828" t="str">
            <v>DC-B1868 / VLFH-46|</v>
          </cell>
          <cell r="J9828" t="str">
            <v>B</v>
          </cell>
          <cell r="N9828" t="str">
            <v>B</v>
          </cell>
        </row>
        <row r="9829">
          <cell r="B9829" t="str">
            <v>LA-B1869 / VLFH-48|</v>
          </cell>
          <cell r="J9829" t="str">
            <v>B</v>
          </cell>
          <cell r="N9829" t="str">
            <v>B</v>
          </cell>
        </row>
        <row r="9830">
          <cell r="B9830" t="str">
            <v>LA-B1870 / VLFH-56|</v>
          </cell>
          <cell r="J9830" t="str">
            <v>B</v>
          </cell>
          <cell r="N9830" t="str">
            <v>B</v>
          </cell>
        </row>
        <row r="9831">
          <cell r="B9831" t="str">
            <v>LA-B1871 / VLFH-63|</v>
          </cell>
          <cell r="J9831" t="str">
            <v>B</v>
          </cell>
          <cell r="N9831" t="str">
            <v>B</v>
          </cell>
        </row>
        <row r="9832">
          <cell r="B9832" t="str">
            <v>LA-B1872 / VLFJ-57|</v>
          </cell>
          <cell r="J9832" t="str">
            <v>B</v>
          </cell>
          <cell r="N9832" t="str">
            <v>B</v>
          </cell>
        </row>
        <row r="9833">
          <cell r="B9833" t="str">
            <v>LA-B1873 / VLFJ-62|</v>
          </cell>
          <cell r="J9833" t="str">
            <v>B</v>
          </cell>
          <cell r="N9833" t="str">
            <v>B</v>
          </cell>
        </row>
        <row r="9834">
          <cell r="B9834" t="str">
            <v>LA-B1874 / VLFJ-65|</v>
          </cell>
          <cell r="J9834" t="str">
            <v>B</v>
          </cell>
          <cell r="N9834" t="str">
            <v>B</v>
          </cell>
        </row>
        <row r="9835">
          <cell r="B9835" t="str">
            <v>LA-B1875 / VLFJ-82|</v>
          </cell>
          <cell r="J9835" t="str">
            <v>B</v>
          </cell>
          <cell r="N9835" t="str">
            <v>B</v>
          </cell>
        </row>
        <row r="9836">
          <cell r="B9836" t="str">
            <v>LA-B1876 / VLFJ-85|</v>
          </cell>
          <cell r="J9836" t="str">
            <v>B</v>
          </cell>
          <cell r="N9836" t="str">
            <v>B</v>
          </cell>
        </row>
        <row r="9837">
          <cell r="B9837" t="str">
            <v>LA-B1877 / VLLY-27|</v>
          </cell>
          <cell r="J9837" t="str">
            <v>B</v>
          </cell>
          <cell r="N9837" t="str">
            <v>B</v>
          </cell>
        </row>
        <row r="9838">
          <cell r="B9838" t="str">
            <v>LA-B1878 / VLPD-24|</v>
          </cell>
          <cell r="J9838" t="str">
            <v>B</v>
          </cell>
          <cell r="N9838" t="str">
            <v>B</v>
          </cell>
        </row>
        <row r="9839">
          <cell r="B9839" t="str">
            <v>LA-B1879 / VLRS-46|</v>
          </cell>
          <cell r="J9839" t="str">
            <v>B</v>
          </cell>
          <cell r="N9839" t="str">
            <v>B</v>
          </cell>
        </row>
        <row r="9840">
          <cell r="B9840" t="str">
            <v>LA-A1880 / VLSD-60|</v>
          </cell>
          <cell r="J9840" t="str">
            <v>A</v>
          </cell>
          <cell r="N9840" t="str">
            <v>A</v>
          </cell>
        </row>
        <row r="9841">
          <cell r="B9841" t="str">
            <v>LA-A1881 / VLSD-66|</v>
          </cell>
          <cell r="J9841" t="str">
            <v>A</v>
          </cell>
          <cell r="N9841" t="str">
            <v>A</v>
          </cell>
        </row>
        <row r="9842">
          <cell r="B9842" t="str">
            <v>LA-A1882 / VLSD-67|</v>
          </cell>
          <cell r="J9842" t="str">
            <v>A</v>
          </cell>
          <cell r="N9842" t="str">
            <v>A</v>
          </cell>
        </row>
        <row r="9843">
          <cell r="B9843" t="str">
            <v>LA-A1883 / VLSD-68|</v>
          </cell>
          <cell r="J9843" t="str">
            <v>A</v>
          </cell>
          <cell r="N9843" t="str">
            <v>A</v>
          </cell>
        </row>
        <row r="9844">
          <cell r="B9844" t="str">
            <v>LA-A1884 / VLSD-70|</v>
          </cell>
          <cell r="J9844" t="str">
            <v>A</v>
          </cell>
          <cell r="N9844" t="str">
            <v>A</v>
          </cell>
        </row>
        <row r="9845">
          <cell r="B9845" t="str">
            <v>LA-A1885 / VLSD-77|</v>
          </cell>
          <cell r="J9845" t="str">
            <v>A</v>
          </cell>
          <cell r="N9845" t="str">
            <v>A</v>
          </cell>
        </row>
        <row r="9846">
          <cell r="B9846" t="str">
            <v>LA-A1886 / VLSJ-88|</v>
          </cell>
          <cell r="J9846" t="str">
            <v>A</v>
          </cell>
          <cell r="N9846" t="str">
            <v>A</v>
          </cell>
        </row>
        <row r="9847">
          <cell r="B9847" t="str">
            <v>LA-A1887 / VLSK-17|</v>
          </cell>
          <cell r="J9847" t="str">
            <v>A</v>
          </cell>
          <cell r="N9847" t="str">
            <v>A</v>
          </cell>
        </row>
        <row r="9848">
          <cell r="B9848" t="str">
            <v>LA-A1888 / VLSK-18|</v>
          </cell>
          <cell r="J9848" t="str">
            <v>A</v>
          </cell>
          <cell r="N9848" t="str">
            <v>A</v>
          </cell>
        </row>
        <row r="9849">
          <cell r="B9849" t="str">
            <v>LA-B1889 / VLSK-19|</v>
          </cell>
          <cell r="J9849" t="str">
            <v>B</v>
          </cell>
          <cell r="N9849" t="str">
            <v>B</v>
          </cell>
        </row>
        <row r="9850">
          <cell r="B9850" t="str">
            <v>LA-B1890 / VLSK-23|</v>
          </cell>
          <cell r="J9850" t="str">
            <v>B</v>
          </cell>
          <cell r="N9850" t="str">
            <v>B</v>
          </cell>
        </row>
        <row r="9851">
          <cell r="B9851" t="str">
            <v>LA-B1891 / VLSK-25|</v>
          </cell>
          <cell r="J9851" t="str">
            <v>B</v>
          </cell>
          <cell r="N9851" t="str">
            <v>B</v>
          </cell>
        </row>
        <row r="9852">
          <cell r="B9852" t="str">
            <v>LA-B1892 / VLSK-26|</v>
          </cell>
          <cell r="J9852" t="str">
            <v>B</v>
          </cell>
          <cell r="N9852" t="str">
            <v>B</v>
          </cell>
        </row>
        <row r="9853">
          <cell r="B9853" t="str">
            <v>LA-B1893 / VLSK-29|</v>
          </cell>
          <cell r="J9853" t="str">
            <v>B</v>
          </cell>
          <cell r="N9853" t="str">
            <v>B</v>
          </cell>
        </row>
        <row r="9854">
          <cell r="B9854" t="str">
            <v>LA-B1894 / VLSK-30|</v>
          </cell>
          <cell r="J9854" t="str">
            <v>B</v>
          </cell>
          <cell r="N9854" t="str">
            <v>B</v>
          </cell>
        </row>
        <row r="9855">
          <cell r="B9855" t="str">
            <v>LA-B1895 / VLSK-39|</v>
          </cell>
          <cell r="J9855" t="str">
            <v>B</v>
          </cell>
          <cell r="N9855" t="str">
            <v>B</v>
          </cell>
        </row>
        <row r="9856">
          <cell r="B9856" t="str">
            <v>LA-B1896 / VLSK-44|</v>
          </cell>
          <cell r="J9856" t="str">
            <v>B</v>
          </cell>
          <cell r="N9856" t="str">
            <v>B</v>
          </cell>
        </row>
        <row r="9857">
          <cell r="B9857" t="str">
            <v>LA-B1897 / VLSK-46|</v>
          </cell>
          <cell r="J9857" t="str">
            <v>B</v>
          </cell>
          <cell r="N9857" t="str">
            <v>B</v>
          </cell>
        </row>
        <row r="9858">
          <cell r="B9858" t="str">
            <v>LA-B1898 / VLSK-53|</v>
          </cell>
          <cell r="J9858" t="str">
            <v>B</v>
          </cell>
          <cell r="N9858" t="str">
            <v>B</v>
          </cell>
        </row>
        <row r="9859">
          <cell r="B9859" t="str">
            <v>LA-B1899 / VLSK-64|</v>
          </cell>
          <cell r="J9859" t="str">
            <v>B</v>
          </cell>
          <cell r="N9859" t="str">
            <v>B</v>
          </cell>
        </row>
        <row r="9860">
          <cell r="B9860" t="str">
            <v>LA-B1900 / VLSK-70|</v>
          </cell>
          <cell r="J9860" t="str">
            <v>B</v>
          </cell>
          <cell r="N9860" t="str">
            <v>B</v>
          </cell>
        </row>
        <row r="9861">
          <cell r="B9861" t="str">
            <v>LA-B1901 / VLSK-77|</v>
          </cell>
          <cell r="J9861" t="str">
            <v>B</v>
          </cell>
          <cell r="N9861" t="str">
            <v>B</v>
          </cell>
        </row>
        <row r="9862">
          <cell r="B9862" t="str">
            <v>LA-B1902 / VLSK-86|</v>
          </cell>
          <cell r="J9862" t="str">
            <v>B</v>
          </cell>
          <cell r="N9862" t="str">
            <v>B</v>
          </cell>
        </row>
        <row r="9863">
          <cell r="B9863" t="str">
            <v>LA-B1903 / VLSK-93|</v>
          </cell>
          <cell r="J9863" t="str">
            <v>B</v>
          </cell>
          <cell r="N9863" t="str">
            <v>B</v>
          </cell>
        </row>
        <row r="9864">
          <cell r="B9864" t="str">
            <v>LA-B1904 / VLSK-95|</v>
          </cell>
          <cell r="J9864" t="str">
            <v>B</v>
          </cell>
          <cell r="N9864" t="str">
            <v>B</v>
          </cell>
        </row>
        <row r="9865">
          <cell r="B9865" t="str">
            <v>LA-B1905 / VLSK-99|</v>
          </cell>
          <cell r="J9865" t="str">
            <v>B</v>
          </cell>
          <cell r="N9865" t="str">
            <v>B</v>
          </cell>
        </row>
        <row r="9866">
          <cell r="B9866" t="str">
            <v>LA-B1906 / VLSL-10|</v>
          </cell>
          <cell r="J9866" t="str">
            <v>B</v>
          </cell>
          <cell r="N9866" t="str">
            <v>B</v>
          </cell>
        </row>
        <row r="9867">
          <cell r="B9867" t="str">
            <v>LA-B1907 / VLSL-16|</v>
          </cell>
          <cell r="J9867" t="str">
            <v>B</v>
          </cell>
          <cell r="N9867" t="str">
            <v>B</v>
          </cell>
        </row>
        <row r="9868">
          <cell r="B9868" t="str">
            <v>LA-B1908 / VLSL-25|</v>
          </cell>
          <cell r="J9868" t="str">
            <v>B</v>
          </cell>
          <cell r="N9868" t="str">
            <v>B</v>
          </cell>
        </row>
        <row r="9869">
          <cell r="B9869" t="str">
            <v>LA-B1909 / VLSS-34|</v>
          </cell>
          <cell r="J9869" t="str">
            <v>B</v>
          </cell>
          <cell r="N9869" t="str">
            <v>B</v>
          </cell>
        </row>
        <row r="9870">
          <cell r="B9870" t="str">
            <v>LA-B1910 / VLSS-37|</v>
          </cell>
          <cell r="J9870" t="str">
            <v>B</v>
          </cell>
          <cell r="N9870" t="str">
            <v>B</v>
          </cell>
        </row>
        <row r="9871">
          <cell r="B9871" t="str">
            <v>LA-B1911 / VLSS-45|</v>
          </cell>
          <cell r="J9871" t="str">
            <v>B</v>
          </cell>
          <cell r="N9871" t="str">
            <v>B</v>
          </cell>
        </row>
        <row r="9872">
          <cell r="B9872" t="str">
            <v>LA-B1912 / VLSS-69|</v>
          </cell>
          <cell r="J9872" t="str">
            <v>B</v>
          </cell>
          <cell r="N9872" t="str">
            <v>B</v>
          </cell>
        </row>
        <row r="9873">
          <cell r="B9873" t="str">
            <v>LA-B1913 / VLSS-88|</v>
          </cell>
          <cell r="J9873" t="str">
            <v>B</v>
          </cell>
          <cell r="N9873" t="str">
            <v>B</v>
          </cell>
        </row>
        <row r="9874">
          <cell r="B9874" t="str">
            <v>LA-B1914 / VLST-15|</v>
          </cell>
          <cell r="J9874" t="str">
            <v>B</v>
          </cell>
          <cell r="N9874" t="str">
            <v>B</v>
          </cell>
        </row>
        <row r="9875">
          <cell r="B9875" t="str">
            <v>LA-B1915 / VLST-23|</v>
          </cell>
          <cell r="J9875" t="str">
            <v>B</v>
          </cell>
          <cell r="N9875" t="str">
            <v>B</v>
          </cell>
        </row>
        <row r="9876">
          <cell r="B9876" t="str">
            <v>LA-B1916 / VLST-92|</v>
          </cell>
          <cell r="J9876" t="str">
            <v>B</v>
          </cell>
          <cell r="N9876" t="str">
            <v>B</v>
          </cell>
        </row>
        <row r="9877">
          <cell r="B9877" t="str">
            <v>LA-B1917 / VLSV-15|</v>
          </cell>
          <cell r="J9877" t="str">
            <v>B</v>
          </cell>
          <cell r="N9877" t="str">
            <v>B</v>
          </cell>
        </row>
        <row r="9878">
          <cell r="B9878" t="str">
            <v>LA-B1918 / VLSV-32|</v>
          </cell>
          <cell r="J9878" t="str">
            <v>B</v>
          </cell>
          <cell r="N9878" t="str">
            <v>B</v>
          </cell>
        </row>
        <row r="9879">
          <cell r="B9879" t="str">
            <v>LA-B1919 / VLSW-32|</v>
          </cell>
          <cell r="J9879" t="str">
            <v>B</v>
          </cell>
          <cell r="N9879" t="str">
            <v>B</v>
          </cell>
        </row>
        <row r="9880">
          <cell r="B9880" t="str">
            <v>LA-B1920 / VLSY-93|</v>
          </cell>
          <cell r="J9880" t="str">
            <v>B</v>
          </cell>
          <cell r="N9880" t="str">
            <v>B</v>
          </cell>
        </row>
        <row r="9881">
          <cell r="B9881" t="str">
            <v>LA-B1921 / VLSY-95|</v>
          </cell>
          <cell r="J9881" t="str">
            <v>B</v>
          </cell>
          <cell r="N9881" t="str">
            <v>B</v>
          </cell>
        </row>
        <row r="9882">
          <cell r="B9882" t="str">
            <v>LA-B1922 / VLSY-96|</v>
          </cell>
          <cell r="J9882" t="str">
            <v>B</v>
          </cell>
          <cell r="N9882" t="str">
            <v>B</v>
          </cell>
        </row>
        <row r="9883">
          <cell r="B9883" t="str">
            <v>LA-B1923 / VLSY-97|</v>
          </cell>
          <cell r="J9883" t="str">
            <v>B</v>
          </cell>
          <cell r="N9883" t="str">
            <v>B</v>
          </cell>
        </row>
        <row r="9884">
          <cell r="B9884" t="str">
            <v>LA-B1924 / VLSY-98|</v>
          </cell>
          <cell r="J9884" t="str">
            <v>B</v>
          </cell>
          <cell r="N9884" t="str">
            <v>B</v>
          </cell>
        </row>
        <row r="9885">
          <cell r="B9885" t="str">
            <v>LA-B1925 / VLSZ-15|</v>
          </cell>
          <cell r="J9885" t="str">
            <v>B</v>
          </cell>
          <cell r="N9885" t="str">
            <v>B</v>
          </cell>
        </row>
        <row r="9886">
          <cell r="B9886" t="str">
            <v>LA-B1926 / VLSZ-16|</v>
          </cell>
          <cell r="J9886" t="str">
            <v>B</v>
          </cell>
          <cell r="N9886" t="str">
            <v>B</v>
          </cell>
        </row>
        <row r="9887">
          <cell r="B9887" t="str">
            <v>LA-B1927 / VLSZ-23|</v>
          </cell>
          <cell r="J9887" t="str">
            <v>B</v>
          </cell>
          <cell r="N9887" t="str">
            <v>B</v>
          </cell>
        </row>
        <row r="9888">
          <cell r="B9888" t="str">
            <v>LA-B1928 / VLSZ-25|</v>
          </cell>
          <cell r="J9888" t="str">
            <v>B</v>
          </cell>
          <cell r="N9888" t="str">
            <v>B</v>
          </cell>
        </row>
        <row r="9889">
          <cell r="B9889" t="str">
            <v>LA-B1929 / VLSZ-26|</v>
          </cell>
          <cell r="J9889" t="str">
            <v>B</v>
          </cell>
          <cell r="N9889" t="str">
            <v>B</v>
          </cell>
        </row>
        <row r="9890">
          <cell r="B9890" t="str">
            <v>LA-B1930 / VLSZ-46|</v>
          </cell>
          <cell r="J9890" t="str">
            <v>B</v>
          </cell>
          <cell r="N9890" t="str">
            <v>B</v>
          </cell>
        </row>
        <row r="9891">
          <cell r="B9891" t="str">
            <v>LA-B1931 / VLSZ-52|</v>
          </cell>
          <cell r="J9891" t="str">
            <v>B</v>
          </cell>
          <cell r="N9891" t="str">
            <v>B</v>
          </cell>
        </row>
        <row r="9892">
          <cell r="B9892" t="str">
            <v>LA-B1932 / VLSZ-54|</v>
          </cell>
          <cell r="J9892" t="str">
            <v>B</v>
          </cell>
          <cell r="N9892" t="str">
            <v>B</v>
          </cell>
        </row>
        <row r="9893">
          <cell r="B9893" t="str">
            <v>LA-B1933 / VLSZ-65|</v>
          </cell>
          <cell r="J9893" t="str">
            <v>B</v>
          </cell>
          <cell r="N9893" t="str">
            <v>B</v>
          </cell>
        </row>
        <row r="9894">
          <cell r="B9894" t="str">
            <v>LA-B1934 / VLSZ-68|</v>
          </cell>
          <cell r="J9894" t="str">
            <v>B</v>
          </cell>
          <cell r="N9894" t="str">
            <v>B</v>
          </cell>
        </row>
        <row r="9895">
          <cell r="B9895" t="str">
            <v>LA-B1935 / VLSZ-75|</v>
          </cell>
          <cell r="J9895" t="str">
            <v>B</v>
          </cell>
          <cell r="N9895" t="str">
            <v>B</v>
          </cell>
        </row>
        <row r="9896">
          <cell r="B9896" t="str">
            <v>LA-B1936 / VLTB-15|</v>
          </cell>
          <cell r="J9896" t="str">
            <v>B</v>
          </cell>
          <cell r="N9896" t="str">
            <v>B</v>
          </cell>
        </row>
        <row r="9897">
          <cell r="B9897" t="str">
            <v>LA-B1937 / VLTB-35|</v>
          </cell>
          <cell r="J9897" t="str">
            <v>B</v>
          </cell>
          <cell r="N9897" t="str">
            <v>B</v>
          </cell>
        </row>
        <row r="9898">
          <cell r="B9898" t="str">
            <v>LA-B1938 / VLTB-43|</v>
          </cell>
          <cell r="J9898" t="str">
            <v>B</v>
          </cell>
          <cell r="N9898" t="str">
            <v>B</v>
          </cell>
        </row>
        <row r="9899">
          <cell r="B9899" t="str">
            <v>LA-B1939 / VLTB-85|</v>
          </cell>
          <cell r="J9899" t="str">
            <v>B</v>
          </cell>
          <cell r="N9899" t="str">
            <v>B</v>
          </cell>
        </row>
        <row r="9900">
          <cell r="B9900" t="str">
            <v>LA-B1940 / VLTB-93|</v>
          </cell>
          <cell r="J9900" t="str">
            <v>B</v>
          </cell>
          <cell r="N9900" t="str">
            <v>B</v>
          </cell>
        </row>
        <row r="9901">
          <cell r="B9901" t="str">
            <v>LA-B1941 / VLTB-94|</v>
          </cell>
          <cell r="J9901" t="str">
            <v>B</v>
          </cell>
          <cell r="N9901" t="str">
            <v>B</v>
          </cell>
        </row>
        <row r="9902">
          <cell r="B9902" t="str">
            <v>LA-B1942 / VLTC-16|</v>
          </cell>
          <cell r="J9902" t="str">
            <v>B</v>
          </cell>
          <cell r="N9902" t="str">
            <v>B</v>
          </cell>
        </row>
        <row r="9903">
          <cell r="B9903" t="str">
            <v>LA-B1943 / VLTC-17|</v>
          </cell>
          <cell r="J9903" t="str">
            <v>B</v>
          </cell>
          <cell r="N9903" t="str">
            <v>B</v>
          </cell>
        </row>
        <row r="9904">
          <cell r="B9904" t="str">
            <v>LA-B1944 / VLTC-21|</v>
          </cell>
          <cell r="J9904" t="str">
            <v>B</v>
          </cell>
          <cell r="N9904" t="str">
            <v>B</v>
          </cell>
        </row>
        <row r="9905">
          <cell r="B9905" t="str">
            <v>LA-B1945 / VLTC-23|</v>
          </cell>
          <cell r="J9905" t="str">
            <v>B</v>
          </cell>
          <cell r="N9905" t="str">
            <v>B</v>
          </cell>
        </row>
        <row r="9906">
          <cell r="B9906" t="str">
            <v>LA-B1946 / VLTC-32|</v>
          </cell>
          <cell r="J9906" t="str">
            <v>B</v>
          </cell>
          <cell r="N9906" t="str">
            <v>B</v>
          </cell>
        </row>
        <row r="9907">
          <cell r="B9907" t="str">
            <v>LA-B1947 / VLTC-33|</v>
          </cell>
          <cell r="J9907" t="str">
            <v>B</v>
          </cell>
          <cell r="N9907" t="str">
            <v>B</v>
          </cell>
        </row>
        <row r="9908">
          <cell r="B9908" t="str">
            <v>LA-B1948 / VLTC-34|</v>
          </cell>
          <cell r="J9908" t="str">
            <v>B</v>
          </cell>
          <cell r="N9908" t="str">
            <v>B</v>
          </cell>
        </row>
        <row r="9909">
          <cell r="B9909" t="str">
            <v>LA-B1949 / VLTC-35|</v>
          </cell>
          <cell r="J9909" t="str">
            <v>B</v>
          </cell>
          <cell r="N9909" t="str">
            <v>B</v>
          </cell>
        </row>
        <row r="9910">
          <cell r="B9910" t="str">
            <v>LA-B1950 / VLTC-36|</v>
          </cell>
          <cell r="J9910" t="str">
            <v>B</v>
          </cell>
          <cell r="N9910" t="str">
            <v>B</v>
          </cell>
        </row>
        <row r="9911">
          <cell r="B9911" t="str">
            <v>LA-B1951 / VLTC-37|</v>
          </cell>
          <cell r="J9911" t="str">
            <v>B</v>
          </cell>
          <cell r="N9911" t="str">
            <v>B</v>
          </cell>
        </row>
        <row r="9912">
          <cell r="B9912" t="str">
            <v>LA-B1952 / VLTC-43|</v>
          </cell>
          <cell r="J9912" t="str">
            <v>B</v>
          </cell>
          <cell r="N9912" t="str">
            <v>B</v>
          </cell>
        </row>
        <row r="9913">
          <cell r="B9913" t="str">
            <v>LA-B1953 / VLTC-44|</v>
          </cell>
          <cell r="J9913" t="str">
            <v>B</v>
          </cell>
          <cell r="N9913" t="str">
            <v>B</v>
          </cell>
        </row>
        <row r="9914">
          <cell r="B9914" t="str">
            <v>LA-B1954 / VLTC-45|</v>
          </cell>
          <cell r="J9914" t="str">
            <v>B</v>
          </cell>
          <cell r="N9914" t="str">
            <v>B</v>
          </cell>
        </row>
        <row r="9915">
          <cell r="B9915" t="str">
            <v>LA-B1955 / VLTC-53|</v>
          </cell>
          <cell r="J9915" t="str">
            <v>B</v>
          </cell>
          <cell r="N9915" t="str">
            <v>B</v>
          </cell>
        </row>
        <row r="9916">
          <cell r="B9916" t="str">
            <v>LA-B1956 / VLTC-62|</v>
          </cell>
          <cell r="J9916" t="str">
            <v>B</v>
          </cell>
          <cell r="N9916" t="str">
            <v>B</v>
          </cell>
        </row>
        <row r="9917">
          <cell r="B9917" t="str">
            <v>LA-B1957 / VLTC-92|</v>
          </cell>
          <cell r="J9917" t="str">
            <v>B</v>
          </cell>
          <cell r="N9917" t="str">
            <v>B</v>
          </cell>
        </row>
        <row r="9918">
          <cell r="B9918" t="str">
            <v>LA-B1958 / VPBC-75|</v>
          </cell>
          <cell r="J9918" t="str">
            <v>B</v>
          </cell>
          <cell r="N9918" t="str">
            <v>B</v>
          </cell>
        </row>
        <row r="9919">
          <cell r="B9919" t="str">
            <v>LA-B1959 / VPBD-15|</v>
          </cell>
          <cell r="J9919" t="str">
            <v>B</v>
          </cell>
          <cell r="N9919" t="str">
            <v>B</v>
          </cell>
        </row>
        <row r="9920">
          <cell r="B9920" t="str">
            <v>LA-B1960 / VPBD-25|</v>
          </cell>
          <cell r="J9920" t="str">
            <v>B</v>
          </cell>
          <cell r="N9920" t="str">
            <v>B</v>
          </cell>
        </row>
        <row r="9921">
          <cell r="B9921" t="str">
            <v>LA-B1961 / VPBD-64|</v>
          </cell>
          <cell r="J9921" t="str">
            <v>B</v>
          </cell>
          <cell r="N9921" t="str">
            <v>B</v>
          </cell>
        </row>
        <row r="9922">
          <cell r="B9922" t="str">
            <v>LA-B1962 / VPBD-84|</v>
          </cell>
          <cell r="J9922" t="str">
            <v>B</v>
          </cell>
          <cell r="N9922" t="str">
            <v>B</v>
          </cell>
        </row>
        <row r="9923">
          <cell r="B9923" t="str">
            <v>LA-B1963 / VPBF-11|</v>
          </cell>
          <cell r="J9923" t="str">
            <v>B</v>
          </cell>
          <cell r="N9923" t="str">
            <v>B</v>
          </cell>
        </row>
        <row r="9924">
          <cell r="B9924" t="str">
            <v>LA-B1964 / VPBF-13|</v>
          </cell>
          <cell r="J9924" t="str">
            <v>B</v>
          </cell>
          <cell r="N9924" t="str">
            <v>B</v>
          </cell>
        </row>
        <row r="9925">
          <cell r="B9925" t="str">
            <v>LA-B1965 / VPBF-14|</v>
          </cell>
          <cell r="J9925" t="str">
            <v>B</v>
          </cell>
          <cell r="N9925" t="str">
            <v>B</v>
          </cell>
        </row>
        <row r="9926">
          <cell r="B9926" t="str">
            <v>LA-B1966 / VPBF-41|</v>
          </cell>
          <cell r="J9926" t="str">
            <v>B</v>
          </cell>
          <cell r="N9926" t="str">
            <v>B</v>
          </cell>
        </row>
        <row r="9927">
          <cell r="B9927" t="str">
            <v>LA-B1967 / VPBF-51|</v>
          </cell>
          <cell r="J9927" t="str">
            <v>B</v>
          </cell>
          <cell r="N9927" t="str">
            <v>B</v>
          </cell>
        </row>
        <row r="9928">
          <cell r="B9928" t="str">
            <v>LA-B1968 / VPBF-63|</v>
          </cell>
          <cell r="J9928" t="str">
            <v>B</v>
          </cell>
          <cell r="N9928" t="str">
            <v>B</v>
          </cell>
        </row>
        <row r="9929">
          <cell r="B9929" t="str">
            <v>LA-B1969 / VPBF-71|</v>
          </cell>
          <cell r="J9929" t="str">
            <v>B</v>
          </cell>
          <cell r="N9929" t="str">
            <v>B</v>
          </cell>
        </row>
        <row r="9930">
          <cell r="B9930" t="str">
            <v>LA-B1970 / VPBF-93|</v>
          </cell>
          <cell r="J9930" t="str">
            <v>B</v>
          </cell>
          <cell r="N9930" t="str">
            <v>B</v>
          </cell>
        </row>
        <row r="9931">
          <cell r="B9931" t="str">
            <v>LA-B1971 / VPBG-88|</v>
          </cell>
          <cell r="J9931" t="str">
            <v>B</v>
          </cell>
          <cell r="N9931" t="str">
            <v>B</v>
          </cell>
        </row>
        <row r="9932">
          <cell r="B9932" t="str">
            <v>LA-B1972 / VPBK-91|</v>
          </cell>
          <cell r="J9932" t="str">
            <v>B</v>
          </cell>
          <cell r="N9932" t="str">
            <v>B</v>
          </cell>
        </row>
        <row r="9933">
          <cell r="B9933" t="str">
            <v>RC-BP1429 / GCBC-25|</v>
          </cell>
          <cell r="J9933" t="str">
            <v>BPAL</v>
          </cell>
          <cell r="N9933" t="str">
            <v>BPAL</v>
          </cell>
        </row>
      </sheetData>
      <sheetData sheetId="14"/>
      <sheetData sheetId="15">
        <row r="6">
          <cell r="N6" t="str">
            <v>ID Colaborador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6B3B-5448-41CF-A982-6C4115F0E175}">
  <sheetPr codeName="Hoja3"/>
  <dimension ref="A1:CO547"/>
  <sheetViews>
    <sheetView showGridLines="0" tabSelected="1" topLeftCell="H1" zoomScale="55" zoomScaleNormal="10" workbookViewId="0">
      <pane ySplit="12" topLeftCell="A532" activePane="bottomLeft" state="frozen"/>
      <selection activeCell="AD4" sqref="AD4"/>
      <selection pane="bottomLeft" activeCell="V554" sqref="V554"/>
    </sheetView>
  </sheetViews>
  <sheetFormatPr baseColWidth="10" defaultColWidth="11.453125" defaultRowHeight="14.5" x14ac:dyDescent="0.35"/>
  <cols>
    <col min="1" max="1" width="9.1796875" style="1" bestFit="1" customWidth="1"/>
    <col min="2" max="2" width="22.1796875" style="1" customWidth="1"/>
    <col min="3" max="3" width="16.453125" style="1" bestFit="1" customWidth="1"/>
    <col min="4" max="4" width="22.1796875" style="1" customWidth="1"/>
    <col min="5" max="5" width="20.81640625" style="1" customWidth="1"/>
    <col min="6" max="6" width="22.1796875" style="1" hidden="1" customWidth="1"/>
    <col min="7" max="7" width="17.54296875" style="1" bestFit="1" customWidth="1"/>
    <col min="8" max="8" width="20.1796875" style="1" bestFit="1" customWidth="1"/>
    <col min="9" max="9" width="14.1796875" style="1" bestFit="1" customWidth="1"/>
    <col min="10" max="20" width="14.1796875" style="1" hidden="1" customWidth="1"/>
    <col min="21" max="21" width="21" style="1" bestFit="1" customWidth="1"/>
    <col min="22" max="22" width="22.1796875" style="1" customWidth="1"/>
    <col min="23" max="23" width="22.1796875" style="2" hidden="1" customWidth="1"/>
    <col min="24" max="24" width="22.1796875" style="2" customWidth="1"/>
    <col min="25" max="25" width="22.1796875" style="1" customWidth="1"/>
    <col min="26" max="26" width="12.453125" style="1" customWidth="1"/>
    <col min="27" max="27" width="11.453125" style="1"/>
    <col min="28" max="28" width="11" style="1" bestFit="1" customWidth="1"/>
    <col min="29" max="29" width="15.453125" style="1" customWidth="1"/>
    <col min="30" max="30" width="34.54296875" style="1" customWidth="1"/>
    <col min="31" max="31" width="22.1796875" style="1" customWidth="1"/>
    <col min="32" max="32" width="18.1796875" style="1" customWidth="1"/>
    <col min="33" max="33" width="17.453125" style="1" hidden="1" customWidth="1"/>
    <col min="34" max="34" width="25.54296875" style="1" customWidth="1"/>
    <col min="35" max="35" width="20.1796875" style="1" bestFit="1" customWidth="1"/>
    <col min="36" max="36" width="11.1796875" style="1" bestFit="1" customWidth="1"/>
    <col min="37" max="37" width="13.453125" style="1" hidden="1" customWidth="1"/>
    <col min="38" max="38" width="15" style="1" hidden="1" customWidth="1"/>
    <col min="39" max="39" width="10" style="1" hidden="1" customWidth="1"/>
    <col min="40" max="47" width="11.1796875" style="1" hidden="1" customWidth="1"/>
    <col min="48" max="48" width="16.81640625" style="1" bestFit="1" customWidth="1"/>
    <col min="49" max="49" width="11.453125" style="1" bestFit="1" customWidth="1"/>
    <col min="50" max="50" width="9.453125" style="2" hidden="1" customWidth="1"/>
    <col min="51" max="51" width="16.54296875" style="2" customWidth="1"/>
    <col min="52" max="52" width="17.453125" style="1" customWidth="1"/>
    <col min="53" max="16384" width="11.453125" style="1"/>
  </cols>
  <sheetData>
    <row r="1" spans="1:70" x14ac:dyDescent="0.35">
      <c r="AF1" s="3"/>
      <c r="AG1" s="3"/>
      <c r="AH1" s="4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70" ht="15" thickBot="1" x14ac:dyDescent="0.4">
      <c r="AF2" s="3"/>
      <c r="AG2" s="3"/>
      <c r="AH2" s="4"/>
    </row>
    <row r="3" spans="1:70" s="4" customFormat="1" ht="13.5" customHeight="1" x14ac:dyDescent="0.35">
      <c r="A3" s="1"/>
      <c r="B3" s="6" t="s">
        <v>0</v>
      </c>
      <c r="C3" s="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1"/>
      <c r="AA3" s="1"/>
      <c r="AB3" s="1"/>
      <c r="AC3" s="6" t="s">
        <v>0</v>
      </c>
      <c r="AD3" s="7"/>
      <c r="AE3" s="1"/>
      <c r="AF3" s="3"/>
      <c r="AG3" s="3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Z3" s="2"/>
      <c r="BA3" s="2"/>
    </row>
    <row r="4" spans="1:70" s="4" customFormat="1" ht="13.5" customHeight="1" x14ac:dyDescent="0.35">
      <c r="A4" s="5"/>
      <c r="B4" s="8" t="s">
        <v>1</v>
      </c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11"/>
      <c r="Z4" s="1"/>
      <c r="AA4" s="5"/>
      <c r="AB4" s="5"/>
      <c r="AC4" s="8" t="s">
        <v>1</v>
      </c>
      <c r="AD4" s="9"/>
      <c r="AE4" s="10"/>
      <c r="AF4" s="3"/>
      <c r="AG4" s="3"/>
      <c r="AI4" s="1"/>
      <c r="AJ4" s="1"/>
      <c r="AK4" s="1"/>
      <c r="AL4" s="1"/>
      <c r="AM4" s="1"/>
      <c r="AN4" s="11"/>
      <c r="AO4" s="11"/>
      <c r="AP4" s="11"/>
      <c r="AQ4" s="11"/>
      <c r="AR4" s="11"/>
      <c r="AS4" s="11"/>
      <c r="AT4" s="11"/>
      <c r="AU4" s="11"/>
      <c r="AV4" s="1"/>
      <c r="AW4" s="1"/>
      <c r="AX4" s="12"/>
      <c r="AZ4" s="2"/>
      <c r="BA4" s="11"/>
    </row>
    <row r="5" spans="1:70" s="4" customFormat="1" ht="13.5" customHeight="1" x14ac:dyDescent="0.35">
      <c r="A5" s="1"/>
      <c r="B5" s="8" t="s">
        <v>2</v>
      </c>
      <c r="C5" s="9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1"/>
      <c r="AA5" s="1"/>
      <c r="AB5" s="1"/>
      <c r="AC5" s="8" t="s">
        <v>2</v>
      </c>
      <c r="AD5" s="9" t="s">
        <v>4</v>
      </c>
      <c r="AE5" s="1"/>
      <c r="AF5" s="3"/>
      <c r="AG5" s="3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Z5" s="2"/>
      <c r="BA5" s="2"/>
    </row>
    <row r="6" spans="1:70" s="4" customFormat="1" ht="13.5" customHeight="1" x14ac:dyDescent="0.35">
      <c r="A6" s="1"/>
      <c r="B6" s="8" t="s">
        <v>5</v>
      </c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1"/>
      <c r="AA6" s="1"/>
      <c r="AB6" s="1"/>
      <c r="AC6" s="8" t="s">
        <v>5</v>
      </c>
      <c r="AD6" s="9"/>
      <c r="AE6" s="1"/>
      <c r="AF6" s="3"/>
      <c r="AG6" s="3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Z6" s="2"/>
      <c r="BA6" s="2"/>
    </row>
    <row r="7" spans="1:70" s="4" customFormat="1" ht="13.5" hidden="1" customHeight="1" x14ac:dyDescent="0.35">
      <c r="A7" s="1"/>
      <c r="B7" s="8" t="s">
        <v>6</v>
      </c>
      <c r="C7" s="1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  <c r="Y7" s="2"/>
      <c r="Z7" s="1"/>
      <c r="AA7" s="1"/>
      <c r="AB7" s="1"/>
      <c r="AC7" s="8" t="s">
        <v>6</v>
      </c>
      <c r="AD7" s="13"/>
      <c r="AE7" s="1"/>
      <c r="AF7" s="3"/>
      <c r="AG7" s="3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Z7" s="2"/>
      <c r="BA7" s="2"/>
    </row>
    <row r="8" spans="1:70" s="4" customFormat="1" ht="13.5" hidden="1" customHeight="1" x14ac:dyDescent="0.35">
      <c r="A8" s="1"/>
      <c r="B8" s="8" t="s">
        <v>7</v>
      </c>
      <c r="C8" s="1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/>
      <c r="Y8" s="2"/>
      <c r="Z8" s="1"/>
      <c r="AA8" s="1"/>
      <c r="AB8" s="1"/>
      <c r="AC8" s="8" t="s">
        <v>7</v>
      </c>
      <c r="AD8" s="13" t="str">
        <f>IF(C8="","",C8)</f>
        <v/>
      </c>
      <c r="AE8" s="1"/>
      <c r="AF8" s="3"/>
      <c r="AG8" s="3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Z8" s="2"/>
      <c r="BA8" s="2"/>
    </row>
    <row r="9" spans="1:70" s="4" customFormat="1" ht="13.5" hidden="1" customHeight="1" x14ac:dyDescent="0.35">
      <c r="A9" s="1"/>
      <c r="B9" s="8" t="s">
        <v>8</v>
      </c>
      <c r="C9" s="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  <c r="Y9" s="2"/>
      <c r="Z9" s="1"/>
      <c r="AA9" s="1"/>
      <c r="AB9" s="1"/>
      <c r="AC9" s="8" t="s">
        <v>8</v>
      </c>
      <c r="AD9" s="13" t="str">
        <f>IF(C9="","",C9)</f>
        <v/>
      </c>
      <c r="AE9" s="1"/>
      <c r="AF9" s="3"/>
      <c r="AG9" s="3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Z9" s="2"/>
      <c r="BA9" s="2"/>
    </row>
    <row r="10" spans="1:70" s="4" customFormat="1" ht="13.5" hidden="1" customHeight="1" thickBot="1" x14ac:dyDescent="0.4">
      <c r="A10" s="1"/>
      <c r="B10" s="14" t="s">
        <v>9</v>
      </c>
      <c r="C10" s="1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2"/>
      <c r="Z10" s="1"/>
      <c r="AA10" s="1"/>
      <c r="AB10" s="1"/>
      <c r="AC10" s="14" t="s">
        <v>9</v>
      </c>
      <c r="AD10" s="13" t="str">
        <f>IF(C10="","",C10)</f>
        <v/>
      </c>
      <c r="AE10" s="1"/>
      <c r="AF10" s="3"/>
      <c r="AG10" s="3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Z10" s="2"/>
      <c r="BA10" s="2"/>
    </row>
    <row r="11" spans="1:70" ht="30.65" customHeight="1" thickBot="1" x14ac:dyDescent="0.4">
      <c r="BC11" s="67" t="str">
        <f>C4&amp;" "&amp;C5</f>
        <v xml:space="preserve"> IDA</v>
      </c>
      <c r="BD11" s="68"/>
      <c r="BE11" s="68"/>
      <c r="BF11" s="68"/>
      <c r="BG11" s="68"/>
      <c r="BH11" s="68"/>
      <c r="BI11" s="68"/>
      <c r="BL11" s="67" t="str">
        <f>AD4&amp;" "&amp;MID(AD5,1,3)</f>
        <v xml:space="preserve"> REG</v>
      </c>
      <c r="BM11" s="68"/>
      <c r="BN11" s="68"/>
      <c r="BO11" s="68"/>
      <c r="BP11" s="68"/>
      <c r="BQ11" s="68"/>
      <c r="BR11" s="68"/>
    </row>
    <row r="12" spans="1:70" ht="41.25" customHeight="1" thickBot="1" x14ac:dyDescent="0.4">
      <c r="A12" s="16" t="s">
        <v>10</v>
      </c>
      <c r="B12" s="17" t="s">
        <v>11</v>
      </c>
      <c r="C12" s="17" t="s">
        <v>12</v>
      </c>
      <c r="D12" s="17" t="s">
        <v>13</v>
      </c>
      <c r="E12" s="17" t="s">
        <v>14</v>
      </c>
      <c r="F12" s="17" t="s">
        <v>15</v>
      </c>
      <c r="G12" s="18" t="str">
        <f>"H Sale Terminal"&amp;""&amp;C3</f>
        <v>H Sale Terminal</v>
      </c>
      <c r="H12" s="18" t="s">
        <v>16</v>
      </c>
      <c r="I12" s="17" t="s">
        <v>17</v>
      </c>
      <c r="J12" s="19" t="s">
        <v>18</v>
      </c>
      <c r="K12" s="19" t="s">
        <v>19</v>
      </c>
      <c r="L12" s="19" t="s">
        <v>20</v>
      </c>
      <c r="M12" s="19" t="s">
        <v>21</v>
      </c>
      <c r="N12" s="19" t="s">
        <v>22</v>
      </c>
      <c r="O12" s="19" t="s">
        <v>23</v>
      </c>
      <c r="P12" s="19" t="s">
        <v>24</v>
      </c>
      <c r="Q12" s="19" t="s">
        <v>25</v>
      </c>
      <c r="R12" s="19" t="s">
        <v>26</v>
      </c>
      <c r="S12" s="19" t="s">
        <v>27</v>
      </c>
      <c r="T12" s="19" t="s">
        <v>28</v>
      </c>
      <c r="U12" s="18" t="str">
        <f>"H llegada Terminal"&amp;""&amp;AD3</f>
        <v>H llegada Terminal</v>
      </c>
      <c r="V12" s="17" t="s">
        <v>29</v>
      </c>
      <c r="W12" s="20" t="s">
        <v>30</v>
      </c>
      <c r="X12" s="18" t="s">
        <v>31</v>
      </c>
      <c r="Y12" s="21" t="s">
        <v>32</v>
      </c>
      <c r="AB12" s="22" t="s">
        <v>10</v>
      </c>
      <c r="AC12" s="23" t="s">
        <v>11</v>
      </c>
      <c r="AD12" s="23" t="s">
        <v>12</v>
      </c>
      <c r="AE12" s="17" t="s">
        <v>13</v>
      </c>
      <c r="AF12" s="17" t="s">
        <v>14</v>
      </c>
      <c r="AG12" s="23" t="s">
        <v>33</v>
      </c>
      <c r="AH12" s="24" t="str">
        <f>"H Sale Terminal"&amp;""&amp;AD3</f>
        <v>H Sale Terminal</v>
      </c>
      <c r="AI12" s="18" t="s">
        <v>16</v>
      </c>
      <c r="AJ12" s="23" t="s">
        <v>17</v>
      </c>
      <c r="AK12" s="19" t="s">
        <v>18</v>
      </c>
      <c r="AL12" s="19" t="s">
        <v>19</v>
      </c>
      <c r="AM12" s="19" t="s">
        <v>20</v>
      </c>
      <c r="AN12" s="19" t="s">
        <v>21</v>
      </c>
      <c r="AO12" s="19" t="s">
        <v>22</v>
      </c>
      <c r="AP12" s="19" t="s">
        <v>22</v>
      </c>
      <c r="AQ12" s="19" t="s">
        <v>24</v>
      </c>
      <c r="AR12" s="19" t="s">
        <v>25</v>
      </c>
      <c r="AS12" s="19" t="s">
        <v>26</v>
      </c>
      <c r="AT12" s="19" t="s">
        <v>27</v>
      </c>
      <c r="AU12" s="19" t="s">
        <v>28</v>
      </c>
      <c r="AV12" s="24" t="str">
        <f>"H llegada Terminal"&amp;""&amp;C3</f>
        <v>H llegada Terminal</v>
      </c>
      <c r="AW12" s="23" t="s">
        <v>34</v>
      </c>
      <c r="AX12" s="20" t="s">
        <v>30</v>
      </c>
      <c r="AY12" s="24" t="s">
        <v>31</v>
      </c>
      <c r="AZ12" s="25" t="s">
        <v>32</v>
      </c>
      <c r="BC12" s="26" t="s">
        <v>10</v>
      </c>
      <c r="BD12" s="26" t="s">
        <v>35</v>
      </c>
      <c r="BE12" s="26" t="s">
        <v>36</v>
      </c>
      <c r="BF12" s="26" t="s">
        <v>37</v>
      </c>
      <c r="BG12" s="26" t="s">
        <v>38</v>
      </c>
      <c r="BH12" s="26" t="s">
        <v>39</v>
      </c>
      <c r="BI12" s="26" t="s">
        <v>30</v>
      </c>
      <c r="BL12" s="26" t="s">
        <v>10</v>
      </c>
      <c r="BM12" s="26" t="s">
        <v>35</v>
      </c>
      <c r="BN12" s="26" t="s">
        <v>36</v>
      </c>
      <c r="BO12" s="26" t="s">
        <v>37</v>
      </c>
      <c r="BP12" s="26" t="s">
        <v>38</v>
      </c>
      <c r="BQ12" s="26" t="s">
        <v>39</v>
      </c>
      <c r="BR12" s="26" t="s">
        <v>30</v>
      </c>
    </row>
    <row r="13" spans="1:70" ht="17.149999999999999" customHeight="1" x14ac:dyDescent="0.35">
      <c r="A13" s="27">
        <f>HOUR(G13)+1</f>
        <v>1</v>
      </c>
      <c r="B13" s="28"/>
      <c r="C13" s="28"/>
      <c r="D13" s="29" t="str">
        <f>IFERROR(
IF(AND(OR(Planilla!B13="C",Planilla!B13="c"), VLOOKUP(E13,[1]Diccionario!B:N,13,0)="C"), "OK",IF(AND(OR(Planilla!B13="C",Planilla!B13="c"), OR(VLOOKUP(E13,[1]Diccionario!B:N,13,0)="B", VLOOKUP(E13,[1]Diccionario!B:N,13,0)="A")), "DEFICIT",IF(
AND(OR(Planilla!B13="B", Planilla!B13="BPAL"), VLOOKUP(E13,[1]Diccionario!B:N,13,0)="B"), "OK",IF(AND(OR(Planilla!B13="B", Planilla!B13="BPAL"), VLOOKUP(E13,[1]Diccionario!B:N,13,0)="A"), "DEFICIT",IF(AND(OR(Planilla!B13="B", Planilla!B13="BPAL"), VLOOKUP(E13,[1]Diccionario!B:N,13,0)="C"), "SOBREOFERTA",IF(AND(Planilla!B13="A", VLOOKUP(E13,[1]Diccionario!B:N,13,0)="A"), "OK",IF(
AND(Planilla!B13="A", OR(VLOOKUP(E13,[1]Diccionario!B:N,13,0)="B", VLOOKUP(E13,[1]Diccionario!B:N,13,0)="C")), "SOBREOFERTA",""
))))))),"")</f>
        <v/>
      </c>
      <c r="E13" s="30"/>
      <c r="F13" s="29" t="str">
        <f>+IF(G13="","",INT(G13*48+1.00001))</f>
        <v/>
      </c>
      <c r="G13" s="31"/>
      <c r="H13" s="32" t="str">
        <f>IF(I13="","",IF(AND((I13-G13)&gt;=TIME(0,0,0),(I13-G13)&lt;TIME(0,3,0)),"OK",IF(AND((I13-G13)&gt;=TIME(0,3,0),(I13-G13)&lt;TIME(0,5,0)),"RETRASO DE 3-5 MIN",IF(AND((I13-G13)&gt;=TIME(0,5,0),(I13-G13)&lt;TIME(0,10,0)),"RETRASO DE 5-10 MIN",IF((I13-G13)&gt;=TIME(0,10,0),"RETRASO &gt;10 MIN",         IF(AND((G13-I13)&gt;=TIME(0,0,0),(G13-I13)&lt;TIME(0,3,0)),"OK",IF((G13-I13)&gt;=TIME(0,3,0),"ADELANTADO")))))))</f>
        <v/>
      </c>
      <c r="I13" s="33"/>
      <c r="J13" s="34" t="e">
        <f>IF(A13&lt;&gt;"",HLOOKUP(VALUE(TEXT(G13,"h:mm:ss")),IF($C$6="Laboral",[1]Input!$A$4:$Y$227,IF($C$6="Sábado",[1]Input!$A$231:$Y$452,[1]Input!$A$456:$Y$656)),VLOOKUP($C$4,[1]Input!$AG$2:$AI$99,3,0)+IF(C$5="Ida",0,1),1),"")</f>
        <v>#N/A</v>
      </c>
      <c r="K13" s="34" t="str">
        <f>IF(A14&lt;&gt;A13,AVERAGEIF(A$9:A13,A13,J$13:J13),"")</f>
        <v/>
      </c>
      <c r="L13" s="35" t="str">
        <f>IFERROR(IF(A14&lt;&gt;A13,AVERAGEIF(A$9:A13,A13,S$13:S13),""),"")</f>
        <v/>
      </c>
      <c r="M13" s="35" t="str">
        <f>IFERROR(IF(A14&lt;&gt;A13,AVERAGEIF(A$9:A13,A13,T$8:T13),""),"")</f>
        <v/>
      </c>
      <c r="N13" s="35" t="str" cm="1">
        <f t="array" ref="N13">IFERROR(IF(A14&lt;&gt;A13,_xlfn.STDEV.P(IF(A$9:A13=A13,T$7:T13)),""),"")</f>
        <v/>
      </c>
      <c r="O13" s="35" t="str" cm="1">
        <f t="array" ref="O13">IFERROR(IF(A14&lt;&gt;A13,_xlfn.STDEV.P(IF(A$9:A13=A13,S$7:S13)),""),"")</f>
        <v/>
      </c>
      <c r="P13" s="36" t="str">
        <f t="shared" ref="P13:P76" si="0">IFERROR(IF(A13&lt;&gt;A14,MAX((((M13*24*60)/2)*(1+POWER((((N13*24*60) / (M13*24*60) )),2))) + ((M13*24*60 )*-0.1 + (K13*0.015)) +1,(((M13*24*60)/2)*(1+POWER((((N13*24*60) / (M13*24*60 ))),2)))),""),"")</f>
        <v/>
      </c>
      <c r="Q13" s="36" t="str">
        <f t="shared" ref="Q13:Q76" si="1">IF(AND(O13&lt;&gt;"",L13&lt;&gt;""),IF(A13&lt;&gt;A14,((L13*24*60) / 2 ) * (1 + POWER(((O13*24*60) / (L13*24*60)),2)),""),"")</f>
        <v/>
      </c>
      <c r="R13" s="36" t="str">
        <f>IF(Q13&lt;&gt;"",MAX(P13,Q13),"")</f>
        <v/>
      </c>
      <c r="S13" s="37" t="str">
        <f>IF(I13&lt;&gt;"H. Sale Real",IF(AND(I14&lt;&gt;"",LEFT(C14,2)&lt;&gt;"NC"),IF(AND(I13&lt;&gt;"",LEFT(C13,2)&lt;&gt;"NC",I13&lt;&gt;"H. Sale Real"),IF(I14-I13&lt;0.208333333333333,I14-I13,""),IF(AND(I12&lt;&gt;"",LEFT(C12,2)&lt;&gt;"NC",I12&lt;&gt;"H. Sale Real"),IF(I14-I12&lt;0.208333333333333,I14-I12,""),IF(AND(I11&lt;&gt;"",LEFT(C11,2)&lt;&gt;"NC",I11&lt;&gt;"H. Sale Real"),IF(I14-I11&lt;0.208333333333333,I14-I11,""),IF(AND(I10&lt;&gt;"",LEFT(C10,2)&lt;&gt;"NC",I10&lt;&gt;"H. Sale Real"),IF(I14-I10&lt;0.208333333333333,I14-I10,""),IF(AND(I9&lt;&gt;"",LEFT(C9,2)&lt;&gt;"NC",I9&lt;&gt;"H. Sale Real"),IF(I14-I9&lt;0.208333333333333,I14-I9,""),""))))),""),"")</f>
        <v/>
      </c>
      <c r="T13" s="37" t="str">
        <f t="shared" ref="T13:T76" si="2">IF(G13&lt;&gt;"H. Sale Real",IF(AND(G14&lt;&gt;"",LEFT(C14,2)&lt;&gt;"NC"),IF(AND(G13&lt;&gt;"",LEFT(C13,2)&lt;&gt;"NC",G13&lt;&gt;"H. Sale Real"),IF(G14-G13&lt;0.208333333333333,G14-G13,""),IF(AND(G12&lt;&gt;"",LEFT(C12,2)&lt;&gt;"NC",G12&lt;&gt;"H. Sale Real"),IF(G14-G12&lt;0.208333333333333,G14-G12,""),IF(AND(G11&lt;&gt;"",LEFT(C11,2)&lt;&gt;"NC",G11&lt;&gt;"H. Sale Real"),IF(G14-G11&lt;0.208333333333333,G14-G11,""),IF(AND(G10&lt;&gt;"",LEFT(C10,2)&lt;&gt;"NC",G10&lt;&gt;"H. Sale Real"),IF(G14-G10&lt;0.208333333333333,G14-G10,""),IF(AND(G9&lt;&gt;"",LEFT(C9,2)&lt;&gt;"NC",G9&lt;&gt;"H. Sale Real"),IF(G14-G9&lt;0.208333333333333,G14-G9,""),""))))),""),"")</f>
        <v/>
      </c>
      <c r="U13" s="31"/>
      <c r="V13" s="38"/>
      <c r="W13" s="39" t="str">
        <f>IF(G13&lt;&gt;"",IF(AND(W12&lt;&gt;"IE",P13&lt;&gt;0,R13&lt;&gt;""),IF(IFERROR((P13/R13),0) &lt;=1,IFERROR(P13/R13,""),1),""),"")</f>
        <v/>
      </c>
      <c r="X13" s="38"/>
      <c r="Y13" s="30"/>
      <c r="AB13" s="40">
        <f>HOUR(AH13)+1</f>
        <v>1</v>
      </c>
      <c r="AC13" s="41"/>
      <c r="AD13" s="41"/>
      <c r="AE13" s="29" t="str">
        <f>IFERROR(
IF(AND(OR(AC13="C",AC13="c"), VLOOKUP(AF13,[1]Diccionario!B:N,13,0)="C"), "OK",IF(AND(OR(AC13="C",AC13="c"), OR(VLOOKUP(AF13,[1]Diccionario!B:N,13,0)="B", VLOOKUP(AF13,[1]Diccionario!B:N,13,0)="A")), "DEFICIT",IF(
AND(OR(AC13="B", AC13="BPAL"), VLOOKUP(AF13,[1]Diccionario!B:N,13,0)="B"), "OK",IF(AND(OR(AC13="B", AC13="BPAL"), VLOOKUP(AF13,[1]Diccionario!B:N,13,0)="A"), "DEFICIT",IF(AND(OR(AC13="B", AC13="BPAL"), VLOOKUP(AF13,[1]Diccionario!B:N,13,0)="C"), "SOBREOFERTA",IF(AND(AC13="A", VLOOKUP(AF13,[1]Diccionario!B:N,13,0)="A"), "OK",IF(
AND(AC13="A", OR(VLOOKUP(AF13,[1]Diccionario!B:N,13,0)="B", VLOOKUP(AF13,[1]Diccionario!B:N,13,0)="C")), "SOBREOFERTA",""
))))))),"")</f>
        <v/>
      </c>
      <c r="AF13" s="42"/>
      <c r="AG13" s="43"/>
      <c r="AH13" s="44"/>
      <c r="AI13" s="32" t="str">
        <f>IF(AJ13="","",IF(AND((AJ13-AH13)&gt;=TIME(0,0,0),(AJ13-AH13)&lt;TIME(0,3,0)),"OK",IF(AND((AJ13-AH13)&gt;=TIME(0,3,0),(AJ13-AH13)&lt;TIME(0,5,0)),"RETRASO DE 3-5 MIN",IF(AND((AJ13-AH13)&gt;=TIME(0,5,0),(AJ13-AH13)&lt;TIME(0,10,0)),"RETRASO DE 5-10 MIN",IF((AJ13-AH13)&gt;=TIME(0,10,0),"RETRASO &gt;10 MIN",         IF(AND((AH13-AJ13)&gt;=TIME(0,0,0),(AH13-AJ13)&lt;TIME(0,3,0)),"OK",IF((AH13-AJ13)&gt;=TIME(0,3,0),"ADELANTADO")))))))</f>
        <v/>
      </c>
      <c r="AJ13" s="45"/>
      <c r="AK13" s="34" t="e">
        <f>IF(AB13&lt;&gt;"",HLOOKUP(VALUE(TEXT(AH13,"h:mm:ss")),IF($C$6="Laboral",[1]Input!$A$4:$Y$227,IF($C$6="Sábado",[1]Input!$A$231:$Y$452,[1]Input!$A$456:$Y$656)),VLOOKUP($C$4,[1]Input!$AG$2:$AI$99,3,0)+IF(AD$5="Ida",0,1),1),"")</f>
        <v>#N/A</v>
      </c>
      <c r="AL13" s="34" t="str">
        <f>IF(AB14&lt;&gt;AB13,AVERAGEIF(AB$9:AB13,AB13,AK$9:AK13),"")</f>
        <v/>
      </c>
      <c r="AM13" s="35" t="str">
        <f>IFERROR(IF(AB14&lt;&gt;AB13,AVERAGEIF(AB$9:AB13,AB13,AT$9:AT13),""),"")</f>
        <v/>
      </c>
      <c r="AN13" s="35" t="str">
        <f>IFERROR(IF(AB14&lt;&gt;AB13,AVERAGEIF(AB$9:AB13,AB13,AU$9:AU13),""),"")</f>
        <v/>
      </c>
      <c r="AO13" s="35" t="str" cm="1">
        <f t="array" ref="AO13">IFERROR(IF(AB14&lt;&gt;AB13,_xlfn.STDEV.P(IF(AB$9:AB13=AB13,AU$9:AU13)),""),"")</f>
        <v/>
      </c>
      <c r="AP13" s="35" t="str" cm="1">
        <f t="array" ref="AP13">IFERROR(IF(AB14&lt;&gt;AB13,_xlfn.STDEV.P(IF(AB$9:AB13=AB13,AT$9:AT13)),""),"")</f>
        <v/>
      </c>
      <c r="AQ13" s="36" t="str">
        <f t="shared" ref="AQ13:AQ76" si="3">IFERROR(IF(AB13&lt;&gt;AB14,MAX((((AN13*24*60)/2)*(1+POWER((((AO13*24*60) / (AN13*24*60) )),2))) + ((AN13*24*60 )*-0.1 + (AL13*0.015)) +1,(((AN13*24*60)/2)*(1+POWER((((AO13*24*60) / (AN13*24*60 ))),2)))),""),"")</f>
        <v/>
      </c>
      <c r="AR13" s="36" t="str">
        <f t="shared" ref="AR13:AR76" si="4">IF(AND(AP13&lt;&gt;"",AM13&lt;&gt;""),IF(AB13&lt;&gt;AB14,((AM13*24*60) / 2 ) * (1 + POWER(((AP13*24*60) / (AM13*24*60)),2)),""),"")</f>
        <v/>
      </c>
      <c r="AS13" s="36" t="str">
        <f>IF(AR13&lt;&gt;"",MAX(AQ13,AR13),"")</f>
        <v/>
      </c>
      <c r="AT13" s="37" t="str">
        <f t="shared" ref="AT13:AT76" si="5">IF(AJ13&lt;&gt;"H. Sale Real",IF(AND(AJ14&lt;&gt;"",LEFT(AD14,2)&lt;&gt;"NC"),IF(AND(AJ13&lt;&gt;"",LEFT(AD13,2)&lt;&gt;"NC",AJ13&lt;&gt;"H. Sale Real"),IF(AJ14-AJ13&lt;0.208333333333333,AJ14-AJ13,""),IF(AND(AJ12&lt;&gt;"",LEFT(AD12,2)&lt;&gt;"NC",AJ12&lt;&gt;"H. Sale Real"),IF(AJ14-AJ12&lt;0.208333333333333,AJ14-AJ12,""),IF(AND(AJ11&lt;&gt;"",LEFT(AD11,2)&lt;&gt;"NC",AJ11&lt;&gt;"H. Sale Real"),IF(AJ14-AJ11&lt;0.208333333333333,AJ14-AJ11,""),IF(AND(AJ10&lt;&gt;"",LEFT(AD10,2)&lt;&gt;"NC",AJ10&lt;&gt;"H. Sale Real"),IF(AJ14-AJ10&lt;0.208333333333333,AJ14-AJ10,""),IF(AND(AJ9&lt;&gt;"",LEFT(AD9,2)&lt;&gt;"NC",AJ9&lt;&gt;"H. Sale Real"),IF(AJ14-AJ9&lt;0.208333333333333,AJ14-AJ9,""),""))))),""),"")</f>
        <v/>
      </c>
      <c r="AU13" s="37" t="str">
        <f t="shared" ref="AU13:AU76" si="6">IF(AH13&lt;&gt;"H. Sale Real",IF(AND(AH14&lt;&gt;"",LEFT(AD14,2)&lt;&gt;"NC"),IF(AND(AH13&lt;&gt;"",LEFT(AD13,2)&lt;&gt;"NC",AH13&lt;&gt;"H. Sale Real"),IF(AH14-AH13&lt;0.208333333333333,AH14-AH13,""),IF(AND(AH12&lt;&gt;"",LEFT(AD12,2)&lt;&gt;"NC",AH12&lt;&gt;"H. Sale Real"),IF(AH14-AH12&lt;0.208333333333333,AH14-AH12,""),IF(AND(AH11&lt;&gt;"",LEFT(AD11,2)&lt;&gt;"NC",AH11&lt;&gt;"H. Sale Real"),IF(AH14-AH11&lt;0.208333333333333,AH14-AH11,""),IF(AND(AH10&lt;&gt;"",LEFT(AD10,2)&lt;&gt;"NC",AH10&lt;&gt;"H. Sale Real"),IF(AH14-AH10&lt;0.208333333333333,AH14-AH10,""),IF(AND(AH9&lt;&gt;"",LEFT(AD9,2)&lt;&gt;"NC",AH9&lt;&gt;"H. Sale Real"),IF(AH14-AH9&lt;0.208333333333333,AH14-AH9,""),""))))),""),"")</f>
        <v/>
      </c>
      <c r="AV13" s="44"/>
      <c r="AW13" s="45"/>
      <c r="AX13" s="39" t="str" cm="1">
        <f t="array" ref="AX13">IF(AH13&lt;&gt;"",IF(AND(AX11:AX12&lt;&gt;"IE",AQ13&lt;&gt;0,AS13&lt;&gt;""),IF(IFERROR((AQ13/AS13),0) &lt;=1,IFERROR(AQ13/AS13,""),1),""),"")</f>
        <v/>
      </c>
      <c r="AY13" s="46"/>
      <c r="AZ13" s="47"/>
      <c r="BC13" s="48">
        <v>1</v>
      </c>
      <c r="BD13" s="48">
        <f>COUNTIFS($A:$A,$BC13,$C:$C,$BC$11)</f>
        <v>0</v>
      </c>
      <c r="BE13" s="48">
        <f>BD13-COUNTIFS($A:$A,$BC13,$C:$C,$BC$11,$H:$H,"")</f>
        <v>0</v>
      </c>
      <c r="BF13" s="49" t="str">
        <f>IFERROR((BE13/BD13),"")</f>
        <v/>
      </c>
      <c r="BG13" s="48" t="str">
        <f>_xlfn.XLOOKUP(BC13,$A:$A,$R:$R,"0",0,-1)</f>
        <v/>
      </c>
      <c r="BH13" s="50" t="str">
        <f>_xlfn.XLOOKUP(BC13,$A:$A,$P:$P,"0",0,-1)</f>
        <v/>
      </c>
      <c r="BI13" s="39" t="str">
        <f>_xlfn.XLOOKUP(BC13,$A:$A,$W:$W,"",0,-1)</f>
        <v/>
      </c>
      <c r="BL13" s="48">
        <v>1</v>
      </c>
      <c r="BM13" s="48">
        <f>COUNTIFS($AB:$AB,$BL13,$AD:$AD,$BL$11)</f>
        <v>0</v>
      </c>
      <c r="BN13" s="48">
        <f>BM13-COUNTIFS($AB:$AB,$BL13,$AD:$AD,$BL$11,$AI:$AI,"")</f>
        <v>0</v>
      </c>
      <c r="BO13" s="49" t="str">
        <f>IFERROR((BN13/BM13),"")</f>
        <v/>
      </c>
      <c r="BP13" s="48" t="str">
        <f>_xlfn.XLOOKUP(BL13,$AB:$AB,$AS:$AS,"0",0,-1)</f>
        <v/>
      </c>
      <c r="BQ13" s="50" t="str">
        <f>_xlfn.XLOOKUP(BL13,$AB:$AB,$AQ:$AQ,"0",0,-1)</f>
        <v/>
      </c>
      <c r="BR13" s="39" t="str">
        <f>_xlfn.XLOOKUP(BL13,$AB:$AB,$AX:$AX,"",0,-1)</f>
        <v/>
      </c>
    </row>
    <row r="14" spans="1:70" ht="15.65" customHeight="1" x14ac:dyDescent="0.35">
      <c r="A14" s="51">
        <f>HOUR(G14)+1</f>
        <v>1</v>
      </c>
      <c r="B14" s="52"/>
      <c r="C14" s="52"/>
      <c r="D14" s="29" t="str">
        <f>IFERROR(
IF(AND(OR(Planilla!B14="C",Planilla!B14="c"), VLOOKUP(E14,[1]Diccionario!B:N,13,0)="C"), "OK",IF(AND(OR(Planilla!B14="C",Planilla!B14="c"), OR(VLOOKUP(E14,[1]Diccionario!B:N,13,0)="B", VLOOKUP(E14,[1]Diccionario!B:N,13,0)="A")), "DEFICIT",IF(
AND(OR(Planilla!B14="B", Planilla!B14="BPAL"), VLOOKUP(E14,[1]Diccionario!B:N,13,0)="B"), "OK",IF(AND(OR(Planilla!B14="B", Planilla!B14="BPAL"), VLOOKUP(E14,[1]Diccionario!B:N,13,0)="A"), "DEFICIT",IF(AND(OR(Planilla!B14="B", Planilla!B14="BPAL"), VLOOKUP(E14,[1]Diccionario!B:N,13,0)="C"), "SOBREOFERTA",IF(AND(Planilla!B14="A", VLOOKUP(E14,[1]Diccionario!B:N,13,0)="A"), "OK",IF(
AND(Planilla!B14="A", OR(VLOOKUP(E14,[1]Diccionario!B:N,13,0)="B", VLOOKUP(E14,[1]Diccionario!B:N,13,0)="C")), "SOBREOFERTA",""
))))))),"")</f>
        <v/>
      </c>
      <c r="E14" s="48"/>
      <c r="F14" s="53" t="str">
        <f>+IF(G14="","",INT(G14*48+1.00001))</f>
        <v/>
      </c>
      <c r="G14" s="54"/>
      <c r="H14" s="55" t="str">
        <f t="shared" ref="H14:H77" si="7">IF(I14="","",IF(AND((I14-G14)&gt;=TIME(0,0,0),(I14-G14)&lt;TIME(0,3,0)),"OK",IF(AND((I14-G14)&gt;=TIME(0,3,0),(I14-G14)&lt;TIME(0,5,0)),"RETRASO DE 3-5 MIN",IF(AND((I14-G14)&gt;=TIME(0,5,0),(I14-G14)&lt;TIME(0,10,0)),"RETRASO DE 5-10 MIN",IF((I14-G14)&gt;=TIME(0,10,0),"RETRASO &gt;10 MIN",         IF(AND((G14-I14)&gt;=TIME(0,0,0),(G14-I14)&lt;TIME(0,3,0)),"OK",IF((G14-I14)&gt;=TIME(0,3,0),"ADELANTADO")))))))</f>
        <v/>
      </c>
      <c r="I14" s="35"/>
      <c r="J14" s="34" t="e">
        <f>IF(A14&lt;&gt;"",HLOOKUP(VALUE(TEXT(G14,"h:mm:ss")),IF($C$6="Laboral",[1]Input!$A$4:$Y$227,IF($C$6="Sábado",[1]Input!$A$231:$Y$452,[1]Input!$A$456:$Y$656)),VLOOKUP($C$4,[1]Input!$AG$2:$AI$99,3,0)+IF(C$5="Ida",0,1),1),"")</f>
        <v>#N/A</v>
      </c>
      <c r="K14" s="34" t="str">
        <f>IF(A15&lt;&gt;A14,AVERAGEIF(A$9:A14,A14,J$13:J14),"")</f>
        <v/>
      </c>
      <c r="L14" s="35" t="str">
        <f>IFERROR(IF(A15&lt;&gt;A14,AVERAGEIF(A$9:A14,A14,S$13:S14),""),"")</f>
        <v/>
      </c>
      <c r="M14" s="35" t="str">
        <f>IFERROR(IF(A15&lt;&gt;A14,AVERAGEIF(A$9:A14,A14,T$8:T14),""),"")</f>
        <v/>
      </c>
      <c r="N14" s="35" t="str" cm="1">
        <f t="array" ref="N14">IFERROR(IF(A15&lt;&gt;A14,_xlfn.STDEV.P(IF(A$9:A14=A14,T$7:T14)),""),"")</f>
        <v/>
      </c>
      <c r="O14" s="35" t="str" cm="1">
        <f t="array" ref="O14">IFERROR(IF(A15&lt;&gt;A14,_xlfn.STDEV.P(IF(A$9:A14=A14,S$7:S14)),""),"")</f>
        <v/>
      </c>
      <c r="P14" s="36" t="str">
        <f t="shared" si="0"/>
        <v/>
      </c>
      <c r="Q14" s="36" t="str">
        <f t="shared" si="1"/>
        <v/>
      </c>
      <c r="R14" s="36" t="str">
        <f t="shared" ref="R14:R77" si="8">IF(Q14&lt;&gt;"",MAX(P14,Q14),"")</f>
        <v/>
      </c>
      <c r="S14" s="37" t="str">
        <f t="shared" ref="S14:S77" si="9">IF(I14&lt;&gt;"H. Sale Real",IF(AND(I15&lt;&gt;"",LEFT(C15,2)&lt;&gt;"NC"),IF(AND(I14&lt;&gt;"",LEFT(C14,2)&lt;&gt;"NC",I14&lt;&gt;"H. Sale Real"),IF(I15-I14&lt;0.208333333333333,I15-I14,""),IF(AND(I13&lt;&gt;"",LEFT(C13,2)&lt;&gt;"NC",I13&lt;&gt;"H. Sale Real"),IF(I15-I13&lt;0.208333333333333,I15-I13,""),IF(AND(I12&lt;&gt;"",LEFT(C12,2)&lt;&gt;"NC",I12&lt;&gt;"H. Sale Real"),IF(I15-I12&lt;0.208333333333333,I15-I12,""),IF(AND(I11&lt;&gt;"",LEFT(C11,2)&lt;&gt;"NC",I11&lt;&gt;"H. Sale Real"),IF(I15-I11&lt;0.208333333333333,I15-I11,""),IF(AND(I10&lt;&gt;"",LEFT(C10,2)&lt;&gt;"NC",I10&lt;&gt;"H. Sale Real"),IF(I15-I10&lt;0.208333333333333,I15-I10,""),""))))),""),"")</f>
        <v/>
      </c>
      <c r="T14" s="37" t="str">
        <f t="shared" si="2"/>
        <v/>
      </c>
      <c r="U14" s="54"/>
      <c r="V14" s="46"/>
      <c r="W14" s="39" t="str">
        <f t="shared" ref="W14:W77" si="10">IF(G14&lt;&gt;"",IF(AND(W13&lt;&gt;"IE",P14&lt;&gt;0,R14&lt;&gt;""),IF(IFERROR((P14/R14),0) &lt;=1,IFERROR(P14/R14,""),1),""),"")</f>
        <v/>
      </c>
      <c r="X14" s="38"/>
      <c r="Y14" s="48"/>
      <c r="AB14" s="56">
        <f t="shared" ref="AB14:AB77" si="11">HOUR(AH14)+1</f>
        <v>1</v>
      </c>
      <c r="AC14" s="52"/>
      <c r="AD14" s="52"/>
      <c r="AE14" s="29" t="str">
        <f>IFERROR(
IF(AND(OR(AC14="C",AC14="c"), VLOOKUP(AF14,[1]Diccionario!B:N,13,0)="C"), "OK",IF(AND(OR(AC14="C",AC14="c"), OR(VLOOKUP(AF14,[1]Diccionario!B:N,13,0)="B", VLOOKUP(AF14,[1]Diccionario!B:N,13,0)="A")), "DEFICIT",IF(
AND(OR(AC14="B", AC14="BPAL"), VLOOKUP(AF14,[1]Diccionario!B:N,13,0)="B"), "OK",IF(AND(OR(AC14="B", AC14="BPAL"), VLOOKUP(AF14,[1]Diccionario!B:N,13,0)="A"), "DEFICIT",IF(AND(OR(AC14="B", AC14="BPAL"), VLOOKUP(AF14,[1]Diccionario!B:N,13,0)="C"), "SOBREOFERTA",IF(AND(AC14="A", VLOOKUP(AF14,[1]Diccionario!B:N,13,0)="A"), "OK",IF(
AND(AC14="A", OR(VLOOKUP(AF14,[1]Diccionario!B:N,13,0)="B", VLOOKUP(AF14,[1]Diccionario!B:N,13,0)="C")), "SOBREOFERTA",""
))))))),"")</f>
        <v/>
      </c>
      <c r="AF14" s="48"/>
      <c r="AG14" s="53"/>
      <c r="AH14" s="54"/>
      <c r="AI14" s="55" t="str">
        <f t="shared" ref="AI14:AI77" si="12">IF(AJ14="","",IF(AND((AJ14-AH14)&gt;=TIME(0,0,0),(AJ14-AH14)&lt;TIME(0,3,0)),"OK",IF(AND((AJ14-AH14)&gt;=TIME(0,3,0),(AJ14-AH14)&lt;TIME(0,5,0)),"RETRASO DE 3-5 MIN",IF(AND((AJ14-AH14)&gt;=TIME(0,5,0),(AJ14-AH14)&lt;TIME(0,10,0)),"RETRASO DE 5-10 MIN",IF((AJ14-AH14)&gt;=TIME(0,10,0),"RETRASO &gt;10 MIN",         IF(AND((AH14-AJ14)&gt;=TIME(0,0,0),(AH14-AJ14)&lt;TIME(0,3,0)),"OK",IF((AH14-AJ14)&gt;=TIME(0,3,0),"ADELANTADO")))))))</f>
        <v/>
      </c>
      <c r="AJ14" s="46"/>
      <c r="AK14" s="34" t="e">
        <f>IF(AB14&lt;&gt;"",HLOOKUP(VALUE(TEXT(AH14,"h:mm:ss")),IF($C$6="Laboral",[1]Input!$A$4:$Y$227,IF($C$6="Sábado",[1]Input!$A$231:$Y$452,[1]Input!$A$456:$Y$656)),VLOOKUP($C$4,[1]Input!$AG$2:$AI$99,3,0)+IF(AD$5="Ida",0,1),1),"")</f>
        <v>#N/A</v>
      </c>
      <c r="AL14" s="34" t="str">
        <f>IF(AB15&lt;&gt;AB14,AVERAGEIF(AB$9:AB14,AB14,AK$9:AK14),"")</f>
        <v/>
      </c>
      <c r="AM14" s="35" t="str">
        <f>IFERROR(IF(AB15&lt;&gt;AB14,AVERAGEIF(AB$9:AB14,AB14,AT$9:AT14),""),"")</f>
        <v/>
      </c>
      <c r="AN14" s="35" t="str">
        <f>IFERROR(IF(AB15&lt;&gt;AB14,AVERAGEIF(AB$9:AB14,AB14,AU$9:AU14),""),"")</f>
        <v/>
      </c>
      <c r="AO14" s="35" t="str" cm="1">
        <f t="array" ref="AO14">IFERROR(IF(AB15&lt;&gt;AB14,_xlfn.STDEV.P(IF(AB$9:AB14=AB14,AU$9:AU14)),""),"")</f>
        <v/>
      </c>
      <c r="AP14" s="35" t="str" cm="1">
        <f t="array" ref="AP14">IFERROR(IF(AB15&lt;&gt;AB14,_xlfn.STDEV.P(IF(AB$9:AB14=AB14,AT$9:AT14)),""),"")</f>
        <v/>
      </c>
      <c r="AQ14" s="36" t="str">
        <f t="shared" si="3"/>
        <v/>
      </c>
      <c r="AR14" s="36" t="str">
        <f t="shared" si="4"/>
        <v/>
      </c>
      <c r="AS14" s="36" t="str">
        <f t="shared" ref="AS14:AS77" si="13">IF(AR14&lt;&gt;"",MAX(AQ14,AR14),"")</f>
        <v/>
      </c>
      <c r="AT14" s="37" t="str">
        <f t="shared" si="5"/>
        <v/>
      </c>
      <c r="AU14" s="37" t="str">
        <f t="shared" si="6"/>
        <v/>
      </c>
      <c r="AV14" s="54"/>
      <c r="AW14" s="46"/>
      <c r="AX14" s="39" t="str" cm="1">
        <f t="array" ref="AX14">IF(AH14&lt;&gt;"",IF(AND(AX12:AX13&lt;&gt;"IE",AQ14&lt;&gt;0,AS14&lt;&gt;""),IF(IFERROR((AQ14/AS14),0) &lt;=1,IFERROR(AQ14/AS14,""),1),""),"")</f>
        <v/>
      </c>
      <c r="AY14" s="46"/>
      <c r="AZ14" s="57"/>
      <c r="BC14" s="48">
        <v>2</v>
      </c>
      <c r="BD14" s="48">
        <f>COUNTIFS($A:$A,$BC14,$C:$C,$BC$11)</f>
        <v>0</v>
      </c>
      <c r="BE14" s="48">
        <f>BD14-COUNTIFS($A:$A,$BC14,$C:$C,$BC$11,$H:$H,"")</f>
        <v>0</v>
      </c>
      <c r="BF14" s="49" t="str">
        <f t="shared" ref="BF14:BF36" si="14">IFERROR((BE14/BD14),"")</f>
        <v/>
      </c>
      <c r="BG14" s="48" t="str">
        <f>_xlfn.XLOOKUP(BC14,$A:$A,$R:$R,"0",0,-1)</f>
        <v>0</v>
      </c>
      <c r="BH14" s="50" t="str">
        <f>_xlfn.XLOOKUP(BC14,$A:$A,$P:$P,"0",0,-1)</f>
        <v>0</v>
      </c>
      <c r="BI14" s="39" t="str">
        <f>_xlfn.XLOOKUP(BC14,$A:$A,$W:$W,"",0,-1)</f>
        <v/>
      </c>
      <c r="BL14" s="48">
        <v>2</v>
      </c>
      <c r="BM14" s="48">
        <f>COUNTIFS($AB:$AB,$BL14,$AD:$AD,$BL$11)</f>
        <v>0</v>
      </c>
      <c r="BN14" s="48">
        <f>BM14-COUNTIFS($AB:$AB,$BL14,$AD:$AD,$BL$11,$AI:$AI,"")</f>
        <v>0</v>
      </c>
      <c r="BO14" s="49" t="str">
        <f t="shared" ref="BO14:BO36" si="15">IFERROR((BN14/BM14),"")</f>
        <v/>
      </c>
      <c r="BP14" s="48" t="str">
        <f>_xlfn.XLOOKUP(BL14,$AB:$AB,$AS:$AS,"0",0,-1)</f>
        <v>0</v>
      </c>
      <c r="BQ14" s="50" t="str">
        <f>_xlfn.XLOOKUP(BL14,$AB:$AB,$AQ:$AQ,"0",0,-1)</f>
        <v>0</v>
      </c>
      <c r="BR14" s="39" t="str">
        <f>_xlfn.XLOOKUP(BL14,$AB:$AB,$AX:$AX,"",0,-1)</f>
        <v/>
      </c>
    </row>
    <row r="15" spans="1:70" ht="15.65" customHeight="1" x14ac:dyDescent="0.35">
      <c r="A15" s="51">
        <f t="shared" ref="A15:A78" si="16">HOUR(G15)+1</f>
        <v>1</v>
      </c>
      <c r="B15" s="52"/>
      <c r="C15" s="52"/>
      <c r="D15" s="29" t="str">
        <f>IFERROR(
IF(AND(OR(Planilla!B15="C",Planilla!B15="c"), VLOOKUP(E15,[1]Diccionario!B:N,13,0)="C"), "OK",IF(AND(OR(Planilla!B15="C",Planilla!B15="c"), OR(VLOOKUP(E15,[1]Diccionario!B:N,13,0)="B", VLOOKUP(E15,[1]Diccionario!B:N,13,0)="A")), "DEFICIT",IF(
AND(OR(Planilla!B15="B", Planilla!B15="BPAL"), VLOOKUP(E15,[1]Diccionario!B:N,13,0)="B"), "OK",IF(AND(OR(Planilla!B15="B", Planilla!B15="BPAL"), VLOOKUP(E15,[1]Diccionario!B:N,13,0)="A"), "DEFICIT",IF(AND(OR(Planilla!B15="B", Planilla!B15="BPAL"), VLOOKUP(E15,[1]Diccionario!B:N,13,0)="C"), "SOBREOFERTA",IF(AND(Planilla!B15="A", VLOOKUP(E15,[1]Diccionario!B:N,13,0)="A"), "OK",IF(
AND(Planilla!B15="A", OR(VLOOKUP(E15,[1]Diccionario!B:N,13,0)="B", VLOOKUP(E15,[1]Diccionario!B:N,13,0)="C")), "SOBREOFERTA",""
))))))),"")</f>
        <v/>
      </c>
      <c r="E15" s="48"/>
      <c r="F15" s="53" t="str">
        <f t="shared" ref="F15:F67" si="17">+IF(G15="","",INT(G15*48+1.00001))</f>
        <v/>
      </c>
      <c r="G15" s="54"/>
      <c r="H15" s="55" t="str">
        <f t="shared" si="7"/>
        <v/>
      </c>
      <c r="I15" s="35"/>
      <c r="J15" s="34" t="e">
        <f>IF(A15&lt;&gt;"",HLOOKUP(VALUE(TEXT(G15,"h:mm:ss")),IF($C$6="Laboral",[1]Input!$A$4:$Y$227,IF($C$6="Sábado",[1]Input!$A$231:$Y$452,[1]Input!$A$456:$Y$656)),VLOOKUP($C$4,[1]Input!$AG$2:$AI$99,3,0)+IF(C$5="Ida",0,1),1),"")</f>
        <v>#N/A</v>
      </c>
      <c r="K15" s="34" t="str">
        <f>IF(A16&lt;&gt;A15,AVERAGEIF(A$9:A15,A15,J$13:J15),"")</f>
        <v/>
      </c>
      <c r="L15" s="35" t="str">
        <f>IFERROR(IF(A16&lt;&gt;A15,AVERAGEIF(A$9:A15,A15,S$13:S15),""),"")</f>
        <v/>
      </c>
      <c r="M15" s="35" t="str">
        <f>IFERROR(IF(A16&lt;&gt;A15,AVERAGEIF(A$9:A15,A15,T$8:T15),""),"")</f>
        <v/>
      </c>
      <c r="N15" s="35" t="str" cm="1">
        <f t="array" ref="N15">IFERROR(IF(A16&lt;&gt;A15,_xlfn.STDEV.P(IF(A$9:A15=A15,T$7:T15)),""),"")</f>
        <v/>
      </c>
      <c r="O15" s="35" t="str" cm="1">
        <f t="array" ref="O15">IFERROR(IF(A16&lt;&gt;A15,_xlfn.STDEV.P(IF(A$9:A15=A15,S$7:S15)),""),"")</f>
        <v/>
      </c>
      <c r="P15" s="36" t="str">
        <f t="shared" si="0"/>
        <v/>
      </c>
      <c r="Q15" s="36" t="str">
        <f t="shared" si="1"/>
        <v/>
      </c>
      <c r="R15" s="36" t="str">
        <f t="shared" si="8"/>
        <v/>
      </c>
      <c r="S15" s="37" t="str">
        <f t="shared" si="9"/>
        <v/>
      </c>
      <c r="T15" s="37" t="str">
        <f t="shared" si="2"/>
        <v/>
      </c>
      <c r="U15" s="54"/>
      <c r="V15" s="46"/>
      <c r="W15" s="39" t="str">
        <f t="shared" si="10"/>
        <v/>
      </c>
      <c r="X15" s="38"/>
      <c r="Y15" s="48"/>
      <c r="AB15" s="56">
        <f t="shared" si="11"/>
        <v>1</v>
      </c>
      <c r="AC15" s="52"/>
      <c r="AD15" s="52"/>
      <c r="AE15" s="29" t="str">
        <f>IFERROR(
IF(AND(OR(AC15="C",AC15="c"), VLOOKUP(AF15,[1]Diccionario!B:N,13,0)="C"), "OK",IF(AND(OR(AC15="C",AC15="c"), OR(VLOOKUP(AF15,[1]Diccionario!B:N,13,0)="B", VLOOKUP(AF15,[1]Diccionario!B:N,13,0)="A")), "DEFICIT",IF(
AND(OR(AC15="B", AC15="BPAL"), VLOOKUP(AF15,[1]Diccionario!B:N,13,0)="B"), "OK",IF(AND(OR(AC15="B", AC15="BPAL"), VLOOKUP(AF15,[1]Diccionario!B:N,13,0)="A"), "DEFICIT",IF(AND(OR(AC15="B", AC15="BPAL"), VLOOKUP(AF15,[1]Diccionario!B:N,13,0)="C"), "SOBREOFERTA",IF(AND(AC15="A", VLOOKUP(AF15,[1]Diccionario!B:N,13,0)="A"), "OK",IF(
AND(AC15="A", OR(VLOOKUP(AF15,[1]Diccionario!B:N,13,0)="B", VLOOKUP(AF15,[1]Diccionario!B:N,13,0)="C")), "SOBREOFERTA",""
))))))),"")</f>
        <v/>
      </c>
      <c r="AF15" s="48"/>
      <c r="AG15" s="53"/>
      <c r="AH15" s="54"/>
      <c r="AI15" s="55" t="str">
        <f t="shared" si="12"/>
        <v/>
      </c>
      <c r="AJ15" s="46"/>
      <c r="AK15" s="34" t="e">
        <f>IF(AB15&lt;&gt;"",HLOOKUP(VALUE(TEXT(AH15,"h:mm:ss")),IF($C$6="Laboral",[1]Input!$A$4:$Y$227,IF($C$6="Sábado",[1]Input!$A$231:$Y$452,[1]Input!$A$456:$Y$656)),VLOOKUP($C$4,[1]Input!$AG$2:$AI$99,3,0)+IF(AD$5="Ida",0,1),1),"")</f>
        <v>#N/A</v>
      </c>
      <c r="AL15" s="34" t="str">
        <f>IF(AB16&lt;&gt;AB15,AVERAGEIF(AB$9:AB15,AB15,AK$9:AK15),"")</f>
        <v/>
      </c>
      <c r="AM15" s="35" t="str">
        <f>IFERROR(IF(AB16&lt;&gt;AB15,AVERAGEIF(AB$9:AB15,AB15,AT$9:AT15),""),"")</f>
        <v/>
      </c>
      <c r="AN15" s="35" t="str">
        <f>IFERROR(IF(AB16&lt;&gt;AB15,AVERAGEIF(AB$9:AB15,AB15,AU$9:AU15),""),"")</f>
        <v/>
      </c>
      <c r="AO15" s="35" t="str" cm="1">
        <f t="array" ref="AO15">IFERROR(IF(AB16&lt;&gt;AB15,_xlfn.STDEV.P(IF(AB$9:AB15=AB15,AU$9:AU15)),""),"")</f>
        <v/>
      </c>
      <c r="AP15" s="35" t="str" cm="1">
        <f t="array" ref="AP15">IFERROR(IF(AB16&lt;&gt;AB15,_xlfn.STDEV.P(IF(AB$9:AB15=AB15,AT$9:AT15)),""),"")</f>
        <v/>
      </c>
      <c r="AQ15" s="36" t="str">
        <f t="shared" si="3"/>
        <v/>
      </c>
      <c r="AR15" s="36" t="str">
        <f t="shared" si="4"/>
        <v/>
      </c>
      <c r="AS15" s="36" t="str">
        <f t="shared" si="13"/>
        <v/>
      </c>
      <c r="AT15" s="37" t="str">
        <f t="shared" si="5"/>
        <v/>
      </c>
      <c r="AU15" s="37" t="str">
        <f t="shared" si="6"/>
        <v/>
      </c>
      <c r="AV15" s="54"/>
      <c r="AW15" s="46"/>
      <c r="AX15" s="39" t="str" cm="1">
        <f t="array" ref="AX15">IF(AH15&lt;&gt;"",IF(AND(AX13:AX14&lt;&gt;"IE",AQ15&lt;&gt;0,AS15&lt;&gt;""),IF(IFERROR((AQ15/AS15),0) &lt;=1,IFERROR(AQ15/AS15,""),1),""),"")</f>
        <v/>
      </c>
      <c r="AY15" s="46"/>
      <c r="AZ15" s="57"/>
      <c r="BC15" s="48">
        <v>3</v>
      </c>
      <c r="BD15" s="48">
        <f>COUNTIFS($A:$A,$BC15,$C:$C,$BC$11)</f>
        <v>0</v>
      </c>
      <c r="BE15" s="48">
        <f>BD15-COUNTIFS($A:$A,$BC15,$C:$C,$BC$11,$H:$H,"")</f>
        <v>0</v>
      </c>
      <c r="BF15" s="49" t="str">
        <f t="shared" si="14"/>
        <v/>
      </c>
      <c r="BG15" s="48" t="str">
        <f>_xlfn.XLOOKUP(BC15,$A:$A,$R:$R,"0",0,-1)</f>
        <v>0</v>
      </c>
      <c r="BH15" s="50" t="str">
        <f>_xlfn.XLOOKUP(BC15,$A:$A,$P:$P,"0",0,-1)</f>
        <v>0</v>
      </c>
      <c r="BI15" s="39" t="str">
        <f>_xlfn.XLOOKUP(BC15,$A:$A,$W:$W,"",0,-1)</f>
        <v/>
      </c>
      <c r="BL15" s="48">
        <v>3</v>
      </c>
      <c r="BM15" s="48">
        <f>COUNTIFS($AB:$AB,$BL15,$AD:$AD,$BL$11)</f>
        <v>0</v>
      </c>
      <c r="BN15" s="48">
        <f>BM15-COUNTIFS($AB:$AB,$BL15,$AD:$AD,$BL$11,$AI:$AI,"")</f>
        <v>0</v>
      </c>
      <c r="BO15" s="49" t="str">
        <f t="shared" si="15"/>
        <v/>
      </c>
      <c r="BP15" s="48" t="str">
        <f>_xlfn.XLOOKUP(BL15,$AB:$AB,$AS:$AS,"0",0,-1)</f>
        <v>0</v>
      </c>
      <c r="BQ15" s="50" t="str">
        <f>_xlfn.XLOOKUP(BL15,$AB:$AB,$AQ:$AQ,"0",0,-1)</f>
        <v>0</v>
      </c>
      <c r="BR15" s="39" t="str">
        <f>_xlfn.XLOOKUP(BL15,$AB:$AB,$AX:$AX,"",0,-1)</f>
        <v/>
      </c>
    </row>
    <row r="16" spans="1:70" ht="15.65" customHeight="1" x14ac:dyDescent="0.35">
      <c r="A16" s="51">
        <f t="shared" si="16"/>
        <v>1</v>
      </c>
      <c r="B16" s="52"/>
      <c r="C16" s="52"/>
      <c r="D16" s="29" t="str">
        <f>IFERROR(
IF(AND(OR(Planilla!B16="C",Planilla!B16="c"), VLOOKUP(E16,[1]Diccionario!B:N,13,0)="C"), "OK",IF(AND(OR(Planilla!B16="C",Planilla!B16="c"), OR(VLOOKUP(E16,[1]Diccionario!B:N,13,0)="B", VLOOKUP(E16,[1]Diccionario!B:N,13,0)="A")), "DEFICIT",IF(
AND(OR(Planilla!B16="B", Planilla!B16="BPAL"), VLOOKUP(E16,[1]Diccionario!B:N,13,0)="B"), "OK",IF(AND(OR(Planilla!B16="B", Planilla!B16="BPAL"), VLOOKUP(E16,[1]Diccionario!B:N,13,0)="A"), "DEFICIT",IF(AND(OR(Planilla!B16="B", Planilla!B16="BPAL"), VLOOKUP(E16,[1]Diccionario!B:N,13,0)="C"), "SOBREOFERTA",IF(AND(Planilla!B16="A", VLOOKUP(E16,[1]Diccionario!B:N,13,0)="A"), "OK",IF(
AND(Planilla!B16="A", OR(VLOOKUP(E16,[1]Diccionario!B:N,13,0)="B", VLOOKUP(E16,[1]Diccionario!B:N,13,0)="C")), "SOBREOFERTA",""
))))))),"")</f>
        <v/>
      </c>
      <c r="E16" s="48"/>
      <c r="F16" s="53" t="str">
        <f t="shared" si="17"/>
        <v/>
      </c>
      <c r="G16" s="54"/>
      <c r="H16" s="55" t="str">
        <f t="shared" si="7"/>
        <v/>
      </c>
      <c r="I16" s="35"/>
      <c r="J16" s="34" t="e">
        <f>IF(A16&lt;&gt;"",HLOOKUP(VALUE(TEXT(G16,"h:mm:ss")),IF($C$6="Laboral",[1]Input!$A$4:$Y$227,IF($C$6="Sábado",[1]Input!$A$231:$Y$452,[1]Input!$A$456:$Y$656)),VLOOKUP($C$4,[1]Input!$AG$2:$AI$99,3,0)+IF(C$5="Ida",0,1),1),"")</f>
        <v>#N/A</v>
      </c>
      <c r="K16" s="34" t="str">
        <f>IF(A17&lt;&gt;A16,AVERAGEIF(A$9:A16,A16,J$13:J16),"")</f>
        <v/>
      </c>
      <c r="L16" s="35" t="str">
        <f>IFERROR(IF(A17&lt;&gt;A16,AVERAGEIF(A$9:A16,A16,S$13:S16),""),"")</f>
        <v/>
      </c>
      <c r="M16" s="35" t="str">
        <f>IFERROR(IF(A17&lt;&gt;A16,AVERAGEIF(A$9:A16,A16,T$8:T16),""),"")</f>
        <v/>
      </c>
      <c r="N16" s="35" t="str" cm="1">
        <f t="array" ref="N16">IFERROR(IF(A17&lt;&gt;A16,_xlfn.STDEV.P(IF(A$9:A16=A16,T$7:T16)),""),"")</f>
        <v/>
      </c>
      <c r="O16" s="35" t="str" cm="1">
        <f t="array" ref="O16">IFERROR(IF(A17&lt;&gt;A16,_xlfn.STDEV.P(IF(A$9:A16=A16,S$7:S16)),""),"")</f>
        <v/>
      </c>
      <c r="P16" s="36" t="str">
        <f t="shared" si="0"/>
        <v/>
      </c>
      <c r="Q16" s="36" t="str">
        <f t="shared" si="1"/>
        <v/>
      </c>
      <c r="R16" s="36" t="str">
        <f t="shared" si="8"/>
        <v/>
      </c>
      <c r="S16" s="37" t="str">
        <f t="shared" si="9"/>
        <v/>
      </c>
      <c r="T16" s="37" t="str">
        <f t="shared" si="2"/>
        <v/>
      </c>
      <c r="U16" s="54"/>
      <c r="V16" s="46"/>
      <c r="W16" s="39" t="str">
        <f t="shared" si="10"/>
        <v/>
      </c>
      <c r="X16" s="38"/>
      <c r="Y16" s="48"/>
      <c r="AB16" s="56">
        <f t="shared" si="11"/>
        <v>1</v>
      </c>
      <c r="AC16" s="52"/>
      <c r="AD16" s="52"/>
      <c r="AE16" s="29" t="str">
        <f>IFERROR(
IF(AND(OR(AC16="C",AC16="c"), VLOOKUP(AF16,[1]Diccionario!B:N,13,0)="C"), "OK",IF(AND(OR(AC16="C",AC16="c"), OR(VLOOKUP(AF16,[1]Diccionario!B:N,13,0)="B", VLOOKUP(AF16,[1]Diccionario!B:N,13,0)="A")), "DEFICIT",IF(
AND(OR(AC16="B", AC16="BPAL"), VLOOKUP(AF16,[1]Diccionario!B:N,13,0)="B"), "OK",IF(AND(OR(AC16="B", AC16="BPAL"), VLOOKUP(AF16,[1]Diccionario!B:N,13,0)="A"), "DEFICIT",IF(AND(OR(AC16="B", AC16="BPAL"), VLOOKUP(AF16,[1]Diccionario!B:N,13,0)="C"), "SOBREOFERTA",IF(AND(AC16="A", VLOOKUP(AF16,[1]Diccionario!B:N,13,0)="A"), "OK",IF(
AND(AC16="A", OR(VLOOKUP(AF16,[1]Diccionario!B:N,13,0)="B", VLOOKUP(AF16,[1]Diccionario!B:N,13,0)="C")), "SOBREOFERTA",""
))))))),"")</f>
        <v/>
      </c>
      <c r="AF16" s="48"/>
      <c r="AG16" s="53"/>
      <c r="AH16" s="54"/>
      <c r="AI16" s="55" t="str">
        <f t="shared" si="12"/>
        <v/>
      </c>
      <c r="AJ16" s="46"/>
      <c r="AK16" s="34" t="e">
        <f>IF(AB16&lt;&gt;"",HLOOKUP(VALUE(TEXT(AH16,"h:mm:ss")),IF($C$6="Laboral",[1]Input!$A$4:$Y$227,IF($C$6="Sábado",[1]Input!$A$231:$Y$452,[1]Input!$A$456:$Y$656)),VLOOKUP($C$4,[1]Input!$AG$2:$AI$99,3,0)+IF(AD$5="Ida",0,1),1),"")</f>
        <v>#N/A</v>
      </c>
      <c r="AL16" s="34" t="str">
        <f>IF(AB17&lt;&gt;AB16,AVERAGEIF(AB$9:AB16,AB16,AK$9:AK16),"")</f>
        <v/>
      </c>
      <c r="AM16" s="35" t="str">
        <f>IFERROR(IF(AB17&lt;&gt;AB16,AVERAGEIF(AB$9:AB16,AB16,AT$9:AT16),""),"")</f>
        <v/>
      </c>
      <c r="AN16" s="35" t="str">
        <f>IFERROR(IF(AB17&lt;&gt;AB16,AVERAGEIF(AB$9:AB16,AB16,AU$9:AU16),""),"")</f>
        <v/>
      </c>
      <c r="AO16" s="35" t="str" cm="1">
        <f t="array" ref="AO16">IFERROR(IF(AB17&lt;&gt;AB16,_xlfn.STDEV.P(IF(AB$9:AB16=AB16,AU$9:AU16)),""),"")</f>
        <v/>
      </c>
      <c r="AP16" s="35" t="str" cm="1">
        <f t="array" ref="AP16">IFERROR(IF(AB17&lt;&gt;AB16,_xlfn.STDEV.P(IF(AB$9:AB16=AB16,AT$9:AT16)),""),"")</f>
        <v/>
      </c>
      <c r="AQ16" s="36" t="str">
        <f t="shared" si="3"/>
        <v/>
      </c>
      <c r="AR16" s="36" t="str">
        <f t="shared" si="4"/>
        <v/>
      </c>
      <c r="AS16" s="36" t="str">
        <f t="shared" si="13"/>
        <v/>
      </c>
      <c r="AT16" s="37" t="str">
        <f t="shared" si="5"/>
        <v/>
      </c>
      <c r="AU16" s="37" t="str">
        <f t="shared" si="6"/>
        <v/>
      </c>
      <c r="AV16" s="54"/>
      <c r="AW16" s="46"/>
      <c r="AX16" s="39" t="str" cm="1">
        <f t="array" ref="AX16">IF(AH16&lt;&gt;"",IF(AND(AX14:AX15&lt;&gt;"IE",AQ16&lt;&gt;0,AS16&lt;&gt;""),IF(IFERROR((AQ16/AS16),0) &lt;=1,IFERROR(AQ16/AS16,""),1),""),"")</f>
        <v/>
      </c>
      <c r="AY16" s="46"/>
      <c r="AZ16" s="57"/>
      <c r="BC16" s="48">
        <v>4</v>
      </c>
      <c r="BD16" s="48">
        <f>COUNTIFS($A:$A,$BC16,$C:$C,$BC$11)</f>
        <v>0</v>
      </c>
      <c r="BE16" s="48">
        <f>BD16-COUNTIFS($A:$A,$BC16,$C:$C,$BC$11,$H:$H,"")</f>
        <v>0</v>
      </c>
      <c r="BF16" s="49" t="str">
        <f t="shared" si="14"/>
        <v/>
      </c>
      <c r="BG16" s="48" t="str">
        <f>_xlfn.XLOOKUP(BC16,$A:$A,$R:$R,"0",0,-1)</f>
        <v>0</v>
      </c>
      <c r="BH16" s="50" t="str">
        <f>_xlfn.XLOOKUP(BC16,$A:$A,$P:$P,"0",0,-1)</f>
        <v>0</v>
      </c>
      <c r="BI16" s="39" t="str">
        <f>_xlfn.XLOOKUP(BC16,$A:$A,$W:$W,"",0,-1)</f>
        <v/>
      </c>
      <c r="BL16" s="48">
        <v>4</v>
      </c>
      <c r="BM16" s="48">
        <f>COUNTIFS($AB:$AB,$BL16,$AD:$AD,$BL$11)</f>
        <v>0</v>
      </c>
      <c r="BN16" s="48">
        <f>BM16-COUNTIFS($AB:$AB,$BL16,$AD:$AD,$BL$11,$AI:$AI,"")</f>
        <v>0</v>
      </c>
      <c r="BO16" s="49" t="str">
        <f t="shared" si="15"/>
        <v/>
      </c>
      <c r="BP16" s="48" t="str">
        <f>_xlfn.XLOOKUP(BL16,$AB:$AB,$AS:$AS,"0",0,-1)</f>
        <v>0</v>
      </c>
      <c r="BQ16" s="50" t="str">
        <f>_xlfn.XLOOKUP(BL16,$AB:$AB,$AQ:$AQ,"0",0,-1)</f>
        <v>0</v>
      </c>
      <c r="BR16" s="39" t="str">
        <f>_xlfn.XLOOKUP(BL16,$AB:$AB,$AX:$AX,"",0,-1)</f>
        <v/>
      </c>
    </row>
    <row r="17" spans="1:70" ht="15.5" x14ac:dyDescent="0.35">
      <c r="A17" s="51">
        <f t="shared" si="16"/>
        <v>1</v>
      </c>
      <c r="B17" s="52"/>
      <c r="C17" s="52"/>
      <c r="D17" s="29" t="str">
        <f>IFERROR(
IF(AND(OR(Planilla!B17="C",Planilla!B17="c"), VLOOKUP(E17,[1]Diccionario!B:N,13,0)="C"), "OK",IF(AND(OR(Planilla!B17="C",Planilla!B17="c"), OR(VLOOKUP(E17,[1]Diccionario!B:N,13,0)="B", VLOOKUP(E17,[1]Diccionario!B:N,13,0)="A")), "DEFICIT",IF(
AND(OR(Planilla!B17="B", Planilla!B17="BPAL"), VLOOKUP(E17,[1]Diccionario!B:N,13,0)="B"), "OK",IF(AND(OR(Planilla!B17="B", Planilla!B17="BPAL"), VLOOKUP(E17,[1]Diccionario!B:N,13,0)="A"), "DEFICIT",IF(AND(OR(Planilla!B17="B", Planilla!B17="BPAL"), VLOOKUP(E17,[1]Diccionario!B:N,13,0)="C"), "SOBREOFERTA",IF(AND(Planilla!B17="A", VLOOKUP(E17,[1]Diccionario!B:N,13,0)="A"), "OK",IF(
AND(Planilla!B17="A", OR(VLOOKUP(E17,[1]Diccionario!B:N,13,0)="B", VLOOKUP(E17,[1]Diccionario!B:N,13,0)="C")), "SOBREOFERTA",""
))))))),"")</f>
        <v/>
      </c>
      <c r="E17" s="48"/>
      <c r="F17" s="53" t="str">
        <f t="shared" si="17"/>
        <v/>
      </c>
      <c r="G17" s="54"/>
      <c r="H17" s="55" t="str">
        <f t="shared" si="7"/>
        <v/>
      </c>
      <c r="I17" s="35"/>
      <c r="J17" s="34" t="e">
        <f>IF(A17&lt;&gt;"",HLOOKUP(VALUE(TEXT(G17,"h:mm:ss")),IF($C$6="Laboral",[1]Input!$A$4:$Y$227,IF($C$6="Sábado",[1]Input!$A$231:$Y$452,[1]Input!$A$456:$Y$656)),VLOOKUP($C$4,[1]Input!$AG$2:$AI$99,3,0)+IF(C$5="Ida",0,1),1),"")</f>
        <v>#N/A</v>
      </c>
      <c r="K17" s="34" t="str">
        <f>IF(A18&lt;&gt;A17,AVERAGEIF(A$9:A17,A17,J$13:J17),"")</f>
        <v/>
      </c>
      <c r="L17" s="35" t="str">
        <f>IFERROR(IF(A18&lt;&gt;A17,AVERAGEIF(A$9:A17,A17,S$13:S17),""),"")</f>
        <v/>
      </c>
      <c r="M17" s="35" t="str">
        <f>IFERROR(IF(A18&lt;&gt;A17,AVERAGEIF(A$9:A17,A17,T$8:T17),""),"")</f>
        <v/>
      </c>
      <c r="N17" s="35" t="str" cm="1">
        <f t="array" ref="N17">IFERROR(IF(A18&lt;&gt;A17,_xlfn.STDEV.P(IF(A$9:A17=A17,T$7:T17)),""),"")</f>
        <v/>
      </c>
      <c r="O17" s="35" t="str" cm="1">
        <f t="array" ref="O17">IFERROR(IF(A18&lt;&gt;A17,_xlfn.STDEV.P(IF(A$9:A17=A17,S$7:S17)),""),"")</f>
        <v/>
      </c>
      <c r="P17" s="36" t="str">
        <f t="shared" si="0"/>
        <v/>
      </c>
      <c r="Q17" s="36" t="str">
        <f t="shared" si="1"/>
        <v/>
      </c>
      <c r="R17" s="36" t="str">
        <f t="shared" si="8"/>
        <v/>
      </c>
      <c r="S17" s="37" t="str">
        <f t="shared" si="9"/>
        <v/>
      </c>
      <c r="T17" s="37" t="str">
        <f t="shared" si="2"/>
        <v/>
      </c>
      <c r="U17" s="54"/>
      <c r="V17" s="46"/>
      <c r="W17" s="39" t="str">
        <f t="shared" si="10"/>
        <v/>
      </c>
      <c r="X17" s="38"/>
      <c r="Y17" s="48"/>
      <c r="AB17" s="56">
        <f t="shared" si="11"/>
        <v>1</v>
      </c>
      <c r="AC17" s="52"/>
      <c r="AD17" s="52"/>
      <c r="AE17" s="29" t="str">
        <f>IFERROR(
IF(AND(OR(AC17="C",AC17="c"), VLOOKUP(AF17,[1]Diccionario!B:N,13,0)="C"), "OK",IF(AND(OR(AC17="C",AC17="c"), OR(VLOOKUP(AF17,[1]Diccionario!B:N,13,0)="B", VLOOKUP(AF17,[1]Diccionario!B:N,13,0)="A")), "DEFICIT",IF(
AND(OR(AC17="B", AC17="BPAL"), VLOOKUP(AF17,[1]Diccionario!B:N,13,0)="B"), "OK",IF(AND(OR(AC17="B", AC17="BPAL"), VLOOKUP(AF17,[1]Diccionario!B:N,13,0)="A"), "DEFICIT",IF(AND(OR(AC17="B", AC17="BPAL"), VLOOKUP(AF17,[1]Diccionario!B:N,13,0)="C"), "SOBREOFERTA",IF(AND(AC17="A", VLOOKUP(AF17,[1]Diccionario!B:N,13,0)="A"), "OK",IF(
AND(AC17="A", OR(VLOOKUP(AF17,[1]Diccionario!B:N,13,0)="B", VLOOKUP(AF17,[1]Diccionario!B:N,13,0)="C")), "SOBREOFERTA",""
))))))),"")</f>
        <v/>
      </c>
      <c r="AF17" s="48"/>
      <c r="AG17" s="53"/>
      <c r="AH17" s="54"/>
      <c r="AI17" s="55" t="str">
        <f t="shared" si="12"/>
        <v/>
      </c>
      <c r="AJ17" s="46"/>
      <c r="AK17" s="34" t="e">
        <f>IF(AB17&lt;&gt;"",HLOOKUP(VALUE(TEXT(AH17,"h:mm:ss")),IF($C$6="Laboral",[1]Input!$A$4:$Y$227,IF($C$6="Sábado",[1]Input!$A$231:$Y$452,[1]Input!$A$456:$Y$656)),VLOOKUP($C$4,[1]Input!$AG$2:$AI$99,3,0)+IF(AD$5="Ida",0,1),1),"")</f>
        <v>#N/A</v>
      </c>
      <c r="AL17" s="34" t="str">
        <f>IF(AB18&lt;&gt;AB17,AVERAGEIF(AB$9:AB17,AB17,AK$9:AK17),"")</f>
        <v/>
      </c>
      <c r="AM17" s="35" t="str">
        <f>IFERROR(IF(AB18&lt;&gt;AB17,AVERAGEIF(AB$9:AB17,AB17,AT$9:AT17),""),"")</f>
        <v/>
      </c>
      <c r="AN17" s="35" t="str">
        <f>IFERROR(IF(AB18&lt;&gt;AB17,AVERAGEIF(AB$9:AB17,AB17,AU$9:AU17),""),"")</f>
        <v/>
      </c>
      <c r="AO17" s="35" t="str" cm="1">
        <f t="array" ref="AO17">IFERROR(IF(AB18&lt;&gt;AB17,_xlfn.STDEV.P(IF(AB$9:AB17=AB17,AU$9:AU17)),""),"")</f>
        <v/>
      </c>
      <c r="AP17" s="35" t="str" cm="1">
        <f t="array" ref="AP17">IFERROR(IF(AB18&lt;&gt;AB17,_xlfn.STDEV.P(IF(AB$9:AB17=AB17,AT$9:AT17)),""),"")</f>
        <v/>
      </c>
      <c r="AQ17" s="36" t="str">
        <f t="shared" si="3"/>
        <v/>
      </c>
      <c r="AR17" s="36" t="str">
        <f t="shared" si="4"/>
        <v/>
      </c>
      <c r="AS17" s="36" t="str">
        <f t="shared" si="13"/>
        <v/>
      </c>
      <c r="AT17" s="37" t="str">
        <f t="shared" si="5"/>
        <v/>
      </c>
      <c r="AU17" s="37" t="str">
        <f t="shared" si="6"/>
        <v/>
      </c>
      <c r="AV17" s="54"/>
      <c r="AW17" s="46"/>
      <c r="AX17" s="39" t="str" cm="1">
        <f t="array" ref="AX17">IF(AH17&lt;&gt;"",IF(AND(AX15:AX16&lt;&gt;"IE",AQ17&lt;&gt;0,AS17&lt;&gt;""),IF(IFERROR((AQ17/AS17),0) &lt;=1,IFERROR(AQ17/AS17,""),1),""),"")</f>
        <v/>
      </c>
      <c r="AY17" s="46"/>
      <c r="AZ17" s="57"/>
      <c r="BC17" s="48">
        <v>5</v>
      </c>
      <c r="BD17" s="48">
        <f>COUNTIFS($A:$A,$BC17,$C:$C,$BC$11)</f>
        <v>0</v>
      </c>
      <c r="BE17" s="48">
        <f>BD17-COUNTIFS($A:$A,$BC17,$C:$C,$BC$11,$H:$H,"")</f>
        <v>0</v>
      </c>
      <c r="BF17" s="49" t="str">
        <f t="shared" si="14"/>
        <v/>
      </c>
      <c r="BG17" s="48" t="str">
        <f>_xlfn.XLOOKUP(BC17,$A:$A,$R:$R,"0",0,-1)</f>
        <v>0</v>
      </c>
      <c r="BH17" s="50" t="str">
        <f>_xlfn.XLOOKUP(BC17,$A:$A,$P:$P,"0",0,-1)</f>
        <v>0</v>
      </c>
      <c r="BI17" s="39" t="str">
        <f>_xlfn.XLOOKUP(BC17,$A:$A,$W:$W,"",0,-1)</f>
        <v/>
      </c>
      <c r="BL17" s="48">
        <v>5</v>
      </c>
      <c r="BM17" s="48">
        <f>COUNTIFS($AB:$AB,$BL17,$AD:$AD,$BL$11)</f>
        <v>0</v>
      </c>
      <c r="BN17" s="48">
        <f>BM17-COUNTIFS($AB:$AB,$BL17,$AD:$AD,$BL$11,$AI:$AI,"")</f>
        <v>0</v>
      </c>
      <c r="BO17" s="49" t="str">
        <f t="shared" si="15"/>
        <v/>
      </c>
      <c r="BP17" s="48" t="str">
        <f>_xlfn.XLOOKUP(BL17,$AB:$AB,$AS:$AS,"0",0,-1)</f>
        <v>0</v>
      </c>
      <c r="BQ17" s="50" t="str">
        <f>_xlfn.XLOOKUP(BL17,$AB:$AB,$AQ:$AQ,"0",0,-1)</f>
        <v>0</v>
      </c>
      <c r="BR17" s="39" t="str">
        <f>_xlfn.XLOOKUP(BL17,$AB:$AB,$AX:$AX,"",0,-1)</f>
        <v/>
      </c>
    </row>
    <row r="18" spans="1:70" ht="15.5" x14ac:dyDescent="0.35">
      <c r="A18" s="51">
        <f t="shared" si="16"/>
        <v>1</v>
      </c>
      <c r="B18" s="52"/>
      <c r="C18" s="52"/>
      <c r="D18" s="29" t="str">
        <f>IFERROR(
IF(AND(OR(Planilla!B18="C",Planilla!B18="c"), VLOOKUP(E18,[1]Diccionario!B:N,13,0)="C"), "OK",IF(AND(OR(Planilla!B18="C",Planilla!B18="c"), OR(VLOOKUP(E18,[1]Diccionario!B:N,13,0)="B", VLOOKUP(E18,[1]Diccionario!B:N,13,0)="A")), "DEFICIT",IF(
AND(OR(Planilla!B18="B", Planilla!B18="BPAL"), VLOOKUP(E18,[1]Diccionario!B:N,13,0)="B"), "OK",IF(AND(OR(Planilla!B18="B", Planilla!B18="BPAL"), VLOOKUP(E18,[1]Diccionario!B:N,13,0)="A"), "DEFICIT",IF(AND(OR(Planilla!B18="B", Planilla!B18="BPAL"), VLOOKUP(E18,[1]Diccionario!B:N,13,0)="C"), "SOBREOFERTA",IF(AND(Planilla!B18="A", VLOOKUP(E18,[1]Diccionario!B:N,13,0)="A"), "OK",IF(
AND(Planilla!B18="A", OR(VLOOKUP(E18,[1]Diccionario!B:N,13,0)="B", VLOOKUP(E18,[1]Diccionario!B:N,13,0)="C")), "SOBREOFERTA",""
))))))),"")</f>
        <v/>
      </c>
      <c r="E18" s="48"/>
      <c r="F18" s="53" t="str">
        <f t="shared" si="17"/>
        <v/>
      </c>
      <c r="G18" s="54"/>
      <c r="H18" s="55" t="str">
        <f t="shared" si="7"/>
        <v/>
      </c>
      <c r="I18" s="35"/>
      <c r="J18" s="34" t="e">
        <f>IF(A18&lt;&gt;"",HLOOKUP(VALUE(TEXT(G18,"h:mm:ss")),IF($C$6="Laboral",[1]Input!$A$4:$Y$227,IF($C$6="Sábado",[1]Input!$A$231:$Y$452,[1]Input!$A$456:$Y$656)),VLOOKUP($C$4,[1]Input!$AG$2:$AI$99,3,0)+IF(C$5="Ida",0,1),1),"")</f>
        <v>#N/A</v>
      </c>
      <c r="K18" s="34" t="str">
        <f>IF(A19&lt;&gt;A18,AVERAGEIF(A$9:A18,A18,J$13:J18),"")</f>
        <v/>
      </c>
      <c r="L18" s="35" t="str">
        <f>IFERROR(IF(A19&lt;&gt;A18,AVERAGEIF(A$9:A18,A18,S$13:S18),""),"")</f>
        <v/>
      </c>
      <c r="M18" s="35" t="str">
        <f>IFERROR(IF(A19&lt;&gt;A18,AVERAGEIF(A$9:A18,A18,T$8:T18),""),"")</f>
        <v/>
      </c>
      <c r="N18" s="35" t="str" cm="1">
        <f t="array" ref="N18">IFERROR(IF(A19&lt;&gt;A18,_xlfn.STDEV.P(IF(A$9:A18=A18,T$7:T18)),""),"")</f>
        <v/>
      </c>
      <c r="O18" s="35" t="str" cm="1">
        <f t="array" ref="O18">IFERROR(IF(A19&lt;&gt;A18,_xlfn.STDEV.P(IF(A$9:A18=A18,S$7:S18)),""),"")</f>
        <v/>
      </c>
      <c r="P18" s="36" t="str">
        <f t="shared" si="0"/>
        <v/>
      </c>
      <c r="Q18" s="36" t="str">
        <f t="shared" si="1"/>
        <v/>
      </c>
      <c r="R18" s="36" t="str">
        <f t="shared" si="8"/>
        <v/>
      </c>
      <c r="S18" s="37" t="str">
        <f t="shared" si="9"/>
        <v/>
      </c>
      <c r="T18" s="37" t="str">
        <f t="shared" si="2"/>
        <v/>
      </c>
      <c r="U18" s="54"/>
      <c r="V18" s="46"/>
      <c r="W18" s="39" t="str">
        <f t="shared" si="10"/>
        <v/>
      </c>
      <c r="X18" s="38"/>
      <c r="Y18" s="48"/>
      <c r="AB18" s="56">
        <f t="shared" si="11"/>
        <v>1</v>
      </c>
      <c r="AC18" s="52"/>
      <c r="AD18" s="52"/>
      <c r="AE18" s="29" t="str">
        <f>IFERROR(
IF(AND(OR(AC18="C",AC18="c"), VLOOKUP(AF18,[1]Diccionario!B:N,13,0)="C"), "OK",IF(AND(OR(AC18="C",AC18="c"), OR(VLOOKUP(AF18,[1]Diccionario!B:N,13,0)="B", VLOOKUP(AF18,[1]Diccionario!B:N,13,0)="A")), "DEFICIT",IF(
AND(OR(AC18="B", AC18="BPAL"), VLOOKUP(AF18,[1]Diccionario!B:N,13,0)="B"), "OK",IF(AND(OR(AC18="B", AC18="BPAL"), VLOOKUP(AF18,[1]Diccionario!B:N,13,0)="A"), "DEFICIT",IF(AND(OR(AC18="B", AC18="BPAL"), VLOOKUP(AF18,[1]Diccionario!B:N,13,0)="C"), "SOBREOFERTA",IF(AND(AC18="A", VLOOKUP(AF18,[1]Diccionario!B:N,13,0)="A"), "OK",IF(
AND(AC18="A", OR(VLOOKUP(AF18,[1]Diccionario!B:N,13,0)="B", VLOOKUP(AF18,[1]Diccionario!B:N,13,0)="C")), "SOBREOFERTA",""
))))))),"")</f>
        <v/>
      </c>
      <c r="AF18" s="48"/>
      <c r="AG18" s="53"/>
      <c r="AH18" s="54"/>
      <c r="AI18" s="55" t="str">
        <f t="shared" si="12"/>
        <v/>
      </c>
      <c r="AJ18" s="46"/>
      <c r="AK18" s="34" t="e">
        <f>IF(AB18&lt;&gt;"",HLOOKUP(VALUE(TEXT(AH18,"h:mm:ss")),IF($C$6="Laboral",[1]Input!$A$4:$Y$227,IF($C$6="Sábado",[1]Input!$A$231:$Y$452,[1]Input!$A$456:$Y$656)),VLOOKUP($C$4,[1]Input!$AG$2:$AI$99,3,0)+IF(AD$5="Ida",0,1),1),"")</f>
        <v>#N/A</v>
      </c>
      <c r="AL18" s="34" t="str">
        <f>IF(AB19&lt;&gt;AB18,AVERAGEIF(AB$9:AB18,AB18,AK$9:AK18),"")</f>
        <v/>
      </c>
      <c r="AM18" s="35" t="str">
        <f>IFERROR(IF(AB19&lt;&gt;AB18,AVERAGEIF(AB$9:AB18,AB18,AT$9:AT18),""),"")</f>
        <v/>
      </c>
      <c r="AN18" s="35" t="str">
        <f>IFERROR(IF(AB19&lt;&gt;AB18,AVERAGEIF(AB$9:AB18,AB18,AU$9:AU18),""),"")</f>
        <v/>
      </c>
      <c r="AO18" s="35" t="str" cm="1">
        <f t="array" ref="AO18">IFERROR(IF(AB19&lt;&gt;AB18,_xlfn.STDEV.P(IF(AB$9:AB18=AB18,AU$9:AU18)),""),"")</f>
        <v/>
      </c>
      <c r="AP18" s="35" t="str" cm="1">
        <f t="array" ref="AP18">IFERROR(IF(AB19&lt;&gt;AB18,_xlfn.STDEV.P(IF(AB$9:AB18=AB18,AT$9:AT18)),""),"")</f>
        <v/>
      </c>
      <c r="AQ18" s="36" t="str">
        <f t="shared" si="3"/>
        <v/>
      </c>
      <c r="AR18" s="36" t="str">
        <f t="shared" si="4"/>
        <v/>
      </c>
      <c r="AS18" s="36" t="str">
        <f t="shared" si="13"/>
        <v/>
      </c>
      <c r="AT18" s="37" t="str">
        <f t="shared" si="5"/>
        <v/>
      </c>
      <c r="AU18" s="37" t="str">
        <f t="shared" si="6"/>
        <v/>
      </c>
      <c r="AV18" s="54"/>
      <c r="AW18" s="46"/>
      <c r="AX18" s="39" t="str" cm="1">
        <f t="array" ref="AX18">IF(AH18&lt;&gt;"",IF(AND(AX16:AX17&lt;&gt;"IE",AQ18&lt;&gt;0,AS18&lt;&gt;""),IF(IFERROR((AQ18/AS18),0) &lt;=1,IFERROR(AQ18/AS18,""),1),""),"")</f>
        <v/>
      </c>
      <c r="AY18" s="46"/>
      <c r="AZ18" s="57"/>
      <c r="BC18" s="48">
        <v>6</v>
      </c>
      <c r="BD18" s="48">
        <f>COUNTIFS($A:$A,$BC18,$C:$C,$BC$11)</f>
        <v>0</v>
      </c>
      <c r="BE18" s="48">
        <f>BD18-COUNTIFS($A:$A,$BC18,$C:$C,$BC$11,$H:$H,"")</f>
        <v>0</v>
      </c>
      <c r="BF18" s="49" t="str">
        <f t="shared" si="14"/>
        <v/>
      </c>
      <c r="BG18" s="48" t="str">
        <f>_xlfn.XLOOKUP(BC18,$A:$A,$R:$R,"0",0,-1)</f>
        <v>0</v>
      </c>
      <c r="BH18" s="50" t="str">
        <f>_xlfn.XLOOKUP(BC18,$A:$A,$P:$P,"0",0,-1)</f>
        <v>0</v>
      </c>
      <c r="BI18" s="39" t="str">
        <f>_xlfn.XLOOKUP(BC18,$A:$A,$W:$W,"",0,-1)</f>
        <v/>
      </c>
      <c r="BL18" s="48">
        <v>6</v>
      </c>
      <c r="BM18" s="48">
        <f>COUNTIFS($AB:$AB,$BL18,$AD:$AD,$BL$11)</f>
        <v>0</v>
      </c>
      <c r="BN18" s="48">
        <f>BM18-COUNTIFS($AB:$AB,$BL18,$AD:$AD,$BL$11,$AI:$AI,"")</f>
        <v>0</v>
      </c>
      <c r="BO18" s="49" t="str">
        <f t="shared" si="15"/>
        <v/>
      </c>
      <c r="BP18" s="48" t="str">
        <f>_xlfn.XLOOKUP(BL18,$AB:$AB,$AS:$AS,"0",0,-1)</f>
        <v>0</v>
      </c>
      <c r="BQ18" s="50" t="str">
        <f>_xlfn.XLOOKUP(BL18,$AB:$AB,$AQ:$AQ,"0",0,-1)</f>
        <v>0</v>
      </c>
      <c r="BR18" s="39" t="str">
        <f>_xlfn.XLOOKUP(BL18,$AB:$AB,$AX:$AX,"",0,-1)</f>
        <v/>
      </c>
    </row>
    <row r="19" spans="1:70" ht="15" customHeight="1" x14ac:dyDescent="0.35">
      <c r="A19" s="51">
        <f t="shared" si="16"/>
        <v>1</v>
      </c>
      <c r="B19" s="52"/>
      <c r="C19" s="52"/>
      <c r="D19" s="29" t="str">
        <f>IFERROR(
IF(AND(OR(Planilla!B19="C",Planilla!B19="c"), VLOOKUP(E19,[1]Diccionario!B:N,13,0)="C"), "OK",IF(AND(OR(Planilla!B19="C",Planilla!B19="c"), OR(VLOOKUP(E19,[1]Diccionario!B:N,13,0)="B", VLOOKUP(E19,[1]Diccionario!B:N,13,0)="A")), "DEFICIT",IF(
AND(OR(Planilla!B19="B", Planilla!B19="BPAL"), VLOOKUP(E19,[1]Diccionario!B:N,13,0)="B"), "OK",IF(AND(OR(Planilla!B19="B", Planilla!B19="BPAL"), VLOOKUP(E19,[1]Diccionario!B:N,13,0)="A"), "DEFICIT",IF(AND(OR(Planilla!B19="B", Planilla!B19="BPAL"), VLOOKUP(E19,[1]Diccionario!B:N,13,0)="C"), "SOBREOFERTA",IF(AND(Planilla!B19="A", VLOOKUP(E19,[1]Diccionario!B:N,13,0)="A"), "OK",IF(
AND(Planilla!B19="A", OR(VLOOKUP(E19,[1]Diccionario!B:N,13,0)="B", VLOOKUP(E19,[1]Diccionario!B:N,13,0)="C")), "SOBREOFERTA",""
))))))),"")</f>
        <v/>
      </c>
      <c r="E19" s="48"/>
      <c r="F19" s="53" t="str">
        <f t="shared" si="17"/>
        <v/>
      </c>
      <c r="G19" s="54"/>
      <c r="H19" s="55" t="str">
        <f t="shared" si="7"/>
        <v/>
      </c>
      <c r="I19" s="35"/>
      <c r="J19" s="34" t="e">
        <f>IF(A19&lt;&gt;"",HLOOKUP(VALUE(TEXT(G19,"h:mm:ss")),IF($C$6="Laboral",[1]Input!$A$4:$Y$227,IF($C$6="Sábado",[1]Input!$A$231:$Y$452,[1]Input!$A$456:$Y$656)),VLOOKUP($C$4,[1]Input!$AG$2:$AI$99,3,0)+IF(C$5="Ida",0,1),1),"")</f>
        <v>#N/A</v>
      </c>
      <c r="K19" s="34" t="str">
        <f>IF(A20&lt;&gt;A19,AVERAGEIF(A$9:A19,A19,J$13:J19),"")</f>
        <v/>
      </c>
      <c r="L19" s="35" t="str">
        <f>IFERROR(IF(A20&lt;&gt;A19,AVERAGEIF(A$9:A19,A19,S$13:S19),""),"")</f>
        <v/>
      </c>
      <c r="M19" s="35" t="str">
        <f>IFERROR(IF(A20&lt;&gt;A19,AVERAGEIF(A$9:A19,A19,T$8:T19),""),"")</f>
        <v/>
      </c>
      <c r="N19" s="35" t="str" cm="1">
        <f t="array" ref="N19">IFERROR(IF(A20&lt;&gt;A19,_xlfn.STDEV.P(IF(A$9:A19=A19,T$7:T19)),""),"")</f>
        <v/>
      </c>
      <c r="O19" s="35" t="str" cm="1">
        <f t="array" ref="O19">IFERROR(IF(A20&lt;&gt;A19,_xlfn.STDEV.P(IF(A$9:A19=A19,S$7:S19)),""),"")</f>
        <v/>
      </c>
      <c r="P19" s="36" t="str">
        <f t="shared" si="0"/>
        <v/>
      </c>
      <c r="Q19" s="36" t="str">
        <f t="shared" si="1"/>
        <v/>
      </c>
      <c r="R19" s="36" t="str">
        <f t="shared" si="8"/>
        <v/>
      </c>
      <c r="S19" s="37" t="str">
        <f t="shared" si="9"/>
        <v/>
      </c>
      <c r="T19" s="37" t="str">
        <f t="shared" si="2"/>
        <v/>
      </c>
      <c r="U19" s="54"/>
      <c r="V19" s="46"/>
      <c r="W19" s="39" t="str">
        <f t="shared" si="10"/>
        <v/>
      </c>
      <c r="X19" s="38"/>
      <c r="Y19" s="48"/>
      <c r="AB19" s="56">
        <f t="shared" si="11"/>
        <v>1</v>
      </c>
      <c r="AC19" s="52"/>
      <c r="AD19" s="52"/>
      <c r="AE19" s="29" t="str">
        <f>IFERROR(
IF(AND(OR(AC19="C",AC19="c"), VLOOKUP(AF19,[1]Diccionario!B:N,13,0)="C"), "OK",IF(AND(OR(AC19="C",AC19="c"), OR(VLOOKUP(AF19,[1]Diccionario!B:N,13,0)="B", VLOOKUP(AF19,[1]Diccionario!B:N,13,0)="A")), "DEFICIT",IF(
AND(OR(AC19="B", AC19="BPAL"), VLOOKUP(AF19,[1]Diccionario!B:N,13,0)="B"), "OK",IF(AND(OR(AC19="B", AC19="BPAL"), VLOOKUP(AF19,[1]Diccionario!B:N,13,0)="A"), "DEFICIT",IF(AND(OR(AC19="B", AC19="BPAL"), VLOOKUP(AF19,[1]Diccionario!B:N,13,0)="C"), "SOBREOFERTA",IF(AND(AC19="A", VLOOKUP(AF19,[1]Diccionario!B:N,13,0)="A"), "OK",IF(
AND(AC19="A", OR(VLOOKUP(AF19,[1]Diccionario!B:N,13,0)="B", VLOOKUP(AF19,[1]Diccionario!B:N,13,0)="C")), "SOBREOFERTA",""
))))))),"")</f>
        <v/>
      </c>
      <c r="AF19" s="48"/>
      <c r="AG19" s="53"/>
      <c r="AH19" s="54"/>
      <c r="AI19" s="55" t="str">
        <f t="shared" si="12"/>
        <v/>
      </c>
      <c r="AJ19" s="46"/>
      <c r="AK19" s="34" t="e">
        <f>IF(AB19&lt;&gt;"",HLOOKUP(VALUE(TEXT(AH19,"h:mm:ss")),IF($C$6="Laboral",[1]Input!$A$4:$Y$227,IF($C$6="Sábado",[1]Input!$A$231:$Y$452,[1]Input!$A$456:$Y$656)),VLOOKUP($C$4,[1]Input!$AG$2:$AI$99,3,0)+IF(AD$5="Ida",0,1),1),"")</f>
        <v>#N/A</v>
      </c>
      <c r="AL19" s="34" t="str">
        <f>IF(AB20&lt;&gt;AB19,AVERAGEIF(AB$9:AB19,AB19,AK$9:AK19),"")</f>
        <v/>
      </c>
      <c r="AM19" s="35" t="str">
        <f>IFERROR(IF(AB20&lt;&gt;AB19,AVERAGEIF(AB$9:AB19,AB19,AT$9:AT19),""),"")</f>
        <v/>
      </c>
      <c r="AN19" s="35" t="str">
        <f>IFERROR(IF(AB20&lt;&gt;AB19,AVERAGEIF(AB$9:AB19,AB19,AU$9:AU19),""),"")</f>
        <v/>
      </c>
      <c r="AO19" s="35" t="str" cm="1">
        <f t="array" ref="AO19">IFERROR(IF(AB20&lt;&gt;AB19,_xlfn.STDEV.P(IF(AB$9:AB19=AB19,AU$9:AU19)),""),"")</f>
        <v/>
      </c>
      <c r="AP19" s="35" t="str" cm="1">
        <f t="array" ref="AP19">IFERROR(IF(AB20&lt;&gt;AB19,_xlfn.STDEV.P(IF(AB$9:AB19=AB19,AT$9:AT19)),""),"")</f>
        <v/>
      </c>
      <c r="AQ19" s="36" t="str">
        <f t="shared" si="3"/>
        <v/>
      </c>
      <c r="AR19" s="36" t="str">
        <f t="shared" si="4"/>
        <v/>
      </c>
      <c r="AS19" s="36" t="str">
        <f t="shared" si="13"/>
        <v/>
      </c>
      <c r="AT19" s="37" t="str">
        <f t="shared" si="5"/>
        <v/>
      </c>
      <c r="AU19" s="37" t="str">
        <f t="shared" si="6"/>
        <v/>
      </c>
      <c r="AV19" s="54"/>
      <c r="AW19" s="46"/>
      <c r="AX19" s="39" t="str" cm="1">
        <f t="array" ref="AX19">IF(AH19&lt;&gt;"",IF(AND(AX17:AX18&lt;&gt;"IE",AQ19&lt;&gt;0,AS19&lt;&gt;""),IF(IFERROR((AQ19/AS19),0) &lt;=1,IFERROR(AQ19/AS19,""),1),""),"")</f>
        <v/>
      </c>
      <c r="AY19" s="46"/>
      <c r="AZ19" s="57"/>
      <c r="BC19" s="48">
        <v>7</v>
      </c>
      <c r="BD19" s="48">
        <f>COUNTIFS($A:$A,$BC19,$C:$C,$BC$11)</f>
        <v>0</v>
      </c>
      <c r="BE19" s="48">
        <f>BD19-COUNTIFS($A:$A,$BC19,$C:$C,$BC$11,$H:$H,"")</f>
        <v>0</v>
      </c>
      <c r="BF19" s="49" t="str">
        <f t="shared" si="14"/>
        <v/>
      </c>
      <c r="BG19" s="48" t="str">
        <f>_xlfn.XLOOKUP(BC19,$A:$A,$R:$R,"0",0,-1)</f>
        <v>0</v>
      </c>
      <c r="BH19" s="50" t="str">
        <f>_xlfn.XLOOKUP(BC19,$A:$A,$P:$P,"0",0,-1)</f>
        <v>0</v>
      </c>
      <c r="BI19" s="39" t="str">
        <f>_xlfn.XLOOKUP(BC19,$A:$A,$W:$W,"",0,-1)</f>
        <v/>
      </c>
      <c r="BL19" s="48">
        <v>7</v>
      </c>
      <c r="BM19" s="48">
        <f>COUNTIFS($AB:$AB,$BL19,$AD:$AD,$BL$11)</f>
        <v>0</v>
      </c>
      <c r="BN19" s="48">
        <f>BM19-COUNTIFS($AB:$AB,$BL19,$AD:$AD,$BL$11,$AI:$AI,"")</f>
        <v>0</v>
      </c>
      <c r="BO19" s="49" t="str">
        <f t="shared" si="15"/>
        <v/>
      </c>
      <c r="BP19" s="48" t="str">
        <f>_xlfn.XLOOKUP(BL19,$AB:$AB,$AS:$AS,"0",0,-1)</f>
        <v>0</v>
      </c>
      <c r="BQ19" s="50" t="str">
        <f>_xlfn.XLOOKUP(BL19,$AB:$AB,$AQ:$AQ,"0",0,-1)</f>
        <v>0</v>
      </c>
      <c r="BR19" s="39" t="str">
        <f>_xlfn.XLOOKUP(BL19,$AB:$AB,$AX:$AX,"",0,-1)</f>
        <v/>
      </c>
    </row>
    <row r="20" spans="1:70" ht="15.5" x14ac:dyDescent="0.35">
      <c r="A20" s="51">
        <f t="shared" si="16"/>
        <v>1</v>
      </c>
      <c r="B20" s="52"/>
      <c r="C20" s="52"/>
      <c r="D20" s="29" t="str">
        <f>IFERROR(
IF(AND(OR(Planilla!B20="C",Planilla!B20="c"), VLOOKUP(E20,[1]Diccionario!B:N,13,0)="C"), "OK",IF(AND(OR(Planilla!B20="C",Planilla!B20="c"), OR(VLOOKUP(E20,[1]Diccionario!B:N,13,0)="B", VLOOKUP(E20,[1]Diccionario!B:N,13,0)="A")), "DEFICIT",IF(
AND(OR(Planilla!B20="B", Planilla!B20="BPAL"), VLOOKUP(E20,[1]Diccionario!B:N,13,0)="B"), "OK",IF(AND(OR(Planilla!B20="B", Planilla!B20="BPAL"), VLOOKUP(E20,[1]Diccionario!B:N,13,0)="A"), "DEFICIT",IF(AND(OR(Planilla!B20="B", Planilla!B20="BPAL"), VLOOKUP(E20,[1]Diccionario!B:N,13,0)="C"), "SOBREOFERTA",IF(AND(Planilla!B20="A", VLOOKUP(E20,[1]Diccionario!B:N,13,0)="A"), "OK",IF(
AND(Planilla!B20="A", OR(VLOOKUP(E20,[1]Diccionario!B:N,13,0)="B", VLOOKUP(E20,[1]Diccionario!B:N,13,0)="C")), "SOBREOFERTA",""
))))))),"")</f>
        <v/>
      </c>
      <c r="E20" s="48"/>
      <c r="F20" s="53" t="str">
        <f t="shared" si="17"/>
        <v/>
      </c>
      <c r="G20" s="54"/>
      <c r="H20" s="55" t="str">
        <f t="shared" si="7"/>
        <v/>
      </c>
      <c r="I20" s="35"/>
      <c r="J20" s="34" t="e">
        <f>IF(A20&lt;&gt;"",HLOOKUP(VALUE(TEXT(G20,"h:mm:ss")),IF($C$6="Laboral",[1]Input!$A$4:$Y$227,IF($C$6="Sábado",[1]Input!$A$231:$Y$452,[1]Input!$A$456:$Y$656)),VLOOKUP($C$4,[1]Input!$AG$2:$AI$99,3,0)+IF(C$5="Ida",0,1),1),"")</f>
        <v>#N/A</v>
      </c>
      <c r="K20" s="34" t="str">
        <f>IF(A21&lt;&gt;A20,AVERAGEIF(A$9:A20,A20,J$13:J20),"")</f>
        <v/>
      </c>
      <c r="L20" s="35" t="str">
        <f>IFERROR(IF(A21&lt;&gt;A20,AVERAGEIF(A$9:A20,A20,S$13:S20),""),"")</f>
        <v/>
      </c>
      <c r="M20" s="35" t="str">
        <f>IFERROR(IF(A21&lt;&gt;A20,AVERAGEIF(A$9:A20,A20,T$8:T20),""),"")</f>
        <v/>
      </c>
      <c r="N20" s="35" t="str" cm="1">
        <f t="array" ref="N20">IFERROR(IF(A21&lt;&gt;A20,_xlfn.STDEV.P(IF(A$9:A20=A20,T$7:T20)),""),"")</f>
        <v/>
      </c>
      <c r="O20" s="35" t="str" cm="1">
        <f t="array" ref="O20">IFERROR(IF(A21&lt;&gt;A20,_xlfn.STDEV.P(IF(A$9:A20=A20,S$7:S20)),""),"")</f>
        <v/>
      </c>
      <c r="P20" s="36" t="str">
        <f t="shared" si="0"/>
        <v/>
      </c>
      <c r="Q20" s="36" t="str">
        <f t="shared" si="1"/>
        <v/>
      </c>
      <c r="R20" s="36" t="str">
        <f t="shared" si="8"/>
        <v/>
      </c>
      <c r="S20" s="37" t="str">
        <f t="shared" si="9"/>
        <v/>
      </c>
      <c r="T20" s="37" t="str">
        <f t="shared" si="2"/>
        <v/>
      </c>
      <c r="U20" s="54"/>
      <c r="V20" s="46"/>
      <c r="W20" s="39" t="str">
        <f t="shared" si="10"/>
        <v/>
      </c>
      <c r="X20" s="38"/>
      <c r="Y20" s="48"/>
      <c r="AB20" s="56">
        <f t="shared" si="11"/>
        <v>1</v>
      </c>
      <c r="AC20" s="52"/>
      <c r="AD20" s="52"/>
      <c r="AE20" s="29" t="str">
        <f>IFERROR(
IF(AND(OR(AC20="C",AC20="c"), VLOOKUP(AF20,[1]Diccionario!B:N,13,0)="C"), "OK",IF(AND(OR(AC20="C",AC20="c"), OR(VLOOKUP(AF20,[1]Diccionario!B:N,13,0)="B", VLOOKUP(AF20,[1]Diccionario!B:N,13,0)="A")), "DEFICIT",IF(
AND(OR(AC20="B", AC20="BPAL"), VLOOKUP(AF20,[1]Diccionario!B:N,13,0)="B"), "OK",IF(AND(OR(AC20="B", AC20="BPAL"), VLOOKUP(AF20,[1]Diccionario!B:N,13,0)="A"), "DEFICIT",IF(AND(OR(AC20="B", AC20="BPAL"), VLOOKUP(AF20,[1]Diccionario!B:N,13,0)="C"), "SOBREOFERTA",IF(AND(AC20="A", VLOOKUP(AF20,[1]Diccionario!B:N,13,0)="A"), "OK",IF(
AND(AC20="A", OR(VLOOKUP(AF20,[1]Diccionario!B:N,13,0)="B", VLOOKUP(AF20,[1]Diccionario!B:N,13,0)="C")), "SOBREOFERTA",""
))))))),"")</f>
        <v/>
      </c>
      <c r="AF20" s="48"/>
      <c r="AG20" s="53"/>
      <c r="AH20" s="54"/>
      <c r="AI20" s="55" t="str">
        <f t="shared" si="12"/>
        <v/>
      </c>
      <c r="AJ20" s="46"/>
      <c r="AK20" s="34" t="e">
        <f>IF(AB20&lt;&gt;"",HLOOKUP(VALUE(TEXT(AH20,"h:mm:ss")),IF($C$6="Laboral",[1]Input!$A$4:$Y$227,IF($C$6="Sábado",[1]Input!$A$231:$Y$452,[1]Input!$A$456:$Y$656)),VLOOKUP($C$4,[1]Input!$AG$2:$AI$99,3,0)+IF(AD$5="Ida",0,1),1),"")</f>
        <v>#N/A</v>
      </c>
      <c r="AL20" s="34" t="str">
        <f>IF(AB21&lt;&gt;AB20,AVERAGEIF(AB$9:AB20,AB20,AK$9:AK20),"")</f>
        <v/>
      </c>
      <c r="AM20" s="35" t="str">
        <f>IFERROR(IF(AB21&lt;&gt;AB20,AVERAGEIF(AB$9:AB20,AB20,AT$9:AT20),""),"")</f>
        <v/>
      </c>
      <c r="AN20" s="35" t="str">
        <f>IFERROR(IF(AB21&lt;&gt;AB20,AVERAGEIF(AB$9:AB20,AB20,AU$9:AU20),""),"")</f>
        <v/>
      </c>
      <c r="AO20" s="35" t="str" cm="1">
        <f t="array" ref="AO20">IFERROR(IF(AB21&lt;&gt;AB20,_xlfn.STDEV.P(IF(AB$9:AB20=AB20,AU$9:AU20)),""),"")</f>
        <v/>
      </c>
      <c r="AP20" s="35" t="str" cm="1">
        <f t="array" ref="AP20">IFERROR(IF(AB21&lt;&gt;AB20,_xlfn.STDEV.P(IF(AB$9:AB20=AB20,AT$9:AT20)),""),"")</f>
        <v/>
      </c>
      <c r="AQ20" s="36" t="str">
        <f t="shared" si="3"/>
        <v/>
      </c>
      <c r="AR20" s="36" t="str">
        <f t="shared" si="4"/>
        <v/>
      </c>
      <c r="AS20" s="36" t="str">
        <f t="shared" si="13"/>
        <v/>
      </c>
      <c r="AT20" s="37" t="str">
        <f t="shared" si="5"/>
        <v/>
      </c>
      <c r="AU20" s="37" t="str">
        <f t="shared" si="6"/>
        <v/>
      </c>
      <c r="AV20" s="54"/>
      <c r="AW20" s="46"/>
      <c r="AX20" s="39" t="str" cm="1">
        <f t="array" ref="AX20">IF(AH20&lt;&gt;"",IF(AND(AX18:AX19&lt;&gt;"IE",AQ20&lt;&gt;0,AS20&lt;&gt;""),IF(IFERROR((AQ20/AS20),0) &lt;=1,IFERROR(AQ20/AS20,""),1),""),"")</f>
        <v/>
      </c>
      <c r="AY20" s="46"/>
      <c r="AZ20" s="57"/>
      <c r="BC20" s="48">
        <v>8</v>
      </c>
      <c r="BD20" s="48">
        <f>COUNTIFS($A:$A,$BC20,$C:$C,$BC$11)</f>
        <v>0</v>
      </c>
      <c r="BE20" s="48">
        <f>BD20-COUNTIFS($A:$A,$BC20,$C:$C,$BC$11,$H:$H,"")</f>
        <v>0</v>
      </c>
      <c r="BF20" s="49" t="str">
        <f t="shared" si="14"/>
        <v/>
      </c>
      <c r="BG20" s="48" t="str">
        <f>_xlfn.XLOOKUP(BC20,$A:$A,$R:$R,"0",0,-1)</f>
        <v>0</v>
      </c>
      <c r="BH20" s="50" t="str">
        <f>_xlfn.XLOOKUP(BC20,$A:$A,$P:$P,"0",0,-1)</f>
        <v>0</v>
      </c>
      <c r="BI20" s="39" t="str">
        <f>_xlfn.XLOOKUP(BC20,$A:$A,$W:$W,"",0,-1)</f>
        <v/>
      </c>
      <c r="BL20" s="48">
        <v>8</v>
      </c>
      <c r="BM20" s="48">
        <f>COUNTIFS($AB:$AB,$BL20,$AD:$AD,$BL$11)</f>
        <v>0</v>
      </c>
      <c r="BN20" s="48">
        <f>BM20-COUNTIFS($AB:$AB,$BL20,$AD:$AD,$BL$11,$AI:$AI,"")</f>
        <v>0</v>
      </c>
      <c r="BO20" s="49" t="str">
        <f t="shared" si="15"/>
        <v/>
      </c>
      <c r="BP20" s="48" t="str">
        <f>_xlfn.XLOOKUP(BL20,$AB:$AB,$AS:$AS,"0",0,-1)</f>
        <v>0</v>
      </c>
      <c r="BQ20" s="50" t="str">
        <f>_xlfn.XLOOKUP(BL20,$AB:$AB,$AQ:$AQ,"0",0,-1)</f>
        <v>0</v>
      </c>
      <c r="BR20" s="39" t="str">
        <f>_xlfn.XLOOKUP(BL20,$AB:$AB,$AX:$AX,"",0,-1)</f>
        <v/>
      </c>
    </row>
    <row r="21" spans="1:70" ht="15.5" x14ac:dyDescent="0.35">
      <c r="A21" s="51">
        <f t="shared" si="16"/>
        <v>1</v>
      </c>
      <c r="B21" s="52"/>
      <c r="C21" s="52"/>
      <c r="D21" s="29" t="str">
        <f>IFERROR(
IF(AND(OR(Planilla!B21="C",Planilla!B21="c"), VLOOKUP(E21,[1]Diccionario!B:N,13,0)="C"), "OK",IF(AND(OR(Planilla!B21="C",Planilla!B21="c"), OR(VLOOKUP(E21,[1]Diccionario!B:N,13,0)="B", VLOOKUP(E21,[1]Diccionario!B:N,13,0)="A")), "DEFICIT",IF(
AND(OR(Planilla!B21="B", Planilla!B21="BPAL"), VLOOKUP(E21,[1]Diccionario!B:N,13,0)="B"), "OK",IF(AND(OR(Planilla!B21="B", Planilla!B21="BPAL"), VLOOKUP(E21,[1]Diccionario!B:N,13,0)="A"), "DEFICIT",IF(AND(OR(Planilla!B21="B", Planilla!B21="BPAL"), VLOOKUP(E21,[1]Diccionario!B:N,13,0)="C"), "SOBREOFERTA",IF(AND(Planilla!B21="A", VLOOKUP(E21,[1]Diccionario!B:N,13,0)="A"), "OK",IF(
AND(Planilla!B21="A", OR(VLOOKUP(E21,[1]Diccionario!B:N,13,0)="B", VLOOKUP(E21,[1]Diccionario!B:N,13,0)="C")), "SOBREOFERTA",""
))))))),"")</f>
        <v/>
      </c>
      <c r="E21" s="48"/>
      <c r="F21" s="53" t="str">
        <f t="shared" si="17"/>
        <v/>
      </c>
      <c r="G21" s="54"/>
      <c r="H21" s="55" t="str">
        <f t="shared" si="7"/>
        <v/>
      </c>
      <c r="I21" s="35"/>
      <c r="J21" s="34" t="e">
        <f>IF(A21&lt;&gt;"",HLOOKUP(VALUE(TEXT(G21,"h:mm:ss")),IF($C$6="Laboral",[1]Input!$A$4:$Y$227,IF($C$6="Sábado",[1]Input!$A$231:$Y$452,[1]Input!$A$456:$Y$656)),VLOOKUP($C$4,[1]Input!$AG$2:$AI$99,3,0)+IF(C$5="Ida",0,1),1),"")</f>
        <v>#N/A</v>
      </c>
      <c r="K21" s="34" t="str">
        <f>IF(A22&lt;&gt;A21,AVERAGEIF(A$9:A21,A21,J$13:J21),"")</f>
        <v/>
      </c>
      <c r="L21" s="35" t="str">
        <f>IFERROR(IF(A22&lt;&gt;A21,AVERAGEIF(A$9:A21,A21,S$13:S21),""),"")</f>
        <v/>
      </c>
      <c r="M21" s="35" t="str">
        <f>IFERROR(IF(A22&lt;&gt;A21,AVERAGEIF(A$9:A21,A21,T$8:T21),""),"")</f>
        <v/>
      </c>
      <c r="N21" s="35" t="str" cm="1">
        <f t="array" ref="N21">IFERROR(IF(A22&lt;&gt;A21,_xlfn.STDEV.P(IF(A$9:A21=A21,T$7:T21)),""),"")</f>
        <v/>
      </c>
      <c r="O21" s="35" t="str" cm="1">
        <f t="array" ref="O21">IFERROR(IF(A22&lt;&gt;A21,_xlfn.STDEV.P(IF(A$9:A21=A21,S$7:S21)),""),"")</f>
        <v/>
      </c>
      <c r="P21" s="36" t="str">
        <f t="shared" si="0"/>
        <v/>
      </c>
      <c r="Q21" s="36" t="str">
        <f t="shared" si="1"/>
        <v/>
      </c>
      <c r="R21" s="36" t="str">
        <f t="shared" si="8"/>
        <v/>
      </c>
      <c r="S21" s="37" t="str">
        <f t="shared" si="9"/>
        <v/>
      </c>
      <c r="T21" s="37" t="str">
        <f t="shared" si="2"/>
        <v/>
      </c>
      <c r="U21" s="54"/>
      <c r="V21" s="46"/>
      <c r="W21" s="39" t="str">
        <f t="shared" si="10"/>
        <v/>
      </c>
      <c r="X21" s="38"/>
      <c r="Y21" s="48"/>
      <c r="AB21" s="56">
        <f t="shared" si="11"/>
        <v>1</v>
      </c>
      <c r="AC21" s="52"/>
      <c r="AD21" s="52"/>
      <c r="AE21" s="29" t="str">
        <f>IFERROR(
IF(AND(OR(AC21="C",AC21="c"), VLOOKUP(AF21,[1]Diccionario!B:N,13,0)="C"), "OK",IF(AND(OR(AC21="C",AC21="c"), OR(VLOOKUP(AF21,[1]Diccionario!B:N,13,0)="B", VLOOKUP(AF21,[1]Diccionario!B:N,13,0)="A")), "DEFICIT",IF(
AND(OR(AC21="B", AC21="BPAL"), VLOOKUP(AF21,[1]Diccionario!B:N,13,0)="B"), "OK",IF(AND(OR(AC21="B", AC21="BPAL"), VLOOKUP(AF21,[1]Diccionario!B:N,13,0)="A"), "DEFICIT",IF(AND(OR(AC21="B", AC21="BPAL"), VLOOKUP(AF21,[1]Diccionario!B:N,13,0)="C"), "SOBREOFERTA",IF(AND(AC21="A", VLOOKUP(AF21,[1]Diccionario!B:N,13,0)="A"), "OK",IF(
AND(AC21="A", OR(VLOOKUP(AF21,[1]Diccionario!B:N,13,0)="B", VLOOKUP(AF21,[1]Diccionario!B:N,13,0)="C")), "SOBREOFERTA",""
))))))),"")</f>
        <v/>
      </c>
      <c r="AF21" s="48"/>
      <c r="AG21" s="53"/>
      <c r="AH21" s="54"/>
      <c r="AI21" s="55" t="str">
        <f t="shared" si="12"/>
        <v/>
      </c>
      <c r="AJ21" s="46"/>
      <c r="AK21" s="34" t="e">
        <f>IF(AB21&lt;&gt;"",HLOOKUP(VALUE(TEXT(AH21,"h:mm:ss")),IF($C$6="Laboral",[1]Input!$A$4:$Y$227,IF($C$6="Sábado",[1]Input!$A$231:$Y$452,[1]Input!$A$456:$Y$656)),VLOOKUP($C$4,[1]Input!$AG$2:$AI$99,3,0)+IF(AD$5="Ida",0,1),1),"")</f>
        <v>#N/A</v>
      </c>
      <c r="AL21" s="34" t="str">
        <f>IF(AB22&lt;&gt;AB21,AVERAGEIF(AB$9:AB21,AB21,AK$9:AK21),"")</f>
        <v/>
      </c>
      <c r="AM21" s="35" t="str">
        <f>IFERROR(IF(AB22&lt;&gt;AB21,AVERAGEIF(AB$9:AB21,AB21,AT$9:AT21),""),"")</f>
        <v/>
      </c>
      <c r="AN21" s="35" t="str">
        <f>IFERROR(IF(AB22&lt;&gt;AB21,AVERAGEIF(AB$9:AB21,AB21,AU$9:AU21),""),"")</f>
        <v/>
      </c>
      <c r="AO21" s="35" t="str" cm="1">
        <f t="array" ref="AO21">IFERROR(IF(AB22&lt;&gt;AB21,_xlfn.STDEV.P(IF(AB$9:AB21=AB21,AU$9:AU21)),""),"")</f>
        <v/>
      </c>
      <c r="AP21" s="35" t="str" cm="1">
        <f t="array" ref="AP21">IFERROR(IF(AB22&lt;&gt;AB21,_xlfn.STDEV.P(IF(AB$9:AB21=AB21,AT$9:AT21)),""),"")</f>
        <v/>
      </c>
      <c r="AQ21" s="36" t="str">
        <f t="shared" si="3"/>
        <v/>
      </c>
      <c r="AR21" s="36" t="str">
        <f t="shared" si="4"/>
        <v/>
      </c>
      <c r="AS21" s="36" t="str">
        <f t="shared" si="13"/>
        <v/>
      </c>
      <c r="AT21" s="37" t="str">
        <f t="shared" si="5"/>
        <v/>
      </c>
      <c r="AU21" s="37" t="str">
        <f t="shared" si="6"/>
        <v/>
      </c>
      <c r="AV21" s="54"/>
      <c r="AW21" s="46"/>
      <c r="AX21" s="39" t="str" cm="1">
        <f t="array" ref="AX21">IF(AH21&lt;&gt;"",IF(AND(AX19:AX20&lt;&gt;"IE",AQ21&lt;&gt;0,AS21&lt;&gt;""),IF(IFERROR((AQ21/AS21),0) &lt;=1,IFERROR(AQ21/AS21,""),1),""),"")</f>
        <v/>
      </c>
      <c r="AY21" s="46"/>
      <c r="AZ21" s="57"/>
      <c r="BC21" s="48">
        <v>9</v>
      </c>
      <c r="BD21" s="48">
        <f>COUNTIFS($A:$A,$BC21,$C:$C,$BC$11)</f>
        <v>0</v>
      </c>
      <c r="BE21" s="48">
        <f>BD21-COUNTIFS($A:$A,$BC21,$C:$C,$BC$11,$H:$H,"")</f>
        <v>0</v>
      </c>
      <c r="BF21" s="49" t="str">
        <f t="shared" si="14"/>
        <v/>
      </c>
      <c r="BG21" s="48" t="str">
        <f>_xlfn.XLOOKUP(BC21,$A:$A,$R:$R,"0",0,-1)</f>
        <v>0</v>
      </c>
      <c r="BH21" s="50" t="str">
        <f>_xlfn.XLOOKUP(BC21,$A:$A,$P:$P,"0",0,-1)</f>
        <v>0</v>
      </c>
      <c r="BI21" s="39" t="str">
        <f>_xlfn.XLOOKUP(BC21,$A:$A,$W:$W,"",0,-1)</f>
        <v/>
      </c>
      <c r="BL21" s="48">
        <v>9</v>
      </c>
      <c r="BM21" s="48">
        <f>COUNTIFS($AB:$AB,$BL21,$AD:$AD,$BL$11)</f>
        <v>0</v>
      </c>
      <c r="BN21" s="48">
        <f>BM21-COUNTIFS($AB:$AB,$BL21,$AD:$AD,$BL$11,$AI:$AI,"")</f>
        <v>0</v>
      </c>
      <c r="BO21" s="49" t="str">
        <f t="shared" si="15"/>
        <v/>
      </c>
      <c r="BP21" s="48" t="str">
        <f>_xlfn.XLOOKUP(BL21,$AB:$AB,$AS:$AS,"0",0,-1)</f>
        <v>0</v>
      </c>
      <c r="BQ21" s="50" t="str">
        <f>_xlfn.XLOOKUP(BL21,$AB:$AB,$AQ:$AQ,"0",0,-1)</f>
        <v>0</v>
      </c>
      <c r="BR21" s="39" t="str">
        <f>_xlfn.XLOOKUP(BL21,$AB:$AB,$AX:$AX,"",0,-1)</f>
        <v/>
      </c>
    </row>
    <row r="22" spans="1:70" ht="15.5" x14ac:dyDescent="0.35">
      <c r="A22" s="51">
        <f t="shared" si="16"/>
        <v>1</v>
      </c>
      <c r="B22" s="52"/>
      <c r="C22" s="52"/>
      <c r="D22" s="29" t="str">
        <f>IFERROR(
IF(AND(OR(Planilla!B22="C",Planilla!B22="c"), VLOOKUP(E22,[1]Diccionario!B:N,13,0)="C"), "OK",IF(AND(OR(Planilla!B22="C",Planilla!B22="c"), OR(VLOOKUP(E22,[1]Diccionario!B:N,13,0)="B", VLOOKUP(E22,[1]Diccionario!B:N,13,0)="A")), "DEFICIT",IF(
AND(OR(Planilla!B22="B", Planilla!B22="BPAL"), VLOOKUP(E22,[1]Diccionario!B:N,13,0)="B"), "OK",IF(AND(OR(Planilla!B22="B", Planilla!B22="BPAL"), VLOOKUP(E22,[1]Diccionario!B:N,13,0)="A"), "DEFICIT",IF(AND(OR(Planilla!B22="B", Planilla!B22="BPAL"), VLOOKUP(E22,[1]Diccionario!B:N,13,0)="C"), "SOBREOFERTA",IF(AND(Planilla!B22="A", VLOOKUP(E22,[1]Diccionario!B:N,13,0)="A"), "OK",IF(
AND(Planilla!B22="A", OR(VLOOKUP(E22,[1]Diccionario!B:N,13,0)="B", VLOOKUP(E22,[1]Diccionario!B:N,13,0)="C")), "SOBREOFERTA",""
))))))),"")</f>
        <v/>
      </c>
      <c r="E22" s="48"/>
      <c r="F22" s="53" t="str">
        <f t="shared" si="17"/>
        <v/>
      </c>
      <c r="G22" s="54"/>
      <c r="H22" s="55" t="str">
        <f t="shared" si="7"/>
        <v/>
      </c>
      <c r="I22" s="35"/>
      <c r="J22" s="34" t="e">
        <f>IF(A22&lt;&gt;"",HLOOKUP(VALUE(TEXT(G22,"h:mm:ss")),IF($C$6="Laboral",[1]Input!$A$4:$Y$227,IF($C$6="Sábado",[1]Input!$A$231:$Y$452,[1]Input!$A$456:$Y$656)),VLOOKUP($C$4,[1]Input!$AG$2:$AI$99,3,0)+IF(C$5="Ida",0,1),1),"")</f>
        <v>#N/A</v>
      </c>
      <c r="K22" s="34" t="str">
        <f>IF(A23&lt;&gt;A22,AVERAGEIF(A$9:A22,A22,J$13:J22),"")</f>
        <v/>
      </c>
      <c r="L22" s="35" t="str">
        <f>IFERROR(IF(A23&lt;&gt;A22,AVERAGEIF(A$9:A22,A22,S$13:S22),""),"")</f>
        <v/>
      </c>
      <c r="M22" s="35" t="str">
        <f>IFERROR(IF(A23&lt;&gt;A22,AVERAGEIF(A$9:A22,A22,T$8:T22),""),"")</f>
        <v/>
      </c>
      <c r="N22" s="35" t="str" cm="1">
        <f t="array" ref="N22">IFERROR(IF(A23&lt;&gt;A22,_xlfn.STDEV.P(IF(A$9:A22=A22,T$7:T22)),""),"")</f>
        <v/>
      </c>
      <c r="O22" s="35" t="str" cm="1">
        <f t="array" ref="O22">IFERROR(IF(A23&lt;&gt;A22,_xlfn.STDEV.P(IF(A$9:A22=A22,S$7:S22)),""),"")</f>
        <v/>
      </c>
      <c r="P22" s="36" t="str">
        <f t="shared" si="0"/>
        <v/>
      </c>
      <c r="Q22" s="36" t="str">
        <f t="shared" si="1"/>
        <v/>
      </c>
      <c r="R22" s="36" t="str">
        <f t="shared" si="8"/>
        <v/>
      </c>
      <c r="S22" s="37" t="str">
        <f t="shared" si="9"/>
        <v/>
      </c>
      <c r="T22" s="37" t="str">
        <f t="shared" si="2"/>
        <v/>
      </c>
      <c r="U22" s="54"/>
      <c r="V22" s="46"/>
      <c r="W22" s="39" t="str">
        <f t="shared" si="10"/>
        <v/>
      </c>
      <c r="X22" s="38"/>
      <c r="Y22" s="48"/>
      <c r="AB22" s="56">
        <f t="shared" si="11"/>
        <v>1</v>
      </c>
      <c r="AC22" s="52"/>
      <c r="AD22" s="52"/>
      <c r="AE22" s="29" t="str">
        <f>IFERROR(
IF(AND(OR(AC22="C",AC22="c"), VLOOKUP(AF22,[1]Diccionario!B:N,13,0)="C"), "OK",IF(AND(OR(AC22="C",AC22="c"), OR(VLOOKUP(AF22,[1]Diccionario!B:N,13,0)="B", VLOOKUP(AF22,[1]Diccionario!B:N,13,0)="A")), "DEFICIT",IF(
AND(OR(AC22="B", AC22="BPAL"), VLOOKUP(AF22,[1]Diccionario!B:N,13,0)="B"), "OK",IF(AND(OR(AC22="B", AC22="BPAL"), VLOOKUP(AF22,[1]Diccionario!B:N,13,0)="A"), "DEFICIT",IF(AND(OR(AC22="B", AC22="BPAL"), VLOOKUP(AF22,[1]Diccionario!B:N,13,0)="C"), "SOBREOFERTA",IF(AND(AC22="A", VLOOKUP(AF22,[1]Diccionario!B:N,13,0)="A"), "OK",IF(
AND(AC22="A", OR(VLOOKUP(AF22,[1]Diccionario!B:N,13,0)="B", VLOOKUP(AF22,[1]Diccionario!B:N,13,0)="C")), "SOBREOFERTA",""
))))))),"")</f>
        <v/>
      </c>
      <c r="AF22" s="48"/>
      <c r="AG22" s="53"/>
      <c r="AH22" s="54"/>
      <c r="AI22" s="55" t="str">
        <f t="shared" si="12"/>
        <v/>
      </c>
      <c r="AJ22" s="46"/>
      <c r="AK22" s="34" t="e">
        <f>IF(AB22&lt;&gt;"",HLOOKUP(VALUE(TEXT(AH22,"h:mm:ss")),IF($C$6="Laboral",[1]Input!$A$4:$Y$227,IF($C$6="Sábado",[1]Input!$A$231:$Y$452,[1]Input!$A$456:$Y$656)),VLOOKUP($C$4,[1]Input!$AG$2:$AI$99,3,0)+IF(AD$5="Ida",0,1),1),"")</f>
        <v>#N/A</v>
      </c>
      <c r="AL22" s="34" t="str">
        <f>IF(AB23&lt;&gt;AB22,AVERAGEIF(AB$9:AB22,AB22,AK$9:AK22),"")</f>
        <v/>
      </c>
      <c r="AM22" s="35" t="str">
        <f>IFERROR(IF(AB23&lt;&gt;AB22,AVERAGEIF(AB$9:AB22,AB22,AT$9:AT22),""),"")</f>
        <v/>
      </c>
      <c r="AN22" s="35" t="str">
        <f>IFERROR(IF(AB23&lt;&gt;AB22,AVERAGEIF(AB$9:AB22,AB22,AU$9:AU22),""),"")</f>
        <v/>
      </c>
      <c r="AO22" s="35" t="str" cm="1">
        <f t="array" ref="AO22">IFERROR(IF(AB23&lt;&gt;AB22,_xlfn.STDEV.P(IF(AB$9:AB22=AB22,AU$9:AU22)),""),"")</f>
        <v/>
      </c>
      <c r="AP22" s="35" t="str" cm="1">
        <f t="array" ref="AP22">IFERROR(IF(AB23&lt;&gt;AB22,_xlfn.STDEV.P(IF(AB$9:AB22=AB22,AT$9:AT22)),""),"")</f>
        <v/>
      </c>
      <c r="AQ22" s="36" t="str">
        <f t="shared" si="3"/>
        <v/>
      </c>
      <c r="AR22" s="36" t="str">
        <f t="shared" si="4"/>
        <v/>
      </c>
      <c r="AS22" s="36" t="str">
        <f t="shared" si="13"/>
        <v/>
      </c>
      <c r="AT22" s="37" t="str">
        <f t="shared" si="5"/>
        <v/>
      </c>
      <c r="AU22" s="37" t="str">
        <f t="shared" si="6"/>
        <v/>
      </c>
      <c r="AV22" s="54"/>
      <c r="AW22" s="46"/>
      <c r="AX22" s="39" t="str" cm="1">
        <f t="array" ref="AX22">IF(AH22&lt;&gt;"",IF(AND(AX20:AX21&lt;&gt;"IE",AQ22&lt;&gt;0,AS22&lt;&gt;""),IF(IFERROR((AQ22/AS22),0) &lt;=1,IFERROR(AQ22/AS22,""),1),""),"")</f>
        <v/>
      </c>
      <c r="AY22" s="46"/>
      <c r="AZ22" s="57"/>
      <c r="BC22" s="48">
        <v>10</v>
      </c>
      <c r="BD22" s="48">
        <f>COUNTIFS($A:$A,$BC22,$C:$C,$BC$11)</f>
        <v>0</v>
      </c>
      <c r="BE22" s="48">
        <f>BD22-COUNTIFS($A:$A,$BC22,$C:$C,$BC$11,$H:$H,"")</f>
        <v>0</v>
      </c>
      <c r="BF22" s="49" t="str">
        <f t="shared" si="14"/>
        <v/>
      </c>
      <c r="BG22" s="48" t="str">
        <f>_xlfn.XLOOKUP(BC22,$A:$A,$R:$R,"0",0,-1)</f>
        <v>0</v>
      </c>
      <c r="BH22" s="50" t="str">
        <f>_xlfn.XLOOKUP(BC22,$A:$A,$P:$P,"0",0,-1)</f>
        <v>0</v>
      </c>
      <c r="BI22" s="39" t="str">
        <f>_xlfn.XLOOKUP(BC22,$A:$A,$W:$W,"",0,-1)</f>
        <v/>
      </c>
      <c r="BL22" s="48">
        <v>10</v>
      </c>
      <c r="BM22" s="48">
        <f>COUNTIFS($AB:$AB,$BL22,$AD:$AD,$BL$11)</f>
        <v>0</v>
      </c>
      <c r="BN22" s="48">
        <f>BM22-COUNTIFS($AB:$AB,$BL22,$AD:$AD,$BL$11,$AI:$AI,"")</f>
        <v>0</v>
      </c>
      <c r="BO22" s="49" t="str">
        <f t="shared" si="15"/>
        <v/>
      </c>
      <c r="BP22" s="48" t="str">
        <f>_xlfn.XLOOKUP(BL22,$AB:$AB,$AS:$AS,"0",0,-1)</f>
        <v>0</v>
      </c>
      <c r="BQ22" s="50" t="str">
        <f>_xlfn.XLOOKUP(BL22,$AB:$AB,$AQ:$AQ,"0",0,-1)</f>
        <v>0</v>
      </c>
      <c r="BR22" s="39" t="str">
        <f>_xlfn.XLOOKUP(BL22,$AB:$AB,$AX:$AX,"",0,-1)</f>
        <v/>
      </c>
    </row>
    <row r="23" spans="1:70" ht="15.5" x14ac:dyDescent="0.35">
      <c r="A23" s="51">
        <f t="shared" si="16"/>
        <v>1</v>
      </c>
      <c r="B23" s="52"/>
      <c r="C23" s="52"/>
      <c r="D23" s="29" t="str">
        <f>IFERROR(
IF(AND(OR(Planilla!B23="C",Planilla!B23="c"), VLOOKUP(E23,[1]Diccionario!B:N,13,0)="C"), "OK",IF(AND(OR(Planilla!B23="C",Planilla!B23="c"), OR(VLOOKUP(E23,[1]Diccionario!B:N,13,0)="B", VLOOKUP(E23,[1]Diccionario!B:N,13,0)="A")), "DEFICIT",IF(
AND(OR(Planilla!B23="B", Planilla!B23="BPAL"), VLOOKUP(E23,[1]Diccionario!B:N,13,0)="B"), "OK",IF(AND(OR(Planilla!B23="B", Planilla!B23="BPAL"), VLOOKUP(E23,[1]Diccionario!B:N,13,0)="A"), "DEFICIT",IF(AND(OR(Planilla!B23="B", Planilla!B23="BPAL"), VLOOKUP(E23,[1]Diccionario!B:N,13,0)="C"), "SOBREOFERTA",IF(AND(Planilla!B23="A", VLOOKUP(E23,[1]Diccionario!B:N,13,0)="A"), "OK",IF(
AND(Planilla!B23="A", OR(VLOOKUP(E23,[1]Diccionario!B:N,13,0)="B", VLOOKUP(E23,[1]Diccionario!B:N,13,0)="C")), "SOBREOFERTA",""
))))))),"")</f>
        <v/>
      </c>
      <c r="E23" s="48"/>
      <c r="F23" s="53" t="str">
        <f t="shared" si="17"/>
        <v/>
      </c>
      <c r="G23" s="54"/>
      <c r="H23" s="55" t="str">
        <f t="shared" si="7"/>
        <v/>
      </c>
      <c r="I23" s="35"/>
      <c r="J23" s="34" t="e">
        <f>IF(A23&lt;&gt;"",HLOOKUP(VALUE(TEXT(G23,"h:mm:ss")),IF($C$6="Laboral",[1]Input!$A$4:$Y$227,IF($C$6="Sábado",[1]Input!$A$231:$Y$452,[1]Input!$A$456:$Y$656)),VLOOKUP($C$4,[1]Input!$AG$2:$AI$99,3,0)+IF(C$5="Ida",0,1),1),"")</f>
        <v>#N/A</v>
      </c>
      <c r="K23" s="34" t="str">
        <f>IF(A24&lt;&gt;A23,AVERAGEIF(A$9:A23,A23,J$13:J23),"")</f>
        <v/>
      </c>
      <c r="L23" s="35" t="str">
        <f>IFERROR(IF(A24&lt;&gt;A23,AVERAGEIF(A$9:A23,A23,S$13:S23),""),"")</f>
        <v/>
      </c>
      <c r="M23" s="35" t="str">
        <f>IFERROR(IF(A24&lt;&gt;A23,AVERAGEIF(A$9:A23,A23,T$8:T23),""),"")</f>
        <v/>
      </c>
      <c r="N23" s="35" t="str" cm="1">
        <f t="array" ref="N23">IFERROR(IF(A24&lt;&gt;A23,_xlfn.STDEV.P(IF(A$9:A23=A23,T$7:T23)),""),"")</f>
        <v/>
      </c>
      <c r="O23" s="35" t="str" cm="1">
        <f t="array" ref="O23">IFERROR(IF(A24&lt;&gt;A23,_xlfn.STDEV.P(IF(A$9:A23=A23,S$7:S23)),""),"")</f>
        <v/>
      </c>
      <c r="P23" s="36" t="str">
        <f t="shared" si="0"/>
        <v/>
      </c>
      <c r="Q23" s="36" t="str">
        <f t="shared" si="1"/>
        <v/>
      </c>
      <c r="R23" s="36" t="str">
        <f t="shared" si="8"/>
        <v/>
      </c>
      <c r="S23" s="37" t="str">
        <f t="shared" si="9"/>
        <v/>
      </c>
      <c r="T23" s="37" t="str">
        <f t="shared" si="2"/>
        <v/>
      </c>
      <c r="U23" s="54"/>
      <c r="V23" s="46"/>
      <c r="W23" s="39" t="str">
        <f t="shared" si="10"/>
        <v/>
      </c>
      <c r="X23" s="38"/>
      <c r="Y23" s="48"/>
      <c r="AB23" s="56">
        <f t="shared" si="11"/>
        <v>1</v>
      </c>
      <c r="AC23" s="52"/>
      <c r="AD23" s="52"/>
      <c r="AE23" s="29" t="str">
        <f>IFERROR(
IF(AND(OR(AC23="C",AC23="c"), VLOOKUP(AF23,[1]Diccionario!B:N,13,0)="C"), "OK",IF(AND(OR(AC23="C",AC23="c"), OR(VLOOKUP(AF23,[1]Diccionario!B:N,13,0)="B", VLOOKUP(AF23,[1]Diccionario!B:N,13,0)="A")), "DEFICIT",IF(
AND(OR(AC23="B", AC23="BPAL"), VLOOKUP(AF23,[1]Diccionario!B:N,13,0)="B"), "OK",IF(AND(OR(AC23="B", AC23="BPAL"), VLOOKUP(AF23,[1]Diccionario!B:N,13,0)="A"), "DEFICIT",IF(AND(OR(AC23="B", AC23="BPAL"), VLOOKUP(AF23,[1]Diccionario!B:N,13,0)="C"), "SOBREOFERTA",IF(AND(AC23="A", VLOOKUP(AF23,[1]Diccionario!B:N,13,0)="A"), "OK",IF(
AND(AC23="A", OR(VLOOKUP(AF23,[1]Diccionario!B:N,13,0)="B", VLOOKUP(AF23,[1]Diccionario!B:N,13,0)="C")), "SOBREOFERTA",""
))))))),"")</f>
        <v/>
      </c>
      <c r="AF23" s="48"/>
      <c r="AG23" s="53"/>
      <c r="AH23" s="54"/>
      <c r="AI23" s="55" t="str">
        <f t="shared" si="12"/>
        <v/>
      </c>
      <c r="AJ23" s="46"/>
      <c r="AK23" s="34" t="e">
        <f>IF(AB23&lt;&gt;"",HLOOKUP(VALUE(TEXT(AH23,"h:mm:ss")),IF($C$6="Laboral",[1]Input!$A$4:$Y$227,IF($C$6="Sábado",[1]Input!$A$231:$Y$452,[1]Input!$A$456:$Y$656)),VLOOKUP($C$4,[1]Input!$AG$2:$AI$99,3,0)+IF(AD$5="Ida",0,1),1),"")</f>
        <v>#N/A</v>
      </c>
      <c r="AL23" s="34" t="str">
        <f>IF(AB24&lt;&gt;AB23,AVERAGEIF(AB$9:AB23,AB23,AK$9:AK23),"")</f>
        <v/>
      </c>
      <c r="AM23" s="35" t="str">
        <f>IFERROR(IF(AB24&lt;&gt;AB23,AVERAGEIF(AB$9:AB23,AB23,AT$9:AT23),""),"")</f>
        <v/>
      </c>
      <c r="AN23" s="35" t="str">
        <f>IFERROR(IF(AB24&lt;&gt;AB23,AVERAGEIF(AB$9:AB23,AB23,AU$9:AU23),""),"")</f>
        <v/>
      </c>
      <c r="AO23" s="35" t="str" cm="1">
        <f t="array" ref="AO23">IFERROR(IF(AB24&lt;&gt;AB23,_xlfn.STDEV.P(IF(AB$9:AB23=AB23,AU$9:AU23)),""),"")</f>
        <v/>
      </c>
      <c r="AP23" s="35" t="str" cm="1">
        <f t="array" ref="AP23">IFERROR(IF(AB24&lt;&gt;AB23,_xlfn.STDEV.P(IF(AB$9:AB23=AB23,AT$9:AT23)),""),"")</f>
        <v/>
      </c>
      <c r="AQ23" s="36" t="str">
        <f t="shared" si="3"/>
        <v/>
      </c>
      <c r="AR23" s="36" t="str">
        <f t="shared" si="4"/>
        <v/>
      </c>
      <c r="AS23" s="36" t="str">
        <f t="shared" si="13"/>
        <v/>
      </c>
      <c r="AT23" s="37" t="str">
        <f t="shared" si="5"/>
        <v/>
      </c>
      <c r="AU23" s="37" t="str">
        <f t="shared" si="6"/>
        <v/>
      </c>
      <c r="AV23" s="54"/>
      <c r="AW23" s="46"/>
      <c r="AX23" s="39" t="str" cm="1">
        <f t="array" ref="AX23">IF(AH23&lt;&gt;"",IF(AND(AX21:AX22&lt;&gt;"IE",AQ23&lt;&gt;0,AS23&lt;&gt;""),IF(IFERROR((AQ23/AS23),0) &lt;=1,IFERROR(AQ23/AS23,""),1),""),"")</f>
        <v/>
      </c>
      <c r="AY23" s="46"/>
      <c r="AZ23" s="57"/>
      <c r="BC23" s="48">
        <v>11</v>
      </c>
      <c r="BD23" s="48">
        <f>COUNTIFS($A:$A,$BC23,$C:$C,$BC$11)</f>
        <v>0</v>
      </c>
      <c r="BE23" s="48">
        <f>BD23-COUNTIFS($A:$A,$BC23,$C:$C,$BC$11,$H:$H,"")</f>
        <v>0</v>
      </c>
      <c r="BF23" s="49" t="str">
        <f t="shared" si="14"/>
        <v/>
      </c>
      <c r="BG23" s="48" t="str">
        <f>_xlfn.XLOOKUP(BC23,$A:$A,$R:$R,"0",0,-1)</f>
        <v>0</v>
      </c>
      <c r="BH23" s="50" t="str">
        <f>_xlfn.XLOOKUP(BC23,$A:$A,$P:$P,"0",0,-1)</f>
        <v>0</v>
      </c>
      <c r="BI23" s="39" t="str">
        <f>_xlfn.XLOOKUP(BC23,$A:$A,$W:$W,"",0,-1)</f>
        <v/>
      </c>
      <c r="BL23" s="48">
        <v>11</v>
      </c>
      <c r="BM23" s="48">
        <f>COUNTIFS($AB:$AB,$BL23,$AD:$AD,$BL$11)</f>
        <v>0</v>
      </c>
      <c r="BN23" s="48">
        <f>BM23-COUNTIFS($AB:$AB,$BL23,$AD:$AD,$BL$11,$AI:$AI,"")</f>
        <v>0</v>
      </c>
      <c r="BO23" s="49" t="str">
        <f t="shared" si="15"/>
        <v/>
      </c>
      <c r="BP23" s="48" t="str">
        <f>_xlfn.XLOOKUP(BL23,$AB:$AB,$AS:$AS,"0",0,-1)</f>
        <v>0</v>
      </c>
      <c r="BQ23" s="50" t="str">
        <f>_xlfn.XLOOKUP(BL23,$AB:$AB,$AQ:$AQ,"0",0,-1)</f>
        <v>0</v>
      </c>
      <c r="BR23" s="39" t="str">
        <f>_xlfn.XLOOKUP(BL23,$AB:$AB,$AX:$AX,"",0,-1)</f>
        <v/>
      </c>
    </row>
    <row r="24" spans="1:70" ht="15.5" x14ac:dyDescent="0.35">
      <c r="A24" s="51">
        <f t="shared" si="16"/>
        <v>1</v>
      </c>
      <c r="B24" s="52"/>
      <c r="C24" s="52"/>
      <c r="D24" s="29" t="str">
        <f>IFERROR(
IF(AND(OR(Planilla!B24="C",Planilla!B24="c"), VLOOKUP(E24,[1]Diccionario!B:N,13,0)="C"), "OK",IF(AND(OR(Planilla!B24="C",Planilla!B24="c"), OR(VLOOKUP(E24,[1]Diccionario!B:N,13,0)="B", VLOOKUP(E24,[1]Diccionario!B:N,13,0)="A")), "DEFICIT",IF(
AND(OR(Planilla!B24="B", Planilla!B24="BPAL"), VLOOKUP(E24,[1]Diccionario!B:N,13,0)="B"), "OK",IF(AND(OR(Planilla!B24="B", Planilla!B24="BPAL"), VLOOKUP(E24,[1]Diccionario!B:N,13,0)="A"), "DEFICIT",IF(AND(OR(Planilla!B24="B", Planilla!B24="BPAL"), VLOOKUP(E24,[1]Diccionario!B:N,13,0)="C"), "SOBREOFERTA",IF(AND(Planilla!B24="A", VLOOKUP(E24,[1]Diccionario!B:N,13,0)="A"), "OK",IF(
AND(Planilla!B24="A", OR(VLOOKUP(E24,[1]Diccionario!B:N,13,0)="B", VLOOKUP(E24,[1]Diccionario!B:N,13,0)="C")), "SOBREOFERTA",""
))))))),"")</f>
        <v/>
      </c>
      <c r="E24" s="48"/>
      <c r="F24" s="53" t="str">
        <f t="shared" si="17"/>
        <v/>
      </c>
      <c r="G24" s="54"/>
      <c r="H24" s="55" t="str">
        <f t="shared" si="7"/>
        <v/>
      </c>
      <c r="I24" s="35"/>
      <c r="J24" s="34" t="e">
        <f>IF(A24&lt;&gt;"",HLOOKUP(VALUE(TEXT(G24,"h:mm:ss")),IF($C$6="Laboral",[1]Input!$A$4:$Y$227,IF($C$6="Sábado",[1]Input!$A$231:$Y$452,[1]Input!$A$456:$Y$656)),VLOOKUP($C$4,[1]Input!$AG$2:$AI$99,3,0)+IF(C$5="Ida",0,1),1),"")</f>
        <v>#N/A</v>
      </c>
      <c r="K24" s="34" t="str">
        <f>IF(A25&lt;&gt;A24,AVERAGEIF(A$9:A24,A24,J$13:J24),"")</f>
        <v/>
      </c>
      <c r="L24" s="35" t="str">
        <f>IFERROR(IF(A25&lt;&gt;A24,AVERAGEIF(A$9:A24,A24,S$13:S24),""),"")</f>
        <v/>
      </c>
      <c r="M24" s="35" t="str">
        <f>IFERROR(IF(A25&lt;&gt;A24,AVERAGEIF(A$9:A24,A24,T$8:T24),""),"")</f>
        <v/>
      </c>
      <c r="N24" s="35" t="str" cm="1">
        <f t="array" ref="N24">IFERROR(IF(A25&lt;&gt;A24,_xlfn.STDEV.P(IF(A$9:A24=A24,T$7:T24)),""),"")</f>
        <v/>
      </c>
      <c r="O24" s="35" t="str" cm="1">
        <f t="array" ref="O24">IFERROR(IF(A25&lt;&gt;A24,_xlfn.STDEV.P(IF(A$9:A24=A24,S$7:S24)),""),"")</f>
        <v/>
      </c>
      <c r="P24" s="36" t="str">
        <f t="shared" si="0"/>
        <v/>
      </c>
      <c r="Q24" s="36" t="str">
        <f t="shared" si="1"/>
        <v/>
      </c>
      <c r="R24" s="36" t="str">
        <f t="shared" si="8"/>
        <v/>
      </c>
      <c r="S24" s="37" t="str">
        <f t="shared" si="9"/>
        <v/>
      </c>
      <c r="T24" s="37" t="str">
        <f t="shared" si="2"/>
        <v/>
      </c>
      <c r="U24" s="54"/>
      <c r="V24" s="46"/>
      <c r="W24" s="39" t="str">
        <f t="shared" si="10"/>
        <v/>
      </c>
      <c r="X24" s="38"/>
      <c r="Y24" s="48"/>
      <c r="AB24" s="56">
        <f t="shared" si="11"/>
        <v>1</v>
      </c>
      <c r="AC24" s="52"/>
      <c r="AD24" s="52"/>
      <c r="AE24" s="29" t="str">
        <f>IFERROR(
IF(AND(OR(AC24="C",AC24="c"), VLOOKUP(AF24,[1]Diccionario!B:N,13,0)="C"), "OK",IF(AND(OR(AC24="C",AC24="c"), OR(VLOOKUP(AF24,[1]Diccionario!B:N,13,0)="B", VLOOKUP(AF24,[1]Diccionario!B:N,13,0)="A")), "DEFICIT",IF(
AND(OR(AC24="B", AC24="BPAL"), VLOOKUP(AF24,[1]Diccionario!B:N,13,0)="B"), "OK",IF(AND(OR(AC24="B", AC24="BPAL"), VLOOKUP(AF24,[1]Diccionario!B:N,13,0)="A"), "DEFICIT",IF(AND(OR(AC24="B", AC24="BPAL"), VLOOKUP(AF24,[1]Diccionario!B:N,13,0)="C"), "SOBREOFERTA",IF(AND(AC24="A", VLOOKUP(AF24,[1]Diccionario!B:N,13,0)="A"), "OK",IF(
AND(AC24="A", OR(VLOOKUP(AF24,[1]Diccionario!B:N,13,0)="B", VLOOKUP(AF24,[1]Diccionario!B:N,13,0)="C")), "SOBREOFERTA",""
))))))),"")</f>
        <v/>
      </c>
      <c r="AF24" s="48"/>
      <c r="AG24" s="53"/>
      <c r="AH24" s="54"/>
      <c r="AI24" s="55" t="str">
        <f t="shared" si="12"/>
        <v/>
      </c>
      <c r="AJ24" s="46"/>
      <c r="AK24" s="34" t="e">
        <f>IF(AB24&lt;&gt;"",HLOOKUP(VALUE(TEXT(AH24,"h:mm:ss")),IF($C$6="Laboral",[1]Input!$A$4:$Y$227,IF($C$6="Sábado",[1]Input!$A$231:$Y$452,[1]Input!$A$456:$Y$656)),VLOOKUP($C$4,[1]Input!$AG$2:$AI$99,3,0)+IF(AD$5="Ida",0,1),1),"")</f>
        <v>#N/A</v>
      </c>
      <c r="AL24" s="34" t="str">
        <f>IF(AB25&lt;&gt;AB24,AVERAGEIF(AB$9:AB24,AB24,AK$9:AK24),"")</f>
        <v/>
      </c>
      <c r="AM24" s="35" t="str">
        <f>IFERROR(IF(AB25&lt;&gt;AB24,AVERAGEIF(AB$9:AB24,AB24,AT$9:AT24),""),"")</f>
        <v/>
      </c>
      <c r="AN24" s="35" t="str">
        <f>IFERROR(IF(AB25&lt;&gt;AB24,AVERAGEIF(AB$9:AB24,AB24,AU$9:AU24),""),"")</f>
        <v/>
      </c>
      <c r="AO24" s="35" t="str" cm="1">
        <f t="array" ref="AO24">IFERROR(IF(AB25&lt;&gt;AB24,_xlfn.STDEV.P(IF(AB$9:AB24=AB24,AU$9:AU24)),""),"")</f>
        <v/>
      </c>
      <c r="AP24" s="35" t="str" cm="1">
        <f t="array" ref="AP24">IFERROR(IF(AB25&lt;&gt;AB24,_xlfn.STDEV.P(IF(AB$9:AB24=AB24,AT$9:AT24)),""),"")</f>
        <v/>
      </c>
      <c r="AQ24" s="36" t="str">
        <f t="shared" si="3"/>
        <v/>
      </c>
      <c r="AR24" s="36" t="str">
        <f t="shared" si="4"/>
        <v/>
      </c>
      <c r="AS24" s="36" t="str">
        <f t="shared" si="13"/>
        <v/>
      </c>
      <c r="AT24" s="37" t="str">
        <f t="shared" si="5"/>
        <v/>
      </c>
      <c r="AU24" s="37" t="str">
        <f t="shared" si="6"/>
        <v/>
      </c>
      <c r="AV24" s="54"/>
      <c r="AW24" s="46"/>
      <c r="AX24" s="39" t="str" cm="1">
        <f t="array" ref="AX24">IF(AH24&lt;&gt;"",IF(AND(AX22:AX23&lt;&gt;"IE",AQ24&lt;&gt;0,AS24&lt;&gt;""),IF(IFERROR((AQ24/AS24),0) &lt;=1,IFERROR(AQ24/AS24,""),1),""),"")</f>
        <v/>
      </c>
      <c r="AY24" s="46"/>
      <c r="AZ24" s="57"/>
      <c r="BC24" s="48">
        <v>12</v>
      </c>
      <c r="BD24" s="48">
        <f>COUNTIFS($A:$A,$BC24,$C:$C,$BC$11)</f>
        <v>0</v>
      </c>
      <c r="BE24" s="48">
        <f>BD24-COUNTIFS($A:$A,$BC24,$C:$C,$BC$11,$H:$H,"")</f>
        <v>0</v>
      </c>
      <c r="BF24" s="49" t="str">
        <f t="shared" si="14"/>
        <v/>
      </c>
      <c r="BG24" s="48" t="str">
        <f>_xlfn.XLOOKUP(BC24,$A:$A,$R:$R,"0",0,-1)</f>
        <v>0</v>
      </c>
      <c r="BH24" s="50" t="str">
        <f>_xlfn.XLOOKUP(BC24,$A:$A,$P:$P,"0",0,-1)</f>
        <v>0</v>
      </c>
      <c r="BI24" s="39" t="str">
        <f>_xlfn.XLOOKUP(BC24,$A:$A,$W:$W,"",0,-1)</f>
        <v/>
      </c>
      <c r="BL24" s="48">
        <v>12</v>
      </c>
      <c r="BM24" s="48">
        <f>COUNTIFS($AB:$AB,$BL24,$AD:$AD,$BL$11)</f>
        <v>0</v>
      </c>
      <c r="BN24" s="48">
        <f>BM24-COUNTIFS($AB:$AB,$BL24,$AD:$AD,$BL$11,$AI:$AI,"")</f>
        <v>0</v>
      </c>
      <c r="BO24" s="49" t="str">
        <f t="shared" si="15"/>
        <v/>
      </c>
      <c r="BP24" s="48" t="str">
        <f>_xlfn.XLOOKUP(BL24,$AB:$AB,$AS:$AS,"0",0,-1)</f>
        <v>0</v>
      </c>
      <c r="BQ24" s="50" t="str">
        <f>_xlfn.XLOOKUP(BL24,$AB:$AB,$AQ:$AQ,"0",0,-1)</f>
        <v>0</v>
      </c>
      <c r="BR24" s="39" t="str">
        <f>_xlfn.XLOOKUP(BL24,$AB:$AB,$AX:$AX,"",0,-1)</f>
        <v/>
      </c>
    </row>
    <row r="25" spans="1:70" ht="15.5" x14ac:dyDescent="0.35">
      <c r="A25" s="51">
        <f t="shared" si="16"/>
        <v>1</v>
      </c>
      <c r="B25" s="52"/>
      <c r="C25" s="52"/>
      <c r="D25" s="29" t="str">
        <f>IFERROR(
IF(AND(OR(Planilla!B25="C",Planilla!B25="c"), VLOOKUP(E25,[1]Diccionario!B:N,13,0)="C"), "OK",IF(AND(OR(Planilla!B25="C",Planilla!B25="c"), OR(VLOOKUP(E25,[1]Diccionario!B:N,13,0)="B", VLOOKUP(E25,[1]Diccionario!B:N,13,0)="A")), "DEFICIT",IF(
AND(OR(Planilla!B25="B", Planilla!B25="BPAL"), VLOOKUP(E25,[1]Diccionario!B:N,13,0)="B"), "OK",IF(AND(OR(Planilla!B25="B", Planilla!B25="BPAL"), VLOOKUP(E25,[1]Diccionario!B:N,13,0)="A"), "DEFICIT",IF(AND(OR(Planilla!B25="B", Planilla!B25="BPAL"), VLOOKUP(E25,[1]Diccionario!B:N,13,0)="C"), "SOBREOFERTA",IF(AND(Planilla!B25="A", VLOOKUP(E25,[1]Diccionario!B:N,13,0)="A"), "OK",IF(
AND(Planilla!B25="A", OR(VLOOKUP(E25,[1]Diccionario!B:N,13,0)="B", VLOOKUP(E25,[1]Diccionario!B:N,13,0)="C")), "SOBREOFERTA",""
))))))),"")</f>
        <v/>
      </c>
      <c r="E25" s="48"/>
      <c r="F25" s="53" t="str">
        <f t="shared" si="17"/>
        <v/>
      </c>
      <c r="G25" s="54"/>
      <c r="H25" s="55" t="str">
        <f t="shared" si="7"/>
        <v/>
      </c>
      <c r="I25" s="35"/>
      <c r="J25" s="34" t="e">
        <f>IF(A25&lt;&gt;"",HLOOKUP(VALUE(TEXT(G25,"h:mm:ss")),IF($C$6="Laboral",[1]Input!$A$4:$Y$227,IF($C$6="Sábado",[1]Input!$A$231:$Y$452,[1]Input!$A$456:$Y$656)),VLOOKUP($C$4,[1]Input!$AG$2:$AI$99,3,0)+IF(C$5="Ida",0,1),1),"")</f>
        <v>#N/A</v>
      </c>
      <c r="K25" s="34" t="str">
        <f>IF(A26&lt;&gt;A25,AVERAGEIF(A$9:A25,A25,J$13:J25),"")</f>
        <v/>
      </c>
      <c r="L25" s="35" t="str">
        <f>IFERROR(IF(A26&lt;&gt;A25,AVERAGEIF(A$9:A25,A25,S$13:S25),""),"")</f>
        <v/>
      </c>
      <c r="M25" s="35" t="str">
        <f>IFERROR(IF(A26&lt;&gt;A25,AVERAGEIF(A$9:A25,A25,T$8:T25),""),"")</f>
        <v/>
      </c>
      <c r="N25" s="35" t="str" cm="1">
        <f t="array" ref="N25">IFERROR(IF(A26&lt;&gt;A25,_xlfn.STDEV.P(IF(A$9:A25=A25,T$7:T25)),""),"")</f>
        <v/>
      </c>
      <c r="O25" s="35" t="str" cm="1">
        <f t="array" ref="O25">IFERROR(IF(A26&lt;&gt;A25,_xlfn.STDEV.P(IF(A$9:A25=A25,S$7:S25)),""),"")</f>
        <v/>
      </c>
      <c r="P25" s="36" t="str">
        <f t="shared" si="0"/>
        <v/>
      </c>
      <c r="Q25" s="36" t="str">
        <f t="shared" si="1"/>
        <v/>
      </c>
      <c r="R25" s="36" t="str">
        <f t="shared" si="8"/>
        <v/>
      </c>
      <c r="S25" s="37" t="str">
        <f t="shared" si="9"/>
        <v/>
      </c>
      <c r="T25" s="37" t="str">
        <f t="shared" si="2"/>
        <v/>
      </c>
      <c r="U25" s="54"/>
      <c r="V25" s="46"/>
      <c r="W25" s="39" t="str">
        <f t="shared" si="10"/>
        <v/>
      </c>
      <c r="X25" s="38"/>
      <c r="Y25" s="48"/>
      <c r="AB25" s="56">
        <f t="shared" si="11"/>
        <v>1</v>
      </c>
      <c r="AC25" s="52"/>
      <c r="AD25" s="52"/>
      <c r="AE25" s="29" t="str">
        <f>IFERROR(
IF(AND(OR(AC25="C",AC25="c"), VLOOKUP(AF25,[1]Diccionario!B:N,13,0)="C"), "OK",IF(AND(OR(AC25="C",AC25="c"), OR(VLOOKUP(AF25,[1]Diccionario!B:N,13,0)="B", VLOOKUP(AF25,[1]Diccionario!B:N,13,0)="A")), "DEFICIT",IF(
AND(OR(AC25="B", AC25="BPAL"), VLOOKUP(AF25,[1]Diccionario!B:N,13,0)="B"), "OK",IF(AND(OR(AC25="B", AC25="BPAL"), VLOOKUP(AF25,[1]Diccionario!B:N,13,0)="A"), "DEFICIT",IF(AND(OR(AC25="B", AC25="BPAL"), VLOOKUP(AF25,[1]Diccionario!B:N,13,0)="C"), "SOBREOFERTA",IF(AND(AC25="A", VLOOKUP(AF25,[1]Diccionario!B:N,13,0)="A"), "OK",IF(
AND(AC25="A", OR(VLOOKUP(AF25,[1]Diccionario!B:N,13,0)="B", VLOOKUP(AF25,[1]Diccionario!B:N,13,0)="C")), "SOBREOFERTA",""
))))))),"")</f>
        <v/>
      </c>
      <c r="AF25" s="48"/>
      <c r="AG25" s="53"/>
      <c r="AH25" s="54"/>
      <c r="AI25" s="55" t="str">
        <f t="shared" si="12"/>
        <v/>
      </c>
      <c r="AJ25" s="46"/>
      <c r="AK25" s="34" t="e">
        <f>IF(AB25&lt;&gt;"",HLOOKUP(VALUE(TEXT(AH25,"h:mm:ss")),IF($C$6="Laboral",[1]Input!$A$4:$Y$227,IF($C$6="Sábado",[1]Input!$A$231:$Y$452,[1]Input!$A$456:$Y$656)),VLOOKUP($C$4,[1]Input!$AG$2:$AI$99,3,0)+IF(AD$5="Ida",0,1),1),"")</f>
        <v>#N/A</v>
      </c>
      <c r="AL25" s="34" t="str">
        <f>IF(AB26&lt;&gt;AB25,AVERAGEIF(AB$9:AB25,AB25,AK$9:AK25),"")</f>
        <v/>
      </c>
      <c r="AM25" s="35" t="str">
        <f>IFERROR(IF(AB26&lt;&gt;AB25,AVERAGEIF(AB$9:AB25,AB25,AT$9:AT25),""),"")</f>
        <v/>
      </c>
      <c r="AN25" s="35" t="str">
        <f>IFERROR(IF(AB26&lt;&gt;AB25,AVERAGEIF(AB$9:AB25,AB25,AU$9:AU25),""),"")</f>
        <v/>
      </c>
      <c r="AO25" s="35" t="str" cm="1">
        <f t="array" ref="AO25">IFERROR(IF(AB26&lt;&gt;AB25,_xlfn.STDEV.P(IF(AB$9:AB25=AB25,AU$9:AU25)),""),"")</f>
        <v/>
      </c>
      <c r="AP25" s="35" t="str" cm="1">
        <f t="array" ref="AP25">IFERROR(IF(AB26&lt;&gt;AB25,_xlfn.STDEV.P(IF(AB$9:AB25=AB25,AT$9:AT25)),""),"")</f>
        <v/>
      </c>
      <c r="AQ25" s="36" t="str">
        <f t="shared" si="3"/>
        <v/>
      </c>
      <c r="AR25" s="36" t="str">
        <f t="shared" si="4"/>
        <v/>
      </c>
      <c r="AS25" s="36" t="str">
        <f t="shared" si="13"/>
        <v/>
      </c>
      <c r="AT25" s="37" t="str">
        <f t="shared" si="5"/>
        <v/>
      </c>
      <c r="AU25" s="37" t="str">
        <f t="shared" si="6"/>
        <v/>
      </c>
      <c r="AV25" s="54"/>
      <c r="AW25" s="46"/>
      <c r="AX25" s="39" t="str" cm="1">
        <f t="array" ref="AX25">IF(AH25&lt;&gt;"",IF(AND(AX23:AX24&lt;&gt;"IE",AQ25&lt;&gt;0,AS25&lt;&gt;""),IF(IFERROR((AQ25/AS25),0) &lt;=1,IFERROR(AQ25/AS25,""),1),""),"")</f>
        <v/>
      </c>
      <c r="AY25" s="46"/>
      <c r="AZ25" s="57"/>
      <c r="BC25" s="48">
        <v>13</v>
      </c>
      <c r="BD25" s="48">
        <f>COUNTIFS($A:$A,$BC25,$C:$C,$BC$11)</f>
        <v>0</v>
      </c>
      <c r="BE25" s="48">
        <f>BD25-COUNTIFS($A:$A,$BC25,$C:$C,$BC$11,$H:$H,"")</f>
        <v>0</v>
      </c>
      <c r="BF25" s="49" t="str">
        <f t="shared" si="14"/>
        <v/>
      </c>
      <c r="BG25" s="48" t="str">
        <f>_xlfn.XLOOKUP(BC25,$A:$A,$R:$R,"0",0,-1)</f>
        <v>0</v>
      </c>
      <c r="BH25" s="50" t="str">
        <f>_xlfn.XLOOKUP(BC25,$A:$A,$P:$P,"0",0,-1)</f>
        <v>0</v>
      </c>
      <c r="BI25" s="39" t="str">
        <f>_xlfn.XLOOKUP(BC25,$A:$A,$W:$W,"",0,-1)</f>
        <v/>
      </c>
      <c r="BL25" s="48">
        <v>13</v>
      </c>
      <c r="BM25" s="48">
        <f>COUNTIFS($AB:$AB,$BL25,$AD:$AD,$BL$11)</f>
        <v>0</v>
      </c>
      <c r="BN25" s="48">
        <f>BM25-COUNTIFS($AB:$AB,$BL25,$AD:$AD,$BL$11,$AI:$AI,"")</f>
        <v>0</v>
      </c>
      <c r="BO25" s="49" t="str">
        <f t="shared" si="15"/>
        <v/>
      </c>
      <c r="BP25" s="48" t="str">
        <f>_xlfn.XLOOKUP(BL25,$AB:$AB,$AS:$AS,"0",0,-1)</f>
        <v>0</v>
      </c>
      <c r="BQ25" s="50" t="str">
        <f>_xlfn.XLOOKUP(BL25,$AB:$AB,$AQ:$AQ,"0",0,-1)</f>
        <v>0</v>
      </c>
      <c r="BR25" s="39" t="str">
        <f>_xlfn.XLOOKUP(BL25,$AB:$AB,$AX:$AX,"",0,-1)</f>
        <v/>
      </c>
    </row>
    <row r="26" spans="1:70" ht="14.25" customHeight="1" x14ac:dyDescent="0.35">
      <c r="A26" s="51">
        <f t="shared" si="16"/>
        <v>1</v>
      </c>
      <c r="B26" s="52"/>
      <c r="C26" s="52"/>
      <c r="D26" s="29" t="str">
        <f>IFERROR(
IF(AND(OR(Planilla!B26="C",Planilla!B26="c"), VLOOKUP(E26,[1]Diccionario!B:N,13,0)="C"), "OK",IF(AND(OR(Planilla!B26="C",Planilla!B26="c"), OR(VLOOKUP(E26,[1]Diccionario!B:N,13,0)="B", VLOOKUP(E26,[1]Diccionario!B:N,13,0)="A")), "DEFICIT",IF(
AND(OR(Planilla!B26="B", Planilla!B26="BPAL"), VLOOKUP(E26,[1]Diccionario!B:N,13,0)="B"), "OK",IF(AND(OR(Planilla!B26="B", Planilla!B26="BPAL"), VLOOKUP(E26,[1]Diccionario!B:N,13,0)="A"), "DEFICIT",IF(AND(OR(Planilla!B26="B", Planilla!B26="BPAL"), VLOOKUP(E26,[1]Diccionario!B:N,13,0)="C"), "SOBREOFERTA",IF(AND(Planilla!B26="A", VLOOKUP(E26,[1]Diccionario!B:N,13,0)="A"), "OK",IF(
AND(Planilla!B26="A", OR(VLOOKUP(E26,[1]Diccionario!B:N,13,0)="B", VLOOKUP(E26,[1]Diccionario!B:N,13,0)="C")), "SOBREOFERTA",""
))))))),"")</f>
        <v/>
      </c>
      <c r="E26" s="48"/>
      <c r="F26" s="53" t="str">
        <f t="shared" si="17"/>
        <v/>
      </c>
      <c r="G26" s="54"/>
      <c r="H26" s="55" t="str">
        <f t="shared" si="7"/>
        <v/>
      </c>
      <c r="I26" s="35"/>
      <c r="J26" s="34" t="e">
        <f>IF(A26&lt;&gt;"",HLOOKUP(VALUE(TEXT(G26,"h:mm:ss")),IF($C$6="Laboral",[1]Input!$A$4:$Y$227,IF($C$6="Sábado",[1]Input!$A$231:$Y$452,[1]Input!$A$456:$Y$656)),VLOOKUP($C$4,[1]Input!$AG$2:$AI$99,3,0)+IF(C$5="Ida",0,1),1),"")</f>
        <v>#N/A</v>
      </c>
      <c r="K26" s="34" t="str">
        <f>IF(A27&lt;&gt;A26,AVERAGEIF(A$9:A26,A26,J$13:J26),"")</f>
        <v/>
      </c>
      <c r="L26" s="35" t="str">
        <f>IFERROR(IF(A27&lt;&gt;A26,AVERAGEIF(A$9:A26,A26,S$13:S26),""),"")</f>
        <v/>
      </c>
      <c r="M26" s="35" t="str">
        <f>IFERROR(IF(A27&lt;&gt;A26,AVERAGEIF(A$9:A26,A26,T$8:T26),""),"")</f>
        <v/>
      </c>
      <c r="N26" s="35" t="str" cm="1">
        <f t="array" ref="N26">IFERROR(IF(A27&lt;&gt;A26,_xlfn.STDEV.P(IF(A$9:A26=A26,T$7:T26)),""),"")</f>
        <v/>
      </c>
      <c r="O26" s="35" t="str" cm="1">
        <f t="array" ref="O26">IFERROR(IF(A27&lt;&gt;A26,_xlfn.STDEV.P(IF(A$9:A26=A26,S$7:S26)),""),"")</f>
        <v/>
      </c>
      <c r="P26" s="36" t="str">
        <f t="shared" si="0"/>
        <v/>
      </c>
      <c r="Q26" s="36" t="str">
        <f t="shared" si="1"/>
        <v/>
      </c>
      <c r="R26" s="36" t="str">
        <f t="shared" si="8"/>
        <v/>
      </c>
      <c r="S26" s="37" t="str">
        <f t="shared" si="9"/>
        <v/>
      </c>
      <c r="T26" s="37" t="str">
        <f t="shared" si="2"/>
        <v/>
      </c>
      <c r="U26" s="54"/>
      <c r="V26" s="46"/>
      <c r="W26" s="39" t="str">
        <f t="shared" si="10"/>
        <v/>
      </c>
      <c r="X26" s="38"/>
      <c r="Y26" s="48"/>
      <c r="AB26" s="56">
        <f t="shared" si="11"/>
        <v>1</v>
      </c>
      <c r="AC26" s="52"/>
      <c r="AD26" s="52"/>
      <c r="AE26" s="29" t="str">
        <f>IFERROR(
IF(AND(OR(AC26="C",AC26="c"), VLOOKUP(AF26,[1]Diccionario!B:N,13,0)="C"), "OK",IF(AND(OR(AC26="C",AC26="c"), OR(VLOOKUP(AF26,[1]Diccionario!B:N,13,0)="B", VLOOKUP(AF26,[1]Diccionario!B:N,13,0)="A")), "DEFICIT",IF(
AND(OR(AC26="B", AC26="BPAL"), VLOOKUP(AF26,[1]Diccionario!B:N,13,0)="B"), "OK",IF(AND(OR(AC26="B", AC26="BPAL"), VLOOKUP(AF26,[1]Diccionario!B:N,13,0)="A"), "DEFICIT",IF(AND(OR(AC26="B", AC26="BPAL"), VLOOKUP(AF26,[1]Diccionario!B:N,13,0)="C"), "SOBREOFERTA",IF(AND(AC26="A", VLOOKUP(AF26,[1]Diccionario!B:N,13,0)="A"), "OK",IF(
AND(AC26="A", OR(VLOOKUP(AF26,[1]Diccionario!B:N,13,0)="B", VLOOKUP(AF26,[1]Diccionario!B:N,13,0)="C")), "SOBREOFERTA",""
))))))),"")</f>
        <v/>
      </c>
      <c r="AF26" s="48"/>
      <c r="AG26" s="53"/>
      <c r="AH26" s="54"/>
      <c r="AI26" s="55" t="str">
        <f t="shared" si="12"/>
        <v/>
      </c>
      <c r="AJ26" s="46"/>
      <c r="AK26" s="34" t="e">
        <f>IF(AB26&lt;&gt;"",HLOOKUP(VALUE(TEXT(AH26,"h:mm:ss")),IF($C$6="Laboral",[1]Input!$A$4:$Y$227,IF($C$6="Sábado",[1]Input!$A$231:$Y$452,[1]Input!$A$456:$Y$656)),VLOOKUP($C$4,[1]Input!$AG$2:$AI$99,3,0)+IF(AD$5="Ida",0,1),1),"")</f>
        <v>#N/A</v>
      </c>
      <c r="AL26" s="34" t="str">
        <f>IF(AB27&lt;&gt;AB26,AVERAGEIF(AB$9:AB26,AB26,AK$9:AK26),"")</f>
        <v/>
      </c>
      <c r="AM26" s="35" t="str">
        <f>IFERROR(IF(AB27&lt;&gt;AB26,AVERAGEIF(AB$9:AB26,AB26,AT$9:AT26),""),"")</f>
        <v/>
      </c>
      <c r="AN26" s="35" t="str">
        <f>IFERROR(IF(AB27&lt;&gt;AB26,AVERAGEIF(AB$9:AB26,AB26,AU$9:AU26),""),"")</f>
        <v/>
      </c>
      <c r="AO26" s="35" t="str" cm="1">
        <f t="array" ref="AO26">IFERROR(IF(AB27&lt;&gt;AB26,_xlfn.STDEV.P(IF(AB$9:AB26=AB26,AU$9:AU26)),""),"")</f>
        <v/>
      </c>
      <c r="AP26" s="35" t="str" cm="1">
        <f t="array" ref="AP26">IFERROR(IF(AB27&lt;&gt;AB26,_xlfn.STDEV.P(IF(AB$9:AB26=AB26,AT$9:AT26)),""),"")</f>
        <v/>
      </c>
      <c r="AQ26" s="36" t="str">
        <f t="shared" si="3"/>
        <v/>
      </c>
      <c r="AR26" s="36" t="str">
        <f t="shared" si="4"/>
        <v/>
      </c>
      <c r="AS26" s="36" t="str">
        <f t="shared" si="13"/>
        <v/>
      </c>
      <c r="AT26" s="37" t="str">
        <f t="shared" si="5"/>
        <v/>
      </c>
      <c r="AU26" s="37" t="str">
        <f t="shared" si="6"/>
        <v/>
      </c>
      <c r="AV26" s="54"/>
      <c r="AW26" s="46"/>
      <c r="AX26" s="39" t="str" cm="1">
        <f t="array" ref="AX26">IF(AH26&lt;&gt;"",IF(AND(AX24:AX25&lt;&gt;"IE",AQ26&lt;&gt;0,AS26&lt;&gt;""),IF(IFERROR((AQ26/AS26),0) &lt;=1,IFERROR(AQ26/AS26,""),1),""),"")</f>
        <v/>
      </c>
      <c r="AY26" s="46"/>
      <c r="AZ26" s="57"/>
      <c r="BC26" s="48">
        <v>14</v>
      </c>
      <c r="BD26" s="48">
        <f>COUNTIFS($A:$A,$BC26,$C:$C,$BC$11)</f>
        <v>0</v>
      </c>
      <c r="BE26" s="48">
        <f>BD26-COUNTIFS($A:$A,$BC26,$C:$C,$BC$11,$H:$H,"")</f>
        <v>0</v>
      </c>
      <c r="BF26" s="49" t="str">
        <f t="shared" si="14"/>
        <v/>
      </c>
      <c r="BG26" s="48" t="str">
        <f>_xlfn.XLOOKUP(BC26,$A:$A,$R:$R,"0",0,-1)</f>
        <v>0</v>
      </c>
      <c r="BH26" s="50" t="str">
        <f>_xlfn.XLOOKUP(BC26,$A:$A,$P:$P,"0",0,-1)</f>
        <v>0</v>
      </c>
      <c r="BI26" s="39" t="str">
        <f>_xlfn.XLOOKUP(BC26,$A:$A,$W:$W,"",0,-1)</f>
        <v/>
      </c>
      <c r="BL26" s="48">
        <v>14</v>
      </c>
      <c r="BM26" s="48">
        <f>COUNTIFS($AB:$AB,$BL26,$AD:$AD,$BL$11)</f>
        <v>0</v>
      </c>
      <c r="BN26" s="48">
        <f>BM26-COUNTIFS($AB:$AB,$BL26,$AD:$AD,$BL$11,$AI:$AI,"")</f>
        <v>0</v>
      </c>
      <c r="BO26" s="49" t="str">
        <f t="shared" si="15"/>
        <v/>
      </c>
      <c r="BP26" s="48" t="str">
        <f>_xlfn.XLOOKUP(BL26,$AB:$AB,$AS:$AS,"0",0,-1)</f>
        <v>0</v>
      </c>
      <c r="BQ26" s="50" t="str">
        <f>_xlfn.XLOOKUP(BL26,$AB:$AB,$AQ:$AQ,"0",0,-1)</f>
        <v>0</v>
      </c>
      <c r="BR26" s="39" t="str">
        <f>_xlfn.XLOOKUP(BL26,$AB:$AB,$AX:$AX,"",0,-1)</f>
        <v/>
      </c>
    </row>
    <row r="27" spans="1:70" ht="15.5" x14ac:dyDescent="0.35">
      <c r="A27" s="51">
        <f t="shared" si="16"/>
        <v>1</v>
      </c>
      <c r="B27" s="52"/>
      <c r="C27" s="52"/>
      <c r="D27" s="29" t="str">
        <f>IFERROR(
IF(AND(OR(Planilla!B27="C",Planilla!B27="c"), VLOOKUP(E27,[1]Diccionario!B:N,13,0)="C"), "OK",IF(AND(OR(Planilla!B27="C",Planilla!B27="c"), OR(VLOOKUP(E27,[1]Diccionario!B:N,13,0)="B", VLOOKUP(E27,[1]Diccionario!B:N,13,0)="A")), "DEFICIT",IF(
AND(OR(Planilla!B27="B", Planilla!B27="BPAL"), VLOOKUP(E27,[1]Diccionario!B:N,13,0)="B"), "OK",IF(AND(OR(Planilla!B27="B", Planilla!B27="BPAL"), VLOOKUP(E27,[1]Diccionario!B:N,13,0)="A"), "DEFICIT",IF(AND(OR(Planilla!B27="B", Planilla!B27="BPAL"), VLOOKUP(E27,[1]Diccionario!B:N,13,0)="C"), "SOBREOFERTA",IF(AND(Planilla!B27="A", VLOOKUP(E27,[1]Diccionario!B:N,13,0)="A"), "OK",IF(
AND(Planilla!B27="A", OR(VLOOKUP(E27,[1]Diccionario!B:N,13,0)="B", VLOOKUP(E27,[1]Diccionario!B:N,13,0)="C")), "SOBREOFERTA",""
))))))),"")</f>
        <v/>
      </c>
      <c r="E27" s="48"/>
      <c r="F27" s="53" t="str">
        <f t="shared" si="17"/>
        <v/>
      </c>
      <c r="G27" s="54"/>
      <c r="H27" s="55" t="str">
        <f t="shared" si="7"/>
        <v/>
      </c>
      <c r="I27" s="35"/>
      <c r="J27" s="34" t="e">
        <f>IF(A27&lt;&gt;"",HLOOKUP(VALUE(TEXT(G27,"h:mm:ss")),IF($C$6="Laboral",[1]Input!$A$4:$Y$227,IF($C$6="Sábado",[1]Input!$A$231:$Y$452,[1]Input!$A$456:$Y$656)),VLOOKUP($C$4,[1]Input!$AG$2:$AI$99,3,0)+IF(C$5="Ida",0,1),1),"")</f>
        <v>#N/A</v>
      </c>
      <c r="K27" s="34" t="str">
        <f>IF(A28&lt;&gt;A27,AVERAGEIF(A$9:A27,A27,J$13:J27),"")</f>
        <v/>
      </c>
      <c r="L27" s="35" t="str">
        <f>IFERROR(IF(A28&lt;&gt;A27,AVERAGEIF(A$9:A27,A27,S$13:S27),""),"")</f>
        <v/>
      </c>
      <c r="M27" s="35" t="str">
        <f>IFERROR(IF(A28&lt;&gt;A27,AVERAGEIF(A$9:A27,A27,T$8:T27),""),"")</f>
        <v/>
      </c>
      <c r="N27" s="35" t="str" cm="1">
        <f t="array" ref="N27">IFERROR(IF(A28&lt;&gt;A27,_xlfn.STDEV.P(IF(A$9:A27=A27,T$7:T27)),""),"")</f>
        <v/>
      </c>
      <c r="O27" s="35" t="str" cm="1">
        <f t="array" ref="O27">IFERROR(IF(A28&lt;&gt;A27,_xlfn.STDEV.P(IF(A$9:A27=A27,S$7:S27)),""),"")</f>
        <v/>
      </c>
      <c r="P27" s="36" t="str">
        <f t="shared" si="0"/>
        <v/>
      </c>
      <c r="Q27" s="36" t="str">
        <f t="shared" si="1"/>
        <v/>
      </c>
      <c r="R27" s="36" t="str">
        <f t="shared" si="8"/>
        <v/>
      </c>
      <c r="S27" s="37" t="str">
        <f t="shared" si="9"/>
        <v/>
      </c>
      <c r="T27" s="37" t="str">
        <f t="shared" si="2"/>
        <v/>
      </c>
      <c r="U27" s="54"/>
      <c r="V27" s="46"/>
      <c r="W27" s="39" t="str">
        <f t="shared" si="10"/>
        <v/>
      </c>
      <c r="X27" s="38"/>
      <c r="Y27" s="48"/>
      <c r="AB27" s="56">
        <f t="shared" si="11"/>
        <v>1</v>
      </c>
      <c r="AC27" s="52"/>
      <c r="AD27" s="52"/>
      <c r="AE27" s="29" t="str">
        <f>IFERROR(
IF(AND(OR(AC27="C",AC27="c"), VLOOKUP(AF27,[1]Diccionario!B:N,13,0)="C"), "OK",IF(AND(OR(AC27="C",AC27="c"), OR(VLOOKUP(AF27,[1]Diccionario!B:N,13,0)="B", VLOOKUP(AF27,[1]Diccionario!B:N,13,0)="A")), "DEFICIT",IF(
AND(OR(AC27="B", AC27="BPAL"), VLOOKUP(AF27,[1]Diccionario!B:N,13,0)="B"), "OK",IF(AND(OR(AC27="B", AC27="BPAL"), VLOOKUP(AF27,[1]Diccionario!B:N,13,0)="A"), "DEFICIT",IF(AND(OR(AC27="B", AC27="BPAL"), VLOOKUP(AF27,[1]Diccionario!B:N,13,0)="C"), "SOBREOFERTA",IF(AND(AC27="A", VLOOKUP(AF27,[1]Diccionario!B:N,13,0)="A"), "OK",IF(
AND(AC27="A", OR(VLOOKUP(AF27,[1]Diccionario!B:N,13,0)="B", VLOOKUP(AF27,[1]Diccionario!B:N,13,0)="C")), "SOBREOFERTA",""
))))))),"")</f>
        <v/>
      </c>
      <c r="AF27" s="48"/>
      <c r="AG27" s="53"/>
      <c r="AH27" s="54"/>
      <c r="AI27" s="55" t="str">
        <f t="shared" si="12"/>
        <v/>
      </c>
      <c r="AJ27" s="46"/>
      <c r="AK27" s="34" t="e">
        <f>IF(AB27&lt;&gt;"",HLOOKUP(VALUE(TEXT(AH27,"h:mm:ss")),IF($C$6="Laboral",[1]Input!$A$4:$Y$227,IF($C$6="Sábado",[1]Input!$A$231:$Y$452,[1]Input!$A$456:$Y$656)),VLOOKUP($C$4,[1]Input!$AG$2:$AI$99,3,0)+IF(AD$5="Ida",0,1),1),"")</f>
        <v>#N/A</v>
      </c>
      <c r="AL27" s="34" t="str">
        <f>IF(AB28&lt;&gt;AB27,AVERAGEIF(AB$9:AB27,AB27,AK$9:AK27),"")</f>
        <v/>
      </c>
      <c r="AM27" s="35" t="str">
        <f>IFERROR(IF(AB28&lt;&gt;AB27,AVERAGEIF(AB$9:AB27,AB27,AT$9:AT27),""),"")</f>
        <v/>
      </c>
      <c r="AN27" s="35" t="str">
        <f>IFERROR(IF(AB28&lt;&gt;AB27,AVERAGEIF(AB$9:AB27,AB27,AU$9:AU27),""),"")</f>
        <v/>
      </c>
      <c r="AO27" s="35" t="str" cm="1">
        <f t="array" ref="AO27">IFERROR(IF(AB28&lt;&gt;AB27,_xlfn.STDEV.P(IF(AB$9:AB27=AB27,AU$9:AU27)),""),"")</f>
        <v/>
      </c>
      <c r="AP27" s="35" t="str" cm="1">
        <f t="array" ref="AP27">IFERROR(IF(AB28&lt;&gt;AB27,_xlfn.STDEV.P(IF(AB$9:AB27=AB27,AT$9:AT27)),""),"")</f>
        <v/>
      </c>
      <c r="AQ27" s="36" t="str">
        <f t="shared" si="3"/>
        <v/>
      </c>
      <c r="AR27" s="36" t="str">
        <f t="shared" si="4"/>
        <v/>
      </c>
      <c r="AS27" s="36" t="str">
        <f t="shared" si="13"/>
        <v/>
      </c>
      <c r="AT27" s="37" t="str">
        <f t="shared" si="5"/>
        <v/>
      </c>
      <c r="AU27" s="37" t="str">
        <f t="shared" si="6"/>
        <v/>
      </c>
      <c r="AV27" s="54"/>
      <c r="AW27" s="46"/>
      <c r="AX27" s="39" t="str" cm="1">
        <f t="array" ref="AX27">IF(AH27&lt;&gt;"",IF(AND(AX25:AX26&lt;&gt;"IE",AQ27&lt;&gt;0,AS27&lt;&gt;""),IF(IFERROR((AQ27/AS27),0) &lt;=1,IFERROR(AQ27/AS27,""),1),""),"")</f>
        <v/>
      </c>
      <c r="AY27" s="46"/>
      <c r="AZ27" s="57"/>
      <c r="BC27" s="48">
        <v>15</v>
      </c>
      <c r="BD27" s="48">
        <f>COUNTIFS($A:$A,$BC27,$C:$C,$BC$11)</f>
        <v>0</v>
      </c>
      <c r="BE27" s="48">
        <f>BD27-COUNTIFS($A:$A,$BC27,$C:$C,$BC$11,$H:$H,"")</f>
        <v>0</v>
      </c>
      <c r="BF27" s="49" t="str">
        <f t="shared" si="14"/>
        <v/>
      </c>
      <c r="BG27" s="48" t="str">
        <f>_xlfn.XLOOKUP(BC27,$A:$A,$R:$R,"0",0,-1)</f>
        <v>0</v>
      </c>
      <c r="BH27" s="50" t="str">
        <f>_xlfn.XLOOKUP(BC27,$A:$A,$P:$P,"0",0,-1)</f>
        <v>0</v>
      </c>
      <c r="BI27" s="39" t="str">
        <f>_xlfn.XLOOKUP(BC27,$A:$A,$W:$W,"",0,-1)</f>
        <v/>
      </c>
      <c r="BL27" s="48">
        <v>15</v>
      </c>
      <c r="BM27" s="48">
        <f>COUNTIFS($AB:$AB,$BL27,$AD:$AD,$BL$11)</f>
        <v>0</v>
      </c>
      <c r="BN27" s="48">
        <f>BM27-COUNTIFS($AB:$AB,$BL27,$AD:$AD,$BL$11,$AI:$AI,"")</f>
        <v>0</v>
      </c>
      <c r="BO27" s="49" t="str">
        <f t="shared" si="15"/>
        <v/>
      </c>
      <c r="BP27" s="48" t="str">
        <f>_xlfn.XLOOKUP(BL27,$AB:$AB,$AS:$AS,"0",0,-1)</f>
        <v>0</v>
      </c>
      <c r="BQ27" s="50" t="str">
        <f>_xlfn.XLOOKUP(BL27,$AB:$AB,$AQ:$AQ,"0",0,-1)</f>
        <v>0</v>
      </c>
      <c r="BR27" s="39" t="str">
        <f>_xlfn.XLOOKUP(BL27,$AB:$AB,$AX:$AX,"",0,-1)</f>
        <v/>
      </c>
    </row>
    <row r="28" spans="1:70" ht="15.5" x14ac:dyDescent="0.35">
      <c r="A28" s="51">
        <f t="shared" si="16"/>
        <v>1</v>
      </c>
      <c r="B28" s="52"/>
      <c r="C28" s="52"/>
      <c r="D28" s="29" t="str">
        <f>IFERROR(
IF(AND(OR(Planilla!B28="C",Planilla!B28="c"), VLOOKUP(E28,[1]Diccionario!B:N,13,0)="C"), "OK",IF(AND(OR(Planilla!B28="C",Planilla!B28="c"), OR(VLOOKUP(E28,[1]Diccionario!B:N,13,0)="B", VLOOKUP(E28,[1]Diccionario!B:N,13,0)="A")), "DEFICIT",IF(
AND(OR(Planilla!B28="B", Planilla!B28="BPAL"), VLOOKUP(E28,[1]Diccionario!B:N,13,0)="B"), "OK",IF(AND(OR(Planilla!B28="B", Planilla!B28="BPAL"), VLOOKUP(E28,[1]Diccionario!B:N,13,0)="A"), "DEFICIT",IF(AND(OR(Planilla!B28="B", Planilla!B28="BPAL"), VLOOKUP(E28,[1]Diccionario!B:N,13,0)="C"), "SOBREOFERTA",IF(AND(Planilla!B28="A", VLOOKUP(E28,[1]Diccionario!B:N,13,0)="A"), "OK",IF(
AND(Planilla!B28="A", OR(VLOOKUP(E28,[1]Diccionario!B:N,13,0)="B", VLOOKUP(E28,[1]Diccionario!B:N,13,0)="C")), "SOBREOFERTA",""
))))))),"")</f>
        <v/>
      </c>
      <c r="E28" s="48"/>
      <c r="F28" s="53" t="str">
        <f t="shared" si="17"/>
        <v/>
      </c>
      <c r="G28" s="54"/>
      <c r="H28" s="55" t="str">
        <f t="shared" si="7"/>
        <v/>
      </c>
      <c r="I28" s="35"/>
      <c r="J28" s="34" t="e">
        <f>IF(A28&lt;&gt;"",HLOOKUP(VALUE(TEXT(G28,"h:mm:ss")),IF($C$6="Laboral",[1]Input!$A$4:$Y$227,IF($C$6="Sábado",[1]Input!$A$231:$Y$452,[1]Input!$A$456:$Y$656)),VLOOKUP($C$4,[1]Input!$AG$2:$AI$99,3,0)+IF(C$5="Ida",0,1),1),"")</f>
        <v>#N/A</v>
      </c>
      <c r="K28" s="34" t="str">
        <f>IF(A29&lt;&gt;A28,AVERAGEIF(A$9:A28,A28,J$13:J28),"")</f>
        <v/>
      </c>
      <c r="L28" s="35" t="str">
        <f>IFERROR(IF(A29&lt;&gt;A28,AVERAGEIF(A$9:A28,A28,S$13:S28),""),"")</f>
        <v/>
      </c>
      <c r="M28" s="35" t="str">
        <f>IFERROR(IF(A29&lt;&gt;A28,AVERAGEIF(A$9:A28,A28,T$8:T28),""),"")</f>
        <v/>
      </c>
      <c r="N28" s="35" t="str" cm="1">
        <f t="array" ref="N28">IFERROR(IF(A29&lt;&gt;A28,_xlfn.STDEV.P(IF(A$9:A28=A28,T$7:T28)),""),"")</f>
        <v/>
      </c>
      <c r="O28" s="35" t="str" cm="1">
        <f t="array" ref="O28">IFERROR(IF(A29&lt;&gt;A28,_xlfn.STDEV.P(IF(A$9:A28=A28,S$7:S28)),""),"")</f>
        <v/>
      </c>
      <c r="P28" s="36" t="str">
        <f t="shared" si="0"/>
        <v/>
      </c>
      <c r="Q28" s="36" t="str">
        <f t="shared" si="1"/>
        <v/>
      </c>
      <c r="R28" s="36" t="str">
        <f t="shared" si="8"/>
        <v/>
      </c>
      <c r="S28" s="37" t="str">
        <f t="shared" si="9"/>
        <v/>
      </c>
      <c r="T28" s="37" t="str">
        <f t="shared" si="2"/>
        <v/>
      </c>
      <c r="U28" s="54"/>
      <c r="V28" s="46"/>
      <c r="W28" s="39" t="str">
        <f t="shared" si="10"/>
        <v/>
      </c>
      <c r="X28" s="38"/>
      <c r="Y28" s="48"/>
      <c r="AB28" s="56">
        <f t="shared" si="11"/>
        <v>1</v>
      </c>
      <c r="AC28" s="52"/>
      <c r="AD28" s="52"/>
      <c r="AE28" s="29" t="str">
        <f>IFERROR(
IF(AND(OR(AC28="C",AC28="c"), VLOOKUP(AF28,[1]Diccionario!B:N,13,0)="C"), "OK",IF(AND(OR(AC28="C",AC28="c"), OR(VLOOKUP(AF28,[1]Diccionario!B:N,13,0)="B", VLOOKUP(AF28,[1]Diccionario!B:N,13,0)="A")), "DEFICIT",IF(
AND(OR(AC28="B", AC28="BPAL"), VLOOKUP(AF28,[1]Diccionario!B:N,13,0)="B"), "OK",IF(AND(OR(AC28="B", AC28="BPAL"), VLOOKUP(AF28,[1]Diccionario!B:N,13,0)="A"), "DEFICIT",IF(AND(OR(AC28="B", AC28="BPAL"), VLOOKUP(AF28,[1]Diccionario!B:N,13,0)="C"), "SOBREOFERTA",IF(AND(AC28="A", VLOOKUP(AF28,[1]Diccionario!B:N,13,0)="A"), "OK",IF(
AND(AC28="A", OR(VLOOKUP(AF28,[1]Diccionario!B:N,13,0)="B", VLOOKUP(AF28,[1]Diccionario!B:N,13,0)="C")), "SOBREOFERTA",""
))))))),"")</f>
        <v/>
      </c>
      <c r="AF28" s="48"/>
      <c r="AG28" s="53"/>
      <c r="AH28" s="54"/>
      <c r="AI28" s="55" t="str">
        <f t="shared" si="12"/>
        <v/>
      </c>
      <c r="AJ28" s="46"/>
      <c r="AK28" s="34" t="e">
        <f>IF(AB28&lt;&gt;"",HLOOKUP(VALUE(TEXT(AH28,"h:mm:ss")),IF($C$6="Laboral",[1]Input!$A$4:$Y$227,IF($C$6="Sábado",[1]Input!$A$231:$Y$452,[1]Input!$A$456:$Y$656)),VLOOKUP($C$4,[1]Input!$AG$2:$AI$99,3,0)+IF(AD$5="Ida",0,1),1),"")</f>
        <v>#N/A</v>
      </c>
      <c r="AL28" s="34" t="str">
        <f>IF(AB29&lt;&gt;AB28,AVERAGEIF(AB$9:AB28,AB28,AK$9:AK28),"")</f>
        <v/>
      </c>
      <c r="AM28" s="35" t="str">
        <f>IFERROR(IF(AB29&lt;&gt;AB28,AVERAGEIF(AB$9:AB28,AB28,AT$9:AT28),""),"")</f>
        <v/>
      </c>
      <c r="AN28" s="35" t="str">
        <f>IFERROR(IF(AB29&lt;&gt;AB28,AVERAGEIF(AB$9:AB28,AB28,AU$9:AU28),""),"")</f>
        <v/>
      </c>
      <c r="AO28" s="35" t="str" cm="1">
        <f t="array" ref="AO28">IFERROR(IF(AB29&lt;&gt;AB28,_xlfn.STDEV.P(IF(AB$9:AB28=AB28,AU$9:AU28)),""),"")</f>
        <v/>
      </c>
      <c r="AP28" s="35" t="str" cm="1">
        <f t="array" ref="AP28">IFERROR(IF(AB29&lt;&gt;AB28,_xlfn.STDEV.P(IF(AB$9:AB28=AB28,AT$9:AT28)),""),"")</f>
        <v/>
      </c>
      <c r="AQ28" s="36" t="str">
        <f t="shared" si="3"/>
        <v/>
      </c>
      <c r="AR28" s="36" t="str">
        <f t="shared" si="4"/>
        <v/>
      </c>
      <c r="AS28" s="36" t="str">
        <f t="shared" si="13"/>
        <v/>
      </c>
      <c r="AT28" s="37" t="str">
        <f t="shared" si="5"/>
        <v/>
      </c>
      <c r="AU28" s="37" t="str">
        <f t="shared" si="6"/>
        <v/>
      </c>
      <c r="AV28" s="54"/>
      <c r="AW28" s="46"/>
      <c r="AX28" s="39" t="str" cm="1">
        <f t="array" ref="AX28">IF(AH28&lt;&gt;"",IF(AND(AX26:AX27&lt;&gt;"IE",AQ28&lt;&gt;0,AS28&lt;&gt;""),IF(IFERROR((AQ28/AS28),0) &lt;=1,IFERROR(AQ28/AS28,""),1),""),"")</f>
        <v/>
      </c>
      <c r="AY28" s="46"/>
      <c r="AZ28" s="57"/>
      <c r="BC28" s="48">
        <v>16</v>
      </c>
      <c r="BD28" s="48">
        <f>COUNTIFS($A:$A,$BC28,$C:$C,$BC$11)</f>
        <v>0</v>
      </c>
      <c r="BE28" s="48">
        <f>BD28-COUNTIFS($A:$A,$BC28,$C:$C,$BC$11,$H:$H,"")</f>
        <v>0</v>
      </c>
      <c r="BF28" s="49" t="str">
        <f t="shared" si="14"/>
        <v/>
      </c>
      <c r="BG28" s="48" t="str">
        <f>_xlfn.XLOOKUP(BC28,$A:$A,$R:$R,"0",0,-1)</f>
        <v>0</v>
      </c>
      <c r="BH28" s="50" t="str">
        <f>_xlfn.XLOOKUP(BC28,$A:$A,$P:$P,"0",0,-1)</f>
        <v>0</v>
      </c>
      <c r="BI28" s="39" t="str">
        <f>_xlfn.XLOOKUP(BC28,$A:$A,$W:$W,"",0,-1)</f>
        <v/>
      </c>
      <c r="BL28" s="48">
        <v>16</v>
      </c>
      <c r="BM28" s="48">
        <f>COUNTIFS($AB:$AB,$BL28,$AD:$AD,$BL$11)</f>
        <v>0</v>
      </c>
      <c r="BN28" s="48">
        <f>BM28-COUNTIFS($AB:$AB,$BL28,$AD:$AD,$BL$11,$AI:$AI,"")</f>
        <v>0</v>
      </c>
      <c r="BO28" s="49" t="str">
        <f t="shared" si="15"/>
        <v/>
      </c>
      <c r="BP28" s="48" t="str">
        <f>_xlfn.XLOOKUP(BL28,$AB:$AB,$AS:$AS,"0",0,-1)</f>
        <v>0</v>
      </c>
      <c r="BQ28" s="50" t="str">
        <f>_xlfn.XLOOKUP(BL28,$AB:$AB,$AQ:$AQ,"0",0,-1)</f>
        <v>0</v>
      </c>
      <c r="BR28" s="39" t="str">
        <f>_xlfn.XLOOKUP(BL28,$AB:$AB,$AX:$AX,"",0,-1)</f>
        <v/>
      </c>
    </row>
    <row r="29" spans="1:70" ht="15.5" x14ac:dyDescent="0.35">
      <c r="A29" s="51">
        <f t="shared" si="16"/>
        <v>1</v>
      </c>
      <c r="B29" s="52"/>
      <c r="C29" s="52"/>
      <c r="D29" s="29" t="str">
        <f>IFERROR(
IF(AND(OR(Planilla!B29="C",Planilla!B29="c"), VLOOKUP(E29,[1]Diccionario!B:N,13,0)="C"), "OK",IF(AND(OR(Planilla!B29="C",Planilla!B29="c"), OR(VLOOKUP(E29,[1]Diccionario!B:N,13,0)="B", VLOOKUP(E29,[1]Diccionario!B:N,13,0)="A")), "DEFICIT",IF(
AND(OR(Planilla!B29="B", Planilla!B29="BPAL"), VLOOKUP(E29,[1]Diccionario!B:N,13,0)="B"), "OK",IF(AND(OR(Planilla!B29="B", Planilla!B29="BPAL"), VLOOKUP(E29,[1]Diccionario!B:N,13,0)="A"), "DEFICIT",IF(AND(OR(Planilla!B29="B", Planilla!B29="BPAL"), VLOOKUP(E29,[1]Diccionario!B:N,13,0)="C"), "SOBREOFERTA",IF(AND(Planilla!B29="A", VLOOKUP(E29,[1]Diccionario!B:N,13,0)="A"), "OK",IF(
AND(Planilla!B29="A", OR(VLOOKUP(E29,[1]Diccionario!B:N,13,0)="B", VLOOKUP(E29,[1]Diccionario!B:N,13,0)="C")), "SOBREOFERTA",""
))))))),"")</f>
        <v/>
      </c>
      <c r="E29" s="48"/>
      <c r="F29" s="53" t="str">
        <f t="shared" si="17"/>
        <v/>
      </c>
      <c r="G29" s="54"/>
      <c r="H29" s="55" t="str">
        <f t="shared" si="7"/>
        <v/>
      </c>
      <c r="I29" s="35"/>
      <c r="J29" s="34" t="e">
        <f>IF(A29&lt;&gt;"",HLOOKUP(VALUE(TEXT(G29,"h:mm:ss")),IF($C$6="Laboral",[1]Input!$A$4:$Y$227,IF($C$6="Sábado",[1]Input!$A$231:$Y$452,[1]Input!$A$456:$Y$656)),VLOOKUP($C$4,[1]Input!$AG$2:$AI$99,3,0)+IF(C$5="Ida",0,1),1),"")</f>
        <v>#N/A</v>
      </c>
      <c r="K29" s="34" t="str">
        <f>IF(A30&lt;&gt;A29,AVERAGEIF(A$9:A29,A29,J$13:J29),"")</f>
        <v/>
      </c>
      <c r="L29" s="35" t="str">
        <f>IFERROR(IF(A30&lt;&gt;A29,AVERAGEIF(A$9:A29,A29,S$13:S29),""),"")</f>
        <v/>
      </c>
      <c r="M29" s="35" t="str">
        <f>IFERROR(IF(A30&lt;&gt;A29,AVERAGEIF(A$9:A29,A29,T$8:T29),""),"")</f>
        <v/>
      </c>
      <c r="N29" s="35" t="str" cm="1">
        <f t="array" ref="N29">IFERROR(IF(A30&lt;&gt;A29,_xlfn.STDEV.P(IF(A$9:A29=A29,T$7:T29)),""),"")</f>
        <v/>
      </c>
      <c r="O29" s="35" t="str" cm="1">
        <f t="array" ref="O29">IFERROR(IF(A30&lt;&gt;A29,_xlfn.STDEV.P(IF(A$9:A29=A29,S$7:S29)),""),"")</f>
        <v/>
      </c>
      <c r="P29" s="36" t="str">
        <f t="shared" si="0"/>
        <v/>
      </c>
      <c r="Q29" s="36" t="str">
        <f t="shared" si="1"/>
        <v/>
      </c>
      <c r="R29" s="36" t="str">
        <f t="shared" si="8"/>
        <v/>
      </c>
      <c r="S29" s="37" t="str">
        <f t="shared" si="9"/>
        <v/>
      </c>
      <c r="T29" s="37" t="str">
        <f t="shared" si="2"/>
        <v/>
      </c>
      <c r="U29" s="54"/>
      <c r="V29" s="46"/>
      <c r="W29" s="39" t="str">
        <f t="shared" si="10"/>
        <v/>
      </c>
      <c r="X29" s="38"/>
      <c r="Y29" s="48"/>
      <c r="AB29" s="56">
        <f t="shared" si="11"/>
        <v>1</v>
      </c>
      <c r="AC29" s="52"/>
      <c r="AD29" s="52"/>
      <c r="AE29" s="29" t="str">
        <f>IFERROR(
IF(AND(OR(AC29="C",AC29="c"), VLOOKUP(AF29,[1]Diccionario!B:N,13,0)="C"), "OK",IF(AND(OR(AC29="C",AC29="c"), OR(VLOOKUP(AF29,[1]Diccionario!B:N,13,0)="B", VLOOKUP(AF29,[1]Diccionario!B:N,13,0)="A")), "DEFICIT",IF(
AND(OR(AC29="B", AC29="BPAL"), VLOOKUP(AF29,[1]Diccionario!B:N,13,0)="B"), "OK",IF(AND(OR(AC29="B", AC29="BPAL"), VLOOKUP(AF29,[1]Diccionario!B:N,13,0)="A"), "DEFICIT",IF(AND(OR(AC29="B", AC29="BPAL"), VLOOKUP(AF29,[1]Diccionario!B:N,13,0)="C"), "SOBREOFERTA",IF(AND(AC29="A", VLOOKUP(AF29,[1]Diccionario!B:N,13,0)="A"), "OK",IF(
AND(AC29="A", OR(VLOOKUP(AF29,[1]Diccionario!B:N,13,0)="B", VLOOKUP(AF29,[1]Diccionario!B:N,13,0)="C")), "SOBREOFERTA",""
))))))),"")</f>
        <v/>
      </c>
      <c r="AF29" s="48"/>
      <c r="AG29" s="53"/>
      <c r="AH29" s="54"/>
      <c r="AI29" s="55" t="str">
        <f t="shared" si="12"/>
        <v/>
      </c>
      <c r="AJ29" s="46"/>
      <c r="AK29" s="34" t="e">
        <f>IF(AB29&lt;&gt;"",HLOOKUP(VALUE(TEXT(AH29,"h:mm:ss")),IF($C$6="Laboral",[1]Input!$A$4:$Y$227,IF($C$6="Sábado",[1]Input!$A$231:$Y$452,[1]Input!$A$456:$Y$656)),VLOOKUP($C$4,[1]Input!$AG$2:$AI$99,3,0)+IF(AD$5="Ida",0,1),1),"")</f>
        <v>#N/A</v>
      </c>
      <c r="AL29" s="34" t="str">
        <f>IF(AB30&lt;&gt;AB29,AVERAGEIF(AB$9:AB29,AB29,AK$9:AK29),"")</f>
        <v/>
      </c>
      <c r="AM29" s="35" t="str">
        <f>IFERROR(IF(AB30&lt;&gt;AB29,AVERAGEIF(AB$9:AB29,AB29,AT$9:AT29),""),"")</f>
        <v/>
      </c>
      <c r="AN29" s="35" t="str">
        <f>IFERROR(IF(AB30&lt;&gt;AB29,AVERAGEIF(AB$9:AB29,AB29,AU$9:AU29),""),"")</f>
        <v/>
      </c>
      <c r="AO29" s="35" t="str" cm="1">
        <f t="array" ref="AO29">IFERROR(IF(AB30&lt;&gt;AB29,_xlfn.STDEV.P(IF(AB$9:AB29=AB29,AU$9:AU29)),""),"")</f>
        <v/>
      </c>
      <c r="AP29" s="35" t="str" cm="1">
        <f t="array" ref="AP29">IFERROR(IF(AB30&lt;&gt;AB29,_xlfn.STDEV.P(IF(AB$9:AB29=AB29,AT$9:AT29)),""),"")</f>
        <v/>
      </c>
      <c r="AQ29" s="36" t="str">
        <f t="shared" si="3"/>
        <v/>
      </c>
      <c r="AR29" s="36" t="str">
        <f t="shared" si="4"/>
        <v/>
      </c>
      <c r="AS29" s="36" t="str">
        <f t="shared" si="13"/>
        <v/>
      </c>
      <c r="AT29" s="37" t="str">
        <f t="shared" si="5"/>
        <v/>
      </c>
      <c r="AU29" s="37" t="str">
        <f t="shared" si="6"/>
        <v/>
      </c>
      <c r="AV29" s="54"/>
      <c r="AW29" s="46"/>
      <c r="AX29" s="39" t="str" cm="1">
        <f t="array" ref="AX29">IF(AH29&lt;&gt;"",IF(AND(AX27:AX28&lt;&gt;"IE",AQ29&lt;&gt;0,AS29&lt;&gt;""),IF(IFERROR((AQ29/AS29),0) &lt;=1,IFERROR(AQ29/AS29,""),1),""),"")</f>
        <v/>
      </c>
      <c r="AY29" s="46"/>
      <c r="AZ29" s="57"/>
      <c r="BC29" s="48">
        <v>17</v>
      </c>
      <c r="BD29" s="48">
        <f>COUNTIFS($A:$A,$BC29,$C:$C,$BC$11)</f>
        <v>0</v>
      </c>
      <c r="BE29" s="48">
        <f>BD29-COUNTIFS($A:$A,$BC29,$C:$C,$BC$11,$H:$H,"")</f>
        <v>0</v>
      </c>
      <c r="BF29" s="49" t="str">
        <f t="shared" si="14"/>
        <v/>
      </c>
      <c r="BG29" s="48" t="str">
        <f>_xlfn.XLOOKUP(BC29,$A:$A,$R:$R,"0",0,-1)</f>
        <v>0</v>
      </c>
      <c r="BH29" s="50" t="str">
        <f>_xlfn.XLOOKUP(BC29,$A:$A,$P:$P,"0",0,-1)</f>
        <v>0</v>
      </c>
      <c r="BI29" s="39" t="str">
        <f>_xlfn.XLOOKUP(BC29,$A:$A,$W:$W,"",0,-1)</f>
        <v/>
      </c>
      <c r="BL29" s="48">
        <v>17</v>
      </c>
      <c r="BM29" s="48">
        <f>COUNTIFS($AB:$AB,$BL29,$AD:$AD,$BL$11)</f>
        <v>0</v>
      </c>
      <c r="BN29" s="48">
        <f>BM29-COUNTIFS($AB:$AB,$BL29,$AD:$AD,$BL$11,$AI:$AI,"")</f>
        <v>0</v>
      </c>
      <c r="BO29" s="49" t="str">
        <f t="shared" si="15"/>
        <v/>
      </c>
      <c r="BP29" s="48" t="str">
        <f>_xlfn.XLOOKUP(BL29,$AB:$AB,$AS:$AS,"0",0,-1)</f>
        <v>0</v>
      </c>
      <c r="BQ29" s="50" t="str">
        <f>_xlfn.XLOOKUP(BL29,$AB:$AB,$AQ:$AQ,"0",0,-1)</f>
        <v>0</v>
      </c>
      <c r="BR29" s="39" t="str">
        <f>_xlfn.XLOOKUP(BL29,$AB:$AB,$AX:$AX,"",0,-1)</f>
        <v/>
      </c>
    </row>
    <row r="30" spans="1:70" ht="15.5" x14ac:dyDescent="0.35">
      <c r="A30" s="51">
        <f t="shared" si="16"/>
        <v>1</v>
      </c>
      <c r="B30" s="52"/>
      <c r="C30" s="52"/>
      <c r="D30" s="29" t="str">
        <f>IFERROR(
IF(AND(OR(Planilla!B30="C",Planilla!B30="c"), VLOOKUP(E30,[1]Diccionario!B:N,13,0)="C"), "OK",IF(AND(OR(Planilla!B30="C",Planilla!B30="c"), OR(VLOOKUP(E30,[1]Diccionario!B:N,13,0)="B", VLOOKUP(E30,[1]Diccionario!B:N,13,0)="A")), "DEFICIT",IF(
AND(OR(Planilla!B30="B", Planilla!B30="BPAL"), VLOOKUP(E30,[1]Diccionario!B:N,13,0)="B"), "OK",IF(AND(OR(Planilla!B30="B", Planilla!B30="BPAL"), VLOOKUP(E30,[1]Diccionario!B:N,13,0)="A"), "DEFICIT",IF(AND(OR(Planilla!B30="B", Planilla!B30="BPAL"), VLOOKUP(E30,[1]Diccionario!B:N,13,0)="C"), "SOBREOFERTA",IF(AND(Planilla!B30="A", VLOOKUP(E30,[1]Diccionario!B:N,13,0)="A"), "OK",IF(
AND(Planilla!B30="A", OR(VLOOKUP(E30,[1]Diccionario!B:N,13,0)="B", VLOOKUP(E30,[1]Diccionario!B:N,13,0)="C")), "SOBREOFERTA",""
))))))),"")</f>
        <v/>
      </c>
      <c r="E30" s="48"/>
      <c r="F30" s="53" t="str">
        <f t="shared" si="17"/>
        <v/>
      </c>
      <c r="G30" s="54"/>
      <c r="H30" s="55" t="str">
        <f t="shared" si="7"/>
        <v/>
      </c>
      <c r="I30" s="35"/>
      <c r="J30" s="34" t="e">
        <f>IF(A30&lt;&gt;"",HLOOKUP(VALUE(TEXT(G30,"h:mm:ss")),IF($C$6="Laboral",[1]Input!$A$4:$Y$227,IF($C$6="Sábado",[1]Input!$A$231:$Y$452,[1]Input!$A$456:$Y$656)),VLOOKUP($C$4,[1]Input!$AG$2:$AI$99,3,0)+IF(C$5="Ida",0,1),1),"")</f>
        <v>#N/A</v>
      </c>
      <c r="K30" s="34" t="str">
        <f>IF(A31&lt;&gt;A30,AVERAGEIF(A$9:A30,A30,J$13:J30),"")</f>
        <v/>
      </c>
      <c r="L30" s="35" t="str">
        <f>IFERROR(IF(A31&lt;&gt;A30,AVERAGEIF(A$9:A30,A30,S$13:S30),""),"")</f>
        <v/>
      </c>
      <c r="M30" s="35" t="str">
        <f>IFERROR(IF(A31&lt;&gt;A30,AVERAGEIF(A$9:A30,A30,T$8:T30),""),"")</f>
        <v/>
      </c>
      <c r="N30" s="35" t="str" cm="1">
        <f t="array" ref="N30">IFERROR(IF(A31&lt;&gt;A30,_xlfn.STDEV.P(IF(A$9:A30=A30,T$7:T30)),""),"")</f>
        <v/>
      </c>
      <c r="O30" s="35" t="str" cm="1">
        <f t="array" ref="O30">IFERROR(IF(A31&lt;&gt;A30,_xlfn.STDEV.P(IF(A$9:A30=A30,S$7:S30)),""),"")</f>
        <v/>
      </c>
      <c r="P30" s="36" t="str">
        <f t="shared" si="0"/>
        <v/>
      </c>
      <c r="Q30" s="36" t="str">
        <f t="shared" si="1"/>
        <v/>
      </c>
      <c r="R30" s="36" t="str">
        <f t="shared" si="8"/>
        <v/>
      </c>
      <c r="S30" s="37" t="str">
        <f t="shared" si="9"/>
        <v/>
      </c>
      <c r="T30" s="37" t="str">
        <f t="shared" si="2"/>
        <v/>
      </c>
      <c r="U30" s="54"/>
      <c r="V30" s="46"/>
      <c r="W30" s="39" t="str">
        <f t="shared" si="10"/>
        <v/>
      </c>
      <c r="X30" s="38"/>
      <c r="Y30" s="48"/>
      <c r="AB30" s="56">
        <f t="shared" si="11"/>
        <v>1</v>
      </c>
      <c r="AC30" s="52"/>
      <c r="AD30" s="52"/>
      <c r="AE30" s="29" t="str">
        <f>IFERROR(
IF(AND(OR(AC30="C",AC30="c"), VLOOKUP(AF30,[1]Diccionario!B:N,13,0)="C"), "OK",IF(AND(OR(AC30="C",AC30="c"), OR(VLOOKUP(AF30,[1]Diccionario!B:N,13,0)="B", VLOOKUP(AF30,[1]Diccionario!B:N,13,0)="A")), "DEFICIT",IF(
AND(OR(AC30="B", AC30="BPAL"), VLOOKUP(AF30,[1]Diccionario!B:N,13,0)="B"), "OK",IF(AND(OR(AC30="B", AC30="BPAL"), VLOOKUP(AF30,[1]Diccionario!B:N,13,0)="A"), "DEFICIT",IF(AND(OR(AC30="B", AC30="BPAL"), VLOOKUP(AF30,[1]Diccionario!B:N,13,0)="C"), "SOBREOFERTA",IF(AND(AC30="A", VLOOKUP(AF30,[1]Diccionario!B:N,13,0)="A"), "OK",IF(
AND(AC30="A", OR(VLOOKUP(AF30,[1]Diccionario!B:N,13,0)="B", VLOOKUP(AF30,[1]Diccionario!B:N,13,0)="C")), "SOBREOFERTA",""
))))))),"")</f>
        <v/>
      </c>
      <c r="AF30" s="48"/>
      <c r="AG30" s="53"/>
      <c r="AH30" s="54"/>
      <c r="AI30" s="55" t="str">
        <f t="shared" si="12"/>
        <v/>
      </c>
      <c r="AJ30" s="46"/>
      <c r="AK30" s="34" t="e">
        <f>IF(AB30&lt;&gt;"",HLOOKUP(VALUE(TEXT(AH30,"h:mm:ss")),IF($C$6="Laboral",[1]Input!$A$4:$Y$227,IF($C$6="Sábado",[1]Input!$A$231:$Y$452,[1]Input!$A$456:$Y$656)),VLOOKUP($C$4,[1]Input!$AG$2:$AI$99,3,0)+IF(AD$5="Ida",0,1),1),"")</f>
        <v>#N/A</v>
      </c>
      <c r="AL30" s="34" t="str">
        <f>IF(AB31&lt;&gt;AB30,AVERAGEIF(AB$9:AB30,AB30,AK$9:AK30),"")</f>
        <v/>
      </c>
      <c r="AM30" s="35" t="str">
        <f>IFERROR(IF(AB31&lt;&gt;AB30,AVERAGEIF(AB$9:AB30,AB30,AT$9:AT30),""),"")</f>
        <v/>
      </c>
      <c r="AN30" s="35" t="str">
        <f>IFERROR(IF(AB31&lt;&gt;AB30,AVERAGEIF(AB$9:AB30,AB30,AU$9:AU30),""),"")</f>
        <v/>
      </c>
      <c r="AO30" s="35" t="str" cm="1">
        <f t="array" ref="AO30">IFERROR(IF(AB31&lt;&gt;AB30,_xlfn.STDEV.P(IF(AB$9:AB30=AB30,AU$9:AU30)),""),"")</f>
        <v/>
      </c>
      <c r="AP30" s="35" t="str" cm="1">
        <f t="array" ref="AP30">IFERROR(IF(AB31&lt;&gt;AB30,_xlfn.STDEV.P(IF(AB$9:AB30=AB30,AT$9:AT30)),""),"")</f>
        <v/>
      </c>
      <c r="AQ30" s="36" t="str">
        <f t="shared" si="3"/>
        <v/>
      </c>
      <c r="AR30" s="36" t="str">
        <f t="shared" si="4"/>
        <v/>
      </c>
      <c r="AS30" s="36" t="str">
        <f t="shared" si="13"/>
        <v/>
      </c>
      <c r="AT30" s="37" t="str">
        <f t="shared" si="5"/>
        <v/>
      </c>
      <c r="AU30" s="37" t="str">
        <f t="shared" si="6"/>
        <v/>
      </c>
      <c r="AV30" s="54"/>
      <c r="AW30" s="46"/>
      <c r="AX30" s="39" t="str" cm="1">
        <f t="array" ref="AX30">IF(AH30&lt;&gt;"",IF(AND(AX28:AX29&lt;&gt;"IE",AQ30&lt;&gt;0,AS30&lt;&gt;""),IF(IFERROR((AQ30/AS30),0) &lt;=1,IFERROR(AQ30/AS30,""),1),""),"")</f>
        <v/>
      </c>
      <c r="AY30" s="46"/>
      <c r="AZ30" s="57"/>
      <c r="BC30" s="48">
        <v>18</v>
      </c>
      <c r="BD30" s="48">
        <f>COUNTIFS($A:$A,$BC30,$C:$C,$BC$11)</f>
        <v>0</v>
      </c>
      <c r="BE30" s="48">
        <f>BD30-COUNTIFS($A:$A,$BC30,$C:$C,$BC$11,$H:$H,"")</f>
        <v>0</v>
      </c>
      <c r="BF30" s="49" t="str">
        <f t="shared" si="14"/>
        <v/>
      </c>
      <c r="BG30" s="48" t="str">
        <f>_xlfn.XLOOKUP(BC30,$A:$A,$R:$R,"0",0,-1)</f>
        <v>0</v>
      </c>
      <c r="BH30" s="50" t="str">
        <f>_xlfn.XLOOKUP(BC30,$A:$A,$P:$P,"0",0,-1)</f>
        <v>0</v>
      </c>
      <c r="BI30" s="39" t="str">
        <f>_xlfn.XLOOKUP(BC30,$A:$A,$W:$W,"",0,-1)</f>
        <v/>
      </c>
      <c r="BL30" s="48">
        <v>18</v>
      </c>
      <c r="BM30" s="48">
        <f>COUNTIFS($AB:$AB,$BL30,$AD:$AD,$BL$11)</f>
        <v>0</v>
      </c>
      <c r="BN30" s="48">
        <f>BM30-COUNTIFS($AB:$AB,$BL30,$AD:$AD,$BL$11,$AI:$AI,"")</f>
        <v>0</v>
      </c>
      <c r="BO30" s="49" t="str">
        <f t="shared" si="15"/>
        <v/>
      </c>
      <c r="BP30" s="48" t="str">
        <f>_xlfn.XLOOKUP(BL30,$AB:$AB,$AS:$AS,"0",0,-1)</f>
        <v>0</v>
      </c>
      <c r="BQ30" s="50" t="str">
        <f>_xlfn.XLOOKUP(BL30,$AB:$AB,$AQ:$AQ,"0",0,-1)</f>
        <v>0</v>
      </c>
      <c r="BR30" s="39" t="str">
        <f>_xlfn.XLOOKUP(BL30,$AB:$AB,$AX:$AX,"",0,-1)</f>
        <v/>
      </c>
    </row>
    <row r="31" spans="1:70" ht="15.5" x14ac:dyDescent="0.35">
      <c r="A31" s="51">
        <f t="shared" si="16"/>
        <v>1</v>
      </c>
      <c r="B31" s="52"/>
      <c r="C31" s="52"/>
      <c r="D31" s="29" t="str">
        <f>IFERROR(
IF(AND(OR(Planilla!B31="C",Planilla!B31="c"), VLOOKUP(E31,[1]Diccionario!B:N,13,0)="C"), "OK",IF(AND(OR(Planilla!B31="C",Planilla!B31="c"), OR(VLOOKUP(E31,[1]Diccionario!B:N,13,0)="B", VLOOKUP(E31,[1]Diccionario!B:N,13,0)="A")), "DEFICIT",IF(
AND(OR(Planilla!B31="B", Planilla!B31="BPAL"), VLOOKUP(E31,[1]Diccionario!B:N,13,0)="B"), "OK",IF(AND(OR(Planilla!B31="B", Planilla!B31="BPAL"), VLOOKUP(E31,[1]Diccionario!B:N,13,0)="A"), "DEFICIT",IF(AND(OR(Planilla!B31="B", Planilla!B31="BPAL"), VLOOKUP(E31,[1]Diccionario!B:N,13,0)="C"), "SOBREOFERTA",IF(AND(Planilla!B31="A", VLOOKUP(E31,[1]Diccionario!B:N,13,0)="A"), "OK",IF(
AND(Planilla!B31="A", OR(VLOOKUP(E31,[1]Diccionario!B:N,13,0)="B", VLOOKUP(E31,[1]Diccionario!B:N,13,0)="C")), "SOBREOFERTA",""
))))))),"")</f>
        <v/>
      </c>
      <c r="E31" s="48"/>
      <c r="F31" s="53" t="str">
        <f t="shared" si="17"/>
        <v/>
      </c>
      <c r="G31" s="54"/>
      <c r="H31" s="55" t="str">
        <f t="shared" si="7"/>
        <v/>
      </c>
      <c r="I31" s="35"/>
      <c r="J31" s="34" t="e">
        <f>IF(A31&lt;&gt;"",HLOOKUP(VALUE(TEXT(G31,"h:mm:ss")),IF($C$6="Laboral",[1]Input!$A$4:$Y$227,IF($C$6="Sábado",[1]Input!$A$231:$Y$452,[1]Input!$A$456:$Y$656)),VLOOKUP($C$4,[1]Input!$AG$2:$AI$99,3,0)+IF(C$5="Ida",0,1),1),"")</f>
        <v>#N/A</v>
      </c>
      <c r="K31" s="34" t="str">
        <f>IF(A32&lt;&gt;A31,AVERAGEIF(A$9:A31,A31,J$13:J31),"")</f>
        <v/>
      </c>
      <c r="L31" s="35" t="str">
        <f>IFERROR(IF(A32&lt;&gt;A31,AVERAGEIF(A$9:A31,A31,S$13:S31),""),"")</f>
        <v/>
      </c>
      <c r="M31" s="35" t="str">
        <f>IFERROR(IF(A32&lt;&gt;A31,AVERAGEIF(A$9:A31,A31,T$8:T31),""),"")</f>
        <v/>
      </c>
      <c r="N31" s="35" t="str" cm="1">
        <f t="array" ref="N31">IFERROR(IF(A32&lt;&gt;A31,_xlfn.STDEV.P(IF(A$9:A31=A31,T$7:T31)),""),"")</f>
        <v/>
      </c>
      <c r="O31" s="35" t="str" cm="1">
        <f t="array" ref="O31">IFERROR(IF(A32&lt;&gt;A31,_xlfn.STDEV.P(IF(A$9:A31=A31,S$7:S31)),""),"")</f>
        <v/>
      </c>
      <c r="P31" s="36" t="str">
        <f t="shared" si="0"/>
        <v/>
      </c>
      <c r="Q31" s="36" t="str">
        <f t="shared" si="1"/>
        <v/>
      </c>
      <c r="R31" s="36" t="str">
        <f t="shared" si="8"/>
        <v/>
      </c>
      <c r="S31" s="37" t="str">
        <f t="shared" si="9"/>
        <v/>
      </c>
      <c r="T31" s="37" t="str">
        <f t="shared" si="2"/>
        <v/>
      </c>
      <c r="U31" s="54"/>
      <c r="V31" s="46"/>
      <c r="W31" s="39" t="str">
        <f t="shared" si="10"/>
        <v/>
      </c>
      <c r="X31" s="38"/>
      <c r="Y31" s="48"/>
      <c r="AB31" s="56">
        <f t="shared" si="11"/>
        <v>1</v>
      </c>
      <c r="AC31" s="52"/>
      <c r="AD31" s="52"/>
      <c r="AE31" s="29" t="str">
        <f>IFERROR(
IF(AND(OR(AC31="C",AC31="c"), VLOOKUP(AF31,[1]Diccionario!B:N,13,0)="C"), "OK",IF(AND(OR(AC31="C",AC31="c"), OR(VLOOKUP(AF31,[1]Diccionario!B:N,13,0)="B", VLOOKUP(AF31,[1]Diccionario!B:N,13,0)="A")), "DEFICIT",IF(
AND(OR(AC31="B", AC31="BPAL"), VLOOKUP(AF31,[1]Diccionario!B:N,13,0)="B"), "OK",IF(AND(OR(AC31="B", AC31="BPAL"), VLOOKUP(AF31,[1]Diccionario!B:N,13,0)="A"), "DEFICIT",IF(AND(OR(AC31="B", AC31="BPAL"), VLOOKUP(AF31,[1]Diccionario!B:N,13,0)="C"), "SOBREOFERTA",IF(AND(AC31="A", VLOOKUP(AF31,[1]Diccionario!B:N,13,0)="A"), "OK",IF(
AND(AC31="A", OR(VLOOKUP(AF31,[1]Diccionario!B:N,13,0)="B", VLOOKUP(AF31,[1]Diccionario!B:N,13,0)="C")), "SOBREOFERTA",""
))))))),"")</f>
        <v/>
      </c>
      <c r="AF31" s="48"/>
      <c r="AG31" s="53"/>
      <c r="AH31" s="54"/>
      <c r="AI31" s="55" t="str">
        <f t="shared" si="12"/>
        <v/>
      </c>
      <c r="AJ31" s="46"/>
      <c r="AK31" s="34" t="e">
        <f>IF(AB31&lt;&gt;"",HLOOKUP(VALUE(TEXT(AH31,"h:mm:ss")),IF($C$6="Laboral",[1]Input!$A$4:$Y$227,IF($C$6="Sábado",[1]Input!$A$231:$Y$452,[1]Input!$A$456:$Y$656)),VLOOKUP($C$4,[1]Input!$AG$2:$AI$99,3,0)+IF(AD$5="Ida",0,1),1),"")</f>
        <v>#N/A</v>
      </c>
      <c r="AL31" s="34" t="str">
        <f>IF(AB32&lt;&gt;AB31,AVERAGEIF(AB$9:AB31,AB31,AK$9:AK31),"")</f>
        <v/>
      </c>
      <c r="AM31" s="35" t="str">
        <f>IFERROR(IF(AB32&lt;&gt;AB31,AVERAGEIF(AB$9:AB31,AB31,AT$9:AT31),""),"")</f>
        <v/>
      </c>
      <c r="AN31" s="35" t="str">
        <f>IFERROR(IF(AB32&lt;&gt;AB31,AVERAGEIF(AB$9:AB31,AB31,AU$9:AU31),""),"")</f>
        <v/>
      </c>
      <c r="AO31" s="35" t="str" cm="1">
        <f t="array" ref="AO31">IFERROR(IF(AB32&lt;&gt;AB31,_xlfn.STDEV.P(IF(AB$9:AB31=AB31,AU$9:AU31)),""),"")</f>
        <v/>
      </c>
      <c r="AP31" s="35" t="str" cm="1">
        <f t="array" ref="AP31">IFERROR(IF(AB32&lt;&gt;AB31,_xlfn.STDEV.P(IF(AB$9:AB31=AB31,AT$9:AT31)),""),"")</f>
        <v/>
      </c>
      <c r="AQ31" s="36" t="str">
        <f t="shared" si="3"/>
        <v/>
      </c>
      <c r="AR31" s="36" t="str">
        <f t="shared" si="4"/>
        <v/>
      </c>
      <c r="AS31" s="36" t="str">
        <f t="shared" si="13"/>
        <v/>
      </c>
      <c r="AT31" s="37" t="str">
        <f t="shared" si="5"/>
        <v/>
      </c>
      <c r="AU31" s="37" t="str">
        <f t="shared" si="6"/>
        <v/>
      </c>
      <c r="AV31" s="54"/>
      <c r="AW31" s="46"/>
      <c r="AX31" s="39" t="str" cm="1">
        <f t="array" ref="AX31">IF(AH31&lt;&gt;"",IF(AND(AX29:AX30&lt;&gt;"IE",AQ31&lt;&gt;0,AS31&lt;&gt;""),IF(IFERROR((AQ31/AS31),0) &lt;=1,IFERROR(AQ31/AS31,""),1),""),"")</f>
        <v/>
      </c>
      <c r="AY31" s="46"/>
      <c r="AZ31" s="57"/>
      <c r="BC31" s="48">
        <v>19</v>
      </c>
      <c r="BD31" s="48">
        <f>COUNTIFS($A:$A,$BC31,$C:$C,$BC$11)</f>
        <v>0</v>
      </c>
      <c r="BE31" s="48">
        <f>BD31-COUNTIFS($A:$A,$BC31,$C:$C,$BC$11,$H:$H,"")</f>
        <v>0</v>
      </c>
      <c r="BF31" s="49" t="str">
        <f t="shared" si="14"/>
        <v/>
      </c>
      <c r="BG31" s="48" t="str">
        <f>_xlfn.XLOOKUP(BC31,$A:$A,$R:$R,"0",0,-1)</f>
        <v>0</v>
      </c>
      <c r="BH31" s="50" t="str">
        <f>_xlfn.XLOOKUP(BC31,$A:$A,$P:$P,"0",0,-1)</f>
        <v>0</v>
      </c>
      <c r="BI31" s="39" t="str">
        <f>_xlfn.XLOOKUP(BC31,$A:$A,$W:$W,"",0,-1)</f>
        <v/>
      </c>
      <c r="BL31" s="48">
        <v>19</v>
      </c>
      <c r="BM31" s="48">
        <f>COUNTIFS($AB:$AB,$BL31,$AD:$AD,$BL$11)</f>
        <v>0</v>
      </c>
      <c r="BN31" s="48">
        <f>BM31-COUNTIFS($AB:$AB,$BL31,$AD:$AD,$BL$11,$AI:$AI,"")</f>
        <v>0</v>
      </c>
      <c r="BO31" s="49" t="str">
        <f t="shared" si="15"/>
        <v/>
      </c>
      <c r="BP31" s="48" t="str">
        <f>_xlfn.XLOOKUP(BL31,$AB:$AB,$AS:$AS,"0",0,-1)</f>
        <v>0</v>
      </c>
      <c r="BQ31" s="50" t="str">
        <f>_xlfn.XLOOKUP(BL31,$AB:$AB,$AQ:$AQ,"0",0,-1)</f>
        <v>0</v>
      </c>
      <c r="BR31" s="39" t="str">
        <f>_xlfn.XLOOKUP(BL31,$AB:$AB,$AX:$AX,"",0,-1)</f>
        <v/>
      </c>
    </row>
    <row r="32" spans="1:70" ht="15.5" x14ac:dyDescent="0.35">
      <c r="A32" s="51">
        <f t="shared" si="16"/>
        <v>1</v>
      </c>
      <c r="B32" s="52"/>
      <c r="C32" s="52"/>
      <c r="D32" s="29" t="str">
        <f>IFERROR(
IF(AND(OR(Planilla!B32="C",Planilla!B32="c"), VLOOKUP(E32,[1]Diccionario!B:N,13,0)="C"), "OK",IF(AND(OR(Planilla!B32="C",Planilla!B32="c"), OR(VLOOKUP(E32,[1]Diccionario!B:N,13,0)="B", VLOOKUP(E32,[1]Diccionario!B:N,13,0)="A")), "DEFICIT",IF(
AND(OR(Planilla!B32="B", Planilla!B32="BPAL"), VLOOKUP(E32,[1]Diccionario!B:N,13,0)="B"), "OK",IF(AND(OR(Planilla!B32="B", Planilla!B32="BPAL"), VLOOKUP(E32,[1]Diccionario!B:N,13,0)="A"), "DEFICIT",IF(AND(OR(Planilla!B32="B", Planilla!B32="BPAL"), VLOOKUP(E32,[1]Diccionario!B:N,13,0)="C"), "SOBREOFERTA",IF(AND(Planilla!B32="A", VLOOKUP(E32,[1]Diccionario!B:N,13,0)="A"), "OK",IF(
AND(Planilla!B32="A", OR(VLOOKUP(E32,[1]Diccionario!B:N,13,0)="B", VLOOKUP(E32,[1]Diccionario!B:N,13,0)="C")), "SOBREOFERTA",""
))))))),"")</f>
        <v/>
      </c>
      <c r="E32" s="48"/>
      <c r="F32" s="53" t="str">
        <f t="shared" si="17"/>
        <v/>
      </c>
      <c r="G32" s="54"/>
      <c r="H32" s="55" t="str">
        <f t="shared" si="7"/>
        <v/>
      </c>
      <c r="I32" s="35"/>
      <c r="J32" s="34" t="e">
        <f>IF(A32&lt;&gt;"",HLOOKUP(VALUE(TEXT(G32,"h:mm:ss")),IF($C$6="Laboral",[1]Input!$A$4:$Y$227,IF($C$6="Sábado",[1]Input!$A$231:$Y$452,[1]Input!$A$456:$Y$656)),VLOOKUP($C$4,[1]Input!$AG$2:$AI$99,3,0)+IF(C$5="Ida",0,1),1),"")</f>
        <v>#N/A</v>
      </c>
      <c r="K32" s="34" t="str">
        <f>IF(A33&lt;&gt;A32,AVERAGEIF(A$9:A32,A32,J$13:J32),"")</f>
        <v/>
      </c>
      <c r="L32" s="35" t="str">
        <f>IFERROR(IF(A33&lt;&gt;A32,AVERAGEIF(A$9:A32,A32,S$13:S32),""),"")</f>
        <v/>
      </c>
      <c r="M32" s="35" t="str">
        <f>IFERROR(IF(A33&lt;&gt;A32,AVERAGEIF(A$9:A32,A32,T$8:T32),""),"")</f>
        <v/>
      </c>
      <c r="N32" s="35" t="str" cm="1">
        <f t="array" ref="N32">IFERROR(IF(A33&lt;&gt;A32,_xlfn.STDEV.P(IF(A$9:A32=A32,T$7:T32)),""),"")</f>
        <v/>
      </c>
      <c r="O32" s="35" t="str" cm="1">
        <f t="array" ref="O32">IFERROR(IF(A33&lt;&gt;A32,_xlfn.STDEV.P(IF(A$9:A32=A32,S$7:S32)),""),"")</f>
        <v/>
      </c>
      <c r="P32" s="36" t="str">
        <f t="shared" si="0"/>
        <v/>
      </c>
      <c r="Q32" s="36" t="str">
        <f t="shared" si="1"/>
        <v/>
      </c>
      <c r="R32" s="36" t="str">
        <f t="shared" si="8"/>
        <v/>
      </c>
      <c r="S32" s="37" t="str">
        <f t="shared" si="9"/>
        <v/>
      </c>
      <c r="T32" s="37" t="str">
        <f t="shared" si="2"/>
        <v/>
      </c>
      <c r="U32" s="54"/>
      <c r="V32" s="46"/>
      <c r="W32" s="39" t="str">
        <f t="shared" si="10"/>
        <v/>
      </c>
      <c r="X32" s="38"/>
      <c r="Y32" s="48"/>
      <c r="AB32" s="56">
        <f t="shared" si="11"/>
        <v>1</v>
      </c>
      <c r="AC32" s="52"/>
      <c r="AD32" s="52"/>
      <c r="AE32" s="29" t="str">
        <f>IFERROR(
IF(AND(OR(AC32="C",AC32="c"), VLOOKUP(AF32,[1]Diccionario!B:N,13,0)="C"), "OK",IF(AND(OR(AC32="C",AC32="c"), OR(VLOOKUP(AF32,[1]Diccionario!B:N,13,0)="B", VLOOKUP(AF32,[1]Diccionario!B:N,13,0)="A")), "DEFICIT",IF(
AND(OR(AC32="B", AC32="BPAL"), VLOOKUP(AF32,[1]Diccionario!B:N,13,0)="B"), "OK",IF(AND(OR(AC32="B", AC32="BPAL"), VLOOKUP(AF32,[1]Diccionario!B:N,13,0)="A"), "DEFICIT",IF(AND(OR(AC32="B", AC32="BPAL"), VLOOKUP(AF32,[1]Diccionario!B:N,13,0)="C"), "SOBREOFERTA",IF(AND(AC32="A", VLOOKUP(AF32,[1]Diccionario!B:N,13,0)="A"), "OK",IF(
AND(AC32="A", OR(VLOOKUP(AF32,[1]Diccionario!B:N,13,0)="B", VLOOKUP(AF32,[1]Diccionario!B:N,13,0)="C")), "SOBREOFERTA",""
))))))),"")</f>
        <v/>
      </c>
      <c r="AF32" s="48"/>
      <c r="AG32" s="53"/>
      <c r="AH32" s="54"/>
      <c r="AI32" s="55" t="str">
        <f t="shared" si="12"/>
        <v/>
      </c>
      <c r="AJ32" s="46"/>
      <c r="AK32" s="34" t="e">
        <f>IF(AB32&lt;&gt;"",HLOOKUP(VALUE(TEXT(AH32,"h:mm:ss")),IF($C$6="Laboral",[1]Input!$A$4:$Y$227,IF($C$6="Sábado",[1]Input!$A$231:$Y$452,[1]Input!$A$456:$Y$656)),VLOOKUP($C$4,[1]Input!$AG$2:$AI$99,3,0)+IF(AD$5="Ida",0,1),1),"")</f>
        <v>#N/A</v>
      </c>
      <c r="AL32" s="34" t="str">
        <f>IF(AB33&lt;&gt;AB32,AVERAGEIF(AB$9:AB32,AB32,AK$9:AK32),"")</f>
        <v/>
      </c>
      <c r="AM32" s="35" t="str">
        <f>IFERROR(IF(AB33&lt;&gt;AB32,AVERAGEIF(AB$9:AB32,AB32,AT$9:AT32),""),"")</f>
        <v/>
      </c>
      <c r="AN32" s="35" t="str">
        <f>IFERROR(IF(AB33&lt;&gt;AB32,AVERAGEIF(AB$9:AB32,AB32,AU$9:AU32),""),"")</f>
        <v/>
      </c>
      <c r="AO32" s="35" t="str" cm="1">
        <f t="array" ref="AO32">IFERROR(IF(AB33&lt;&gt;AB32,_xlfn.STDEV.P(IF(AB$9:AB32=AB32,AU$9:AU32)),""),"")</f>
        <v/>
      </c>
      <c r="AP32" s="35" t="str" cm="1">
        <f t="array" ref="AP32">IFERROR(IF(AB33&lt;&gt;AB32,_xlfn.STDEV.P(IF(AB$9:AB32=AB32,AT$9:AT32)),""),"")</f>
        <v/>
      </c>
      <c r="AQ32" s="36" t="str">
        <f t="shared" si="3"/>
        <v/>
      </c>
      <c r="AR32" s="36" t="str">
        <f t="shared" si="4"/>
        <v/>
      </c>
      <c r="AS32" s="36" t="str">
        <f t="shared" si="13"/>
        <v/>
      </c>
      <c r="AT32" s="37" t="str">
        <f t="shared" si="5"/>
        <v/>
      </c>
      <c r="AU32" s="37" t="str">
        <f t="shared" si="6"/>
        <v/>
      </c>
      <c r="AV32" s="54"/>
      <c r="AW32" s="46"/>
      <c r="AX32" s="39" t="str" cm="1">
        <f t="array" ref="AX32">IF(AH32&lt;&gt;"",IF(AND(AX30:AX31&lt;&gt;"IE",AQ32&lt;&gt;0,AS32&lt;&gt;""),IF(IFERROR((AQ32/AS32),0) &lt;=1,IFERROR(AQ32/AS32,""),1),""),"")</f>
        <v/>
      </c>
      <c r="AY32" s="46"/>
      <c r="AZ32" s="57"/>
      <c r="BC32" s="48">
        <v>20</v>
      </c>
      <c r="BD32" s="48">
        <f>COUNTIFS($A:$A,$BC32,$C:$C,$BC$11)</f>
        <v>0</v>
      </c>
      <c r="BE32" s="48">
        <f>BD32-COUNTIFS($A:$A,$BC32,$C:$C,$BC$11,$H:$H,"")</f>
        <v>0</v>
      </c>
      <c r="BF32" s="49" t="str">
        <f t="shared" si="14"/>
        <v/>
      </c>
      <c r="BG32" s="48" t="str">
        <f>_xlfn.XLOOKUP(BC32,$A:$A,$R:$R,"0",0,-1)</f>
        <v>0</v>
      </c>
      <c r="BH32" s="50" t="str">
        <f>_xlfn.XLOOKUP(BC32,$A:$A,$P:$P,"0",0,-1)</f>
        <v>0</v>
      </c>
      <c r="BI32" s="39" t="str">
        <f>_xlfn.XLOOKUP(BC32,$A:$A,$W:$W,"",0,-1)</f>
        <v/>
      </c>
      <c r="BL32" s="48">
        <v>20</v>
      </c>
      <c r="BM32" s="48">
        <f>COUNTIFS($AB:$AB,$BL32,$AD:$AD,$BL$11)</f>
        <v>0</v>
      </c>
      <c r="BN32" s="48">
        <f>BM32-COUNTIFS($AB:$AB,$BL32,$AD:$AD,$BL$11,$AI:$AI,"")</f>
        <v>0</v>
      </c>
      <c r="BO32" s="49" t="str">
        <f t="shared" si="15"/>
        <v/>
      </c>
      <c r="BP32" s="48" t="str">
        <f>_xlfn.XLOOKUP(BL32,$AB:$AB,$AS:$AS,"0",0,-1)</f>
        <v>0</v>
      </c>
      <c r="BQ32" s="50" t="str">
        <f>_xlfn.XLOOKUP(BL32,$AB:$AB,$AQ:$AQ,"0",0,-1)</f>
        <v>0</v>
      </c>
      <c r="BR32" s="39" t="str">
        <f>_xlfn.XLOOKUP(BL32,$AB:$AB,$AX:$AX,"",0,-1)</f>
        <v/>
      </c>
    </row>
    <row r="33" spans="1:70" ht="15.5" x14ac:dyDescent="0.35">
      <c r="A33" s="51">
        <f t="shared" si="16"/>
        <v>1</v>
      </c>
      <c r="B33" s="52"/>
      <c r="C33" s="52"/>
      <c r="D33" s="29" t="str">
        <f>IFERROR(
IF(AND(OR(Planilla!B33="C",Planilla!B33="c"), VLOOKUP(E33,[1]Diccionario!B:N,13,0)="C"), "OK",IF(AND(OR(Planilla!B33="C",Planilla!B33="c"), OR(VLOOKUP(E33,[1]Diccionario!B:N,13,0)="B", VLOOKUP(E33,[1]Diccionario!B:N,13,0)="A")), "DEFICIT",IF(
AND(OR(Planilla!B33="B", Planilla!B33="BPAL"), VLOOKUP(E33,[1]Diccionario!B:N,13,0)="B"), "OK",IF(AND(OR(Planilla!B33="B", Planilla!B33="BPAL"), VLOOKUP(E33,[1]Diccionario!B:N,13,0)="A"), "DEFICIT",IF(AND(OR(Planilla!B33="B", Planilla!B33="BPAL"), VLOOKUP(E33,[1]Diccionario!B:N,13,0)="C"), "SOBREOFERTA",IF(AND(Planilla!B33="A", VLOOKUP(E33,[1]Diccionario!B:N,13,0)="A"), "OK",IF(
AND(Planilla!B33="A", OR(VLOOKUP(E33,[1]Diccionario!B:N,13,0)="B", VLOOKUP(E33,[1]Diccionario!B:N,13,0)="C")), "SOBREOFERTA",""
))))))),"")</f>
        <v/>
      </c>
      <c r="E33" s="48"/>
      <c r="F33" s="53" t="str">
        <f t="shared" si="17"/>
        <v/>
      </c>
      <c r="G33" s="54"/>
      <c r="H33" s="55" t="str">
        <f t="shared" si="7"/>
        <v/>
      </c>
      <c r="I33" s="35"/>
      <c r="J33" s="34" t="e">
        <f>IF(A33&lt;&gt;"",HLOOKUP(VALUE(TEXT(G33,"h:mm:ss")),IF($C$6="Laboral",[1]Input!$A$4:$Y$227,IF($C$6="Sábado",[1]Input!$A$231:$Y$452,[1]Input!$A$456:$Y$656)),VLOOKUP($C$4,[1]Input!$AG$2:$AI$99,3,0)+IF(C$5="Ida",0,1),1),"")</f>
        <v>#N/A</v>
      </c>
      <c r="K33" s="34" t="str">
        <f>IF(A34&lt;&gt;A33,AVERAGEIF(A$9:A33,A33,J$13:J33),"")</f>
        <v/>
      </c>
      <c r="L33" s="35" t="str">
        <f>IFERROR(IF(A34&lt;&gt;A33,AVERAGEIF(A$9:A33,A33,S$13:S33),""),"")</f>
        <v/>
      </c>
      <c r="M33" s="35" t="str">
        <f>IFERROR(IF(A34&lt;&gt;A33,AVERAGEIF(A$9:A33,A33,T$8:T33),""),"")</f>
        <v/>
      </c>
      <c r="N33" s="35" t="str" cm="1">
        <f t="array" ref="N33">IFERROR(IF(A34&lt;&gt;A33,_xlfn.STDEV.P(IF(A$9:A33=A33,T$7:T33)),""),"")</f>
        <v/>
      </c>
      <c r="O33" s="35" t="str" cm="1">
        <f t="array" ref="O33">IFERROR(IF(A34&lt;&gt;A33,_xlfn.STDEV.P(IF(A$9:A33=A33,S$7:S33)),""),"")</f>
        <v/>
      </c>
      <c r="P33" s="36" t="str">
        <f t="shared" si="0"/>
        <v/>
      </c>
      <c r="Q33" s="36" t="str">
        <f t="shared" si="1"/>
        <v/>
      </c>
      <c r="R33" s="36" t="str">
        <f t="shared" si="8"/>
        <v/>
      </c>
      <c r="S33" s="37" t="str">
        <f t="shared" si="9"/>
        <v/>
      </c>
      <c r="T33" s="37" t="str">
        <f t="shared" si="2"/>
        <v/>
      </c>
      <c r="U33" s="54"/>
      <c r="V33" s="46"/>
      <c r="W33" s="39" t="str">
        <f t="shared" si="10"/>
        <v/>
      </c>
      <c r="X33" s="38"/>
      <c r="Y33" s="48"/>
      <c r="AB33" s="56">
        <f t="shared" si="11"/>
        <v>1</v>
      </c>
      <c r="AC33" s="52"/>
      <c r="AD33" s="52"/>
      <c r="AE33" s="29" t="str">
        <f>IFERROR(
IF(AND(OR(AC33="C",AC33="c"), VLOOKUP(AF33,[1]Diccionario!B:N,13,0)="C"), "OK",IF(AND(OR(AC33="C",AC33="c"), OR(VLOOKUP(AF33,[1]Diccionario!B:N,13,0)="B", VLOOKUP(AF33,[1]Diccionario!B:N,13,0)="A")), "DEFICIT",IF(
AND(OR(AC33="B", AC33="BPAL"), VLOOKUP(AF33,[1]Diccionario!B:N,13,0)="B"), "OK",IF(AND(OR(AC33="B", AC33="BPAL"), VLOOKUP(AF33,[1]Diccionario!B:N,13,0)="A"), "DEFICIT",IF(AND(OR(AC33="B", AC33="BPAL"), VLOOKUP(AF33,[1]Diccionario!B:N,13,0)="C"), "SOBREOFERTA",IF(AND(AC33="A", VLOOKUP(AF33,[1]Diccionario!B:N,13,0)="A"), "OK",IF(
AND(AC33="A", OR(VLOOKUP(AF33,[1]Diccionario!B:N,13,0)="B", VLOOKUP(AF33,[1]Diccionario!B:N,13,0)="C")), "SOBREOFERTA",""
))))))),"")</f>
        <v/>
      </c>
      <c r="AF33" s="48"/>
      <c r="AG33" s="53"/>
      <c r="AH33" s="54"/>
      <c r="AI33" s="55" t="str">
        <f t="shared" si="12"/>
        <v/>
      </c>
      <c r="AJ33" s="46"/>
      <c r="AK33" s="34" t="e">
        <f>IF(AB33&lt;&gt;"",HLOOKUP(VALUE(TEXT(AH33,"h:mm:ss")),IF($C$6="Laboral",[1]Input!$A$4:$Y$227,IF($C$6="Sábado",[1]Input!$A$231:$Y$452,[1]Input!$A$456:$Y$656)),VLOOKUP($C$4,[1]Input!$AG$2:$AI$99,3,0)+IF(AD$5="Ida",0,1),1),"")</f>
        <v>#N/A</v>
      </c>
      <c r="AL33" s="34" t="str">
        <f>IF(AB34&lt;&gt;AB33,AVERAGEIF(AB$9:AB33,AB33,AK$9:AK33),"")</f>
        <v/>
      </c>
      <c r="AM33" s="35" t="str">
        <f>IFERROR(IF(AB34&lt;&gt;AB33,AVERAGEIF(AB$9:AB33,AB33,AT$9:AT33),""),"")</f>
        <v/>
      </c>
      <c r="AN33" s="35" t="str">
        <f>IFERROR(IF(AB34&lt;&gt;AB33,AVERAGEIF(AB$9:AB33,AB33,AU$9:AU33),""),"")</f>
        <v/>
      </c>
      <c r="AO33" s="35" t="str" cm="1">
        <f t="array" ref="AO33">IFERROR(IF(AB34&lt;&gt;AB33,_xlfn.STDEV.P(IF(AB$9:AB33=AB33,AU$9:AU33)),""),"")</f>
        <v/>
      </c>
      <c r="AP33" s="35" t="str" cm="1">
        <f t="array" ref="AP33">IFERROR(IF(AB34&lt;&gt;AB33,_xlfn.STDEV.P(IF(AB$9:AB33=AB33,AT$9:AT33)),""),"")</f>
        <v/>
      </c>
      <c r="AQ33" s="36" t="str">
        <f t="shared" si="3"/>
        <v/>
      </c>
      <c r="AR33" s="36" t="str">
        <f t="shared" si="4"/>
        <v/>
      </c>
      <c r="AS33" s="36" t="str">
        <f t="shared" si="13"/>
        <v/>
      </c>
      <c r="AT33" s="37" t="str">
        <f t="shared" si="5"/>
        <v/>
      </c>
      <c r="AU33" s="37" t="str">
        <f t="shared" si="6"/>
        <v/>
      </c>
      <c r="AV33" s="54"/>
      <c r="AW33" s="46"/>
      <c r="AX33" s="39" t="str" cm="1">
        <f t="array" ref="AX33">IF(AH33&lt;&gt;"",IF(AND(AX31:AX32&lt;&gt;"IE",AQ33&lt;&gt;0,AS33&lt;&gt;""),IF(IFERROR((AQ33/AS33),0) &lt;=1,IFERROR(AQ33/AS33,""),1),""),"")</f>
        <v/>
      </c>
      <c r="AY33" s="46"/>
      <c r="AZ33" s="57"/>
      <c r="BC33" s="48">
        <v>21</v>
      </c>
      <c r="BD33" s="48">
        <f>COUNTIFS($A:$A,$BC33,$C:$C,$BC$11)</f>
        <v>0</v>
      </c>
      <c r="BE33" s="48">
        <f>BD33-COUNTIFS($A:$A,$BC33,$C:$C,$BC$11,$H:$H,"")</f>
        <v>0</v>
      </c>
      <c r="BF33" s="49" t="str">
        <f t="shared" si="14"/>
        <v/>
      </c>
      <c r="BG33" s="48" t="str">
        <f>_xlfn.XLOOKUP(BC33,$A:$A,$R:$R,"0",0,-1)</f>
        <v>0</v>
      </c>
      <c r="BH33" s="50" t="str">
        <f>_xlfn.XLOOKUP(BC33,$A:$A,$P:$P,"0",0,-1)</f>
        <v>0</v>
      </c>
      <c r="BI33" s="39" t="str">
        <f>_xlfn.XLOOKUP(BC33,$A:$A,$W:$W,"",0,-1)</f>
        <v/>
      </c>
      <c r="BL33" s="48">
        <v>21</v>
      </c>
      <c r="BM33" s="48">
        <f>COUNTIFS($AB:$AB,$BL33,$AD:$AD,$BL$11)</f>
        <v>0</v>
      </c>
      <c r="BN33" s="48">
        <f>BM33-COUNTIFS($AB:$AB,$BL33,$AD:$AD,$BL$11,$AI:$AI,"")</f>
        <v>0</v>
      </c>
      <c r="BO33" s="49" t="str">
        <f t="shared" si="15"/>
        <v/>
      </c>
      <c r="BP33" s="48" t="str">
        <f>_xlfn.XLOOKUP(BL33,$AB:$AB,$AS:$AS,"0",0,-1)</f>
        <v>0</v>
      </c>
      <c r="BQ33" s="50" t="str">
        <f>_xlfn.XLOOKUP(BL33,$AB:$AB,$AQ:$AQ,"0",0,-1)</f>
        <v>0</v>
      </c>
      <c r="BR33" s="39" t="str">
        <f>_xlfn.XLOOKUP(BL33,$AB:$AB,$AX:$AX,"",0,-1)</f>
        <v/>
      </c>
    </row>
    <row r="34" spans="1:70" ht="15.5" x14ac:dyDescent="0.35">
      <c r="A34" s="51">
        <f t="shared" si="16"/>
        <v>1</v>
      </c>
      <c r="B34" s="52"/>
      <c r="C34" s="52"/>
      <c r="D34" s="29" t="str">
        <f>IFERROR(
IF(AND(OR(Planilla!B34="C",Planilla!B34="c"), VLOOKUP(E34,[1]Diccionario!B:N,13,0)="C"), "OK",IF(AND(OR(Planilla!B34="C",Planilla!B34="c"), OR(VLOOKUP(E34,[1]Diccionario!B:N,13,0)="B", VLOOKUP(E34,[1]Diccionario!B:N,13,0)="A")), "DEFICIT",IF(
AND(OR(Planilla!B34="B", Planilla!B34="BPAL"), VLOOKUP(E34,[1]Diccionario!B:N,13,0)="B"), "OK",IF(AND(OR(Planilla!B34="B", Planilla!B34="BPAL"), VLOOKUP(E34,[1]Diccionario!B:N,13,0)="A"), "DEFICIT",IF(AND(OR(Planilla!B34="B", Planilla!B34="BPAL"), VLOOKUP(E34,[1]Diccionario!B:N,13,0)="C"), "SOBREOFERTA",IF(AND(Planilla!B34="A", VLOOKUP(E34,[1]Diccionario!B:N,13,0)="A"), "OK",IF(
AND(Planilla!B34="A", OR(VLOOKUP(E34,[1]Diccionario!B:N,13,0)="B", VLOOKUP(E34,[1]Diccionario!B:N,13,0)="C")), "SOBREOFERTA",""
))))))),"")</f>
        <v/>
      </c>
      <c r="E34" s="48"/>
      <c r="F34" s="53" t="str">
        <f t="shared" si="17"/>
        <v/>
      </c>
      <c r="G34" s="54"/>
      <c r="H34" s="55" t="str">
        <f t="shared" si="7"/>
        <v/>
      </c>
      <c r="I34" s="35"/>
      <c r="J34" s="34" t="e">
        <f>IF(A34&lt;&gt;"",HLOOKUP(VALUE(TEXT(G34,"h:mm:ss")),IF($C$6="Laboral",[1]Input!$A$4:$Y$227,IF($C$6="Sábado",[1]Input!$A$231:$Y$452,[1]Input!$A$456:$Y$656)),VLOOKUP($C$4,[1]Input!$AG$2:$AI$99,3,0)+IF(C$5="Ida",0,1),1),"")</f>
        <v>#N/A</v>
      </c>
      <c r="K34" s="34" t="str">
        <f>IF(A35&lt;&gt;A34,AVERAGEIF(A$9:A34,A34,J$13:J34),"")</f>
        <v/>
      </c>
      <c r="L34" s="35" t="str">
        <f>IFERROR(IF(A35&lt;&gt;A34,AVERAGEIF(A$9:A34,A34,S$13:S34),""),"")</f>
        <v/>
      </c>
      <c r="M34" s="35" t="str">
        <f>IFERROR(IF(A35&lt;&gt;A34,AVERAGEIF(A$9:A34,A34,T$8:T34),""),"")</f>
        <v/>
      </c>
      <c r="N34" s="35" t="str" cm="1">
        <f t="array" ref="N34">IFERROR(IF(A35&lt;&gt;A34,_xlfn.STDEV.P(IF(A$9:A34=A34,T$7:T34)),""),"")</f>
        <v/>
      </c>
      <c r="O34" s="35" t="str" cm="1">
        <f t="array" ref="O34">IFERROR(IF(A35&lt;&gt;A34,_xlfn.STDEV.P(IF(A$9:A34=A34,S$7:S34)),""),"")</f>
        <v/>
      </c>
      <c r="P34" s="36" t="str">
        <f t="shared" si="0"/>
        <v/>
      </c>
      <c r="Q34" s="36" t="str">
        <f t="shared" si="1"/>
        <v/>
      </c>
      <c r="R34" s="36" t="str">
        <f t="shared" si="8"/>
        <v/>
      </c>
      <c r="S34" s="37" t="str">
        <f t="shared" si="9"/>
        <v/>
      </c>
      <c r="T34" s="37" t="str">
        <f t="shared" si="2"/>
        <v/>
      </c>
      <c r="U34" s="54"/>
      <c r="V34" s="46"/>
      <c r="W34" s="39" t="str">
        <f t="shared" si="10"/>
        <v/>
      </c>
      <c r="X34" s="38"/>
      <c r="Y34" s="48"/>
      <c r="AB34" s="56">
        <f t="shared" si="11"/>
        <v>1</v>
      </c>
      <c r="AC34" s="52"/>
      <c r="AD34" s="52"/>
      <c r="AE34" s="29" t="str">
        <f>IFERROR(
IF(AND(OR(AC34="C",AC34="c"), VLOOKUP(AF34,[1]Diccionario!B:N,13,0)="C"), "OK",IF(AND(OR(AC34="C",AC34="c"), OR(VLOOKUP(AF34,[1]Diccionario!B:N,13,0)="B", VLOOKUP(AF34,[1]Diccionario!B:N,13,0)="A")), "DEFICIT",IF(
AND(OR(AC34="B", AC34="BPAL"), VLOOKUP(AF34,[1]Diccionario!B:N,13,0)="B"), "OK",IF(AND(OR(AC34="B", AC34="BPAL"), VLOOKUP(AF34,[1]Diccionario!B:N,13,0)="A"), "DEFICIT",IF(AND(OR(AC34="B", AC34="BPAL"), VLOOKUP(AF34,[1]Diccionario!B:N,13,0)="C"), "SOBREOFERTA",IF(AND(AC34="A", VLOOKUP(AF34,[1]Diccionario!B:N,13,0)="A"), "OK",IF(
AND(AC34="A", OR(VLOOKUP(AF34,[1]Diccionario!B:N,13,0)="B", VLOOKUP(AF34,[1]Diccionario!B:N,13,0)="C")), "SOBREOFERTA",""
))))))),"")</f>
        <v/>
      </c>
      <c r="AF34" s="48"/>
      <c r="AG34" s="53"/>
      <c r="AH34" s="54"/>
      <c r="AI34" s="55" t="str">
        <f t="shared" si="12"/>
        <v/>
      </c>
      <c r="AJ34" s="46"/>
      <c r="AK34" s="34" t="e">
        <f>IF(AB34&lt;&gt;"",HLOOKUP(VALUE(TEXT(AH34,"h:mm:ss")),IF($C$6="Laboral",[1]Input!$A$4:$Y$227,IF($C$6="Sábado",[1]Input!$A$231:$Y$452,[1]Input!$A$456:$Y$656)),VLOOKUP($C$4,[1]Input!$AG$2:$AI$99,3,0)+IF(AD$5="Ida",0,1),1),"")</f>
        <v>#N/A</v>
      </c>
      <c r="AL34" s="34" t="str">
        <f>IF(AB35&lt;&gt;AB34,AVERAGEIF(AB$9:AB34,AB34,AK$9:AK34),"")</f>
        <v/>
      </c>
      <c r="AM34" s="35" t="str">
        <f>IFERROR(IF(AB35&lt;&gt;AB34,AVERAGEIF(AB$9:AB34,AB34,AT$9:AT34),""),"")</f>
        <v/>
      </c>
      <c r="AN34" s="35" t="str">
        <f>IFERROR(IF(AB35&lt;&gt;AB34,AVERAGEIF(AB$9:AB34,AB34,AU$9:AU34),""),"")</f>
        <v/>
      </c>
      <c r="AO34" s="35" t="str" cm="1">
        <f t="array" ref="AO34">IFERROR(IF(AB35&lt;&gt;AB34,_xlfn.STDEV.P(IF(AB$9:AB34=AB34,AU$9:AU34)),""),"")</f>
        <v/>
      </c>
      <c r="AP34" s="35" t="str" cm="1">
        <f t="array" ref="AP34">IFERROR(IF(AB35&lt;&gt;AB34,_xlfn.STDEV.P(IF(AB$9:AB34=AB34,AT$9:AT34)),""),"")</f>
        <v/>
      </c>
      <c r="AQ34" s="36" t="str">
        <f t="shared" si="3"/>
        <v/>
      </c>
      <c r="AR34" s="36" t="str">
        <f t="shared" si="4"/>
        <v/>
      </c>
      <c r="AS34" s="36" t="str">
        <f t="shared" si="13"/>
        <v/>
      </c>
      <c r="AT34" s="37" t="str">
        <f t="shared" si="5"/>
        <v/>
      </c>
      <c r="AU34" s="37" t="str">
        <f t="shared" si="6"/>
        <v/>
      </c>
      <c r="AV34" s="54"/>
      <c r="AW34" s="46"/>
      <c r="AX34" s="39" t="str" cm="1">
        <f t="array" ref="AX34">IF(AH34&lt;&gt;"",IF(AND(AX32:AX33&lt;&gt;"IE",AQ34&lt;&gt;0,AS34&lt;&gt;""),IF(IFERROR((AQ34/AS34),0) &lt;=1,IFERROR(AQ34/AS34,""),1),""),"")</f>
        <v/>
      </c>
      <c r="AY34" s="46"/>
      <c r="AZ34" s="57"/>
      <c r="BC34" s="48">
        <v>22</v>
      </c>
      <c r="BD34" s="48">
        <f>COUNTIFS($A:$A,$BC34,$C:$C,$BC$11)</f>
        <v>0</v>
      </c>
      <c r="BE34" s="48">
        <f>BD34-COUNTIFS($A:$A,$BC34,$C:$C,$BC$11,$H:$H,"")</f>
        <v>0</v>
      </c>
      <c r="BF34" s="49" t="str">
        <f t="shared" si="14"/>
        <v/>
      </c>
      <c r="BG34" s="48" t="str">
        <f>_xlfn.XLOOKUP(BC34,$A:$A,$R:$R,"0",0,-1)</f>
        <v>0</v>
      </c>
      <c r="BH34" s="50" t="str">
        <f>_xlfn.XLOOKUP(BC34,$A:$A,$P:$P,"0",0,-1)</f>
        <v>0</v>
      </c>
      <c r="BI34" s="39" t="str">
        <f>_xlfn.XLOOKUP(BC34,$A:$A,$W:$W,"",0,-1)</f>
        <v/>
      </c>
      <c r="BL34" s="48">
        <v>22</v>
      </c>
      <c r="BM34" s="48">
        <f>COUNTIFS($AB:$AB,$BL34,$AD:$AD,$BL$11)</f>
        <v>0</v>
      </c>
      <c r="BN34" s="48">
        <f>BM34-COUNTIFS($AB:$AB,$BL34,$AD:$AD,$BL$11,$AI:$AI,"")</f>
        <v>0</v>
      </c>
      <c r="BO34" s="49" t="str">
        <f t="shared" si="15"/>
        <v/>
      </c>
      <c r="BP34" s="48" t="str">
        <f>_xlfn.XLOOKUP(BL34,$AB:$AB,$AS:$AS,"0",0,-1)</f>
        <v>0</v>
      </c>
      <c r="BQ34" s="50" t="str">
        <f>_xlfn.XLOOKUP(BL34,$AB:$AB,$AQ:$AQ,"0",0,-1)</f>
        <v>0</v>
      </c>
      <c r="BR34" s="39" t="str">
        <f>_xlfn.XLOOKUP(BL34,$AB:$AB,$AX:$AX,"",0,-1)</f>
        <v/>
      </c>
    </row>
    <row r="35" spans="1:70" ht="15.5" x14ac:dyDescent="0.35">
      <c r="A35" s="51">
        <f t="shared" si="16"/>
        <v>1</v>
      </c>
      <c r="B35" s="52"/>
      <c r="C35" s="52"/>
      <c r="D35" s="29" t="str">
        <f>IFERROR(
IF(AND(OR(Planilla!B35="C",Planilla!B35="c"), VLOOKUP(E35,[1]Diccionario!B:N,13,0)="C"), "OK",IF(AND(OR(Planilla!B35="C",Planilla!B35="c"), OR(VLOOKUP(E35,[1]Diccionario!B:N,13,0)="B", VLOOKUP(E35,[1]Diccionario!B:N,13,0)="A")), "DEFICIT",IF(
AND(OR(Planilla!B35="B", Planilla!B35="BPAL"), VLOOKUP(E35,[1]Diccionario!B:N,13,0)="B"), "OK",IF(AND(OR(Planilla!B35="B", Planilla!B35="BPAL"), VLOOKUP(E35,[1]Diccionario!B:N,13,0)="A"), "DEFICIT",IF(AND(OR(Planilla!B35="B", Planilla!B35="BPAL"), VLOOKUP(E35,[1]Diccionario!B:N,13,0)="C"), "SOBREOFERTA",IF(AND(Planilla!B35="A", VLOOKUP(E35,[1]Diccionario!B:N,13,0)="A"), "OK",IF(
AND(Planilla!B35="A", OR(VLOOKUP(E35,[1]Diccionario!B:N,13,0)="B", VLOOKUP(E35,[1]Diccionario!B:N,13,0)="C")), "SOBREOFERTA",""
))))))),"")</f>
        <v/>
      </c>
      <c r="E35" s="48"/>
      <c r="F35" s="53" t="str">
        <f t="shared" si="17"/>
        <v/>
      </c>
      <c r="G35" s="54"/>
      <c r="H35" s="55" t="str">
        <f t="shared" si="7"/>
        <v/>
      </c>
      <c r="I35" s="35"/>
      <c r="J35" s="34" t="e">
        <f>IF(A35&lt;&gt;"",HLOOKUP(VALUE(TEXT(G35,"h:mm:ss")),IF($C$6="Laboral",[1]Input!$A$4:$Y$227,IF($C$6="Sábado",[1]Input!$A$231:$Y$452,[1]Input!$A$456:$Y$656)),VLOOKUP($C$4,[1]Input!$AG$2:$AI$99,3,0)+IF(C$5="Ida",0,1),1),"")</f>
        <v>#N/A</v>
      </c>
      <c r="K35" s="34" t="str">
        <f>IF(A36&lt;&gt;A35,AVERAGEIF(A$9:A35,A35,J$13:J35),"")</f>
        <v/>
      </c>
      <c r="L35" s="35" t="str">
        <f>IFERROR(IF(A36&lt;&gt;A35,AVERAGEIF(A$9:A35,A35,S$13:S35),""),"")</f>
        <v/>
      </c>
      <c r="M35" s="35" t="str">
        <f>IFERROR(IF(A36&lt;&gt;A35,AVERAGEIF(A$9:A35,A35,T$8:T35),""),"")</f>
        <v/>
      </c>
      <c r="N35" s="35" t="str" cm="1">
        <f t="array" ref="N35">IFERROR(IF(A36&lt;&gt;A35,_xlfn.STDEV.P(IF(A$9:A35=A35,T$7:T35)),""),"")</f>
        <v/>
      </c>
      <c r="O35" s="35" t="str" cm="1">
        <f t="array" ref="O35">IFERROR(IF(A36&lt;&gt;A35,_xlfn.STDEV.P(IF(A$9:A35=A35,S$7:S35)),""),"")</f>
        <v/>
      </c>
      <c r="P35" s="36" t="str">
        <f t="shared" si="0"/>
        <v/>
      </c>
      <c r="Q35" s="36" t="str">
        <f t="shared" si="1"/>
        <v/>
      </c>
      <c r="R35" s="36" t="str">
        <f t="shared" si="8"/>
        <v/>
      </c>
      <c r="S35" s="37" t="str">
        <f t="shared" si="9"/>
        <v/>
      </c>
      <c r="T35" s="37" t="str">
        <f t="shared" si="2"/>
        <v/>
      </c>
      <c r="U35" s="54"/>
      <c r="V35" s="46"/>
      <c r="W35" s="39" t="str">
        <f t="shared" si="10"/>
        <v/>
      </c>
      <c r="X35" s="38"/>
      <c r="Y35" s="48"/>
      <c r="AB35" s="56">
        <f t="shared" si="11"/>
        <v>1</v>
      </c>
      <c r="AC35" s="52"/>
      <c r="AD35" s="52"/>
      <c r="AE35" s="29" t="str">
        <f>IFERROR(
IF(AND(OR(AC35="C",AC35="c"), VLOOKUP(AF35,[1]Diccionario!B:N,13,0)="C"), "OK",IF(AND(OR(AC35="C",AC35="c"), OR(VLOOKUP(AF35,[1]Diccionario!B:N,13,0)="B", VLOOKUP(AF35,[1]Diccionario!B:N,13,0)="A")), "DEFICIT",IF(
AND(OR(AC35="B", AC35="BPAL"), VLOOKUP(AF35,[1]Diccionario!B:N,13,0)="B"), "OK",IF(AND(OR(AC35="B", AC35="BPAL"), VLOOKUP(AF35,[1]Diccionario!B:N,13,0)="A"), "DEFICIT",IF(AND(OR(AC35="B", AC35="BPAL"), VLOOKUP(AF35,[1]Diccionario!B:N,13,0)="C"), "SOBREOFERTA",IF(AND(AC35="A", VLOOKUP(AF35,[1]Diccionario!B:N,13,0)="A"), "OK",IF(
AND(AC35="A", OR(VLOOKUP(AF35,[1]Diccionario!B:N,13,0)="B", VLOOKUP(AF35,[1]Diccionario!B:N,13,0)="C")), "SOBREOFERTA",""
))))))),"")</f>
        <v/>
      </c>
      <c r="AF35" s="48"/>
      <c r="AG35" s="53"/>
      <c r="AH35" s="54"/>
      <c r="AI35" s="55" t="str">
        <f t="shared" si="12"/>
        <v/>
      </c>
      <c r="AJ35" s="46"/>
      <c r="AK35" s="34" t="e">
        <f>IF(AB35&lt;&gt;"",HLOOKUP(VALUE(TEXT(AH35,"h:mm:ss")),IF($C$6="Laboral",[1]Input!$A$4:$Y$227,IF($C$6="Sábado",[1]Input!$A$231:$Y$452,[1]Input!$A$456:$Y$656)),VLOOKUP($C$4,[1]Input!$AG$2:$AI$99,3,0)+IF(AD$5="Ida",0,1),1),"")</f>
        <v>#N/A</v>
      </c>
      <c r="AL35" s="34" t="str">
        <f>IF(AB36&lt;&gt;AB35,AVERAGEIF(AB$9:AB35,AB35,AK$9:AK35),"")</f>
        <v/>
      </c>
      <c r="AM35" s="35" t="str">
        <f>IFERROR(IF(AB36&lt;&gt;AB35,AVERAGEIF(AB$9:AB35,AB35,AT$9:AT35),""),"")</f>
        <v/>
      </c>
      <c r="AN35" s="35" t="str">
        <f>IFERROR(IF(AB36&lt;&gt;AB35,AVERAGEIF(AB$9:AB35,AB35,AU$9:AU35),""),"")</f>
        <v/>
      </c>
      <c r="AO35" s="35" t="str" cm="1">
        <f t="array" ref="AO35">IFERROR(IF(AB36&lt;&gt;AB35,_xlfn.STDEV.P(IF(AB$9:AB35=AB35,AU$9:AU35)),""),"")</f>
        <v/>
      </c>
      <c r="AP35" s="35" t="str" cm="1">
        <f t="array" ref="AP35">IFERROR(IF(AB36&lt;&gt;AB35,_xlfn.STDEV.P(IF(AB$9:AB35=AB35,AT$9:AT35)),""),"")</f>
        <v/>
      </c>
      <c r="AQ35" s="36" t="str">
        <f t="shared" si="3"/>
        <v/>
      </c>
      <c r="AR35" s="36" t="str">
        <f t="shared" si="4"/>
        <v/>
      </c>
      <c r="AS35" s="36" t="str">
        <f t="shared" si="13"/>
        <v/>
      </c>
      <c r="AT35" s="37" t="str">
        <f t="shared" si="5"/>
        <v/>
      </c>
      <c r="AU35" s="37" t="str">
        <f t="shared" si="6"/>
        <v/>
      </c>
      <c r="AV35" s="54"/>
      <c r="AW35" s="46"/>
      <c r="AX35" s="39" t="str" cm="1">
        <f t="array" ref="AX35">IF(AH35&lt;&gt;"",IF(AND(AX33:AX34&lt;&gt;"IE",AQ35&lt;&gt;0,AS35&lt;&gt;""),IF(IFERROR((AQ35/AS35),0) &lt;=1,IFERROR(AQ35/AS35,""),1),""),"")</f>
        <v/>
      </c>
      <c r="AY35" s="46"/>
      <c r="AZ35" s="57"/>
      <c r="BC35" s="48">
        <v>23</v>
      </c>
      <c r="BD35" s="48">
        <f>COUNTIFS($A:$A,$BC35,$C:$C,$BC$11)</f>
        <v>0</v>
      </c>
      <c r="BE35" s="48">
        <f>BD35-COUNTIFS($A:$A,$BC35,$C:$C,$BC$11,$H:$H,"")</f>
        <v>0</v>
      </c>
      <c r="BF35" s="49" t="str">
        <f t="shared" si="14"/>
        <v/>
      </c>
      <c r="BG35" s="48" t="str">
        <f>_xlfn.XLOOKUP(BC35,$A:$A,$R:$R,"0",0,-1)</f>
        <v>0</v>
      </c>
      <c r="BH35" s="50" t="str">
        <f>_xlfn.XLOOKUP(BC35,$A:$A,$P:$P,"0",0,-1)</f>
        <v>0</v>
      </c>
      <c r="BI35" s="39" t="str">
        <f>_xlfn.XLOOKUP(BC35,$A:$A,$W:$W,"",0,-1)</f>
        <v/>
      </c>
      <c r="BL35" s="48">
        <v>23</v>
      </c>
      <c r="BM35" s="48">
        <f>COUNTIFS($AB:$AB,$BL35,$AD:$AD,$BL$11)</f>
        <v>0</v>
      </c>
      <c r="BN35" s="48">
        <f>BM35-COUNTIFS($AB:$AB,$BL35,$AD:$AD,$BL$11,$AI:$AI,"")</f>
        <v>0</v>
      </c>
      <c r="BO35" s="49" t="str">
        <f t="shared" si="15"/>
        <v/>
      </c>
      <c r="BP35" s="48" t="str">
        <f>_xlfn.XLOOKUP(BL35,$AB:$AB,$AS:$AS,"0",0,-1)</f>
        <v>0</v>
      </c>
      <c r="BQ35" s="50" t="str">
        <f>_xlfn.XLOOKUP(BL35,$AB:$AB,$AQ:$AQ,"0",0,-1)</f>
        <v>0</v>
      </c>
      <c r="BR35" s="39" t="str">
        <f>_xlfn.XLOOKUP(BL35,$AB:$AB,$AX:$AX,"",0,-1)</f>
        <v/>
      </c>
    </row>
    <row r="36" spans="1:70" ht="15.5" x14ac:dyDescent="0.35">
      <c r="A36" s="51">
        <f t="shared" si="16"/>
        <v>1</v>
      </c>
      <c r="B36" s="52"/>
      <c r="C36" s="52"/>
      <c r="D36" s="29" t="str">
        <f>IFERROR(
IF(AND(OR(Planilla!B36="C",Planilla!B36="c"), VLOOKUP(E36,[1]Diccionario!B:N,13,0)="C"), "OK",IF(AND(OR(Planilla!B36="C",Planilla!B36="c"), OR(VLOOKUP(E36,[1]Diccionario!B:N,13,0)="B", VLOOKUP(E36,[1]Diccionario!B:N,13,0)="A")), "DEFICIT",IF(
AND(OR(Planilla!B36="B", Planilla!B36="BPAL"), VLOOKUP(E36,[1]Diccionario!B:N,13,0)="B"), "OK",IF(AND(OR(Planilla!B36="B", Planilla!B36="BPAL"), VLOOKUP(E36,[1]Diccionario!B:N,13,0)="A"), "DEFICIT",IF(AND(OR(Planilla!B36="B", Planilla!B36="BPAL"), VLOOKUP(E36,[1]Diccionario!B:N,13,0)="C"), "SOBREOFERTA",IF(AND(Planilla!B36="A", VLOOKUP(E36,[1]Diccionario!B:N,13,0)="A"), "OK",IF(
AND(Planilla!B36="A", OR(VLOOKUP(E36,[1]Diccionario!B:N,13,0)="B", VLOOKUP(E36,[1]Diccionario!B:N,13,0)="C")), "SOBREOFERTA",""
))))))),"")</f>
        <v/>
      </c>
      <c r="E36" s="48"/>
      <c r="F36" s="53" t="str">
        <f t="shared" si="17"/>
        <v/>
      </c>
      <c r="G36" s="54"/>
      <c r="H36" s="55" t="str">
        <f t="shared" si="7"/>
        <v/>
      </c>
      <c r="I36" s="35"/>
      <c r="J36" s="34" t="e">
        <f>IF(A36&lt;&gt;"",HLOOKUP(VALUE(TEXT(G36,"h:mm:ss")),IF($C$6="Laboral",[1]Input!$A$4:$Y$227,IF($C$6="Sábado",[1]Input!$A$231:$Y$452,[1]Input!$A$456:$Y$656)),VLOOKUP($C$4,[1]Input!$AG$2:$AI$99,3,0)+IF(C$5="Ida",0,1),1),"")</f>
        <v>#N/A</v>
      </c>
      <c r="K36" s="34" t="str">
        <f>IF(A37&lt;&gt;A36,AVERAGEIF(A$9:A36,A36,J$13:J36),"")</f>
        <v/>
      </c>
      <c r="L36" s="35" t="str">
        <f>IFERROR(IF(A37&lt;&gt;A36,AVERAGEIF(A$9:A36,A36,S$13:S36),""),"")</f>
        <v/>
      </c>
      <c r="M36" s="35" t="str">
        <f>IFERROR(IF(A37&lt;&gt;A36,AVERAGEIF(A$9:A36,A36,T$8:T36),""),"")</f>
        <v/>
      </c>
      <c r="N36" s="35" t="str" cm="1">
        <f t="array" ref="N36">IFERROR(IF(A37&lt;&gt;A36,_xlfn.STDEV.P(IF(A$9:A36=A36,T$7:T36)),""),"")</f>
        <v/>
      </c>
      <c r="O36" s="35" t="str" cm="1">
        <f t="array" ref="O36">IFERROR(IF(A37&lt;&gt;A36,_xlfn.STDEV.P(IF(A$9:A36=A36,S$7:S36)),""),"")</f>
        <v/>
      </c>
      <c r="P36" s="36" t="str">
        <f t="shared" si="0"/>
        <v/>
      </c>
      <c r="Q36" s="36" t="str">
        <f t="shared" si="1"/>
        <v/>
      </c>
      <c r="R36" s="36" t="str">
        <f t="shared" si="8"/>
        <v/>
      </c>
      <c r="S36" s="37" t="str">
        <f t="shared" si="9"/>
        <v/>
      </c>
      <c r="T36" s="37" t="str">
        <f t="shared" si="2"/>
        <v/>
      </c>
      <c r="U36" s="54"/>
      <c r="V36" s="46"/>
      <c r="W36" s="39" t="str">
        <f t="shared" si="10"/>
        <v/>
      </c>
      <c r="X36" s="38"/>
      <c r="Y36" s="48"/>
      <c r="AB36" s="56">
        <f t="shared" si="11"/>
        <v>1</v>
      </c>
      <c r="AC36" s="52"/>
      <c r="AD36" s="52"/>
      <c r="AE36" s="29" t="str">
        <f>IFERROR(
IF(AND(OR(AC36="C",AC36="c"), VLOOKUP(AF36,[1]Diccionario!B:N,13,0)="C"), "OK",IF(AND(OR(AC36="C",AC36="c"), OR(VLOOKUP(AF36,[1]Diccionario!B:N,13,0)="B", VLOOKUP(AF36,[1]Diccionario!B:N,13,0)="A")), "DEFICIT",IF(
AND(OR(AC36="B", AC36="BPAL"), VLOOKUP(AF36,[1]Diccionario!B:N,13,0)="B"), "OK",IF(AND(OR(AC36="B", AC36="BPAL"), VLOOKUP(AF36,[1]Diccionario!B:N,13,0)="A"), "DEFICIT",IF(AND(OR(AC36="B", AC36="BPAL"), VLOOKUP(AF36,[1]Diccionario!B:N,13,0)="C"), "SOBREOFERTA",IF(AND(AC36="A", VLOOKUP(AF36,[1]Diccionario!B:N,13,0)="A"), "OK",IF(
AND(AC36="A", OR(VLOOKUP(AF36,[1]Diccionario!B:N,13,0)="B", VLOOKUP(AF36,[1]Diccionario!B:N,13,0)="C")), "SOBREOFERTA",""
))))))),"")</f>
        <v/>
      </c>
      <c r="AF36" s="48"/>
      <c r="AG36" s="53"/>
      <c r="AH36" s="54"/>
      <c r="AI36" s="55" t="str">
        <f t="shared" si="12"/>
        <v/>
      </c>
      <c r="AJ36" s="46"/>
      <c r="AK36" s="34" t="e">
        <f>IF(AB36&lt;&gt;"",HLOOKUP(VALUE(TEXT(AH36,"h:mm:ss")),IF($C$6="Laboral",[1]Input!$A$4:$Y$227,IF($C$6="Sábado",[1]Input!$A$231:$Y$452,[1]Input!$A$456:$Y$656)),VLOOKUP($C$4,[1]Input!$AG$2:$AI$99,3,0)+IF(AD$5="Ida",0,1),1),"")</f>
        <v>#N/A</v>
      </c>
      <c r="AL36" s="34" t="str">
        <f>IF(AB37&lt;&gt;AB36,AVERAGEIF(AB$9:AB36,AB36,AK$9:AK36),"")</f>
        <v/>
      </c>
      <c r="AM36" s="35" t="str">
        <f>IFERROR(IF(AB37&lt;&gt;AB36,AVERAGEIF(AB$9:AB36,AB36,AT$9:AT36),""),"")</f>
        <v/>
      </c>
      <c r="AN36" s="35" t="str">
        <f>IFERROR(IF(AB37&lt;&gt;AB36,AVERAGEIF(AB$9:AB36,AB36,AU$9:AU36),""),"")</f>
        <v/>
      </c>
      <c r="AO36" s="35" t="str" cm="1">
        <f t="array" ref="AO36">IFERROR(IF(AB37&lt;&gt;AB36,_xlfn.STDEV.P(IF(AB$9:AB36=AB36,AU$9:AU36)),""),"")</f>
        <v/>
      </c>
      <c r="AP36" s="35" t="str" cm="1">
        <f t="array" ref="AP36">IFERROR(IF(AB37&lt;&gt;AB36,_xlfn.STDEV.P(IF(AB$9:AB36=AB36,AT$9:AT36)),""),"")</f>
        <v/>
      </c>
      <c r="AQ36" s="36" t="str">
        <f t="shared" si="3"/>
        <v/>
      </c>
      <c r="AR36" s="36" t="str">
        <f t="shared" si="4"/>
        <v/>
      </c>
      <c r="AS36" s="36" t="str">
        <f t="shared" si="13"/>
        <v/>
      </c>
      <c r="AT36" s="37" t="str">
        <f t="shared" si="5"/>
        <v/>
      </c>
      <c r="AU36" s="37" t="str">
        <f t="shared" si="6"/>
        <v/>
      </c>
      <c r="AV36" s="54"/>
      <c r="AW36" s="46"/>
      <c r="AX36" s="39" t="str" cm="1">
        <f t="array" ref="AX36">IF(AH36&lt;&gt;"",IF(AND(AX34:AX35&lt;&gt;"IE",AQ36&lt;&gt;0,AS36&lt;&gt;""),IF(IFERROR((AQ36/AS36),0) &lt;=1,IFERROR(AQ36/AS36,""),1),""),"")</f>
        <v/>
      </c>
      <c r="AY36" s="46"/>
      <c r="AZ36" s="57"/>
      <c r="BC36" s="48">
        <v>24</v>
      </c>
      <c r="BD36" s="48">
        <f>COUNTIFS($A:$A,$BC36,$C:$C,$BC$11)</f>
        <v>0</v>
      </c>
      <c r="BE36" s="48">
        <f>BD36-COUNTIFS($A:$A,$BC36,$C:$C,$BC$11,$H:$H,"")</f>
        <v>0</v>
      </c>
      <c r="BF36" s="49" t="str">
        <f t="shared" si="14"/>
        <v/>
      </c>
      <c r="BG36" s="48" t="str">
        <f>_xlfn.XLOOKUP(BC36,$A:$A,$R:$R,"0",0,-1)</f>
        <v>0</v>
      </c>
      <c r="BH36" s="50" t="str">
        <f>_xlfn.XLOOKUP(BC36,$A:$A,$P:$P,"0",0,-1)</f>
        <v>0</v>
      </c>
      <c r="BI36" s="39" t="str">
        <f>_xlfn.XLOOKUP(BC36,$A:$A,$W:$W,"",0,-1)</f>
        <v/>
      </c>
      <c r="BL36" s="48">
        <v>24</v>
      </c>
      <c r="BM36" s="48">
        <f>COUNTIFS($AB:$AB,$BL36,$AD:$AD,$BL$11)</f>
        <v>0</v>
      </c>
      <c r="BN36" s="48">
        <f>BM36-COUNTIFS($AB:$AB,$BL36,$AD:$AD,$BL$11,$AI:$AI,"")</f>
        <v>0</v>
      </c>
      <c r="BO36" s="49" t="str">
        <f t="shared" si="15"/>
        <v/>
      </c>
      <c r="BP36" s="48" t="str">
        <f>_xlfn.XLOOKUP(BL36,$AB:$AB,$AS:$AS,"0",0,-1)</f>
        <v>0</v>
      </c>
      <c r="BQ36" s="50" t="str">
        <f>_xlfn.XLOOKUP(BL36,$AB:$AB,$AQ:$AQ,"0",0,-1)</f>
        <v>0</v>
      </c>
      <c r="BR36" s="39" t="str">
        <f>_xlfn.XLOOKUP(BL36,$AB:$AB,$AX:$AX,"",0,-1)</f>
        <v/>
      </c>
    </row>
    <row r="37" spans="1:70" ht="15.5" x14ac:dyDescent="0.35">
      <c r="A37" s="51">
        <f t="shared" si="16"/>
        <v>1</v>
      </c>
      <c r="B37" s="52"/>
      <c r="C37" s="52"/>
      <c r="D37" s="29" t="str">
        <f>IFERROR(
IF(AND(OR(Planilla!B37="C",Planilla!B37="c"), VLOOKUP(E37,[1]Diccionario!B:N,13,0)="C"), "OK",IF(AND(OR(Planilla!B37="C",Planilla!B37="c"), OR(VLOOKUP(E37,[1]Diccionario!B:N,13,0)="B", VLOOKUP(E37,[1]Diccionario!B:N,13,0)="A")), "DEFICIT",IF(
AND(OR(Planilla!B37="B", Planilla!B37="BPAL"), VLOOKUP(E37,[1]Diccionario!B:N,13,0)="B"), "OK",IF(AND(OR(Planilla!B37="B", Planilla!B37="BPAL"), VLOOKUP(E37,[1]Diccionario!B:N,13,0)="A"), "DEFICIT",IF(AND(OR(Planilla!B37="B", Planilla!B37="BPAL"), VLOOKUP(E37,[1]Diccionario!B:N,13,0)="C"), "SOBREOFERTA",IF(AND(Planilla!B37="A", VLOOKUP(E37,[1]Diccionario!B:N,13,0)="A"), "OK",IF(
AND(Planilla!B37="A", OR(VLOOKUP(E37,[1]Diccionario!B:N,13,0)="B", VLOOKUP(E37,[1]Diccionario!B:N,13,0)="C")), "SOBREOFERTA",""
))))))),"")</f>
        <v/>
      </c>
      <c r="E37" s="48"/>
      <c r="F37" s="53" t="str">
        <f t="shared" si="17"/>
        <v/>
      </c>
      <c r="G37" s="54"/>
      <c r="H37" s="55" t="str">
        <f t="shared" si="7"/>
        <v/>
      </c>
      <c r="I37" s="35"/>
      <c r="J37" s="34" t="e">
        <f>IF(A37&lt;&gt;"",HLOOKUP(VALUE(TEXT(G37,"h:mm:ss")),IF($C$6="Laboral",[1]Input!$A$4:$Y$227,IF($C$6="Sábado",[1]Input!$A$231:$Y$452,[1]Input!$A$456:$Y$656)),VLOOKUP($C$4,[1]Input!$AG$2:$AI$99,3,0)+IF(C$5="Ida",0,1),1),"")</f>
        <v>#N/A</v>
      </c>
      <c r="K37" s="34" t="str">
        <f>IF(A38&lt;&gt;A37,AVERAGEIF(A$9:A37,A37,J$13:J37),"")</f>
        <v/>
      </c>
      <c r="L37" s="35" t="str">
        <f>IFERROR(IF(A38&lt;&gt;A37,AVERAGEIF(A$9:A37,A37,S$13:S37),""),"")</f>
        <v/>
      </c>
      <c r="M37" s="35" t="str">
        <f>IFERROR(IF(A38&lt;&gt;A37,AVERAGEIF(A$9:A37,A37,T$8:T37),""),"")</f>
        <v/>
      </c>
      <c r="N37" s="35" t="str" cm="1">
        <f t="array" ref="N37">IFERROR(IF(A38&lt;&gt;A37,_xlfn.STDEV.P(IF(A$9:A37=A37,T$7:T37)),""),"")</f>
        <v/>
      </c>
      <c r="O37" s="35" t="str" cm="1">
        <f t="array" ref="O37">IFERROR(IF(A38&lt;&gt;A37,_xlfn.STDEV.P(IF(A$9:A37=A37,S$7:S37)),""),"")</f>
        <v/>
      </c>
      <c r="P37" s="36" t="str">
        <f t="shared" si="0"/>
        <v/>
      </c>
      <c r="Q37" s="36" t="str">
        <f t="shared" si="1"/>
        <v/>
      </c>
      <c r="R37" s="36" t="str">
        <f t="shared" si="8"/>
        <v/>
      </c>
      <c r="S37" s="37" t="str">
        <f t="shared" si="9"/>
        <v/>
      </c>
      <c r="T37" s="37" t="str">
        <f t="shared" si="2"/>
        <v/>
      </c>
      <c r="U37" s="54"/>
      <c r="V37" s="46"/>
      <c r="W37" s="39" t="str">
        <f t="shared" si="10"/>
        <v/>
      </c>
      <c r="X37" s="38"/>
      <c r="Y37" s="48"/>
      <c r="AB37" s="56">
        <f t="shared" si="11"/>
        <v>1</v>
      </c>
      <c r="AC37" s="52"/>
      <c r="AD37" s="52"/>
      <c r="AE37" s="29" t="str">
        <f>IFERROR(
IF(AND(OR(AC37="C",AC37="c"), VLOOKUP(AF37,[1]Diccionario!B:N,13,0)="C"), "OK",IF(AND(OR(AC37="C",AC37="c"), OR(VLOOKUP(AF37,[1]Diccionario!B:N,13,0)="B", VLOOKUP(AF37,[1]Diccionario!B:N,13,0)="A")), "DEFICIT",IF(
AND(OR(AC37="B", AC37="BPAL"), VLOOKUP(AF37,[1]Diccionario!B:N,13,0)="B"), "OK",IF(AND(OR(AC37="B", AC37="BPAL"), VLOOKUP(AF37,[1]Diccionario!B:N,13,0)="A"), "DEFICIT",IF(AND(OR(AC37="B", AC37="BPAL"), VLOOKUP(AF37,[1]Diccionario!B:N,13,0)="C"), "SOBREOFERTA",IF(AND(AC37="A", VLOOKUP(AF37,[1]Diccionario!B:N,13,0)="A"), "OK",IF(
AND(AC37="A", OR(VLOOKUP(AF37,[1]Diccionario!B:N,13,0)="B", VLOOKUP(AF37,[1]Diccionario!B:N,13,0)="C")), "SOBREOFERTA",""
))))))),"")</f>
        <v/>
      </c>
      <c r="AF37" s="48"/>
      <c r="AG37" s="53"/>
      <c r="AH37" s="54"/>
      <c r="AI37" s="55" t="str">
        <f t="shared" si="12"/>
        <v/>
      </c>
      <c r="AJ37" s="46"/>
      <c r="AK37" s="34" t="e">
        <f>IF(AB37&lt;&gt;"",HLOOKUP(VALUE(TEXT(AH37,"h:mm:ss")),IF($C$6="Laboral",[1]Input!$A$4:$Y$227,IF($C$6="Sábado",[1]Input!$A$231:$Y$452,[1]Input!$A$456:$Y$656)),VLOOKUP($C$4,[1]Input!$AG$2:$AI$99,3,0)+IF(AD$5="Ida",0,1),1),"")</f>
        <v>#N/A</v>
      </c>
      <c r="AL37" s="34" t="str">
        <f>IF(AB38&lt;&gt;AB37,AVERAGEIF(AB$9:AB37,AB37,AK$9:AK37),"")</f>
        <v/>
      </c>
      <c r="AM37" s="35" t="str">
        <f>IFERROR(IF(AB38&lt;&gt;AB37,AVERAGEIF(AB$9:AB37,AB37,AT$9:AT37),""),"")</f>
        <v/>
      </c>
      <c r="AN37" s="35" t="str">
        <f>IFERROR(IF(AB38&lt;&gt;AB37,AVERAGEIF(AB$9:AB37,AB37,AU$9:AU37),""),"")</f>
        <v/>
      </c>
      <c r="AO37" s="35" t="str" cm="1">
        <f t="array" ref="AO37">IFERROR(IF(AB38&lt;&gt;AB37,_xlfn.STDEV.P(IF(AB$9:AB37=AB37,AU$9:AU37)),""),"")</f>
        <v/>
      </c>
      <c r="AP37" s="35" t="str" cm="1">
        <f t="array" ref="AP37">IFERROR(IF(AB38&lt;&gt;AB37,_xlfn.STDEV.P(IF(AB$9:AB37=AB37,AT$9:AT37)),""),"")</f>
        <v/>
      </c>
      <c r="AQ37" s="36" t="str">
        <f t="shared" si="3"/>
        <v/>
      </c>
      <c r="AR37" s="36" t="str">
        <f t="shared" si="4"/>
        <v/>
      </c>
      <c r="AS37" s="36" t="str">
        <f t="shared" si="13"/>
        <v/>
      </c>
      <c r="AT37" s="37" t="str">
        <f t="shared" si="5"/>
        <v/>
      </c>
      <c r="AU37" s="37" t="str">
        <f t="shared" si="6"/>
        <v/>
      </c>
      <c r="AV37" s="54"/>
      <c r="AW37" s="46"/>
      <c r="AX37" s="39" t="str" cm="1">
        <f t="array" ref="AX37">IF(AH37&lt;&gt;"",IF(AND(AX35:AX36&lt;&gt;"IE",AQ37&lt;&gt;0,AS37&lt;&gt;""),IF(IFERROR((AQ37/AS37),0) &lt;=1,IFERROR(AQ37/AS37,""),1),""),"")</f>
        <v/>
      </c>
      <c r="AY37" s="46"/>
      <c r="AZ37" s="57"/>
    </row>
    <row r="38" spans="1:70" ht="15.5" x14ac:dyDescent="0.35">
      <c r="A38" s="51">
        <f t="shared" si="16"/>
        <v>1</v>
      </c>
      <c r="B38" s="52"/>
      <c r="C38" s="52"/>
      <c r="D38" s="29" t="str">
        <f>IFERROR(
IF(AND(OR(Planilla!B38="C",Planilla!B38="c"), VLOOKUP(E38,[1]Diccionario!B:N,13,0)="C"), "OK",IF(AND(OR(Planilla!B38="C",Planilla!B38="c"), OR(VLOOKUP(E38,[1]Diccionario!B:N,13,0)="B", VLOOKUP(E38,[1]Diccionario!B:N,13,0)="A")), "DEFICIT",IF(
AND(OR(Planilla!B38="B", Planilla!B38="BPAL"), VLOOKUP(E38,[1]Diccionario!B:N,13,0)="B"), "OK",IF(AND(OR(Planilla!B38="B", Planilla!B38="BPAL"), VLOOKUP(E38,[1]Diccionario!B:N,13,0)="A"), "DEFICIT",IF(AND(OR(Planilla!B38="B", Planilla!B38="BPAL"), VLOOKUP(E38,[1]Diccionario!B:N,13,0)="C"), "SOBREOFERTA",IF(AND(Planilla!B38="A", VLOOKUP(E38,[1]Diccionario!B:N,13,0)="A"), "OK",IF(
AND(Planilla!B38="A", OR(VLOOKUP(E38,[1]Diccionario!B:N,13,0)="B", VLOOKUP(E38,[1]Diccionario!B:N,13,0)="C")), "SOBREOFERTA",""
))))))),"")</f>
        <v/>
      </c>
      <c r="E38" s="48"/>
      <c r="F38" s="53" t="str">
        <f t="shared" si="17"/>
        <v/>
      </c>
      <c r="G38" s="54"/>
      <c r="H38" s="55" t="str">
        <f t="shared" si="7"/>
        <v/>
      </c>
      <c r="I38" s="35"/>
      <c r="J38" s="34" t="e">
        <f>IF(A38&lt;&gt;"",HLOOKUP(VALUE(TEXT(G38,"h:mm:ss")),IF($C$6="Laboral",[1]Input!$A$4:$Y$227,IF($C$6="Sábado",[1]Input!$A$231:$Y$452,[1]Input!$A$456:$Y$656)),VLOOKUP($C$4,[1]Input!$AG$2:$AI$99,3,0)+IF(C$5="Ida",0,1),1),"")</f>
        <v>#N/A</v>
      </c>
      <c r="K38" s="34" t="str">
        <f>IF(A39&lt;&gt;A38,AVERAGEIF(A$9:A38,A38,J$13:J38),"")</f>
        <v/>
      </c>
      <c r="L38" s="35" t="str">
        <f>IFERROR(IF(A39&lt;&gt;A38,AVERAGEIF(A$9:A38,A38,S$13:S38),""),"")</f>
        <v/>
      </c>
      <c r="M38" s="35" t="str">
        <f>IFERROR(IF(A39&lt;&gt;A38,AVERAGEIF(A$9:A38,A38,T$8:T38),""),"")</f>
        <v/>
      </c>
      <c r="N38" s="35" t="str" cm="1">
        <f t="array" ref="N38">IFERROR(IF(A39&lt;&gt;A38,_xlfn.STDEV.P(IF(A$9:A38=A38,T$7:T38)),""),"")</f>
        <v/>
      </c>
      <c r="O38" s="35" t="str" cm="1">
        <f t="array" ref="O38">IFERROR(IF(A39&lt;&gt;A38,_xlfn.STDEV.P(IF(A$9:A38=A38,S$7:S38)),""),"")</f>
        <v/>
      </c>
      <c r="P38" s="36" t="str">
        <f t="shared" si="0"/>
        <v/>
      </c>
      <c r="Q38" s="36" t="str">
        <f t="shared" si="1"/>
        <v/>
      </c>
      <c r="R38" s="36" t="str">
        <f t="shared" si="8"/>
        <v/>
      </c>
      <c r="S38" s="37" t="str">
        <f t="shared" si="9"/>
        <v/>
      </c>
      <c r="T38" s="37" t="str">
        <f t="shared" si="2"/>
        <v/>
      </c>
      <c r="U38" s="54"/>
      <c r="V38" s="46"/>
      <c r="W38" s="39" t="str">
        <f t="shared" si="10"/>
        <v/>
      </c>
      <c r="X38" s="38"/>
      <c r="Y38" s="48"/>
      <c r="AB38" s="56">
        <f t="shared" si="11"/>
        <v>1</v>
      </c>
      <c r="AC38" s="52"/>
      <c r="AD38" s="52"/>
      <c r="AE38" s="29" t="str">
        <f>IFERROR(
IF(AND(OR(AC38="C",AC38="c"), VLOOKUP(AF38,[1]Diccionario!B:N,13,0)="C"), "OK",IF(AND(OR(AC38="C",AC38="c"), OR(VLOOKUP(AF38,[1]Diccionario!B:N,13,0)="B", VLOOKUP(AF38,[1]Diccionario!B:N,13,0)="A")), "DEFICIT",IF(
AND(OR(AC38="B", AC38="BPAL"), VLOOKUP(AF38,[1]Diccionario!B:N,13,0)="B"), "OK",IF(AND(OR(AC38="B", AC38="BPAL"), VLOOKUP(AF38,[1]Diccionario!B:N,13,0)="A"), "DEFICIT",IF(AND(OR(AC38="B", AC38="BPAL"), VLOOKUP(AF38,[1]Diccionario!B:N,13,0)="C"), "SOBREOFERTA",IF(AND(AC38="A", VLOOKUP(AF38,[1]Diccionario!B:N,13,0)="A"), "OK",IF(
AND(AC38="A", OR(VLOOKUP(AF38,[1]Diccionario!B:N,13,0)="B", VLOOKUP(AF38,[1]Diccionario!B:N,13,0)="C")), "SOBREOFERTA",""
))))))),"")</f>
        <v/>
      </c>
      <c r="AF38" s="48"/>
      <c r="AG38" s="53"/>
      <c r="AH38" s="54"/>
      <c r="AI38" s="55" t="str">
        <f t="shared" si="12"/>
        <v/>
      </c>
      <c r="AJ38" s="46"/>
      <c r="AK38" s="34" t="e">
        <f>IF(AB38&lt;&gt;"",HLOOKUP(VALUE(TEXT(AH38,"h:mm:ss")),IF($C$6="Laboral",[1]Input!$A$4:$Y$227,IF($C$6="Sábado",[1]Input!$A$231:$Y$452,[1]Input!$A$456:$Y$656)),VLOOKUP($C$4,[1]Input!$AG$2:$AI$99,3,0)+IF(AD$5="Ida",0,1),1),"")</f>
        <v>#N/A</v>
      </c>
      <c r="AL38" s="34" t="str">
        <f>IF(AB39&lt;&gt;AB38,AVERAGEIF(AB$9:AB38,AB38,AK$9:AK38),"")</f>
        <v/>
      </c>
      <c r="AM38" s="35" t="str">
        <f>IFERROR(IF(AB39&lt;&gt;AB38,AVERAGEIF(AB$9:AB38,AB38,AT$9:AT38),""),"")</f>
        <v/>
      </c>
      <c r="AN38" s="35" t="str">
        <f>IFERROR(IF(AB39&lt;&gt;AB38,AVERAGEIF(AB$9:AB38,AB38,AU$9:AU38),""),"")</f>
        <v/>
      </c>
      <c r="AO38" s="35" t="str" cm="1">
        <f t="array" ref="AO38">IFERROR(IF(AB39&lt;&gt;AB38,_xlfn.STDEV.P(IF(AB$9:AB38=AB38,AU$9:AU38)),""),"")</f>
        <v/>
      </c>
      <c r="AP38" s="35" t="str" cm="1">
        <f t="array" ref="AP38">IFERROR(IF(AB39&lt;&gt;AB38,_xlfn.STDEV.P(IF(AB$9:AB38=AB38,AT$9:AT38)),""),"")</f>
        <v/>
      </c>
      <c r="AQ38" s="36" t="str">
        <f t="shared" si="3"/>
        <v/>
      </c>
      <c r="AR38" s="36" t="str">
        <f t="shared" si="4"/>
        <v/>
      </c>
      <c r="AS38" s="36" t="str">
        <f t="shared" si="13"/>
        <v/>
      </c>
      <c r="AT38" s="37" t="str">
        <f t="shared" si="5"/>
        <v/>
      </c>
      <c r="AU38" s="37" t="str">
        <f t="shared" si="6"/>
        <v/>
      </c>
      <c r="AV38" s="54"/>
      <c r="AW38" s="46"/>
      <c r="AX38" s="39" t="str" cm="1">
        <f t="array" ref="AX38">IF(AH38&lt;&gt;"",IF(AND(AX36:AX37&lt;&gt;"IE",AQ38&lt;&gt;0,AS38&lt;&gt;""),IF(IFERROR((AQ38/AS38),0) &lt;=1,IFERROR(AQ38/AS38,""),1),""),"")</f>
        <v/>
      </c>
      <c r="AY38" s="46"/>
      <c r="AZ38" s="57"/>
    </row>
    <row r="39" spans="1:70" ht="15.5" x14ac:dyDescent="0.35">
      <c r="A39" s="51">
        <f t="shared" si="16"/>
        <v>1</v>
      </c>
      <c r="B39" s="52"/>
      <c r="C39" s="52"/>
      <c r="D39" s="29" t="str">
        <f>IFERROR(
IF(AND(OR(Planilla!B39="C",Planilla!B39="c"), VLOOKUP(E39,[1]Diccionario!B:N,13,0)="C"), "OK",IF(AND(OR(Planilla!B39="C",Planilla!B39="c"), OR(VLOOKUP(E39,[1]Diccionario!B:N,13,0)="B", VLOOKUP(E39,[1]Diccionario!B:N,13,0)="A")), "DEFICIT",IF(
AND(OR(Planilla!B39="B", Planilla!B39="BPAL"), VLOOKUP(E39,[1]Diccionario!B:N,13,0)="B"), "OK",IF(AND(OR(Planilla!B39="B", Planilla!B39="BPAL"), VLOOKUP(E39,[1]Diccionario!B:N,13,0)="A"), "DEFICIT",IF(AND(OR(Planilla!B39="B", Planilla!B39="BPAL"), VLOOKUP(E39,[1]Diccionario!B:N,13,0)="C"), "SOBREOFERTA",IF(AND(Planilla!B39="A", VLOOKUP(E39,[1]Diccionario!B:N,13,0)="A"), "OK",IF(
AND(Planilla!B39="A", OR(VLOOKUP(E39,[1]Diccionario!B:N,13,0)="B", VLOOKUP(E39,[1]Diccionario!B:N,13,0)="C")), "SOBREOFERTA",""
))))))),"")</f>
        <v/>
      </c>
      <c r="E39" s="48"/>
      <c r="F39" s="53" t="str">
        <f t="shared" si="17"/>
        <v/>
      </c>
      <c r="G39" s="54"/>
      <c r="H39" s="55" t="str">
        <f t="shared" si="7"/>
        <v/>
      </c>
      <c r="I39" s="35"/>
      <c r="J39" s="34" t="e">
        <f>IF(A39&lt;&gt;"",HLOOKUP(VALUE(TEXT(G39,"h:mm:ss")),IF($C$6="Laboral",[1]Input!$A$4:$Y$227,IF($C$6="Sábado",[1]Input!$A$231:$Y$452,[1]Input!$A$456:$Y$656)),VLOOKUP($C$4,[1]Input!$AG$2:$AI$99,3,0)+IF(C$5="Ida",0,1),1),"")</f>
        <v>#N/A</v>
      </c>
      <c r="K39" s="34" t="str">
        <f>IF(A40&lt;&gt;A39,AVERAGEIF(A$9:A39,A39,J$13:J39),"")</f>
        <v/>
      </c>
      <c r="L39" s="35" t="str">
        <f>IFERROR(IF(A40&lt;&gt;A39,AVERAGEIF(A$9:A39,A39,S$13:S39),""),"")</f>
        <v/>
      </c>
      <c r="M39" s="35" t="str">
        <f>IFERROR(IF(A40&lt;&gt;A39,AVERAGEIF(A$9:A39,A39,T$8:T39),""),"")</f>
        <v/>
      </c>
      <c r="N39" s="35" t="str" cm="1">
        <f t="array" ref="N39">IFERROR(IF(A40&lt;&gt;A39,_xlfn.STDEV.P(IF(A$9:A39=A39,T$7:T39)),""),"")</f>
        <v/>
      </c>
      <c r="O39" s="35" t="str" cm="1">
        <f t="array" ref="O39">IFERROR(IF(A40&lt;&gt;A39,_xlfn.STDEV.P(IF(A$9:A39=A39,S$7:S39)),""),"")</f>
        <v/>
      </c>
      <c r="P39" s="36" t="str">
        <f t="shared" si="0"/>
        <v/>
      </c>
      <c r="Q39" s="36" t="str">
        <f t="shared" si="1"/>
        <v/>
      </c>
      <c r="R39" s="36" t="str">
        <f t="shared" si="8"/>
        <v/>
      </c>
      <c r="S39" s="37" t="str">
        <f t="shared" si="9"/>
        <v/>
      </c>
      <c r="T39" s="37" t="str">
        <f t="shared" si="2"/>
        <v/>
      </c>
      <c r="U39" s="54"/>
      <c r="V39" s="46"/>
      <c r="W39" s="39" t="str">
        <f t="shared" si="10"/>
        <v/>
      </c>
      <c r="X39" s="38"/>
      <c r="Y39" s="48"/>
      <c r="AB39" s="56">
        <f t="shared" si="11"/>
        <v>1</v>
      </c>
      <c r="AC39" s="52"/>
      <c r="AD39" s="52"/>
      <c r="AE39" s="29" t="str">
        <f>IFERROR(
IF(AND(OR(AC39="C",AC39="c"), VLOOKUP(AF39,[1]Diccionario!B:N,13,0)="C"), "OK",IF(AND(OR(AC39="C",AC39="c"), OR(VLOOKUP(AF39,[1]Diccionario!B:N,13,0)="B", VLOOKUP(AF39,[1]Diccionario!B:N,13,0)="A")), "DEFICIT",IF(
AND(OR(AC39="B", AC39="BPAL"), VLOOKUP(AF39,[1]Diccionario!B:N,13,0)="B"), "OK",IF(AND(OR(AC39="B", AC39="BPAL"), VLOOKUP(AF39,[1]Diccionario!B:N,13,0)="A"), "DEFICIT",IF(AND(OR(AC39="B", AC39="BPAL"), VLOOKUP(AF39,[1]Diccionario!B:N,13,0)="C"), "SOBREOFERTA",IF(AND(AC39="A", VLOOKUP(AF39,[1]Diccionario!B:N,13,0)="A"), "OK",IF(
AND(AC39="A", OR(VLOOKUP(AF39,[1]Diccionario!B:N,13,0)="B", VLOOKUP(AF39,[1]Diccionario!B:N,13,0)="C")), "SOBREOFERTA",""
))))))),"")</f>
        <v/>
      </c>
      <c r="AF39" s="48"/>
      <c r="AG39" s="53"/>
      <c r="AH39" s="54"/>
      <c r="AI39" s="55" t="str">
        <f t="shared" si="12"/>
        <v/>
      </c>
      <c r="AJ39" s="46"/>
      <c r="AK39" s="34" t="e">
        <f>IF(AB39&lt;&gt;"",HLOOKUP(VALUE(TEXT(AH39,"h:mm:ss")),IF($C$6="Laboral",[1]Input!$A$4:$Y$227,IF($C$6="Sábado",[1]Input!$A$231:$Y$452,[1]Input!$A$456:$Y$656)),VLOOKUP($C$4,[1]Input!$AG$2:$AI$99,3,0)+IF(AD$5="Ida",0,1),1),"")</f>
        <v>#N/A</v>
      </c>
      <c r="AL39" s="34" t="str">
        <f>IF(AB40&lt;&gt;AB39,AVERAGEIF(AB$9:AB39,AB39,AK$9:AK39),"")</f>
        <v/>
      </c>
      <c r="AM39" s="35" t="str">
        <f>IFERROR(IF(AB40&lt;&gt;AB39,AVERAGEIF(AB$9:AB39,AB39,AT$9:AT39),""),"")</f>
        <v/>
      </c>
      <c r="AN39" s="35" t="str">
        <f>IFERROR(IF(AB40&lt;&gt;AB39,AVERAGEIF(AB$9:AB39,AB39,AU$9:AU39),""),"")</f>
        <v/>
      </c>
      <c r="AO39" s="35" t="str" cm="1">
        <f t="array" ref="AO39">IFERROR(IF(AB40&lt;&gt;AB39,_xlfn.STDEV.P(IF(AB$9:AB39=AB39,AU$9:AU39)),""),"")</f>
        <v/>
      </c>
      <c r="AP39" s="35" t="str" cm="1">
        <f t="array" ref="AP39">IFERROR(IF(AB40&lt;&gt;AB39,_xlfn.STDEV.P(IF(AB$9:AB39=AB39,AT$9:AT39)),""),"")</f>
        <v/>
      </c>
      <c r="AQ39" s="36" t="str">
        <f t="shared" si="3"/>
        <v/>
      </c>
      <c r="AR39" s="36" t="str">
        <f t="shared" si="4"/>
        <v/>
      </c>
      <c r="AS39" s="36" t="str">
        <f t="shared" si="13"/>
        <v/>
      </c>
      <c r="AT39" s="37" t="str">
        <f t="shared" si="5"/>
        <v/>
      </c>
      <c r="AU39" s="37" t="str">
        <f t="shared" si="6"/>
        <v/>
      </c>
      <c r="AV39" s="54"/>
      <c r="AW39" s="46"/>
      <c r="AX39" s="39" t="str" cm="1">
        <f t="array" ref="AX39">IF(AH39&lt;&gt;"",IF(AND(AX37:AX38&lt;&gt;"IE",AQ39&lt;&gt;0,AS39&lt;&gt;""),IF(IFERROR((AQ39/AS39),0) &lt;=1,IFERROR(AQ39/AS39,""),1),""),"")</f>
        <v/>
      </c>
      <c r="AY39" s="46"/>
      <c r="AZ39" s="57"/>
      <c r="BD39" s="26" t="s">
        <v>35</v>
      </c>
      <c r="BE39" s="26" t="s">
        <v>36</v>
      </c>
      <c r="BF39" s="26" t="s">
        <v>37</v>
      </c>
      <c r="BG39" s="26" t="s">
        <v>38</v>
      </c>
      <c r="BH39" s="26" t="s">
        <v>39</v>
      </c>
      <c r="BI39" s="26" t="s">
        <v>30</v>
      </c>
      <c r="BM39" s="26" t="s">
        <v>35</v>
      </c>
      <c r="BN39" s="26" t="s">
        <v>36</v>
      </c>
      <c r="BO39" s="26" t="s">
        <v>37</v>
      </c>
      <c r="BP39" s="26" t="s">
        <v>38</v>
      </c>
      <c r="BQ39" s="26" t="s">
        <v>39</v>
      </c>
      <c r="BR39" s="26" t="s">
        <v>30</v>
      </c>
    </row>
    <row r="40" spans="1:70" ht="15.5" x14ac:dyDescent="0.35">
      <c r="A40" s="51">
        <f t="shared" si="16"/>
        <v>1</v>
      </c>
      <c r="B40" s="52"/>
      <c r="C40" s="52"/>
      <c r="D40" s="29" t="str">
        <f>IFERROR(
IF(AND(OR(Planilla!B40="C",Planilla!B40="c"), VLOOKUP(E40,[1]Diccionario!B:N,13,0)="C"), "OK",IF(AND(OR(Planilla!B40="C",Planilla!B40="c"), OR(VLOOKUP(E40,[1]Diccionario!B:N,13,0)="B", VLOOKUP(E40,[1]Diccionario!B:N,13,0)="A")), "DEFICIT",IF(
AND(OR(Planilla!B40="B", Planilla!B40="BPAL"), VLOOKUP(E40,[1]Diccionario!B:N,13,0)="B"), "OK",IF(AND(OR(Planilla!B40="B", Planilla!B40="BPAL"), VLOOKUP(E40,[1]Diccionario!B:N,13,0)="A"), "DEFICIT",IF(AND(OR(Planilla!B40="B", Planilla!B40="BPAL"), VLOOKUP(E40,[1]Diccionario!B:N,13,0)="C"), "SOBREOFERTA",IF(AND(Planilla!B40="A", VLOOKUP(E40,[1]Diccionario!B:N,13,0)="A"), "OK",IF(
AND(Planilla!B40="A", OR(VLOOKUP(E40,[1]Diccionario!B:N,13,0)="B", VLOOKUP(E40,[1]Diccionario!B:N,13,0)="C")), "SOBREOFERTA",""
))))))),"")</f>
        <v/>
      </c>
      <c r="E40" s="48"/>
      <c r="F40" s="53" t="str">
        <f t="shared" si="17"/>
        <v/>
      </c>
      <c r="G40" s="54"/>
      <c r="H40" s="55" t="str">
        <f t="shared" si="7"/>
        <v/>
      </c>
      <c r="I40" s="35"/>
      <c r="J40" s="34" t="e">
        <f>IF(A40&lt;&gt;"",HLOOKUP(VALUE(TEXT(G40,"h:mm:ss")),IF($C$6="Laboral",[1]Input!$A$4:$Y$227,IF($C$6="Sábado",[1]Input!$A$231:$Y$452,[1]Input!$A$456:$Y$656)),VLOOKUP($C$4,[1]Input!$AG$2:$AI$99,3,0)+IF(C$5="Ida",0,1),1),"")</f>
        <v>#N/A</v>
      </c>
      <c r="K40" s="34" t="str">
        <f>IF(A41&lt;&gt;A40,AVERAGEIF(A$9:A40,A40,J$13:J40),"")</f>
        <v/>
      </c>
      <c r="L40" s="35" t="str">
        <f>IFERROR(IF(A41&lt;&gt;A40,AVERAGEIF(A$9:A40,A40,S$13:S40),""),"")</f>
        <v/>
      </c>
      <c r="M40" s="35" t="str">
        <f>IFERROR(IF(A41&lt;&gt;A40,AVERAGEIF(A$9:A40,A40,T$8:T40),""),"")</f>
        <v/>
      </c>
      <c r="N40" s="35" t="str" cm="1">
        <f t="array" ref="N40">IFERROR(IF(A41&lt;&gt;A40,_xlfn.STDEV.P(IF(A$9:A40=A40,T$7:T40)),""),"")</f>
        <v/>
      </c>
      <c r="O40" s="35" t="str" cm="1">
        <f t="array" ref="O40">IFERROR(IF(A41&lt;&gt;A40,_xlfn.STDEV.P(IF(A$9:A40=A40,S$7:S40)),""),"")</f>
        <v/>
      </c>
      <c r="P40" s="36" t="str">
        <f t="shared" si="0"/>
        <v/>
      </c>
      <c r="Q40" s="36" t="str">
        <f t="shared" si="1"/>
        <v/>
      </c>
      <c r="R40" s="36" t="str">
        <f t="shared" si="8"/>
        <v/>
      </c>
      <c r="S40" s="37" t="str">
        <f t="shared" si="9"/>
        <v/>
      </c>
      <c r="T40" s="37" t="str">
        <f t="shared" si="2"/>
        <v/>
      </c>
      <c r="U40" s="54"/>
      <c r="V40" s="46"/>
      <c r="W40" s="39" t="str">
        <f t="shared" si="10"/>
        <v/>
      </c>
      <c r="X40" s="38"/>
      <c r="Y40" s="48"/>
      <c r="AB40" s="56">
        <f t="shared" si="11"/>
        <v>1</v>
      </c>
      <c r="AC40" s="52"/>
      <c r="AD40" s="52"/>
      <c r="AE40" s="29" t="str">
        <f>IFERROR(
IF(AND(OR(AC40="C",AC40="c"), VLOOKUP(AF40,[1]Diccionario!B:N,13,0)="C"), "OK",IF(AND(OR(AC40="C",AC40="c"), OR(VLOOKUP(AF40,[1]Diccionario!B:N,13,0)="B", VLOOKUP(AF40,[1]Diccionario!B:N,13,0)="A")), "DEFICIT",IF(
AND(OR(AC40="B", AC40="BPAL"), VLOOKUP(AF40,[1]Diccionario!B:N,13,0)="B"), "OK",IF(AND(OR(AC40="B", AC40="BPAL"), VLOOKUP(AF40,[1]Diccionario!B:N,13,0)="A"), "DEFICIT",IF(AND(OR(AC40="B", AC40="BPAL"), VLOOKUP(AF40,[1]Diccionario!B:N,13,0)="C"), "SOBREOFERTA",IF(AND(AC40="A", VLOOKUP(AF40,[1]Diccionario!B:N,13,0)="A"), "OK",IF(
AND(AC40="A", OR(VLOOKUP(AF40,[1]Diccionario!B:N,13,0)="B", VLOOKUP(AF40,[1]Diccionario!B:N,13,0)="C")), "SOBREOFERTA",""
))))))),"")</f>
        <v/>
      </c>
      <c r="AF40" s="48"/>
      <c r="AG40" s="53"/>
      <c r="AH40" s="54"/>
      <c r="AI40" s="55" t="str">
        <f t="shared" si="12"/>
        <v/>
      </c>
      <c r="AJ40" s="46"/>
      <c r="AK40" s="34" t="e">
        <f>IF(AB40&lt;&gt;"",HLOOKUP(VALUE(TEXT(AH40,"h:mm:ss")),IF($C$6="Laboral",[1]Input!$A$4:$Y$227,IF($C$6="Sábado",[1]Input!$A$231:$Y$452,[1]Input!$A$456:$Y$656)),VLOOKUP($C$4,[1]Input!$AG$2:$AI$99,3,0)+IF(AD$5="Ida",0,1),1),"")</f>
        <v>#N/A</v>
      </c>
      <c r="AL40" s="34" t="str">
        <f>IF(AB41&lt;&gt;AB40,AVERAGEIF(AB$9:AB40,AB40,AK$9:AK40),"")</f>
        <v/>
      </c>
      <c r="AM40" s="35" t="str">
        <f>IFERROR(IF(AB41&lt;&gt;AB40,AVERAGEIF(AB$9:AB40,AB40,AT$9:AT40),""),"")</f>
        <v/>
      </c>
      <c r="AN40" s="35" t="str">
        <f>IFERROR(IF(AB41&lt;&gt;AB40,AVERAGEIF(AB$9:AB40,AB40,AU$9:AU40),""),"")</f>
        <v/>
      </c>
      <c r="AO40" s="35" t="str" cm="1">
        <f t="array" ref="AO40">IFERROR(IF(AB41&lt;&gt;AB40,_xlfn.STDEV.P(IF(AB$9:AB40=AB40,AU$9:AU40)),""),"")</f>
        <v/>
      </c>
      <c r="AP40" s="35" t="str" cm="1">
        <f t="array" ref="AP40">IFERROR(IF(AB41&lt;&gt;AB40,_xlfn.STDEV.P(IF(AB$9:AB40=AB40,AT$9:AT40)),""),"")</f>
        <v/>
      </c>
      <c r="AQ40" s="36" t="str">
        <f t="shared" si="3"/>
        <v/>
      </c>
      <c r="AR40" s="36" t="str">
        <f t="shared" si="4"/>
        <v/>
      </c>
      <c r="AS40" s="36" t="str">
        <f t="shared" si="13"/>
        <v/>
      </c>
      <c r="AT40" s="37" t="str">
        <f t="shared" si="5"/>
        <v/>
      </c>
      <c r="AU40" s="37" t="str">
        <f t="shared" si="6"/>
        <v/>
      </c>
      <c r="AV40" s="54"/>
      <c r="AW40" s="46"/>
      <c r="AX40" s="39" t="str" cm="1">
        <f t="array" ref="AX40">IF(AH40&lt;&gt;"",IF(AND(AX38:AX39&lt;&gt;"IE",AQ40&lt;&gt;0,AS40&lt;&gt;""),IF(IFERROR((AQ40/AS40),0) &lt;=1,IFERROR(AQ40/AS40,""),1),""),"")</f>
        <v/>
      </c>
      <c r="AY40" s="46"/>
      <c r="AZ40" s="57"/>
      <c r="BC40" s="26" t="s">
        <v>40</v>
      </c>
      <c r="BD40" s="48">
        <f>SUM(BD13:BD36)</f>
        <v>0</v>
      </c>
      <c r="BE40" s="48">
        <f>SUM(BE13:BE36)</f>
        <v>0</v>
      </c>
      <c r="BF40" s="49" t="e">
        <f t="shared" ref="BF40" si="18">BE40/BD40</f>
        <v>#DIV/0!</v>
      </c>
      <c r="BG40" s="58">
        <f>SUM(BG13:BG36)</f>
        <v>0</v>
      </c>
      <c r="BH40" s="58" t="e" cm="1">
        <f t="array" ref="BH40">SUMPRODUCT((BG13:BG36&lt;&gt;"")*(BH13:BH36))</f>
        <v>#VALUE!</v>
      </c>
      <c r="BI40" s="59" t="e">
        <f>IF(BH40/BG40 &gt; 1, 1,BH40/BG40)</f>
        <v>#VALUE!</v>
      </c>
      <c r="BL40" s="26" t="s">
        <v>40</v>
      </c>
      <c r="BM40" s="48">
        <f>SUM(BM13:BM36)</f>
        <v>0</v>
      </c>
      <c r="BN40" s="48">
        <f>SUM(BN13:BN36)</f>
        <v>0</v>
      </c>
      <c r="BO40" s="49" t="e">
        <f t="shared" ref="BO40" si="19">BN40/BM40</f>
        <v>#DIV/0!</v>
      </c>
      <c r="BP40" s="58">
        <f>SUM(BP13:BP36)</f>
        <v>0</v>
      </c>
      <c r="BQ40" s="58" t="e" cm="1">
        <f t="array" ref="BQ40">SUMPRODUCT((BP13:BP36&lt;&gt;"")*(BQ13:BQ36))</f>
        <v>#VALUE!</v>
      </c>
      <c r="BR40" s="59" t="e">
        <f>IF(BQ40/BP40 &gt; 1, 1,BQ40/BP40)</f>
        <v>#VALUE!</v>
      </c>
    </row>
    <row r="41" spans="1:70" ht="15.5" x14ac:dyDescent="0.35">
      <c r="A41" s="51">
        <f t="shared" si="16"/>
        <v>1</v>
      </c>
      <c r="B41" s="52"/>
      <c r="C41" s="52"/>
      <c r="D41" s="29" t="str">
        <f>IFERROR(
IF(AND(OR(Planilla!B41="C",Planilla!B41="c"), VLOOKUP(E41,[1]Diccionario!B:N,13,0)="C"), "OK",IF(AND(OR(Planilla!B41="C",Planilla!B41="c"), OR(VLOOKUP(E41,[1]Diccionario!B:N,13,0)="B", VLOOKUP(E41,[1]Diccionario!B:N,13,0)="A")), "DEFICIT",IF(
AND(OR(Planilla!B41="B", Planilla!B41="BPAL"), VLOOKUP(E41,[1]Diccionario!B:N,13,0)="B"), "OK",IF(AND(OR(Planilla!B41="B", Planilla!B41="BPAL"), VLOOKUP(E41,[1]Diccionario!B:N,13,0)="A"), "DEFICIT",IF(AND(OR(Planilla!B41="B", Planilla!B41="BPAL"), VLOOKUP(E41,[1]Diccionario!B:N,13,0)="C"), "SOBREOFERTA",IF(AND(Planilla!B41="A", VLOOKUP(E41,[1]Diccionario!B:N,13,0)="A"), "OK",IF(
AND(Planilla!B41="A", OR(VLOOKUP(E41,[1]Diccionario!B:N,13,0)="B", VLOOKUP(E41,[1]Diccionario!B:N,13,0)="C")), "SOBREOFERTA",""
))))))),"")</f>
        <v/>
      </c>
      <c r="E41" s="48"/>
      <c r="F41" s="53" t="str">
        <f t="shared" si="17"/>
        <v/>
      </c>
      <c r="G41" s="54"/>
      <c r="H41" s="55" t="str">
        <f t="shared" si="7"/>
        <v/>
      </c>
      <c r="I41" s="35"/>
      <c r="J41" s="34" t="e">
        <f>IF(A41&lt;&gt;"",HLOOKUP(VALUE(TEXT(G41,"h:mm:ss")),IF($C$6="Laboral",[1]Input!$A$4:$Y$227,IF($C$6="Sábado",[1]Input!$A$231:$Y$452,[1]Input!$A$456:$Y$656)),VLOOKUP($C$4,[1]Input!$AG$2:$AI$99,3,0)+IF(C$5="Ida",0,1),1),"")</f>
        <v>#N/A</v>
      </c>
      <c r="K41" s="34" t="str">
        <f>IF(A42&lt;&gt;A41,AVERAGEIF(A$9:A41,A41,J$13:J41),"")</f>
        <v/>
      </c>
      <c r="L41" s="35" t="str">
        <f>IFERROR(IF(A42&lt;&gt;A41,AVERAGEIF(A$9:A41,A41,S$13:S41),""),"")</f>
        <v/>
      </c>
      <c r="M41" s="35" t="str">
        <f>IFERROR(IF(A42&lt;&gt;A41,AVERAGEIF(A$9:A41,A41,T$8:T41),""),"")</f>
        <v/>
      </c>
      <c r="N41" s="35" t="str" cm="1">
        <f t="array" ref="N41">IFERROR(IF(A42&lt;&gt;A41,_xlfn.STDEV.P(IF(A$9:A41=A41,T$7:T41)),""),"")</f>
        <v/>
      </c>
      <c r="O41" s="35" t="str" cm="1">
        <f t="array" ref="O41">IFERROR(IF(A42&lt;&gt;A41,_xlfn.STDEV.P(IF(A$9:A41=A41,S$7:S41)),""),"")</f>
        <v/>
      </c>
      <c r="P41" s="36" t="str">
        <f t="shared" si="0"/>
        <v/>
      </c>
      <c r="Q41" s="36" t="str">
        <f t="shared" si="1"/>
        <v/>
      </c>
      <c r="R41" s="36" t="str">
        <f t="shared" si="8"/>
        <v/>
      </c>
      <c r="S41" s="37" t="str">
        <f t="shared" si="9"/>
        <v/>
      </c>
      <c r="T41" s="37" t="str">
        <f t="shared" si="2"/>
        <v/>
      </c>
      <c r="U41" s="54"/>
      <c r="V41" s="46"/>
      <c r="W41" s="39" t="str">
        <f t="shared" si="10"/>
        <v/>
      </c>
      <c r="X41" s="38"/>
      <c r="Y41" s="48"/>
      <c r="AB41" s="56">
        <f t="shared" si="11"/>
        <v>1</v>
      </c>
      <c r="AC41" s="52"/>
      <c r="AD41" s="52"/>
      <c r="AE41" s="29" t="str">
        <f>IFERROR(
IF(AND(OR(AC41="C",AC41="c"), VLOOKUP(AF41,[1]Diccionario!B:N,13,0)="C"), "OK",IF(AND(OR(AC41="C",AC41="c"), OR(VLOOKUP(AF41,[1]Diccionario!B:N,13,0)="B", VLOOKUP(AF41,[1]Diccionario!B:N,13,0)="A")), "DEFICIT",IF(
AND(OR(AC41="B", AC41="BPAL"), VLOOKUP(AF41,[1]Diccionario!B:N,13,0)="B"), "OK",IF(AND(OR(AC41="B", AC41="BPAL"), VLOOKUP(AF41,[1]Diccionario!B:N,13,0)="A"), "DEFICIT",IF(AND(OR(AC41="B", AC41="BPAL"), VLOOKUP(AF41,[1]Diccionario!B:N,13,0)="C"), "SOBREOFERTA",IF(AND(AC41="A", VLOOKUP(AF41,[1]Diccionario!B:N,13,0)="A"), "OK",IF(
AND(AC41="A", OR(VLOOKUP(AF41,[1]Diccionario!B:N,13,0)="B", VLOOKUP(AF41,[1]Diccionario!B:N,13,0)="C")), "SOBREOFERTA",""
))))))),"")</f>
        <v/>
      </c>
      <c r="AF41" s="48"/>
      <c r="AG41" s="53"/>
      <c r="AH41" s="54"/>
      <c r="AI41" s="55" t="str">
        <f t="shared" si="12"/>
        <v/>
      </c>
      <c r="AJ41" s="46"/>
      <c r="AK41" s="34" t="e">
        <f>IF(AB41&lt;&gt;"",HLOOKUP(VALUE(TEXT(AH41,"h:mm:ss")),IF($C$6="Laboral",[1]Input!$A$4:$Y$227,IF($C$6="Sábado",[1]Input!$A$231:$Y$452,[1]Input!$A$456:$Y$656)),VLOOKUP($C$4,[1]Input!$AG$2:$AI$99,3,0)+IF(AD$5="Ida",0,1),1),"")</f>
        <v>#N/A</v>
      </c>
      <c r="AL41" s="34" t="str">
        <f>IF(AB42&lt;&gt;AB41,AVERAGEIF(AB$9:AB41,AB41,AK$9:AK41),"")</f>
        <v/>
      </c>
      <c r="AM41" s="35" t="str">
        <f>IFERROR(IF(AB42&lt;&gt;AB41,AVERAGEIF(AB$9:AB41,AB41,AT$9:AT41),""),"")</f>
        <v/>
      </c>
      <c r="AN41" s="35" t="str">
        <f>IFERROR(IF(AB42&lt;&gt;AB41,AVERAGEIF(AB$9:AB41,AB41,AU$9:AU41),""),"")</f>
        <v/>
      </c>
      <c r="AO41" s="35" t="str" cm="1">
        <f t="array" ref="AO41">IFERROR(IF(AB42&lt;&gt;AB41,_xlfn.STDEV.P(IF(AB$9:AB41=AB41,AU$9:AU41)),""),"")</f>
        <v/>
      </c>
      <c r="AP41" s="35" t="str" cm="1">
        <f t="array" ref="AP41">IFERROR(IF(AB42&lt;&gt;AB41,_xlfn.STDEV.P(IF(AB$9:AB41=AB41,AT$9:AT41)),""),"")</f>
        <v/>
      </c>
      <c r="AQ41" s="36" t="str">
        <f t="shared" si="3"/>
        <v/>
      </c>
      <c r="AR41" s="36" t="str">
        <f t="shared" si="4"/>
        <v/>
      </c>
      <c r="AS41" s="36" t="str">
        <f t="shared" si="13"/>
        <v/>
      </c>
      <c r="AT41" s="37" t="str">
        <f t="shared" si="5"/>
        <v/>
      </c>
      <c r="AU41" s="37" t="str">
        <f t="shared" si="6"/>
        <v/>
      </c>
      <c r="AV41" s="54"/>
      <c r="AW41" s="46"/>
      <c r="AX41" s="39" t="str" cm="1">
        <f t="array" ref="AX41">IF(AH41&lt;&gt;"",IF(AND(AX39:AX40&lt;&gt;"IE",AQ41&lt;&gt;0,AS41&lt;&gt;""),IF(IFERROR((AQ41/AS41),0) &lt;=1,IFERROR(AQ41/AS41,""),1),""),"")</f>
        <v/>
      </c>
      <c r="AY41" s="46"/>
      <c r="AZ41" s="57"/>
    </row>
    <row r="42" spans="1:70" ht="15.5" x14ac:dyDescent="0.35">
      <c r="A42" s="51">
        <f t="shared" si="16"/>
        <v>1</v>
      </c>
      <c r="B42" s="52"/>
      <c r="C42" s="52"/>
      <c r="D42" s="29" t="str">
        <f>IFERROR(
IF(AND(OR(Planilla!B42="C",Planilla!B42="c"), VLOOKUP(E42,[1]Diccionario!B:N,13,0)="C"), "OK",IF(AND(OR(Planilla!B42="C",Planilla!B42="c"), OR(VLOOKUP(E42,[1]Diccionario!B:N,13,0)="B", VLOOKUP(E42,[1]Diccionario!B:N,13,0)="A")), "DEFICIT",IF(
AND(OR(Planilla!B42="B", Planilla!B42="BPAL"), VLOOKUP(E42,[1]Diccionario!B:N,13,0)="B"), "OK",IF(AND(OR(Planilla!B42="B", Planilla!B42="BPAL"), VLOOKUP(E42,[1]Diccionario!B:N,13,0)="A"), "DEFICIT",IF(AND(OR(Planilla!B42="B", Planilla!B42="BPAL"), VLOOKUP(E42,[1]Diccionario!B:N,13,0)="C"), "SOBREOFERTA",IF(AND(Planilla!B42="A", VLOOKUP(E42,[1]Diccionario!B:N,13,0)="A"), "OK",IF(
AND(Planilla!B42="A", OR(VLOOKUP(E42,[1]Diccionario!B:N,13,0)="B", VLOOKUP(E42,[1]Diccionario!B:N,13,0)="C")), "SOBREOFERTA",""
))))))),"")</f>
        <v/>
      </c>
      <c r="E42" s="48"/>
      <c r="F42" s="53" t="str">
        <f t="shared" si="17"/>
        <v/>
      </c>
      <c r="G42" s="54"/>
      <c r="H42" s="55" t="str">
        <f t="shared" si="7"/>
        <v/>
      </c>
      <c r="I42" s="35"/>
      <c r="J42" s="34" t="e">
        <f>IF(A42&lt;&gt;"",HLOOKUP(VALUE(TEXT(G42,"h:mm:ss")),IF($C$6="Laboral",[1]Input!$A$4:$Y$227,IF($C$6="Sábado",[1]Input!$A$231:$Y$452,[1]Input!$A$456:$Y$656)),VLOOKUP($C$4,[1]Input!$AG$2:$AI$99,3,0)+IF(C$5="Ida",0,1),1),"")</f>
        <v>#N/A</v>
      </c>
      <c r="K42" s="34" t="str">
        <f>IF(A43&lt;&gt;A42,AVERAGEIF(A$9:A42,A42,J$13:J42),"")</f>
        <v/>
      </c>
      <c r="L42" s="35" t="str">
        <f>IFERROR(IF(A43&lt;&gt;A42,AVERAGEIF(A$9:A42,A42,S$13:S42),""),"")</f>
        <v/>
      </c>
      <c r="M42" s="35" t="str">
        <f>IFERROR(IF(A43&lt;&gt;A42,AVERAGEIF(A$9:A42,A42,T$8:T42),""),"")</f>
        <v/>
      </c>
      <c r="N42" s="35" t="str" cm="1">
        <f t="array" ref="N42">IFERROR(IF(A43&lt;&gt;A42,_xlfn.STDEV.P(IF(A$9:A42=A42,T$7:T42)),""),"")</f>
        <v/>
      </c>
      <c r="O42" s="35" t="str" cm="1">
        <f t="array" ref="O42">IFERROR(IF(A43&lt;&gt;A42,_xlfn.STDEV.P(IF(A$9:A42=A42,S$7:S42)),""),"")</f>
        <v/>
      </c>
      <c r="P42" s="36" t="str">
        <f t="shared" si="0"/>
        <v/>
      </c>
      <c r="Q42" s="36" t="str">
        <f t="shared" si="1"/>
        <v/>
      </c>
      <c r="R42" s="36" t="str">
        <f t="shared" si="8"/>
        <v/>
      </c>
      <c r="S42" s="37" t="str">
        <f t="shared" si="9"/>
        <v/>
      </c>
      <c r="T42" s="37" t="str">
        <f t="shared" si="2"/>
        <v/>
      </c>
      <c r="U42" s="54"/>
      <c r="V42" s="46"/>
      <c r="W42" s="39" t="str">
        <f t="shared" si="10"/>
        <v/>
      </c>
      <c r="X42" s="38"/>
      <c r="Y42" s="48"/>
      <c r="AB42" s="56">
        <f t="shared" si="11"/>
        <v>1</v>
      </c>
      <c r="AC42" s="52"/>
      <c r="AD42" s="52"/>
      <c r="AE42" s="29" t="str">
        <f>IFERROR(
IF(AND(OR(AC42="C",AC42="c"), VLOOKUP(AF42,[1]Diccionario!B:N,13,0)="C"), "OK",IF(AND(OR(AC42="C",AC42="c"), OR(VLOOKUP(AF42,[1]Diccionario!B:N,13,0)="B", VLOOKUP(AF42,[1]Diccionario!B:N,13,0)="A")), "DEFICIT",IF(
AND(OR(AC42="B", AC42="BPAL"), VLOOKUP(AF42,[1]Diccionario!B:N,13,0)="B"), "OK",IF(AND(OR(AC42="B", AC42="BPAL"), VLOOKUP(AF42,[1]Diccionario!B:N,13,0)="A"), "DEFICIT",IF(AND(OR(AC42="B", AC42="BPAL"), VLOOKUP(AF42,[1]Diccionario!B:N,13,0)="C"), "SOBREOFERTA",IF(AND(AC42="A", VLOOKUP(AF42,[1]Diccionario!B:N,13,0)="A"), "OK",IF(
AND(AC42="A", OR(VLOOKUP(AF42,[1]Diccionario!B:N,13,0)="B", VLOOKUP(AF42,[1]Diccionario!B:N,13,0)="C")), "SOBREOFERTA",""
))))))),"")</f>
        <v/>
      </c>
      <c r="AF42" s="48"/>
      <c r="AG42" s="53"/>
      <c r="AH42" s="54"/>
      <c r="AI42" s="55" t="str">
        <f t="shared" si="12"/>
        <v/>
      </c>
      <c r="AJ42" s="46"/>
      <c r="AK42" s="34" t="e">
        <f>IF(AB42&lt;&gt;"",HLOOKUP(VALUE(TEXT(AH42,"h:mm:ss")),IF($C$6="Laboral",[1]Input!$A$4:$Y$227,IF($C$6="Sábado",[1]Input!$A$231:$Y$452,[1]Input!$A$456:$Y$656)),VLOOKUP($C$4,[1]Input!$AG$2:$AI$99,3,0)+IF(AD$5="Ida",0,1),1),"")</f>
        <v>#N/A</v>
      </c>
      <c r="AL42" s="34" t="str">
        <f>IF(AB43&lt;&gt;AB42,AVERAGEIF(AB$9:AB42,AB42,AK$9:AK42),"")</f>
        <v/>
      </c>
      <c r="AM42" s="35" t="str">
        <f>IFERROR(IF(AB43&lt;&gt;AB42,AVERAGEIF(AB$9:AB42,AB42,AT$9:AT42),""),"")</f>
        <v/>
      </c>
      <c r="AN42" s="35" t="str">
        <f>IFERROR(IF(AB43&lt;&gt;AB42,AVERAGEIF(AB$9:AB42,AB42,AU$9:AU42),""),"")</f>
        <v/>
      </c>
      <c r="AO42" s="35" t="str" cm="1">
        <f t="array" ref="AO42">IFERROR(IF(AB43&lt;&gt;AB42,_xlfn.STDEV.P(IF(AB$9:AB42=AB42,AU$9:AU42)),""),"")</f>
        <v/>
      </c>
      <c r="AP42" s="35" t="str" cm="1">
        <f t="array" ref="AP42">IFERROR(IF(AB43&lt;&gt;AB42,_xlfn.STDEV.P(IF(AB$9:AB42=AB42,AT$9:AT42)),""),"")</f>
        <v/>
      </c>
      <c r="AQ42" s="36" t="str">
        <f t="shared" si="3"/>
        <v/>
      </c>
      <c r="AR42" s="36" t="str">
        <f t="shared" si="4"/>
        <v/>
      </c>
      <c r="AS42" s="36" t="str">
        <f t="shared" si="13"/>
        <v/>
      </c>
      <c r="AT42" s="37" t="str">
        <f t="shared" si="5"/>
        <v/>
      </c>
      <c r="AU42" s="37" t="str">
        <f t="shared" si="6"/>
        <v/>
      </c>
      <c r="AV42" s="54"/>
      <c r="AW42" s="46"/>
      <c r="AX42" s="39" t="str" cm="1">
        <f t="array" ref="AX42">IF(AH42&lt;&gt;"",IF(AND(AX40:AX41&lt;&gt;"IE",AQ42&lt;&gt;0,AS42&lt;&gt;""),IF(IFERROR((AQ42/AS42),0) &lt;=1,IFERROR(AQ42/AS42,""),1),""),"")</f>
        <v/>
      </c>
      <c r="AY42" s="46"/>
      <c r="AZ42" s="57"/>
    </row>
    <row r="43" spans="1:70" ht="15.5" x14ac:dyDescent="0.35">
      <c r="A43" s="51">
        <f t="shared" si="16"/>
        <v>1</v>
      </c>
      <c r="B43" s="52"/>
      <c r="C43" s="52"/>
      <c r="D43" s="29" t="str">
        <f>IFERROR(
IF(AND(OR(Planilla!B43="C",Planilla!B43="c"), VLOOKUP(E43,[1]Diccionario!B:N,13,0)="C"), "OK",IF(AND(OR(Planilla!B43="C",Planilla!B43="c"), OR(VLOOKUP(E43,[1]Diccionario!B:N,13,0)="B", VLOOKUP(E43,[1]Diccionario!B:N,13,0)="A")), "DEFICIT",IF(
AND(OR(Planilla!B43="B", Planilla!B43="BPAL"), VLOOKUP(E43,[1]Diccionario!B:N,13,0)="B"), "OK",IF(AND(OR(Planilla!B43="B", Planilla!B43="BPAL"), VLOOKUP(E43,[1]Diccionario!B:N,13,0)="A"), "DEFICIT",IF(AND(OR(Planilla!B43="B", Planilla!B43="BPAL"), VLOOKUP(E43,[1]Diccionario!B:N,13,0)="C"), "SOBREOFERTA",IF(AND(Planilla!B43="A", VLOOKUP(E43,[1]Diccionario!B:N,13,0)="A"), "OK",IF(
AND(Planilla!B43="A", OR(VLOOKUP(E43,[1]Diccionario!B:N,13,0)="B", VLOOKUP(E43,[1]Diccionario!B:N,13,0)="C")), "SOBREOFERTA",""
))))))),"")</f>
        <v/>
      </c>
      <c r="E43" s="48"/>
      <c r="F43" s="53" t="str">
        <f t="shared" si="17"/>
        <v/>
      </c>
      <c r="G43" s="54"/>
      <c r="H43" s="55" t="str">
        <f t="shared" si="7"/>
        <v/>
      </c>
      <c r="I43" s="35"/>
      <c r="J43" s="34" t="e">
        <f>IF(A43&lt;&gt;"",HLOOKUP(VALUE(TEXT(G43,"h:mm:ss")),IF($C$6="Laboral",[1]Input!$A$4:$Y$227,IF($C$6="Sábado",[1]Input!$A$231:$Y$452,[1]Input!$A$456:$Y$656)),VLOOKUP($C$4,[1]Input!$AG$2:$AI$99,3,0)+IF(C$5="Ida",0,1),1),"")</f>
        <v>#N/A</v>
      </c>
      <c r="K43" s="34" t="str">
        <f>IF(A44&lt;&gt;A43,AVERAGEIF(A$9:A43,A43,J$13:J43),"")</f>
        <v/>
      </c>
      <c r="L43" s="35" t="str">
        <f>IFERROR(IF(A44&lt;&gt;A43,AVERAGEIF(A$9:A43,A43,S$13:S43),""),"")</f>
        <v/>
      </c>
      <c r="M43" s="35" t="str">
        <f>IFERROR(IF(A44&lt;&gt;A43,AVERAGEIF(A$9:A43,A43,T$8:T43),""),"")</f>
        <v/>
      </c>
      <c r="N43" s="35" t="str" cm="1">
        <f t="array" ref="N43">IFERROR(IF(A44&lt;&gt;A43,_xlfn.STDEV.P(IF(A$9:A43=A43,T$7:T43)),""),"")</f>
        <v/>
      </c>
      <c r="O43" s="35" t="str" cm="1">
        <f t="array" ref="O43">IFERROR(IF(A44&lt;&gt;A43,_xlfn.STDEV.P(IF(A$9:A43=A43,S$7:S43)),""),"")</f>
        <v/>
      </c>
      <c r="P43" s="36" t="str">
        <f t="shared" si="0"/>
        <v/>
      </c>
      <c r="Q43" s="36" t="str">
        <f t="shared" si="1"/>
        <v/>
      </c>
      <c r="R43" s="36" t="str">
        <f t="shared" si="8"/>
        <v/>
      </c>
      <c r="S43" s="37" t="str">
        <f t="shared" si="9"/>
        <v/>
      </c>
      <c r="T43" s="37" t="str">
        <f t="shared" si="2"/>
        <v/>
      </c>
      <c r="U43" s="54"/>
      <c r="V43" s="46"/>
      <c r="W43" s="39" t="str">
        <f t="shared" si="10"/>
        <v/>
      </c>
      <c r="X43" s="38"/>
      <c r="Y43" s="48"/>
      <c r="AB43" s="56">
        <f t="shared" si="11"/>
        <v>1</v>
      </c>
      <c r="AC43" s="52"/>
      <c r="AD43" s="52"/>
      <c r="AE43" s="29" t="str">
        <f>IFERROR(
IF(AND(OR(AC43="C",AC43="c"), VLOOKUP(AF43,[1]Diccionario!B:N,13,0)="C"), "OK",IF(AND(OR(AC43="C",AC43="c"), OR(VLOOKUP(AF43,[1]Diccionario!B:N,13,0)="B", VLOOKUP(AF43,[1]Diccionario!B:N,13,0)="A")), "DEFICIT",IF(
AND(OR(AC43="B", AC43="BPAL"), VLOOKUP(AF43,[1]Diccionario!B:N,13,0)="B"), "OK",IF(AND(OR(AC43="B", AC43="BPAL"), VLOOKUP(AF43,[1]Diccionario!B:N,13,0)="A"), "DEFICIT",IF(AND(OR(AC43="B", AC43="BPAL"), VLOOKUP(AF43,[1]Diccionario!B:N,13,0)="C"), "SOBREOFERTA",IF(AND(AC43="A", VLOOKUP(AF43,[1]Diccionario!B:N,13,0)="A"), "OK",IF(
AND(AC43="A", OR(VLOOKUP(AF43,[1]Diccionario!B:N,13,0)="B", VLOOKUP(AF43,[1]Diccionario!B:N,13,0)="C")), "SOBREOFERTA",""
))))))),"")</f>
        <v/>
      </c>
      <c r="AF43" s="48"/>
      <c r="AG43" s="53"/>
      <c r="AH43" s="54"/>
      <c r="AI43" s="55" t="str">
        <f t="shared" si="12"/>
        <v/>
      </c>
      <c r="AJ43" s="46"/>
      <c r="AK43" s="34" t="e">
        <f>IF(AB43&lt;&gt;"",HLOOKUP(VALUE(TEXT(AH43,"h:mm:ss")),IF($C$6="Laboral",[1]Input!$A$4:$Y$227,IF($C$6="Sábado",[1]Input!$A$231:$Y$452,[1]Input!$A$456:$Y$656)),VLOOKUP($C$4,[1]Input!$AG$2:$AI$99,3,0)+IF(AD$5="Ida",0,1),1),"")</f>
        <v>#N/A</v>
      </c>
      <c r="AL43" s="34" t="str">
        <f>IF(AB44&lt;&gt;AB43,AVERAGEIF(AB$9:AB43,AB43,AK$9:AK43),"")</f>
        <v/>
      </c>
      <c r="AM43" s="35" t="str">
        <f>IFERROR(IF(AB44&lt;&gt;AB43,AVERAGEIF(AB$9:AB43,AB43,AT$9:AT43),""),"")</f>
        <v/>
      </c>
      <c r="AN43" s="35" t="str">
        <f>IFERROR(IF(AB44&lt;&gt;AB43,AVERAGEIF(AB$9:AB43,AB43,AU$9:AU43),""),"")</f>
        <v/>
      </c>
      <c r="AO43" s="35" t="str" cm="1">
        <f t="array" ref="AO43">IFERROR(IF(AB44&lt;&gt;AB43,_xlfn.STDEV.P(IF(AB$9:AB43=AB43,AU$9:AU43)),""),"")</f>
        <v/>
      </c>
      <c r="AP43" s="35" t="str" cm="1">
        <f t="array" ref="AP43">IFERROR(IF(AB44&lt;&gt;AB43,_xlfn.STDEV.P(IF(AB$9:AB43=AB43,AT$9:AT43)),""),"")</f>
        <v/>
      </c>
      <c r="AQ43" s="36" t="str">
        <f t="shared" si="3"/>
        <v/>
      </c>
      <c r="AR43" s="36" t="str">
        <f t="shared" si="4"/>
        <v/>
      </c>
      <c r="AS43" s="36" t="str">
        <f t="shared" si="13"/>
        <v/>
      </c>
      <c r="AT43" s="37" t="str">
        <f t="shared" si="5"/>
        <v/>
      </c>
      <c r="AU43" s="37" t="str">
        <f t="shared" si="6"/>
        <v/>
      </c>
      <c r="AV43" s="54"/>
      <c r="AW43" s="46"/>
      <c r="AX43" s="39" t="str" cm="1">
        <f t="array" ref="AX43">IF(AH43&lt;&gt;"",IF(AND(AX41:AX42&lt;&gt;"IE",AQ43&lt;&gt;0,AS43&lt;&gt;""),IF(IFERROR((AQ43/AS43),0) &lt;=1,IFERROR(AQ43/AS43,""),1),""),"")</f>
        <v/>
      </c>
      <c r="AY43" s="46"/>
      <c r="AZ43" s="57"/>
    </row>
    <row r="44" spans="1:70" ht="15.5" x14ac:dyDescent="0.35">
      <c r="A44" s="51">
        <f t="shared" si="16"/>
        <v>1</v>
      </c>
      <c r="B44" s="52"/>
      <c r="C44" s="52"/>
      <c r="D44" s="29" t="str">
        <f>IFERROR(
IF(AND(OR(Planilla!B44="C",Planilla!B44="c"), VLOOKUP(E44,[1]Diccionario!B:N,13,0)="C"), "OK",IF(AND(OR(Planilla!B44="C",Planilla!B44="c"), OR(VLOOKUP(E44,[1]Diccionario!B:N,13,0)="B", VLOOKUP(E44,[1]Diccionario!B:N,13,0)="A")), "DEFICIT",IF(
AND(OR(Planilla!B44="B", Planilla!B44="BPAL"), VLOOKUP(E44,[1]Diccionario!B:N,13,0)="B"), "OK",IF(AND(OR(Planilla!B44="B", Planilla!B44="BPAL"), VLOOKUP(E44,[1]Diccionario!B:N,13,0)="A"), "DEFICIT",IF(AND(OR(Planilla!B44="B", Planilla!B44="BPAL"), VLOOKUP(E44,[1]Diccionario!B:N,13,0)="C"), "SOBREOFERTA",IF(AND(Planilla!B44="A", VLOOKUP(E44,[1]Diccionario!B:N,13,0)="A"), "OK",IF(
AND(Planilla!B44="A", OR(VLOOKUP(E44,[1]Diccionario!B:N,13,0)="B", VLOOKUP(E44,[1]Diccionario!B:N,13,0)="C")), "SOBREOFERTA",""
))))))),"")</f>
        <v/>
      </c>
      <c r="E44" s="48"/>
      <c r="F44" s="53" t="str">
        <f t="shared" si="17"/>
        <v/>
      </c>
      <c r="G44" s="54"/>
      <c r="H44" s="55" t="str">
        <f t="shared" si="7"/>
        <v/>
      </c>
      <c r="I44" s="35"/>
      <c r="J44" s="34" t="e">
        <f>IF(A44&lt;&gt;"",HLOOKUP(VALUE(TEXT(G44,"h:mm:ss")),IF($C$6="Laboral",[1]Input!$A$4:$Y$227,IF($C$6="Sábado",[1]Input!$A$231:$Y$452,[1]Input!$A$456:$Y$656)),VLOOKUP($C$4,[1]Input!$AG$2:$AI$99,3,0)+IF(C$5="Ida",0,1),1),"")</f>
        <v>#N/A</v>
      </c>
      <c r="K44" s="34" t="str">
        <f>IF(A45&lt;&gt;A44,AVERAGEIF(A$9:A44,A44,J$13:J44),"")</f>
        <v/>
      </c>
      <c r="L44" s="35" t="str">
        <f>IFERROR(IF(A45&lt;&gt;A44,AVERAGEIF(A$9:A44,A44,S$13:S44),""),"")</f>
        <v/>
      </c>
      <c r="M44" s="35" t="str">
        <f>IFERROR(IF(A45&lt;&gt;A44,AVERAGEIF(A$9:A44,A44,T$8:T44),""),"")</f>
        <v/>
      </c>
      <c r="N44" s="35" t="str" cm="1">
        <f t="array" ref="N44">IFERROR(IF(A45&lt;&gt;A44,_xlfn.STDEV.P(IF(A$9:A44=A44,T$7:T44)),""),"")</f>
        <v/>
      </c>
      <c r="O44" s="35" t="str" cm="1">
        <f t="array" ref="O44">IFERROR(IF(A45&lt;&gt;A44,_xlfn.STDEV.P(IF(A$9:A44=A44,S$7:S44)),""),"")</f>
        <v/>
      </c>
      <c r="P44" s="36" t="str">
        <f t="shared" si="0"/>
        <v/>
      </c>
      <c r="Q44" s="36" t="str">
        <f t="shared" si="1"/>
        <v/>
      </c>
      <c r="R44" s="36" t="str">
        <f t="shared" si="8"/>
        <v/>
      </c>
      <c r="S44" s="37" t="str">
        <f t="shared" si="9"/>
        <v/>
      </c>
      <c r="T44" s="37" t="str">
        <f t="shared" si="2"/>
        <v/>
      </c>
      <c r="U44" s="54"/>
      <c r="V44" s="46"/>
      <c r="W44" s="39" t="str">
        <f t="shared" si="10"/>
        <v/>
      </c>
      <c r="X44" s="38"/>
      <c r="Y44" s="48"/>
      <c r="AB44" s="56">
        <f t="shared" si="11"/>
        <v>1</v>
      </c>
      <c r="AC44" s="52"/>
      <c r="AD44" s="52"/>
      <c r="AE44" s="29" t="str">
        <f>IFERROR(
IF(AND(OR(AC44="C",AC44="c"), VLOOKUP(AF44,[1]Diccionario!B:N,13,0)="C"), "OK",IF(AND(OR(AC44="C",AC44="c"), OR(VLOOKUP(AF44,[1]Diccionario!B:N,13,0)="B", VLOOKUP(AF44,[1]Diccionario!B:N,13,0)="A")), "DEFICIT",IF(
AND(OR(AC44="B", AC44="BPAL"), VLOOKUP(AF44,[1]Diccionario!B:N,13,0)="B"), "OK",IF(AND(OR(AC44="B", AC44="BPAL"), VLOOKUP(AF44,[1]Diccionario!B:N,13,0)="A"), "DEFICIT",IF(AND(OR(AC44="B", AC44="BPAL"), VLOOKUP(AF44,[1]Diccionario!B:N,13,0)="C"), "SOBREOFERTA",IF(AND(AC44="A", VLOOKUP(AF44,[1]Diccionario!B:N,13,0)="A"), "OK",IF(
AND(AC44="A", OR(VLOOKUP(AF44,[1]Diccionario!B:N,13,0)="B", VLOOKUP(AF44,[1]Diccionario!B:N,13,0)="C")), "SOBREOFERTA",""
))))))),"")</f>
        <v/>
      </c>
      <c r="AF44" s="48"/>
      <c r="AG44" s="53"/>
      <c r="AH44" s="54"/>
      <c r="AI44" s="55" t="str">
        <f t="shared" si="12"/>
        <v/>
      </c>
      <c r="AJ44" s="46"/>
      <c r="AK44" s="34" t="e">
        <f>IF(AB44&lt;&gt;"",HLOOKUP(VALUE(TEXT(AH44,"h:mm:ss")),IF($C$6="Laboral",[1]Input!$A$4:$Y$227,IF($C$6="Sábado",[1]Input!$A$231:$Y$452,[1]Input!$A$456:$Y$656)),VLOOKUP($C$4,[1]Input!$AG$2:$AI$99,3,0)+IF(AD$5="Ida",0,1),1),"")</f>
        <v>#N/A</v>
      </c>
      <c r="AL44" s="34" t="str">
        <f>IF(AB45&lt;&gt;AB44,AVERAGEIF(AB$9:AB44,AB44,AK$9:AK44),"")</f>
        <v/>
      </c>
      <c r="AM44" s="35" t="str">
        <f>IFERROR(IF(AB45&lt;&gt;AB44,AVERAGEIF(AB$9:AB44,AB44,AT$9:AT44),""),"")</f>
        <v/>
      </c>
      <c r="AN44" s="35" t="str">
        <f>IFERROR(IF(AB45&lt;&gt;AB44,AVERAGEIF(AB$9:AB44,AB44,AU$9:AU44),""),"")</f>
        <v/>
      </c>
      <c r="AO44" s="35" t="str" cm="1">
        <f t="array" ref="AO44">IFERROR(IF(AB45&lt;&gt;AB44,_xlfn.STDEV.P(IF(AB$9:AB44=AB44,AU$9:AU44)),""),"")</f>
        <v/>
      </c>
      <c r="AP44" s="35" t="str" cm="1">
        <f t="array" ref="AP44">IFERROR(IF(AB45&lt;&gt;AB44,_xlfn.STDEV.P(IF(AB$9:AB44=AB44,AT$9:AT44)),""),"")</f>
        <v/>
      </c>
      <c r="AQ44" s="36" t="str">
        <f t="shared" si="3"/>
        <v/>
      </c>
      <c r="AR44" s="36" t="str">
        <f t="shared" si="4"/>
        <v/>
      </c>
      <c r="AS44" s="36" t="str">
        <f t="shared" si="13"/>
        <v/>
      </c>
      <c r="AT44" s="37" t="str">
        <f t="shared" si="5"/>
        <v/>
      </c>
      <c r="AU44" s="37" t="str">
        <f t="shared" si="6"/>
        <v/>
      </c>
      <c r="AV44" s="54"/>
      <c r="AW44" s="46"/>
      <c r="AX44" s="39" t="str" cm="1">
        <f t="array" ref="AX44">IF(AH44&lt;&gt;"",IF(AND(AX42:AX43&lt;&gt;"IE",AQ44&lt;&gt;0,AS44&lt;&gt;""),IF(IFERROR((AQ44/AS44),0) &lt;=1,IFERROR(AQ44/AS44,""),1),""),"")</f>
        <v/>
      </c>
      <c r="AY44" s="46"/>
      <c r="AZ44" s="57"/>
    </row>
    <row r="45" spans="1:70" ht="15.5" x14ac:dyDescent="0.35">
      <c r="A45" s="51">
        <f t="shared" si="16"/>
        <v>1</v>
      </c>
      <c r="B45" s="52"/>
      <c r="C45" s="52"/>
      <c r="D45" s="29" t="str">
        <f>IFERROR(
IF(AND(OR(Planilla!B45="C",Planilla!B45="c"), VLOOKUP(E45,[1]Diccionario!B:N,13,0)="C"), "OK",IF(AND(OR(Planilla!B45="C",Planilla!B45="c"), OR(VLOOKUP(E45,[1]Diccionario!B:N,13,0)="B", VLOOKUP(E45,[1]Diccionario!B:N,13,0)="A")), "DEFICIT",IF(
AND(OR(Planilla!B45="B", Planilla!B45="BPAL"), VLOOKUP(E45,[1]Diccionario!B:N,13,0)="B"), "OK",IF(AND(OR(Planilla!B45="B", Planilla!B45="BPAL"), VLOOKUP(E45,[1]Diccionario!B:N,13,0)="A"), "DEFICIT",IF(AND(OR(Planilla!B45="B", Planilla!B45="BPAL"), VLOOKUP(E45,[1]Diccionario!B:N,13,0)="C"), "SOBREOFERTA",IF(AND(Planilla!B45="A", VLOOKUP(E45,[1]Diccionario!B:N,13,0)="A"), "OK",IF(
AND(Planilla!B45="A", OR(VLOOKUP(E45,[1]Diccionario!B:N,13,0)="B", VLOOKUP(E45,[1]Diccionario!B:N,13,0)="C")), "SOBREOFERTA",""
))))))),"")</f>
        <v/>
      </c>
      <c r="E45" s="48"/>
      <c r="F45" s="53" t="str">
        <f t="shared" si="17"/>
        <v/>
      </c>
      <c r="G45" s="54"/>
      <c r="H45" s="55" t="str">
        <f t="shared" si="7"/>
        <v/>
      </c>
      <c r="I45" s="35"/>
      <c r="J45" s="34" t="e">
        <f>IF(A45&lt;&gt;"",HLOOKUP(VALUE(TEXT(G45,"h:mm:ss")),IF($C$6="Laboral",[1]Input!$A$4:$Y$227,IF($C$6="Sábado",[1]Input!$A$231:$Y$452,[1]Input!$A$456:$Y$656)),VLOOKUP($C$4,[1]Input!$AG$2:$AI$99,3,0)+IF(C$5="Ida",0,1),1),"")</f>
        <v>#N/A</v>
      </c>
      <c r="K45" s="34" t="str">
        <f>IF(A46&lt;&gt;A45,AVERAGEIF(A$9:A45,A45,J$13:J45),"")</f>
        <v/>
      </c>
      <c r="L45" s="35" t="str">
        <f>IFERROR(IF(A46&lt;&gt;A45,AVERAGEIF(A$9:A45,A45,S$13:S45),""),"")</f>
        <v/>
      </c>
      <c r="M45" s="35" t="str">
        <f>IFERROR(IF(A46&lt;&gt;A45,AVERAGEIF(A$9:A45,A45,T$8:T45),""),"")</f>
        <v/>
      </c>
      <c r="N45" s="35" t="str" cm="1">
        <f t="array" ref="N45">IFERROR(IF(A46&lt;&gt;A45,_xlfn.STDEV.P(IF(A$9:A45=A45,T$7:T45)),""),"")</f>
        <v/>
      </c>
      <c r="O45" s="35" t="str" cm="1">
        <f t="array" ref="O45">IFERROR(IF(A46&lt;&gt;A45,_xlfn.STDEV.P(IF(A$9:A45=A45,S$7:S45)),""),"")</f>
        <v/>
      </c>
      <c r="P45" s="36" t="str">
        <f t="shared" si="0"/>
        <v/>
      </c>
      <c r="Q45" s="36" t="str">
        <f t="shared" si="1"/>
        <v/>
      </c>
      <c r="R45" s="36" t="str">
        <f t="shared" si="8"/>
        <v/>
      </c>
      <c r="S45" s="37" t="str">
        <f t="shared" si="9"/>
        <v/>
      </c>
      <c r="T45" s="37" t="str">
        <f t="shared" si="2"/>
        <v/>
      </c>
      <c r="U45" s="54"/>
      <c r="V45" s="46"/>
      <c r="W45" s="39" t="str">
        <f t="shared" si="10"/>
        <v/>
      </c>
      <c r="X45" s="38"/>
      <c r="Y45" s="48"/>
      <c r="AB45" s="56">
        <f t="shared" si="11"/>
        <v>1</v>
      </c>
      <c r="AC45" s="52"/>
      <c r="AD45" s="52"/>
      <c r="AE45" s="29" t="str">
        <f>IFERROR(
IF(AND(OR(AC45="C",AC45="c"), VLOOKUP(AF45,[1]Diccionario!B:N,13,0)="C"), "OK",IF(AND(OR(AC45="C",AC45="c"), OR(VLOOKUP(AF45,[1]Diccionario!B:N,13,0)="B", VLOOKUP(AF45,[1]Diccionario!B:N,13,0)="A")), "DEFICIT",IF(
AND(OR(AC45="B", AC45="BPAL"), VLOOKUP(AF45,[1]Diccionario!B:N,13,0)="B"), "OK",IF(AND(OR(AC45="B", AC45="BPAL"), VLOOKUP(AF45,[1]Diccionario!B:N,13,0)="A"), "DEFICIT",IF(AND(OR(AC45="B", AC45="BPAL"), VLOOKUP(AF45,[1]Diccionario!B:N,13,0)="C"), "SOBREOFERTA",IF(AND(AC45="A", VLOOKUP(AF45,[1]Diccionario!B:N,13,0)="A"), "OK",IF(
AND(AC45="A", OR(VLOOKUP(AF45,[1]Diccionario!B:N,13,0)="B", VLOOKUP(AF45,[1]Diccionario!B:N,13,0)="C")), "SOBREOFERTA",""
))))))),"")</f>
        <v/>
      </c>
      <c r="AF45" s="48"/>
      <c r="AG45" s="53"/>
      <c r="AH45" s="54"/>
      <c r="AI45" s="55" t="str">
        <f t="shared" si="12"/>
        <v/>
      </c>
      <c r="AJ45" s="46"/>
      <c r="AK45" s="34" t="e">
        <f>IF(AB45&lt;&gt;"",HLOOKUP(VALUE(TEXT(AH45,"h:mm:ss")),IF($C$6="Laboral",[1]Input!$A$4:$Y$227,IF($C$6="Sábado",[1]Input!$A$231:$Y$452,[1]Input!$A$456:$Y$656)),VLOOKUP($C$4,[1]Input!$AG$2:$AI$99,3,0)+IF(AD$5="Ida",0,1),1),"")</f>
        <v>#N/A</v>
      </c>
      <c r="AL45" s="34" t="str">
        <f>IF(AB46&lt;&gt;AB45,AVERAGEIF(AB$9:AB45,AB45,AK$9:AK45),"")</f>
        <v/>
      </c>
      <c r="AM45" s="35" t="str">
        <f>IFERROR(IF(AB46&lt;&gt;AB45,AVERAGEIF(AB$9:AB45,AB45,AT$9:AT45),""),"")</f>
        <v/>
      </c>
      <c r="AN45" s="35" t="str">
        <f>IFERROR(IF(AB46&lt;&gt;AB45,AVERAGEIF(AB$9:AB45,AB45,AU$9:AU45),""),"")</f>
        <v/>
      </c>
      <c r="AO45" s="35" t="str" cm="1">
        <f t="array" ref="AO45">IFERROR(IF(AB46&lt;&gt;AB45,_xlfn.STDEV.P(IF(AB$9:AB45=AB45,AU$9:AU45)),""),"")</f>
        <v/>
      </c>
      <c r="AP45" s="35" t="str" cm="1">
        <f t="array" ref="AP45">IFERROR(IF(AB46&lt;&gt;AB45,_xlfn.STDEV.P(IF(AB$9:AB45=AB45,AT$9:AT45)),""),"")</f>
        <v/>
      </c>
      <c r="AQ45" s="36" t="str">
        <f t="shared" si="3"/>
        <v/>
      </c>
      <c r="AR45" s="36" t="str">
        <f t="shared" si="4"/>
        <v/>
      </c>
      <c r="AS45" s="36" t="str">
        <f t="shared" si="13"/>
        <v/>
      </c>
      <c r="AT45" s="37" t="str">
        <f t="shared" si="5"/>
        <v/>
      </c>
      <c r="AU45" s="37" t="str">
        <f t="shared" si="6"/>
        <v/>
      </c>
      <c r="AV45" s="54"/>
      <c r="AW45" s="46"/>
      <c r="AX45" s="39" t="str" cm="1">
        <f t="array" ref="AX45">IF(AH45&lt;&gt;"",IF(AND(AX43:AX44&lt;&gt;"IE",AQ45&lt;&gt;0,AS45&lt;&gt;""),IF(IFERROR((AQ45/AS45),0) &lt;=1,IFERROR(AQ45/AS45,""),1),""),"")</f>
        <v/>
      </c>
      <c r="AY45" s="46"/>
      <c r="AZ45" s="57"/>
    </row>
    <row r="46" spans="1:70" ht="15.5" x14ac:dyDescent="0.35">
      <c r="A46" s="51">
        <f t="shared" si="16"/>
        <v>1</v>
      </c>
      <c r="B46" s="52"/>
      <c r="C46" s="52"/>
      <c r="D46" s="29" t="str">
        <f>IFERROR(
IF(AND(OR(Planilla!B46="C",Planilla!B46="c"), VLOOKUP(E46,[1]Diccionario!B:N,13,0)="C"), "OK",IF(AND(OR(Planilla!B46="C",Planilla!B46="c"), OR(VLOOKUP(E46,[1]Diccionario!B:N,13,0)="B", VLOOKUP(E46,[1]Diccionario!B:N,13,0)="A")), "DEFICIT",IF(
AND(OR(Planilla!B46="B", Planilla!B46="BPAL"), VLOOKUP(E46,[1]Diccionario!B:N,13,0)="B"), "OK",IF(AND(OR(Planilla!B46="B", Planilla!B46="BPAL"), VLOOKUP(E46,[1]Diccionario!B:N,13,0)="A"), "DEFICIT",IF(AND(OR(Planilla!B46="B", Planilla!B46="BPAL"), VLOOKUP(E46,[1]Diccionario!B:N,13,0)="C"), "SOBREOFERTA",IF(AND(Planilla!B46="A", VLOOKUP(E46,[1]Diccionario!B:N,13,0)="A"), "OK",IF(
AND(Planilla!B46="A", OR(VLOOKUP(E46,[1]Diccionario!B:N,13,0)="B", VLOOKUP(E46,[1]Diccionario!B:N,13,0)="C")), "SOBREOFERTA",""
))))))),"")</f>
        <v/>
      </c>
      <c r="E46" s="48"/>
      <c r="F46" s="53" t="str">
        <f t="shared" si="17"/>
        <v/>
      </c>
      <c r="G46" s="54"/>
      <c r="H46" s="55" t="str">
        <f t="shared" si="7"/>
        <v/>
      </c>
      <c r="I46" s="35"/>
      <c r="J46" s="34" t="e">
        <f>IF(A46&lt;&gt;"",HLOOKUP(VALUE(TEXT(G46,"h:mm:ss")),IF($C$6="Laboral",[1]Input!$A$4:$Y$227,IF($C$6="Sábado",[1]Input!$A$231:$Y$452,[1]Input!$A$456:$Y$656)),VLOOKUP($C$4,[1]Input!$AG$2:$AI$99,3,0)+IF(C$5="Ida",0,1),1),"")</f>
        <v>#N/A</v>
      </c>
      <c r="K46" s="34" t="str">
        <f>IF(A47&lt;&gt;A46,AVERAGEIF(A$9:A46,A46,J$13:J46),"")</f>
        <v/>
      </c>
      <c r="L46" s="35" t="str">
        <f>IFERROR(IF(A47&lt;&gt;A46,AVERAGEIF(A$9:A46,A46,S$13:S46),""),"")</f>
        <v/>
      </c>
      <c r="M46" s="35" t="str">
        <f>IFERROR(IF(A47&lt;&gt;A46,AVERAGEIF(A$9:A46,A46,T$8:T46),""),"")</f>
        <v/>
      </c>
      <c r="N46" s="35" t="str" cm="1">
        <f t="array" ref="N46">IFERROR(IF(A47&lt;&gt;A46,_xlfn.STDEV.P(IF(A$9:A46=A46,T$7:T46)),""),"")</f>
        <v/>
      </c>
      <c r="O46" s="35" t="str" cm="1">
        <f t="array" ref="O46">IFERROR(IF(A47&lt;&gt;A46,_xlfn.STDEV.P(IF(A$9:A46=A46,S$7:S46)),""),"")</f>
        <v/>
      </c>
      <c r="P46" s="36" t="str">
        <f t="shared" si="0"/>
        <v/>
      </c>
      <c r="Q46" s="36" t="str">
        <f t="shared" si="1"/>
        <v/>
      </c>
      <c r="R46" s="36" t="str">
        <f t="shared" si="8"/>
        <v/>
      </c>
      <c r="S46" s="37" t="str">
        <f t="shared" si="9"/>
        <v/>
      </c>
      <c r="T46" s="37" t="str">
        <f t="shared" si="2"/>
        <v/>
      </c>
      <c r="U46" s="54"/>
      <c r="V46" s="46"/>
      <c r="W46" s="39" t="str">
        <f t="shared" si="10"/>
        <v/>
      </c>
      <c r="X46" s="38"/>
      <c r="Y46" s="48"/>
      <c r="AB46" s="56">
        <f t="shared" si="11"/>
        <v>1</v>
      </c>
      <c r="AC46" s="52"/>
      <c r="AD46" s="52"/>
      <c r="AE46" s="29" t="str">
        <f>IFERROR(
IF(AND(OR(AC46="C",AC46="c"), VLOOKUP(AF46,[1]Diccionario!B:N,13,0)="C"), "OK",IF(AND(OR(AC46="C",AC46="c"), OR(VLOOKUP(AF46,[1]Diccionario!B:N,13,0)="B", VLOOKUP(AF46,[1]Diccionario!B:N,13,0)="A")), "DEFICIT",IF(
AND(OR(AC46="B", AC46="BPAL"), VLOOKUP(AF46,[1]Diccionario!B:N,13,0)="B"), "OK",IF(AND(OR(AC46="B", AC46="BPAL"), VLOOKUP(AF46,[1]Diccionario!B:N,13,0)="A"), "DEFICIT",IF(AND(OR(AC46="B", AC46="BPAL"), VLOOKUP(AF46,[1]Diccionario!B:N,13,0)="C"), "SOBREOFERTA",IF(AND(AC46="A", VLOOKUP(AF46,[1]Diccionario!B:N,13,0)="A"), "OK",IF(
AND(AC46="A", OR(VLOOKUP(AF46,[1]Diccionario!B:N,13,0)="B", VLOOKUP(AF46,[1]Diccionario!B:N,13,0)="C")), "SOBREOFERTA",""
))))))),"")</f>
        <v/>
      </c>
      <c r="AF46" s="48"/>
      <c r="AG46" s="53"/>
      <c r="AH46" s="54"/>
      <c r="AI46" s="55" t="str">
        <f t="shared" si="12"/>
        <v/>
      </c>
      <c r="AJ46" s="46"/>
      <c r="AK46" s="34" t="e">
        <f>IF(AB46&lt;&gt;"",HLOOKUP(VALUE(TEXT(AH46,"h:mm:ss")),IF($C$6="Laboral",[1]Input!$A$4:$Y$227,IF($C$6="Sábado",[1]Input!$A$231:$Y$452,[1]Input!$A$456:$Y$656)),VLOOKUP($C$4,[1]Input!$AG$2:$AI$99,3,0)+IF(AD$5="Ida",0,1),1),"")</f>
        <v>#N/A</v>
      </c>
      <c r="AL46" s="34" t="str">
        <f>IF(AB47&lt;&gt;AB46,AVERAGEIF(AB$9:AB46,AB46,AK$9:AK46),"")</f>
        <v/>
      </c>
      <c r="AM46" s="35" t="str">
        <f>IFERROR(IF(AB47&lt;&gt;AB46,AVERAGEIF(AB$9:AB46,AB46,AT$9:AT46),""),"")</f>
        <v/>
      </c>
      <c r="AN46" s="35" t="str">
        <f>IFERROR(IF(AB47&lt;&gt;AB46,AVERAGEIF(AB$9:AB46,AB46,AU$9:AU46),""),"")</f>
        <v/>
      </c>
      <c r="AO46" s="35" t="str" cm="1">
        <f t="array" ref="AO46">IFERROR(IF(AB47&lt;&gt;AB46,_xlfn.STDEV.P(IF(AB$9:AB46=AB46,AU$9:AU46)),""),"")</f>
        <v/>
      </c>
      <c r="AP46" s="35" t="str" cm="1">
        <f t="array" ref="AP46">IFERROR(IF(AB47&lt;&gt;AB46,_xlfn.STDEV.P(IF(AB$9:AB46=AB46,AT$9:AT46)),""),"")</f>
        <v/>
      </c>
      <c r="AQ46" s="36" t="str">
        <f t="shared" si="3"/>
        <v/>
      </c>
      <c r="AR46" s="36" t="str">
        <f t="shared" si="4"/>
        <v/>
      </c>
      <c r="AS46" s="36" t="str">
        <f t="shared" si="13"/>
        <v/>
      </c>
      <c r="AT46" s="37" t="str">
        <f t="shared" si="5"/>
        <v/>
      </c>
      <c r="AU46" s="37" t="str">
        <f t="shared" si="6"/>
        <v/>
      </c>
      <c r="AV46" s="54"/>
      <c r="AW46" s="46"/>
      <c r="AX46" s="39" t="str" cm="1">
        <f t="array" ref="AX46">IF(AH46&lt;&gt;"",IF(AND(AX44:AX45&lt;&gt;"IE",AQ46&lt;&gt;0,AS46&lt;&gt;""),IF(IFERROR((AQ46/AS46),0) &lt;=1,IFERROR(AQ46/AS46,""),1),""),"")</f>
        <v/>
      </c>
      <c r="AY46" s="46"/>
      <c r="AZ46" s="57"/>
    </row>
    <row r="47" spans="1:70" ht="15.5" x14ac:dyDescent="0.35">
      <c r="A47" s="51">
        <f t="shared" si="16"/>
        <v>1</v>
      </c>
      <c r="B47" s="52"/>
      <c r="C47" s="52"/>
      <c r="D47" s="29" t="str">
        <f>IFERROR(
IF(AND(OR(Planilla!B47="C",Planilla!B47="c"), VLOOKUP(E47,[1]Diccionario!B:N,13,0)="C"), "OK",IF(AND(OR(Planilla!B47="C",Planilla!B47="c"), OR(VLOOKUP(E47,[1]Diccionario!B:N,13,0)="B", VLOOKUP(E47,[1]Diccionario!B:N,13,0)="A")), "DEFICIT",IF(
AND(OR(Planilla!B47="B", Planilla!B47="BPAL"), VLOOKUP(E47,[1]Diccionario!B:N,13,0)="B"), "OK",IF(AND(OR(Planilla!B47="B", Planilla!B47="BPAL"), VLOOKUP(E47,[1]Diccionario!B:N,13,0)="A"), "DEFICIT",IF(AND(OR(Planilla!B47="B", Planilla!B47="BPAL"), VLOOKUP(E47,[1]Diccionario!B:N,13,0)="C"), "SOBREOFERTA",IF(AND(Planilla!B47="A", VLOOKUP(E47,[1]Diccionario!B:N,13,0)="A"), "OK",IF(
AND(Planilla!B47="A", OR(VLOOKUP(E47,[1]Diccionario!B:N,13,0)="B", VLOOKUP(E47,[1]Diccionario!B:N,13,0)="C")), "SOBREOFERTA",""
))))))),"")</f>
        <v/>
      </c>
      <c r="E47" s="48"/>
      <c r="F47" s="53" t="str">
        <f t="shared" si="17"/>
        <v/>
      </c>
      <c r="G47" s="54"/>
      <c r="H47" s="55" t="str">
        <f t="shared" si="7"/>
        <v/>
      </c>
      <c r="I47" s="35"/>
      <c r="J47" s="34" t="e">
        <f>IF(A47&lt;&gt;"",HLOOKUP(VALUE(TEXT(G47,"h:mm:ss")),IF($C$6="Laboral",[1]Input!$A$4:$Y$227,IF($C$6="Sábado",[1]Input!$A$231:$Y$452,[1]Input!$A$456:$Y$656)),VLOOKUP($C$4,[1]Input!$AG$2:$AI$99,3,0)+IF(C$5="Ida",0,1),1),"")</f>
        <v>#N/A</v>
      </c>
      <c r="K47" s="34" t="str">
        <f>IF(A48&lt;&gt;A47,AVERAGEIF(A$9:A47,A47,J$13:J47),"")</f>
        <v/>
      </c>
      <c r="L47" s="35" t="str">
        <f>IFERROR(IF(A48&lt;&gt;A47,AVERAGEIF(A$9:A47,A47,S$13:S47),""),"")</f>
        <v/>
      </c>
      <c r="M47" s="35" t="str">
        <f>IFERROR(IF(A48&lt;&gt;A47,AVERAGEIF(A$9:A47,A47,T$8:T47),""),"")</f>
        <v/>
      </c>
      <c r="N47" s="35" t="str" cm="1">
        <f t="array" ref="N47">IFERROR(IF(A48&lt;&gt;A47,_xlfn.STDEV.P(IF(A$9:A47=A47,T$7:T47)),""),"")</f>
        <v/>
      </c>
      <c r="O47" s="35" t="str" cm="1">
        <f t="array" ref="O47">IFERROR(IF(A48&lt;&gt;A47,_xlfn.STDEV.P(IF(A$9:A47=A47,S$7:S47)),""),"")</f>
        <v/>
      </c>
      <c r="P47" s="36" t="str">
        <f t="shared" si="0"/>
        <v/>
      </c>
      <c r="Q47" s="36" t="str">
        <f t="shared" si="1"/>
        <v/>
      </c>
      <c r="R47" s="36" t="str">
        <f t="shared" si="8"/>
        <v/>
      </c>
      <c r="S47" s="37" t="str">
        <f t="shared" si="9"/>
        <v/>
      </c>
      <c r="T47" s="37" t="str">
        <f t="shared" si="2"/>
        <v/>
      </c>
      <c r="U47" s="54"/>
      <c r="V47" s="46"/>
      <c r="W47" s="39" t="str">
        <f t="shared" si="10"/>
        <v/>
      </c>
      <c r="X47" s="38"/>
      <c r="Y47" s="48"/>
      <c r="AB47" s="56">
        <f t="shared" si="11"/>
        <v>1</v>
      </c>
      <c r="AC47" s="52"/>
      <c r="AD47" s="52"/>
      <c r="AE47" s="29" t="str">
        <f>IFERROR(
IF(AND(OR(AC47="C",AC47="c"), VLOOKUP(AF47,[1]Diccionario!B:N,13,0)="C"), "OK",IF(AND(OR(AC47="C",AC47="c"), OR(VLOOKUP(AF47,[1]Diccionario!B:N,13,0)="B", VLOOKUP(AF47,[1]Diccionario!B:N,13,0)="A")), "DEFICIT",IF(
AND(OR(AC47="B", AC47="BPAL"), VLOOKUP(AF47,[1]Diccionario!B:N,13,0)="B"), "OK",IF(AND(OR(AC47="B", AC47="BPAL"), VLOOKUP(AF47,[1]Diccionario!B:N,13,0)="A"), "DEFICIT",IF(AND(OR(AC47="B", AC47="BPAL"), VLOOKUP(AF47,[1]Diccionario!B:N,13,0)="C"), "SOBREOFERTA",IF(AND(AC47="A", VLOOKUP(AF47,[1]Diccionario!B:N,13,0)="A"), "OK",IF(
AND(AC47="A", OR(VLOOKUP(AF47,[1]Diccionario!B:N,13,0)="B", VLOOKUP(AF47,[1]Diccionario!B:N,13,0)="C")), "SOBREOFERTA",""
))))))),"")</f>
        <v/>
      </c>
      <c r="AF47" s="48"/>
      <c r="AG47" s="53"/>
      <c r="AH47" s="54"/>
      <c r="AI47" s="55" t="str">
        <f t="shared" si="12"/>
        <v/>
      </c>
      <c r="AJ47" s="46"/>
      <c r="AK47" s="34" t="e">
        <f>IF(AB47&lt;&gt;"",HLOOKUP(VALUE(TEXT(AH47,"h:mm:ss")),IF($C$6="Laboral",[1]Input!$A$4:$Y$227,IF($C$6="Sábado",[1]Input!$A$231:$Y$452,[1]Input!$A$456:$Y$656)),VLOOKUP($C$4,[1]Input!$AG$2:$AI$99,3,0)+IF(AD$5="Ida",0,1),1),"")</f>
        <v>#N/A</v>
      </c>
      <c r="AL47" s="34" t="str">
        <f>IF(AB48&lt;&gt;AB47,AVERAGEIF(AB$9:AB47,AB47,AK$9:AK47),"")</f>
        <v/>
      </c>
      <c r="AM47" s="35" t="str">
        <f>IFERROR(IF(AB48&lt;&gt;AB47,AVERAGEIF(AB$9:AB47,AB47,AT$9:AT47),""),"")</f>
        <v/>
      </c>
      <c r="AN47" s="35" t="str">
        <f>IFERROR(IF(AB48&lt;&gt;AB47,AVERAGEIF(AB$9:AB47,AB47,AU$9:AU47),""),"")</f>
        <v/>
      </c>
      <c r="AO47" s="35" t="str" cm="1">
        <f t="array" ref="AO47">IFERROR(IF(AB48&lt;&gt;AB47,_xlfn.STDEV.P(IF(AB$9:AB47=AB47,AU$9:AU47)),""),"")</f>
        <v/>
      </c>
      <c r="AP47" s="35" t="str" cm="1">
        <f t="array" ref="AP47">IFERROR(IF(AB48&lt;&gt;AB47,_xlfn.STDEV.P(IF(AB$9:AB47=AB47,AT$9:AT47)),""),"")</f>
        <v/>
      </c>
      <c r="AQ47" s="36" t="str">
        <f t="shared" si="3"/>
        <v/>
      </c>
      <c r="AR47" s="36" t="str">
        <f t="shared" si="4"/>
        <v/>
      </c>
      <c r="AS47" s="36" t="str">
        <f t="shared" si="13"/>
        <v/>
      </c>
      <c r="AT47" s="37" t="str">
        <f t="shared" si="5"/>
        <v/>
      </c>
      <c r="AU47" s="37" t="str">
        <f t="shared" si="6"/>
        <v/>
      </c>
      <c r="AV47" s="54"/>
      <c r="AW47" s="46"/>
      <c r="AX47" s="39" t="str" cm="1">
        <f t="array" ref="AX47">IF(AH47&lt;&gt;"",IF(AND(AX45:AX46&lt;&gt;"IE",AQ47&lt;&gt;0,AS47&lt;&gt;""),IF(IFERROR((AQ47/AS47),0) &lt;=1,IFERROR(AQ47/AS47,""),1),""),"")</f>
        <v/>
      </c>
      <c r="AY47" s="46"/>
      <c r="AZ47" s="57"/>
    </row>
    <row r="48" spans="1:70" ht="15.5" x14ac:dyDescent="0.35">
      <c r="A48" s="51">
        <f t="shared" si="16"/>
        <v>1</v>
      </c>
      <c r="B48" s="52"/>
      <c r="C48" s="52"/>
      <c r="D48" s="29" t="str">
        <f>IFERROR(
IF(AND(OR(Planilla!B48="C",Planilla!B48="c"), VLOOKUP(E48,[1]Diccionario!B:N,13,0)="C"), "OK",IF(AND(OR(Planilla!B48="C",Planilla!B48="c"), OR(VLOOKUP(E48,[1]Diccionario!B:N,13,0)="B", VLOOKUP(E48,[1]Diccionario!B:N,13,0)="A")), "DEFICIT",IF(
AND(OR(Planilla!B48="B", Planilla!B48="BPAL"), VLOOKUP(E48,[1]Diccionario!B:N,13,0)="B"), "OK",IF(AND(OR(Planilla!B48="B", Planilla!B48="BPAL"), VLOOKUP(E48,[1]Diccionario!B:N,13,0)="A"), "DEFICIT",IF(AND(OR(Planilla!B48="B", Planilla!B48="BPAL"), VLOOKUP(E48,[1]Diccionario!B:N,13,0)="C"), "SOBREOFERTA",IF(AND(Planilla!B48="A", VLOOKUP(E48,[1]Diccionario!B:N,13,0)="A"), "OK",IF(
AND(Planilla!B48="A", OR(VLOOKUP(E48,[1]Diccionario!B:N,13,0)="B", VLOOKUP(E48,[1]Diccionario!B:N,13,0)="C")), "SOBREOFERTA",""
))))))),"")</f>
        <v/>
      </c>
      <c r="E48" s="48"/>
      <c r="F48" s="53" t="str">
        <f t="shared" si="17"/>
        <v/>
      </c>
      <c r="G48" s="54"/>
      <c r="H48" s="55" t="str">
        <f t="shared" si="7"/>
        <v/>
      </c>
      <c r="I48" s="35"/>
      <c r="J48" s="34" t="e">
        <f>IF(A48&lt;&gt;"",HLOOKUP(VALUE(TEXT(G48,"h:mm:ss")),IF($C$6="Laboral",[1]Input!$A$4:$Y$227,IF($C$6="Sábado",[1]Input!$A$231:$Y$452,[1]Input!$A$456:$Y$656)),VLOOKUP($C$4,[1]Input!$AG$2:$AI$99,3,0)+IF(C$5="Ida",0,1),1),"")</f>
        <v>#N/A</v>
      </c>
      <c r="K48" s="34" t="str">
        <f>IF(A49&lt;&gt;A48,AVERAGEIF(A$9:A48,A48,J$13:J48),"")</f>
        <v/>
      </c>
      <c r="L48" s="35" t="str">
        <f>IFERROR(IF(A49&lt;&gt;A48,AVERAGEIF(A$9:A48,A48,S$13:S48),""),"")</f>
        <v/>
      </c>
      <c r="M48" s="35" t="str">
        <f>IFERROR(IF(A49&lt;&gt;A48,AVERAGEIF(A$9:A48,A48,T$8:T48),""),"")</f>
        <v/>
      </c>
      <c r="N48" s="35" t="str" cm="1">
        <f t="array" ref="N48">IFERROR(IF(A49&lt;&gt;A48,_xlfn.STDEV.P(IF(A$9:A48=A48,T$7:T48)),""),"")</f>
        <v/>
      </c>
      <c r="O48" s="35" t="str" cm="1">
        <f t="array" ref="O48">IFERROR(IF(A49&lt;&gt;A48,_xlfn.STDEV.P(IF(A$9:A48=A48,S$7:S48)),""),"")</f>
        <v/>
      </c>
      <c r="P48" s="36" t="str">
        <f t="shared" si="0"/>
        <v/>
      </c>
      <c r="Q48" s="36" t="str">
        <f t="shared" si="1"/>
        <v/>
      </c>
      <c r="R48" s="36" t="str">
        <f t="shared" si="8"/>
        <v/>
      </c>
      <c r="S48" s="37" t="str">
        <f t="shared" si="9"/>
        <v/>
      </c>
      <c r="T48" s="37" t="str">
        <f t="shared" si="2"/>
        <v/>
      </c>
      <c r="U48" s="54"/>
      <c r="V48" s="46"/>
      <c r="W48" s="39" t="str">
        <f t="shared" si="10"/>
        <v/>
      </c>
      <c r="X48" s="38"/>
      <c r="Y48" s="48"/>
      <c r="AB48" s="56">
        <f t="shared" si="11"/>
        <v>1</v>
      </c>
      <c r="AC48" s="52"/>
      <c r="AD48" s="52"/>
      <c r="AE48" s="29" t="str">
        <f>IFERROR(
IF(AND(OR(AC48="C",AC48="c"), VLOOKUP(AF48,[1]Diccionario!B:N,13,0)="C"), "OK",IF(AND(OR(AC48="C",AC48="c"), OR(VLOOKUP(AF48,[1]Diccionario!B:N,13,0)="B", VLOOKUP(AF48,[1]Diccionario!B:N,13,0)="A")), "DEFICIT",IF(
AND(OR(AC48="B", AC48="BPAL"), VLOOKUP(AF48,[1]Diccionario!B:N,13,0)="B"), "OK",IF(AND(OR(AC48="B", AC48="BPAL"), VLOOKUP(AF48,[1]Diccionario!B:N,13,0)="A"), "DEFICIT",IF(AND(OR(AC48="B", AC48="BPAL"), VLOOKUP(AF48,[1]Diccionario!B:N,13,0)="C"), "SOBREOFERTA",IF(AND(AC48="A", VLOOKUP(AF48,[1]Diccionario!B:N,13,0)="A"), "OK",IF(
AND(AC48="A", OR(VLOOKUP(AF48,[1]Diccionario!B:N,13,0)="B", VLOOKUP(AF48,[1]Diccionario!B:N,13,0)="C")), "SOBREOFERTA",""
))))))),"")</f>
        <v/>
      </c>
      <c r="AF48" s="48"/>
      <c r="AG48" s="53"/>
      <c r="AH48" s="54"/>
      <c r="AI48" s="55" t="str">
        <f t="shared" si="12"/>
        <v/>
      </c>
      <c r="AJ48" s="46"/>
      <c r="AK48" s="34" t="e">
        <f>IF(AB48&lt;&gt;"",HLOOKUP(VALUE(TEXT(AH48,"h:mm:ss")),IF($C$6="Laboral",[1]Input!$A$4:$Y$227,IF($C$6="Sábado",[1]Input!$A$231:$Y$452,[1]Input!$A$456:$Y$656)),VLOOKUP($C$4,[1]Input!$AG$2:$AI$99,3,0)+IF(AD$5="Ida",0,1),1),"")</f>
        <v>#N/A</v>
      </c>
      <c r="AL48" s="34" t="str">
        <f>IF(AB49&lt;&gt;AB48,AVERAGEIF(AB$9:AB48,AB48,AK$9:AK48),"")</f>
        <v/>
      </c>
      <c r="AM48" s="35" t="str">
        <f>IFERROR(IF(AB49&lt;&gt;AB48,AVERAGEIF(AB$9:AB48,AB48,AT$9:AT48),""),"")</f>
        <v/>
      </c>
      <c r="AN48" s="35" t="str">
        <f>IFERROR(IF(AB49&lt;&gt;AB48,AVERAGEIF(AB$9:AB48,AB48,AU$9:AU48),""),"")</f>
        <v/>
      </c>
      <c r="AO48" s="35" t="str" cm="1">
        <f t="array" ref="AO48">IFERROR(IF(AB49&lt;&gt;AB48,_xlfn.STDEV.P(IF(AB$9:AB48=AB48,AU$9:AU48)),""),"")</f>
        <v/>
      </c>
      <c r="AP48" s="35" t="str" cm="1">
        <f t="array" ref="AP48">IFERROR(IF(AB49&lt;&gt;AB48,_xlfn.STDEV.P(IF(AB$9:AB48=AB48,AT$9:AT48)),""),"")</f>
        <v/>
      </c>
      <c r="AQ48" s="36" t="str">
        <f t="shared" si="3"/>
        <v/>
      </c>
      <c r="AR48" s="36" t="str">
        <f t="shared" si="4"/>
        <v/>
      </c>
      <c r="AS48" s="36" t="str">
        <f t="shared" si="13"/>
        <v/>
      </c>
      <c r="AT48" s="37" t="str">
        <f t="shared" si="5"/>
        <v/>
      </c>
      <c r="AU48" s="37" t="str">
        <f t="shared" si="6"/>
        <v/>
      </c>
      <c r="AV48" s="54"/>
      <c r="AW48" s="46"/>
      <c r="AX48" s="39" t="str" cm="1">
        <f t="array" ref="AX48">IF(AH48&lt;&gt;"",IF(AND(AX46:AX47&lt;&gt;"IE",AQ48&lt;&gt;0,AS48&lt;&gt;""),IF(IFERROR((AQ48/AS48),0) &lt;=1,IFERROR(AQ48/AS48,""),1),""),"")</f>
        <v/>
      </c>
      <c r="AY48" s="46"/>
      <c r="AZ48" s="57"/>
    </row>
    <row r="49" spans="1:52" ht="15.5" x14ac:dyDescent="0.35">
      <c r="A49" s="51">
        <f t="shared" si="16"/>
        <v>1</v>
      </c>
      <c r="B49" s="52"/>
      <c r="C49" s="52"/>
      <c r="D49" s="29" t="str">
        <f>IFERROR(
IF(AND(OR(Planilla!B49="C",Planilla!B49="c"), VLOOKUP(E49,[1]Diccionario!B:N,13,0)="C"), "OK",IF(AND(OR(Planilla!B49="C",Planilla!B49="c"), OR(VLOOKUP(E49,[1]Diccionario!B:N,13,0)="B", VLOOKUP(E49,[1]Diccionario!B:N,13,0)="A")), "DEFICIT",IF(
AND(OR(Planilla!B49="B", Planilla!B49="BPAL"), VLOOKUP(E49,[1]Diccionario!B:N,13,0)="B"), "OK",IF(AND(OR(Planilla!B49="B", Planilla!B49="BPAL"), VLOOKUP(E49,[1]Diccionario!B:N,13,0)="A"), "DEFICIT",IF(AND(OR(Planilla!B49="B", Planilla!B49="BPAL"), VLOOKUP(E49,[1]Diccionario!B:N,13,0)="C"), "SOBREOFERTA",IF(AND(Planilla!B49="A", VLOOKUP(E49,[1]Diccionario!B:N,13,0)="A"), "OK",IF(
AND(Planilla!B49="A", OR(VLOOKUP(E49,[1]Diccionario!B:N,13,0)="B", VLOOKUP(E49,[1]Diccionario!B:N,13,0)="C")), "SOBREOFERTA",""
))))))),"")</f>
        <v/>
      </c>
      <c r="E49" s="48"/>
      <c r="F49" s="53" t="str">
        <f t="shared" si="17"/>
        <v/>
      </c>
      <c r="G49" s="54"/>
      <c r="H49" s="55" t="str">
        <f t="shared" si="7"/>
        <v/>
      </c>
      <c r="I49" s="35"/>
      <c r="J49" s="34" t="e">
        <f>IF(A49&lt;&gt;"",HLOOKUP(VALUE(TEXT(G49,"h:mm:ss")),IF($C$6="Laboral",[1]Input!$A$4:$Y$227,IF($C$6="Sábado",[1]Input!$A$231:$Y$452,[1]Input!$A$456:$Y$656)),VLOOKUP($C$4,[1]Input!$AG$2:$AI$99,3,0)+IF(C$5="Ida",0,1),1),"")</f>
        <v>#N/A</v>
      </c>
      <c r="K49" s="34" t="str">
        <f>IF(A50&lt;&gt;A49,AVERAGEIF(A$9:A49,A49,J$13:J49),"")</f>
        <v/>
      </c>
      <c r="L49" s="35" t="str">
        <f>IFERROR(IF(A50&lt;&gt;A49,AVERAGEIF(A$9:A49,A49,S$13:S49),""),"")</f>
        <v/>
      </c>
      <c r="M49" s="35" t="str">
        <f>IFERROR(IF(A50&lt;&gt;A49,AVERAGEIF(A$9:A49,A49,T$8:T49),""),"")</f>
        <v/>
      </c>
      <c r="N49" s="35" t="str" cm="1">
        <f t="array" ref="N49">IFERROR(IF(A50&lt;&gt;A49,_xlfn.STDEV.P(IF(A$9:A49=A49,T$7:T49)),""),"")</f>
        <v/>
      </c>
      <c r="O49" s="35" t="str" cm="1">
        <f t="array" ref="O49">IFERROR(IF(A50&lt;&gt;A49,_xlfn.STDEV.P(IF(A$9:A49=A49,S$7:S49)),""),"")</f>
        <v/>
      </c>
      <c r="P49" s="36" t="str">
        <f t="shared" si="0"/>
        <v/>
      </c>
      <c r="Q49" s="36" t="str">
        <f t="shared" si="1"/>
        <v/>
      </c>
      <c r="R49" s="36" t="str">
        <f t="shared" si="8"/>
        <v/>
      </c>
      <c r="S49" s="37" t="str">
        <f t="shared" si="9"/>
        <v/>
      </c>
      <c r="T49" s="37" t="str">
        <f t="shared" si="2"/>
        <v/>
      </c>
      <c r="U49" s="54"/>
      <c r="V49" s="46"/>
      <c r="W49" s="39" t="str">
        <f t="shared" si="10"/>
        <v/>
      </c>
      <c r="X49" s="38"/>
      <c r="Y49" s="48"/>
      <c r="AB49" s="56">
        <f t="shared" si="11"/>
        <v>1</v>
      </c>
      <c r="AC49" s="52"/>
      <c r="AD49" s="52"/>
      <c r="AE49" s="29" t="str">
        <f>IFERROR(
IF(AND(OR(AC49="C",AC49="c"), VLOOKUP(AF49,[1]Diccionario!B:N,13,0)="C"), "OK",IF(AND(OR(AC49="C",AC49="c"), OR(VLOOKUP(AF49,[1]Diccionario!B:N,13,0)="B", VLOOKUP(AF49,[1]Diccionario!B:N,13,0)="A")), "DEFICIT",IF(
AND(OR(AC49="B", AC49="BPAL"), VLOOKUP(AF49,[1]Diccionario!B:N,13,0)="B"), "OK",IF(AND(OR(AC49="B", AC49="BPAL"), VLOOKUP(AF49,[1]Diccionario!B:N,13,0)="A"), "DEFICIT",IF(AND(OR(AC49="B", AC49="BPAL"), VLOOKUP(AF49,[1]Diccionario!B:N,13,0)="C"), "SOBREOFERTA",IF(AND(AC49="A", VLOOKUP(AF49,[1]Diccionario!B:N,13,0)="A"), "OK",IF(
AND(AC49="A", OR(VLOOKUP(AF49,[1]Diccionario!B:N,13,0)="B", VLOOKUP(AF49,[1]Diccionario!B:N,13,0)="C")), "SOBREOFERTA",""
))))))),"")</f>
        <v/>
      </c>
      <c r="AF49" s="48"/>
      <c r="AG49" s="53"/>
      <c r="AH49" s="54"/>
      <c r="AI49" s="55" t="str">
        <f t="shared" si="12"/>
        <v/>
      </c>
      <c r="AJ49" s="46"/>
      <c r="AK49" s="34" t="e">
        <f>IF(AB49&lt;&gt;"",HLOOKUP(VALUE(TEXT(AH49,"h:mm:ss")),IF($C$6="Laboral",[1]Input!$A$4:$Y$227,IF($C$6="Sábado",[1]Input!$A$231:$Y$452,[1]Input!$A$456:$Y$656)),VLOOKUP($C$4,[1]Input!$AG$2:$AI$99,3,0)+IF(AD$5="Ida",0,1),1),"")</f>
        <v>#N/A</v>
      </c>
      <c r="AL49" s="34" t="str">
        <f>IF(AB50&lt;&gt;AB49,AVERAGEIF(AB$9:AB49,AB49,AK$9:AK49),"")</f>
        <v/>
      </c>
      <c r="AM49" s="35" t="str">
        <f>IFERROR(IF(AB50&lt;&gt;AB49,AVERAGEIF(AB$9:AB49,AB49,AT$9:AT49),""),"")</f>
        <v/>
      </c>
      <c r="AN49" s="35" t="str">
        <f>IFERROR(IF(AB50&lt;&gt;AB49,AVERAGEIF(AB$9:AB49,AB49,AU$9:AU49),""),"")</f>
        <v/>
      </c>
      <c r="AO49" s="35" t="str" cm="1">
        <f t="array" ref="AO49">IFERROR(IF(AB50&lt;&gt;AB49,_xlfn.STDEV.P(IF(AB$9:AB49=AB49,AU$9:AU49)),""),"")</f>
        <v/>
      </c>
      <c r="AP49" s="35" t="str" cm="1">
        <f t="array" ref="AP49">IFERROR(IF(AB50&lt;&gt;AB49,_xlfn.STDEV.P(IF(AB$9:AB49=AB49,AT$9:AT49)),""),"")</f>
        <v/>
      </c>
      <c r="AQ49" s="36" t="str">
        <f t="shared" si="3"/>
        <v/>
      </c>
      <c r="AR49" s="36" t="str">
        <f t="shared" si="4"/>
        <v/>
      </c>
      <c r="AS49" s="36" t="str">
        <f t="shared" si="13"/>
        <v/>
      </c>
      <c r="AT49" s="37" t="str">
        <f t="shared" si="5"/>
        <v/>
      </c>
      <c r="AU49" s="37" t="str">
        <f t="shared" si="6"/>
        <v/>
      </c>
      <c r="AV49" s="54"/>
      <c r="AW49" s="46"/>
      <c r="AX49" s="39" t="str" cm="1">
        <f t="array" ref="AX49">IF(AH49&lt;&gt;"",IF(AND(AX47:AX48&lt;&gt;"IE",AQ49&lt;&gt;0,AS49&lt;&gt;""),IF(IFERROR((AQ49/AS49),0) &lt;=1,IFERROR(AQ49/AS49,""),1),""),"")</f>
        <v/>
      </c>
      <c r="AY49" s="46"/>
      <c r="AZ49" s="57"/>
    </row>
    <row r="50" spans="1:52" ht="15.5" x14ac:dyDescent="0.35">
      <c r="A50" s="51">
        <f t="shared" si="16"/>
        <v>1</v>
      </c>
      <c r="B50" s="52"/>
      <c r="C50" s="52"/>
      <c r="D50" s="29" t="str">
        <f>IFERROR(
IF(AND(OR(Planilla!B50="C",Planilla!B50="c"), VLOOKUP(E50,[1]Diccionario!B:N,13,0)="C"), "OK",IF(AND(OR(Planilla!B50="C",Planilla!B50="c"), OR(VLOOKUP(E50,[1]Diccionario!B:N,13,0)="B", VLOOKUP(E50,[1]Diccionario!B:N,13,0)="A")), "DEFICIT",IF(
AND(OR(Planilla!B50="B", Planilla!B50="BPAL"), VLOOKUP(E50,[1]Diccionario!B:N,13,0)="B"), "OK",IF(AND(OR(Planilla!B50="B", Planilla!B50="BPAL"), VLOOKUP(E50,[1]Diccionario!B:N,13,0)="A"), "DEFICIT",IF(AND(OR(Planilla!B50="B", Planilla!B50="BPAL"), VLOOKUP(E50,[1]Diccionario!B:N,13,0)="C"), "SOBREOFERTA",IF(AND(Planilla!B50="A", VLOOKUP(E50,[1]Diccionario!B:N,13,0)="A"), "OK",IF(
AND(Planilla!B50="A", OR(VLOOKUP(E50,[1]Diccionario!B:N,13,0)="B", VLOOKUP(E50,[1]Diccionario!B:N,13,0)="C")), "SOBREOFERTA",""
))))))),"")</f>
        <v/>
      </c>
      <c r="E50" s="48"/>
      <c r="F50" s="53" t="str">
        <f t="shared" si="17"/>
        <v/>
      </c>
      <c r="G50" s="54"/>
      <c r="H50" s="55" t="str">
        <f t="shared" si="7"/>
        <v/>
      </c>
      <c r="I50" s="35"/>
      <c r="J50" s="34" t="e">
        <f>IF(A50&lt;&gt;"",HLOOKUP(VALUE(TEXT(G50,"h:mm:ss")),IF($C$6="Laboral",[1]Input!$A$4:$Y$227,IF($C$6="Sábado",[1]Input!$A$231:$Y$452,[1]Input!$A$456:$Y$656)),VLOOKUP($C$4,[1]Input!$AG$2:$AI$99,3,0)+IF(C$5="Ida",0,1),1),"")</f>
        <v>#N/A</v>
      </c>
      <c r="K50" s="34" t="str">
        <f>IF(A51&lt;&gt;A50,AVERAGEIF(A$9:A50,A50,J$13:J50),"")</f>
        <v/>
      </c>
      <c r="L50" s="35" t="str">
        <f>IFERROR(IF(A51&lt;&gt;A50,AVERAGEIF(A$9:A50,A50,S$13:S50),""),"")</f>
        <v/>
      </c>
      <c r="M50" s="35" t="str">
        <f>IFERROR(IF(A51&lt;&gt;A50,AVERAGEIF(A$9:A50,A50,T$8:T50),""),"")</f>
        <v/>
      </c>
      <c r="N50" s="35" t="str" cm="1">
        <f t="array" ref="N50">IFERROR(IF(A51&lt;&gt;A50,_xlfn.STDEV.P(IF(A$9:A50=A50,T$7:T50)),""),"")</f>
        <v/>
      </c>
      <c r="O50" s="35" t="str" cm="1">
        <f t="array" ref="O50">IFERROR(IF(A51&lt;&gt;A50,_xlfn.STDEV.P(IF(A$9:A50=A50,S$7:S50)),""),"")</f>
        <v/>
      </c>
      <c r="P50" s="36" t="str">
        <f t="shared" si="0"/>
        <v/>
      </c>
      <c r="Q50" s="36" t="str">
        <f t="shared" si="1"/>
        <v/>
      </c>
      <c r="R50" s="36" t="str">
        <f t="shared" si="8"/>
        <v/>
      </c>
      <c r="S50" s="37" t="str">
        <f t="shared" si="9"/>
        <v/>
      </c>
      <c r="T50" s="37" t="str">
        <f t="shared" si="2"/>
        <v/>
      </c>
      <c r="U50" s="54"/>
      <c r="V50" s="46"/>
      <c r="W50" s="39" t="str">
        <f t="shared" si="10"/>
        <v/>
      </c>
      <c r="X50" s="38"/>
      <c r="Y50" s="48"/>
      <c r="AB50" s="56">
        <f t="shared" si="11"/>
        <v>1</v>
      </c>
      <c r="AC50" s="52"/>
      <c r="AD50" s="52"/>
      <c r="AE50" s="29" t="str">
        <f>IFERROR(
IF(AND(OR(AC50="C",AC50="c"), VLOOKUP(AF50,[1]Diccionario!B:N,13,0)="C"), "OK",IF(AND(OR(AC50="C",AC50="c"), OR(VLOOKUP(AF50,[1]Diccionario!B:N,13,0)="B", VLOOKUP(AF50,[1]Diccionario!B:N,13,0)="A")), "DEFICIT",IF(
AND(OR(AC50="B", AC50="BPAL"), VLOOKUP(AF50,[1]Diccionario!B:N,13,0)="B"), "OK",IF(AND(OR(AC50="B", AC50="BPAL"), VLOOKUP(AF50,[1]Diccionario!B:N,13,0)="A"), "DEFICIT",IF(AND(OR(AC50="B", AC50="BPAL"), VLOOKUP(AF50,[1]Diccionario!B:N,13,0)="C"), "SOBREOFERTA",IF(AND(AC50="A", VLOOKUP(AF50,[1]Diccionario!B:N,13,0)="A"), "OK",IF(
AND(AC50="A", OR(VLOOKUP(AF50,[1]Diccionario!B:N,13,0)="B", VLOOKUP(AF50,[1]Diccionario!B:N,13,0)="C")), "SOBREOFERTA",""
))))))),"")</f>
        <v/>
      </c>
      <c r="AF50" s="48"/>
      <c r="AG50" s="53"/>
      <c r="AH50" s="54"/>
      <c r="AI50" s="55" t="str">
        <f t="shared" si="12"/>
        <v/>
      </c>
      <c r="AJ50" s="46"/>
      <c r="AK50" s="34" t="e">
        <f>IF(AB50&lt;&gt;"",HLOOKUP(VALUE(TEXT(AH50,"h:mm:ss")),IF($C$6="Laboral",[1]Input!$A$4:$Y$227,IF($C$6="Sábado",[1]Input!$A$231:$Y$452,[1]Input!$A$456:$Y$656)),VLOOKUP($C$4,[1]Input!$AG$2:$AI$99,3,0)+IF(AD$5="Ida",0,1),1),"")</f>
        <v>#N/A</v>
      </c>
      <c r="AL50" s="34" t="str">
        <f>IF(AB51&lt;&gt;AB50,AVERAGEIF(AB$9:AB50,AB50,AK$9:AK50),"")</f>
        <v/>
      </c>
      <c r="AM50" s="35" t="str">
        <f>IFERROR(IF(AB51&lt;&gt;AB50,AVERAGEIF(AB$9:AB50,AB50,AT$9:AT50),""),"")</f>
        <v/>
      </c>
      <c r="AN50" s="35" t="str">
        <f>IFERROR(IF(AB51&lt;&gt;AB50,AVERAGEIF(AB$9:AB50,AB50,AU$9:AU50),""),"")</f>
        <v/>
      </c>
      <c r="AO50" s="35" t="str" cm="1">
        <f t="array" ref="AO50">IFERROR(IF(AB51&lt;&gt;AB50,_xlfn.STDEV.P(IF(AB$9:AB50=AB50,AU$9:AU50)),""),"")</f>
        <v/>
      </c>
      <c r="AP50" s="35" t="str" cm="1">
        <f t="array" ref="AP50">IFERROR(IF(AB51&lt;&gt;AB50,_xlfn.STDEV.P(IF(AB$9:AB50=AB50,AT$9:AT50)),""),"")</f>
        <v/>
      </c>
      <c r="AQ50" s="36" t="str">
        <f t="shared" si="3"/>
        <v/>
      </c>
      <c r="AR50" s="36" t="str">
        <f t="shared" si="4"/>
        <v/>
      </c>
      <c r="AS50" s="36" t="str">
        <f t="shared" si="13"/>
        <v/>
      </c>
      <c r="AT50" s="37" t="str">
        <f t="shared" si="5"/>
        <v/>
      </c>
      <c r="AU50" s="37" t="str">
        <f t="shared" si="6"/>
        <v/>
      </c>
      <c r="AV50" s="54"/>
      <c r="AW50" s="46"/>
      <c r="AX50" s="39" t="str" cm="1">
        <f t="array" ref="AX50">IF(AH50&lt;&gt;"",IF(AND(AX48:AX49&lt;&gt;"IE",AQ50&lt;&gt;0,AS50&lt;&gt;""),IF(IFERROR((AQ50/AS50),0) &lt;=1,IFERROR(AQ50/AS50,""),1),""),"")</f>
        <v/>
      </c>
      <c r="AY50" s="46"/>
      <c r="AZ50" s="57"/>
    </row>
    <row r="51" spans="1:52" ht="15.5" x14ac:dyDescent="0.35">
      <c r="A51" s="51">
        <f t="shared" si="16"/>
        <v>1</v>
      </c>
      <c r="B51" s="52"/>
      <c r="C51" s="52"/>
      <c r="D51" s="29" t="str">
        <f>IFERROR(
IF(AND(OR(Planilla!B51="C",Planilla!B51="c"), VLOOKUP(E51,[1]Diccionario!B:N,13,0)="C"), "OK",IF(AND(OR(Planilla!B51="C",Planilla!B51="c"), OR(VLOOKUP(E51,[1]Diccionario!B:N,13,0)="B", VLOOKUP(E51,[1]Diccionario!B:N,13,0)="A")), "DEFICIT",IF(
AND(OR(Planilla!B51="B", Planilla!B51="BPAL"), VLOOKUP(E51,[1]Diccionario!B:N,13,0)="B"), "OK",IF(AND(OR(Planilla!B51="B", Planilla!B51="BPAL"), VLOOKUP(E51,[1]Diccionario!B:N,13,0)="A"), "DEFICIT",IF(AND(OR(Planilla!B51="B", Planilla!B51="BPAL"), VLOOKUP(E51,[1]Diccionario!B:N,13,0)="C"), "SOBREOFERTA",IF(AND(Planilla!B51="A", VLOOKUP(E51,[1]Diccionario!B:N,13,0)="A"), "OK",IF(
AND(Planilla!B51="A", OR(VLOOKUP(E51,[1]Diccionario!B:N,13,0)="B", VLOOKUP(E51,[1]Diccionario!B:N,13,0)="C")), "SOBREOFERTA",""
))))))),"")</f>
        <v/>
      </c>
      <c r="E51" s="48"/>
      <c r="F51" s="53" t="str">
        <f t="shared" si="17"/>
        <v/>
      </c>
      <c r="G51" s="54"/>
      <c r="H51" s="55" t="str">
        <f t="shared" si="7"/>
        <v/>
      </c>
      <c r="I51" s="35"/>
      <c r="J51" s="34" t="e">
        <f>IF(A51&lt;&gt;"",HLOOKUP(VALUE(TEXT(G51,"h:mm:ss")),IF($C$6="Laboral",[1]Input!$A$4:$Y$227,IF($C$6="Sábado",[1]Input!$A$231:$Y$452,[1]Input!$A$456:$Y$656)),VLOOKUP($C$4,[1]Input!$AG$2:$AI$99,3,0)+IF(C$5="Ida",0,1),1),"")</f>
        <v>#N/A</v>
      </c>
      <c r="K51" s="34" t="str">
        <f>IF(A52&lt;&gt;A51,AVERAGEIF(A$9:A51,A51,J$13:J51),"")</f>
        <v/>
      </c>
      <c r="L51" s="35" t="str">
        <f>IFERROR(IF(A52&lt;&gt;A51,AVERAGEIF(A$9:A51,A51,S$13:S51),""),"")</f>
        <v/>
      </c>
      <c r="M51" s="35" t="str">
        <f>IFERROR(IF(A52&lt;&gt;A51,AVERAGEIF(A$9:A51,A51,T$8:T51),""),"")</f>
        <v/>
      </c>
      <c r="N51" s="35" t="str" cm="1">
        <f t="array" ref="N51">IFERROR(IF(A52&lt;&gt;A51,_xlfn.STDEV.P(IF(A$9:A51=A51,T$7:T51)),""),"")</f>
        <v/>
      </c>
      <c r="O51" s="35" t="str" cm="1">
        <f t="array" ref="O51">IFERROR(IF(A52&lt;&gt;A51,_xlfn.STDEV.P(IF(A$9:A51=A51,S$7:S51)),""),"")</f>
        <v/>
      </c>
      <c r="P51" s="36" t="str">
        <f t="shared" si="0"/>
        <v/>
      </c>
      <c r="Q51" s="36" t="str">
        <f t="shared" si="1"/>
        <v/>
      </c>
      <c r="R51" s="36" t="str">
        <f t="shared" si="8"/>
        <v/>
      </c>
      <c r="S51" s="37" t="str">
        <f t="shared" si="9"/>
        <v/>
      </c>
      <c r="T51" s="37" t="str">
        <f t="shared" si="2"/>
        <v/>
      </c>
      <c r="U51" s="54"/>
      <c r="V51" s="46"/>
      <c r="W51" s="39" t="str">
        <f t="shared" si="10"/>
        <v/>
      </c>
      <c r="X51" s="38"/>
      <c r="Y51" s="48"/>
      <c r="AB51" s="56">
        <f t="shared" si="11"/>
        <v>1</v>
      </c>
      <c r="AC51" s="52"/>
      <c r="AD51" s="52"/>
      <c r="AE51" s="29" t="str">
        <f>IFERROR(
IF(AND(OR(AC51="C",AC51="c"), VLOOKUP(AF51,[1]Diccionario!B:N,13,0)="C"), "OK",IF(AND(OR(AC51="C",AC51="c"), OR(VLOOKUP(AF51,[1]Diccionario!B:N,13,0)="B", VLOOKUP(AF51,[1]Diccionario!B:N,13,0)="A")), "DEFICIT",IF(
AND(OR(AC51="B", AC51="BPAL"), VLOOKUP(AF51,[1]Diccionario!B:N,13,0)="B"), "OK",IF(AND(OR(AC51="B", AC51="BPAL"), VLOOKUP(AF51,[1]Diccionario!B:N,13,0)="A"), "DEFICIT",IF(AND(OR(AC51="B", AC51="BPAL"), VLOOKUP(AF51,[1]Diccionario!B:N,13,0)="C"), "SOBREOFERTA",IF(AND(AC51="A", VLOOKUP(AF51,[1]Diccionario!B:N,13,0)="A"), "OK",IF(
AND(AC51="A", OR(VLOOKUP(AF51,[1]Diccionario!B:N,13,0)="B", VLOOKUP(AF51,[1]Diccionario!B:N,13,0)="C")), "SOBREOFERTA",""
))))))),"")</f>
        <v/>
      </c>
      <c r="AF51" s="48"/>
      <c r="AG51" s="53"/>
      <c r="AH51" s="54"/>
      <c r="AI51" s="55" t="str">
        <f t="shared" si="12"/>
        <v/>
      </c>
      <c r="AJ51" s="46"/>
      <c r="AK51" s="34" t="e">
        <f>IF(AB51&lt;&gt;"",HLOOKUP(VALUE(TEXT(AH51,"h:mm:ss")),IF($C$6="Laboral",[1]Input!$A$4:$Y$227,IF($C$6="Sábado",[1]Input!$A$231:$Y$452,[1]Input!$A$456:$Y$656)),VLOOKUP($C$4,[1]Input!$AG$2:$AI$99,3,0)+IF(AD$5="Ida",0,1),1),"")</f>
        <v>#N/A</v>
      </c>
      <c r="AL51" s="34" t="str">
        <f>IF(AB52&lt;&gt;AB51,AVERAGEIF(AB$9:AB51,AB51,AK$9:AK51),"")</f>
        <v/>
      </c>
      <c r="AM51" s="35" t="str">
        <f>IFERROR(IF(AB52&lt;&gt;AB51,AVERAGEIF(AB$9:AB51,AB51,AT$9:AT51),""),"")</f>
        <v/>
      </c>
      <c r="AN51" s="35" t="str">
        <f>IFERROR(IF(AB52&lt;&gt;AB51,AVERAGEIF(AB$9:AB51,AB51,AU$9:AU51),""),"")</f>
        <v/>
      </c>
      <c r="AO51" s="35" t="str" cm="1">
        <f t="array" ref="AO51">IFERROR(IF(AB52&lt;&gt;AB51,_xlfn.STDEV.P(IF(AB$9:AB51=AB51,AU$9:AU51)),""),"")</f>
        <v/>
      </c>
      <c r="AP51" s="35" t="str" cm="1">
        <f t="array" ref="AP51">IFERROR(IF(AB52&lt;&gt;AB51,_xlfn.STDEV.P(IF(AB$9:AB51=AB51,AT$9:AT51)),""),"")</f>
        <v/>
      </c>
      <c r="AQ51" s="36" t="str">
        <f t="shared" si="3"/>
        <v/>
      </c>
      <c r="AR51" s="36" t="str">
        <f t="shared" si="4"/>
        <v/>
      </c>
      <c r="AS51" s="36" t="str">
        <f t="shared" si="13"/>
        <v/>
      </c>
      <c r="AT51" s="37" t="str">
        <f t="shared" si="5"/>
        <v/>
      </c>
      <c r="AU51" s="37" t="str">
        <f t="shared" si="6"/>
        <v/>
      </c>
      <c r="AV51" s="54"/>
      <c r="AW51" s="46"/>
      <c r="AX51" s="39" t="str" cm="1">
        <f t="array" ref="AX51">IF(AH51&lt;&gt;"",IF(AND(AX49:AX50&lt;&gt;"IE",AQ51&lt;&gt;0,AS51&lt;&gt;""),IF(IFERROR((AQ51/AS51),0) &lt;=1,IFERROR(AQ51/AS51,""),1),""),"")</f>
        <v/>
      </c>
      <c r="AY51" s="46"/>
      <c r="AZ51" s="57"/>
    </row>
    <row r="52" spans="1:52" ht="15.5" x14ac:dyDescent="0.35">
      <c r="A52" s="51">
        <f t="shared" si="16"/>
        <v>1</v>
      </c>
      <c r="B52" s="52"/>
      <c r="C52" s="52"/>
      <c r="D52" s="29" t="str">
        <f>IFERROR(
IF(AND(OR(Planilla!B52="C",Planilla!B52="c"), VLOOKUP(E52,[1]Diccionario!B:N,13,0)="C"), "OK",IF(AND(OR(Planilla!B52="C",Planilla!B52="c"), OR(VLOOKUP(E52,[1]Diccionario!B:N,13,0)="B", VLOOKUP(E52,[1]Diccionario!B:N,13,0)="A")), "DEFICIT",IF(
AND(OR(Planilla!B52="B", Planilla!B52="BPAL"), VLOOKUP(E52,[1]Diccionario!B:N,13,0)="B"), "OK",IF(AND(OR(Planilla!B52="B", Planilla!B52="BPAL"), VLOOKUP(E52,[1]Diccionario!B:N,13,0)="A"), "DEFICIT",IF(AND(OR(Planilla!B52="B", Planilla!B52="BPAL"), VLOOKUP(E52,[1]Diccionario!B:N,13,0)="C"), "SOBREOFERTA",IF(AND(Planilla!B52="A", VLOOKUP(E52,[1]Diccionario!B:N,13,0)="A"), "OK",IF(
AND(Planilla!B52="A", OR(VLOOKUP(E52,[1]Diccionario!B:N,13,0)="B", VLOOKUP(E52,[1]Diccionario!B:N,13,0)="C")), "SOBREOFERTA",""
))))))),"")</f>
        <v/>
      </c>
      <c r="E52" s="48"/>
      <c r="F52" s="53" t="str">
        <f t="shared" si="17"/>
        <v/>
      </c>
      <c r="G52" s="54"/>
      <c r="H52" s="55" t="str">
        <f t="shared" si="7"/>
        <v/>
      </c>
      <c r="I52" s="35"/>
      <c r="J52" s="34" t="e">
        <f>IF(A52&lt;&gt;"",HLOOKUP(VALUE(TEXT(G52,"h:mm:ss")),IF($C$6="Laboral",[1]Input!$A$4:$Y$227,IF($C$6="Sábado",[1]Input!$A$231:$Y$452,[1]Input!$A$456:$Y$656)),VLOOKUP($C$4,[1]Input!$AG$2:$AI$99,3,0)+IF(C$5="Ida",0,1),1),"")</f>
        <v>#N/A</v>
      </c>
      <c r="K52" s="34" t="str">
        <f>IF(A53&lt;&gt;A52,AVERAGEIF(A$9:A52,A52,J$13:J52),"")</f>
        <v/>
      </c>
      <c r="L52" s="35" t="str">
        <f>IFERROR(IF(A53&lt;&gt;A52,AVERAGEIF(A$9:A52,A52,S$13:S52),""),"")</f>
        <v/>
      </c>
      <c r="M52" s="35" t="str">
        <f>IFERROR(IF(A53&lt;&gt;A52,AVERAGEIF(A$9:A52,A52,T$8:T52),""),"")</f>
        <v/>
      </c>
      <c r="N52" s="35" t="str" cm="1">
        <f t="array" ref="N52">IFERROR(IF(A53&lt;&gt;A52,_xlfn.STDEV.P(IF(A$9:A52=A52,T$7:T52)),""),"")</f>
        <v/>
      </c>
      <c r="O52" s="35" t="str" cm="1">
        <f t="array" ref="O52">IFERROR(IF(A53&lt;&gt;A52,_xlfn.STDEV.P(IF(A$9:A52=A52,S$7:S52)),""),"")</f>
        <v/>
      </c>
      <c r="P52" s="36" t="str">
        <f t="shared" si="0"/>
        <v/>
      </c>
      <c r="Q52" s="36" t="str">
        <f t="shared" si="1"/>
        <v/>
      </c>
      <c r="R52" s="36" t="str">
        <f t="shared" si="8"/>
        <v/>
      </c>
      <c r="S52" s="37" t="str">
        <f t="shared" si="9"/>
        <v/>
      </c>
      <c r="T52" s="37" t="str">
        <f t="shared" si="2"/>
        <v/>
      </c>
      <c r="U52" s="54"/>
      <c r="V52" s="46"/>
      <c r="W52" s="39" t="str">
        <f t="shared" si="10"/>
        <v/>
      </c>
      <c r="X52" s="38"/>
      <c r="Y52" s="48"/>
      <c r="AB52" s="56">
        <f t="shared" si="11"/>
        <v>1</v>
      </c>
      <c r="AC52" s="52"/>
      <c r="AD52" s="52"/>
      <c r="AE52" s="29" t="str">
        <f>IFERROR(
IF(AND(OR(AC52="C",AC52="c"), VLOOKUP(AF52,[1]Diccionario!B:N,13,0)="C"), "OK",IF(AND(OR(AC52="C",AC52="c"), OR(VLOOKUP(AF52,[1]Diccionario!B:N,13,0)="B", VLOOKUP(AF52,[1]Diccionario!B:N,13,0)="A")), "DEFICIT",IF(
AND(OR(AC52="B", AC52="BPAL"), VLOOKUP(AF52,[1]Diccionario!B:N,13,0)="B"), "OK",IF(AND(OR(AC52="B", AC52="BPAL"), VLOOKUP(AF52,[1]Diccionario!B:N,13,0)="A"), "DEFICIT",IF(AND(OR(AC52="B", AC52="BPAL"), VLOOKUP(AF52,[1]Diccionario!B:N,13,0)="C"), "SOBREOFERTA",IF(AND(AC52="A", VLOOKUP(AF52,[1]Diccionario!B:N,13,0)="A"), "OK",IF(
AND(AC52="A", OR(VLOOKUP(AF52,[1]Diccionario!B:N,13,0)="B", VLOOKUP(AF52,[1]Diccionario!B:N,13,0)="C")), "SOBREOFERTA",""
))))))),"")</f>
        <v/>
      </c>
      <c r="AF52" s="48"/>
      <c r="AG52" s="53"/>
      <c r="AH52" s="54"/>
      <c r="AI52" s="55" t="str">
        <f t="shared" si="12"/>
        <v/>
      </c>
      <c r="AJ52" s="46"/>
      <c r="AK52" s="34" t="e">
        <f>IF(AB52&lt;&gt;"",HLOOKUP(VALUE(TEXT(AH52,"h:mm:ss")),IF($C$6="Laboral",[1]Input!$A$4:$Y$227,IF($C$6="Sábado",[1]Input!$A$231:$Y$452,[1]Input!$A$456:$Y$656)),VLOOKUP($C$4,[1]Input!$AG$2:$AI$99,3,0)+IF(AD$5="Ida",0,1),1),"")</f>
        <v>#N/A</v>
      </c>
      <c r="AL52" s="34" t="str">
        <f>IF(AB53&lt;&gt;AB52,AVERAGEIF(AB$9:AB52,AB52,AK$9:AK52),"")</f>
        <v/>
      </c>
      <c r="AM52" s="35" t="str">
        <f>IFERROR(IF(AB53&lt;&gt;AB52,AVERAGEIF(AB$9:AB52,AB52,AT$9:AT52),""),"")</f>
        <v/>
      </c>
      <c r="AN52" s="35" t="str">
        <f>IFERROR(IF(AB53&lt;&gt;AB52,AVERAGEIF(AB$9:AB52,AB52,AU$9:AU52),""),"")</f>
        <v/>
      </c>
      <c r="AO52" s="35" t="str" cm="1">
        <f t="array" ref="AO52">IFERROR(IF(AB53&lt;&gt;AB52,_xlfn.STDEV.P(IF(AB$9:AB52=AB52,AU$9:AU52)),""),"")</f>
        <v/>
      </c>
      <c r="AP52" s="35" t="str" cm="1">
        <f t="array" ref="AP52">IFERROR(IF(AB53&lt;&gt;AB52,_xlfn.STDEV.P(IF(AB$9:AB52=AB52,AT$9:AT52)),""),"")</f>
        <v/>
      </c>
      <c r="AQ52" s="36" t="str">
        <f t="shared" si="3"/>
        <v/>
      </c>
      <c r="AR52" s="36" t="str">
        <f t="shared" si="4"/>
        <v/>
      </c>
      <c r="AS52" s="36" t="str">
        <f t="shared" si="13"/>
        <v/>
      </c>
      <c r="AT52" s="37" t="str">
        <f t="shared" si="5"/>
        <v/>
      </c>
      <c r="AU52" s="37" t="str">
        <f t="shared" si="6"/>
        <v/>
      </c>
      <c r="AV52" s="54"/>
      <c r="AW52" s="46"/>
      <c r="AX52" s="39" t="str" cm="1">
        <f t="array" ref="AX52">IF(AH52&lt;&gt;"",IF(AND(AX50:AX51&lt;&gt;"IE",AQ52&lt;&gt;0,AS52&lt;&gt;""),IF(IFERROR((AQ52/AS52),0) &lt;=1,IFERROR(AQ52/AS52,""),1),""),"")</f>
        <v/>
      </c>
      <c r="AY52" s="46"/>
      <c r="AZ52" s="57"/>
    </row>
    <row r="53" spans="1:52" ht="15.5" x14ac:dyDescent="0.35">
      <c r="A53" s="51">
        <f t="shared" si="16"/>
        <v>1</v>
      </c>
      <c r="B53" s="52"/>
      <c r="C53" s="52"/>
      <c r="D53" s="29" t="str">
        <f>IFERROR(
IF(AND(OR(Planilla!B53="C",Planilla!B53="c"), VLOOKUP(E53,[1]Diccionario!B:N,13,0)="C"), "OK",IF(AND(OR(Planilla!B53="C",Planilla!B53="c"), OR(VLOOKUP(E53,[1]Diccionario!B:N,13,0)="B", VLOOKUP(E53,[1]Diccionario!B:N,13,0)="A")), "DEFICIT",IF(
AND(OR(Planilla!B53="B", Planilla!B53="BPAL"), VLOOKUP(E53,[1]Diccionario!B:N,13,0)="B"), "OK",IF(AND(OR(Planilla!B53="B", Planilla!B53="BPAL"), VLOOKUP(E53,[1]Diccionario!B:N,13,0)="A"), "DEFICIT",IF(AND(OR(Planilla!B53="B", Planilla!B53="BPAL"), VLOOKUP(E53,[1]Diccionario!B:N,13,0)="C"), "SOBREOFERTA",IF(AND(Planilla!B53="A", VLOOKUP(E53,[1]Diccionario!B:N,13,0)="A"), "OK",IF(
AND(Planilla!B53="A", OR(VLOOKUP(E53,[1]Diccionario!B:N,13,0)="B", VLOOKUP(E53,[1]Diccionario!B:N,13,0)="C")), "SOBREOFERTA",""
))))))),"")</f>
        <v/>
      </c>
      <c r="E53" s="48"/>
      <c r="F53" s="53" t="str">
        <f t="shared" si="17"/>
        <v/>
      </c>
      <c r="G53" s="54"/>
      <c r="H53" s="55" t="str">
        <f t="shared" si="7"/>
        <v/>
      </c>
      <c r="I53" s="35"/>
      <c r="J53" s="34" t="e">
        <f>IF(A53&lt;&gt;"",HLOOKUP(VALUE(TEXT(G53,"h:mm:ss")),IF($C$6="Laboral",[1]Input!$A$4:$Y$227,IF($C$6="Sábado",[1]Input!$A$231:$Y$452,[1]Input!$A$456:$Y$656)),VLOOKUP($C$4,[1]Input!$AG$2:$AI$99,3,0)+IF(C$5="Ida",0,1),1),"")</f>
        <v>#N/A</v>
      </c>
      <c r="K53" s="34" t="str">
        <f>IF(A54&lt;&gt;A53,AVERAGEIF(A$9:A53,A53,J$13:J53),"")</f>
        <v/>
      </c>
      <c r="L53" s="35" t="str">
        <f>IFERROR(IF(A54&lt;&gt;A53,AVERAGEIF(A$9:A53,A53,S$13:S53),""),"")</f>
        <v/>
      </c>
      <c r="M53" s="35" t="str">
        <f>IFERROR(IF(A54&lt;&gt;A53,AVERAGEIF(A$9:A53,A53,T$8:T53),""),"")</f>
        <v/>
      </c>
      <c r="N53" s="35" t="str" cm="1">
        <f t="array" ref="N53">IFERROR(IF(A54&lt;&gt;A53,_xlfn.STDEV.P(IF(A$9:A53=A53,T$7:T53)),""),"")</f>
        <v/>
      </c>
      <c r="O53" s="35" t="str" cm="1">
        <f t="array" ref="O53">IFERROR(IF(A54&lt;&gt;A53,_xlfn.STDEV.P(IF(A$9:A53=A53,S$7:S53)),""),"")</f>
        <v/>
      </c>
      <c r="P53" s="36" t="str">
        <f t="shared" si="0"/>
        <v/>
      </c>
      <c r="Q53" s="36" t="str">
        <f t="shared" si="1"/>
        <v/>
      </c>
      <c r="R53" s="36" t="str">
        <f t="shared" si="8"/>
        <v/>
      </c>
      <c r="S53" s="37" t="str">
        <f t="shared" si="9"/>
        <v/>
      </c>
      <c r="T53" s="37" t="str">
        <f t="shared" si="2"/>
        <v/>
      </c>
      <c r="U53" s="54"/>
      <c r="V53" s="46"/>
      <c r="W53" s="39" t="str">
        <f t="shared" si="10"/>
        <v/>
      </c>
      <c r="X53" s="38"/>
      <c r="Y53" s="48"/>
      <c r="AB53" s="56">
        <f t="shared" si="11"/>
        <v>1</v>
      </c>
      <c r="AC53" s="52"/>
      <c r="AD53" s="52"/>
      <c r="AE53" s="29" t="str">
        <f>IFERROR(
IF(AND(OR(AC53="C",AC53="c"), VLOOKUP(AF53,[1]Diccionario!B:N,13,0)="C"), "OK",IF(AND(OR(AC53="C",AC53="c"), OR(VLOOKUP(AF53,[1]Diccionario!B:N,13,0)="B", VLOOKUP(AF53,[1]Diccionario!B:N,13,0)="A")), "DEFICIT",IF(
AND(OR(AC53="B", AC53="BPAL"), VLOOKUP(AF53,[1]Diccionario!B:N,13,0)="B"), "OK",IF(AND(OR(AC53="B", AC53="BPAL"), VLOOKUP(AF53,[1]Diccionario!B:N,13,0)="A"), "DEFICIT",IF(AND(OR(AC53="B", AC53="BPAL"), VLOOKUP(AF53,[1]Diccionario!B:N,13,0)="C"), "SOBREOFERTA",IF(AND(AC53="A", VLOOKUP(AF53,[1]Diccionario!B:N,13,0)="A"), "OK",IF(
AND(AC53="A", OR(VLOOKUP(AF53,[1]Diccionario!B:N,13,0)="B", VLOOKUP(AF53,[1]Diccionario!B:N,13,0)="C")), "SOBREOFERTA",""
))))))),"")</f>
        <v/>
      </c>
      <c r="AF53" s="48"/>
      <c r="AG53" s="53"/>
      <c r="AH53" s="54"/>
      <c r="AI53" s="55" t="str">
        <f t="shared" si="12"/>
        <v/>
      </c>
      <c r="AJ53" s="46"/>
      <c r="AK53" s="34" t="e">
        <f>IF(AB53&lt;&gt;"",HLOOKUP(VALUE(TEXT(AH53,"h:mm:ss")),IF($C$6="Laboral",[1]Input!$A$4:$Y$227,IF($C$6="Sábado",[1]Input!$A$231:$Y$452,[1]Input!$A$456:$Y$656)),VLOOKUP($C$4,[1]Input!$AG$2:$AI$99,3,0)+IF(AD$5="Ida",0,1),1),"")</f>
        <v>#N/A</v>
      </c>
      <c r="AL53" s="34" t="str">
        <f>IF(AB54&lt;&gt;AB53,AVERAGEIF(AB$9:AB53,AB53,AK$9:AK53),"")</f>
        <v/>
      </c>
      <c r="AM53" s="35" t="str">
        <f>IFERROR(IF(AB54&lt;&gt;AB53,AVERAGEIF(AB$9:AB53,AB53,AT$9:AT53),""),"")</f>
        <v/>
      </c>
      <c r="AN53" s="35" t="str">
        <f>IFERROR(IF(AB54&lt;&gt;AB53,AVERAGEIF(AB$9:AB53,AB53,AU$9:AU53),""),"")</f>
        <v/>
      </c>
      <c r="AO53" s="35" t="str" cm="1">
        <f t="array" ref="AO53">IFERROR(IF(AB54&lt;&gt;AB53,_xlfn.STDEV.P(IF(AB$9:AB53=AB53,AU$9:AU53)),""),"")</f>
        <v/>
      </c>
      <c r="AP53" s="35" t="str" cm="1">
        <f t="array" ref="AP53">IFERROR(IF(AB54&lt;&gt;AB53,_xlfn.STDEV.P(IF(AB$9:AB53=AB53,AT$9:AT53)),""),"")</f>
        <v/>
      </c>
      <c r="AQ53" s="36" t="str">
        <f t="shared" si="3"/>
        <v/>
      </c>
      <c r="AR53" s="36" t="str">
        <f t="shared" si="4"/>
        <v/>
      </c>
      <c r="AS53" s="36" t="str">
        <f t="shared" si="13"/>
        <v/>
      </c>
      <c r="AT53" s="37" t="str">
        <f t="shared" si="5"/>
        <v/>
      </c>
      <c r="AU53" s="37" t="str">
        <f t="shared" si="6"/>
        <v/>
      </c>
      <c r="AV53" s="54"/>
      <c r="AW53" s="46"/>
      <c r="AX53" s="39" t="str" cm="1">
        <f t="array" ref="AX53">IF(AH53&lt;&gt;"",IF(AND(AX51:AX52&lt;&gt;"IE",AQ53&lt;&gt;0,AS53&lt;&gt;""),IF(IFERROR((AQ53/AS53),0) &lt;=1,IFERROR(AQ53/AS53,""),1),""),"")</f>
        <v/>
      </c>
      <c r="AY53" s="46"/>
      <c r="AZ53" s="57"/>
    </row>
    <row r="54" spans="1:52" ht="15.5" x14ac:dyDescent="0.35">
      <c r="A54" s="51">
        <f t="shared" si="16"/>
        <v>1</v>
      </c>
      <c r="B54" s="52"/>
      <c r="C54" s="52"/>
      <c r="D54" s="29" t="str">
        <f>IFERROR(
IF(AND(OR(Planilla!B54="C",Planilla!B54="c"), VLOOKUP(E54,[1]Diccionario!B:N,13,0)="C"), "OK",IF(AND(OR(Planilla!B54="C",Planilla!B54="c"), OR(VLOOKUP(E54,[1]Diccionario!B:N,13,0)="B", VLOOKUP(E54,[1]Diccionario!B:N,13,0)="A")), "DEFICIT",IF(
AND(OR(Planilla!B54="B", Planilla!B54="BPAL"), VLOOKUP(E54,[1]Diccionario!B:N,13,0)="B"), "OK",IF(AND(OR(Planilla!B54="B", Planilla!B54="BPAL"), VLOOKUP(E54,[1]Diccionario!B:N,13,0)="A"), "DEFICIT",IF(AND(OR(Planilla!B54="B", Planilla!B54="BPAL"), VLOOKUP(E54,[1]Diccionario!B:N,13,0)="C"), "SOBREOFERTA",IF(AND(Planilla!B54="A", VLOOKUP(E54,[1]Diccionario!B:N,13,0)="A"), "OK",IF(
AND(Planilla!B54="A", OR(VLOOKUP(E54,[1]Diccionario!B:N,13,0)="B", VLOOKUP(E54,[1]Diccionario!B:N,13,0)="C")), "SOBREOFERTA",""
))))))),"")</f>
        <v/>
      </c>
      <c r="E54" s="48"/>
      <c r="F54" s="53" t="str">
        <f t="shared" si="17"/>
        <v/>
      </c>
      <c r="G54" s="54"/>
      <c r="H54" s="55" t="str">
        <f t="shared" si="7"/>
        <v/>
      </c>
      <c r="I54" s="35"/>
      <c r="J54" s="34" t="e">
        <f>IF(A54&lt;&gt;"",HLOOKUP(VALUE(TEXT(G54,"h:mm:ss")),IF($C$6="Laboral",[1]Input!$A$4:$Y$227,IF($C$6="Sábado",[1]Input!$A$231:$Y$452,[1]Input!$A$456:$Y$656)),VLOOKUP($C$4,[1]Input!$AG$2:$AI$99,3,0)+IF(C$5="Ida",0,1),1),"")</f>
        <v>#N/A</v>
      </c>
      <c r="K54" s="34" t="str">
        <f>IF(A55&lt;&gt;A54,AVERAGEIF(A$9:A54,A54,J$13:J54),"")</f>
        <v/>
      </c>
      <c r="L54" s="35" t="str">
        <f>IFERROR(IF(A55&lt;&gt;A54,AVERAGEIF(A$9:A54,A54,S$13:S54),""),"")</f>
        <v/>
      </c>
      <c r="M54" s="35" t="str">
        <f>IFERROR(IF(A55&lt;&gt;A54,AVERAGEIF(A$9:A54,A54,T$8:T54),""),"")</f>
        <v/>
      </c>
      <c r="N54" s="35" t="str" cm="1">
        <f t="array" ref="N54">IFERROR(IF(A55&lt;&gt;A54,_xlfn.STDEV.P(IF(A$9:A54=A54,T$7:T54)),""),"")</f>
        <v/>
      </c>
      <c r="O54" s="35" t="str" cm="1">
        <f t="array" ref="O54">IFERROR(IF(A55&lt;&gt;A54,_xlfn.STDEV.P(IF(A$9:A54=A54,S$7:S54)),""),"")</f>
        <v/>
      </c>
      <c r="P54" s="36" t="str">
        <f t="shared" si="0"/>
        <v/>
      </c>
      <c r="Q54" s="36" t="str">
        <f t="shared" si="1"/>
        <v/>
      </c>
      <c r="R54" s="36" t="str">
        <f t="shared" si="8"/>
        <v/>
      </c>
      <c r="S54" s="37" t="str">
        <f t="shared" si="9"/>
        <v/>
      </c>
      <c r="T54" s="37" t="str">
        <f t="shared" si="2"/>
        <v/>
      </c>
      <c r="U54" s="54"/>
      <c r="V54" s="46"/>
      <c r="W54" s="39" t="str">
        <f t="shared" si="10"/>
        <v/>
      </c>
      <c r="X54" s="38"/>
      <c r="Y54" s="48"/>
      <c r="AB54" s="56">
        <f t="shared" si="11"/>
        <v>1</v>
      </c>
      <c r="AC54" s="52"/>
      <c r="AD54" s="52"/>
      <c r="AE54" s="29" t="str">
        <f>IFERROR(
IF(AND(OR(AC54="C",AC54="c"), VLOOKUP(AF54,[1]Diccionario!B:N,13,0)="C"), "OK",IF(AND(OR(AC54="C",AC54="c"), OR(VLOOKUP(AF54,[1]Diccionario!B:N,13,0)="B", VLOOKUP(AF54,[1]Diccionario!B:N,13,0)="A")), "DEFICIT",IF(
AND(OR(AC54="B", AC54="BPAL"), VLOOKUP(AF54,[1]Diccionario!B:N,13,0)="B"), "OK",IF(AND(OR(AC54="B", AC54="BPAL"), VLOOKUP(AF54,[1]Diccionario!B:N,13,0)="A"), "DEFICIT",IF(AND(OR(AC54="B", AC54="BPAL"), VLOOKUP(AF54,[1]Diccionario!B:N,13,0)="C"), "SOBREOFERTA",IF(AND(AC54="A", VLOOKUP(AF54,[1]Diccionario!B:N,13,0)="A"), "OK",IF(
AND(AC54="A", OR(VLOOKUP(AF54,[1]Diccionario!B:N,13,0)="B", VLOOKUP(AF54,[1]Diccionario!B:N,13,0)="C")), "SOBREOFERTA",""
))))))),"")</f>
        <v/>
      </c>
      <c r="AF54" s="48"/>
      <c r="AG54" s="53"/>
      <c r="AH54" s="54"/>
      <c r="AI54" s="55" t="str">
        <f t="shared" si="12"/>
        <v/>
      </c>
      <c r="AJ54" s="46"/>
      <c r="AK54" s="34" t="e">
        <f>IF(AB54&lt;&gt;"",HLOOKUP(VALUE(TEXT(AH54,"h:mm:ss")),IF($C$6="Laboral",[1]Input!$A$4:$Y$227,IF($C$6="Sábado",[1]Input!$A$231:$Y$452,[1]Input!$A$456:$Y$656)),VLOOKUP($C$4,[1]Input!$AG$2:$AI$99,3,0)+IF(AD$5="Ida",0,1),1),"")</f>
        <v>#N/A</v>
      </c>
      <c r="AL54" s="34" t="str">
        <f>IF(AB55&lt;&gt;AB54,AVERAGEIF(AB$9:AB54,AB54,AK$9:AK54),"")</f>
        <v/>
      </c>
      <c r="AM54" s="35" t="str">
        <f>IFERROR(IF(AB55&lt;&gt;AB54,AVERAGEIF(AB$9:AB54,AB54,AT$9:AT54),""),"")</f>
        <v/>
      </c>
      <c r="AN54" s="35" t="str">
        <f>IFERROR(IF(AB55&lt;&gt;AB54,AVERAGEIF(AB$9:AB54,AB54,AU$9:AU54),""),"")</f>
        <v/>
      </c>
      <c r="AO54" s="35" t="str" cm="1">
        <f t="array" ref="AO54">IFERROR(IF(AB55&lt;&gt;AB54,_xlfn.STDEV.P(IF(AB$9:AB54=AB54,AU$9:AU54)),""),"")</f>
        <v/>
      </c>
      <c r="AP54" s="35" t="str" cm="1">
        <f t="array" ref="AP54">IFERROR(IF(AB55&lt;&gt;AB54,_xlfn.STDEV.P(IF(AB$9:AB54=AB54,AT$9:AT54)),""),"")</f>
        <v/>
      </c>
      <c r="AQ54" s="36" t="str">
        <f t="shared" si="3"/>
        <v/>
      </c>
      <c r="AR54" s="36" t="str">
        <f t="shared" si="4"/>
        <v/>
      </c>
      <c r="AS54" s="36" t="str">
        <f t="shared" si="13"/>
        <v/>
      </c>
      <c r="AT54" s="37" t="str">
        <f t="shared" si="5"/>
        <v/>
      </c>
      <c r="AU54" s="37" t="str">
        <f t="shared" si="6"/>
        <v/>
      </c>
      <c r="AV54" s="54"/>
      <c r="AW54" s="46"/>
      <c r="AX54" s="39" t="str" cm="1">
        <f t="array" ref="AX54">IF(AH54&lt;&gt;"",IF(AND(AX52:AX53&lt;&gt;"IE",AQ54&lt;&gt;0,AS54&lt;&gt;""),IF(IFERROR((AQ54/AS54),0) &lt;=1,IFERROR(AQ54/AS54,""),1),""),"")</f>
        <v/>
      </c>
      <c r="AY54" s="46"/>
      <c r="AZ54" s="57"/>
    </row>
    <row r="55" spans="1:52" ht="15.5" x14ac:dyDescent="0.35">
      <c r="A55" s="51">
        <f t="shared" si="16"/>
        <v>1</v>
      </c>
      <c r="B55" s="52"/>
      <c r="C55" s="52"/>
      <c r="D55" s="29" t="str">
        <f>IFERROR(
IF(AND(OR(Planilla!B55="C",Planilla!B55="c"), VLOOKUP(E55,[1]Diccionario!B:N,13,0)="C"), "OK",IF(AND(OR(Planilla!B55="C",Planilla!B55="c"), OR(VLOOKUP(E55,[1]Diccionario!B:N,13,0)="B", VLOOKUP(E55,[1]Diccionario!B:N,13,0)="A")), "DEFICIT",IF(
AND(OR(Planilla!B55="B", Planilla!B55="BPAL"), VLOOKUP(E55,[1]Diccionario!B:N,13,0)="B"), "OK",IF(AND(OR(Planilla!B55="B", Planilla!B55="BPAL"), VLOOKUP(E55,[1]Diccionario!B:N,13,0)="A"), "DEFICIT",IF(AND(OR(Planilla!B55="B", Planilla!B55="BPAL"), VLOOKUP(E55,[1]Diccionario!B:N,13,0)="C"), "SOBREOFERTA",IF(AND(Planilla!B55="A", VLOOKUP(E55,[1]Diccionario!B:N,13,0)="A"), "OK",IF(
AND(Planilla!B55="A", OR(VLOOKUP(E55,[1]Diccionario!B:N,13,0)="B", VLOOKUP(E55,[1]Diccionario!B:N,13,0)="C")), "SOBREOFERTA",""
))))))),"")</f>
        <v/>
      </c>
      <c r="E55" s="48"/>
      <c r="F55" s="53" t="str">
        <f t="shared" si="17"/>
        <v/>
      </c>
      <c r="G55" s="54"/>
      <c r="H55" s="55" t="str">
        <f t="shared" si="7"/>
        <v/>
      </c>
      <c r="I55" s="35"/>
      <c r="J55" s="34" t="e">
        <f>IF(A55&lt;&gt;"",HLOOKUP(VALUE(TEXT(G55,"h:mm:ss")),IF($C$6="Laboral",[1]Input!$A$4:$Y$227,IF($C$6="Sábado",[1]Input!$A$231:$Y$452,[1]Input!$A$456:$Y$656)),VLOOKUP($C$4,[1]Input!$AG$2:$AI$99,3,0)+IF(C$5="Ida",0,1),1),"")</f>
        <v>#N/A</v>
      </c>
      <c r="K55" s="34" t="str">
        <f>IF(A56&lt;&gt;A55,AVERAGEIF(A$9:A55,A55,J$13:J55),"")</f>
        <v/>
      </c>
      <c r="L55" s="35" t="str">
        <f>IFERROR(IF(A56&lt;&gt;A55,AVERAGEIF(A$9:A55,A55,S$13:S55),""),"")</f>
        <v/>
      </c>
      <c r="M55" s="35" t="str">
        <f>IFERROR(IF(A56&lt;&gt;A55,AVERAGEIF(A$9:A55,A55,T$8:T55),""),"")</f>
        <v/>
      </c>
      <c r="N55" s="35" t="str" cm="1">
        <f t="array" ref="N55">IFERROR(IF(A56&lt;&gt;A55,_xlfn.STDEV.P(IF(A$9:A55=A55,T$7:T55)),""),"")</f>
        <v/>
      </c>
      <c r="O55" s="35" t="str" cm="1">
        <f t="array" ref="O55">IFERROR(IF(A56&lt;&gt;A55,_xlfn.STDEV.P(IF(A$9:A55=A55,S$7:S55)),""),"")</f>
        <v/>
      </c>
      <c r="P55" s="36" t="str">
        <f t="shared" si="0"/>
        <v/>
      </c>
      <c r="Q55" s="36" t="str">
        <f t="shared" si="1"/>
        <v/>
      </c>
      <c r="R55" s="36" t="str">
        <f t="shared" si="8"/>
        <v/>
      </c>
      <c r="S55" s="37" t="str">
        <f t="shared" si="9"/>
        <v/>
      </c>
      <c r="T55" s="37" t="str">
        <f t="shared" si="2"/>
        <v/>
      </c>
      <c r="U55" s="54"/>
      <c r="V55" s="46"/>
      <c r="W55" s="39" t="str">
        <f t="shared" si="10"/>
        <v/>
      </c>
      <c r="X55" s="38"/>
      <c r="Y55" s="48"/>
      <c r="AB55" s="56">
        <f t="shared" si="11"/>
        <v>1</v>
      </c>
      <c r="AC55" s="52"/>
      <c r="AD55" s="52"/>
      <c r="AE55" s="29" t="str">
        <f>IFERROR(
IF(AND(OR(AC55="C",AC55="c"), VLOOKUP(AF55,[1]Diccionario!B:N,13,0)="C"), "OK",IF(AND(OR(AC55="C",AC55="c"), OR(VLOOKUP(AF55,[1]Diccionario!B:N,13,0)="B", VLOOKUP(AF55,[1]Diccionario!B:N,13,0)="A")), "DEFICIT",IF(
AND(OR(AC55="B", AC55="BPAL"), VLOOKUP(AF55,[1]Diccionario!B:N,13,0)="B"), "OK",IF(AND(OR(AC55="B", AC55="BPAL"), VLOOKUP(AF55,[1]Diccionario!B:N,13,0)="A"), "DEFICIT",IF(AND(OR(AC55="B", AC55="BPAL"), VLOOKUP(AF55,[1]Diccionario!B:N,13,0)="C"), "SOBREOFERTA",IF(AND(AC55="A", VLOOKUP(AF55,[1]Diccionario!B:N,13,0)="A"), "OK",IF(
AND(AC55="A", OR(VLOOKUP(AF55,[1]Diccionario!B:N,13,0)="B", VLOOKUP(AF55,[1]Diccionario!B:N,13,0)="C")), "SOBREOFERTA",""
))))))),"")</f>
        <v/>
      </c>
      <c r="AF55" s="48"/>
      <c r="AG55" s="53"/>
      <c r="AH55" s="54"/>
      <c r="AI55" s="55" t="str">
        <f t="shared" si="12"/>
        <v/>
      </c>
      <c r="AJ55" s="46"/>
      <c r="AK55" s="34" t="e">
        <f>IF(AB55&lt;&gt;"",HLOOKUP(VALUE(TEXT(AH55,"h:mm:ss")),IF($C$6="Laboral",[1]Input!$A$4:$Y$227,IF($C$6="Sábado",[1]Input!$A$231:$Y$452,[1]Input!$A$456:$Y$656)),VLOOKUP($C$4,[1]Input!$AG$2:$AI$99,3,0)+IF(AD$5="Ida",0,1),1),"")</f>
        <v>#N/A</v>
      </c>
      <c r="AL55" s="34" t="str">
        <f>IF(AB56&lt;&gt;AB55,AVERAGEIF(AB$9:AB55,AB55,AK$9:AK55),"")</f>
        <v/>
      </c>
      <c r="AM55" s="35" t="str">
        <f>IFERROR(IF(AB56&lt;&gt;AB55,AVERAGEIF(AB$9:AB55,AB55,AT$9:AT55),""),"")</f>
        <v/>
      </c>
      <c r="AN55" s="35" t="str">
        <f>IFERROR(IF(AB56&lt;&gt;AB55,AVERAGEIF(AB$9:AB55,AB55,AU$9:AU55),""),"")</f>
        <v/>
      </c>
      <c r="AO55" s="35" t="str" cm="1">
        <f t="array" ref="AO55">IFERROR(IF(AB56&lt;&gt;AB55,_xlfn.STDEV.P(IF(AB$9:AB55=AB55,AU$9:AU55)),""),"")</f>
        <v/>
      </c>
      <c r="AP55" s="35" t="str" cm="1">
        <f t="array" ref="AP55">IFERROR(IF(AB56&lt;&gt;AB55,_xlfn.STDEV.P(IF(AB$9:AB55=AB55,AT$9:AT55)),""),"")</f>
        <v/>
      </c>
      <c r="AQ55" s="36" t="str">
        <f t="shared" si="3"/>
        <v/>
      </c>
      <c r="AR55" s="36" t="str">
        <f t="shared" si="4"/>
        <v/>
      </c>
      <c r="AS55" s="36" t="str">
        <f t="shared" si="13"/>
        <v/>
      </c>
      <c r="AT55" s="37" t="str">
        <f t="shared" si="5"/>
        <v/>
      </c>
      <c r="AU55" s="37" t="str">
        <f t="shared" si="6"/>
        <v/>
      </c>
      <c r="AV55" s="54"/>
      <c r="AW55" s="46"/>
      <c r="AX55" s="39" t="str" cm="1">
        <f t="array" ref="AX55">IF(AH55&lt;&gt;"",IF(AND(AX53:AX54&lt;&gt;"IE",AQ55&lt;&gt;0,AS55&lt;&gt;""),IF(IFERROR((AQ55/AS55),0) &lt;=1,IFERROR(AQ55/AS55,""),1),""),"")</f>
        <v/>
      </c>
      <c r="AY55" s="46"/>
      <c r="AZ55" s="57"/>
    </row>
    <row r="56" spans="1:52" ht="15.5" x14ac:dyDescent="0.35">
      <c r="A56" s="51">
        <f t="shared" si="16"/>
        <v>1</v>
      </c>
      <c r="B56" s="52"/>
      <c r="C56" s="52"/>
      <c r="D56" s="29" t="str">
        <f>IFERROR(
IF(AND(OR(Planilla!B56="C",Planilla!B56="c"), VLOOKUP(E56,[1]Diccionario!B:N,13,0)="C"), "OK",IF(AND(OR(Planilla!B56="C",Planilla!B56="c"), OR(VLOOKUP(E56,[1]Diccionario!B:N,13,0)="B", VLOOKUP(E56,[1]Diccionario!B:N,13,0)="A")), "DEFICIT",IF(
AND(OR(Planilla!B56="B", Planilla!B56="BPAL"), VLOOKUP(E56,[1]Diccionario!B:N,13,0)="B"), "OK",IF(AND(OR(Planilla!B56="B", Planilla!B56="BPAL"), VLOOKUP(E56,[1]Diccionario!B:N,13,0)="A"), "DEFICIT",IF(AND(OR(Planilla!B56="B", Planilla!B56="BPAL"), VLOOKUP(E56,[1]Diccionario!B:N,13,0)="C"), "SOBREOFERTA",IF(AND(Planilla!B56="A", VLOOKUP(E56,[1]Diccionario!B:N,13,0)="A"), "OK",IF(
AND(Planilla!B56="A", OR(VLOOKUP(E56,[1]Diccionario!B:N,13,0)="B", VLOOKUP(E56,[1]Diccionario!B:N,13,0)="C")), "SOBREOFERTA",""
))))))),"")</f>
        <v/>
      </c>
      <c r="E56" s="48"/>
      <c r="F56" s="53" t="str">
        <f t="shared" si="17"/>
        <v/>
      </c>
      <c r="G56" s="54"/>
      <c r="H56" s="55" t="str">
        <f t="shared" si="7"/>
        <v/>
      </c>
      <c r="I56" s="35"/>
      <c r="J56" s="34" t="e">
        <f>IF(A56&lt;&gt;"",HLOOKUP(VALUE(TEXT(G56,"h:mm:ss")),IF($C$6="Laboral",[1]Input!$A$4:$Y$227,IF($C$6="Sábado",[1]Input!$A$231:$Y$452,[1]Input!$A$456:$Y$656)),VLOOKUP($C$4,[1]Input!$AG$2:$AI$99,3,0)+IF(C$5="Ida",0,1),1),"")</f>
        <v>#N/A</v>
      </c>
      <c r="K56" s="34" t="str">
        <f>IF(A57&lt;&gt;A56,AVERAGEIF(A$9:A56,A56,J$13:J56),"")</f>
        <v/>
      </c>
      <c r="L56" s="35" t="str">
        <f>IFERROR(IF(A57&lt;&gt;A56,AVERAGEIF(A$9:A56,A56,S$13:S56),""),"")</f>
        <v/>
      </c>
      <c r="M56" s="35" t="str">
        <f>IFERROR(IF(A57&lt;&gt;A56,AVERAGEIF(A$9:A56,A56,T$8:T56),""),"")</f>
        <v/>
      </c>
      <c r="N56" s="35" t="str" cm="1">
        <f t="array" ref="N56">IFERROR(IF(A57&lt;&gt;A56,_xlfn.STDEV.P(IF(A$9:A56=A56,T$7:T56)),""),"")</f>
        <v/>
      </c>
      <c r="O56" s="35" t="str" cm="1">
        <f t="array" ref="O56">IFERROR(IF(A57&lt;&gt;A56,_xlfn.STDEV.P(IF(A$9:A56=A56,S$7:S56)),""),"")</f>
        <v/>
      </c>
      <c r="P56" s="36" t="str">
        <f t="shared" si="0"/>
        <v/>
      </c>
      <c r="Q56" s="36" t="str">
        <f t="shared" si="1"/>
        <v/>
      </c>
      <c r="R56" s="36" t="str">
        <f t="shared" si="8"/>
        <v/>
      </c>
      <c r="S56" s="37" t="str">
        <f t="shared" si="9"/>
        <v/>
      </c>
      <c r="T56" s="37" t="str">
        <f t="shared" si="2"/>
        <v/>
      </c>
      <c r="U56" s="54"/>
      <c r="V56" s="46"/>
      <c r="W56" s="39" t="str">
        <f t="shared" si="10"/>
        <v/>
      </c>
      <c r="X56" s="38"/>
      <c r="Y56" s="48"/>
      <c r="AB56" s="56">
        <f t="shared" si="11"/>
        <v>1</v>
      </c>
      <c r="AC56" s="52"/>
      <c r="AD56" s="52"/>
      <c r="AE56" s="29" t="str">
        <f>IFERROR(
IF(AND(OR(AC56="C",AC56="c"), VLOOKUP(AF56,[1]Diccionario!B:N,13,0)="C"), "OK",IF(AND(OR(AC56="C",AC56="c"), OR(VLOOKUP(AF56,[1]Diccionario!B:N,13,0)="B", VLOOKUP(AF56,[1]Diccionario!B:N,13,0)="A")), "DEFICIT",IF(
AND(OR(AC56="B", AC56="BPAL"), VLOOKUP(AF56,[1]Diccionario!B:N,13,0)="B"), "OK",IF(AND(OR(AC56="B", AC56="BPAL"), VLOOKUP(AF56,[1]Diccionario!B:N,13,0)="A"), "DEFICIT",IF(AND(OR(AC56="B", AC56="BPAL"), VLOOKUP(AF56,[1]Diccionario!B:N,13,0)="C"), "SOBREOFERTA",IF(AND(AC56="A", VLOOKUP(AF56,[1]Diccionario!B:N,13,0)="A"), "OK",IF(
AND(AC56="A", OR(VLOOKUP(AF56,[1]Diccionario!B:N,13,0)="B", VLOOKUP(AF56,[1]Diccionario!B:N,13,0)="C")), "SOBREOFERTA",""
))))))),"")</f>
        <v/>
      </c>
      <c r="AF56" s="48"/>
      <c r="AG56" s="53"/>
      <c r="AH56" s="54"/>
      <c r="AI56" s="55" t="str">
        <f t="shared" si="12"/>
        <v/>
      </c>
      <c r="AJ56" s="46"/>
      <c r="AK56" s="34" t="e">
        <f>IF(AB56&lt;&gt;"",HLOOKUP(VALUE(TEXT(AH56,"h:mm:ss")),IF($C$6="Laboral",[1]Input!$A$4:$Y$227,IF($C$6="Sábado",[1]Input!$A$231:$Y$452,[1]Input!$A$456:$Y$656)),VLOOKUP($C$4,[1]Input!$AG$2:$AI$99,3,0)+IF(AD$5="Ida",0,1),1),"")</f>
        <v>#N/A</v>
      </c>
      <c r="AL56" s="34" t="str">
        <f>IF(AB57&lt;&gt;AB56,AVERAGEIF(AB$9:AB56,AB56,AK$9:AK56),"")</f>
        <v/>
      </c>
      <c r="AM56" s="35" t="str">
        <f>IFERROR(IF(AB57&lt;&gt;AB56,AVERAGEIF(AB$9:AB56,AB56,AT$9:AT56),""),"")</f>
        <v/>
      </c>
      <c r="AN56" s="35" t="str">
        <f>IFERROR(IF(AB57&lt;&gt;AB56,AVERAGEIF(AB$9:AB56,AB56,AU$9:AU56),""),"")</f>
        <v/>
      </c>
      <c r="AO56" s="35" t="str" cm="1">
        <f t="array" ref="AO56">IFERROR(IF(AB57&lt;&gt;AB56,_xlfn.STDEV.P(IF(AB$9:AB56=AB56,AU$9:AU56)),""),"")</f>
        <v/>
      </c>
      <c r="AP56" s="35" t="str" cm="1">
        <f t="array" ref="AP56">IFERROR(IF(AB57&lt;&gt;AB56,_xlfn.STDEV.P(IF(AB$9:AB56=AB56,AT$9:AT56)),""),"")</f>
        <v/>
      </c>
      <c r="AQ56" s="36" t="str">
        <f t="shared" si="3"/>
        <v/>
      </c>
      <c r="AR56" s="36" t="str">
        <f t="shared" si="4"/>
        <v/>
      </c>
      <c r="AS56" s="36" t="str">
        <f t="shared" si="13"/>
        <v/>
      </c>
      <c r="AT56" s="37" t="str">
        <f t="shared" si="5"/>
        <v/>
      </c>
      <c r="AU56" s="37" t="str">
        <f t="shared" si="6"/>
        <v/>
      </c>
      <c r="AV56" s="54"/>
      <c r="AW56" s="46"/>
      <c r="AX56" s="39" t="str" cm="1">
        <f t="array" ref="AX56">IF(AH56&lt;&gt;"",IF(AND(AX54:AX55&lt;&gt;"IE",AQ56&lt;&gt;0,AS56&lt;&gt;""),IF(IFERROR((AQ56/AS56),0) &lt;=1,IFERROR(AQ56/AS56,""),1),""),"")</f>
        <v/>
      </c>
      <c r="AY56" s="46"/>
      <c r="AZ56" s="57"/>
    </row>
    <row r="57" spans="1:52" ht="15.5" x14ac:dyDescent="0.35">
      <c r="A57" s="51">
        <f t="shared" si="16"/>
        <v>1</v>
      </c>
      <c r="B57" s="52"/>
      <c r="C57" s="52"/>
      <c r="D57" s="29" t="str">
        <f>IFERROR(
IF(AND(OR(Planilla!B57="C",Planilla!B57="c"), VLOOKUP(E57,[1]Diccionario!B:N,13,0)="C"), "OK",IF(AND(OR(Planilla!B57="C",Planilla!B57="c"), OR(VLOOKUP(E57,[1]Diccionario!B:N,13,0)="B", VLOOKUP(E57,[1]Diccionario!B:N,13,0)="A")), "DEFICIT",IF(
AND(OR(Planilla!B57="B", Planilla!B57="BPAL"), VLOOKUP(E57,[1]Diccionario!B:N,13,0)="B"), "OK",IF(AND(OR(Planilla!B57="B", Planilla!B57="BPAL"), VLOOKUP(E57,[1]Diccionario!B:N,13,0)="A"), "DEFICIT",IF(AND(OR(Planilla!B57="B", Planilla!B57="BPAL"), VLOOKUP(E57,[1]Diccionario!B:N,13,0)="C"), "SOBREOFERTA",IF(AND(Planilla!B57="A", VLOOKUP(E57,[1]Diccionario!B:N,13,0)="A"), "OK",IF(
AND(Planilla!B57="A", OR(VLOOKUP(E57,[1]Diccionario!B:N,13,0)="B", VLOOKUP(E57,[1]Diccionario!B:N,13,0)="C")), "SOBREOFERTA",""
))))))),"")</f>
        <v/>
      </c>
      <c r="E57" s="48"/>
      <c r="F57" s="53" t="str">
        <f t="shared" si="17"/>
        <v/>
      </c>
      <c r="G57" s="54"/>
      <c r="H57" s="55" t="str">
        <f t="shared" si="7"/>
        <v/>
      </c>
      <c r="I57" s="35"/>
      <c r="J57" s="34" t="e">
        <f>IF(A57&lt;&gt;"",HLOOKUP(VALUE(TEXT(G57,"h:mm:ss")),IF($C$6="Laboral",[1]Input!$A$4:$Y$227,IF($C$6="Sábado",[1]Input!$A$231:$Y$452,[1]Input!$A$456:$Y$656)),VLOOKUP($C$4,[1]Input!$AG$2:$AI$99,3,0)+IF(C$5="Ida",0,1),1),"")</f>
        <v>#N/A</v>
      </c>
      <c r="K57" s="34" t="str">
        <f>IF(A58&lt;&gt;A57,AVERAGEIF(A$9:A57,A57,J$13:J57),"")</f>
        <v/>
      </c>
      <c r="L57" s="35" t="str">
        <f>IFERROR(IF(A58&lt;&gt;A57,AVERAGEIF(A$9:A57,A57,S$13:S57),""),"")</f>
        <v/>
      </c>
      <c r="M57" s="35" t="str">
        <f>IFERROR(IF(A58&lt;&gt;A57,AVERAGEIF(A$9:A57,A57,T$8:T57),""),"")</f>
        <v/>
      </c>
      <c r="N57" s="35" t="str" cm="1">
        <f t="array" ref="N57">IFERROR(IF(A58&lt;&gt;A57,_xlfn.STDEV.P(IF(A$9:A57=A57,T$7:T57)),""),"")</f>
        <v/>
      </c>
      <c r="O57" s="35" t="str" cm="1">
        <f t="array" ref="O57">IFERROR(IF(A58&lt;&gt;A57,_xlfn.STDEV.P(IF(A$9:A57=A57,S$7:S57)),""),"")</f>
        <v/>
      </c>
      <c r="P57" s="36" t="str">
        <f t="shared" si="0"/>
        <v/>
      </c>
      <c r="Q57" s="36" t="str">
        <f t="shared" si="1"/>
        <v/>
      </c>
      <c r="R57" s="36" t="str">
        <f t="shared" si="8"/>
        <v/>
      </c>
      <c r="S57" s="37" t="str">
        <f t="shared" si="9"/>
        <v/>
      </c>
      <c r="T57" s="37" t="str">
        <f t="shared" si="2"/>
        <v/>
      </c>
      <c r="U57" s="54"/>
      <c r="V57" s="46"/>
      <c r="W57" s="39" t="str">
        <f t="shared" si="10"/>
        <v/>
      </c>
      <c r="X57" s="38"/>
      <c r="Y57" s="48"/>
      <c r="AB57" s="56">
        <f t="shared" si="11"/>
        <v>1</v>
      </c>
      <c r="AC57" s="52"/>
      <c r="AD57" s="52"/>
      <c r="AE57" s="29" t="str">
        <f>IFERROR(
IF(AND(OR(AC57="C",AC57="c"), VLOOKUP(AF57,[1]Diccionario!B:N,13,0)="C"), "OK",IF(AND(OR(AC57="C",AC57="c"), OR(VLOOKUP(AF57,[1]Diccionario!B:N,13,0)="B", VLOOKUP(AF57,[1]Diccionario!B:N,13,0)="A")), "DEFICIT",IF(
AND(OR(AC57="B", AC57="BPAL"), VLOOKUP(AF57,[1]Diccionario!B:N,13,0)="B"), "OK",IF(AND(OR(AC57="B", AC57="BPAL"), VLOOKUP(AF57,[1]Diccionario!B:N,13,0)="A"), "DEFICIT",IF(AND(OR(AC57="B", AC57="BPAL"), VLOOKUP(AF57,[1]Diccionario!B:N,13,0)="C"), "SOBREOFERTA",IF(AND(AC57="A", VLOOKUP(AF57,[1]Diccionario!B:N,13,0)="A"), "OK",IF(
AND(AC57="A", OR(VLOOKUP(AF57,[1]Diccionario!B:N,13,0)="B", VLOOKUP(AF57,[1]Diccionario!B:N,13,0)="C")), "SOBREOFERTA",""
))))))),"")</f>
        <v/>
      </c>
      <c r="AF57" s="48"/>
      <c r="AG57" s="53"/>
      <c r="AH57" s="54"/>
      <c r="AI57" s="55" t="str">
        <f t="shared" si="12"/>
        <v/>
      </c>
      <c r="AJ57" s="46"/>
      <c r="AK57" s="34" t="e">
        <f>IF(AB57&lt;&gt;"",HLOOKUP(VALUE(TEXT(AH57,"h:mm:ss")),IF($C$6="Laboral",[1]Input!$A$4:$Y$227,IF($C$6="Sábado",[1]Input!$A$231:$Y$452,[1]Input!$A$456:$Y$656)),VLOOKUP($C$4,[1]Input!$AG$2:$AI$99,3,0)+IF(AD$5="Ida",0,1),1),"")</f>
        <v>#N/A</v>
      </c>
      <c r="AL57" s="34" t="str">
        <f>IF(AB58&lt;&gt;AB57,AVERAGEIF(AB$9:AB57,AB57,AK$9:AK57),"")</f>
        <v/>
      </c>
      <c r="AM57" s="35" t="str">
        <f>IFERROR(IF(AB58&lt;&gt;AB57,AVERAGEIF(AB$9:AB57,AB57,AT$9:AT57),""),"")</f>
        <v/>
      </c>
      <c r="AN57" s="35" t="str">
        <f>IFERROR(IF(AB58&lt;&gt;AB57,AVERAGEIF(AB$9:AB57,AB57,AU$9:AU57),""),"")</f>
        <v/>
      </c>
      <c r="AO57" s="35" t="str" cm="1">
        <f t="array" ref="AO57">IFERROR(IF(AB58&lt;&gt;AB57,_xlfn.STDEV.P(IF(AB$9:AB57=AB57,AU$9:AU57)),""),"")</f>
        <v/>
      </c>
      <c r="AP57" s="35" t="str" cm="1">
        <f t="array" ref="AP57">IFERROR(IF(AB58&lt;&gt;AB57,_xlfn.STDEV.P(IF(AB$9:AB57=AB57,AT$9:AT57)),""),"")</f>
        <v/>
      </c>
      <c r="AQ57" s="36" t="str">
        <f t="shared" si="3"/>
        <v/>
      </c>
      <c r="AR57" s="36" t="str">
        <f t="shared" si="4"/>
        <v/>
      </c>
      <c r="AS57" s="36" t="str">
        <f t="shared" si="13"/>
        <v/>
      </c>
      <c r="AT57" s="37" t="str">
        <f t="shared" si="5"/>
        <v/>
      </c>
      <c r="AU57" s="37" t="str">
        <f t="shared" si="6"/>
        <v/>
      </c>
      <c r="AV57" s="54"/>
      <c r="AW57" s="46"/>
      <c r="AX57" s="39" t="str" cm="1">
        <f t="array" ref="AX57">IF(AH57&lt;&gt;"",IF(AND(AX55:AX56&lt;&gt;"IE",AQ57&lt;&gt;0,AS57&lt;&gt;""),IF(IFERROR((AQ57/AS57),0) &lt;=1,IFERROR(AQ57/AS57,""),1),""),"")</f>
        <v/>
      </c>
      <c r="AY57" s="46"/>
      <c r="AZ57" s="57"/>
    </row>
    <row r="58" spans="1:52" ht="15.5" x14ac:dyDescent="0.35">
      <c r="A58" s="51">
        <f t="shared" si="16"/>
        <v>1</v>
      </c>
      <c r="B58" s="52"/>
      <c r="C58" s="52"/>
      <c r="D58" s="29" t="str">
        <f>IFERROR(
IF(AND(OR(Planilla!B58="C",Planilla!B58="c"), VLOOKUP(E58,[1]Diccionario!B:N,13,0)="C"), "OK",IF(AND(OR(Planilla!B58="C",Planilla!B58="c"), OR(VLOOKUP(E58,[1]Diccionario!B:N,13,0)="B", VLOOKUP(E58,[1]Diccionario!B:N,13,0)="A")), "DEFICIT",IF(
AND(OR(Planilla!B58="B", Planilla!B58="BPAL"), VLOOKUP(E58,[1]Diccionario!B:N,13,0)="B"), "OK",IF(AND(OR(Planilla!B58="B", Planilla!B58="BPAL"), VLOOKUP(E58,[1]Diccionario!B:N,13,0)="A"), "DEFICIT",IF(AND(OR(Planilla!B58="B", Planilla!B58="BPAL"), VLOOKUP(E58,[1]Diccionario!B:N,13,0)="C"), "SOBREOFERTA",IF(AND(Planilla!B58="A", VLOOKUP(E58,[1]Diccionario!B:N,13,0)="A"), "OK",IF(
AND(Planilla!B58="A", OR(VLOOKUP(E58,[1]Diccionario!B:N,13,0)="B", VLOOKUP(E58,[1]Diccionario!B:N,13,0)="C")), "SOBREOFERTA",""
))))))),"")</f>
        <v/>
      </c>
      <c r="E58" s="48"/>
      <c r="F58" s="53" t="str">
        <f t="shared" si="17"/>
        <v/>
      </c>
      <c r="G58" s="54"/>
      <c r="H58" s="55" t="str">
        <f t="shared" si="7"/>
        <v/>
      </c>
      <c r="I58" s="35"/>
      <c r="J58" s="34" t="e">
        <f>IF(A58&lt;&gt;"",HLOOKUP(VALUE(TEXT(G58,"h:mm:ss")),IF($C$6="Laboral",[1]Input!$A$4:$Y$227,IF($C$6="Sábado",[1]Input!$A$231:$Y$452,[1]Input!$A$456:$Y$656)),VLOOKUP($C$4,[1]Input!$AG$2:$AI$99,3,0)+IF(C$5="Ida",0,1),1),"")</f>
        <v>#N/A</v>
      </c>
      <c r="K58" s="34" t="str">
        <f>IF(A59&lt;&gt;A58,AVERAGEIF(A$9:A58,A58,J$13:J58),"")</f>
        <v/>
      </c>
      <c r="L58" s="35" t="str">
        <f>IFERROR(IF(A59&lt;&gt;A58,AVERAGEIF(A$9:A58,A58,S$13:S58),""),"")</f>
        <v/>
      </c>
      <c r="M58" s="35" t="str">
        <f>IFERROR(IF(A59&lt;&gt;A58,AVERAGEIF(A$9:A58,A58,T$8:T58),""),"")</f>
        <v/>
      </c>
      <c r="N58" s="35" t="str" cm="1">
        <f t="array" ref="N58">IFERROR(IF(A59&lt;&gt;A58,_xlfn.STDEV.P(IF(A$9:A58=A58,T$7:T58)),""),"")</f>
        <v/>
      </c>
      <c r="O58" s="35" t="str" cm="1">
        <f t="array" ref="O58">IFERROR(IF(A59&lt;&gt;A58,_xlfn.STDEV.P(IF(A$9:A58=A58,S$7:S58)),""),"")</f>
        <v/>
      </c>
      <c r="P58" s="36" t="str">
        <f t="shared" si="0"/>
        <v/>
      </c>
      <c r="Q58" s="36" t="str">
        <f t="shared" si="1"/>
        <v/>
      </c>
      <c r="R58" s="36" t="str">
        <f t="shared" si="8"/>
        <v/>
      </c>
      <c r="S58" s="37" t="str">
        <f t="shared" si="9"/>
        <v/>
      </c>
      <c r="T58" s="37" t="str">
        <f t="shared" si="2"/>
        <v/>
      </c>
      <c r="U58" s="54"/>
      <c r="V58" s="46"/>
      <c r="W58" s="39" t="str">
        <f t="shared" si="10"/>
        <v/>
      </c>
      <c r="X58" s="38"/>
      <c r="Y58" s="48"/>
      <c r="AB58" s="56">
        <f t="shared" si="11"/>
        <v>1</v>
      </c>
      <c r="AC58" s="52"/>
      <c r="AD58" s="52"/>
      <c r="AE58" s="29" t="str">
        <f>IFERROR(
IF(AND(OR(AC58="C",AC58="c"), VLOOKUP(AF58,[1]Diccionario!B:N,13,0)="C"), "OK",IF(AND(OR(AC58="C",AC58="c"), OR(VLOOKUP(AF58,[1]Diccionario!B:N,13,0)="B", VLOOKUP(AF58,[1]Diccionario!B:N,13,0)="A")), "DEFICIT",IF(
AND(OR(AC58="B", AC58="BPAL"), VLOOKUP(AF58,[1]Diccionario!B:N,13,0)="B"), "OK",IF(AND(OR(AC58="B", AC58="BPAL"), VLOOKUP(AF58,[1]Diccionario!B:N,13,0)="A"), "DEFICIT",IF(AND(OR(AC58="B", AC58="BPAL"), VLOOKUP(AF58,[1]Diccionario!B:N,13,0)="C"), "SOBREOFERTA",IF(AND(AC58="A", VLOOKUP(AF58,[1]Diccionario!B:N,13,0)="A"), "OK",IF(
AND(AC58="A", OR(VLOOKUP(AF58,[1]Diccionario!B:N,13,0)="B", VLOOKUP(AF58,[1]Diccionario!B:N,13,0)="C")), "SOBREOFERTA",""
))))))),"")</f>
        <v/>
      </c>
      <c r="AF58" s="48"/>
      <c r="AG58" s="53"/>
      <c r="AH58" s="54"/>
      <c r="AI58" s="55" t="str">
        <f t="shared" si="12"/>
        <v/>
      </c>
      <c r="AJ58" s="46"/>
      <c r="AK58" s="34" t="e">
        <f>IF(AB58&lt;&gt;"",HLOOKUP(VALUE(TEXT(AH58,"h:mm:ss")),IF($C$6="Laboral",[1]Input!$A$4:$Y$227,IF($C$6="Sábado",[1]Input!$A$231:$Y$452,[1]Input!$A$456:$Y$656)),VLOOKUP($C$4,[1]Input!$AG$2:$AI$99,3,0)+IF(AD$5="Ida",0,1),1),"")</f>
        <v>#N/A</v>
      </c>
      <c r="AL58" s="34" t="str">
        <f>IF(AB59&lt;&gt;AB58,AVERAGEIF(AB$9:AB58,AB58,AK$9:AK58),"")</f>
        <v/>
      </c>
      <c r="AM58" s="35" t="str">
        <f>IFERROR(IF(AB59&lt;&gt;AB58,AVERAGEIF(AB$9:AB58,AB58,AT$9:AT58),""),"")</f>
        <v/>
      </c>
      <c r="AN58" s="35" t="str">
        <f>IFERROR(IF(AB59&lt;&gt;AB58,AVERAGEIF(AB$9:AB58,AB58,AU$9:AU58),""),"")</f>
        <v/>
      </c>
      <c r="AO58" s="35" t="str" cm="1">
        <f t="array" ref="AO58">IFERROR(IF(AB59&lt;&gt;AB58,_xlfn.STDEV.P(IF(AB$9:AB58=AB58,AU$9:AU58)),""),"")</f>
        <v/>
      </c>
      <c r="AP58" s="35" t="str" cm="1">
        <f t="array" ref="AP58">IFERROR(IF(AB59&lt;&gt;AB58,_xlfn.STDEV.P(IF(AB$9:AB58=AB58,AT$9:AT58)),""),"")</f>
        <v/>
      </c>
      <c r="AQ58" s="36" t="str">
        <f t="shared" si="3"/>
        <v/>
      </c>
      <c r="AR58" s="36" t="str">
        <f t="shared" si="4"/>
        <v/>
      </c>
      <c r="AS58" s="36" t="str">
        <f t="shared" si="13"/>
        <v/>
      </c>
      <c r="AT58" s="37" t="str">
        <f t="shared" si="5"/>
        <v/>
      </c>
      <c r="AU58" s="37" t="str">
        <f t="shared" si="6"/>
        <v/>
      </c>
      <c r="AV58" s="54"/>
      <c r="AW58" s="46"/>
      <c r="AX58" s="39" t="str" cm="1">
        <f t="array" ref="AX58">IF(AH58&lt;&gt;"",IF(AND(AX56:AX57&lt;&gt;"IE",AQ58&lt;&gt;0,AS58&lt;&gt;""),IF(IFERROR((AQ58/AS58),0) &lt;=1,IFERROR(AQ58/AS58,""),1),""),"")</f>
        <v/>
      </c>
      <c r="AY58" s="46"/>
      <c r="AZ58" s="57"/>
    </row>
    <row r="59" spans="1:52" ht="15.5" x14ac:dyDescent="0.35">
      <c r="A59" s="51">
        <f t="shared" si="16"/>
        <v>1</v>
      </c>
      <c r="B59" s="52"/>
      <c r="C59" s="52"/>
      <c r="D59" s="29" t="str">
        <f>IFERROR(
IF(AND(OR(Planilla!B59="C",Planilla!B59="c"), VLOOKUP(E59,[1]Diccionario!B:N,13,0)="C"), "OK",IF(AND(OR(Planilla!B59="C",Planilla!B59="c"), OR(VLOOKUP(E59,[1]Diccionario!B:N,13,0)="B", VLOOKUP(E59,[1]Diccionario!B:N,13,0)="A")), "DEFICIT",IF(
AND(OR(Planilla!B59="B", Planilla!B59="BPAL"), VLOOKUP(E59,[1]Diccionario!B:N,13,0)="B"), "OK",IF(AND(OR(Planilla!B59="B", Planilla!B59="BPAL"), VLOOKUP(E59,[1]Diccionario!B:N,13,0)="A"), "DEFICIT",IF(AND(OR(Planilla!B59="B", Planilla!B59="BPAL"), VLOOKUP(E59,[1]Diccionario!B:N,13,0)="C"), "SOBREOFERTA",IF(AND(Planilla!B59="A", VLOOKUP(E59,[1]Diccionario!B:N,13,0)="A"), "OK",IF(
AND(Planilla!B59="A", OR(VLOOKUP(E59,[1]Diccionario!B:N,13,0)="B", VLOOKUP(E59,[1]Diccionario!B:N,13,0)="C")), "SOBREOFERTA",""
))))))),"")</f>
        <v/>
      </c>
      <c r="E59" s="48"/>
      <c r="F59" s="53" t="str">
        <f t="shared" si="17"/>
        <v/>
      </c>
      <c r="G59" s="54"/>
      <c r="H59" s="55" t="str">
        <f t="shared" si="7"/>
        <v/>
      </c>
      <c r="I59" s="35"/>
      <c r="J59" s="34" t="e">
        <f>IF(A59&lt;&gt;"",HLOOKUP(VALUE(TEXT(G59,"h:mm:ss")),IF($C$6="Laboral",[1]Input!$A$4:$Y$227,IF($C$6="Sábado",[1]Input!$A$231:$Y$452,[1]Input!$A$456:$Y$656)),VLOOKUP($C$4,[1]Input!$AG$2:$AI$99,3,0)+IF(C$5="Ida",0,1),1),"")</f>
        <v>#N/A</v>
      </c>
      <c r="K59" s="34" t="str">
        <f>IF(A60&lt;&gt;A59,AVERAGEIF(A$9:A59,A59,J$13:J59),"")</f>
        <v/>
      </c>
      <c r="L59" s="35" t="str">
        <f>IFERROR(IF(A60&lt;&gt;A59,AVERAGEIF(A$9:A59,A59,S$13:S59),""),"")</f>
        <v/>
      </c>
      <c r="M59" s="35" t="str">
        <f>IFERROR(IF(A60&lt;&gt;A59,AVERAGEIF(A$9:A59,A59,T$8:T59),""),"")</f>
        <v/>
      </c>
      <c r="N59" s="35" t="str" cm="1">
        <f t="array" ref="N59">IFERROR(IF(A60&lt;&gt;A59,_xlfn.STDEV.P(IF(A$9:A59=A59,T$7:T59)),""),"")</f>
        <v/>
      </c>
      <c r="O59" s="35" t="str" cm="1">
        <f t="array" ref="O59">IFERROR(IF(A60&lt;&gt;A59,_xlfn.STDEV.P(IF(A$9:A59=A59,S$7:S59)),""),"")</f>
        <v/>
      </c>
      <c r="P59" s="36" t="str">
        <f t="shared" si="0"/>
        <v/>
      </c>
      <c r="Q59" s="36" t="str">
        <f t="shared" si="1"/>
        <v/>
      </c>
      <c r="R59" s="36" t="str">
        <f t="shared" si="8"/>
        <v/>
      </c>
      <c r="S59" s="37" t="str">
        <f t="shared" si="9"/>
        <v/>
      </c>
      <c r="T59" s="37" t="str">
        <f t="shared" si="2"/>
        <v/>
      </c>
      <c r="U59" s="54"/>
      <c r="V59" s="46"/>
      <c r="W59" s="39" t="str">
        <f t="shared" si="10"/>
        <v/>
      </c>
      <c r="X59" s="38"/>
      <c r="Y59" s="48"/>
      <c r="AB59" s="56">
        <f t="shared" si="11"/>
        <v>1</v>
      </c>
      <c r="AC59" s="52"/>
      <c r="AD59" s="52"/>
      <c r="AE59" s="29" t="str">
        <f>IFERROR(
IF(AND(OR(AC59="C",AC59="c"), VLOOKUP(AF59,[1]Diccionario!B:N,13,0)="C"), "OK",IF(AND(OR(AC59="C",AC59="c"), OR(VLOOKUP(AF59,[1]Diccionario!B:N,13,0)="B", VLOOKUP(AF59,[1]Diccionario!B:N,13,0)="A")), "DEFICIT",IF(
AND(OR(AC59="B", AC59="BPAL"), VLOOKUP(AF59,[1]Diccionario!B:N,13,0)="B"), "OK",IF(AND(OR(AC59="B", AC59="BPAL"), VLOOKUP(AF59,[1]Diccionario!B:N,13,0)="A"), "DEFICIT",IF(AND(OR(AC59="B", AC59="BPAL"), VLOOKUP(AF59,[1]Diccionario!B:N,13,0)="C"), "SOBREOFERTA",IF(AND(AC59="A", VLOOKUP(AF59,[1]Diccionario!B:N,13,0)="A"), "OK",IF(
AND(AC59="A", OR(VLOOKUP(AF59,[1]Diccionario!B:N,13,0)="B", VLOOKUP(AF59,[1]Diccionario!B:N,13,0)="C")), "SOBREOFERTA",""
))))))),"")</f>
        <v/>
      </c>
      <c r="AF59" s="48"/>
      <c r="AG59" s="53"/>
      <c r="AH59" s="54"/>
      <c r="AI59" s="55" t="str">
        <f t="shared" si="12"/>
        <v/>
      </c>
      <c r="AJ59" s="46"/>
      <c r="AK59" s="34" t="e">
        <f>IF(AB59&lt;&gt;"",HLOOKUP(VALUE(TEXT(AH59,"h:mm:ss")),IF($C$6="Laboral",[1]Input!$A$4:$Y$227,IF($C$6="Sábado",[1]Input!$A$231:$Y$452,[1]Input!$A$456:$Y$656)),VLOOKUP($C$4,[1]Input!$AG$2:$AI$99,3,0)+IF(AD$5="Ida",0,1),1),"")</f>
        <v>#N/A</v>
      </c>
      <c r="AL59" s="34" t="str">
        <f>IF(AB60&lt;&gt;AB59,AVERAGEIF(AB$9:AB59,AB59,AK$9:AK59),"")</f>
        <v/>
      </c>
      <c r="AM59" s="35" t="str">
        <f>IFERROR(IF(AB60&lt;&gt;AB59,AVERAGEIF(AB$9:AB59,AB59,AT$9:AT59),""),"")</f>
        <v/>
      </c>
      <c r="AN59" s="35" t="str">
        <f>IFERROR(IF(AB60&lt;&gt;AB59,AVERAGEIF(AB$9:AB59,AB59,AU$9:AU59),""),"")</f>
        <v/>
      </c>
      <c r="AO59" s="35" t="str" cm="1">
        <f t="array" ref="AO59">IFERROR(IF(AB60&lt;&gt;AB59,_xlfn.STDEV.P(IF(AB$9:AB59=AB59,AU$9:AU59)),""),"")</f>
        <v/>
      </c>
      <c r="AP59" s="35" t="str" cm="1">
        <f t="array" ref="AP59">IFERROR(IF(AB60&lt;&gt;AB59,_xlfn.STDEV.P(IF(AB$9:AB59=AB59,AT$9:AT59)),""),"")</f>
        <v/>
      </c>
      <c r="AQ59" s="36" t="str">
        <f t="shared" si="3"/>
        <v/>
      </c>
      <c r="AR59" s="36" t="str">
        <f t="shared" si="4"/>
        <v/>
      </c>
      <c r="AS59" s="36" t="str">
        <f t="shared" si="13"/>
        <v/>
      </c>
      <c r="AT59" s="37" t="str">
        <f t="shared" si="5"/>
        <v/>
      </c>
      <c r="AU59" s="37" t="str">
        <f t="shared" si="6"/>
        <v/>
      </c>
      <c r="AV59" s="54"/>
      <c r="AW59" s="46"/>
      <c r="AX59" s="39" t="str" cm="1">
        <f t="array" ref="AX59">IF(AH59&lt;&gt;"",IF(AND(AX57:AX58&lt;&gt;"IE",AQ59&lt;&gt;0,AS59&lt;&gt;""),IF(IFERROR((AQ59/AS59),0) &lt;=1,IFERROR(AQ59/AS59,""),1),""),"")</f>
        <v/>
      </c>
      <c r="AY59" s="46"/>
      <c r="AZ59" s="57"/>
    </row>
    <row r="60" spans="1:52" ht="15.5" x14ac:dyDescent="0.35">
      <c r="A60" s="51">
        <f t="shared" si="16"/>
        <v>1</v>
      </c>
      <c r="B60" s="52"/>
      <c r="C60" s="52"/>
      <c r="D60" s="29" t="str">
        <f>IFERROR(
IF(AND(OR(Planilla!B60="C",Planilla!B60="c"), VLOOKUP(E60,[1]Diccionario!B:N,13,0)="C"), "OK",IF(AND(OR(Planilla!B60="C",Planilla!B60="c"), OR(VLOOKUP(E60,[1]Diccionario!B:N,13,0)="B", VLOOKUP(E60,[1]Diccionario!B:N,13,0)="A")), "DEFICIT",IF(
AND(OR(Planilla!B60="B", Planilla!B60="BPAL"), VLOOKUP(E60,[1]Diccionario!B:N,13,0)="B"), "OK",IF(AND(OR(Planilla!B60="B", Planilla!B60="BPAL"), VLOOKUP(E60,[1]Diccionario!B:N,13,0)="A"), "DEFICIT",IF(AND(OR(Planilla!B60="B", Planilla!B60="BPAL"), VLOOKUP(E60,[1]Diccionario!B:N,13,0)="C"), "SOBREOFERTA",IF(AND(Planilla!B60="A", VLOOKUP(E60,[1]Diccionario!B:N,13,0)="A"), "OK",IF(
AND(Planilla!B60="A", OR(VLOOKUP(E60,[1]Diccionario!B:N,13,0)="B", VLOOKUP(E60,[1]Diccionario!B:N,13,0)="C")), "SOBREOFERTA",""
))))))),"")</f>
        <v/>
      </c>
      <c r="E60" s="48"/>
      <c r="F60" s="53" t="str">
        <f t="shared" si="17"/>
        <v/>
      </c>
      <c r="G60" s="54"/>
      <c r="H60" s="55" t="str">
        <f t="shared" si="7"/>
        <v/>
      </c>
      <c r="I60" s="35"/>
      <c r="J60" s="34" t="e">
        <f>IF(A60&lt;&gt;"",HLOOKUP(VALUE(TEXT(G60,"h:mm:ss")),IF($C$6="Laboral",[1]Input!$A$4:$Y$227,IF($C$6="Sábado",[1]Input!$A$231:$Y$452,[1]Input!$A$456:$Y$656)),VLOOKUP($C$4,[1]Input!$AG$2:$AI$99,3,0)+IF(C$5="Ida",0,1),1),"")</f>
        <v>#N/A</v>
      </c>
      <c r="K60" s="34" t="str">
        <f>IF(A61&lt;&gt;A60,AVERAGEIF(A$9:A60,A60,J$13:J60),"")</f>
        <v/>
      </c>
      <c r="L60" s="35" t="str">
        <f>IFERROR(IF(A61&lt;&gt;A60,AVERAGEIF(A$9:A60,A60,S$13:S60),""),"")</f>
        <v/>
      </c>
      <c r="M60" s="35" t="str">
        <f>IFERROR(IF(A61&lt;&gt;A60,AVERAGEIF(A$9:A60,A60,T$8:T60),""),"")</f>
        <v/>
      </c>
      <c r="N60" s="35" t="str" cm="1">
        <f t="array" ref="N60">IFERROR(IF(A61&lt;&gt;A60,_xlfn.STDEV.P(IF(A$9:A60=A60,T$7:T60)),""),"")</f>
        <v/>
      </c>
      <c r="O60" s="35" t="str" cm="1">
        <f t="array" ref="O60">IFERROR(IF(A61&lt;&gt;A60,_xlfn.STDEV.P(IF(A$9:A60=A60,S$7:S60)),""),"")</f>
        <v/>
      </c>
      <c r="P60" s="36" t="str">
        <f t="shared" si="0"/>
        <v/>
      </c>
      <c r="Q60" s="36" t="str">
        <f t="shared" si="1"/>
        <v/>
      </c>
      <c r="R60" s="36" t="str">
        <f t="shared" si="8"/>
        <v/>
      </c>
      <c r="S60" s="37" t="str">
        <f t="shared" si="9"/>
        <v/>
      </c>
      <c r="T60" s="37" t="str">
        <f t="shared" si="2"/>
        <v/>
      </c>
      <c r="U60" s="54"/>
      <c r="V60" s="46"/>
      <c r="W60" s="39" t="str">
        <f t="shared" si="10"/>
        <v/>
      </c>
      <c r="X60" s="38"/>
      <c r="Y60" s="48"/>
      <c r="AB60" s="56">
        <f t="shared" si="11"/>
        <v>1</v>
      </c>
      <c r="AC60" s="52"/>
      <c r="AD60" s="52"/>
      <c r="AE60" s="29" t="str">
        <f>IFERROR(
IF(AND(OR(AC60="C",AC60="c"), VLOOKUP(AF60,[1]Diccionario!B:N,13,0)="C"), "OK",IF(AND(OR(AC60="C",AC60="c"), OR(VLOOKUP(AF60,[1]Diccionario!B:N,13,0)="B", VLOOKUP(AF60,[1]Diccionario!B:N,13,0)="A")), "DEFICIT",IF(
AND(OR(AC60="B", AC60="BPAL"), VLOOKUP(AF60,[1]Diccionario!B:N,13,0)="B"), "OK",IF(AND(OR(AC60="B", AC60="BPAL"), VLOOKUP(AF60,[1]Diccionario!B:N,13,0)="A"), "DEFICIT",IF(AND(OR(AC60="B", AC60="BPAL"), VLOOKUP(AF60,[1]Diccionario!B:N,13,0)="C"), "SOBREOFERTA",IF(AND(AC60="A", VLOOKUP(AF60,[1]Diccionario!B:N,13,0)="A"), "OK",IF(
AND(AC60="A", OR(VLOOKUP(AF60,[1]Diccionario!B:N,13,0)="B", VLOOKUP(AF60,[1]Diccionario!B:N,13,0)="C")), "SOBREOFERTA",""
))))))),"")</f>
        <v/>
      </c>
      <c r="AF60" s="48"/>
      <c r="AG60" s="53"/>
      <c r="AH60" s="54"/>
      <c r="AI60" s="55" t="str">
        <f t="shared" si="12"/>
        <v/>
      </c>
      <c r="AJ60" s="46"/>
      <c r="AK60" s="34" t="e">
        <f>IF(AB60&lt;&gt;"",HLOOKUP(VALUE(TEXT(AH60,"h:mm:ss")),IF($C$6="Laboral",[1]Input!$A$4:$Y$227,IF($C$6="Sábado",[1]Input!$A$231:$Y$452,[1]Input!$A$456:$Y$656)),VLOOKUP($C$4,[1]Input!$AG$2:$AI$99,3,0)+IF(AD$5="Ida",0,1),1),"")</f>
        <v>#N/A</v>
      </c>
      <c r="AL60" s="34" t="str">
        <f>IF(AB61&lt;&gt;AB60,AVERAGEIF(AB$9:AB60,AB60,AK$9:AK60),"")</f>
        <v/>
      </c>
      <c r="AM60" s="35" t="str">
        <f>IFERROR(IF(AB61&lt;&gt;AB60,AVERAGEIF(AB$9:AB60,AB60,AT$9:AT60),""),"")</f>
        <v/>
      </c>
      <c r="AN60" s="35" t="str">
        <f>IFERROR(IF(AB61&lt;&gt;AB60,AVERAGEIF(AB$9:AB60,AB60,AU$9:AU60),""),"")</f>
        <v/>
      </c>
      <c r="AO60" s="35" t="str" cm="1">
        <f t="array" ref="AO60">IFERROR(IF(AB61&lt;&gt;AB60,_xlfn.STDEV.P(IF(AB$9:AB60=AB60,AU$9:AU60)),""),"")</f>
        <v/>
      </c>
      <c r="AP60" s="35" t="str" cm="1">
        <f t="array" ref="AP60">IFERROR(IF(AB61&lt;&gt;AB60,_xlfn.STDEV.P(IF(AB$9:AB60=AB60,AT$9:AT60)),""),"")</f>
        <v/>
      </c>
      <c r="AQ60" s="36" t="str">
        <f t="shared" si="3"/>
        <v/>
      </c>
      <c r="AR60" s="36" t="str">
        <f t="shared" si="4"/>
        <v/>
      </c>
      <c r="AS60" s="36" t="str">
        <f t="shared" si="13"/>
        <v/>
      </c>
      <c r="AT60" s="37" t="str">
        <f t="shared" si="5"/>
        <v/>
      </c>
      <c r="AU60" s="37" t="str">
        <f t="shared" si="6"/>
        <v/>
      </c>
      <c r="AV60" s="54"/>
      <c r="AW60" s="46"/>
      <c r="AX60" s="39" t="str" cm="1">
        <f t="array" ref="AX60">IF(AH60&lt;&gt;"",IF(AND(AX58:AX59&lt;&gt;"IE",AQ60&lt;&gt;0,AS60&lt;&gt;""),IF(IFERROR((AQ60/AS60),0) &lt;=1,IFERROR(AQ60/AS60,""),1),""),"")</f>
        <v/>
      </c>
      <c r="AY60" s="46"/>
      <c r="AZ60" s="57"/>
    </row>
    <row r="61" spans="1:52" ht="15.5" x14ac:dyDescent="0.35">
      <c r="A61" s="51">
        <f t="shared" si="16"/>
        <v>1</v>
      </c>
      <c r="B61" s="52"/>
      <c r="C61" s="52"/>
      <c r="D61" s="29" t="str">
        <f>IFERROR(
IF(AND(OR(Planilla!B61="C",Planilla!B61="c"), VLOOKUP(E61,[1]Diccionario!B:N,13,0)="C"), "OK",IF(AND(OR(Planilla!B61="C",Planilla!B61="c"), OR(VLOOKUP(E61,[1]Diccionario!B:N,13,0)="B", VLOOKUP(E61,[1]Diccionario!B:N,13,0)="A")), "DEFICIT",IF(
AND(OR(Planilla!B61="B", Planilla!B61="BPAL"), VLOOKUP(E61,[1]Diccionario!B:N,13,0)="B"), "OK",IF(AND(OR(Planilla!B61="B", Planilla!B61="BPAL"), VLOOKUP(E61,[1]Diccionario!B:N,13,0)="A"), "DEFICIT",IF(AND(OR(Planilla!B61="B", Planilla!B61="BPAL"), VLOOKUP(E61,[1]Diccionario!B:N,13,0)="C"), "SOBREOFERTA",IF(AND(Planilla!B61="A", VLOOKUP(E61,[1]Diccionario!B:N,13,0)="A"), "OK",IF(
AND(Planilla!B61="A", OR(VLOOKUP(E61,[1]Diccionario!B:N,13,0)="B", VLOOKUP(E61,[1]Diccionario!B:N,13,0)="C")), "SOBREOFERTA",""
))))))),"")</f>
        <v/>
      </c>
      <c r="E61" s="48"/>
      <c r="F61" s="53" t="str">
        <f t="shared" si="17"/>
        <v/>
      </c>
      <c r="G61" s="54"/>
      <c r="H61" s="55" t="str">
        <f t="shared" si="7"/>
        <v/>
      </c>
      <c r="I61" s="35"/>
      <c r="J61" s="34" t="e">
        <f>IF(A61&lt;&gt;"",HLOOKUP(VALUE(TEXT(G61,"h:mm:ss")),IF($C$6="Laboral",[1]Input!$A$4:$Y$227,IF($C$6="Sábado",[1]Input!$A$231:$Y$452,[1]Input!$A$456:$Y$656)),VLOOKUP($C$4,[1]Input!$AG$2:$AI$99,3,0)+IF(C$5="Ida",0,1),1),"")</f>
        <v>#N/A</v>
      </c>
      <c r="K61" s="34" t="str">
        <f>IF(A62&lt;&gt;A61,AVERAGEIF(A$9:A61,A61,J$13:J61),"")</f>
        <v/>
      </c>
      <c r="L61" s="35" t="str">
        <f>IFERROR(IF(A62&lt;&gt;A61,AVERAGEIF(A$9:A61,A61,S$13:S61),""),"")</f>
        <v/>
      </c>
      <c r="M61" s="35" t="str">
        <f>IFERROR(IF(A62&lt;&gt;A61,AVERAGEIF(A$9:A61,A61,T$8:T61),""),"")</f>
        <v/>
      </c>
      <c r="N61" s="35" t="str" cm="1">
        <f t="array" ref="N61">IFERROR(IF(A62&lt;&gt;A61,_xlfn.STDEV.P(IF(A$9:A61=A61,T$7:T61)),""),"")</f>
        <v/>
      </c>
      <c r="O61" s="35" t="str" cm="1">
        <f t="array" ref="O61">IFERROR(IF(A62&lt;&gt;A61,_xlfn.STDEV.P(IF(A$9:A61=A61,S$7:S61)),""),"")</f>
        <v/>
      </c>
      <c r="P61" s="36" t="str">
        <f t="shared" si="0"/>
        <v/>
      </c>
      <c r="Q61" s="36" t="str">
        <f t="shared" si="1"/>
        <v/>
      </c>
      <c r="R61" s="36" t="str">
        <f t="shared" si="8"/>
        <v/>
      </c>
      <c r="S61" s="37" t="str">
        <f t="shared" si="9"/>
        <v/>
      </c>
      <c r="T61" s="37" t="str">
        <f t="shared" si="2"/>
        <v/>
      </c>
      <c r="U61" s="54"/>
      <c r="V61" s="46"/>
      <c r="W61" s="39" t="str">
        <f t="shared" si="10"/>
        <v/>
      </c>
      <c r="X61" s="38"/>
      <c r="Y61" s="48"/>
      <c r="AB61" s="56">
        <f t="shared" si="11"/>
        <v>1</v>
      </c>
      <c r="AC61" s="52"/>
      <c r="AD61" s="52"/>
      <c r="AE61" s="29" t="str">
        <f>IFERROR(
IF(AND(OR(AC61="C",AC61="c"), VLOOKUP(AF61,[1]Diccionario!B:N,13,0)="C"), "OK",IF(AND(OR(AC61="C",AC61="c"), OR(VLOOKUP(AF61,[1]Diccionario!B:N,13,0)="B", VLOOKUP(AF61,[1]Diccionario!B:N,13,0)="A")), "DEFICIT",IF(
AND(OR(AC61="B", AC61="BPAL"), VLOOKUP(AF61,[1]Diccionario!B:N,13,0)="B"), "OK",IF(AND(OR(AC61="B", AC61="BPAL"), VLOOKUP(AF61,[1]Diccionario!B:N,13,0)="A"), "DEFICIT",IF(AND(OR(AC61="B", AC61="BPAL"), VLOOKUP(AF61,[1]Diccionario!B:N,13,0)="C"), "SOBREOFERTA",IF(AND(AC61="A", VLOOKUP(AF61,[1]Diccionario!B:N,13,0)="A"), "OK",IF(
AND(AC61="A", OR(VLOOKUP(AF61,[1]Diccionario!B:N,13,0)="B", VLOOKUP(AF61,[1]Diccionario!B:N,13,0)="C")), "SOBREOFERTA",""
))))))),"")</f>
        <v/>
      </c>
      <c r="AF61" s="48"/>
      <c r="AG61" s="53"/>
      <c r="AH61" s="54"/>
      <c r="AI61" s="55" t="str">
        <f t="shared" si="12"/>
        <v/>
      </c>
      <c r="AJ61" s="46"/>
      <c r="AK61" s="34" t="e">
        <f>IF(AB61&lt;&gt;"",HLOOKUP(VALUE(TEXT(AH61,"h:mm:ss")),IF($C$6="Laboral",[1]Input!$A$4:$Y$227,IF($C$6="Sábado",[1]Input!$A$231:$Y$452,[1]Input!$A$456:$Y$656)),VLOOKUP($C$4,[1]Input!$AG$2:$AI$99,3,0)+IF(AD$5="Ida",0,1),1),"")</f>
        <v>#N/A</v>
      </c>
      <c r="AL61" s="34" t="str">
        <f>IF(AB62&lt;&gt;AB61,AVERAGEIF(AB$9:AB61,AB61,AK$9:AK61),"")</f>
        <v/>
      </c>
      <c r="AM61" s="35" t="str">
        <f>IFERROR(IF(AB62&lt;&gt;AB61,AVERAGEIF(AB$9:AB61,AB61,AT$9:AT61),""),"")</f>
        <v/>
      </c>
      <c r="AN61" s="35" t="str">
        <f>IFERROR(IF(AB62&lt;&gt;AB61,AVERAGEIF(AB$9:AB61,AB61,AU$9:AU61),""),"")</f>
        <v/>
      </c>
      <c r="AO61" s="35" t="str" cm="1">
        <f t="array" ref="AO61">IFERROR(IF(AB62&lt;&gt;AB61,_xlfn.STDEV.P(IF(AB$9:AB61=AB61,AU$9:AU61)),""),"")</f>
        <v/>
      </c>
      <c r="AP61" s="35" t="str" cm="1">
        <f t="array" ref="AP61">IFERROR(IF(AB62&lt;&gt;AB61,_xlfn.STDEV.P(IF(AB$9:AB61=AB61,AT$9:AT61)),""),"")</f>
        <v/>
      </c>
      <c r="AQ61" s="36" t="str">
        <f t="shared" si="3"/>
        <v/>
      </c>
      <c r="AR61" s="36" t="str">
        <f t="shared" si="4"/>
        <v/>
      </c>
      <c r="AS61" s="36" t="str">
        <f t="shared" si="13"/>
        <v/>
      </c>
      <c r="AT61" s="37" t="str">
        <f t="shared" si="5"/>
        <v/>
      </c>
      <c r="AU61" s="37" t="str">
        <f t="shared" si="6"/>
        <v/>
      </c>
      <c r="AV61" s="54"/>
      <c r="AW61" s="46"/>
      <c r="AX61" s="39" t="str" cm="1">
        <f t="array" ref="AX61">IF(AH61&lt;&gt;"",IF(AND(AX59:AX60&lt;&gt;"IE",AQ61&lt;&gt;0,AS61&lt;&gt;""),IF(IFERROR((AQ61/AS61),0) &lt;=1,IFERROR(AQ61/AS61,""),1),""),"")</f>
        <v/>
      </c>
      <c r="AY61" s="46"/>
      <c r="AZ61" s="57"/>
    </row>
    <row r="62" spans="1:52" ht="15.5" x14ac:dyDescent="0.35">
      <c r="A62" s="51">
        <f t="shared" si="16"/>
        <v>1</v>
      </c>
      <c r="B62" s="52"/>
      <c r="C62" s="52"/>
      <c r="D62" s="29" t="str">
        <f>IFERROR(
IF(AND(OR(Planilla!B62="C",Planilla!B62="c"), VLOOKUP(E62,[1]Diccionario!B:N,13,0)="C"), "OK",IF(AND(OR(Planilla!B62="C",Planilla!B62="c"), OR(VLOOKUP(E62,[1]Diccionario!B:N,13,0)="B", VLOOKUP(E62,[1]Diccionario!B:N,13,0)="A")), "DEFICIT",IF(
AND(OR(Planilla!B62="B", Planilla!B62="BPAL"), VLOOKUP(E62,[1]Diccionario!B:N,13,0)="B"), "OK",IF(AND(OR(Planilla!B62="B", Planilla!B62="BPAL"), VLOOKUP(E62,[1]Diccionario!B:N,13,0)="A"), "DEFICIT",IF(AND(OR(Planilla!B62="B", Planilla!B62="BPAL"), VLOOKUP(E62,[1]Diccionario!B:N,13,0)="C"), "SOBREOFERTA",IF(AND(Planilla!B62="A", VLOOKUP(E62,[1]Diccionario!B:N,13,0)="A"), "OK",IF(
AND(Planilla!B62="A", OR(VLOOKUP(E62,[1]Diccionario!B:N,13,0)="B", VLOOKUP(E62,[1]Diccionario!B:N,13,0)="C")), "SOBREOFERTA",""
))))))),"")</f>
        <v/>
      </c>
      <c r="E62" s="48"/>
      <c r="F62" s="53" t="str">
        <f t="shared" si="17"/>
        <v/>
      </c>
      <c r="G62" s="54"/>
      <c r="H62" s="55" t="str">
        <f t="shared" si="7"/>
        <v/>
      </c>
      <c r="I62" s="35"/>
      <c r="J62" s="34" t="e">
        <f>IF(A62&lt;&gt;"",HLOOKUP(VALUE(TEXT(G62,"h:mm:ss")),IF($C$6="Laboral",[1]Input!$A$4:$Y$227,IF($C$6="Sábado",[1]Input!$A$231:$Y$452,[1]Input!$A$456:$Y$656)),VLOOKUP($C$4,[1]Input!$AG$2:$AI$99,3,0)+IF(C$5="Ida",0,1),1),"")</f>
        <v>#N/A</v>
      </c>
      <c r="K62" s="34" t="str">
        <f>IF(A63&lt;&gt;A62,AVERAGEIF(A$9:A62,A62,J$13:J62),"")</f>
        <v/>
      </c>
      <c r="L62" s="35" t="str">
        <f>IFERROR(IF(A63&lt;&gt;A62,AVERAGEIF(A$9:A62,A62,S$13:S62),""),"")</f>
        <v/>
      </c>
      <c r="M62" s="35" t="str">
        <f>IFERROR(IF(A63&lt;&gt;A62,AVERAGEIF(A$9:A62,A62,T$8:T62),""),"")</f>
        <v/>
      </c>
      <c r="N62" s="35" t="str" cm="1">
        <f t="array" ref="N62">IFERROR(IF(A63&lt;&gt;A62,_xlfn.STDEV.P(IF(A$9:A62=A62,T$7:T62)),""),"")</f>
        <v/>
      </c>
      <c r="O62" s="35" t="str" cm="1">
        <f t="array" ref="O62">IFERROR(IF(A63&lt;&gt;A62,_xlfn.STDEV.P(IF(A$9:A62=A62,S$7:S62)),""),"")</f>
        <v/>
      </c>
      <c r="P62" s="36" t="str">
        <f t="shared" si="0"/>
        <v/>
      </c>
      <c r="Q62" s="36" t="str">
        <f t="shared" si="1"/>
        <v/>
      </c>
      <c r="R62" s="36" t="str">
        <f t="shared" si="8"/>
        <v/>
      </c>
      <c r="S62" s="37" t="str">
        <f t="shared" si="9"/>
        <v/>
      </c>
      <c r="T62" s="37" t="str">
        <f t="shared" si="2"/>
        <v/>
      </c>
      <c r="U62" s="54"/>
      <c r="V62" s="46"/>
      <c r="W62" s="39" t="str">
        <f t="shared" si="10"/>
        <v/>
      </c>
      <c r="X62" s="38"/>
      <c r="Y62" s="48"/>
      <c r="AB62" s="56">
        <f t="shared" si="11"/>
        <v>1</v>
      </c>
      <c r="AC62" s="52"/>
      <c r="AD62" s="52"/>
      <c r="AE62" s="29" t="str">
        <f>IFERROR(
IF(AND(OR(AC62="C",AC62="c"), VLOOKUP(AF62,[1]Diccionario!B:N,13,0)="C"), "OK",IF(AND(OR(AC62="C",AC62="c"), OR(VLOOKUP(AF62,[1]Diccionario!B:N,13,0)="B", VLOOKUP(AF62,[1]Diccionario!B:N,13,0)="A")), "DEFICIT",IF(
AND(OR(AC62="B", AC62="BPAL"), VLOOKUP(AF62,[1]Diccionario!B:N,13,0)="B"), "OK",IF(AND(OR(AC62="B", AC62="BPAL"), VLOOKUP(AF62,[1]Diccionario!B:N,13,0)="A"), "DEFICIT",IF(AND(OR(AC62="B", AC62="BPAL"), VLOOKUP(AF62,[1]Diccionario!B:N,13,0)="C"), "SOBREOFERTA",IF(AND(AC62="A", VLOOKUP(AF62,[1]Diccionario!B:N,13,0)="A"), "OK",IF(
AND(AC62="A", OR(VLOOKUP(AF62,[1]Diccionario!B:N,13,0)="B", VLOOKUP(AF62,[1]Diccionario!B:N,13,0)="C")), "SOBREOFERTA",""
))))))),"")</f>
        <v/>
      </c>
      <c r="AF62" s="48"/>
      <c r="AG62" s="53"/>
      <c r="AH62" s="54"/>
      <c r="AI62" s="55" t="str">
        <f t="shared" si="12"/>
        <v/>
      </c>
      <c r="AJ62" s="46"/>
      <c r="AK62" s="34" t="e">
        <f>IF(AB62&lt;&gt;"",HLOOKUP(VALUE(TEXT(AH62,"h:mm:ss")),IF($C$6="Laboral",[1]Input!$A$4:$Y$227,IF($C$6="Sábado",[1]Input!$A$231:$Y$452,[1]Input!$A$456:$Y$656)),VLOOKUP($C$4,[1]Input!$AG$2:$AI$99,3,0)+IF(AD$5="Ida",0,1),1),"")</f>
        <v>#N/A</v>
      </c>
      <c r="AL62" s="34" t="str">
        <f>IF(AB63&lt;&gt;AB62,AVERAGEIF(AB$9:AB62,AB62,AK$9:AK62),"")</f>
        <v/>
      </c>
      <c r="AM62" s="35" t="str">
        <f>IFERROR(IF(AB63&lt;&gt;AB62,AVERAGEIF(AB$9:AB62,AB62,AT$9:AT62),""),"")</f>
        <v/>
      </c>
      <c r="AN62" s="35" t="str">
        <f>IFERROR(IF(AB63&lt;&gt;AB62,AVERAGEIF(AB$9:AB62,AB62,AU$9:AU62),""),"")</f>
        <v/>
      </c>
      <c r="AO62" s="35" t="str" cm="1">
        <f t="array" ref="AO62">IFERROR(IF(AB63&lt;&gt;AB62,_xlfn.STDEV.P(IF(AB$9:AB62=AB62,AU$9:AU62)),""),"")</f>
        <v/>
      </c>
      <c r="AP62" s="35" t="str" cm="1">
        <f t="array" ref="AP62">IFERROR(IF(AB63&lt;&gt;AB62,_xlfn.STDEV.P(IF(AB$9:AB62=AB62,AT$9:AT62)),""),"")</f>
        <v/>
      </c>
      <c r="AQ62" s="36" t="str">
        <f t="shared" si="3"/>
        <v/>
      </c>
      <c r="AR62" s="36" t="str">
        <f t="shared" si="4"/>
        <v/>
      </c>
      <c r="AS62" s="36" t="str">
        <f t="shared" si="13"/>
        <v/>
      </c>
      <c r="AT62" s="37" t="str">
        <f t="shared" si="5"/>
        <v/>
      </c>
      <c r="AU62" s="37" t="str">
        <f t="shared" si="6"/>
        <v/>
      </c>
      <c r="AV62" s="54"/>
      <c r="AW62" s="46"/>
      <c r="AX62" s="39" t="str" cm="1">
        <f t="array" ref="AX62">IF(AH62&lt;&gt;"",IF(AND(AX60:AX61&lt;&gt;"IE",AQ62&lt;&gt;0,AS62&lt;&gt;""),IF(IFERROR((AQ62/AS62),0) &lt;=1,IFERROR(AQ62/AS62,""),1),""),"")</f>
        <v/>
      </c>
      <c r="AY62" s="46"/>
      <c r="AZ62" s="57"/>
    </row>
    <row r="63" spans="1:52" ht="15.5" x14ac:dyDescent="0.35">
      <c r="A63" s="51">
        <f t="shared" si="16"/>
        <v>1</v>
      </c>
      <c r="B63" s="52"/>
      <c r="C63" s="52"/>
      <c r="D63" s="29" t="str">
        <f>IFERROR(
IF(AND(OR(Planilla!B63="C",Planilla!B63="c"), VLOOKUP(E63,[1]Diccionario!B:N,13,0)="C"), "OK",IF(AND(OR(Planilla!B63="C",Planilla!B63="c"), OR(VLOOKUP(E63,[1]Diccionario!B:N,13,0)="B", VLOOKUP(E63,[1]Diccionario!B:N,13,0)="A")), "DEFICIT",IF(
AND(OR(Planilla!B63="B", Planilla!B63="BPAL"), VLOOKUP(E63,[1]Diccionario!B:N,13,0)="B"), "OK",IF(AND(OR(Planilla!B63="B", Planilla!B63="BPAL"), VLOOKUP(E63,[1]Diccionario!B:N,13,0)="A"), "DEFICIT",IF(AND(OR(Planilla!B63="B", Planilla!B63="BPAL"), VLOOKUP(E63,[1]Diccionario!B:N,13,0)="C"), "SOBREOFERTA",IF(AND(Planilla!B63="A", VLOOKUP(E63,[1]Diccionario!B:N,13,0)="A"), "OK",IF(
AND(Planilla!B63="A", OR(VLOOKUP(E63,[1]Diccionario!B:N,13,0)="B", VLOOKUP(E63,[1]Diccionario!B:N,13,0)="C")), "SOBREOFERTA",""
))))))),"")</f>
        <v/>
      </c>
      <c r="E63" s="48"/>
      <c r="F63" s="53" t="str">
        <f t="shared" si="17"/>
        <v/>
      </c>
      <c r="G63" s="54"/>
      <c r="H63" s="55" t="str">
        <f t="shared" si="7"/>
        <v/>
      </c>
      <c r="I63" s="35"/>
      <c r="J63" s="34" t="e">
        <f>IF(A63&lt;&gt;"",HLOOKUP(VALUE(TEXT(G63,"h:mm:ss")),IF($C$6="Laboral",[1]Input!$A$4:$Y$227,IF($C$6="Sábado",[1]Input!$A$231:$Y$452,[1]Input!$A$456:$Y$656)),VLOOKUP($C$4,[1]Input!$AG$2:$AI$99,3,0)+IF(C$5="Ida",0,1),1),"")</f>
        <v>#N/A</v>
      </c>
      <c r="K63" s="34" t="str">
        <f>IF(A64&lt;&gt;A63,AVERAGEIF(A$9:A63,A63,J$13:J63),"")</f>
        <v/>
      </c>
      <c r="L63" s="35" t="str">
        <f>IFERROR(IF(A64&lt;&gt;A63,AVERAGEIF(A$9:A63,A63,S$13:S63),""),"")</f>
        <v/>
      </c>
      <c r="M63" s="35" t="str">
        <f>IFERROR(IF(A64&lt;&gt;A63,AVERAGEIF(A$9:A63,A63,T$8:T63),""),"")</f>
        <v/>
      </c>
      <c r="N63" s="35" t="str" cm="1">
        <f t="array" ref="N63">IFERROR(IF(A64&lt;&gt;A63,_xlfn.STDEV.P(IF(A$9:A63=A63,T$7:T63)),""),"")</f>
        <v/>
      </c>
      <c r="O63" s="35" t="str" cm="1">
        <f t="array" ref="O63">IFERROR(IF(A64&lt;&gt;A63,_xlfn.STDEV.P(IF(A$9:A63=A63,S$7:S63)),""),"")</f>
        <v/>
      </c>
      <c r="P63" s="36" t="str">
        <f t="shared" si="0"/>
        <v/>
      </c>
      <c r="Q63" s="36" t="str">
        <f t="shared" si="1"/>
        <v/>
      </c>
      <c r="R63" s="36" t="str">
        <f t="shared" si="8"/>
        <v/>
      </c>
      <c r="S63" s="37" t="str">
        <f t="shared" si="9"/>
        <v/>
      </c>
      <c r="T63" s="37" t="str">
        <f t="shared" si="2"/>
        <v/>
      </c>
      <c r="U63" s="54"/>
      <c r="V63" s="46"/>
      <c r="W63" s="39" t="str">
        <f t="shared" si="10"/>
        <v/>
      </c>
      <c r="X63" s="38"/>
      <c r="Y63" s="48"/>
      <c r="AB63" s="56">
        <f t="shared" si="11"/>
        <v>1</v>
      </c>
      <c r="AC63" s="52"/>
      <c r="AD63" s="52"/>
      <c r="AE63" s="29" t="str">
        <f>IFERROR(
IF(AND(OR(AC63="C",AC63="c"), VLOOKUP(AF63,[1]Diccionario!B:N,13,0)="C"), "OK",IF(AND(OR(AC63="C",AC63="c"), OR(VLOOKUP(AF63,[1]Diccionario!B:N,13,0)="B", VLOOKUP(AF63,[1]Diccionario!B:N,13,0)="A")), "DEFICIT",IF(
AND(OR(AC63="B", AC63="BPAL"), VLOOKUP(AF63,[1]Diccionario!B:N,13,0)="B"), "OK",IF(AND(OR(AC63="B", AC63="BPAL"), VLOOKUP(AF63,[1]Diccionario!B:N,13,0)="A"), "DEFICIT",IF(AND(OR(AC63="B", AC63="BPAL"), VLOOKUP(AF63,[1]Diccionario!B:N,13,0)="C"), "SOBREOFERTA",IF(AND(AC63="A", VLOOKUP(AF63,[1]Diccionario!B:N,13,0)="A"), "OK",IF(
AND(AC63="A", OR(VLOOKUP(AF63,[1]Diccionario!B:N,13,0)="B", VLOOKUP(AF63,[1]Diccionario!B:N,13,0)="C")), "SOBREOFERTA",""
))))))),"")</f>
        <v/>
      </c>
      <c r="AF63" s="48"/>
      <c r="AG63" s="53"/>
      <c r="AH63" s="54"/>
      <c r="AI63" s="55" t="str">
        <f t="shared" si="12"/>
        <v/>
      </c>
      <c r="AJ63" s="46"/>
      <c r="AK63" s="34" t="e">
        <f>IF(AB63&lt;&gt;"",HLOOKUP(VALUE(TEXT(AH63,"h:mm:ss")),IF($C$6="Laboral",[1]Input!$A$4:$Y$227,IF($C$6="Sábado",[1]Input!$A$231:$Y$452,[1]Input!$A$456:$Y$656)),VLOOKUP($C$4,[1]Input!$AG$2:$AI$99,3,0)+IF(AD$5="Ida",0,1),1),"")</f>
        <v>#N/A</v>
      </c>
      <c r="AL63" s="34" t="str">
        <f>IF(AB64&lt;&gt;AB63,AVERAGEIF(AB$9:AB63,AB63,AK$9:AK63),"")</f>
        <v/>
      </c>
      <c r="AM63" s="35" t="str">
        <f>IFERROR(IF(AB64&lt;&gt;AB63,AVERAGEIF(AB$9:AB63,AB63,AT$9:AT63),""),"")</f>
        <v/>
      </c>
      <c r="AN63" s="35" t="str">
        <f>IFERROR(IF(AB64&lt;&gt;AB63,AVERAGEIF(AB$9:AB63,AB63,AU$9:AU63),""),"")</f>
        <v/>
      </c>
      <c r="AO63" s="35" t="str" cm="1">
        <f t="array" ref="AO63">IFERROR(IF(AB64&lt;&gt;AB63,_xlfn.STDEV.P(IF(AB$9:AB63=AB63,AU$9:AU63)),""),"")</f>
        <v/>
      </c>
      <c r="AP63" s="35" t="str" cm="1">
        <f t="array" ref="AP63">IFERROR(IF(AB64&lt;&gt;AB63,_xlfn.STDEV.P(IF(AB$9:AB63=AB63,AT$9:AT63)),""),"")</f>
        <v/>
      </c>
      <c r="AQ63" s="36" t="str">
        <f t="shared" si="3"/>
        <v/>
      </c>
      <c r="AR63" s="36" t="str">
        <f t="shared" si="4"/>
        <v/>
      </c>
      <c r="AS63" s="36" t="str">
        <f t="shared" si="13"/>
        <v/>
      </c>
      <c r="AT63" s="37" t="str">
        <f t="shared" si="5"/>
        <v/>
      </c>
      <c r="AU63" s="37" t="str">
        <f t="shared" si="6"/>
        <v/>
      </c>
      <c r="AV63" s="54"/>
      <c r="AW63" s="46"/>
      <c r="AX63" s="39" t="str" cm="1">
        <f t="array" ref="AX63">IF(AH63&lt;&gt;"",IF(AND(AX61:AX62&lt;&gt;"IE",AQ63&lt;&gt;0,AS63&lt;&gt;""),IF(IFERROR((AQ63/AS63),0) &lt;=1,IFERROR(AQ63/AS63,""),1),""),"")</f>
        <v/>
      </c>
      <c r="AY63" s="46"/>
      <c r="AZ63" s="57"/>
    </row>
    <row r="64" spans="1:52" ht="15.5" x14ac:dyDescent="0.35">
      <c r="A64" s="51">
        <f t="shared" si="16"/>
        <v>1</v>
      </c>
      <c r="B64" s="52"/>
      <c r="C64" s="52"/>
      <c r="D64" s="29" t="str">
        <f>IFERROR(
IF(AND(OR(Planilla!B64="C",Planilla!B64="c"), VLOOKUP(E64,[1]Diccionario!B:N,13,0)="C"), "OK",IF(AND(OR(Planilla!B64="C",Planilla!B64="c"), OR(VLOOKUP(E64,[1]Diccionario!B:N,13,0)="B", VLOOKUP(E64,[1]Diccionario!B:N,13,0)="A")), "DEFICIT",IF(
AND(OR(Planilla!B64="B", Planilla!B64="BPAL"), VLOOKUP(E64,[1]Diccionario!B:N,13,0)="B"), "OK",IF(AND(OR(Planilla!B64="B", Planilla!B64="BPAL"), VLOOKUP(E64,[1]Diccionario!B:N,13,0)="A"), "DEFICIT",IF(AND(OR(Planilla!B64="B", Planilla!B64="BPAL"), VLOOKUP(E64,[1]Diccionario!B:N,13,0)="C"), "SOBREOFERTA",IF(AND(Planilla!B64="A", VLOOKUP(E64,[1]Diccionario!B:N,13,0)="A"), "OK",IF(
AND(Planilla!B64="A", OR(VLOOKUP(E64,[1]Diccionario!B:N,13,0)="B", VLOOKUP(E64,[1]Diccionario!B:N,13,0)="C")), "SOBREOFERTA",""
))))))),"")</f>
        <v/>
      </c>
      <c r="E64" s="48"/>
      <c r="F64" s="53" t="str">
        <f t="shared" si="17"/>
        <v/>
      </c>
      <c r="G64" s="54"/>
      <c r="H64" s="55" t="str">
        <f t="shared" si="7"/>
        <v/>
      </c>
      <c r="I64" s="35"/>
      <c r="J64" s="34" t="e">
        <f>IF(A64&lt;&gt;"",HLOOKUP(VALUE(TEXT(G64,"h:mm:ss")),IF($C$6="Laboral",[1]Input!$A$4:$Y$227,IF($C$6="Sábado",[1]Input!$A$231:$Y$452,[1]Input!$A$456:$Y$656)),VLOOKUP($C$4,[1]Input!$AG$2:$AI$99,3,0)+IF(C$5="Ida",0,1),1),"")</f>
        <v>#N/A</v>
      </c>
      <c r="K64" s="34" t="str">
        <f>IF(A65&lt;&gt;A64,AVERAGEIF(A$9:A64,A64,J$13:J64),"")</f>
        <v/>
      </c>
      <c r="L64" s="35" t="str">
        <f>IFERROR(IF(A65&lt;&gt;A64,AVERAGEIF(A$9:A64,A64,S$13:S64),""),"")</f>
        <v/>
      </c>
      <c r="M64" s="35" t="str">
        <f>IFERROR(IF(A65&lt;&gt;A64,AVERAGEIF(A$9:A64,A64,T$8:T64),""),"")</f>
        <v/>
      </c>
      <c r="N64" s="35" t="str" cm="1">
        <f t="array" ref="N64">IFERROR(IF(A65&lt;&gt;A64,_xlfn.STDEV.P(IF(A$9:A64=A64,T$7:T64)),""),"")</f>
        <v/>
      </c>
      <c r="O64" s="35" t="str" cm="1">
        <f t="array" ref="O64">IFERROR(IF(A65&lt;&gt;A64,_xlfn.STDEV.P(IF(A$9:A64=A64,S$7:S64)),""),"")</f>
        <v/>
      </c>
      <c r="P64" s="36" t="str">
        <f t="shared" si="0"/>
        <v/>
      </c>
      <c r="Q64" s="36" t="str">
        <f t="shared" si="1"/>
        <v/>
      </c>
      <c r="R64" s="36" t="str">
        <f t="shared" si="8"/>
        <v/>
      </c>
      <c r="S64" s="37" t="str">
        <f t="shared" si="9"/>
        <v/>
      </c>
      <c r="T64" s="37" t="str">
        <f t="shared" si="2"/>
        <v/>
      </c>
      <c r="U64" s="54"/>
      <c r="V64" s="46"/>
      <c r="W64" s="39" t="str">
        <f t="shared" si="10"/>
        <v/>
      </c>
      <c r="X64" s="38"/>
      <c r="Y64" s="48"/>
      <c r="AB64" s="56">
        <f t="shared" si="11"/>
        <v>1</v>
      </c>
      <c r="AC64" s="52"/>
      <c r="AD64" s="52"/>
      <c r="AE64" s="29" t="str">
        <f>IFERROR(
IF(AND(OR(AC64="C",AC64="c"), VLOOKUP(AF64,[1]Diccionario!B:N,13,0)="C"), "OK",IF(AND(OR(AC64="C",AC64="c"), OR(VLOOKUP(AF64,[1]Diccionario!B:N,13,0)="B", VLOOKUP(AF64,[1]Diccionario!B:N,13,0)="A")), "DEFICIT",IF(
AND(OR(AC64="B", AC64="BPAL"), VLOOKUP(AF64,[1]Diccionario!B:N,13,0)="B"), "OK",IF(AND(OR(AC64="B", AC64="BPAL"), VLOOKUP(AF64,[1]Diccionario!B:N,13,0)="A"), "DEFICIT",IF(AND(OR(AC64="B", AC64="BPAL"), VLOOKUP(AF64,[1]Diccionario!B:N,13,0)="C"), "SOBREOFERTA",IF(AND(AC64="A", VLOOKUP(AF64,[1]Diccionario!B:N,13,0)="A"), "OK",IF(
AND(AC64="A", OR(VLOOKUP(AF64,[1]Diccionario!B:N,13,0)="B", VLOOKUP(AF64,[1]Diccionario!B:N,13,0)="C")), "SOBREOFERTA",""
))))))),"")</f>
        <v/>
      </c>
      <c r="AF64" s="48"/>
      <c r="AG64" s="53"/>
      <c r="AH64" s="54"/>
      <c r="AI64" s="55" t="str">
        <f t="shared" si="12"/>
        <v/>
      </c>
      <c r="AJ64" s="46"/>
      <c r="AK64" s="34" t="e">
        <f>IF(AB64&lt;&gt;"",HLOOKUP(VALUE(TEXT(AH64,"h:mm:ss")),IF($C$6="Laboral",[1]Input!$A$4:$Y$227,IF($C$6="Sábado",[1]Input!$A$231:$Y$452,[1]Input!$A$456:$Y$656)),VLOOKUP($C$4,[1]Input!$AG$2:$AI$99,3,0)+IF(AD$5="Ida",0,1),1),"")</f>
        <v>#N/A</v>
      </c>
      <c r="AL64" s="34" t="str">
        <f>IF(AB65&lt;&gt;AB64,AVERAGEIF(AB$9:AB64,AB64,AK$9:AK64),"")</f>
        <v/>
      </c>
      <c r="AM64" s="35" t="str">
        <f>IFERROR(IF(AB65&lt;&gt;AB64,AVERAGEIF(AB$9:AB64,AB64,AT$9:AT64),""),"")</f>
        <v/>
      </c>
      <c r="AN64" s="35" t="str">
        <f>IFERROR(IF(AB65&lt;&gt;AB64,AVERAGEIF(AB$9:AB64,AB64,AU$9:AU64),""),"")</f>
        <v/>
      </c>
      <c r="AO64" s="35" t="str" cm="1">
        <f t="array" ref="AO64">IFERROR(IF(AB65&lt;&gt;AB64,_xlfn.STDEV.P(IF(AB$9:AB64=AB64,AU$9:AU64)),""),"")</f>
        <v/>
      </c>
      <c r="AP64" s="35" t="str" cm="1">
        <f t="array" ref="AP64">IFERROR(IF(AB65&lt;&gt;AB64,_xlfn.STDEV.P(IF(AB$9:AB64=AB64,AT$9:AT64)),""),"")</f>
        <v/>
      </c>
      <c r="AQ64" s="36" t="str">
        <f t="shared" si="3"/>
        <v/>
      </c>
      <c r="AR64" s="36" t="str">
        <f t="shared" si="4"/>
        <v/>
      </c>
      <c r="AS64" s="36" t="str">
        <f t="shared" si="13"/>
        <v/>
      </c>
      <c r="AT64" s="37" t="str">
        <f t="shared" si="5"/>
        <v/>
      </c>
      <c r="AU64" s="37" t="str">
        <f t="shared" si="6"/>
        <v/>
      </c>
      <c r="AV64" s="54"/>
      <c r="AW64" s="46"/>
      <c r="AX64" s="39" t="str" cm="1">
        <f t="array" ref="AX64">IF(AH64&lt;&gt;"",IF(AND(AX62:AX63&lt;&gt;"IE",AQ64&lt;&gt;0,AS64&lt;&gt;""),IF(IFERROR((AQ64/AS64),0) &lt;=1,IFERROR(AQ64/AS64,""),1),""),"")</f>
        <v/>
      </c>
      <c r="AY64" s="46"/>
      <c r="AZ64" s="57"/>
    </row>
    <row r="65" spans="1:52" ht="15.5" x14ac:dyDescent="0.35">
      <c r="A65" s="51">
        <f t="shared" si="16"/>
        <v>1</v>
      </c>
      <c r="B65" s="52"/>
      <c r="C65" s="52"/>
      <c r="D65" s="29" t="str">
        <f>IFERROR(
IF(AND(OR(Planilla!B65="C",Planilla!B65="c"), VLOOKUP(E65,[1]Diccionario!B:N,13,0)="C"), "OK",IF(AND(OR(Planilla!B65="C",Planilla!B65="c"), OR(VLOOKUP(E65,[1]Diccionario!B:N,13,0)="B", VLOOKUP(E65,[1]Diccionario!B:N,13,0)="A")), "DEFICIT",IF(
AND(OR(Planilla!B65="B", Planilla!B65="BPAL"), VLOOKUP(E65,[1]Diccionario!B:N,13,0)="B"), "OK",IF(AND(OR(Planilla!B65="B", Planilla!B65="BPAL"), VLOOKUP(E65,[1]Diccionario!B:N,13,0)="A"), "DEFICIT",IF(AND(OR(Planilla!B65="B", Planilla!B65="BPAL"), VLOOKUP(E65,[1]Diccionario!B:N,13,0)="C"), "SOBREOFERTA",IF(AND(Planilla!B65="A", VLOOKUP(E65,[1]Diccionario!B:N,13,0)="A"), "OK",IF(
AND(Planilla!B65="A", OR(VLOOKUP(E65,[1]Diccionario!B:N,13,0)="B", VLOOKUP(E65,[1]Diccionario!B:N,13,0)="C")), "SOBREOFERTA",""
))))))),"")</f>
        <v/>
      </c>
      <c r="E65" s="48"/>
      <c r="F65" s="53" t="str">
        <f t="shared" si="17"/>
        <v/>
      </c>
      <c r="G65" s="54"/>
      <c r="H65" s="55" t="str">
        <f t="shared" si="7"/>
        <v/>
      </c>
      <c r="I65" s="35"/>
      <c r="J65" s="34" t="e">
        <f>IF(A65&lt;&gt;"",HLOOKUP(VALUE(TEXT(G65,"h:mm:ss")),IF($C$6="Laboral",[1]Input!$A$4:$Y$227,IF($C$6="Sábado",[1]Input!$A$231:$Y$452,[1]Input!$A$456:$Y$656)),VLOOKUP($C$4,[1]Input!$AG$2:$AI$99,3,0)+IF(C$5="Ida",0,1),1),"")</f>
        <v>#N/A</v>
      </c>
      <c r="K65" s="34" t="str">
        <f>IF(A66&lt;&gt;A65,AVERAGEIF(A$9:A65,A65,J$13:J65),"")</f>
        <v/>
      </c>
      <c r="L65" s="35" t="str">
        <f>IFERROR(IF(A66&lt;&gt;A65,AVERAGEIF(A$9:A65,A65,S$13:S65),""),"")</f>
        <v/>
      </c>
      <c r="M65" s="35" t="str">
        <f>IFERROR(IF(A66&lt;&gt;A65,AVERAGEIF(A$9:A65,A65,T$8:T65),""),"")</f>
        <v/>
      </c>
      <c r="N65" s="35" t="str" cm="1">
        <f t="array" ref="N65">IFERROR(IF(A66&lt;&gt;A65,_xlfn.STDEV.P(IF(A$9:A65=A65,T$7:T65)),""),"")</f>
        <v/>
      </c>
      <c r="O65" s="35" t="str" cm="1">
        <f t="array" ref="O65">IFERROR(IF(A66&lt;&gt;A65,_xlfn.STDEV.P(IF(A$9:A65=A65,S$7:S65)),""),"")</f>
        <v/>
      </c>
      <c r="P65" s="36" t="str">
        <f t="shared" si="0"/>
        <v/>
      </c>
      <c r="Q65" s="36" t="str">
        <f t="shared" si="1"/>
        <v/>
      </c>
      <c r="R65" s="36" t="str">
        <f t="shared" si="8"/>
        <v/>
      </c>
      <c r="S65" s="37" t="str">
        <f t="shared" si="9"/>
        <v/>
      </c>
      <c r="T65" s="37" t="str">
        <f t="shared" si="2"/>
        <v/>
      </c>
      <c r="U65" s="54"/>
      <c r="V65" s="46"/>
      <c r="W65" s="39" t="str">
        <f t="shared" si="10"/>
        <v/>
      </c>
      <c r="X65" s="38"/>
      <c r="Y65" s="48"/>
      <c r="AB65" s="56">
        <f t="shared" si="11"/>
        <v>1</v>
      </c>
      <c r="AC65" s="52"/>
      <c r="AD65" s="52"/>
      <c r="AE65" s="29" t="str">
        <f>IFERROR(
IF(AND(OR(AC65="C",AC65="c"), VLOOKUP(AF65,[1]Diccionario!B:N,13,0)="C"), "OK",IF(AND(OR(AC65="C",AC65="c"), OR(VLOOKUP(AF65,[1]Diccionario!B:N,13,0)="B", VLOOKUP(AF65,[1]Diccionario!B:N,13,0)="A")), "DEFICIT",IF(
AND(OR(AC65="B", AC65="BPAL"), VLOOKUP(AF65,[1]Diccionario!B:N,13,0)="B"), "OK",IF(AND(OR(AC65="B", AC65="BPAL"), VLOOKUP(AF65,[1]Diccionario!B:N,13,0)="A"), "DEFICIT",IF(AND(OR(AC65="B", AC65="BPAL"), VLOOKUP(AF65,[1]Diccionario!B:N,13,0)="C"), "SOBREOFERTA",IF(AND(AC65="A", VLOOKUP(AF65,[1]Diccionario!B:N,13,0)="A"), "OK",IF(
AND(AC65="A", OR(VLOOKUP(AF65,[1]Diccionario!B:N,13,0)="B", VLOOKUP(AF65,[1]Diccionario!B:N,13,0)="C")), "SOBREOFERTA",""
))))))),"")</f>
        <v/>
      </c>
      <c r="AF65" s="48"/>
      <c r="AG65" s="53"/>
      <c r="AH65" s="54"/>
      <c r="AI65" s="55" t="str">
        <f t="shared" si="12"/>
        <v/>
      </c>
      <c r="AJ65" s="46"/>
      <c r="AK65" s="34" t="e">
        <f>IF(AB65&lt;&gt;"",HLOOKUP(VALUE(TEXT(AH65,"h:mm:ss")),IF($C$6="Laboral",[1]Input!$A$4:$Y$227,IF($C$6="Sábado",[1]Input!$A$231:$Y$452,[1]Input!$A$456:$Y$656)),VLOOKUP($C$4,[1]Input!$AG$2:$AI$99,3,0)+IF(AD$5="Ida",0,1),1),"")</f>
        <v>#N/A</v>
      </c>
      <c r="AL65" s="34" t="str">
        <f>IF(AB66&lt;&gt;AB65,AVERAGEIF(AB$9:AB65,AB65,AK$9:AK65),"")</f>
        <v/>
      </c>
      <c r="AM65" s="35" t="str">
        <f>IFERROR(IF(AB66&lt;&gt;AB65,AVERAGEIF(AB$9:AB65,AB65,AT$9:AT65),""),"")</f>
        <v/>
      </c>
      <c r="AN65" s="35" t="str">
        <f>IFERROR(IF(AB66&lt;&gt;AB65,AVERAGEIF(AB$9:AB65,AB65,AU$9:AU65),""),"")</f>
        <v/>
      </c>
      <c r="AO65" s="35" t="str" cm="1">
        <f t="array" ref="AO65">IFERROR(IF(AB66&lt;&gt;AB65,_xlfn.STDEV.P(IF(AB$9:AB65=AB65,AU$9:AU65)),""),"")</f>
        <v/>
      </c>
      <c r="AP65" s="35" t="str" cm="1">
        <f t="array" ref="AP65">IFERROR(IF(AB66&lt;&gt;AB65,_xlfn.STDEV.P(IF(AB$9:AB65=AB65,AT$9:AT65)),""),"")</f>
        <v/>
      </c>
      <c r="AQ65" s="36" t="str">
        <f t="shared" si="3"/>
        <v/>
      </c>
      <c r="AR65" s="36" t="str">
        <f t="shared" si="4"/>
        <v/>
      </c>
      <c r="AS65" s="36" t="str">
        <f t="shared" si="13"/>
        <v/>
      </c>
      <c r="AT65" s="37" t="str">
        <f t="shared" si="5"/>
        <v/>
      </c>
      <c r="AU65" s="37" t="str">
        <f t="shared" si="6"/>
        <v/>
      </c>
      <c r="AV65" s="54"/>
      <c r="AW65" s="46"/>
      <c r="AX65" s="39" t="str" cm="1">
        <f t="array" ref="AX65">IF(AH65&lt;&gt;"",IF(AND(AX63:AX64&lt;&gt;"IE",AQ65&lt;&gt;0,AS65&lt;&gt;""),IF(IFERROR((AQ65/AS65),0) &lt;=1,IFERROR(AQ65/AS65,""),1),""),"")</f>
        <v/>
      </c>
      <c r="AY65" s="46"/>
      <c r="AZ65" s="57"/>
    </row>
    <row r="66" spans="1:52" ht="15.5" x14ac:dyDescent="0.35">
      <c r="A66" s="51">
        <f t="shared" si="16"/>
        <v>1</v>
      </c>
      <c r="B66" s="52"/>
      <c r="C66" s="52"/>
      <c r="D66" s="29" t="str">
        <f>IFERROR(
IF(AND(OR(Planilla!B66="C",Planilla!B66="c"), VLOOKUP(E66,[1]Diccionario!B:N,13,0)="C"), "OK",IF(AND(OR(Planilla!B66="C",Planilla!B66="c"), OR(VLOOKUP(E66,[1]Diccionario!B:N,13,0)="B", VLOOKUP(E66,[1]Diccionario!B:N,13,0)="A")), "DEFICIT",IF(
AND(OR(Planilla!B66="B", Planilla!B66="BPAL"), VLOOKUP(E66,[1]Diccionario!B:N,13,0)="B"), "OK",IF(AND(OR(Planilla!B66="B", Planilla!B66="BPAL"), VLOOKUP(E66,[1]Diccionario!B:N,13,0)="A"), "DEFICIT",IF(AND(OR(Planilla!B66="B", Planilla!B66="BPAL"), VLOOKUP(E66,[1]Diccionario!B:N,13,0)="C"), "SOBREOFERTA",IF(AND(Planilla!B66="A", VLOOKUP(E66,[1]Diccionario!B:N,13,0)="A"), "OK",IF(
AND(Planilla!B66="A", OR(VLOOKUP(E66,[1]Diccionario!B:N,13,0)="B", VLOOKUP(E66,[1]Diccionario!B:N,13,0)="C")), "SOBREOFERTA",""
))))))),"")</f>
        <v/>
      </c>
      <c r="E66" s="48"/>
      <c r="F66" s="53" t="str">
        <f t="shared" si="17"/>
        <v/>
      </c>
      <c r="G66" s="54"/>
      <c r="H66" s="55" t="str">
        <f t="shared" si="7"/>
        <v/>
      </c>
      <c r="I66" s="35"/>
      <c r="J66" s="34" t="e">
        <f>IF(A66&lt;&gt;"",HLOOKUP(VALUE(TEXT(G66,"h:mm:ss")),IF($C$6="Laboral",[1]Input!$A$4:$Y$227,IF($C$6="Sábado",[1]Input!$A$231:$Y$452,[1]Input!$A$456:$Y$656)),VLOOKUP($C$4,[1]Input!$AG$2:$AI$99,3,0)+IF(C$5="Ida",0,1),1),"")</f>
        <v>#N/A</v>
      </c>
      <c r="K66" s="34" t="str">
        <f>IF(A67&lt;&gt;A66,AVERAGEIF(A$9:A66,A66,J$13:J66),"")</f>
        <v/>
      </c>
      <c r="L66" s="35" t="str">
        <f>IFERROR(IF(A67&lt;&gt;A66,AVERAGEIF(A$9:A66,A66,S$13:S66),""),"")</f>
        <v/>
      </c>
      <c r="M66" s="35" t="str">
        <f>IFERROR(IF(A67&lt;&gt;A66,AVERAGEIF(A$9:A66,A66,T$8:T66),""),"")</f>
        <v/>
      </c>
      <c r="N66" s="35" t="str" cm="1">
        <f t="array" ref="N66">IFERROR(IF(A67&lt;&gt;A66,_xlfn.STDEV.P(IF(A$9:A66=A66,T$7:T66)),""),"")</f>
        <v/>
      </c>
      <c r="O66" s="35" t="str" cm="1">
        <f t="array" ref="O66">IFERROR(IF(A67&lt;&gt;A66,_xlfn.STDEV.P(IF(A$9:A66=A66,S$7:S66)),""),"")</f>
        <v/>
      </c>
      <c r="P66" s="36" t="str">
        <f t="shared" si="0"/>
        <v/>
      </c>
      <c r="Q66" s="36" t="str">
        <f t="shared" si="1"/>
        <v/>
      </c>
      <c r="R66" s="36" t="str">
        <f t="shared" si="8"/>
        <v/>
      </c>
      <c r="S66" s="37" t="str">
        <f t="shared" si="9"/>
        <v/>
      </c>
      <c r="T66" s="37" t="str">
        <f t="shared" si="2"/>
        <v/>
      </c>
      <c r="U66" s="54"/>
      <c r="V66" s="46"/>
      <c r="W66" s="39" t="str">
        <f t="shared" si="10"/>
        <v/>
      </c>
      <c r="X66" s="38"/>
      <c r="Y66" s="48"/>
      <c r="AB66" s="56">
        <f t="shared" si="11"/>
        <v>1</v>
      </c>
      <c r="AC66" s="52"/>
      <c r="AD66" s="52"/>
      <c r="AE66" s="29" t="str">
        <f>IFERROR(
IF(AND(OR(AC66="C",AC66="c"), VLOOKUP(AF66,[1]Diccionario!B:N,13,0)="C"), "OK",IF(AND(OR(AC66="C",AC66="c"), OR(VLOOKUP(AF66,[1]Diccionario!B:N,13,0)="B", VLOOKUP(AF66,[1]Diccionario!B:N,13,0)="A")), "DEFICIT",IF(
AND(OR(AC66="B", AC66="BPAL"), VLOOKUP(AF66,[1]Diccionario!B:N,13,0)="B"), "OK",IF(AND(OR(AC66="B", AC66="BPAL"), VLOOKUP(AF66,[1]Diccionario!B:N,13,0)="A"), "DEFICIT",IF(AND(OR(AC66="B", AC66="BPAL"), VLOOKUP(AF66,[1]Diccionario!B:N,13,0)="C"), "SOBREOFERTA",IF(AND(AC66="A", VLOOKUP(AF66,[1]Diccionario!B:N,13,0)="A"), "OK",IF(
AND(AC66="A", OR(VLOOKUP(AF66,[1]Diccionario!B:N,13,0)="B", VLOOKUP(AF66,[1]Diccionario!B:N,13,0)="C")), "SOBREOFERTA",""
))))))),"")</f>
        <v/>
      </c>
      <c r="AF66" s="48"/>
      <c r="AG66" s="53"/>
      <c r="AH66" s="54"/>
      <c r="AI66" s="55" t="str">
        <f t="shared" si="12"/>
        <v/>
      </c>
      <c r="AJ66" s="46"/>
      <c r="AK66" s="34" t="e">
        <f>IF(AB66&lt;&gt;"",HLOOKUP(VALUE(TEXT(AH66,"h:mm:ss")),IF($C$6="Laboral",[1]Input!$A$4:$Y$227,IF($C$6="Sábado",[1]Input!$A$231:$Y$452,[1]Input!$A$456:$Y$656)),VLOOKUP($C$4,[1]Input!$AG$2:$AI$99,3,0)+IF(AD$5="Ida",0,1),1),"")</f>
        <v>#N/A</v>
      </c>
      <c r="AL66" s="34" t="str">
        <f>IF(AB67&lt;&gt;AB66,AVERAGEIF(AB$9:AB66,AB66,AK$9:AK66),"")</f>
        <v/>
      </c>
      <c r="AM66" s="35" t="str">
        <f>IFERROR(IF(AB67&lt;&gt;AB66,AVERAGEIF(AB$9:AB66,AB66,AT$9:AT66),""),"")</f>
        <v/>
      </c>
      <c r="AN66" s="35" t="str">
        <f>IFERROR(IF(AB67&lt;&gt;AB66,AVERAGEIF(AB$9:AB66,AB66,AU$9:AU66),""),"")</f>
        <v/>
      </c>
      <c r="AO66" s="35" t="str" cm="1">
        <f t="array" ref="AO66">IFERROR(IF(AB67&lt;&gt;AB66,_xlfn.STDEV.P(IF(AB$9:AB66=AB66,AU$9:AU66)),""),"")</f>
        <v/>
      </c>
      <c r="AP66" s="35" t="str" cm="1">
        <f t="array" ref="AP66">IFERROR(IF(AB67&lt;&gt;AB66,_xlfn.STDEV.P(IF(AB$9:AB66=AB66,AT$9:AT66)),""),"")</f>
        <v/>
      </c>
      <c r="AQ66" s="36" t="str">
        <f t="shared" si="3"/>
        <v/>
      </c>
      <c r="AR66" s="36" t="str">
        <f t="shared" si="4"/>
        <v/>
      </c>
      <c r="AS66" s="36" t="str">
        <f t="shared" si="13"/>
        <v/>
      </c>
      <c r="AT66" s="37" t="str">
        <f t="shared" si="5"/>
        <v/>
      </c>
      <c r="AU66" s="37" t="str">
        <f t="shared" si="6"/>
        <v/>
      </c>
      <c r="AV66" s="54"/>
      <c r="AW66" s="46"/>
      <c r="AX66" s="39" t="str" cm="1">
        <f t="array" ref="AX66">IF(AH66&lt;&gt;"",IF(AND(AX64:AX65&lt;&gt;"IE",AQ66&lt;&gt;0,AS66&lt;&gt;""),IF(IFERROR((AQ66/AS66),0) &lt;=1,IFERROR(AQ66/AS66,""),1),""),"")</f>
        <v/>
      </c>
      <c r="AY66" s="46"/>
      <c r="AZ66" s="57"/>
    </row>
    <row r="67" spans="1:52" ht="15.5" x14ac:dyDescent="0.35">
      <c r="A67" s="51">
        <f t="shared" si="16"/>
        <v>1</v>
      </c>
      <c r="B67" s="52"/>
      <c r="C67" s="52"/>
      <c r="D67" s="29" t="str">
        <f>IFERROR(
IF(AND(OR(Planilla!B67="C",Planilla!B67="c"), VLOOKUP(E67,[1]Diccionario!B:N,13,0)="C"), "OK",IF(AND(OR(Planilla!B67="C",Planilla!B67="c"), OR(VLOOKUP(E67,[1]Diccionario!B:N,13,0)="B", VLOOKUP(E67,[1]Diccionario!B:N,13,0)="A")), "DEFICIT",IF(
AND(OR(Planilla!B67="B", Planilla!B67="BPAL"), VLOOKUP(E67,[1]Diccionario!B:N,13,0)="B"), "OK",IF(AND(OR(Planilla!B67="B", Planilla!B67="BPAL"), VLOOKUP(E67,[1]Diccionario!B:N,13,0)="A"), "DEFICIT",IF(AND(OR(Planilla!B67="B", Planilla!B67="BPAL"), VLOOKUP(E67,[1]Diccionario!B:N,13,0)="C"), "SOBREOFERTA",IF(AND(Planilla!B67="A", VLOOKUP(E67,[1]Diccionario!B:N,13,0)="A"), "OK",IF(
AND(Planilla!B67="A", OR(VLOOKUP(E67,[1]Diccionario!B:N,13,0)="B", VLOOKUP(E67,[1]Diccionario!B:N,13,0)="C")), "SOBREOFERTA",""
))))))),"")</f>
        <v/>
      </c>
      <c r="E67" s="48"/>
      <c r="F67" s="53" t="str">
        <f t="shared" si="17"/>
        <v/>
      </c>
      <c r="G67" s="54"/>
      <c r="H67" s="55" t="str">
        <f t="shared" si="7"/>
        <v/>
      </c>
      <c r="I67" s="35"/>
      <c r="J67" s="34" t="e">
        <f>IF(A67&lt;&gt;"",HLOOKUP(VALUE(TEXT(G67,"h:mm:ss")),IF($C$6="Laboral",[1]Input!$A$4:$Y$227,IF($C$6="Sábado",[1]Input!$A$231:$Y$452,[1]Input!$A$456:$Y$656)),VLOOKUP($C$4,[1]Input!$AG$2:$AI$99,3,0)+IF(C$5="Ida",0,1),1),"")</f>
        <v>#N/A</v>
      </c>
      <c r="K67" s="34" t="str">
        <f>IF(A68&lt;&gt;A67,AVERAGEIF(A$9:A67,A67,J$13:J67),"")</f>
        <v/>
      </c>
      <c r="L67" s="35" t="str">
        <f>IFERROR(IF(A68&lt;&gt;A67,AVERAGEIF(A$9:A67,A67,S$13:S67),""),"")</f>
        <v/>
      </c>
      <c r="M67" s="35" t="str">
        <f>IFERROR(IF(A68&lt;&gt;A67,AVERAGEIF(A$9:A67,A67,T$8:T67),""),"")</f>
        <v/>
      </c>
      <c r="N67" s="35" t="str" cm="1">
        <f t="array" ref="N67">IFERROR(IF(A68&lt;&gt;A67,_xlfn.STDEV.P(IF(A$9:A67=A67,T$7:T67)),""),"")</f>
        <v/>
      </c>
      <c r="O67" s="35" t="str" cm="1">
        <f t="array" ref="O67">IFERROR(IF(A68&lt;&gt;A67,_xlfn.STDEV.P(IF(A$9:A67=A67,S$7:S67)),""),"")</f>
        <v/>
      </c>
      <c r="P67" s="36" t="str">
        <f t="shared" si="0"/>
        <v/>
      </c>
      <c r="Q67" s="36" t="str">
        <f t="shared" si="1"/>
        <v/>
      </c>
      <c r="R67" s="36" t="str">
        <f t="shared" si="8"/>
        <v/>
      </c>
      <c r="S67" s="37" t="str">
        <f t="shared" si="9"/>
        <v/>
      </c>
      <c r="T67" s="37" t="str">
        <f t="shared" si="2"/>
        <v/>
      </c>
      <c r="U67" s="54"/>
      <c r="V67" s="46"/>
      <c r="W67" s="39" t="str">
        <f t="shared" si="10"/>
        <v/>
      </c>
      <c r="X67" s="38"/>
      <c r="Y67" s="48"/>
      <c r="AB67" s="56">
        <f t="shared" si="11"/>
        <v>1</v>
      </c>
      <c r="AC67" s="52"/>
      <c r="AD67" s="52"/>
      <c r="AE67" s="29" t="str">
        <f>IFERROR(
IF(AND(OR(AC67="C",AC67="c"), VLOOKUP(AF67,[1]Diccionario!B:N,13,0)="C"), "OK",IF(AND(OR(AC67="C",AC67="c"), OR(VLOOKUP(AF67,[1]Diccionario!B:N,13,0)="B", VLOOKUP(AF67,[1]Diccionario!B:N,13,0)="A")), "DEFICIT",IF(
AND(OR(AC67="B", AC67="BPAL"), VLOOKUP(AF67,[1]Diccionario!B:N,13,0)="B"), "OK",IF(AND(OR(AC67="B", AC67="BPAL"), VLOOKUP(AF67,[1]Diccionario!B:N,13,0)="A"), "DEFICIT",IF(AND(OR(AC67="B", AC67="BPAL"), VLOOKUP(AF67,[1]Diccionario!B:N,13,0)="C"), "SOBREOFERTA",IF(AND(AC67="A", VLOOKUP(AF67,[1]Diccionario!B:N,13,0)="A"), "OK",IF(
AND(AC67="A", OR(VLOOKUP(AF67,[1]Diccionario!B:N,13,0)="B", VLOOKUP(AF67,[1]Diccionario!B:N,13,0)="C")), "SOBREOFERTA",""
))))))),"")</f>
        <v/>
      </c>
      <c r="AF67" s="48"/>
      <c r="AG67" s="53"/>
      <c r="AH67" s="54"/>
      <c r="AI67" s="55" t="str">
        <f t="shared" si="12"/>
        <v/>
      </c>
      <c r="AJ67" s="46"/>
      <c r="AK67" s="34" t="e">
        <f>IF(AB67&lt;&gt;"",HLOOKUP(VALUE(TEXT(AH67,"h:mm:ss")),IF($C$6="Laboral",[1]Input!$A$4:$Y$227,IF($C$6="Sábado",[1]Input!$A$231:$Y$452,[1]Input!$A$456:$Y$656)),VLOOKUP($C$4,[1]Input!$AG$2:$AI$99,3,0)+IF(AD$5="Ida",0,1),1),"")</f>
        <v>#N/A</v>
      </c>
      <c r="AL67" s="34" t="str">
        <f>IF(AB68&lt;&gt;AB67,AVERAGEIF(AB$9:AB67,AB67,AK$9:AK67),"")</f>
        <v/>
      </c>
      <c r="AM67" s="35" t="str">
        <f>IFERROR(IF(AB68&lt;&gt;AB67,AVERAGEIF(AB$9:AB67,AB67,AT$9:AT67),""),"")</f>
        <v/>
      </c>
      <c r="AN67" s="35" t="str">
        <f>IFERROR(IF(AB68&lt;&gt;AB67,AVERAGEIF(AB$9:AB67,AB67,AU$9:AU67),""),"")</f>
        <v/>
      </c>
      <c r="AO67" s="35" t="str" cm="1">
        <f t="array" ref="AO67">IFERROR(IF(AB68&lt;&gt;AB67,_xlfn.STDEV.P(IF(AB$9:AB67=AB67,AU$9:AU67)),""),"")</f>
        <v/>
      </c>
      <c r="AP67" s="35" t="str" cm="1">
        <f t="array" ref="AP67">IFERROR(IF(AB68&lt;&gt;AB67,_xlfn.STDEV.P(IF(AB$9:AB67=AB67,AT$9:AT67)),""),"")</f>
        <v/>
      </c>
      <c r="AQ67" s="36" t="str">
        <f t="shared" si="3"/>
        <v/>
      </c>
      <c r="AR67" s="36" t="str">
        <f t="shared" si="4"/>
        <v/>
      </c>
      <c r="AS67" s="36" t="str">
        <f t="shared" si="13"/>
        <v/>
      </c>
      <c r="AT67" s="37" t="str">
        <f t="shared" si="5"/>
        <v/>
      </c>
      <c r="AU67" s="37" t="str">
        <f t="shared" si="6"/>
        <v/>
      </c>
      <c r="AV67" s="54"/>
      <c r="AW67" s="46"/>
      <c r="AX67" s="39" t="str" cm="1">
        <f t="array" ref="AX67">IF(AH67&lt;&gt;"",IF(AND(AX65:AX66&lt;&gt;"IE",AQ67&lt;&gt;0,AS67&lt;&gt;""),IF(IFERROR((AQ67/AS67),0) &lt;=1,IFERROR(AQ67/AS67,""),1),""),"")</f>
        <v/>
      </c>
      <c r="AY67" s="46"/>
      <c r="AZ67" s="57"/>
    </row>
    <row r="68" spans="1:52" ht="15.5" x14ac:dyDescent="0.35">
      <c r="A68" s="51">
        <f t="shared" si="16"/>
        <v>1</v>
      </c>
      <c r="B68" s="52"/>
      <c r="C68" s="52"/>
      <c r="D68" s="29" t="str">
        <f>IFERROR(
IF(AND(OR(Planilla!B68="C",Planilla!B68="c"), VLOOKUP(E68,[1]Diccionario!B:N,13,0)="C"), "OK",IF(AND(OR(Planilla!B68="C",Planilla!B68="c"), OR(VLOOKUP(E68,[1]Diccionario!B:N,13,0)="B", VLOOKUP(E68,[1]Diccionario!B:N,13,0)="A")), "DEFICIT",IF(
AND(OR(Planilla!B68="B", Planilla!B68="BPAL"), VLOOKUP(E68,[1]Diccionario!B:N,13,0)="B"), "OK",IF(AND(OR(Planilla!B68="B", Planilla!B68="BPAL"), VLOOKUP(E68,[1]Diccionario!B:N,13,0)="A"), "DEFICIT",IF(AND(OR(Planilla!B68="B", Planilla!B68="BPAL"), VLOOKUP(E68,[1]Diccionario!B:N,13,0)="C"), "SOBREOFERTA",IF(AND(Planilla!B68="A", VLOOKUP(E68,[1]Diccionario!B:N,13,0)="A"), "OK",IF(
AND(Planilla!B68="A", OR(VLOOKUP(E68,[1]Diccionario!B:N,13,0)="B", VLOOKUP(E68,[1]Diccionario!B:N,13,0)="C")), "SOBREOFERTA",""
))))))),"")</f>
        <v/>
      </c>
      <c r="E68" s="48"/>
      <c r="F68" s="53"/>
      <c r="G68" s="54"/>
      <c r="H68" s="55" t="str">
        <f t="shared" si="7"/>
        <v/>
      </c>
      <c r="I68" s="35"/>
      <c r="J68" s="34" t="e">
        <f>IF(A68&lt;&gt;"",HLOOKUP(VALUE(TEXT(G68,"h:mm:ss")),IF($C$6="Laboral",[1]Input!$A$4:$Y$227,IF($C$6="Sábado",[1]Input!$A$231:$Y$452,[1]Input!$A$456:$Y$656)),VLOOKUP($C$4,[1]Input!$AG$2:$AI$99,3,0)+IF(C$5="Ida",0,1),1),"")</f>
        <v>#N/A</v>
      </c>
      <c r="K68" s="34" t="str">
        <f>IF(A69&lt;&gt;A68,AVERAGEIF(A$9:A68,A68,J$13:J68),"")</f>
        <v/>
      </c>
      <c r="L68" s="35" t="str">
        <f>IFERROR(IF(A69&lt;&gt;A68,AVERAGEIF(A$9:A68,A68,S$13:S68),""),"")</f>
        <v/>
      </c>
      <c r="M68" s="35" t="str">
        <f>IFERROR(IF(A69&lt;&gt;A68,AVERAGEIF(A$9:A68,A68,T$8:T68),""),"")</f>
        <v/>
      </c>
      <c r="N68" s="35" t="str" cm="1">
        <f t="array" ref="N68">IFERROR(IF(A69&lt;&gt;A68,_xlfn.STDEV.P(IF(A$9:A68=A68,T$7:T68)),""),"")</f>
        <v/>
      </c>
      <c r="O68" s="35" t="str" cm="1">
        <f t="array" ref="O68">IFERROR(IF(A69&lt;&gt;A68,_xlfn.STDEV.P(IF(A$9:A68=A68,S$7:S68)),""),"")</f>
        <v/>
      </c>
      <c r="P68" s="36" t="str">
        <f t="shared" si="0"/>
        <v/>
      </c>
      <c r="Q68" s="36" t="str">
        <f t="shared" si="1"/>
        <v/>
      </c>
      <c r="R68" s="36" t="str">
        <f t="shared" si="8"/>
        <v/>
      </c>
      <c r="S68" s="37" t="str">
        <f t="shared" si="9"/>
        <v/>
      </c>
      <c r="T68" s="37" t="str">
        <f t="shared" si="2"/>
        <v/>
      </c>
      <c r="U68" s="54"/>
      <c r="V68" s="46"/>
      <c r="W68" s="39" t="str">
        <f t="shared" si="10"/>
        <v/>
      </c>
      <c r="X68" s="38"/>
      <c r="Y68" s="48"/>
      <c r="AB68" s="56">
        <f t="shared" si="11"/>
        <v>1</v>
      </c>
      <c r="AC68" s="52"/>
      <c r="AD68" s="52"/>
      <c r="AE68" s="29" t="str">
        <f>IFERROR(
IF(AND(OR(AC68="C",AC68="c"), VLOOKUP(AF68,[1]Diccionario!B:N,13,0)="C"), "OK",IF(AND(OR(AC68="C",AC68="c"), OR(VLOOKUP(AF68,[1]Diccionario!B:N,13,0)="B", VLOOKUP(AF68,[1]Diccionario!B:N,13,0)="A")), "DEFICIT",IF(
AND(OR(AC68="B", AC68="BPAL"), VLOOKUP(AF68,[1]Diccionario!B:N,13,0)="B"), "OK",IF(AND(OR(AC68="B", AC68="BPAL"), VLOOKUP(AF68,[1]Diccionario!B:N,13,0)="A"), "DEFICIT",IF(AND(OR(AC68="B", AC68="BPAL"), VLOOKUP(AF68,[1]Diccionario!B:N,13,0)="C"), "SOBREOFERTA",IF(AND(AC68="A", VLOOKUP(AF68,[1]Diccionario!B:N,13,0)="A"), "OK",IF(
AND(AC68="A", OR(VLOOKUP(AF68,[1]Diccionario!B:N,13,0)="B", VLOOKUP(AF68,[1]Diccionario!B:N,13,0)="C")), "SOBREOFERTA",""
))))))),"")</f>
        <v/>
      </c>
      <c r="AF68" s="48"/>
      <c r="AG68" s="53"/>
      <c r="AH68" s="54"/>
      <c r="AI68" s="55" t="str">
        <f t="shared" si="12"/>
        <v/>
      </c>
      <c r="AJ68" s="46"/>
      <c r="AK68" s="34" t="e">
        <f>IF(AB68&lt;&gt;"",HLOOKUP(VALUE(TEXT(AH68,"h:mm:ss")),IF($C$6="Laboral",[1]Input!$A$4:$Y$227,IF($C$6="Sábado",[1]Input!$A$231:$Y$452,[1]Input!$A$456:$Y$656)),VLOOKUP($C$4,[1]Input!$AG$2:$AI$99,3,0)+IF(AD$5="Ida",0,1),1),"")</f>
        <v>#N/A</v>
      </c>
      <c r="AL68" s="34" t="str">
        <f>IF(AB69&lt;&gt;AB68,AVERAGEIF(AB$9:AB68,AB68,AK$9:AK68),"")</f>
        <v/>
      </c>
      <c r="AM68" s="35" t="str">
        <f>IFERROR(IF(AB69&lt;&gt;AB68,AVERAGEIF(AB$9:AB68,AB68,AT$9:AT68),""),"")</f>
        <v/>
      </c>
      <c r="AN68" s="35" t="str">
        <f>IFERROR(IF(AB69&lt;&gt;AB68,AVERAGEIF(AB$9:AB68,AB68,AU$9:AU68),""),"")</f>
        <v/>
      </c>
      <c r="AO68" s="35" t="str" cm="1">
        <f t="array" ref="AO68">IFERROR(IF(AB69&lt;&gt;AB68,_xlfn.STDEV.P(IF(AB$9:AB68=AB68,AU$9:AU68)),""),"")</f>
        <v/>
      </c>
      <c r="AP68" s="35" t="str" cm="1">
        <f t="array" ref="AP68">IFERROR(IF(AB69&lt;&gt;AB68,_xlfn.STDEV.P(IF(AB$9:AB68=AB68,AT$9:AT68)),""),"")</f>
        <v/>
      </c>
      <c r="AQ68" s="36" t="str">
        <f t="shared" si="3"/>
        <v/>
      </c>
      <c r="AR68" s="36" t="str">
        <f t="shared" si="4"/>
        <v/>
      </c>
      <c r="AS68" s="36" t="str">
        <f t="shared" si="13"/>
        <v/>
      </c>
      <c r="AT68" s="37" t="str">
        <f t="shared" si="5"/>
        <v/>
      </c>
      <c r="AU68" s="37" t="str">
        <f t="shared" si="6"/>
        <v/>
      </c>
      <c r="AV68" s="54"/>
      <c r="AW68" s="46"/>
      <c r="AX68" s="39" t="str" cm="1">
        <f t="array" ref="AX68">IF(AH68&lt;&gt;"",IF(AND(AX66:AX67&lt;&gt;"IE",AQ68&lt;&gt;0,AS68&lt;&gt;""),IF(IFERROR((AQ68/AS68),0) &lt;=1,IFERROR(AQ68/AS68,""),1),""),"")</f>
        <v/>
      </c>
      <c r="AY68" s="46"/>
      <c r="AZ68" s="57"/>
    </row>
    <row r="69" spans="1:52" ht="15.5" x14ac:dyDescent="0.35">
      <c r="A69" s="51">
        <f t="shared" si="16"/>
        <v>1</v>
      </c>
      <c r="B69" s="52"/>
      <c r="C69" s="52"/>
      <c r="D69" s="29" t="str">
        <f>IFERROR(
IF(AND(OR(Planilla!B69="C",Planilla!B69="c"), VLOOKUP(E69,[1]Diccionario!B:N,13,0)="C"), "OK",IF(AND(OR(Planilla!B69="C",Planilla!B69="c"), OR(VLOOKUP(E69,[1]Diccionario!B:N,13,0)="B", VLOOKUP(E69,[1]Diccionario!B:N,13,0)="A")), "DEFICIT",IF(
AND(OR(Planilla!B69="B", Planilla!B69="BPAL"), VLOOKUP(E69,[1]Diccionario!B:N,13,0)="B"), "OK",IF(AND(OR(Planilla!B69="B", Planilla!B69="BPAL"), VLOOKUP(E69,[1]Diccionario!B:N,13,0)="A"), "DEFICIT",IF(AND(OR(Planilla!B69="B", Planilla!B69="BPAL"), VLOOKUP(E69,[1]Diccionario!B:N,13,0)="C"), "SOBREOFERTA",IF(AND(Planilla!B69="A", VLOOKUP(E69,[1]Diccionario!B:N,13,0)="A"), "OK",IF(
AND(Planilla!B69="A", OR(VLOOKUP(E69,[1]Diccionario!B:N,13,0)="B", VLOOKUP(E69,[1]Diccionario!B:N,13,0)="C")), "SOBREOFERTA",""
))))))),"")</f>
        <v/>
      </c>
      <c r="E69" s="48"/>
      <c r="F69" s="53"/>
      <c r="G69" s="54"/>
      <c r="H69" s="55" t="str">
        <f t="shared" si="7"/>
        <v/>
      </c>
      <c r="I69" s="35"/>
      <c r="J69" s="34" t="e">
        <f>IF(A69&lt;&gt;"",HLOOKUP(VALUE(TEXT(G69,"h:mm:ss")),IF($C$6="Laboral",[1]Input!$A$4:$Y$227,IF($C$6="Sábado",[1]Input!$A$231:$Y$452,[1]Input!$A$456:$Y$656)),VLOOKUP($C$4,[1]Input!$AG$2:$AI$99,3,0)+IF(C$5="Ida",0,1),1),"")</f>
        <v>#N/A</v>
      </c>
      <c r="K69" s="34" t="str">
        <f>IF(A70&lt;&gt;A69,AVERAGEIF(A$9:A69,A69,J$13:J69),"")</f>
        <v/>
      </c>
      <c r="L69" s="35" t="str">
        <f>IFERROR(IF(A70&lt;&gt;A69,AVERAGEIF(A$9:A69,A69,S$13:S69),""),"")</f>
        <v/>
      </c>
      <c r="M69" s="35" t="str">
        <f>IFERROR(IF(A70&lt;&gt;A69,AVERAGEIF(A$9:A69,A69,T$8:T69),""),"")</f>
        <v/>
      </c>
      <c r="N69" s="35" t="str" cm="1">
        <f t="array" ref="N69">IFERROR(IF(A70&lt;&gt;A69,_xlfn.STDEV.P(IF(A$9:A69=A69,T$7:T69)),""),"")</f>
        <v/>
      </c>
      <c r="O69" s="35" t="str" cm="1">
        <f t="array" ref="O69">IFERROR(IF(A70&lt;&gt;A69,_xlfn.STDEV.P(IF(A$9:A69=A69,S$7:S69)),""),"")</f>
        <v/>
      </c>
      <c r="P69" s="36" t="str">
        <f t="shared" si="0"/>
        <v/>
      </c>
      <c r="Q69" s="36" t="str">
        <f t="shared" si="1"/>
        <v/>
      </c>
      <c r="R69" s="36" t="str">
        <f t="shared" si="8"/>
        <v/>
      </c>
      <c r="S69" s="37" t="str">
        <f t="shared" si="9"/>
        <v/>
      </c>
      <c r="T69" s="37" t="str">
        <f t="shared" si="2"/>
        <v/>
      </c>
      <c r="U69" s="54"/>
      <c r="V69" s="46"/>
      <c r="W69" s="39" t="str">
        <f t="shared" si="10"/>
        <v/>
      </c>
      <c r="X69" s="38"/>
      <c r="Y69" s="48"/>
      <c r="AB69" s="56">
        <f t="shared" si="11"/>
        <v>1</v>
      </c>
      <c r="AC69" s="52"/>
      <c r="AD69" s="52"/>
      <c r="AE69" s="29" t="str">
        <f>IFERROR(
IF(AND(OR(AC69="C",AC69="c"), VLOOKUP(AF69,[1]Diccionario!B:N,13,0)="C"), "OK",IF(AND(OR(AC69="C",AC69="c"), OR(VLOOKUP(AF69,[1]Diccionario!B:N,13,0)="B", VLOOKUP(AF69,[1]Diccionario!B:N,13,0)="A")), "DEFICIT",IF(
AND(OR(AC69="B", AC69="BPAL"), VLOOKUP(AF69,[1]Diccionario!B:N,13,0)="B"), "OK",IF(AND(OR(AC69="B", AC69="BPAL"), VLOOKUP(AF69,[1]Diccionario!B:N,13,0)="A"), "DEFICIT",IF(AND(OR(AC69="B", AC69="BPAL"), VLOOKUP(AF69,[1]Diccionario!B:N,13,0)="C"), "SOBREOFERTA",IF(AND(AC69="A", VLOOKUP(AF69,[1]Diccionario!B:N,13,0)="A"), "OK",IF(
AND(AC69="A", OR(VLOOKUP(AF69,[1]Diccionario!B:N,13,0)="B", VLOOKUP(AF69,[1]Diccionario!B:N,13,0)="C")), "SOBREOFERTA",""
))))))),"")</f>
        <v/>
      </c>
      <c r="AF69" s="48"/>
      <c r="AG69" s="53"/>
      <c r="AH69" s="54"/>
      <c r="AI69" s="55" t="str">
        <f t="shared" si="12"/>
        <v/>
      </c>
      <c r="AJ69" s="46"/>
      <c r="AK69" s="34" t="e">
        <f>IF(AB69&lt;&gt;"",HLOOKUP(VALUE(TEXT(AH69,"h:mm:ss")),IF($C$6="Laboral",[1]Input!$A$4:$Y$227,IF($C$6="Sábado",[1]Input!$A$231:$Y$452,[1]Input!$A$456:$Y$656)),VLOOKUP($C$4,[1]Input!$AG$2:$AI$99,3,0)+IF(AD$5="Ida",0,1),1),"")</f>
        <v>#N/A</v>
      </c>
      <c r="AL69" s="34" t="str">
        <f>IF(AB70&lt;&gt;AB69,AVERAGEIF(AB$9:AB69,AB69,AK$9:AK69),"")</f>
        <v/>
      </c>
      <c r="AM69" s="35" t="str">
        <f>IFERROR(IF(AB70&lt;&gt;AB69,AVERAGEIF(AB$9:AB69,AB69,AT$9:AT69),""),"")</f>
        <v/>
      </c>
      <c r="AN69" s="35" t="str">
        <f>IFERROR(IF(AB70&lt;&gt;AB69,AVERAGEIF(AB$9:AB69,AB69,AU$9:AU69),""),"")</f>
        <v/>
      </c>
      <c r="AO69" s="35" t="str" cm="1">
        <f t="array" ref="AO69">IFERROR(IF(AB70&lt;&gt;AB69,_xlfn.STDEV.P(IF(AB$9:AB69=AB69,AU$9:AU69)),""),"")</f>
        <v/>
      </c>
      <c r="AP69" s="35" t="str" cm="1">
        <f t="array" ref="AP69">IFERROR(IF(AB70&lt;&gt;AB69,_xlfn.STDEV.P(IF(AB$9:AB69=AB69,AT$9:AT69)),""),"")</f>
        <v/>
      </c>
      <c r="AQ69" s="36" t="str">
        <f t="shared" si="3"/>
        <v/>
      </c>
      <c r="AR69" s="36" t="str">
        <f t="shared" si="4"/>
        <v/>
      </c>
      <c r="AS69" s="36" t="str">
        <f t="shared" si="13"/>
        <v/>
      </c>
      <c r="AT69" s="37" t="str">
        <f t="shared" si="5"/>
        <v/>
      </c>
      <c r="AU69" s="37" t="str">
        <f t="shared" si="6"/>
        <v/>
      </c>
      <c r="AV69" s="54"/>
      <c r="AW69" s="46"/>
      <c r="AX69" s="39" t="str" cm="1">
        <f t="array" ref="AX69">IF(AH69&lt;&gt;"",IF(AND(AX67:AX68&lt;&gt;"IE",AQ69&lt;&gt;0,AS69&lt;&gt;""),IF(IFERROR((AQ69/AS69),0) &lt;=1,IFERROR(AQ69/AS69,""),1),""),"")</f>
        <v/>
      </c>
      <c r="AY69" s="46"/>
      <c r="AZ69" s="57"/>
    </row>
    <row r="70" spans="1:52" ht="15.5" x14ac:dyDescent="0.35">
      <c r="A70" s="51">
        <f t="shared" si="16"/>
        <v>1</v>
      </c>
      <c r="B70" s="52"/>
      <c r="C70" s="52"/>
      <c r="D70" s="29" t="str">
        <f>IFERROR(
IF(AND(OR(Planilla!B70="C",Planilla!B70="c"), VLOOKUP(E70,[1]Diccionario!B:N,13,0)="C"), "OK",IF(AND(OR(Planilla!B70="C",Planilla!B70="c"), OR(VLOOKUP(E70,[1]Diccionario!B:N,13,0)="B", VLOOKUP(E70,[1]Diccionario!B:N,13,0)="A")), "DEFICIT",IF(
AND(OR(Planilla!B70="B", Planilla!B70="BPAL"), VLOOKUP(E70,[1]Diccionario!B:N,13,0)="B"), "OK",IF(AND(OR(Planilla!B70="B", Planilla!B70="BPAL"), VLOOKUP(E70,[1]Diccionario!B:N,13,0)="A"), "DEFICIT",IF(AND(OR(Planilla!B70="B", Planilla!B70="BPAL"), VLOOKUP(E70,[1]Diccionario!B:N,13,0)="C"), "SOBREOFERTA",IF(AND(Planilla!B70="A", VLOOKUP(E70,[1]Diccionario!B:N,13,0)="A"), "OK",IF(
AND(Planilla!B70="A", OR(VLOOKUP(E70,[1]Diccionario!B:N,13,0)="B", VLOOKUP(E70,[1]Diccionario!B:N,13,0)="C")), "SOBREOFERTA",""
))))))),"")</f>
        <v/>
      </c>
      <c r="E70" s="48"/>
      <c r="F70" s="53"/>
      <c r="G70" s="54"/>
      <c r="H70" s="55" t="str">
        <f t="shared" si="7"/>
        <v/>
      </c>
      <c r="I70" s="35"/>
      <c r="J70" s="34" t="e">
        <f>IF(A70&lt;&gt;"",HLOOKUP(VALUE(TEXT(G70,"h:mm:ss")),IF($C$6="Laboral",[1]Input!$A$4:$Y$227,IF($C$6="Sábado",[1]Input!$A$231:$Y$452,[1]Input!$A$456:$Y$656)),VLOOKUP($C$4,[1]Input!$AG$2:$AI$99,3,0)+IF(C$5="Ida",0,1),1),"")</f>
        <v>#N/A</v>
      </c>
      <c r="K70" s="34" t="str">
        <f>IF(A71&lt;&gt;A70,AVERAGEIF(A$9:A70,A70,J$13:J70),"")</f>
        <v/>
      </c>
      <c r="L70" s="35" t="str">
        <f>IFERROR(IF(A71&lt;&gt;A70,AVERAGEIF(A$9:A70,A70,S$13:S70),""),"")</f>
        <v/>
      </c>
      <c r="M70" s="35" t="str">
        <f>IFERROR(IF(A71&lt;&gt;A70,AVERAGEIF(A$9:A70,A70,T$8:T70),""),"")</f>
        <v/>
      </c>
      <c r="N70" s="35" t="str" cm="1">
        <f t="array" ref="N70">IFERROR(IF(A71&lt;&gt;A70,_xlfn.STDEV.P(IF(A$9:A70=A70,T$7:T70)),""),"")</f>
        <v/>
      </c>
      <c r="O70" s="35" t="str" cm="1">
        <f t="array" ref="O70">IFERROR(IF(A71&lt;&gt;A70,_xlfn.STDEV.P(IF(A$9:A70=A70,S$7:S70)),""),"")</f>
        <v/>
      </c>
      <c r="P70" s="36" t="str">
        <f t="shared" si="0"/>
        <v/>
      </c>
      <c r="Q70" s="36" t="str">
        <f t="shared" si="1"/>
        <v/>
      </c>
      <c r="R70" s="36" t="str">
        <f t="shared" si="8"/>
        <v/>
      </c>
      <c r="S70" s="37" t="str">
        <f t="shared" si="9"/>
        <v/>
      </c>
      <c r="T70" s="37" t="str">
        <f t="shared" si="2"/>
        <v/>
      </c>
      <c r="U70" s="54"/>
      <c r="V70" s="46"/>
      <c r="W70" s="39" t="str">
        <f t="shared" si="10"/>
        <v/>
      </c>
      <c r="X70" s="38"/>
      <c r="Y70" s="48"/>
      <c r="AB70" s="56">
        <f t="shared" si="11"/>
        <v>1</v>
      </c>
      <c r="AC70" s="52"/>
      <c r="AD70" s="52"/>
      <c r="AE70" s="29" t="str">
        <f>IFERROR(
IF(AND(OR(AC70="C",AC70="c"), VLOOKUP(AF70,[1]Diccionario!B:N,13,0)="C"), "OK",IF(AND(OR(AC70="C",AC70="c"), OR(VLOOKUP(AF70,[1]Diccionario!B:N,13,0)="B", VLOOKUP(AF70,[1]Diccionario!B:N,13,0)="A")), "DEFICIT",IF(
AND(OR(AC70="B", AC70="BPAL"), VLOOKUP(AF70,[1]Diccionario!B:N,13,0)="B"), "OK",IF(AND(OR(AC70="B", AC70="BPAL"), VLOOKUP(AF70,[1]Diccionario!B:N,13,0)="A"), "DEFICIT",IF(AND(OR(AC70="B", AC70="BPAL"), VLOOKUP(AF70,[1]Diccionario!B:N,13,0)="C"), "SOBREOFERTA",IF(AND(AC70="A", VLOOKUP(AF70,[1]Diccionario!B:N,13,0)="A"), "OK",IF(
AND(AC70="A", OR(VLOOKUP(AF70,[1]Diccionario!B:N,13,0)="B", VLOOKUP(AF70,[1]Diccionario!B:N,13,0)="C")), "SOBREOFERTA",""
))))))),"")</f>
        <v/>
      </c>
      <c r="AF70" s="48"/>
      <c r="AG70" s="53"/>
      <c r="AH70" s="54"/>
      <c r="AI70" s="55" t="str">
        <f t="shared" si="12"/>
        <v/>
      </c>
      <c r="AJ70" s="46"/>
      <c r="AK70" s="34" t="e">
        <f>IF(AB70&lt;&gt;"",HLOOKUP(VALUE(TEXT(AH70,"h:mm:ss")),IF($C$6="Laboral",[1]Input!$A$4:$Y$227,IF($C$6="Sábado",[1]Input!$A$231:$Y$452,[1]Input!$A$456:$Y$656)),VLOOKUP($C$4,[1]Input!$AG$2:$AI$99,3,0)+IF(AD$5="Ida",0,1),1),"")</f>
        <v>#N/A</v>
      </c>
      <c r="AL70" s="34" t="str">
        <f>IF(AB71&lt;&gt;AB70,AVERAGEIF(AB$9:AB70,AB70,AK$9:AK70),"")</f>
        <v/>
      </c>
      <c r="AM70" s="35" t="str">
        <f>IFERROR(IF(AB71&lt;&gt;AB70,AVERAGEIF(AB$9:AB70,AB70,AT$9:AT70),""),"")</f>
        <v/>
      </c>
      <c r="AN70" s="35" t="str">
        <f>IFERROR(IF(AB71&lt;&gt;AB70,AVERAGEIF(AB$9:AB70,AB70,AU$9:AU70),""),"")</f>
        <v/>
      </c>
      <c r="AO70" s="35" t="str" cm="1">
        <f t="array" ref="AO70">IFERROR(IF(AB71&lt;&gt;AB70,_xlfn.STDEV.P(IF(AB$9:AB70=AB70,AU$9:AU70)),""),"")</f>
        <v/>
      </c>
      <c r="AP70" s="35" t="str" cm="1">
        <f t="array" ref="AP70">IFERROR(IF(AB71&lt;&gt;AB70,_xlfn.STDEV.P(IF(AB$9:AB70=AB70,AT$9:AT70)),""),"")</f>
        <v/>
      </c>
      <c r="AQ70" s="36" t="str">
        <f t="shared" si="3"/>
        <v/>
      </c>
      <c r="AR70" s="36" t="str">
        <f t="shared" si="4"/>
        <v/>
      </c>
      <c r="AS70" s="36" t="str">
        <f t="shared" si="13"/>
        <v/>
      </c>
      <c r="AT70" s="37" t="str">
        <f t="shared" si="5"/>
        <v/>
      </c>
      <c r="AU70" s="37" t="str">
        <f t="shared" si="6"/>
        <v/>
      </c>
      <c r="AV70" s="54"/>
      <c r="AW70" s="46"/>
      <c r="AX70" s="39" t="str" cm="1">
        <f t="array" ref="AX70">IF(AH70&lt;&gt;"",IF(AND(AX68:AX69&lt;&gt;"IE",AQ70&lt;&gt;0,AS70&lt;&gt;""),IF(IFERROR((AQ70/AS70),0) &lt;=1,IFERROR(AQ70/AS70,""),1),""),"")</f>
        <v/>
      </c>
      <c r="AY70" s="46"/>
      <c r="AZ70" s="57"/>
    </row>
    <row r="71" spans="1:52" ht="15.5" x14ac:dyDescent="0.35">
      <c r="A71" s="51">
        <f t="shared" si="16"/>
        <v>1</v>
      </c>
      <c r="B71" s="52"/>
      <c r="C71" s="52"/>
      <c r="D71" s="29" t="str">
        <f>IFERROR(
IF(AND(OR(Planilla!B71="C",Planilla!B71="c"), VLOOKUP(E71,[1]Diccionario!B:N,13,0)="C"), "OK",IF(AND(OR(Planilla!B71="C",Planilla!B71="c"), OR(VLOOKUP(E71,[1]Diccionario!B:N,13,0)="B", VLOOKUP(E71,[1]Diccionario!B:N,13,0)="A")), "DEFICIT",IF(
AND(OR(Planilla!B71="B", Planilla!B71="BPAL"), VLOOKUP(E71,[1]Diccionario!B:N,13,0)="B"), "OK",IF(AND(OR(Planilla!B71="B", Planilla!B71="BPAL"), VLOOKUP(E71,[1]Diccionario!B:N,13,0)="A"), "DEFICIT",IF(AND(OR(Planilla!B71="B", Planilla!B71="BPAL"), VLOOKUP(E71,[1]Diccionario!B:N,13,0)="C"), "SOBREOFERTA",IF(AND(Planilla!B71="A", VLOOKUP(E71,[1]Diccionario!B:N,13,0)="A"), "OK",IF(
AND(Planilla!B71="A", OR(VLOOKUP(E71,[1]Diccionario!B:N,13,0)="B", VLOOKUP(E71,[1]Diccionario!B:N,13,0)="C")), "SOBREOFERTA",""
))))))),"")</f>
        <v/>
      </c>
      <c r="E71" s="48"/>
      <c r="F71" s="53"/>
      <c r="G71" s="54"/>
      <c r="H71" s="55" t="str">
        <f t="shared" si="7"/>
        <v/>
      </c>
      <c r="I71" s="35"/>
      <c r="J71" s="34" t="e">
        <f>IF(A71&lt;&gt;"",HLOOKUP(VALUE(TEXT(G71,"h:mm:ss")),IF($C$6="Laboral",[1]Input!$A$4:$Y$227,IF($C$6="Sábado",[1]Input!$A$231:$Y$452,[1]Input!$A$456:$Y$656)),VLOOKUP($C$4,[1]Input!$AG$2:$AI$99,3,0)+IF(C$5="Ida",0,1),1),"")</f>
        <v>#N/A</v>
      </c>
      <c r="K71" s="34" t="str">
        <f>IF(A72&lt;&gt;A71,AVERAGEIF(A$9:A71,A71,J$13:J71),"")</f>
        <v/>
      </c>
      <c r="L71" s="35" t="str">
        <f>IFERROR(IF(A72&lt;&gt;A71,AVERAGEIF(A$9:A71,A71,S$13:S71),""),"")</f>
        <v/>
      </c>
      <c r="M71" s="35" t="str">
        <f>IFERROR(IF(A72&lt;&gt;A71,AVERAGEIF(A$9:A71,A71,T$8:T71),""),"")</f>
        <v/>
      </c>
      <c r="N71" s="35" t="str" cm="1">
        <f t="array" ref="N71">IFERROR(IF(A72&lt;&gt;A71,_xlfn.STDEV.P(IF(A$9:A71=A71,T$7:T71)),""),"")</f>
        <v/>
      </c>
      <c r="O71" s="35" t="str" cm="1">
        <f t="array" ref="O71">IFERROR(IF(A72&lt;&gt;A71,_xlfn.STDEV.P(IF(A$9:A71=A71,S$7:S71)),""),"")</f>
        <v/>
      </c>
      <c r="P71" s="36" t="str">
        <f t="shared" si="0"/>
        <v/>
      </c>
      <c r="Q71" s="36" t="str">
        <f t="shared" si="1"/>
        <v/>
      </c>
      <c r="R71" s="36" t="str">
        <f t="shared" si="8"/>
        <v/>
      </c>
      <c r="S71" s="37" t="str">
        <f t="shared" si="9"/>
        <v/>
      </c>
      <c r="T71" s="37" t="str">
        <f t="shared" si="2"/>
        <v/>
      </c>
      <c r="U71" s="54"/>
      <c r="V71" s="46"/>
      <c r="W71" s="39" t="str">
        <f t="shared" si="10"/>
        <v/>
      </c>
      <c r="X71" s="38"/>
      <c r="Y71" s="48"/>
      <c r="AB71" s="56">
        <f t="shared" si="11"/>
        <v>1</v>
      </c>
      <c r="AC71" s="52"/>
      <c r="AD71" s="52"/>
      <c r="AE71" s="29" t="str">
        <f>IFERROR(
IF(AND(OR(AC71="C",AC71="c"), VLOOKUP(AF71,[1]Diccionario!B:N,13,0)="C"), "OK",IF(AND(OR(AC71="C",AC71="c"), OR(VLOOKUP(AF71,[1]Diccionario!B:N,13,0)="B", VLOOKUP(AF71,[1]Diccionario!B:N,13,0)="A")), "DEFICIT",IF(
AND(OR(AC71="B", AC71="BPAL"), VLOOKUP(AF71,[1]Diccionario!B:N,13,0)="B"), "OK",IF(AND(OR(AC71="B", AC71="BPAL"), VLOOKUP(AF71,[1]Diccionario!B:N,13,0)="A"), "DEFICIT",IF(AND(OR(AC71="B", AC71="BPAL"), VLOOKUP(AF71,[1]Diccionario!B:N,13,0)="C"), "SOBREOFERTA",IF(AND(AC71="A", VLOOKUP(AF71,[1]Diccionario!B:N,13,0)="A"), "OK",IF(
AND(AC71="A", OR(VLOOKUP(AF71,[1]Diccionario!B:N,13,0)="B", VLOOKUP(AF71,[1]Diccionario!B:N,13,0)="C")), "SOBREOFERTA",""
))))))),"")</f>
        <v/>
      </c>
      <c r="AF71" s="48"/>
      <c r="AG71" s="53"/>
      <c r="AH71" s="54"/>
      <c r="AI71" s="55" t="str">
        <f t="shared" si="12"/>
        <v/>
      </c>
      <c r="AJ71" s="46"/>
      <c r="AK71" s="34" t="e">
        <f>IF(AB71&lt;&gt;"",HLOOKUP(VALUE(TEXT(AH71,"h:mm:ss")),IF($C$6="Laboral",[1]Input!$A$4:$Y$227,IF($C$6="Sábado",[1]Input!$A$231:$Y$452,[1]Input!$A$456:$Y$656)),VLOOKUP($C$4,[1]Input!$AG$2:$AI$99,3,0)+IF(AD$5="Ida",0,1),1),"")</f>
        <v>#N/A</v>
      </c>
      <c r="AL71" s="34" t="str">
        <f>IF(AB72&lt;&gt;AB71,AVERAGEIF(AB$9:AB71,AB71,AK$9:AK71),"")</f>
        <v/>
      </c>
      <c r="AM71" s="35" t="str">
        <f>IFERROR(IF(AB72&lt;&gt;AB71,AVERAGEIF(AB$9:AB71,AB71,AT$9:AT71),""),"")</f>
        <v/>
      </c>
      <c r="AN71" s="35" t="str">
        <f>IFERROR(IF(AB72&lt;&gt;AB71,AVERAGEIF(AB$9:AB71,AB71,AU$9:AU71),""),"")</f>
        <v/>
      </c>
      <c r="AO71" s="35" t="str" cm="1">
        <f t="array" ref="AO71">IFERROR(IF(AB72&lt;&gt;AB71,_xlfn.STDEV.P(IF(AB$9:AB71=AB71,AU$9:AU71)),""),"")</f>
        <v/>
      </c>
      <c r="AP71" s="35" t="str" cm="1">
        <f t="array" ref="AP71">IFERROR(IF(AB72&lt;&gt;AB71,_xlfn.STDEV.P(IF(AB$9:AB71=AB71,AT$9:AT71)),""),"")</f>
        <v/>
      </c>
      <c r="AQ71" s="36" t="str">
        <f t="shared" si="3"/>
        <v/>
      </c>
      <c r="AR71" s="36" t="str">
        <f t="shared" si="4"/>
        <v/>
      </c>
      <c r="AS71" s="36" t="str">
        <f t="shared" si="13"/>
        <v/>
      </c>
      <c r="AT71" s="37" t="str">
        <f t="shared" si="5"/>
        <v/>
      </c>
      <c r="AU71" s="37" t="str">
        <f t="shared" si="6"/>
        <v/>
      </c>
      <c r="AV71" s="54"/>
      <c r="AW71" s="46"/>
      <c r="AX71" s="39" t="str" cm="1">
        <f t="array" ref="AX71">IF(AH71&lt;&gt;"",IF(AND(AX69:AX70&lt;&gt;"IE",AQ71&lt;&gt;0,AS71&lt;&gt;""),IF(IFERROR((AQ71/AS71),0) &lt;=1,IFERROR(AQ71/AS71,""),1),""),"")</f>
        <v/>
      </c>
      <c r="AY71" s="46"/>
      <c r="AZ71" s="57"/>
    </row>
    <row r="72" spans="1:52" ht="15.5" x14ac:dyDescent="0.35">
      <c r="A72" s="51">
        <f t="shared" si="16"/>
        <v>1</v>
      </c>
      <c r="B72" s="52"/>
      <c r="C72" s="52"/>
      <c r="D72" s="29" t="str">
        <f>IFERROR(
IF(AND(OR(Planilla!B72="C",Planilla!B72="c"), VLOOKUP(E72,[1]Diccionario!B:N,13,0)="C"), "OK",IF(AND(OR(Planilla!B72="C",Planilla!B72="c"), OR(VLOOKUP(E72,[1]Diccionario!B:N,13,0)="B", VLOOKUP(E72,[1]Diccionario!B:N,13,0)="A")), "DEFICIT",IF(
AND(OR(Planilla!B72="B", Planilla!B72="BPAL"), VLOOKUP(E72,[1]Diccionario!B:N,13,0)="B"), "OK",IF(AND(OR(Planilla!B72="B", Planilla!B72="BPAL"), VLOOKUP(E72,[1]Diccionario!B:N,13,0)="A"), "DEFICIT",IF(AND(OR(Planilla!B72="B", Planilla!B72="BPAL"), VLOOKUP(E72,[1]Diccionario!B:N,13,0)="C"), "SOBREOFERTA",IF(AND(Planilla!B72="A", VLOOKUP(E72,[1]Diccionario!B:N,13,0)="A"), "OK",IF(
AND(Planilla!B72="A", OR(VLOOKUP(E72,[1]Diccionario!B:N,13,0)="B", VLOOKUP(E72,[1]Diccionario!B:N,13,0)="C")), "SOBREOFERTA",""
))))))),"")</f>
        <v/>
      </c>
      <c r="E72" s="48"/>
      <c r="F72" s="53"/>
      <c r="G72" s="54"/>
      <c r="H72" s="55" t="str">
        <f t="shared" si="7"/>
        <v/>
      </c>
      <c r="I72" s="35"/>
      <c r="J72" s="34" t="e">
        <f>IF(A72&lt;&gt;"",HLOOKUP(VALUE(TEXT(G72,"h:mm:ss")),IF($C$6="Laboral",[1]Input!$A$4:$Y$227,IF($C$6="Sábado",[1]Input!$A$231:$Y$452,[1]Input!$A$456:$Y$656)),VLOOKUP($C$4,[1]Input!$AG$2:$AI$99,3,0)+IF(C$5="Ida",0,1),1),"")</f>
        <v>#N/A</v>
      </c>
      <c r="K72" s="34" t="str">
        <f>IF(A73&lt;&gt;A72,AVERAGEIF(A$9:A72,A72,J$13:J72),"")</f>
        <v/>
      </c>
      <c r="L72" s="35" t="str">
        <f>IFERROR(IF(A73&lt;&gt;A72,AVERAGEIF(A$9:A72,A72,S$13:S72),""),"")</f>
        <v/>
      </c>
      <c r="M72" s="35" t="str">
        <f>IFERROR(IF(A73&lt;&gt;A72,AVERAGEIF(A$9:A72,A72,T$8:T72),""),"")</f>
        <v/>
      </c>
      <c r="N72" s="35" t="str" cm="1">
        <f t="array" ref="N72">IFERROR(IF(A73&lt;&gt;A72,_xlfn.STDEV.P(IF(A$9:A72=A72,T$7:T72)),""),"")</f>
        <v/>
      </c>
      <c r="O72" s="35" t="str" cm="1">
        <f t="array" ref="O72">IFERROR(IF(A73&lt;&gt;A72,_xlfn.STDEV.P(IF(A$9:A72=A72,S$7:S72)),""),"")</f>
        <v/>
      </c>
      <c r="P72" s="36" t="str">
        <f t="shared" si="0"/>
        <v/>
      </c>
      <c r="Q72" s="36" t="str">
        <f t="shared" si="1"/>
        <v/>
      </c>
      <c r="R72" s="36" t="str">
        <f t="shared" si="8"/>
        <v/>
      </c>
      <c r="S72" s="37" t="str">
        <f t="shared" si="9"/>
        <v/>
      </c>
      <c r="T72" s="37" t="str">
        <f t="shared" si="2"/>
        <v/>
      </c>
      <c r="U72" s="54"/>
      <c r="V72" s="46"/>
      <c r="W72" s="39" t="str">
        <f t="shared" si="10"/>
        <v/>
      </c>
      <c r="X72" s="38"/>
      <c r="Y72" s="48"/>
      <c r="AB72" s="56">
        <f t="shared" si="11"/>
        <v>1</v>
      </c>
      <c r="AC72" s="52"/>
      <c r="AD72" s="52"/>
      <c r="AE72" s="29" t="str">
        <f>IFERROR(
IF(AND(OR(AC72="C",AC72="c"), VLOOKUP(AF72,[1]Diccionario!B:N,13,0)="C"), "OK",IF(AND(OR(AC72="C",AC72="c"), OR(VLOOKUP(AF72,[1]Diccionario!B:N,13,0)="B", VLOOKUP(AF72,[1]Diccionario!B:N,13,0)="A")), "DEFICIT",IF(
AND(OR(AC72="B", AC72="BPAL"), VLOOKUP(AF72,[1]Diccionario!B:N,13,0)="B"), "OK",IF(AND(OR(AC72="B", AC72="BPAL"), VLOOKUP(AF72,[1]Diccionario!B:N,13,0)="A"), "DEFICIT",IF(AND(OR(AC72="B", AC72="BPAL"), VLOOKUP(AF72,[1]Diccionario!B:N,13,0)="C"), "SOBREOFERTA",IF(AND(AC72="A", VLOOKUP(AF72,[1]Diccionario!B:N,13,0)="A"), "OK",IF(
AND(AC72="A", OR(VLOOKUP(AF72,[1]Diccionario!B:N,13,0)="B", VLOOKUP(AF72,[1]Diccionario!B:N,13,0)="C")), "SOBREOFERTA",""
))))))),"")</f>
        <v/>
      </c>
      <c r="AF72" s="48"/>
      <c r="AG72" s="53"/>
      <c r="AH72" s="54"/>
      <c r="AI72" s="55" t="str">
        <f t="shared" si="12"/>
        <v/>
      </c>
      <c r="AJ72" s="46"/>
      <c r="AK72" s="34" t="e">
        <f>IF(AB72&lt;&gt;"",HLOOKUP(VALUE(TEXT(AH72,"h:mm:ss")),IF($C$6="Laboral",[1]Input!$A$4:$Y$227,IF($C$6="Sábado",[1]Input!$A$231:$Y$452,[1]Input!$A$456:$Y$656)),VLOOKUP($C$4,[1]Input!$AG$2:$AI$99,3,0)+IF(AD$5="Ida",0,1),1),"")</f>
        <v>#N/A</v>
      </c>
      <c r="AL72" s="34" t="str">
        <f>IF(AB73&lt;&gt;AB72,AVERAGEIF(AB$9:AB72,AB72,AK$9:AK72),"")</f>
        <v/>
      </c>
      <c r="AM72" s="35" t="str">
        <f>IFERROR(IF(AB73&lt;&gt;AB72,AVERAGEIF(AB$9:AB72,AB72,AT$9:AT72),""),"")</f>
        <v/>
      </c>
      <c r="AN72" s="35" t="str">
        <f>IFERROR(IF(AB73&lt;&gt;AB72,AVERAGEIF(AB$9:AB72,AB72,AU$9:AU72),""),"")</f>
        <v/>
      </c>
      <c r="AO72" s="35" t="str" cm="1">
        <f t="array" ref="AO72">IFERROR(IF(AB73&lt;&gt;AB72,_xlfn.STDEV.P(IF(AB$9:AB72=AB72,AU$9:AU72)),""),"")</f>
        <v/>
      </c>
      <c r="AP72" s="35" t="str" cm="1">
        <f t="array" ref="AP72">IFERROR(IF(AB73&lt;&gt;AB72,_xlfn.STDEV.P(IF(AB$9:AB72=AB72,AT$9:AT72)),""),"")</f>
        <v/>
      </c>
      <c r="AQ72" s="36" t="str">
        <f t="shared" si="3"/>
        <v/>
      </c>
      <c r="AR72" s="36" t="str">
        <f t="shared" si="4"/>
        <v/>
      </c>
      <c r="AS72" s="36" t="str">
        <f t="shared" si="13"/>
        <v/>
      </c>
      <c r="AT72" s="37" t="str">
        <f t="shared" si="5"/>
        <v/>
      </c>
      <c r="AU72" s="37" t="str">
        <f t="shared" si="6"/>
        <v/>
      </c>
      <c r="AV72" s="54"/>
      <c r="AW72" s="46"/>
      <c r="AX72" s="39" t="str" cm="1">
        <f t="array" ref="AX72">IF(AH72&lt;&gt;"",IF(AND(AX70:AX71&lt;&gt;"IE",AQ72&lt;&gt;0,AS72&lt;&gt;""),IF(IFERROR((AQ72/AS72),0) &lt;=1,IFERROR(AQ72/AS72,""),1),""),"")</f>
        <v/>
      </c>
      <c r="AY72" s="46"/>
      <c r="AZ72" s="57"/>
    </row>
    <row r="73" spans="1:52" ht="15.5" x14ac:dyDescent="0.35">
      <c r="A73" s="51">
        <f t="shared" si="16"/>
        <v>1</v>
      </c>
      <c r="B73" s="52"/>
      <c r="C73" s="52"/>
      <c r="D73" s="29" t="str">
        <f>IFERROR(
IF(AND(OR(Planilla!B73="C",Planilla!B73="c"), VLOOKUP(E73,[1]Diccionario!B:N,13,0)="C"), "OK",IF(AND(OR(Planilla!B73="C",Planilla!B73="c"), OR(VLOOKUP(E73,[1]Diccionario!B:N,13,0)="B", VLOOKUP(E73,[1]Diccionario!B:N,13,0)="A")), "DEFICIT",IF(
AND(OR(Planilla!B73="B", Planilla!B73="BPAL"), VLOOKUP(E73,[1]Diccionario!B:N,13,0)="B"), "OK",IF(AND(OR(Planilla!B73="B", Planilla!B73="BPAL"), VLOOKUP(E73,[1]Diccionario!B:N,13,0)="A"), "DEFICIT",IF(AND(OR(Planilla!B73="B", Planilla!B73="BPAL"), VLOOKUP(E73,[1]Diccionario!B:N,13,0)="C"), "SOBREOFERTA",IF(AND(Planilla!B73="A", VLOOKUP(E73,[1]Diccionario!B:N,13,0)="A"), "OK",IF(
AND(Planilla!B73="A", OR(VLOOKUP(E73,[1]Diccionario!B:N,13,0)="B", VLOOKUP(E73,[1]Diccionario!B:N,13,0)="C")), "SOBREOFERTA",""
))))))),"")</f>
        <v/>
      </c>
      <c r="E73" s="48"/>
      <c r="F73" s="53"/>
      <c r="G73" s="54"/>
      <c r="H73" s="55" t="str">
        <f t="shared" si="7"/>
        <v/>
      </c>
      <c r="I73" s="35"/>
      <c r="J73" s="34" t="e">
        <f>IF(A73&lt;&gt;"",HLOOKUP(VALUE(TEXT(G73,"h:mm:ss")),IF($C$6="Laboral",[1]Input!$A$4:$Y$227,IF($C$6="Sábado",[1]Input!$A$231:$Y$452,[1]Input!$A$456:$Y$656)),VLOOKUP($C$4,[1]Input!$AG$2:$AI$99,3,0)+IF(C$5="Ida",0,1),1),"")</f>
        <v>#N/A</v>
      </c>
      <c r="K73" s="34" t="str">
        <f>IF(A74&lt;&gt;A73,AVERAGEIF(A$9:A73,A73,J$13:J73),"")</f>
        <v/>
      </c>
      <c r="L73" s="35" t="str">
        <f>IFERROR(IF(A74&lt;&gt;A73,AVERAGEIF(A$9:A73,A73,S$13:S73),""),"")</f>
        <v/>
      </c>
      <c r="M73" s="35" t="str">
        <f>IFERROR(IF(A74&lt;&gt;A73,AVERAGEIF(A$9:A73,A73,T$8:T73),""),"")</f>
        <v/>
      </c>
      <c r="N73" s="35" t="str" cm="1">
        <f t="array" ref="N73">IFERROR(IF(A74&lt;&gt;A73,_xlfn.STDEV.P(IF(A$9:A73=A73,T$7:T73)),""),"")</f>
        <v/>
      </c>
      <c r="O73" s="35" t="str" cm="1">
        <f t="array" ref="O73">IFERROR(IF(A74&lt;&gt;A73,_xlfn.STDEV.P(IF(A$9:A73=A73,S$7:S73)),""),"")</f>
        <v/>
      </c>
      <c r="P73" s="36" t="str">
        <f t="shared" si="0"/>
        <v/>
      </c>
      <c r="Q73" s="36" t="str">
        <f t="shared" si="1"/>
        <v/>
      </c>
      <c r="R73" s="36" t="str">
        <f t="shared" si="8"/>
        <v/>
      </c>
      <c r="S73" s="37" t="str">
        <f t="shared" si="9"/>
        <v/>
      </c>
      <c r="T73" s="37" t="str">
        <f t="shared" si="2"/>
        <v/>
      </c>
      <c r="U73" s="54"/>
      <c r="V73" s="46"/>
      <c r="W73" s="39" t="str">
        <f t="shared" si="10"/>
        <v/>
      </c>
      <c r="X73" s="38"/>
      <c r="Y73" s="48"/>
      <c r="AB73" s="56">
        <f t="shared" si="11"/>
        <v>1</v>
      </c>
      <c r="AC73" s="52"/>
      <c r="AD73" s="52"/>
      <c r="AE73" s="29" t="str">
        <f>IFERROR(
IF(AND(OR(AC73="C",AC73="c"), VLOOKUP(AF73,[1]Diccionario!B:N,13,0)="C"), "OK",IF(AND(OR(AC73="C",AC73="c"), OR(VLOOKUP(AF73,[1]Diccionario!B:N,13,0)="B", VLOOKUP(AF73,[1]Diccionario!B:N,13,0)="A")), "DEFICIT",IF(
AND(OR(AC73="B", AC73="BPAL"), VLOOKUP(AF73,[1]Diccionario!B:N,13,0)="B"), "OK",IF(AND(OR(AC73="B", AC73="BPAL"), VLOOKUP(AF73,[1]Diccionario!B:N,13,0)="A"), "DEFICIT",IF(AND(OR(AC73="B", AC73="BPAL"), VLOOKUP(AF73,[1]Diccionario!B:N,13,0)="C"), "SOBREOFERTA",IF(AND(AC73="A", VLOOKUP(AF73,[1]Diccionario!B:N,13,0)="A"), "OK",IF(
AND(AC73="A", OR(VLOOKUP(AF73,[1]Diccionario!B:N,13,0)="B", VLOOKUP(AF73,[1]Diccionario!B:N,13,0)="C")), "SOBREOFERTA",""
))))))),"")</f>
        <v/>
      </c>
      <c r="AF73" s="48"/>
      <c r="AG73" s="53"/>
      <c r="AH73" s="54"/>
      <c r="AI73" s="55" t="str">
        <f t="shared" si="12"/>
        <v/>
      </c>
      <c r="AJ73" s="46"/>
      <c r="AK73" s="34" t="e">
        <f>IF(AB73&lt;&gt;"",HLOOKUP(VALUE(TEXT(AH73,"h:mm:ss")),IF($C$6="Laboral",[1]Input!$A$4:$Y$227,IF($C$6="Sábado",[1]Input!$A$231:$Y$452,[1]Input!$A$456:$Y$656)),VLOOKUP($C$4,[1]Input!$AG$2:$AI$99,3,0)+IF(AD$5="Ida",0,1),1),"")</f>
        <v>#N/A</v>
      </c>
      <c r="AL73" s="34" t="str">
        <f>IF(AB74&lt;&gt;AB73,AVERAGEIF(AB$9:AB73,AB73,AK$9:AK73),"")</f>
        <v/>
      </c>
      <c r="AM73" s="35" t="str">
        <f>IFERROR(IF(AB74&lt;&gt;AB73,AVERAGEIF(AB$9:AB73,AB73,AT$9:AT73),""),"")</f>
        <v/>
      </c>
      <c r="AN73" s="35" t="str">
        <f>IFERROR(IF(AB74&lt;&gt;AB73,AVERAGEIF(AB$9:AB73,AB73,AU$9:AU73),""),"")</f>
        <v/>
      </c>
      <c r="AO73" s="35" t="str" cm="1">
        <f t="array" ref="AO73">IFERROR(IF(AB74&lt;&gt;AB73,_xlfn.STDEV.P(IF(AB$9:AB73=AB73,AU$9:AU73)),""),"")</f>
        <v/>
      </c>
      <c r="AP73" s="35" t="str" cm="1">
        <f t="array" ref="AP73">IFERROR(IF(AB74&lt;&gt;AB73,_xlfn.STDEV.P(IF(AB$9:AB73=AB73,AT$9:AT73)),""),"")</f>
        <v/>
      </c>
      <c r="AQ73" s="36" t="str">
        <f t="shared" si="3"/>
        <v/>
      </c>
      <c r="AR73" s="36" t="str">
        <f t="shared" si="4"/>
        <v/>
      </c>
      <c r="AS73" s="36" t="str">
        <f t="shared" si="13"/>
        <v/>
      </c>
      <c r="AT73" s="37" t="str">
        <f t="shared" si="5"/>
        <v/>
      </c>
      <c r="AU73" s="37" t="str">
        <f t="shared" si="6"/>
        <v/>
      </c>
      <c r="AV73" s="54"/>
      <c r="AW73" s="46"/>
      <c r="AX73" s="39" t="str" cm="1">
        <f t="array" ref="AX73">IF(AH73&lt;&gt;"",IF(AND(AX71:AX72&lt;&gt;"IE",AQ73&lt;&gt;0,AS73&lt;&gt;""),IF(IFERROR((AQ73/AS73),0) &lt;=1,IFERROR(AQ73/AS73,""),1),""),"")</f>
        <v/>
      </c>
      <c r="AY73" s="46"/>
      <c r="AZ73" s="57"/>
    </row>
    <row r="74" spans="1:52" ht="15.5" x14ac:dyDescent="0.35">
      <c r="A74" s="51">
        <f t="shared" si="16"/>
        <v>1</v>
      </c>
      <c r="B74" s="52"/>
      <c r="C74" s="52"/>
      <c r="D74" s="29" t="str">
        <f>IFERROR(
IF(AND(OR(Planilla!B74="C",Planilla!B74="c"), VLOOKUP(E74,[1]Diccionario!B:N,13,0)="C"), "OK",IF(AND(OR(Planilla!B74="C",Planilla!B74="c"), OR(VLOOKUP(E74,[1]Diccionario!B:N,13,0)="B", VLOOKUP(E74,[1]Diccionario!B:N,13,0)="A")), "DEFICIT",IF(
AND(OR(Planilla!B74="B", Planilla!B74="BPAL"), VLOOKUP(E74,[1]Diccionario!B:N,13,0)="B"), "OK",IF(AND(OR(Planilla!B74="B", Planilla!B74="BPAL"), VLOOKUP(E74,[1]Diccionario!B:N,13,0)="A"), "DEFICIT",IF(AND(OR(Planilla!B74="B", Planilla!B74="BPAL"), VLOOKUP(E74,[1]Diccionario!B:N,13,0)="C"), "SOBREOFERTA",IF(AND(Planilla!B74="A", VLOOKUP(E74,[1]Diccionario!B:N,13,0)="A"), "OK",IF(
AND(Planilla!B74="A", OR(VLOOKUP(E74,[1]Diccionario!B:N,13,0)="B", VLOOKUP(E74,[1]Diccionario!B:N,13,0)="C")), "SOBREOFERTA",""
))))))),"")</f>
        <v/>
      </c>
      <c r="E74" s="48"/>
      <c r="F74" s="53"/>
      <c r="G74" s="54"/>
      <c r="H74" s="55" t="str">
        <f t="shared" si="7"/>
        <v/>
      </c>
      <c r="I74" s="35"/>
      <c r="J74" s="34" t="e">
        <f>IF(A74&lt;&gt;"",HLOOKUP(VALUE(TEXT(G74,"h:mm:ss")),IF($C$6="Laboral",[1]Input!$A$4:$Y$227,IF($C$6="Sábado",[1]Input!$A$231:$Y$452,[1]Input!$A$456:$Y$656)),VLOOKUP($C$4,[1]Input!$AG$2:$AI$99,3,0)+IF(C$5="Ida",0,1),1),"")</f>
        <v>#N/A</v>
      </c>
      <c r="K74" s="34" t="str">
        <f>IF(A75&lt;&gt;A74,AVERAGEIF(A$9:A74,A74,J$13:J74),"")</f>
        <v/>
      </c>
      <c r="L74" s="35" t="str">
        <f>IFERROR(IF(A75&lt;&gt;A74,AVERAGEIF(A$9:A74,A74,S$13:S74),""),"")</f>
        <v/>
      </c>
      <c r="M74" s="35" t="str">
        <f>IFERROR(IF(A75&lt;&gt;A74,AVERAGEIF(A$9:A74,A74,T$8:T74),""),"")</f>
        <v/>
      </c>
      <c r="N74" s="35" t="str" cm="1">
        <f t="array" ref="N74">IFERROR(IF(A75&lt;&gt;A74,_xlfn.STDEV.P(IF(A$9:A74=A74,T$7:T74)),""),"")</f>
        <v/>
      </c>
      <c r="O74" s="35" t="str" cm="1">
        <f t="array" ref="O74">IFERROR(IF(A75&lt;&gt;A74,_xlfn.STDEV.P(IF(A$9:A74=A74,S$7:S74)),""),"")</f>
        <v/>
      </c>
      <c r="P74" s="36" t="str">
        <f t="shared" si="0"/>
        <v/>
      </c>
      <c r="Q74" s="36" t="str">
        <f t="shared" si="1"/>
        <v/>
      </c>
      <c r="R74" s="36" t="str">
        <f t="shared" si="8"/>
        <v/>
      </c>
      <c r="S74" s="37" t="str">
        <f t="shared" si="9"/>
        <v/>
      </c>
      <c r="T74" s="37" t="str">
        <f t="shared" si="2"/>
        <v/>
      </c>
      <c r="U74" s="54"/>
      <c r="V74" s="46"/>
      <c r="W74" s="39" t="str">
        <f t="shared" si="10"/>
        <v/>
      </c>
      <c r="X74" s="38"/>
      <c r="Y74" s="48"/>
      <c r="AB74" s="56">
        <f t="shared" si="11"/>
        <v>1</v>
      </c>
      <c r="AC74" s="52"/>
      <c r="AD74" s="52"/>
      <c r="AE74" s="29" t="str">
        <f>IFERROR(
IF(AND(OR(AC74="C",AC74="c"), VLOOKUP(AF74,[1]Diccionario!B:N,13,0)="C"), "OK",IF(AND(OR(AC74="C",AC74="c"), OR(VLOOKUP(AF74,[1]Diccionario!B:N,13,0)="B", VLOOKUP(AF74,[1]Diccionario!B:N,13,0)="A")), "DEFICIT",IF(
AND(OR(AC74="B", AC74="BPAL"), VLOOKUP(AF74,[1]Diccionario!B:N,13,0)="B"), "OK",IF(AND(OR(AC74="B", AC74="BPAL"), VLOOKUP(AF74,[1]Diccionario!B:N,13,0)="A"), "DEFICIT",IF(AND(OR(AC74="B", AC74="BPAL"), VLOOKUP(AF74,[1]Diccionario!B:N,13,0)="C"), "SOBREOFERTA",IF(AND(AC74="A", VLOOKUP(AF74,[1]Diccionario!B:N,13,0)="A"), "OK",IF(
AND(AC74="A", OR(VLOOKUP(AF74,[1]Diccionario!B:N,13,0)="B", VLOOKUP(AF74,[1]Diccionario!B:N,13,0)="C")), "SOBREOFERTA",""
))))))),"")</f>
        <v/>
      </c>
      <c r="AF74" s="48"/>
      <c r="AG74" s="53"/>
      <c r="AH74" s="54"/>
      <c r="AI74" s="55" t="str">
        <f t="shared" si="12"/>
        <v/>
      </c>
      <c r="AJ74" s="46"/>
      <c r="AK74" s="34" t="e">
        <f>IF(AB74&lt;&gt;"",HLOOKUP(VALUE(TEXT(AH74,"h:mm:ss")),IF($C$6="Laboral",[1]Input!$A$4:$Y$227,IF($C$6="Sábado",[1]Input!$A$231:$Y$452,[1]Input!$A$456:$Y$656)),VLOOKUP($C$4,[1]Input!$AG$2:$AI$99,3,0)+IF(AD$5="Ida",0,1),1),"")</f>
        <v>#N/A</v>
      </c>
      <c r="AL74" s="34" t="str">
        <f>IF(AB75&lt;&gt;AB74,AVERAGEIF(AB$9:AB74,AB74,AK$9:AK74),"")</f>
        <v/>
      </c>
      <c r="AM74" s="35" t="str">
        <f>IFERROR(IF(AB75&lt;&gt;AB74,AVERAGEIF(AB$9:AB74,AB74,AT$9:AT74),""),"")</f>
        <v/>
      </c>
      <c r="AN74" s="35" t="str">
        <f>IFERROR(IF(AB75&lt;&gt;AB74,AVERAGEIF(AB$9:AB74,AB74,AU$9:AU74),""),"")</f>
        <v/>
      </c>
      <c r="AO74" s="35" t="str" cm="1">
        <f t="array" ref="AO74">IFERROR(IF(AB75&lt;&gt;AB74,_xlfn.STDEV.P(IF(AB$9:AB74=AB74,AU$9:AU74)),""),"")</f>
        <v/>
      </c>
      <c r="AP74" s="35" t="str" cm="1">
        <f t="array" ref="AP74">IFERROR(IF(AB75&lt;&gt;AB74,_xlfn.STDEV.P(IF(AB$9:AB74=AB74,AT$9:AT74)),""),"")</f>
        <v/>
      </c>
      <c r="AQ74" s="36" t="str">
        <f t="shared" si="3"/>
        <v/>
      </c>
      <c r="AR74" s="36" t="str">
        <f t="shared" si="4"/>
        <v/>
      </c>
      <c r="AS74" s="36" t="str">
        <f t="shared" si="13"/>
        <v/>
      </c>
      <c r="AT74" s="37" t="str">
        <f t="shared" si="5"/>
        <v/>
      </c>
      <c r="AU74" s="37" t="str">
        <f t="shared" si="6"/>
        <v/>
      </c>
      <c r="AV74" s="54"/>
      <c r="AW74" s="46"/>
      <c r="AX74" s="39" t="str" cm="1">
        <f t="array" ref="AX74">IF(AH74&lt;&gt;"",IF(AND(AX72:AX73&lt;&gt;"IE",AQ74&lt;&gt;0,AS74&lt;&gt;""),IF(IFERROR((AQ74/AS74),0) &lt;=1,IFERROR(AQ74/AS74,""),1),""),"")</f>
        <v/>
      </c>
      <c r="AY74" s="46"/>
      <c r="AZ74" s="57"/>
    </row>
    <row r="75" spans="1:52" ht="15.5" x14ac:dyDescent="0.35">
      <c r="A75" s="51">
        <f t="shared" si="16"/>
        <v>1</v>
      </c>
      <c r="B75" s="52"/>
      <c r="C75" s="52"/>
      <c r="D75" s="29" t="str">
        <f>IFERROR(
IF(AND(OR(Planilla!B75="C",Planilla!B75="c"), VLOOKUP(E75,[1]Diccionario!B:N,13,0)="C"), "OK",IF(AND(OR(Planilla!B75="C",Planilla!B75="c"), OR(VLOOKUP(E75,[1]Diccionario!B:N,13,0)="B", VLOOKUP(E75,[1]Diccionario!B:N,13,0)="A")), "DEFICIT",IF(
AND(OR(Planilla!B75="B", Planilla!B75="BPAL"), VLOOKUP(E75,[1]Diccionario!B:N,13,0)="B"), "OK",IF(AND(OR(Planilla!B75="B", Planilla!B75="BPAL"), VLOOKUP(E75,[1]Diccionario!B:N,13,0)="A"), "DEFICIT",IF(AND(OR(Planilla!B75="B", Planilla!B75="BPAL"), VLOOKUP(E75,[1]Diccionario!B:N,13,0)="C"), "SOBREOFERTA",IF(AND(Planilla!B75="A", VLOOKUP(E75,[1]Diccionario!B:N,13,0)="A"), "OK",IF(
AND(Planilla!B75="A", OR(VLOOKUP(E75,[1]Diccionario!B:N,13,0)="B", VLOOKUP(E75,[1]Diccionario!B:N,13,0)="C")), "SOBREOFERTA",""
))))))),"")</f>
        <v/>
      </c>
      <c r="E75" s="48"/>
      <c r="F75" s="53"/>
      <c r="G75" s="54"/>
      <c r="H75" s="55" t="str">
        <f t="shared" si="7"/>
        <v/>
      </c>
      <c r="I75" s="35"/>
      <c r="J75" s="34" t="e">
        <f>IF(A75&lt;&gt;"",HLOOKUP(VALUE(TEXT(G75,"h:mm:ss")),IF($C$6="Laboral",[1]Input!$A$4:$Y$227,IF($C$6="Sábado",[1]Input!$A$231:$Y$452,[1]Input!$A$456:$Y$656)),VLOOKUP($C$4,[1]Input!$AG$2:$AI$99,3,0)+IF(C$5="Ida",0,1),1),"")</f>
        <v>#N/A</v>
      </c>
      <c r="K75" s="34" t="str">
        <f>IF(A76&lt;&gt;A75,AVERAGEIF(A$9:A75,A75,J$13:J75),"")</f>
        <v/>
      </c>
      <c r="L75" s="35" t="str">
        <f>IFERROR(IF(A76&lt;&gt;A75,AVERAGEIF(A$9:A75,A75,S$13:S75),""),"")</f>
        <v/>
      </c>
      <c r="M75" s="35" t="str">
        <f>IFERROR(IF(A76&lt;&gt;A75,AVERAGEIF(A$9:A75,A75,T$8:T75),""),"")</f>
        <v/>
      </c>
      <c r="N75" s="35" t="str" cm="1">
        <f t="array" ref="N75">IFERROR(IF(A76&lt;&gt;A75,_xlfn.STDEV.P(IF(A$9:A75=A75,T$7:T75)),""),"")</f>
        <v/>
      </c>
      <c r="O75" s="35" t="str" cm="1">
        <f t="array" ref="O75">IFERROR(IF(A76&lt;&gt;A75,_xlfn.STDEV.P(IF(A$9:A75=A75,S$7:S75)),""),"")</f>
        <v/>
      </c>
      <c r="P75" s="36" t="str">
        <f t="shared" si="0"/>
        <v/>
      </c>
      <c r="Q75" s="36" t="str">
        <f t="shared" si="1"/>
        <v/>
      </c>
      <c r="R75" s="36" t="str">
        <f t="shared" si="8"/>
        <v/>
      </c>
      <c r="S75" s="37" t="str">
        <f t="shared" si="9"/>
        <v/>
      </c>
      <c r="T75" s="37" t="str">
        <f t="shared" si="2"/>
        <v/>
      </c>
      <c r="U75" s="54"/>
      <c r="V75" s="46"/>
      <c r="W75" s="39" t="str">
        <f t="shared" si="10"/>
        <v/>
      </c>
      <c r="X75" s="38"/>
      <c r="Y75" s="48"/>
      <c r="AB75" s="56">
        <f t="shared" si="11"/>
        <v>1</v>
      </c>
      <c r="AC75" s="52"/>
      <c r="AD75" s="52"/>
      <c r="AE75" s="29" t="str">
        <f>IFERROR(
IF(AND(OR(AC75="C",AC75="c"), VLOOKUP(AF75,[1]Diccionario!B:N,13,0)="C"), "OK",IF(AND(OR(AC75="C",AC75="c"), OR(VLOOKUP(AF75,[1]Diccionario!B:N,13,0)="B", VLOOKUP(AF75,[1]Diccionario!B:N,13,0)="A")), "DEFICIT",IF(
AND(OR(AC75="B", AC75="BPAL"), VLOOKUP(AF75,[1]Diccionario!B:N,13,0)="B"), "OK",IF(AND(OR(AC75="B", AC75="BPAL"), VLOOKUP(AF75,[1]Diccionario!B:N,13,0)="A"), "DEFICIT",IF(AND(OR(AC75="B", AC75="BPAL"), VLOOKUP(AF75,[1]Diccionario!B:N,13,0)="C"), "SOBREOFERTA",IF(AND(AC75="A", VLOOKUP(AF75,[1]Diccionario!B:N,13,0)="A"), "OK",IF(
AND(AC75="A", OR(VLOOKUP(AF75,[1]Diccionario!B:N,13,0)="B", VLOOKUP(AF75,[1]Diccionario!B:N,13,0)="C")), "SOBREOFERTA",""
))))))),"")</f>
        <v/>
      </c>
      <c r="AF75" s="48"/>
      <c r="AG75" s="53"/>
      <c r="AH75" s="54"/>
      <c r="AI75" s="55" t="str">
        <f t="shared" si="12"/>
        <v/>
      </c>
      <c r="AJ75" s="46"/>
      <c r="AK75" s="34" t="e">
        <f>IF(AB75&lt;&gt;"",HLOOKUP(VALUE(TEXT(AH75,"h:mm:ss")),IF($C$6="Laboral",[1]Input!$A$4:$Y$227,IF($C$6="Sábado",[1]Input!$A$231:$Y$452,[1]Input!$A$456:$Y$656)),VLOOKUP($C$4,[1]Input!$AG$2:$AI$99,3,0)+IF(AD$5="Ida",0,1),1),"")</f>
        <v>#N/A</v>
      </c>
      <c r="AL75" s="34" t="str">
        <f>IF(AB76&lt;&gt;AB75,AVERAGEIF(AB$9:AB75,AB75,AK$9:AK75),"")</f>
        <v/>
      </c>
      <c r="AM75" s="35" t="str">
        <f>IFERROR(IF(AB76&lt;&gt;AB75,AVERAGEIF(AB$9:AB75,AB75,AT$9:AT75),""),"")</f>
        <v/>
      </c>
      <c r="AN75" s="35" t="str">
        <f>IFERROR(IF(AB76&lt;&gt;AB75,AVERAGEIF(AB$9:AB75,AB75,AU$9:AU75),""),"")</f>
        <v/>
      </c>
      <c r="AO75" s="35" t="str" cm="1">
        <f t="array" ref="AO75">IFERROR(IF(AB76&lt;&gt;AB75,_xlfn.STDEV.P(IF(AB$9:AB75=AB75,AU$9:AU75)),""),"")</f>
        <v/>
      </c>
      <c r="AP75" s="35" t="str" cm="1">
        <f t="array" ref="AP75">IFERROR(IF(AB76&lt;&gt;AB75,_xlfn.STDEV.P(IF(AB$9:AB75=AB75,AT$9:AT75)),""),"")</f>
        <v/>
      </c>
      <c r="AQ75" s="36" t="str">
        <f t="shared" si="3"/>
        <v/>
      </c>
      <c r="AR75" s="36" t="str">
        <f t="shared" si="4"/>
        <v/>
      </c>
      <c r="AS75" s="36" t="str">
        <f t="shared" si="13"/>
        <v/>
      </c>
      <c r="AT75" s="37" t="str">
        <f t="shared" si="5"/>
        <v/>
      </c>
      <c r="AU75" s="37" t="str">
        <f t="shared" si="6"/>
        <v/>
      </c>
      <c r="AV75" s="54"/>
      <c r="AW75" s="46"/>
      <c r="AX75" s="39" t="str" cm="1">
        <f t="array" ref="AX75">IF(AH75&lt;&gt;"",IF(AND(AX73:AX74&lt;&gt;"IE",AQ75&lt;&gt;0,AS75&lt;&gt;""),IF(IFERROR((AQ75/AS75),0) &lt;=1,IFERROR(AQ75/AS75,""),1),""),"")</f>
        <v/>
      </c>
      <c r="AY75" s="46"/>
      <c r="AZ75" s="57"/>
    </row>
    <row r="76" spans="1:52" ht="15.5" x14ac:dyDescent="0.35">
      <c r="A76" s="51">
        <f t="shared" si="16"/>
        <v>1</v>
      </c>
      <c r="B76" s="52"/>
      <c r="C76" s="52"/>
      <c r="D76" s="29" t="str">
        <f>IFERROR(
IF(AND(OR(Planilla!B76="C",Planilla!B76="c"), VLOOKUP(E76,[1]Diccionario!B:N,13,0)="C"), "OK",IF(AND(OR(Planilla!B76="C",Planilla!B76="c"), OR(VLOOKUP(E76,[1]Diccionario!B:N,13,0)="B", VLOOKUP(E76,[1]Diccionario!B:N,13,0)="A")), "DEFICIT",IF(
AND(OR(Planilla!B76="B", Planilla!B76="BPAL"), VLOOKUP(E76,[1]Diccionario!B:N,13,0)="B"), "OK",IF(AND(OR(Planilla!B76="B", Planilla!B76="BPAL"), VLOOKUP(E76,[1]Diccionario!B:N,13,0)="A"), "DEFICIT",IF(AND(OR(Planilla!B76="B", Planilla!B76="BPAL"), VLOOKUP(E76,[1]Diccionario!B:N,13,0)="C"), "SOBREOFERTA",IF(AND(Planilla!B76="A", VLOOKUP(E76,[1]Diccionario!B:N,13,0)="A"), "OK",IF(
AND(Planilla!B76="A", OR(VLOOKUP(E76,[1]Diccionario!B:N,13,0)="B", VLOOKUP(E76,[1]Diccionario!B:N,13,0)="C")), "SOBREOFERTA",""
))))))),"")</f>
        <v/>
      </c>
      <c r="E76" s="48"/>
      <c r="F76" s="53"/>
      <c r="G76" s="54"/>
      <c r="H76" s="55" t="str">
        <f t="shared" si="7"/>
        <v/>
      </c>
      <c r="I76" s="35"/>
      <c r="J76" s="34" t="e">
        <f>IF(A76&lt;&gt;"",HLOOKUP(VALUE(TEXT(G76,"h:mm:ss")),IF($C$6="Laboral",[1]Input!$A$4:$Y$227,IF($C$6="Sábado",[1]Input!$A$231:$Y$452,[1]Input!$A$456:$Y$656)),VLOOKUP($C$4,[1]Input!$AG$2:$AI$99,3,0)+IF(C$5="Ida",0,1),1),"")</f>
        <v>#N/A</v>
      </c>
      <c r="K76" s="34" t="str">
        <f>IF(A77&lt;&gt;A76,AVERAGEIF(A$9:A76,A76,J$13:J76),"")</f>
        <v/>
      </c>
      <c r="L76" s="35" t="str">
        <f>IFERROR(IF(A77&lt;&gt;A76,AVERAGEIF(A$9:A76,A76,S$13:S76),""),"")</f>
        <v/>
      </c>
      <c r="M76" s="35" t="str">
        <f>IFERROR(IF(A77&lt;&gt;A76,AVERAGEIF(A$9:A76,A76,T$8:T76),""),"")</f>
        <v/>
      </c>
      <c r="N76" s="35" t="str" cm="1">
        <f t="array" ref="N76">IFERROR(IF(A77&lt;&gt;A76,_xlfn.STDEV.P(IF(A$9:A76=A76,T$7:T76)),""),"")</f>
        <v/>
      </c>
      <c r="O76" s="35" t="str" cm="1">
        <f t="array" ref="O76">IFERROR(IF(A77&lt;&gt;A76,_xlfn.STDEV.P(IF(A$9:A76=A76,S$7:S76)),""),"")</f>
        <v/>
      </c>
      <c r="P76" s="36" t="str">
        <f t="shared" si="0"/>
        <v/>
      </c>
      <c r="Q76" s="36" t="str">
        <f t="shared" si="1"/>
        <v/>
      </c>
      <c r="R76" s="36" t="str">
        <f t="shared" si="8"/>
        <v/>
      </c>
      <c r="S76" s="37" t="str">
        <f t="shared" si="9"/>
        <v/>
      </c>
      <c r="T76" s="37" t="str">
        <f t="shared" si="2"/>
        <v/>
      </c>
      <c r="U76" s="54"/>
      <c r="V76" s="46"/>
      <c r="W76" s="39" t="str">
        <f t="shared" si="10"/>
        <v/>
      </c>
      <c r="X76" s="38"/>
      <c r="Y76" s="48"/>
      <c r="AB76" s="56">
        <f t="shared" si="11"/>
        <v>1</v>
      </c>
      <c r="AC76" s="52"/>
      <c r="AD76" s="52"/>
      <c r="AE76" s="29" t="str">
        <f>IFERROR(
IF(AND(OR(AC76="C",AC76="c"), VLOOKUP(AF76,[1]Diccionario!B:N,13,0)="C"), "OK",IF(AND(OR(AC76="C",AC76="c"), OR(VLOOKUP(AF76,[1]Diccionario!B:N,13,0)="B", VLOOKUP(AF76,[1]Diccionario!B:N,13,0)="A")), "DEFICIT",IF(
AND(OR(AC76="B", AC76="BPAL"), VLOOKUP(AF76,[1]Diccionario!B:N,13,0)="B"), "OK",IF(AND(OR(AC76="B", AC76="BPAL"), VLOOKUP(AF76,[1]Diccionario!B:N,13,0)="A"), "DEFICIT",IF(AND(OR(AC76="B", AC76="BPAL"), VLOOKUP(AF76,[1]Diccionario!B:N,13,0)="C"), "SOBREOFERTA",IF(AND(AC76="A", VLOOKUP(AF76,[1]Diccionario!B:N,13,0)="A"), "OK",IF(
AND(AC76="A", OR(VLOOKUP(AF76,[1]Diccionario!B:N,13,0)="B", VLOOKUP(AF76,[1]Diccionario!B:N,13,0)="C")), "SOBREOFERTA",""
))))))),"")</f>
        <v/>
      </c>
      <c r="AF76" s="48"/>
      <c r="AG76" s="53"/>
      <c r="AH76" s="54"/>
      <c r="AI76" s="55" t="str">
        <f t="shared" si="12"/>
        <v/>
      </c>
      <c r="AJ76" s="46"/>
      <c r="AK76" s="34" t="e">
        <f>IF(AB76&lt;&gt;"",HLOOKUP(VALUE(TEXT(AH76,"h:mm:ss")),IF($C$6="Laboral",[1]Input!$A$4:$Y$227,IF($C$6="Sábado",[1]Input!$A$231:$Y$452,[1]Input!$A$456:$Y$656)),VLOOKUP($C$4,[1]Input!$AG$2:$AI$99,3,0)+IF(AD$5="Ida",0,1),1),"")</f>
        <v>#N/A</v>
      </c>
      <c r="AL76" s="34" t="str">
        <f>IF(AB77&lt;&gt;AB76,AVERAGEIF(AB$9:AB76,AB76,AK$9:AK76),"")</f>
        <v/>
      </c>
      <c r="AM76" s="35" t="str">
        <f>IFERROR(IF(AB77&lt;&gt;AB76,AVERAGEIF(AB$9:AB76,AB76,AT$9:AT76),""),"")</f>
        <v/>
      </c>
      <c r="AN76" s="35" t="str">
        <f>IFERROR(IF(AB77&lt;&gt;AB76,AVERAGEIF(AB$9:AB76,AB76,AU$9:AU76),""),"")</f>
        <v/>
      </c>
      <c r="AO76" s="35" t="str" cm="1">
        <f t="array" ref="AO76">IFERROR(IF(AB77&lt;&gt;AB76,_xlfn.STDEV.P(IF(AB$9:AB76=AB76,AU$9:AU76)),""),"")</f>
        <v/>
      </c>
      <c r="AP76" s="35" t="str" cm="1">
        <f t="array" ref="AP76">IFERROR(IF(AB77&lt;&gt;AB76,_xlfn.STDEV.P(IF(AB$9:AB76=AB76,AT$9:AT76)),""),"")</f>
        <v/>
      </c>
      <c r="AQ76" s="36" t="str">
        <f t="shared" si="3"/>
        <v/>
      </c>
      <c r="AR76" s="36" t="str">
        <f t="shared" si="4"/>
        <v/>
      </c>
      <c r="AS76" s="36" t="str">
        <f t="shared" si="13"/>
        <v/>
      </c>
      <c r="AT76" s="37" t="str">
        <f t="shared" si="5"/>
        <v/>
      </c>
      <c r="AU76" s="37" t="str">
        <f t="shared" si="6"/>
        <v/>
      </c>
      <c r="AV76" s="54"/>
      <c r="AW76" s="46"/>
      <c r="AX76" s="39" t="str" cm="1">
        <f t="array" ref="AX76">IF(AH76&lt;&gt;"",IF(AND(AX74:AX75&lt;&gt;"IE",AQ76&lt;&gt;0,AS76&lt;&gt;""),IF(IFERROR((AQ76/AS76),0) &lt;=1,IFERROR(AQ76/AS76,""),1),""),"")</f>
        <v/>
      </c>
      <c r="AY76" s="46"/>
      <c r="AZ76" s="57"/>
    </row>
    <row r="77" spans="1:52" ht="15.5" x14ac:dyDescent="0.35">
      <c r="A77" s="51">
        <f t="shared" si="16"/>
        <v>1</v>
      </c>
      <c r="B77" s="52"/>
      <c r="C77" s="52"/>
      <c r="D77" s="29" t="str">
        <f>IFERROR(
IF(AND(OR(Planilla!B77="C",Planilla!B77="c"), VLOOKUP(E77,[1]Diccionario!B:N,13,0)="C"), "OK",IF(AND(OR(Planilla!B77="C",Planilla!B77="c"), OR(VLOOKUP(E77,[1]Diccionario!B:N,13,0)="B", VLOOKUP(E77,[1]Diccionario!B:N,13,0)="A")), "DEFICIT",IF(
AND(OR(Planilla!B77="B", Planilla!B77="BPAL"), VLOOKUP(E77,[1]Diccionario!B:N,13,0)="B"), "OK",IF(AND(OR(Planilla!B77="B", Planilla!B77="BPAL"), VLOOKUP(E77,[1]Diccionario!B:N,13,0)="A"), "DEFICIT",IF(AND(OR(Planilla!B77="B", Planilla!B77="BPAL"), VLOOKUP(E77,[1]Diccionario!B:N,13,0)="C"), "SOBREOFERTA",IF(AND(Planilla!B77="A", VLOOKUP(E77,[1]Diccionario!B:N,13,0)="A"), "OK",IF(
AND(Planilla!B77="A", OR(VLOOKUP(E77,[1]Diccionario!B:N,13,0)="B", VLOOKUP(E77,[1]Diccionario!B:N,13,0)="C")), "SOBREOFERTA",""
))))))),"")</f>
        <v/>
      </c>
      <c r="E77" s="48"/>
      <c r="F77" s="53"/>
      <c r="G77" s="54"/>
      <c r="H77" s="55" t="str">
        <f t="shared" si="7"/>
        <v/>
      </c>
      <c r="I77" s="35"/>
      <c r="J77" s="34" t="e">
        <f>IF(A77&lt;&gt;"",HLOOKUP(VALUE(TEXT(G77,"h:mm:ss")),IF($C$6="Laboral",[1]Input!$A$4:$Y$227,IF($C$6="Sábado",[1]Input!$A$231:$Y$452,[1]Input!$A$456:$Y$656)),VLOOKUP($C$4,[1]Input!$AG$2:$AI$99,3,0)+IF(C$5="Ida",0,1),1),"")</f>
        <v>#N/A</v>
      </c>
      <c r="K77" s="34" t="str">
        <f>IF(A78&lt;&gt;A77,AVERAGEIF(A$9:A77,A77,J$13:J77),"")</f>
        <v/>
      </c>
      <c r="L77" s="35" t="str">
        <f>IFERROR(IF(A78&lt;&gt;A77,AVERAGEIF(A$9:A77,A77,S$13:S77),""),"")</f>
        <v/>
      </c>
      <c r="M77" s="35" t="str">
        <f>IFERROR(IF(A78&lt;&gt;A77,AVERAGEIF(A$9:A77,A77,T$8:T77),""),"")</f>
        <v/>
      </c>
      <c r="N77" s="35" t="str" cm="1">
        <f t="array" ref="N77">IFERROR(IF(A78&lt;&gt;A77,_xlfn.STDEV.P(IF(A$9:A77=A77,T$7:T77)),""),"")</f>
        <v/>
      </c>
      <c r="O77" s="35" t="str" cm="1">
        <f t="array" ref="O77">IFERROR(IF(A78&lt;&gt;A77,_xlfn.STDEV.P(IF(A$9:A77=A77,S$7:S77)),""),"")</f>
        <v/>
      </c>
      <c r="P77" s="36" t="str">
        <f t="shared" ref="P77:P140" si="20">IFERROR(IF(A77&lt;&gt;A78,MAX((((M77*24*60)/2)*(1+POWER((((N77*24*60) / (M77*24*60) )),2))) + ((M77*24*60 )*-0.1 + (K77*0.015)) +1,(((M77*24*60)/2)*(1+POWER((((N77*24*60) / (M77*24*60 ))),2)))),""),"")</f>
        <v/>
      </c>
      <c r="Q77" s="36" t="str">
        <f t="shared" ref="Q77:Q140" si="21">IF(AND(O77&lt;&gt;"",L77&lt;&gt;""),IF(A77&lt;&gt;A78,((L77*24*60) / 2 ) * (1 + POWER(((O77*24*60) / (L77*24*60)),2)),""),"")</f>
        <v/>
      </c>
      <c r="R77" s="36" t="str">
        <f t="shared" si="8"/>
        <v/>
      </c>
      <c r="S77" s="37" t="str">
        <f t="shared" si="9"/>
        <v/>
      </c>
      <c r="T77" s="37" t="str">
        <f t="shared" ref="T77:T140" si="22">IF(G77&lt;&gt;"H. Sale Real",IF(AND(G78&lt;&gt;"",LEFT(C78,2)&lt;&gt;"NC"),IF(AND(G77&lt;&gt;"",LEFT(C77,2)&lt;&gt;"NC",G77&lt;&gt;"H. Sale Real"),IF(G78-G77&lt;0.208333333333333,G78-G77,""),IF(AND(G76&lt;&gt;"",LEFT(C76,2)&lt;&gt;"NC",G76&lt;&gt;"H. Sale Real"),IF(G78-G76&lt;0.208333333333333,G78-G76,""),IF(AND(G75&lt;&gt;"",LEFT(C75,2)&lt;&gt;"NC",G75&lt;&gt;"H. Sale Real"),IF(G78-G75&lt;0.208333333333333,G78-G75,""),IF(AND(G74&lt;&gt;"",LEFT(C74,2)&lt;&gt;"NC",G74&lt;&gt;"H. Sale Real"),IF(G78-G74&lt;0.208333333333333,G78-G74,""),IF(AND(G73&lt;&gt;"",LEFT(C73,2)&lt;&gt;"NC",G73&lt;&gt;"H. Sale Real"),IF(G78-G73&lt;0.208333333333333,G78-G73,""),""))))),""),"")</f>
        <v/>
      </c>
      <c r="U77" s="54"/>
      <c r="V77" s="46"/>
      <c r="W77" s="39" t="str">
        <f t="shared" si="10"/>
        <v/>
      </c>
      <c r="X77" s="38"/>
      <c r="Y77" s="48"/>
      <c r="AB77" s="56">
        <f t="shared" si="11"/>
        <v>1</v>
      </c>
      <c r="AC77" s="52"/>
      <c r="AD77" s="52"/>
      <c r="AE77" s="29" t="str">
        <f>IFERROR(
IF(AND(OR(AC77="C",AC77="c"), VLOOKUP(AF77,[1]Diccionario!B:N,13,0)="C"), "OK",IF(AND(OR(AC77="C",AC77="c"), OR(VLOOKUP(AF77,[1]Diccionario!B:N,13,0)="B", VLOOKUP(AF77,[1]Diccionario!B:N,13,0)="A")), "DEFICIT",IF(
AND(OR(AC77="B", AC77="BPAL"), VLOOKUP(AF77,[1]Diccionario!B:N,13,0)="B"), "OK",IF(AND(OR(AC77="B", AC77="BPAL"), VLOOKUP(AF77,[1]Diccionario!B:N,13,0)="A"), "DEFICIT",IF(AND(OR(AC77="B", AC77="BPAL"), VLOOKUP(AF77,[1]Diccionario!B:N,13,0)="C"), "SOBREOFERTA",IF(AND(AC77="A", VLOOKUP(AF77,[1]Diccionario!B:N,13,0)="A"), "OK",IF(
AND(AC77="A", OR(VLOOKUP(AF77,[1]Diccionario!B:N,13,0)="B", VLOOKUP(AF77,[1]Diccionario!B:N,13,0)="C")), "SOBREOFERTA",""
))))))),"")</f>
        <v/>
      </c>
      <c r="AF77" s="48"/>
      <c r="AG77" s="53"/>
      <c r="AH77" s="54"/>
      <c r="AI77" s="55" t="str">
        <f t="shared" si="12"/>
        <v/>
      </c>
      <c r="AJ77" s="46"/>
      <c r="AK77" s="34" t="e">
        <f>IF(AB77&lt;&gt;"",HLOOKUP(VALUE(TEXT(AH77,"h:mm:ss")),IF($C$6="Laboral",[1]Input!$A$4:$Y$227,IF($C$6="Sábado",[1]Input!$A$231:$Y$452,[1]Input!$A$456:$Y$656)),VLOOKUP($C$4,[1]Input!$AG$2:$AI$99,3,0)+IF(AD$5="Ida",0,1),1),"")</f>
        <v>#N/A</v>
      </c>
      <c r="AL77" s="34" t="str">
        <f>IF(AB78&lt;&gt;AB77,AVERAGEIF(AB$9:AB77,AB77,AK$9:AK77),"")</f>
        <v/>
      </c>
      <c r="AM77" s="35" t="str">
        <f>IFERROR(IF(AB78&lt;&gt;AB77,AVERAGEIF(AB$9:AB77,AB77,AT$9:AT77),""),"")</f>
        <v/>
      </c>
      <c r="AN77" s="35" t="str">
        <f>IFERROR(IF(AB78&lt;&gt;AB77,AVERAGEIF(AB$9:AB77,AB77,AU$9:AU77),""),"")</f>
        <v/>
      </c>
      <c r="AO77" s="35" t="str" cm="1">
        <f t="array" ref="AO77">IFERROR(IF(AB78&lt;&gt;AB77,_xlfn.STDEV.P(IF(AB$9:AB77=AB77,AU$9:AU77)),""),"")</f>
        <v/>
      </c>
      <c r="AP77" s="35" t="str" cm="1">
        <f t="array" ref="AP77">IFERROR(IF(AB78&lt;&gt;AB77,_xlfn.STDEV.P(IF(AB$9:AB77=AB77,AT$9:AT77)),""),"")</f>
        <v/>
      </c>
      <c r="AQ77" s="36" t="str">
        <f t="shared" ref="AQ77:AQ140" si="23">IFERROR(IF(AB77&lt;&gt;AB78,MAX((((AN77*24*60)/2)*(1+POWER((((AO77*24*60) / (AN77*24*60) )),2))) + ((AN77*24*60 )*-0.1 + (AL77*0.015)) +1,(((AN77*24*60)/2)*(1+POWER((((AO77*24*60) / (AN77*24*60 ))),2)))),""),"")</f>
        <v/>
      </c>
      <c r="AR77" s="36" t="str">
        <f t="shared" ref="AR77:AR140" si="24">IF(AND(AP77&lt;&gt;"",AM77&lt;&gt;""),IF(AB77&lt;&gt;AB78,((AM77*24*60) / 2 ) * (1 + POWER(((AP77*24*60) / (AM77*24*60)),2)),""),"")</f>
        <v/>
      </c>
      <c r="AS77" s="36" t="str">
        <f t="shared" si="13"/>
        <v/>
      </c>
      <c r="AT77" s="37" t="str">
        <f t="shared" ref="AT77:AT140" si="25">IF(AJ77&lt;&gt;"H. Sale Real",IF(AND(AJ78&lt;&gt;"",LEFT(AD78,2)&lt;&gt;"NC"),IF(AND(AJ77&lt;&gt;"",LEFT(AD77,2)&lt;&gt;"NC",AJ77&lt;&gt;"H. Sale Real"),IF(AJ78-AJ77&lt;0.208333333333333,AJ78-AJ77,""),IF(AND(AJ76&lt;&gt;"",LEFT(AD76,2)&lt;&gt;"NC",AJ76&lt;&gt;"H. Sale Real"),IF(AJ78-AJ76&lt;0.208333333333333,AJ78-AJ76,""),IF(AND(AJ75&lt;&gt;"",LEFT(AD75,2)&lt;&gt;"NC",AJ75&lt;&gt;"H. Sale Real"),IF(AJ78-AJ75&lt;0.208333333333333,AJ78-AJ75,""),IF(AND(AJ74&lt;&gt;"",LEFT(AD74,2)&lt;&gt;"NC",AJ74&lt;&gt;"H. Sale Real"),IF(AJ78-AJ74&lt;0.208333333333333,AJ78-AJ74,""),IF(AND(AJ73&lt;&gt;"",LEFT(AD73,2)&lt;&gt;"NC",AJ73&lt;&gt;"H. Sale Real"),IF(AJ78-AJ73&lt;0.208333333333333,AJ78-AJ73,""),""))))),""),"")</f>
        <v/>
      </c>
      <c r="AU77" s="37" t="str">
        <f t="shared" ref="AU77:AU140" si="26">IF(AH77&lt;&gt;"H. Sale Real",IF(AND(AH78&lt;&gt;"",LEFT(AD78,2)&lt;&gt;"NC"),IF(AND(AH77&lt;&gt;"",LEFT(AD77,2)&lt;&gt;"NC",AH77&lt;&gt;"H. Sale Real"),IF(AH78-AH77&lt;0.208333333333333,AH78-AH77,""),IF(AND(AH76&lt;&gt;"",LEFT(AD76,2)&lt;&gt;"NC",AH76&lt;&gt;"H. Sale Real"),IF(AH78-AH76&lt;0.208333333333333,AH78-AH76,""),IF(AND(AH75&lt;&gt;"",LEFT(AD75,2)&lt;&gt;"NC",AH75&lt;&gt;"H. Sale Real"),IF(AH78-AH75&lt;0.208333333333333,AH78-AH75,""),IF(AND(AH74&lt;&gt;"",LEFT(AD74,2)&lt;&gt;"NC",AH74&lt;&gt;"H. Sale Real"),IF(AH78-AH74&lt;0.208333333333333,AH78-AH74,""),IF(AND(AH73&lt;&gt;"",LEFT(AD73,2)&lt;&gt;"NC",AH73&lt;&gt;"H. Sale Real"),IF(AH78-AH73&lt;0.208333333333333,AH78-AH73,""),""))))),""),"")</f>
        <v/>
      </c>
      <c r="AV77" s="54"/>
      <c r="AW77" s="46"/>
      <c r="AX77" s="39" t="str" cm="1">
        <f t="array" ref="AX77">IF(AH77&lt;&gt;"",IF(AND(AX75:AX76&lt;&gt;"IE",AQ77&lt;&gt;0,AS77&lt;&gt;""),IF(IFERROR((AQ77/AS77),0) &lt;=1,IFERROR(AQ77/AS77,""),1),""),"")</f>
        <v/>
      </c>
      <c r="AY77" s="46"/>
      <c r="AZ77" s="57"/>
    </row>
    <row r="78" spans="1:52" ht="15.5" x14ac:dyDescent="0.35">
      <c r="A78" s="51">
        <f t="shared" si="16"/>
        <v>1</v>
      </c>
      <c r="B78" s="52"/>
      <c r="C78" s="52"/>
      <c r="D78" s="29" t="str">
        <f>IFERROR(
IF(AND(OR(Planilla!B78="C",Planilla!B78="c"), VLOOKUP(E78,[1]Diccionario!B:N,13,0)="C"), "OK",IF(AND(OR(Planilla!B78="C",Planilla!B78="c"), OR(VLOOKUP(E78,[1]Diccionario!B:N,13,0)="B", VLOOKUP(E78,[1]Diccionario!B:N,13,0)="A")), "DEFICIT",IF(
AND(OR(Planilla!B78="B", Planilla!B78="BPAL"), VLOOKUP(E78,[1]Diccionario!B:N,13,0)="B"), "OK",IF(AND(OR(Planilla!B78="B", Planilla!B78="BPAL"), VLOOKUP(E78,[1]Diccionario!B:N,13,0)="A"), "DEFICIT",IF(AND(OR(Planilla!B78="B", Planilla!B78="BPAL"), VLOOKUP(E78,[1]Diccionario!B:N,13,0)="C"), "SOBREOFERTA",IF(AND(Planilla!B78="A", VLOOKUP(E78,[1]Diccionario!B:N,13,0)="A"), "OK",IF(
AND(Planilla!B78="A", OR(VLOOKUP(E78,[1]Diccionario!B:N,13,0)="B", VLOOKUP(E78,[1]Diccionario!B:N,13,0)="C")), "SOBREOFERTA",""
))))))),"")</f>
        <v/>
      </c>
      <c r="E78" s="48"/>
      <c r="F78" s="53"/>
      <c r="G78" s="54"/>
      <c r="H78" s="55" t="str">
        <f t="shared" ref="H78:H141" si="27">IF(I78="","",IF(AND((I78-G78)&gt;=TIME(0,0,0),(I78-G78)&lt;TIME(0,3,0)),"OK",IF(AND((I78-G78)&gt;=TIME(0,3,0),(I78-G78)&lt;TIME(0,5,0)),"RETRASO DE 3-5 MIN",IF(AND((I78-G78)&gt;=TIME(0,5,0),(I78-G78)&lt;TIME(0,10,0)),"RETRASO DE 5-10 MIN",IF((I78-G78)&gt;=TIME(0,10,0),"RETRASO &gt;10 MIN",         IF(AND((G78-I78)&gt;=TIME(0,0,0),(G78-I78)&lt;TIME(0,3,0)),"OK",IF((G78-I78)&gt;=TIME(0,3,0),"ADELANTADO")))))))</f>
        <v/>
      </c>
      <c r="I78" s="35"/>
      <c r="J78" s="34" t="e">
        <f>IF(A78&lt;&gt;"",HLOOKUP(VALUE(TEXT(G78,"h:mm:ss")),IF($C$6="Laboral",[1]Input!$A$4:$Y$227,IF($C$6="Sábado",[1]Input!$A$231:$Y$452,[1]Input!$A$456:$Y$656)),VLOOKUP($C$4,[1]Input!$AG$2:$AI$99,3,0)+IF(C$5="Ida",0,1),1),"")</f>
        <v>#N/A</v>
      </c>
      <c r="K78" s="34" t="str">
        <f>IF(A79&lt;&gt;A78,AVERAGEIF(A$9:A78,A78,J$13:J78),"")</f>
        <v/>
      </c>
      <c r="L78" s="35" t="str">
        <f>IFERROR(IF(A79&lt;&gt;A78,AVERAGEIF(A$9:A78,A78,S$13:S78),""),"")</f>
        <v/>
      </c>
      <c r="M78" s="35" t="str">
        <f>IFERROR(IF(A79&lt;&gt;A78,AVERAGEIF(A$9:A78,A78,T$8:T78),""),"")</f>
        <v/>
      </c>
      <c r="N78" s="35" t="str" cm="1">
        <f t="array" ref="N78">IFERROR(IF(A79&lt;&gt;A78,_xlfn.STDEV.P(IF(A$9:A78=A78,T$7:T78)),""),"")</f>
        <v/>
      </c>
      <c r="O78" s="35" t="str" cm="1">
        <f t="array" ref="O78">IFERROR(IF(A79&lt;&gt;A78,_xlfn.STDEV.P(IF(A$9:A78=A78,S$7:S78)),""),"")</f>
        <v/>
      </c>
      <c r="P78" s="36" t="str">
        <f t="shared" si="20"/>
        <v/>
      </c>
      <c r="Q78" s="36" t="str">
        <f t="shared" si="21"/>
        <v/>
      </c>
      <c r="R78" s="36" t="str">
        <f t="shared" ref="R78:R141" si="28">IF(Q78&lt;&gt;"",MAX(P78,Q78),"")</f>
        <v/>
      </c>
      <c r="S78" s="37" t="str">
        <f t="shared" ref="S78:S141" si="29">IF(I78&lt;&gt;"H. Sale Real",IF(AND(I79&lt;&gt;"",LEFT(C79,2)&lt;&gt;"NC"),IF(AND(I78&lt;&gt;"",LEFT(C78,2)&lt;&gt;"NC",I78&lt;&gt;"H. Sale Real"),IF(I79-I78&lt;0.208333333333333,I79-I78,""),IF(AND(I77&lt;&gt;"",LEFT(C77,2)&lt;&gt;"NC",I77&lt;&gt;"H. Sale Real"),IF(I79-I77&lt;0.208333333333333,I79-I77,""),IF(AND(I76&lt;&gt;"",LEFT(C76,2)&lt;&gt;"NC",I76&lt;&gt;"H. Sale Real"),IF(I79-I76&lt;0.208333333333333,I79-I76,""),IF(AND(I75&lt;&gt;"",LEFT(C75,2)&lt;&gt;"NC",I75&lt;&gt;"H. Sale Real"),IF(I79-I75&lt;0.208333333333333,I79-I75,""),IF(AND(I74&lt;&gt;"",LEFT(C74,2)&lt;&gt;"NC",I74&lt;&gt;"H. Sale Real"),IF(I79-I74&lt;0.208333333333333,I79-I74,""),""))))),""),"")</f>
        <v/>
      </c>
      <c r="T78" s="37" t="str">
        <f t="shared" si="22"/>
        <v/>
      </c>
      <c r="U78" s="54"/>
      <c r="V78" s="46"/>
      <c r="W78" s="39" t="str">
        <f t="shared" ref="W78:W141" si="30">IF(G78&lt;&gt;"",IF(AND(W77&lt;&gt;"IE",P78&lt;&gt;0,R78&lt;&gt;""),IF(IFERROR((P78/R78),0) &lt;=1,IFERROR(P78/R78,""),1),""),"")</f>
        <v/>
      </c>
      <c r="X78" s="38"/>
      <c r="Y78" s="48"/>
      <c r="AB78" s="56">
        <f t="shared" ref="AB78:AB141" si="31">HOUR(AH78)+1</f>
        <v>1</v>
      </c>
      <c r="AC78" s="52"/>
      <c r="AD78" s="52"/>
      <c r="AE78" s="29" t="str">
        <f>IFERROR(
IF(AND(OR(AC78="C",AC78="c"), VLOOKUP(AF78,[1]Diccionario!B:N,13,0)="C"), "OK",IF(AND(OR(AC78="C",AC78="c"), OR(VLOOKUP(AF78,[1]Diccionario!B:N,13,0)="B", VLOOKUP(AF78,[1]Diccionario!B:N,13,0)="A")), "DEFICIT",IF(
AND(OR(AC78="B", AC78="BPAL"), VLOOKUP(AF78,[1]Diccionario!B:N,13,0)="B"), "OK",IF(AND(OR(AC78="B", AC78="BPAL"), VLOOKUP(AF78,[1]Diccionario!B:N,13,0)="A"), "DEFICIT",IF(AND(OR(AC78="B", AC78="BPAL"), VLOOKUP(AF78,[1]Diccionario!B:N,13,0)="C"), "SOBREOFERTA",IF(AND(AC78="A", VLOOKUP(AF78,[1]Diccionario!B:N,13,0)="A"), "OK",IF(
AND(AC78="A", OR(VLOOKUP(AF78,[1]Diccionario!B:N,13,0)="B", VLOOKUP(AF78,[1]Diccionario!B:N,13,0)="C")), "SOBREOFERTA",""
))))))),"")</f>
        <v/>
      </c>
      <c r="AF78" s="48"/>
      <c r="AG78" s="53"/>
      <c r="AH78" s="54"/>
      <c r="AI78" s="55" t="str">
        <f t="shared" ref="AI78:AI141" si="32">IF(AJ78="","",IF(AND((AJ78-AH78)&gt;=TIME(0,0,0),(AJ78-AH78)&lt;TIME(0,3,0)),"OK",IF(AND((AJ78-AH78)&gt;=TIME(0,3,0),(AJ78-AH78)&lt;TIME(0,5,0)),"RETRASO DE 3-5 MIN",IF(AND((AJ78-AH78)&gt;=TIME(0,5,0),(AJ78-AH78)&lt;TIME(0,10,0)),"RETRASO DE 5-10 MIN",IF((AJ78-AH78)&gt;=TIME(0,10,0),"RETRASO &gt;10 MIN",         IF(AND((AH78-AJ78)&gt;=TIME(0,0,0),(AH78-AJ78)&lt;TIME(0,3,0)),"OK",IF((AH78-AJ78)&gt;=TIME(0,3,0),"ADELANTADO")))))))</f>
        <v/>
      </c>
      <c r="AJ78" s="46"/>
      <c r="AK78" s="34" t="e">
        <f>IF(AB78&lt;&gt;"",HLOOKUP(VALUE(TEXT(AH78,"h:mm:ss")),IF($C$6="Laboral",[1]Input!$A$4:$Y$227,IF($C$6="Sábado",[1]Input!$A$231:$Y$452,[1]Input!$A$456:$Y$656)),VLOOKUP($C$4,[1]Input!$AG$2:$AI$99,3,0)+IF(AD$5="Ida",0,1),1),"")</f>
        <v>#N/A</v>
      </c>
      <c r="AL78" s="34" t="str">
        <f>IF(AB79&lt;&gt;AB78,AVERAGEIF(AB$9:AB78,AB78,AK$9:AK78),"")</f>
        <v/>
      </c>
      <c r="AM78" s="35" t="str">
        <f>IFERROR(IF(AB79&lt;&gt;AB78,AVERAGEIF(AB$9:AB78,AB78,AT$9:AT78),""),"")</f>
        <v/>
      </c>
      <c r="AN78" s="35" t="str">
        <f>IFERROR(IF(AB79&lt;&gt;AB78,AVERAGEIF(AB$9:AB78,AB78,AU$9:AU78),""),"")</f>
        <v/>
      </c>
      <c r="AO78" s="35" t="str" cm="1">
        <f t="array" ref="AO78">IFERROR(IF(AB79&lt;&gt;AB78,_xlfn.STDEV.P(IF(AB$9:AB78=AB78,AU$9:AU78)),""),"")</f>
        <v/>
      </c>
      <c r="AP78" s="35" t="str" cm="1">
        <f t="array" ref="AP78">IFERROR(IF(AB79&lt;&gt;AB78,_xlfn.STDEV.P(IF(AB$9:AB78=AB78,AT$9:AT78)),""),"")</f>
        <v/>
      </c>
      <c r="AQ78" s="36" t="str">
        <f t="shared" si="23"/>
        <v/>
      </c>
      <c r="AR78" s="36" t="str">
        <f t="shared" si="24"/>
        <v/>
      </c>
      <c r="AS78" s="36" t="str">
        <f t="shared" ref="AS78:AS141" si="33">IF(AR78&lt;&gt;"",MAX(AQ78,AR78),"")</f>
        <v/>
      </c>
      <c r="AT78" s="37" t="str">
        <f t="shared" si="25"/>
        <v/>
      </c>
      <c r="AU78" s="37" t="str">
        <f t="shared" si="26"/>
        <v/>
      </c>
      <c r="AV78" s="54"/>
      <c r="AW78" s="46"/>
      <c r="AX78" s="39" t="str" cm="1">
        <f t="array" ref="AX78">IF(AH78&lt;&gt;"",IF(AND(AX76:AX77&lt;&gt;"IE",AQ78&lt;&gt;0,AS78&lt;&gt;""),IF(IFERROR((AQ78/AS78),0) &lt;=1,IFERROR(AQ78/AS78,""),1),""),"")</f>
        <v/>
      </c>
      <c r="AY78" s="46"/>
      <c r="AZ78" s="57"/>
    </row>
    <row r="79" spans="1:52" ht="15.5" x14ac:dyDescent="0.35">
      <c r="A79" s="51">
        <f t="shared" ref="A79:A142" si="34">HOUR(G79)+1</f>
        <v>1</v>
      </c>
      <c r="B79" s="52"/>
      <c r="C79" s="52"/>
      <c r="D79" s="29" t="str">
        <f>IFERROR(
IF(AND(OR(Planilla!B79="C",Planilla!B79="c"), VLOOKUP(E79,[1]Diccionario!B:N,13,0)="C"), "OK",IF(AND(OR(Planilla!B79="C",Planilla!B79="c"), OR(VLOOKUP(E79,[1]Diccionario!B:N,13,0)="B", VLOOKUP(E79,[1]Diccionario!B:N,13,0)="A")), "DEFICIT",IF(
AND(OR(Planilla!B79="B", Planilla!B79="BPAL"), VLOOKUP(E79,[1]Diccionario!B:N,13,0)="B"), "OK",IF(AND(OR(Planilla!B79="B", Planilla!B79="BPAL"), VLOOKUP(E79,[1]Diccionario!B:N,13,0)="A"), "DEFICIT",IF(AND(OR(Planilla!B79="B", Planilla!B79="BPAL"), VLOOKUP(E79,[1]Diccionario!B:N,13,0)="C"), "SOBREOFERTA",IF(AND(Planilla!B79="A", VLOOKUP(E79,[1]Diccionario!B:N,13,0)="A"), "OK",IF(
AND(Planilla!B79="A", OR(VLOOKUP(E79,[1]Diccionario!B:N,13,0)="B", VLOOKUP(E79,[1]Diccionario!B:N,13,0)="C")), "SOBREOFERTA",""
))))))),"")</f>
        <v/>
      </c>
      <c r="E79" s="48"/>
      <c r="F79" s="53"/>
      <c r="G79" s="54"/>
      <c r="H79" s="55" t="str">
        <f t="shared" si="27"/>
        <v/>
      </c>
      <c r="I79" s="35"/>
      <c r="J79" s="34" t="e">
        <f>IF(A79&lt;&gt;"",HLOOKUP(VALUE(TEXT(G79,"h:mm:ss")),IF($C$6="Laboral",[1]Input!$A$4:$Y$227,IF($C$6="Sábado",[1]Input!$A$231:$Y$452,[1]Input!$A$456:$Y$656)),VLOOKUP($C$4,[1]Input!$AG$2:$AI$99,3,0)+IF(C$5="Ida",0,1),1),"")</f>
        <v>#N/A</v>
      </c>
      <c r="K79" s="34" t="str">
        <f>IF(A80&lt;&gt;A79,AVERAGEIF(A$9:A79,A79,J$13:J79),"")</f>
        <v/>
      </c>
      <c r="L79" s="35" t="str">
        <f>IFERROR(IF(A80&lt;&gt;A79,AVERAGEIF(A$9:A79,A79,S$13:S79),""),"")</f>
        <v/>
      </c>
      <c r="M79" s="35" t="str">
        <f>IFERROR(IF(A80&lt;&gt;A79,AVERAGEIF(A$9:A79,A79,T$8:T79),""),"")</f>
        <v/>
      </c>
      <c r="N79" s="35" t="str" cm="1">
        <f t="array" ref="N79">IFERROR(IF(A80&lt;&gt;A79,_xlfn.STDEV.P(IF(A$9:A79=A79,T$7:T79)),""),"")</f>
        <v/>
      </c>
      <c r="O79" s="35" t="str" cm="1">
        <f t="array" ref="O79">IFERROR(IF(A80&lt;&gt;A79,_xlfn.STDEV.P(IF(A$9:A79=A79,S$7:S79)),""),"")</f>
        <v/>
      </c>
      <c r="P79" s="36" t="str">
        <f t="shared" si="20"/>
        <v/>
      </c>
      <c r="Q79" s="36" t="str">
        <f t="shared" si="21"/>
        <v/>
      </c>
      <c r="R79" s="36" t="str">
        <f t="shared" si="28"/>
        <v/>
      </c>
      <c r="S79" s="37" t="str">
        <f t="shared" si="29"/>
        <v/>
      </c>
      <c r="T79" s="37" t="str">
        <f t="shared" si="22"/>
        <v/>
      </c>
      <c r="U79" s="54"/>
      <c r="V79" s="46"/>
      <c r="W79" s="39" t="str">
        <f t="shared" si="30"/>
        <v/>
      </c>
      <c r="X79" s="38"/>
      <c r="Y79" s="48"/>
      <c r="AB79" s="56">
        <f t="shared" si="31"/>
        <v>1</v>
      </c>
      <c r="AC79" s="52"/>
      <c r="AD79" s="52"/>
      <c r="AE79" s="29" t="str">
        <f>IFERROR(
IF(AND(OR(AC79="C",AC79="c"), VLOOKUP(AF79,[1]Diccionario!B:N,13,0)="C"), "OK",IF(AND(OR(AC79="C",AC79="c"), OR(VLOOKUP(AF79,[1]Diccionario!B:N,13,0)="B", VLOOKUP(AF79,[1]Diccionario!B:N,13,0)="A")), "DEFICIT",IF(
AND(OR(AC79="B", AC79="BPAL"), VLOOKUP(AF79,[1]Diccionario!B:N,13,0)="B"), "OK",IF(AND(OR(AC79="B", AC79="BPAL"), VLOOKUP(AF79,[1]Diccionario!B:N,13,0)="A"), "DEFICIT",IF(AND(OR(AC79="B", AC79="BPAL"), VLOOKUP(AF79,[1]Diccionario!B:N,13,0)="C"), "SOBREOFERTA",IF(AND(AC79="A", VLOOKUP(AF79,[1]Diccionario!B:N,13,0)="A"), "OK",IF(
AND(AC79="A", OR(VLOOKUP(AF79,[1]Diccionario!B:N,13,0)="B", VLOOKUP(AF79,[1]Diccionario!B:N,13,0)="C")), "SOBREOFERTA",""
))))))),"")</f>
        <v/>
      </c>
      <c r="AF79" s="48"/>
      <c r="AG79" s="53"/>
      <c r="AH79" s="54"/>
      <c r="AI79" s="55" t="str">
        <f t="shared" si="32"/>
        <v/>
      </c>
      <c r="AJ79" s="46"/>
      <c r="AK79" s="34" t="e">
        <f>IF(AB79&lt;&gt;"",HLOOKUP(VALUE(TEXT(AH79,"h:mm:ss")),IF($C$6="Laboral",[1]Input!$A$4:$Y$227,IF($C$6="Sábado",[1]Input!$A$231:$Y$452,[1]Input!$A$456:$Y$656)),VLOOKUP($C$4,[1]Input!$AG$2:$AI$99,3,0)+IF(AD$5="Ida",0,1),1),"")</f>
        <v>#N/A</v>
      </c>
      <c r="AL79" s="34" t="str">
        <f>IF(AB80&lt;&gt;AB79,AVERAGEIF(AB$9:AB79,AB79,AK$9:AK79),"")</f>
        <v/>
      </c>
      <c r="AM79" s="35" t="str">
        <f>IFERROR(IF(AB80&lt;&gt;AB79,AVERAGEIF(AB$9:AB79,AB79,AT$9:AT79),""),"")</f>
        <v/>
      </c>
      <c r="AN79" s="35" t="str">
        <f>IFERROR(IF(AB80&lt;&gt;AB79,AVERAGEIF(AB$9:AB79,AB79,AU$9:AU79),""),"")</f>
        <v/>
      </c>
      <c r="AO79" s="35" t="str" cm="1">
        <f t="array" ref="AO79">IFERROR(IF(AB80&lt;&gt;AB79,_xlfn.STDEV.P(IF(AB$9:AB79=AB79,AU$9:AU79)),""),"")</f>
        <v/>
      </c>
      <c r="AP79" s="35" t="str" cm="1">
        <f t="array" ref="AP79">IFERROR(IF(AB80&lt;&gt;AB79,_xlfn.STDEV.P(IF(AB$9:AB79=AB79,AT$9:AT79)),""),"")</f>
        <v/>
      </c>
      <c r="AQ79" s="36" t="str">
        <f t="shared" si="23"/>
        <v/>
      </c>
      <c r="AR79" s="36" t="str">
        <f t="shared" si="24"/>
        <v/>
      </c>
      <c r="AS79" s="36" t="str">
        <f t="shared" si="33"/>
        <v/>
      </c>
      <c r="AT79" s="37" t="str">
        <f t="shared" si="25"/>
        <v/>
      </c>
      <c r="AU79" s="37" t="str">
        <f t="shared" si="26"/>
        <v/>
      </c>
      <c r="AV79" s="54"/>
      <c r="AW79" s="46"/>
      <c r="AX79" s="39" t="str" cm="1">
        <f t="array" ref="AX79">IF(AH79&lt;&gt;"",IF(AND(AX77:AX78&lt;&gt;"IE",AQ79&lt;&gt;0,AS79&lt;&gt;""),IF(IFERROR((AQ79/AS79),0) &lt;=1,IFERROR(AQ79/AS79,""),1),""),"")</f>
        <v/>
      </c>
      <c r="AY79" s="46"/>
      <c r="AZ79" s="57"/>
    </row>
    <row r="80" spans="1:52" ht="15.5" x14ac:dyDescent="0.35">
      <c r="A80" s="51">
        <f t="shared" si="34"/>
        <v>1</v>
      </c>
      <c r="B80" s="52"/>
      <c r="C80" s="52"/>
      <c r="D80" s="29" t="str">
        <f>IFERROR(
IF(AND(OR(Planilla!B80="C",Planilla!B80="c"), VLOOKUP(E80,[1]Diccionario!B:N,13,0)="C"), "OK",IF(AND(OR(Planilla!B80="C",Planilla!B80="c"), OR(VLOOKUP(E80,[1]Diccionario!B:N,13,0)="B", VLOOKUP(E80,[1]Diccionario!B:N,13,0)="A")), "DEFICIT",IF(
AND(OR(Planilla!B80="B", Planilla!B80="BPAL"), VLOOKUP(E80,[1]Diccionario!B:N,13,0)="B"), "OK",IF(AND(OR(Planilla!B80="B", Planilla!B80="BPAL"), VLOOKUP(E80,[1]Diccionario!B:N,13,0)="A"), "DEFICIT",IF(AND(OR(Planilla!B80="B", Planilla!B80="BPAL"), VLOOKUP(E80,[1]Diccionario!B:N,13,0)="C"), "SOBREOFERTA",IF(AND(Planilla!B80="A", VLOOKUP(E80,[1]Diccionario!B:N,13,0)="A"), "OK",IF(
AND(Planilla!B80="A", OR(VLOOKUP(E80,[1]Diccionario!B:N,13,0)="B", VLOOKUP(E80,[1]Diccionario!B:N,13,0)="C")), "SOBREOFERTA",""
))))))),"")</f>
        <v/>
      </c>
      <c r="E80" s="48"/>
      <c r="F80" s="53"/>
      <c r="G80" s="54"/>
      <c r="H80" s="55" t="str">
        <f t="shared" si="27"/>
        <v/>
      </c>
      <c r="I80" s="35"/>
      <c r="J80" s="34" t="e">
        <f>IF(A80&lt;&gt;"",HLOOKUP(VALUE(TEXT(G80,"h:mm:ss")),IF($C$6="Laboral",[1]Input!$A$4:$Y$227,IF($C$6="Sábado",[1]Input!$A$231:$Y$452,[1]Input!$A$456:$Y$656)),VLOOKUP($C$4,[1]Input!$AG$2:$AI$99,3,0)+IF(C$5="Ida",0,1),1),"")</f>
        <v>#N/A</v>
      </c>
      <c r="K80" s="34" t="str">
        <f>IF(A81&lt;&gt;A80,AVERAGEIF(A$9:A80,A80,J$13:J80),"")</f>
        <v/>
      </c>
      <c r="L80" s="35" t="str">
        <f>IFERROR(IF(A81&lt;&gt;A80,AVERAGEIF(A$9:A80,A80,S$13:S80),""),"")</f>
        <v/>
      </c>
      <c r="M80" s="35" t="str">
        <f>IFERROR(IF(A81&lt;&gt;A80,AVERAGEIF(A$9:A80,A80,T$8:T80),""),"")</f>
        <v/>
      </c>
      <c r="N80" s="35" t="str" cm="1">
        <f t="array" ref="N80">IFERROR(IF(A81&lt;&gt;A80,_xlfn.STDEV.P(IF(A$9:A80=A80,T$7:T80)),""),"")</f>
        <v/>
      </c>
      <c r="O80" s="35" t="str" cm="1">
        <f t="array" ref="O80">IFERROR(IF(A81&lt;&gt;A80,_xlfn.STDEV.P(IF(A$9:A80=A80,S$7:S80)),""),"")</f>
        <v/>
      </c>
      <c r="P80" s="36" t="str">
        <f t="shared" si="20"/>
        <v/>
      </c>
      <c r="Q80" s="36" t="str">
        <f t="shared" si="21"/>
        <v/>
      </c>
      <c r="R80" s="36" t="str">
        <f t="shared" si="28"/>
        <v/>
      </c>
      <c r="S80" s="37" t="str">
        <f t="shared" si="29"/>
        <v/>
      </c>
      <c r="T80" s="37" t="str">
        <f t="shared" si="22"/>
        <v/>
      </c>
      <c r="U80" s="54"/>
      <c r="V80" s="46"/>
      <c r="W80" s="39" t="str">
        <f t="shared" si="30"/>
        <v/>
      </c>
      <c r="X80" s="38"/>
      <c r="Y80" s="48"/>
      <c r="AB80" s="56">
        <f t="shared" si="31"/>
        <v>1</v>
      </c>
      <c r="AC80" s="52"/>
      <c r="AD80" s="52"/>
      <c r="AE80" s="29" t="str">
        <f>IFERROR(
IF(AND(OR(AC80="C",AC80="c"), VLOOKUP(AF80,[1]Diccionario!B:N,13,0)="C"), "OK",IF(AND(OR(AC80="C",AC80="c"), OR(VLOOKUP(AF80,[1]Diccionario!B:N,13,0)="B", VLOOKUP(AF80,[1]Diccionario!B:N,13,0)="A")), "DEFICIT",IF(
AND(OR(AC80="B", AC80="BPAL"), VLOOKUP(AF80,[1]Diccionario!B:N,13,0)="B"), "OK",IF(AND(OR(AC80="B", AC80="BPAL"), VLOOKUP(AF80,[1]Diccionario!B:N,13,0)="A"), "DEFICIT",IF(AND(OR(AC80="B", AC80="BPAL"), VLOOKUP(AF80,[1]Diccionario!B:N,13,0)="C"), "SOBREOFERTA",IF(AND(AC80="A", VLOOKUP(AF80,[1]Diccionario!B:N,13,0)="A"), "OK",IF(
AND(AC80="A", OR(VLOOKUP(AF80,[1]Diccionario!B:N,13,0)="B", VLOOKUP(AF80,[1]Diccionario!B:N,13,0)="C")), "SOBREOFERTA",""
))))))),"")</f>
        <v/>
      </c>
      <c r="AF80" s="48"/>
      <c r="AG80" s="53"/>
      <c r="AH80" s="54"/>
      <c r="AI80" s="55" t="str">
        <f t="shared" si="32"/>
        <v/>
      </c>
      <c r="AJ80" s="46"/>
      <c r="AK80" s="34" t="e">
        <f>IF(AB80&lt;&gt;"",HLOOKUP(VALUE(TEXT(AH80,"h:mm:ss")),IF($C$6="Laboral",[1]Input!$A$4:$Y$227,IF($C$6="Sábado",[1]Input!$A$231:$Y$452,[1]Input!$A$456:$Y$656)),VLOOKUP($C$4,[1]Input!$AG$2:$AI$99,3,0)+IF(AD$5="Ida",0,1),1),"")</f>
        <v>#N/A</v>
      </c>
      <c r="AL80" s="34" t="str">
        <f>IF(AB81&lt;&gt;AB80,AVERAGEIF(AB$9:AB80,AB80,AK$9:AK80),"")</f>
        <v/>
      </c>
      <c r="AM80" s="35" t="str">
        <f>IFERROR(IF(AB81&lt;&gt;AB80,AVERAGEIF(AB$9:AB80,AB80,AT$9:AT80),""),"")</f>
        <v/>
      </c>
      <c r="AN80" s="35" t="str">
        <f>IFERROR(IF(AB81&lt;&gt;AB80,AVERAGEIF(AB$9:AB80,AB80,AU$9:AU80),""),"")</f>
        <v/>
      </c>
      <c r="AO80" s="35" t="str" cm="1">
        <f t="array" ref="AO80">IFERROR(IF(AB81&lt;&gt;AB80,_xlfn.STDEV.P(IF(AB$9:AB80=AB80,AU$9:AU80)),""),"")</f>
        <v/>
      </c>
      <c r="AP80" s="35" t="str" cm="1">
        <f t="array" ref="AP80">IFERROR(IF(AB81&lt;&gt;AB80,_xlfn.STDEV.P(IF(AB$9:AB80=AB80,AT$9:AT80)),""),"")</f>
        <v/>
      </c>
      <c r="AQ80" s="36" t="str">
        <f t="shared" si="23"/>
        <v/>
      </c>
      <c r="AR80" s="36" t="str">
        <f t="shared" si="24"/>
        <v/>
      </c>
      <c r="AS80" s="36" t="str">
        <f t="shared" si="33"/>
        <v/>
      </c>
      <c r="AT80" s="37" t="str">
        <f t="shared" si="25"/>
        <v/>
      </c>
      <c r="AU80" s="37" t="str">
        <f t="shared" si="26"/>
        <v/>
      </c>
      <c r="AV80" s="54"/>
      <c r="AW80" s="46"/>
      <c r="AX80" s="39" t="str" cm="1">
        <f t="array" ref="AX80">IF(AH80&lt;&gt;"",IF(AND(AX78:AX79&lt;&gt;"IE",AQ80&lt;&gt;0,AS80&lt;&gt;""),IF(IFERROR((AQ80/AS80),0) &lt;=1,IFERROR(AQ80/AS80,""),1),""),"")</f>
        <v/>
      </c>
      <c r="AY80" s="46"/>
      <c r="AZ80" s="57"/>
    </row>
    <row r="81" spans="1:52" ht="15.5" x14ac:dyDescent="0.35">
      <c r="A81" s="51">
        <f t="shared" si="34"/>
        <v>1</v>
      </c>
      <c r="B81" s="52"/>
      <c r="C81" s="52"/>
      <c r="D81" s="29" t="str">
        <f>IFERROR(
IF(AND(OR(Planilla!B81="C",Planilla!B81="c"), VLOOKUP(E81,[1]Diccionario!B:N,13,0)="C"), "OK",IF(AND(OR(Planilla!B81="C",Planilla!B81="c"), OR(VLOOKUP(E81,[1]Diccionario!B:N,13,0)="B", VLOOKUP(E81,[1]Diccionario!B:N,13,0)="A")), "DEFICIT",IF(
AND(OR(Planilla!B81="B", Planilla!B81="BPAL"), VLOOKUP(E81,[1]Diccionario!B:N,13,0)="B"), "OK",IF(AND(OR(Planilla!B81="B", Planilla!B81="BPAL"), VLOOKUP(E81,[1]Diccionario!B:N,13,0)="A"), "DEFICIT",IF(AND(OR(Planilla!B81="B", Planilla!B81="BPAL"), VLOOKUP(E81,[1]Diccionario!B:N,13,0)="C"), "SOBREOFERTA",IF(AND(Planilla!B81="A", VLOOKUP(E81,[1]Diccionario!B:N,13,0)="A"), "OK",IF(
AND(Planilla!B81="A", OR(VLOOKUP(E81,[1]Diccionario!B:N,13,0)="B", VLOOKUP(E81,[1]Diccionario!B:N,13,0)="C")), "SOBREOFERTA",""
))))))),"")</f>
        <v/>
      </c>
      <c r="E81" s="48"/>
      <c r="F81" s="53"/>
      <c r="G81" s="54"/>
      <c r="H81" s="55" t="str">
        <f t="shared" si="27"/>
        <v/>
      </c>
      <c r="I81" s="35"/>
      <c r="J81" s="34" t="e">
        <f>IF(A81&lt;&gt;"",HLOOKUP(VALUE(TEXT(G81,"h:mm:ss")),IF($C$6="Laboral",[1]Input!$A$4:$Y$227,IF($C$6="Sábado",[1]Input!$A$231:$Y$452,[1]Input!$A$456:$Y$656)),VLOOKUP($C$4,[1]Input!$AG$2:$AI$99,3,0)+IF(C$5="Ida",0,1),1),"")</f>
        <v>#N/A</v>
      </c>
      <c r="K81" s="34" t="str">
        <f>IF(A82&lt;&gt;A81,AVERAGEIF(A$9:A81,A81,J$13:J81),"")</f>
        <v/>
      </c>
      <c r="L81" s="35" t="str">
        <f>IFERROR(IF(A82&lt;&gt;A81,AVERAGEIF(A$9:A81,A81,S$13:S81),""),"")</f>
        <v/>
      </c>
      <c r="M81" s="35" t="str">
        <f>IFERROR(IF(A82&lt;&gt;A81,AVERAGEIF(A$9:A81,A81,T$8:T81),""),"")</f>
        <v/>
      </c>
      <c r="N81" s="35" t="str" cm="1">
        <f t="array" ref="N81">IFERROR(IF(A82&lt;&gt;A81,_xlfn.STDEV.P(IF(A$9:A81=A81,T$7:T81)),""),"")</f>
        <v/>
      </c>
      <c r="O81" s="35" t="str" cm="1">
        <f t="array" ref="O81">IFERROR(IF(A82&lt;&gt;A81,_xlfn.STDEV.P(IF(A$9:A81=A81,S$7:S81)),""),"")</f>
        <v/>
      </c>
      <c r="P81" s="36" t="str">
        <f t="shared" si="20"/>
        <v/>
      </c>
      <c r="Q81" s="36" t="str">
        <f t="shared" si="21"/>
        <v/>
      </c>
      <c r="R81" s="36" t="str">
        <f t="shared" si="28"/>
        <v/>
      </c>
      <c r="S81" s="37" t="str">
        <f t="shared" si="29"/>
        <v/>
      </c>
      <c r="T81" s="37" t="str">
        <f t="shared" si="22"/>
        <v/>
      </c>
      <c r="U81" s="54"/>
      <c r="V81" s="46"/>
      <c r="W81" s="39" t="str">
        <f t="shared" si="30"/>
        <v/>
      </c>
      <c r="X81" s="38"/>
      <c r="Y81" s="48"/>
      <c r="AB81" s="56">
        <f t="shared" si="31"/>
        <v>1</v>
      </c>
      <c r="AC81" s="52"/>
      <c r="AD81" s="52"/>
      <c r="AE81" s="29" t="str">
        <f>IFERROR(
IF(AND(OR(AC81="C",AC81="c"), VLOOKUP(AF81,[1]Diccionario!B:N,13,0)="C"), "OK",IF(AND(OR(AC81="C",AC81="c"), OR(VLOOKUP(AF81,[1]Diccionario!B:N,13,0)="B", VLOOKUP(AF81,[1]Diccionario!B:N,13,0)="A")), "DEFICIT",IF(
AND(OR(AC81="B", AC81="BPAL"), VLOOKUP(AF81,[1]Diccionario!B:N,13,0)="B"), "OK",IF(AND(OR(AC81="B", AC81="BPAL"), VLOOKUP(AF81,[1]Diccionario!B:N,13,0)="A"), "DEFICIT",IF(AND(OR(AC81="B", AC81="BPAL"), VLOOKUP(AF81,[1]Diccionario!B:N,13,0)="C"), "SOBREOFERTA",IF(AND(AC81="A", VLOOKUP(AF81,[1]Diccionario!B:N,13,0)="A"), "OK",IF(
AND(AC81="A", OR(VLOOKUP(AF81,[1]Diccionario!B:N,13,0)="B", VLOOKUP(AF81,[1]Diccionario!B:N,13,0)="C")), "SOBREOFERTA",""
))))))),"")</f>
        <v/>
      </c>
      <c r="AF81" s="48"/>
      <c r="AG81" s="53"/>
      <c r="AH81" s="54"/>
      <c r="AI81" s="55" t="str">
        <f t="shared" si="32"/>
        <v/>
      </c>
      <c r="AJ81" s="46"/>
      <c r="AK81" s="34" t="e">
        <f>IF(AB81&lt;&gt;"",HLOOKUP(VALUE(TEXT(AH81,"h:mm:ss")),IF($C$6="Laboral",[1]Input!$A$4:$Y$227,IF($C$6="Sábado",[1]Input!$A$231:$Y$452,[1]Input!$A$456:$Y$656)),VLOOKUP($C$4,[1]Input!$AG$2:$AI$99,3,0)+IF(AD$5="Ida",0,1),1),"")</f>
        <v>#N/A</v>
      </c>
      <c r="AL81" s="34" t="str">
        <f>IF(AB82&lt;&gt;AB81,AVERAGEIF(AB$9:AB81,AB81,AK$9:AK81),"")</f>
        <v/>
      </c>
      <c r="AM81" s="35" t="str">
        <f>IFERROR(IF(AB82&lt;&gt;AB81,AVERAGEIF(AB$9:AB81,AB81,AT$9:AT81),""),"")</f>
        <v/>
      </c>
      <c r="AN81" s="35" t="str">
        <f>IFERROR(IF(AB82&lt;&gt;AB81,AVERAGEIF(AB$9:AB81,AB81,AU$9:AU81),""),"")</f>
        <v/>
      </c>
      <c r="AO81" s="35" t="str" cm="1">
        <f t="array" ref="AO81">IFERROR(IF(AB82&lt;&gt;AB81,_xlfn.STDEV.P(IF(AB$9:AB81=AB81,AU$9:AU81)),""),"")</f>
        <v/>
      </c>
      <c r="AP81" s="35" t="str" cm="1">
        <f t="array" ref="AP81">IFERROR(IF(AB82&lt;&gt;AB81,_xlfn.STDEV.P(IF(AB$9:AB81=AB81,AT$9:AT81)),""),"")</f>
        <v/>
      </c>
      <c r="AQ81" s="36" t="str">
        <f t="shared" si="23"/>
        <v/>
      </c>
      <c r="AR81" s="36" t="str">
        <f t="shared" si="24"/>
        <v/>
      </c>
      <c r="AS81" s="36" t="str">
        <f t="shared" si="33"/>
        <v/>
      </c>
      <c r="AT81" s="37" t="str">
        <f t="shared" si="25"/>
        <v/>
      </c>
      <c r="AU81" s="37" t="str">
        <f t="shared" si="26"/>
        <v/>
      </c>
      <c r="AV81" s="54"/>
      <c r="AW81" s="46"/>
      <c r="AX81" s="39" t="str" cm="1">
        <f t="array" ref="AX81">IF(AH81&lt;&gt;"",IF(AND(AX79:AX80&lt;&gt;"IE",AQ81&lt;&gt;0,AS81&lt;&gt;""),IF(IFERROR((AQ81/AS81),0) &lt;=1,IFERROR(AQ81/AS81,""),1),""),"")</f>
        <v/>
      </c>
      <c r="AY81" s="46"/>
      <c r="AZ81" s="57"/>
    </row>
    <row r="82" spans="1:52" ht="15.5" x14ac:dyDescent="0.35">
      <c r="A82" s="51">
        <f t="shared" si="34"/>
        <v>1</v>
      </c>
      <c r="B82" s="52"/>
      <c r="C82" s="52"/>
      <c r="D82" s="29" t="str">
        <f>IFERROR(
IF(AND(OR(Planilla!B82="C",Planilla!B82="c"), VLOOKUP(E82,[1]Diccionario!B:N,13,0)="C"), "OK",IF(AND(OR(Planilla!B82="C",Planilla!B82="c"), OR(VLOOKUP(E82,[1]Diccionario!B:N,13,0)="B", VLOOKUP(E82,[1]Diccionario!B:N,13,0)="A")), "DEFICIT",IF(
AND(OR(Planilla!B82="B", Planilla!B82="BPAL"), VLOOKUP(E82,[1]Diccionario!B:N,13,0)="B"), "OK",IF(AND(OR(Planilla!B82="B", Planilla!B82="BPAL"), VLOOKUP(E82,[1]Diccionario!B:N,13,0)="A"), "DEFICIT",IF(AND(OR(Planilla!B82="B", Planilla!B82="BPAL"), VLOOKUP(E82,[1]Diccionario!B:N,13,0)="C"), "SOBREOFERTA",IF(AND(Planilla!B82="A", VLOOKUP(E82,[1]Diccionario!B:N,13,0)="A"), "OK",IF(
AND(Planilla!B82="A", OR(VLOOKUP(E82,[1]Diccionario!B:N,13,0)="B", VLOOKUP(E82,[1]Diccionario!B:N,13,0)="C")), "SOBREOFERTA",""
))))))),"")</f>
        <v/>
      </c>
      <c r="E82" s="48"/>
      <c r="F82" s="53"/>
      <c r="G82" s="54"/>
      <c r="H82" s="55" t="str">
        <f t="shared" si="27"/>
        <v/>
      </c>
      <c r="I82" s="35"/>
      <c r="J82" s="34" t="e">
        <f>IF(A82&lt;&gt;"",HLOOKUP(VALUE(TEXT(G82,"h:mm:ss")),IF($C$6="Laboral",[1]Input!$A$4:$Y$227,IF($C$6="Sábado",[1]Input!$A$231:$Y$452,[1]Input!$A$456:$Y$656)),VLOOKUP($C$4,[1]Input!$AG$2:$AI$99,3,0)+IF(C$5="Ida",0,1),1),"")</f>
        <v>#N/A</v>
      </c>
      <c r="K82" s="34" t="str">
        <f>IF(A83&lt;&gt;A82,AVERAGEIF(A$9:A82,A82,J$13:J82),"")</f>
        <v/>
      </c>
      <c r="L82" s="35" t="str">
        <f>IFERROR(IF(A83&lt;&gt;A82,AVERAGEIF(A$9:A82,A82,S$13:S82),""),"")</f>
        <v/>
      </c>
      <c r="M82" s="35" t="str">
        <f>IFERROR(IF(A83&lt;&gt;A82,AVERAGEIF(A$9:A82,A82,T$8:T82),""),"")</f>
        <v/>
      </c>
      <c r="N82" s="35" t="str" cm="1">
        <f t="array" ref="N82">IFERROR(IF(A83&lt;&gt;A82,_xlfn.STDEV.P(IF(A$9:A82=A82,T$7:T82)),""),"")</f>
        <v/>
      </c>
      <c r="O82" s="35" t="str" cm="1">
        <f t="array" ref="O82">IFERROR(IF(A83&lt;&gt;A82,_xlfn.STDEV.P(IF(A$9:A82=A82,S$7:S82)),""),"")</f>
        <v/>
      </c>
      <c r="P82" s="36" t="str">
        <f t="shared" si="20"/>
        <v/>
      </c>
      <c r="Q82" s="36" t="str">
        <f t="shared" si="21"/>
        <v/>
      </c>
      <c r="R82" s="36" t="str">
        <f t="shared" si="28"/>
        <v/>
      </c>
      <c r="S82" s="37" t="str">
        <f t="shared" si="29"/>
        <v/>
      </c>
      <c r="T82" s="37" t="str">
        <f t="shared" si="22"/>
        <v/>
      </c>
      <c r="U82" s="54"/>
      <c r="V82" s="46"/>
      <c r="W82" s="39" t="str">
        <f t="shared" si="30"/>
        <v/>
      </c>
      <c r="X82" s="38"/>
      <c r="Y82" s="48"/>
      <c r="AB82" s="56">
        <f t="shared" si="31"/>
        <v>1</v>
      </c>
      <c r="AC82" s="52"/>
      <c r="AD82" s="52"/>
      <c r="AE82" s="29" t="str">
        <f>IFERROR(
IF(AND(OR(AC82="C",AC82="c"), VLOOKUP(AF82,[1]Diccionario!B:N,13,0)="C"), "OK",IF(AND(OR(AC82="C",AC82="c"), OR(VLOOKUP(AF82,[1]Diccionario!B:N,13,0)="B", VLOOKUP(AF82,[1]Diccionario!B:N,13,0)="A")), "DEFICIT",IF(
AND(OR(AC82="B", AC82="BPAL"), VLOOKUP(AF82,[1]Diccionario!B:N,13,0)="B"), "OK",IF(AND(OR(AC82="B", AC82="BPAL"), VLOOKUP(AF82,[1]Diccionario!B:N,13,0)="A"), "DEFICIT",IF(AND(OR(AC82="B", AC82="BPAL"), VLOOKUP(AF82,[1]Diccionario!B:N,13,0)="C"), "SOBREOFERTA",IF(AND(AC82="A", VLOOKUP(AF82,[1]Diccionario!B:N,13,0)="A"), "OK",IF(
AND(AC82="A", OR(VLOOKUP(AF82,[1]Diccionario!B:N,13,0)="B", VLOOKUP(AF82,[1]Diccionario!B:N,13,0)="C")), "SOBREOFERTA",""
))))))),"")</f>
        <v/>
      </c>
      <c r="AF82" s="48"/>
      <c r="AG82" s="53"/>
      <c r="AH82" s="54"/>
      <c r="AI82" s="55" t="str">
        <f t="shared" si="32"/>
        <v/>
      </c>
      <c r="AJ82" s="46"/>
      <c r="AK82" s="34" t="e">
        <f>IF(AB82&lt;&gt;"",HLOOKUP(VALUE(TEXT(AH82,"h:mm:ss")),IF($C$6="Laboral",[1]Input!$A$4:$Y$227,IF($C$6="Sábado",[1]Input!$A$231:$Y$452,[1]Input!$A$456:$Y$656)),VLOOKUP($C$4,[1]Input!$AG$2:$AI$99,3,0)+IF(AD$5="Ida",0,1),1),"")</f>
        <v>#N/A</v>
      </c>
      <c r="AL82" s="34" t="str">
        <f>IF(AB83&lt;&gt;AB82,AVERAGEIF(AB$9:AB82,AB82,AK$9:AK82),"")</f>
        <v/>
      </c>
      <c r="AM82" s="35" t="str">
        <f>IFERROR(IF(AB83&lt;&gt;AB82,AVERAGEIF(AB$9:AB82,AB82,AT$9:AT82),""),"")</f>
        <v/>
      </c>
      <c r="AN82" s="35" t="str">
        <f>IFERROR(IF(AB83&lt;&gt;AB82,AVERAGEIF(AB$9:AB82,AB82,AU$9:AU82),""),"")</f>
        <v/>
      </c>
      <c r="AO82" s="35" t="str" cm="1">
        <f t="array" ref="AO82">IFERROR(IF(AB83&lt;&gt;AB82,_xlfn.STDEV.P(IF(AB$9:AB82=AB82,AU$9:AU82)),""),"")</f>
        <v/>
      </c>
      <c r="AP82" s="35" t="str" cm="1">
        <f t="array" ref="AP82">IFERROR(IF(AB83&lt;&gt;AB82,_xlfn.STDEV.P(IF(AB$9:AB82=AB82,AT$9:AT82)),""),"")</f>
        <v/>
      </c>
      <c r="AQ82" s="36" t="str">
        <f t="shared" si="23"/>
        <v/>
      </c>
      <c r="AR82" s="36" t="str">
        <f t="shared" si="24"/>
        <v/>
      </c>
      <c r="AS82" s="36" t="str">
        <f t="shared" si="33"/>
        <v/>
      </c>
      <c r="AT82" s="37" t="str">
        <f t="shared" si="25"/>
        <v/>
      </c>
      <c r="AU82" s="37" t="str">
        <f t="shared" si="26"/>
        <v/>
      </c>
      <c r="AV82" s="54"/>
      <c r="AW82" s="46"/>
      <c r="AX82" s="39" t="str" cm="1">
        <f t="array" ref="AX82">IF(AH82&lt;&gt;"",IF(AND(AX80:AX81&lt;&gt;"IE",AQ82&lt;&gt;0,AS82&lt;&gt;""),IF(IFERROR((AQ82/AS82),0) &lt;=1,IFERROR(AQ82/AS82,""),1),""),"")</f>
        <v/>
      </c>
      <c r="AY82" s="46"/>
      <c r="AZ82" s="57"/>
    </row>
    <row r="83" spans="1:52" ht="15.5" x14ac:dyDescent="0.35">
      <c r="A83" s="51">
        <f t="shared" si="34"/>
        <v>1</v>
      </c>
      <c r="B83" s="52"/>
      <c r="C83" s="52"/>
      <c r="D83" s="29" t="str">
        <f>IFERROR(
IF(AND(OR(Planilla!B83="C",Planilla!B83="c"), VLOOKUP(E83,[1]Diccionario!B:N,13,0)="C"), "OK",IF(AND(OR(Planilla!B83="C",Planilla!B83="c"), OR(VLOOKUP(E83,[1]Diccionario!B:N,13,0)="B", VLOOKUP(E83,[1]Diccionario!B:N,13,0)="A")), "DEFICIT",IF(
AND(OR(Planilla!B83="B", Planilla!B83="BPAL"), VLOOKUP(E83,[1]Diccionario!B:N,13,0)="B"), "OK",IF(AND(OR(Planilla!B83="B", Planilla!B83="BPAL"), VLOOKUP(E83,[1]Diccionario!B:N,13,0)="A"), "DEFICIT",IF(AND(OR(Planilla!B83="B", Planilla!B83="BPAL"), VLOOKUP(E83,[1]Diccionario!B:N,13,0)="C"), "SOBREOFERTA",IF(AND(Planilla!B83="A", VLOOKUP(E83,[1]Diccionario!B:N,13,0)="A"), "OK",IF(
AND(Planilla!B83="A", OR(VLOOKUP(E83,[1]Diccionario!B:N,13,0)="B", VLOOKUP(E83,[1]Diccionario!B:N,13,0)="C")), "SOBREOFERTA",""
))))))),"")</f>
        <v/>
      </c>
      <c r="E83" s="48"/>
      <c r="F83" s="53"/>
      <c r="G83" s="54"/>
      <c r="H83" s="55" t="str">
        <f t="shared" si="27"/>
        <v/>
      </c>
      <c r="I83" s="35"/>
      <c r="J83" s="34" t="e">
        <f>IF(A83&lt;&gt;"",HLOOKUP(VALUE(TEXT(G83,"h:mm:ss")),IF($C$6="Laboral",[1]Input!$A$4:$Y$227,IF($C$6="Sábado",[1]Input!$A$231:$Y$452,[1]Input!$A$456:$Y$656)),VLOOKUP($C$4,[1]Input!$AG$2:$AI$99,3,0)+IF(C$5="Ida",0,1),1),"")</f>
        <v>#N/A</v>
      </c>
      <c r="K83" s="34" t="str">
        <f>IF(A84&lt;&gt;A83,AVERAGEIF(A$9:A83,A83,J$13:J83),"")</f>
        <v/>
      </c>
      <c r="L83" s="35" t="str">
        <f>IFERROR(IF(A84&lt;&gt;A83,AVERAGEIF(A$9:A83,A83,S$13:S83),""),"")</f>
        <v/>
      </c>
      <c r="M83" s="35" t="str">
        <f>IFERROR(IF(A84&lt;&gt;A83,AVERAGEIF(A$9:A83,A83,T$8:T83),""),"")</f>
        <v/>
      </c>
      <c r="N83" s="35" t="str" cm="1">
        <f t="array" ref="N83">IFERROR(IF(A84&lt;&gt;A83,_xlfn.STDEV.P(IF(A$9:A83=A83,T$7:T83)),""),"")</f>
        <v/>
      </c>
      <c r="O83" s="35" t="str" cm="1">
        <f t="array" ref="O83">IFERROR(IF(A84&lt;&gt;A83,_xlfn.STDEV.P(IF(A$9:A83=A83,S$7:S83)),""),"")</f>
        <v/>
      </c>
      <c r="P83" s="36" t="str">
        <f t="shared" si="20"/>
        <v/>
      </c>
      <c r="Q83" s="36" t="str">
        <f t="shared" si="21"/>
        <v/>
      </c>
      <c r="R83" s="36" t="str">
        <f t="shared" si="28"/>
        <v/>
      </c>
      <c r="S83" s="37" t="str">
        <f t="shared" si="29"/>
        <v/>
      </c>
      <c r="T83" s="37" t="str">
        <f t="shared" si="22"/>
        <v/>
      </c>
      <c r="U83" s="54"/>
      <c r="V83" s="46"/>
      <c r="W83" s="39" t="str">
        <f t="shared" si="30"/>
        <v/>
      </c>
      <c r="X83" s="38"/>
      <c r="Y83" s="48"/>
      <c r="AB83" s="56">
        <f t="shared" si="31"/>
        <v>1</v>
      </c>
      <c r="AC83" s="52"/>
      <c r="AD83" s="52"/>
      <c r="AE83" s="29" t="str">
        <f>IFERROR(
IF(AND(OR(AC83="C",AC83="c"), VLOOKUP(AF83,[1]Diccionario!B:N,13,0)="C"), "OK",IF(AND(OR(AC83="C",AC83="c"), OR(VLOOKUP(AF83,[1]Diccionario!B:N,13,0)="B", VLOOKUP(AF83,[1]Diccionario!B:N,13,0)="A")), "DEFICIT",IF(
AND(OR(AC83="B", AC83="BPAL"), VLOOKUP(AF83,[1]Diccionario!B:N,13,0)="B"), "OK",IF(AND(OR(AC83="B", AC83="BPAL"), VLOOKUP(AF83,[1]Diccionario!B:N,13,0)="A"), "DEFICIT",IF(AND(OR(AC83="B", AC83="BPAL"), VLOOKUP(AF83,[1]Diccionario!B:N,13,0)="C"), "SOBREOFERTA",IF(AND(AC83="A", VLOOKUP(AF83,[1]Diccionario!B:N,13,0)="A"), "OK",IF(
AND(AC83="A", OR(VLOOKUP(AF83,[1]Diccionario!B:N,13,0)="B", VLOOKUP(AF83,[1]Diccionario!B:N,13,0)="C")), "SOBREOFERTA",""
))))))),"")</f>
        <v/>
      </c>
      <c r="AF83" s="48"/>
      <c r="AG83" s="53"/>
      <c r="AH83" s="54"/>
      <c r="AI83" s="55" t="str">
        <f t="shared" si="32"/>
        <v/>
      </c>
      <c r="AJ83" s="46"/>
      <c r="AK83" s="34" t="e">
        <f>IF(AB83&lt;&gt;"",HLOOKUP(VALUE(TEXT(AH83,"h:mm:ss")),IF($C$6="Laboral",[1]Input!$A$4:$Y$227,IF($C$6="Sábado",[1]Input!$A$231:$Y$452,[1]Input!$A$456:$Y$656)),VLOOKUP($C$4,[1]Input!$AG$2:$AI$99,3,0)+IF(AD$5="Ida",0,1),1),"")</f>
        <v>#N/A</v>
      </c>
      <c r="AL83" s="34" t="str">
        <f>IF(AB84&lt;&gt;AB83,AVERAGEIF(AB$9:AB83,AB83,AK$9:AK83),"")</f>
        <v/>
      </c>
      <c r="AM83" s="35" t="str">
        <f>IFERROR(IF(AB84&lt;&gt;AB83,AVERAGEIF(AB$9:AB83,AB83,AT$9:AT83),""),"")</f>
        <v/>
      </c>
      <c r="AN83" s="35" t="str">
        <f>IFERROR(IF(AB84&lt;&gt;AB83,AVERAGEIF(AB$9:AB83,AB83,AU$9:AU83),""),"")</f>
        <v/>
      </c>
      <c r="AO83" s="35" t="str" cm="1">
        <f t="array" ref="AO83">IFERROR(IF(AB84&lt;&gt;AB83,_xlfn.STDEV.P(IF(AB$9:AB83=AB83,AU$9:AU83)),""),"")</f>
        <v/>
      </c>
      <c r="AP83" s="35" t="str" cm="1">
        <f t="array" ref="AP83">IFERROR(IF(AB84&lt;&gt;AB83,_xlfn.STDEV.P(IF(AB$9:AB83=AB83,AT$9:AT83)),""),"")</f>
        <v/>
      </c>
      <c r="AQ83" s="36" t="str">
        <f t="shared" si="23"/>
        <v/>
      </c>
      <c r="AR83" s="36" t="str">
        <f t="shared" si="24"/>
        <v/>
      </c>
      <c r="AS83" s="36" t="str">
        <f t="shared" si="33"/>
        <v/>
      </c>
      <c r="AT83" s="37" t="str">
        <f t="shared" si="25"/>
        <v/>
      </c>
      <c r="AU83" s="37" t="str">
        <f t="shared" si="26"/>
        <v/>
      </c>
      <c r="AV83" s="54"/>
      <c r="AW83" s="46"/>
      <c r="AX83" s="39" t="str" cm="1">
        <f t="array" ref="AX83">IF(AH83&lt;&gt;"",IF(AND(AX81:AX82&lt;&gt;"IE",AQ83&lt;&gt;0,AS83&lt;&gt;""),IF(IFERROR((AQ83/AS83),0) &lt;=1,IFERROR(AQ83/AS83,""),1),""),"")</f>
        <v/>
      </c>
      <c r="AY83" s="46"/>
      <c r="AZ83" s="57"/>
    </row>
    <row r="84" spans="1:52" ht="15.5" x14ac:dyDescent="0.35">
      <c r="A84" s="51">
        <f t="shared" si="34"/>
        <v>1</v>
      </c>
      <c r="B84" s="52"/>
      <c r="C84" s="52"/>
      <c r="D84" s="29" t="str">
        <f>IFERROR(
IF(AND(OR(Planilla!B84="C",Planilla!B84="c"), VLOOKUP(E84,[1]Diccionario!B:N,13,0)="C"), "OK",IF(AND(OR(Planilla!B84="C",Planilla!B84="c"), OR(VLOOKUP(E84,[1]Diccionario!B:N,13,0)="B", VLOOKUP(E84,[1]Diccionario!B:N,13,0)="A")), "DEFICIT",IF(
AND(OR(Planilla!B84="B", Planilla!B84="BPAL"), VLOOKUP(E84,[1]Diccionario!B:N,13,0)="B"), "OK",IF(AND(OR(Planilla!B84="B", Planilla!B84="BPAL"), VLOOKUP(E84,[1]Diccionario!B:N,13,0)="A"), "DEFICIT",IF(AND(OR(Planilla!B84="B", Planilla!B84="BPAL"), VLOOKUP(E84,[1]Diccionario!B:N,13,0)="C"), "SOBREOFERTA",IF(AND(Planilla!B84="A", VLOOKUP(E84,[1]Diccionario!B:N,13,0)="A"), "OK",IF(
AND(Planilla!B84="A", OR(VLOOKUP(E84,[1]Diccionario!B:N,13,0)="B", VLOOKUP(E84,[1]Diccionario!B:N,13,0)="C")), "SOBREOFERTA",""
))))))),"")</f>
        <v/>
      </c>
      <c r="E84" s="48"/>
      <c r="F84" s="53"/>
      <c r="G84" s="54"/>
      <c r="H84" s="55" t="str">
        <f t="shared" si="27"/>
        <v/>
      </c>
      <c r="I84" s="35"/>
      <c r="J84" s="34" t="e">
        <f>IF(A84&lt;&gt;"",HLOOKUP(VALUE(TEXT(G84,"h:mm:ss")),IF($C$6="Laboral",[1]Input!$A$4:$Y$227,IF($C$6="Sábado",[1]Input!$A$231:$Y$452,[1]Input!$A$456:$Y$656)),VLOOKUP($C$4,[1]Input!$AG$2:$AI$99,3,0)+IF(C$5="Ida",0,1),1),"")</f>
        <v>#N/A</v>
      </c>
      <c r="K84" s="34" t="str">
        <f>IF(A85&lt;&gt;A84,AVERAGEIF(A$9:A84,A84,J$13:J84),"")</f>
        <v/>
      </c>
      <c r="L84" s="35" t="str">
        <f>IFERROR(IF(A85&lt;&gt;A84,AVERAGEIF(A$9:A84,A84,S$13:S84),""),"")</f>
        <v/>
      </c>
      <c r="M84" s="35" t="str">
        <f>IFERROR(IF(A85&lt;&gt;A84,AVERAGEIF(A$9:A84,A84,T$8:T84),""),"")</f>
        <v/>
      </c>
      <c r="N84" s="35" t="str" cm="1">
        <f t="array" ref="N84">IFERROR(IF(A85&lt;&gt;A84,_xlfn.STDEV.P(IF(A$9:A84=A84,T$7:T84)),""),"")</f>
        <v/>
      </c>
      <c r="O84" s="35" t="str" cm="1">
        <f t="array" ref="O84">IFERROR(IF(A85&lt;&gt;A84,_xlfn.STDEV.P(IF(A$9:A84=A84,S$7:S84)),""),"")</f>
        <v/>
      </c>
      <c r="P84" s="36" t="str">
        <f t="shared" si="20"/>
        <v/>
      </c>
      <c r="Q84" s="36" t="str">
        <f t="shared" si="21"/>
        <v/>
      </c>
      <c r="R84" s="36" t="str">
        <f t="shared" si="28"/>
        <v/>
      </c>
      <c r="S84" s="37" t="str">
        <f t="shared" si="29"/>
        <v/>
      </c>
      <c r="T84" s="37" t="str">
        <f t="shared" si="22"/>
        <v/>
      </c>
      <c r="U84" s="54"/>
      <c r="V84" s="46"/>
      <c r="W84" s="39" t="str">
        <f t="shared" si="30"/>
        <v/>
      </c>
      <c r="X84" s="38"/>
      <c r="Y84" s="48"/>
      <c r="AB84" s="56">
        <f t="shared" si="31"/>
        <v>1</v>
      </c>
      <c r="AC84" s="52"/>
      <c r="AD84" s="52"/>
      <c r="AE84" s="29" t="str">
        <f>IFERROR(
IF(AND(OR(AC84="C",AC84="c"), VLOOKUP(AF84,[1]Diccionario!B:N,13,0)="C"), "OK",IF(AND(OR(AC84="C",AC84="c"), OR(VLOOKUP(AF84,[1]Diccionario!B:N,13,0)="B", VLOOKUP(AF84,[1]Diccionario!B:N,13,0)="A")), "DEFICIT",IF(
AND(OR(AC84="B", AC84="BPAL"), VLOOKUP(AF84,[1]Diccionario!B:N,13,0)="B"), "OK",IF(AND(OR(AC84="B", AC84="BPAL"), VLOOKUP(AF84,[1]Diccionario!B:N,13,0)="A"), "DEFICIT",IF(AND(OR(AC84="B", AC84="BPAL"), VLOOKUP(AF84,[1]Diccionario!B:N,13,0)="C"), "SOBREOFERTA",IF(AND(AC84="A", VLOOKUP(AF84,[1]Diccionario!B:N,13,0)="A"), "OK",IF(
AND(AC84="A", OR(VLOOKUP(AF84,[1]Diccionario!B:N,13,0)="B", VLOOKUP(AF84,[1]Diccionario!B:N,13,0)="C")), "SOBREOFERTA",""
))))))),"")</f>
        <v/>
      </c>
      <c r="AF84" s="48"/>
      <c r="AG84" s="53"/>
      <c r="AH84" s="54"/>
      <c r="AI84" s="55" t="str">
        <f t="shared" si="32"/>
        <v/>
      </c>
      <c r="AJ84" s="46"/>
      <c r="AK84" s="34" t="e">
        <f>IF(AB84&lt;&gt;"",HLOOKUP(VALUE(TEXT(AH84,"h:mm:ss")),IF($C$6="Laboral",[1]Input!$A$4:$Y$227,IF($C$6="Sábado",[1]Input!$A$231:$Y$452,[1]Input!$A$456:$Y$656)),VLOOKUP($C$4,[1]Input!$AG$2:$AI$99,3,0)+IF(AD$5="Ida",0,1),1),"")</f>
        <v>#N/A</v>
      </c>
      <c r="AL84" s="34" t="str">
        <f>IF(AB85&lt;&gt;AB84,AVERAGEIF(AB$9:AB84,AB84,AK$9:AK84),"")</f>
        <v/>
      </c>
      <c r="AM84" s="35" t="str">
        <f>IFERROR(IF(AB85&lt;&gt;AB84,AVERAGEIF(AB$9:AB84,AB84,AT$9:AT84),""),"")</f>
        <v/>
      </c>
      <c r="AN84" s="35" t="str">
        <f>IFERROR(IF(AB85&lt;&gt;AB84,AVERAGEIF(AB$9:AB84,AB84,AU$9:AU84),""),"")</f>
        <v/>
      </c>
      <c r="AO84" s="35" t="str" cm="1">
        <f t="array" ref="AO84">IFERROR(IF(AB85&lt;&gt;AB84,_xlfn.STDEV.P(IF(AB$9:AB84=AB84,AU$9:AU84)),""),"")</f>
        <v/>
      </c>
      <c r="AP84" s="35" t="str" cm="1">
        <f t="array" ref="AP84">IFERROR(IF(AB85&lt;&gt;AB84,_xlfn.STDEV.P(IF(AB$9:AB84=AB84,AT$9:AT84)),""),"")</f>
        <v/>
      </c>
      <c r="AQ84" s="36" t="str">
        <f t="shared" si="23"/>
        <v/>
      </c>
      <c r="AR84" s="36" t="str">
        <f t="shared" si="24"/>
        <v/>
      </c>
      <c r="AS84" s="36" t="str">
        <f t="shared" si="33"/>
        <v/>
      </c>
      <c r="AT84" s="37" t="str">
        <f t="shared" si="25"/>
        <v/>
      </c>
      <c r="AU84" s="37" t="str">
        <f t="shared" si="26"/>
        <v/>
      </c>
      <c r="AV84" s="54"/>
      <c r="AW84" s="46"/>
      <c r="AX84" s="39" t="str" cm="1">
        <f t="array" ref="AX84">IF(AH84&lt;&gt;"",IF(AND(AX82:AX83&lt;&gt;"IE",AQ84&lt;&gt;0,AS84&lt;&gt;""),IF(IFERROR((AQ84/AS84),0) &lt;=1,IFERROR(AQ84/AS84,""),1),""),"")</f>
        <v/>
      </c>
      <c r="AY84" s="46"/>
      <c r="AZ84" s="57"/>
    </row>
    <row r="85" spans="1:52" ht="15.5" x14ac:dyDescent="0.35">
      <c r="A85" s="51">
        <f t="shared" si="34"/>
        <v>1</v>
      </c>
      <c r="B85" s="52"/>
      <c r="C85" s="52"/>
      <c r="D85" s="29" t="str">
        <f>IFERROR(
IF(AND(OR(Planilla!B85="C",Planilla!B85="c"), VLOOKUP(E85,[1]Diccionario!B:N,13,0)="C"), "OK",IF(AND(OR(Planilla!B85="C",Planilla!B85="c"), OR(VLOOKUP(E85,[1]Diccionario!B:N,13,0)="B", VLOOKUP(E85,[1]Diccionario!B:N,13,0)="A")), "DEFICIT",IF(
AND(OR(Planilla!B85="B", Planilla!B85="BPAL"), VLOOKUP(E85,[1]Diccionario!B:N,13,0)="B"), "OK",IF(AND(OR(Planilla!B85="B", Planilla!B85="BPAL"), VLOOKUP(E85,[1]Diccionario!B:N,13,0)="A"), "DEFICIT",IF(AND(OR(Planilla!B85="B", Planilla!B85="BPAL"), VLOOKUP(E85,[1]Diccionario!B:N,13,0)="C"), "SOBREOFERTA",IF(AND(Planilla!B85="A", VLOOKUP(E85,[1]Diccionario!B:N,13,0)="A"), "OK",IF(
AND(Planilla!B85="A", OR(VLOOKUP(E85,[1]Diccionario!B:N,13,0)="B", VLOOKUP(E85,[1]Diccionario!B:N,13,0)="C")), "SOBREOFERTA",""
))))))),"")</f>
        <v/>
      </c>
      <c r="E85" s="48"/>
      <c r="F85" s="53"/>
      <c r="G85" s="54"/>
      <c r="H85" s="55" t="str">
        <f t="shared" si="27"/>
        <v/>
      </c>
      <c r="I85" s="35"/>
      <c r="J85" s="34" t="e">
        <f>IF(A85&lt;&gt;"",HLOOKUP(VALUE(TEXT(G85,"h:mm:ss")),IF($C$6="Laboral",[1]Input!$A$4:$Y$227,IF($C$6="Sábado",[1]Input!$A$231:$Y$452,[1]Input!$A$456:$Y$656)),VLOOKUP($C$4,[1]Input!$AG$2:$AI$99,3,0)+IF(C$5="Ida",0,1),1),"")</f>
        <v>#N/A</v>
      </c>
      <c r="K85" s="34" t="str">
        <f>IF(A86&lt;&gt;A85,AVERAGEIF(A$9:A85,A85,J$13:J85),"")</f>
        <v/>
      </c>
      <c r="L85" s="35" t="str">
        <f>IFERROR(IF(A86&lt;&gt;A85,AVERAGEIF(A$9:A85,A85,S$13:S85),""),"")</f>
        <v/>
      </c>
      <c r="M85" s="35" t="str">
        <f>IFERROR(IF(A86&lt;&gt;A85,AVERAGEIF(A$9:A85,A85,T$8:T85),""),"")</f>
        <v/>
      </c>
      <c r="N85" s="35" t="str" cm="1">
        <f t="array" ref="N85">IFERROR(IF(A86&lt;&gt;A85,_xlfn.STDEV.P(IF(A$9:A85=A85,T$7:T85)),""),"")</f>
        <v/>
      </c>
      <c r="O85" s="35" t="str" cm="1">
        <f t="array" ref="O85">IFERROR(IF(A86&lt;&gt;A85,_xlfn.STDEV.P(IF(A$9:A85=A85,S$7:S85)),""),"")</f>
        <v/>
      </c>
      <c r="P85" s="36" t="str">
        <f t="shared" si="20"/>
        <v/>
      </c>
      <c r="Q85" s="36" t="str">
        <f t="shared" si="21"/>
        <v/>
      </c>
      <c r="R85" s="36" t="str">
        <f t="shared" si="28"/>
        <v/>
      </c>
      <c r="S85" s="37" t="str">
        <f t="shared" si="29"/>
        <v/>
      </c>
      <c r="T85" s="37" t="str">
        <f t="shared" si="22"/>
        <v/>
      </c>
      <c r="U85" s="54"/>
      <c r="V85" s="46"/>
      <c r="W85" s="39" t="str">
        <f t="shared" si="30"/>
        <v/>
      </c>
      <c r="X85" s="38"/>
      <c r="Y85" s="48"/>
      <c r="AB85" s="56">
        <f t="shared" si="31"/>
        <v>1</v>
      </c>
      <c r="AC85" s="52"/>
      <c r="AD85" s="52"/>
      <c r="AE85" s="29" t="str">
        <f>IFERROR(
IF(AND(OR(AC85="C",AC85="c"), VLOOKUP(AF85,[1]Diccionario!B:N,13,0)="C"), "OK",IF(AND(OR(AC85="C",AC85="c"), OR(VLOOKUP(AF85,[1]Diccionario!B:N,13,0)="B", VLOOKUP(AF85,[1]Diccionario!B:N,13,0)="A")), "DEFICIT",IF(
AND(OR(AC85="B", AC85="BPAL"), VLOOKUP(AF85,[1]Diccionario!B:N,13,0)="B"), "OK",IF(AND(OR(AC85="B", AC85="BPAL"), VLOOKUP(AF85,[1]Diccionario!B:N,13,0)="A"), "DEFICIT",IF(AND(OR(AC85="B", AC85="BPAL"), VLOOKUP(AF85,[1]Diccionario!B:N,13,0)="C"), "SOBREOFERTA",IF(AND(AC85="A", VLOOKUP(AF85,[1]Diccionario!B:N,13,0)="A"), "OK",IF(
AND(AC85="A", OR(VLOOKUP(AF85,[1]Diccionario!B:N,13,0)="B", VLOOKUP(AF85,[1]Diccionario!B:N,13,0)="C")), "SOBREOFERTA",""
))))))),"")</f>
        <v/>
      </c>
      <c r="AF85" s="48"/>
      <c r="AG85" s="53"/>
      <c r="AH85" s="54"/>
      <c r="AI85" s="55" t="str">
        <f t="shared" si="32"/>
        <v/>
      </c>
      <c r="AJ85" s="46"/>
      <c r="AK85" s="34" t="e">
        <f>IF(AB85&lt;&gt;"",HLOOKUP(VALUE(TEXT(AH85,"h:mm:ss")),IF($C$6="Laboral",[1]Input!$A$4:$Y$227,IF($C$6="Sábado",[1]Input!$A$231:$Y$452,[1]Input!$A$456:$Y$656)),VLOOKUP($C$4,[1]Input!$AG$2:$AI$99,3,0)+IF(AD$5="Ida",0,1),1),"")</f>
        <v>#N/A</v>
      </c>
      <c r="AL85" s="34" t="str">
        <f>IF(AB86&lt;&gt;AB85,AVERAGEIF(AB$9:AB85,AB85,AK$9:AK85),"")</f>
        <v/>
      </c>
      <c r="AM85" s="35" t="str">
        <f>IFERROR(IF(AB86&lt;&gt;AB85,AVERAGEIF(AB$9:AB85,AB85,AT$9:AT85),""),"")</f>
        <v/>
      </c>
      <c r="AN85" s="35" t="str">
        <f>IFERROR(IF(AB86&lt;&gt;AB85,AVERAGEIF(AB$9:AB85,AB85,AU$9:AU85),""),"")</f>
        <v/>
      </c>
      <c r="AO85" s="35" t="str" cm="1">
        <f t="array" ref="AO85">IFERROR(IF(AB86&lt;&gt;AB85,_xlfn.STDEV.P(IF(AB$9:AB85=AB85,AU$9:AU85)),""),"")</f>
        <v/>
      </c>
      <c r="AP85" s="35" t="str" cm="1">
        <f t="array" ref="AP85">IFERROR(IF(AB86&lt;&gt;AB85,_xlfn.STDEV.P(IF(AB$9:AB85=AB85,AT$9:AT85)),""),"")</f>
        <v/>
      </c>
      <c r="AQ85" s="36" t="str">
        <f t="shared" si="23"/>
        <v/>
      </c>
      <c r="AR85" s="36" t="str">
        <f t="shared" si="24"/>
        <v/>
      </c>
      <c r="AS85" s="36" t="str">
        <f t="shared" si="33"/>
        <v/>
      </c>
      <c r="AT85" s="37" t="str">
        <f t="shared" si="25"/>
        <v/>
      </c>
      <c r="AU85" s="37" t="str">
        <f t="shared" si="26"/>
        <v/>
      </c>
      <c r="AV85" s="54"/>
      <c r="AW85" s="46"/>
      <c r="AX85" s="39" t="str" cm="1">
        <f t="array" ref="AX85">IF(AH85&lt;&gt;"",IF(AND(AX83:AX84&lt;&gt;"IE",AQ85&lt;&gt;0,AS85&lt;&gt;""),IF(IFERROR((AQ85/AS85),0) &lt;=1,IFERROR(AQ85/AS85,""),1),""),"")</f>
        <v/>
      </c>
      <c r="AY85" s="46"/>
      <c r="AZ85" s="57"/>
    </row>
    <row r="86" spans="1:52" ht="15.5" x14ac:dyDescent="0.35">
      <c r="A86" s="51">
        <f t="shared" si="34"/>
        <v>1</v>
      </c>
      <c r="B86" s="52"/>
      <c r="C86" s="52"/>
      <c r="D86" s="29" t="str">
        <f>IFERROR(
IF(AND(OR(Planilla!B86="C",Planilla!B86="c"), VLOOKUP(E86,[1]Diccionario!B:N,13,0)="C"), "OK",IF(AND(OR(Planilla!B86="C",Planilla!B86="c"), OR(VLOOKUP(E86,[1]Diccionario!B:N,13,0)="B", VLOOKUP(E86,[1]Diccionario!B:N,13,0)="A")), "DEFICIT",IF(
AND(OR(Planilla!B86="B", Planilla!B86="BPAL"), VLOOKUP(E86,[1]Diccionario!B:N,13,0)="B"), "OK",IF(AND(OR(Planilla!B86="B", Planilla!B86="BPAL"), VLOOKUP(E86,[1]Diccionario!B:N,13,0)="A"), "DEFICIT",IF(AND(OR(Planilla!B86="B", Planilla!B86="BPAL"), VLOOKUP(E86,[1]Diccionario!B:N,13,0)="C"), "SOBREOFERTA",IF(AND(Planilla!B86="A", VLOOKUP(E86,[1]Diccionario!B:N,13,0)="A"), "OK",IF(
AND(Planilla!B86="A", OR(VLOOKUP(E86,[1]Diccionario!B:N,13,0)="B", VLOOKUP(E86,[1]Diccionario!B:N,13,0)="C")), "SOBREOFERTA",""
))))))),"")</f>
        <v/>
      </c>
      <c r="E86" s="48"/>
      <c r="F86" s="53"/>
      <c r="G86" s="54"/>
      <c r="H86" s="55" t="str">
        <f t="shared" si="27"/>
        <v/>
      </c>
      <c r="I86" s="35"/>
      <c r="J86" s="34" t="e">
        <f>IF(A86&lt;&gt;"",HLOOKUP(VALUE(TEXT(G86,"h:mm:ss")),IF($C$6="Laboral",[1]Input!$A$4:$Y$227,IF($C$6="Sábado",[1]Input!$A$231:$Y$452,[1]Input!$A$456:$Y$656)),VLOOKUP($C$4,[1]Input!$AG$2:$AI$99,3,0)+IF(C$5="Ida",0,1),1),"")</f>
        <v>#N/A</v>
      </c>
      <c r="K86" s="34" t="str">
        <f>IF(A87&lt;&gt;A86,AVERAGEIF(A$9:A86,A86,J$13:J86),"")</f>
        <v/>
      </c>
      <c r="L86" s="35" t="str">
        <f>IFERROR(IF(A87&lt;&gt;A86,AVERAGEIF(A$9:A86,A86,S$13:S86),""),"")</f>
        <v/>
      </c>
      <c r="M86" s="35" t="str">
        <f>IFERROR(IF(A87&lt;&gt;A86,AVERAGEIF(A$9:A86,A86,T$8:T86),""),"")</f>
        <v/>
      </c>
      <c r="N86" s="35" t="str" cm="1">
        <f t="array" ref="N86">IFERROR(IF(A87&lt;&gt;A86,_xlfn.STDEV.P(IF(A$9:A86=A86,T$7:T86)),""),"")</f>
        <v/>
      </c>
      <c r="O86" s="35" t="str" cm="1">
        <f t="array" ref="O86">IFERROR(IF(A87&lt;&gt;A86,_xlfn.STDEV.P(IF(A$9:A86=A86,S$7:S86)),""),"")</f>
        <v/>
      </c>
      <c r="P86" s="36" t="str">
        <f t="shared" si="20"/>
        <v/>
      </c>
      <c r="Q86" s="36" t="str">
        <f t="shared" si="21"/>
        <v/>
      </c>
      <c r="R86" s="36" t="str">
        <f t="shared" si="28"/>
        <v/>
      </c>
      <c r="S86" s="37" t="str">
        <f t="shared" si="29"/>
        <v/>
      </c>
      <c r="T86" s="37" t="str">
        <f t="shared" si="22"/>
        <v/>
      </c>
      <c r="U86" s="54"/>
      <c r="V86" s="46"/>
      <c r="W86" s="39" t="str">
        <f t="shared" si="30"/>
        <v/>
      </c>
      <c r="X86" s="38"/>
      <c r="Y86" s="48"/>
      <c r="AB86" s="56">
        <f t="shared" si="31"/>
        <v>1</v>
      </c>
      <c r="AC86" s="52"/>
      <c r="AD86" s="52"/>
      <c r="AE86" s="29" t="str">
        <f>IFERROR(
IF(AND(OR(AC86="C",AC86="c"), VLOOKUP(AF86,[1]Diccionario!B:N,13,0)="C"), "OK",IF(AND(OR(AC86="C",AC86="c"), OR(VLOOKUP(AF86,[1]Diccionario!B:N,13,0)="B", VLOOKUP(AF86,[1]Diccionario!B:N,13,0)="A")), "DEFICIT",IF(
AND(OR(AC86="B", AC86="BPAL"), VLOOKUP(AF86,[1]Diccionario!B:N,13,0)="B"), "OK",IF(AND(OR(AC86="B", AC86="BPAL"), VLOOKUP(AF86,[1]Diccionario!B:N,13,0)="A"), "DEFICIT",IF(AND(OR(AC86="B", AC86="BPAL"), VLOOKUP(AF86,[1]Diccionario!B:N,13,0)="C"), "SOBREOFERTA",IF(AND(AC86="A", VLOOKUP(AF86,[1]Diccionario!B:N,13,0)="A"), "OK",IF(
AND(AC86="A", OR(VLOOKUP(AF86,[1]Diccionario!B:N,13,0)="B", VLOOKUP(AF86,[1]Diccionario!B:N,13,0)="C")), "SOBREOFERTA",""
))))))),"")</f>
        <v/>
      </c>
      <c r="AF86" s="48"/>
      <c r="AG86" s="53"/>
      <c r="AH86" s="54"/>
      <c r="AI86" s="55" t="str">
        <f t="shared" si="32"/>
        <v/>
      </c>
      <c r="AJ86" s="46"/>
      <c r="AK86" s="34" t="e">
        <f>IF(AB86&lt;&gt;"",HLOOKUP(VALUE(TEXT(AH86,"h:mm:ss")),IF($C$6="Laboral",[1]Input!$A$4:$Y$227,IF($C$6="Sábado",[1]Input!$A$231:$Y$452,[1]Input!$A$456:$Y$656)),VLOOKUP($C$4,[1]Input!$AG$2:$AI$99,3,0)+IF(AD$5="Ida",0,1),1),"")</f>
        <v>#N/A</v>
      </c>
      <c r="AL86" s="34" t="str">
        <f>IF(AB87&lt;&gt;AB86,AVERAGEIF(AB$9:AB86,AB86,AK$9:AK86),"")</f>
        <v/>
      </c>
      <c r="AM86" s="35" t="str">
        <f>IFERROR(IF(AB87&lt;&gt;AB86,AVERAGEIF(AB$9:AB86,AB86,AT$9:AT86),""),"")</f>
        <v/>
      </c>
      <c r="AN86" s="35" t="str">
        <f>IFERROR(IF(AB87&lt;&gt;AB86,AVERAGEIF(AB$9:AB86,AB86,AU$9:AU86),""),"")</f>
        <v/>
      </c>
      <c r="AO86" s="35" t="str" cm="1">
        <f t="array" ref="AO86">IFERROR(IF(AB87&lt;&gt;AB86,_xlfn.STDEV.P(IF(AB$9:AB86=AB86,AU$9:AU86)),""),"")</f>
        <v/>
      </c>
      <c r="AP86" s="35" t="str" cm="1">
        <f t="array" ref="AP86">IFERROR(IF(AB87&lt;&gt;AB86,_xlfn.STDEV.P(IF(AB$9:AB86=AB86,AT$9:AT86)),""),"")</f>
        <v/>
      </c>
      <c r="AQ86" s="36" t="str">
        <f t="shared" si="23"/>
        <v/>
      </c>
      <c r="AR86" s="36" t="str">
        <f t="shared" si="24"/>
        <v/>
      </c>
      <c r="AS86" s="36" t="str">
        <f t="shared" si="33"/>
        <v/>
      </c>
      <c r="AT86" s="37" t="str">
        <f t="shared" si="25"/>
        <v/>
      </c>
      <c r="AU86" s="37" t="str">
        <f t="shared" si="26"/>
        <v/>
      </c>
      <c r="AV86" s="54"/>
      <c r="AW86" s="46"/>
      <c r="AX86" s="39" t="str" cm="1">
        <f t="array" ref="AX86">IF(AH86&lt;&gt;"",IF(AND(AX84:AX85&lt;&gt;"IE",AQ86&lt;&gt;0,AS86&lt;&gt;""),IF(IFERROR((AQ86/AS86),0) &lt;=1,IFERROR(AQ86/AS86,""),1),""),"")</f>
        <v/>
      </c>
      <c r="AY86" s="46"/>
      <c r="AZ86" s="57"/>
    </row>
    <row r="87" spans="1:52" ht="15.5" x14ac:dyDescent="0.35">
      <c r="A87" s="51">
        <f t="shared" si="34"/>
        <v>1</v>
      </c>
      <c r="B87" s="52"/>
      <c r="C87" s="52"/>
      <c r="D87" s="29" t="str">
        <f>IFERROR(
IF(AND(OR(Planilla!B87="C",Planilla!B87="c"), VLOOKUP(E87,[1]Diccionario!B:N,13,0)="C"), "OK",IF(AND(OR(Planilla!B87="C",Planilla!B87="c"), OR(VLOOKUP(E87,[1]Diccionario!B:N,13,0)="B", VLOOKUP(E87,[1]Diccionario!B:N,13,0)="A")), "DEFICIT",IF(
AND(OR(Planilla!B87="B", Planilla!B87="BPAL"), VLOOKUP(E87,[1]Diccionario!B:N,13,0)="B"), "OK",IF(AND(OR(Planilla!B87="B", Planilla!B87="BPAL"), VLOOKUP(E87,[1]Diccionario!B:N,13,0)="A"), "DEFICIT",IF(AND(OR(Planilla!B87="B", Planilla!B87="BPAL"), VLOOKUP(E87,[1]Diccionario!B:N,13,0)="C"), "SOBREOFERTA",IF(AND(Planilla!B87="A", VLOOKUP(E87,[1]Diccionario!B:N,13,0)="A"), "OK",IF(
AND(Planilla!B87="A", OR(VLOOKUP(E87,[1]Diccionario!B:N,13,0)="B", VLOOKUP(E87,[1]Diccionario!B:N,13,0)="C")), "SOBREOFERTA",""
))))))),"")</f>
        <v/>
      </c>
      <c r="E87" s="48"/>
      <c r="F87" s="53"/>
      <c r="G87" s="54"/>
      <c r="H87" s="55" t="str">
        <f t="shared" si="27"/>
        <v/>
      </c>
      <c r="I87" s="35"/>
      <c r="J87" s="34" t="e">
        <f>IF(A87&lt;&gt;"",HLOOKUP(VALUE(TEXT(G87,"h:mm:ss")),IF($C$6="Laboral",[1]Input!$A$4:$Y$227,IF($C$6="Sábado",[1]Input!$A$231:$Y$452,[1]Input!$A$456:$Y$656)),VLOOKUP($C$4,[1]Input!$AG$2:$AI$99,3,0)+IF(C$5="Ida",0,1),1),"")</f>
        <v>#N/A</v>
      </c>
      <c r="K87" s="34" t="str">
        <f>IF(A88&lt;&gt;A87,AVERAGEIF(A$9:A87,A87,J$13:J87),"")</f>
        <v/>
      </c>
      <c r="L87" s="35" t="str">
        <f>IFERROR(IF(A88&lt;&gt;A87,AVERAGEIF(A$9:A87,A87,S$13:S87),""),"")</f>
        <v/>
      </c>
      <c r="M87" s="35" t="str">
        <f>IFERROR(IF(A88&lt;&gt;A87,AVERAGEIF(A$9:A87,A87,T$8:T87),""),"")</f>
        <v/>
      </c>
      <c r="N87" s="35" t="str" cm="1">
        <f t="array" ref="N87">IFERROR(IF(A88&lt;&gt;A87,_xlfn.STDEV.P(IF(A$9:A87=A87,T$7:T87)),""),"")</f>
        <v/>
      </c>
      <c r="O87" s="35" t="str" cm="1">
        <f t="array" ref="O87">IFERROR(IF(A88&lt;&gt;A87,_xlfn.STDEV.P(IF(A$9:A87=A87,S$7:S87)),""),"")</f>
        <v/>
      </c>
      <c r="P87" s="36" t="str">
        <f t="shared" si="20"/>
        <v/>
      </c>
      <c r="Q87" s="36" t="str">
        <f t="shared" si="21"/>
        <v/>
      </c>
      <c r="R87" s="36" t="str">
        <f t="shared" si="28"/>
        <v/>
      </c>
      <c r="S87" s="37" t="str">
        <f t="shared" si="29"/>
        <v/>
      </c>
      <c r="T87" s="37" t="str">
        <f t="shared" si="22"/>
        <v/>
      </c>
      <c r="U87" s="54"/>
      <c r="V87" s="46"/>
      <c r="W87" s="39" t="str">
        <f t="shared" si="30"/>
        <v/>
      </c>
      <c r="X87" s="38"/>
      <c r="Y87" s="48"/>
      <c r="AB87" s="56">
        <f t="shared" si="31"/>
        <v>1</v>
      </c>
      <c r="AC87" s="52"/>
      <c r="AD87" s="52"/>
      <c r="AE87" s="29" t="str">
        <f>IFERROR(
IF(AND(OR(AC87="C",AC87="c"), VLOOKUP(AF87,[1]Diccionario!B:N,13,0)="C"), "OK",IF(AND(OR(AC87="C",AC87="c"), OR(VLOOKUP(AF87,[1]Diccionario!B:N,13,0)="B", VLOOKUP(AF87,[1]Diccionario!B:N,13,0)="A")), "DEFICIT",IF(
AND(OR(AC87="B", AC87="BPAL"), VLOOKUP(AF87,[1]Diccionario!B:N,13,0)="B"), "OK",IF(AND(OR(AC87="B", AC87="BPAL"), VLOOKUP(AF87,[1]Diccionario!B:N,13,0)="A"), "DEFICIT",IF(AND(OR(AC87="B", AC87="BPAL"), VLOOKUP(AF87,[1]Diccionario!B:N,13,0)="C"), "SOBREOFERTA",IF(AND(AC87="A", VLOOKUP(AF87,[1]Diccionario!B:N,13,0)="A"), "OK",IF(
AND(AC87="A", OR(VLOOKUP(AF87,[1]Diccionario!B:N,13,0)="B", VLOOKUP(AF87,[1]Diccionario!B:N,13,0)="C")), "SOBREOFERTA",""
))))))),"")</f>
        <v/>
      </c>
      <c r="AF87" s="48"/>
      <c r="AG87" s="53"/>
      <c r="AH87" s="54"/>
      <c r="AI87" s="55" t="str">
        <f t="shared" si="32"/>
        <v/>
      </c>
      <c r="AJ87" s="46"/>
      <c r="AK87" s="34" t="e">
        <f>IF(AB87&lt;&gt;"",HLOOKUP(VALUE(TEXT(AH87,"h:mm:ss")),IF($C$6="Laboral",[1]Input!$A$4:$Y$227,IF($C$6="Sábado",[1]Input!$A$231:$Y$452,[1]Input!$A$456:$Y$656)),VLOOKUP($C$4,[1]Input!$AG$2:$AI$99,3,0)+IF(AD$5="Ida",0,1),1),"")</f>
        <v>#N/A</v>
      </c>
      <c r="AL87" s="34" t="str">
        <f>IF(AB88&lt;&gt;AB87,AVERAGEIF(AB$9:AB87,AB87,AK$9:AK87),"")</f>
        <v/>
      </c>
      <c r="AM87" s="35" t="str">
        <f>IFERROR(IF(AB88&lt;&gt;AB87,AVERAGEIF(AB$9:AB87,AB87,AT$9:AT87),""),"")</f>
        <v/>
      </c>
      <c r="AN87" s="35" t="str">
        <f>IFERROR(IF(AB88&lt;&gt;AB87,AVERAGEIF(AB$9:AB87,AB87,AU$9:AU87),""),"")</f>
        <v/>
      </c>
      <c r="AO87" s="35" t="str" cm="1">
        <f t="array" ref="AO87">IFERROR(IF(AB88&lt;&gt;AB87,_xlfn.STDEV.P(IF(AB$9:AB87=AB87,AU$9:AU87)),""),"")</f>
        <v/>
      </c>
      <c r="AP87" s="35" t="str" cm="1">
        <f t="array" ref="AP87">IFERROR(IF(AB88&lt;&gt;AB87,_xlfn.STDEV.P(IF(AB$9:AB87=AB87,AT$9:AT87)),""),"")</f>
        <v/>
      </c>
      <c r="AQ87" s="36" t="str">
        <f t="shared" si="23"/>
        <v/>
      </c>
      <c r="AR87" s="36" t="str">
        <f t="shared" si="24"/>
        <v/>
      </c>
      <c r="AS87" s="36" t="str">
        <f t="shared" si="33"/>
        <v/>
      </c>
      <c r="AT87" s="37" t="str">
        <f t="shared" si="25"/>
        <v/>
      </c>
      <c r="AU87" s="37" t="str">
        <f t="shared" si="26"/>
        <v/>
      </c>
      <c r="AV87" s="54"/>
      <c r="AW87" s="46"/>
      <c r="AX87" s="39" t="str" cm="1">
        <f t="array" ref="AX87">IF(AH87&lt;&gt;"",IF(AND(AX85:AX86&lt;&gt;"IE",AQ87&lt;&gt;0,AS87&lt;&gt;""),IF(IFERROR((AQ87/AS87),0) &lt;=1,IFERROR(AQ87/AS87,""),1),""),"")</f>
        <v/>
      </c>
      <c r="AY87" s="46"/>
      <c r="AZ87" s="57"/>
    </row>
    <row r="88" spans="1:52" ht="15.5" x14ac:dyDescent="0.35">
      <c r="A88" s="51">
        <f t="shared" si="34"/>
        <v>1</v>
      </c>
      <c r="B88" s="52"/>
      <c r="C88" s="52"/>
      <c r="D88" s="29" t="str">
        <f>IFERROR(
IF(AND(OR(Planilla!B88="C",Planilla!B88="c"), VLOOKUP(E88,[1]Diccionario!B:N,13,0)="C"), "OK",IF(AND(OR(Planilla!B88="C",Planilla!B88="c"), OR(VLOOKUP(E88,[1]Diccionario!B:N,13,0)="B", VLOOKUP(E88,[1]Diccionario!B:N,13,0)="A")), "DEFICIT",IF(
AND(OR(Planilla!B88="B", Planilla!B88="BPAL"), VLOOKUP(E88,[1]Diccionario!B:N,13,0)="B"), "OK",IF(AND(OR(Planilla!B88="B", Planilla!B88="BPAL"), VLOOKUP(E88,[1]Diccionario!B:N,13,0)="A"), "DEFICIT",IF(AND(OR(Planilla!B88="B", Planilla!B88="BPAL"), VLOOKUP(E88,[1]Diccionario!B:N,13,0)="C"), "SOBREOFERTA",IF(AND(Planilla!B88="A", VLOOKUP(E88,[1]Diccionario!B:N,13,0)="A"), "OK",IF(
AND(Planilla!B88="A", OR(VLOOKUP(E88,[1]Diccionario!B:N,13,0)="B", VLOOKUP(E88,[1]Diccionario!B:N,13,0)="C")), "SOBREOFERTA",""
))))))),"")</f>
        <v/>
      </c>
      <c r="E88" s="48"/>
      <c r="F88" s="53"/>
      <c r="G88" s="54"/>
      <c r="H88" s="55" t="str">
        <f t="shared" si="27"/>
        <v/>
      </c>
      <c r="I88" s="35"/>
      <c r="J88" s="34" t="e">
        <f>IF(A88&lt;&gt;"",HLOOKUP(VALUE(TEXT(G88,"h:mm:ss")),IF($C$6="Laboral",[1]Input!$A$4:$Y$227,IF($C$6="Sábado",[1]Input!$A$231:$Y$452,[1]Input!$A$456:$Y$656)),VLOOKUP($C$4,[1]Input!$AG$2:$AI$99,3,0)+IF(C$5="Ida",0,1),1),"")</f>
        <v>#N/A</v>
      </c>
      <c r="K88" s="34" t="str">
        <f>IF(A89&lt;&gt;A88,AVERAGEIF(A$9:A88,A88,J$13:J88),"")</f>
        <v/>
      </c>
      <c r="L88" s="35" t="str">
        <f>IFERROR(IF(A89&lt;&gt;A88,AVERAGEIF(A$9:A88,A88,S$13:S88),""),"")</f>
        <v/>
      </c>
      <c r="M88" s="35" t="str">
        <f>IFERROR(IF(A89&lt;&gt;A88,AVERAGEIF(A$9:A88,A88,T$8:T88),""),"")</f>
        <v/>
      </c>
      <c r="N88" s="35" t="str" cm="1">
        <f t="array" ref="N88">IFERROR(IF(A89&lt;&gt;A88,_xlfn.STDEV.P(IF(A$9:A88=A88,T$7:T88)),""),"")</f>
        <v/>
      </c>
      <c r="O88" s="35" t="str" cm="1">
        <f t="array" ref="O88">IFERROR(IF(A89&lt;&gt;A88,_xlfn.STDEV.P(IF(A$9:A88=A88,S$7:S88)),""),"")</f>
        <v/>
      </c>
      <c r="P88" s="36" t="str">
        <f t="shared" si="20"/>
        <v/>
      </c>
      <c r="Q88" s="36" t="str">
        <f t="shared" si="21"/>
        <v/>
      </c>
      <c r="R88" s="36" t="str">
        <f t="shared" si="28"/>
        <v/>
      </c>
      <c r="S88" s="37" t="str">
        <f t="shared" si="29"/>
        <v/>
      </c>
      <c r="T88" s="37" t="str">
        <f t="shared" si="22"/>
        <v/>
      </c>
      <c r="U88" s="54"/>
      <c r="V88" s="46"/>
      <c r="W88" s="39" t="str">
        <f t="shared" si="30"/>
        <v/>
      </c>
      <c r="X88" s="38"/>
      <c r="Y88" s="48"/>
      <c r="AB88" s="56">
        <f t="shared" si="31"/>
        <v>1</v>
      </c>
      <c r="AC88" s="52"/>
      <c r="AD88" s="52"/>
      <c r="AE88" s="29" t="str">
        <f>IFERROR(
IF(AND(OR(AC88="C",AC88="c"), VLOOKUP(AF88,[1]Diccionario!B:N,13,0)="C"), "OK",IF(AND(OR(AC88="C",AC88="c"), OR(VLOOKUP(AF88,[1]Diccionario!B:N,13,0)="B", VLOOKUP(AF88,[1]Diccionario!B:N,13,0)="A")), "DEFICIT",IF(
AND(OR(AC88="B", AC88="BPAL"), VLOOKUP(AF88,[1]Diccionario!B:N,13,0)="B"), "OK",IF(AND(OR(AC88="B", AC88="BPAL"), VLOOKUP(AF88,[1]Diccionario!B:N,13,0)="A"), "DEFICIT",IF(AND(OR(AC88="B", AC88="BPAL"), VLOOKUP(AF88,[1]Diccionario!B:N,13,0)="C"), "SOBREOFERTA",IF(AND(AC88="A", VLOOKUP(AF88,[1]Diccionario!B:N,13,0)="A"), "OK",IF(
AND(AC88="A", OR(VLOOKUP(AF88,[1]Diccionario!B:N,13,0)="B", VLOOKUP(AF88,[1]Diccionario!B:N,13,0)="C")), "SOBREOFERTA",""
))))))),"")</f>
        <v/>
      </c>
      <c r="AF88" s="48"/>
      <c r="AG88" s="53"/>
      <c r="AH88" s="54"/>
      <c r="AI88" s="55" t="str">
        <f t="shared" si="32"/>
        <v/>
      </c>
      <c r="AJ88" s="46"/>
      <c r="AK88" s="34" t="e">
        <f>IF(AB88&lt;&gt;"",HLOOKUP(VALUE(TEXT(AH88,"h:mm:ss")),IF($C$6="Laboral",[1]Input!$A$4:$Y$227,IF($C$6="Sábado",[1]Input!$A$231:$Y$452,[1]Input!$A$456:$Y$656)),VLOOKUP($C$4,[1]Input!$AG$2:$AI$99,3,0)+IF(AD$5="Ida",0,1),1),"")</f>
        <v>#N/A</v>
      </c>
      <c r="AL88" s="34" t="str">
        <f>IF(AB89&lt;&gt;AB88,AVERAGEIF(AB$9:AB88,AB88,AK$9:AK88),"")</f>
        <v/>
      </c>
      <c r="AM88" s="35" t="str">
        <f>IFERROR(IF(AB89&lt;&gt;AB88,AVERAGEIF(AB$9:AB88,AB88,AT$9:AT88),""),"")</f>
        <v/>
      </c>
      <c r="AN88" s="35" t="str">
        <f>IFERROR(IF(AB89&lt;&gt;AB88,AVERAGEIF(AB$9:AB88,AB88,AU$9:AU88),""),"")</f>
        <v/>
      </c>
      <c r="AO88" s="35" t="str" cm="1">
        <f t="array" ref="AO88">IFERROR(IF(AB89&lt;&gt;AB88,_xlfn.STDEV.P(IF(AB$9:AB88=AB88,AU$9:AU88)),""),"")</f>
        <v/>
      </c>
      <c r="AP88" s="35" t="str" cm="1">
        <f t="array" ref="AP88">IFERROR(IF(AB89&lt;&gt;AB88,_xlfn.STDEV.P(IF(AB$9:AB88=AB88,AT$9:AT88)),""),"")</f>
        <v/>
      </c>
      <c r="AQ88" s="36" t="str">
        <f t="shared" si="23"/>
        <v/>
      </c>
      <c r="AR88" s="36" t="str">
        <f t="shared" si="24"/>
        <v/>
      </c>
      <c r="AS88" s="36" t="str">
        <f t="shared" si="33"/>
        <v/>
      </c>
      <c r="AT88" s="37" t="str">
        <f t="shared" si="25"/>
        <v/>
      </c>
      <c r="AU88" s="37" t="str">
        <f t="shared" si="26"/>
        <v/>
      </c>
      <c r="AV88" s="54"/>
      <c r="AW88" s="46"/>
      <c r="AX88" s="39" t="str" cm="1">
        <f t="array" ref="AX88">IF(AH88&lt;&gt;"",IF(AND(AX86:AX87&lt;&gt;"IE",AQ88&lt;&gt;0,AS88&lt;&gt;""),IF(IFERROR((AQ88/AS88),0) &lt;=1,IFERROR(AQ88/AS88,""),1),""),"")</f>
        <v/>
      </c>
      <c r="AY88" s="46"/>
      <c r="AZ88" s="57"/>
    </row>
    <row r="89" spans="1:52" ht="15.5" x14ac:dyDescent="0.35">
      <c r="A89" s="51">
        <f t="shared" si="34"/>
        <v>1</v>
      </c>
      <c r="B89" s="52"/>
      <c r="C89" s="52"/>
      <c r="D89" s="29" t="str">
        <f>IFERROR(
IF(AND(OR(Planilla!B89="C",Planilla!B89="c"), VLOOKUP(E89,[1]Diccionario!B:N,13,0)="C"), "OK",IF(AND(OR(Planilla!B89="C",Planilla!B89="c"), OR(VLOOKUP(E89,[1]Diccionario!B:N,13,0)="B", VLOOKUP(E89,[1]Diccionario!B:N,13,0)="A")), "DEFICIT",IF(
AND(OR(Planilla!B89="B", Planilla!B89="BPAL"), VLOOKUP(E89,[1]Diccionario!B:N,13,0)="B"), "OK",IF(AND(OR(Planilla!B89="B", Planilla!B89="BPAL"), VLOOKUP(E89,[1]Diccionario!B:N,13,0)="A"), "DEFICIT",IF(AND(OR(Planilla!B89="B", Planilla!B89="BPAL"), VLOOKUP(E89,[1]Diccionario!B:N,13,0)="C"), "SOBREOFERTA",IF(AND(Planilla!B89="A", VLOOKUP(E89,[1]Diccionario!B:N,13,0)="A"), "OK",IF(
AND(Planilla!B89="A", OR(VLOOKUP(E89,[1]Diccionario!B:N,13,0)="B", VLOOKUP(E89,[1]Diccionario!B:N,13,0)="C")), "SOBREOFERTA",""
))))))),"")</f>
        <v/>
      </c>
      <c r="E89" s="48"/>
      <c r="F89" s="53"/>
      <c r="G89" s="54"/>
      <c r="H89" s="55" t="str">
        <f t="shared" si="27"/>
        <v/>
      </c>
      <c r="I89" s="35"/>
      <c r="J89" s="34" t="e">
        <f>IF(A89&lt;&gt;"",HLOOKUP(VALUE(TEXT(G89,"h:mm:ss")),IF($C$6="Laboral",[1]Input!$A$4:$Y$227,IF($C$6="Sábado",[1]Input!$A$231:$Y$452,[1]Input!$A$456:$Y$656)),VLOOKUP($C$4,[1]Input!$AG$2:$AI$99,3,0)+IF(C$5="Ida",0,1),1),"")</f>
        <v>#N/A</v>
      </c>
      <c r="K89" s="34" t="str">
        <f>IF(A90&lt;&gt;A89,AVERAGEIF(A$9:A89,A89,J$13:J89),"")</f>
        <v/>
      </c>
      <c r="L89" s="35" t="str">
        <f>IFERROR(IF(A90&lt;&gt;A89,AVERAGEIF(A$9:A89,A89,S$13:S89),""),"")</f>
        <v/>
      </c>
      <c r="M89" s="35" t="str">
        <f>IFERROR(IF(A90&lt;&gt;A89,AVERAGEIF(A$9:A89,A89,T$8:T89),""),"")</f>
        <v/>
      </c>
      <c r="N89" s="35" t="str" cm="1">
        <f t="array" ref="N89">IFERROR(IF(A90&lt;&gt;A89,_xlfn.STDEV.P(IF(A$9:A89=A89,T$7:T89)),""),"")</f>
        <v/>
      </c>
      <c r="O89" s="35" t="str" cm="1">
        <f t="array" ref="O89">IFERROR(IF(A90&lt;&gt;A89,_xlfn.STDEV.P(IF(A$9:A89=A89,S$7:S89)),""),"")</f>
        <v/>
      </c>
      <c r="P89" s="36" t="str">
        <f t="shared" si="20"/>
        <v/>
      </c>
      <c r="Q89" s="36" t="str">
        <f t="shared" si="21"/>
        <v/>
      </c>
      <c r="R89" s="36" t="str">
        <f t="shared" si="28"/>
        <v/>
      </c>
      <c r="S89" s="37" t="str">
        <f t="shared" si="29"/>
        <v/>
      </c>
      <c r="T89" s="37" t="str">
        <f t="shared" si="22"/>
        <v/>
      </c>
      <c r="U89" s="54"/>
      <c r="V89" s="46"/>
      <c r="W89" s="39" t="str">
        <f t="shared" si="30"/>
        <v/>
      </c>
      <c r="X89" s="38"/>
      <c r="Y89" s="48"/>
      <c r="AB89" s="56">
        <f t="shared" si="31"/>
        <v>1</v>
      </c>
      <c r="AC89" s="52"/>
      <c r="AD89" s="52"/>
      <c r="AE89" s="29" t="str">
        <f>IFERROR(
IF(AND(OR(AC89="C",AC89="c"), VLOOKUP(AF89,[1]Diccionario!B:N,13,0)="C"), "OK",IF(AND(OR(AC89="C",AC89="c"), OR(VLOOKUP(AF89,[1]Diccionario!B:N,13,0)="B", VLOOKUP(AF89,[1]Diccionario!B:N,13,0)="A")), "DEFICIT",IF(
AND(OR(AC89="B", AC89="BPAL"), VLOOKUP(AF89,[1]Diccionario!B:N,13,0)="B"), "OK",IF(AND(OR(AC89="B", AC89="BPAL"), VLOOKUP(AF89,[1]Diccionario!B:N,13,0)="A"), "DEFICIT",IF(AND(OR(AC89="B", AC89="BPAL"), VLOOKUP(AF89,[1]Diccionario!B:N,13,0)="C"), "SOBREOFERTA",IF(AND(AC89="A", VLOOKUP(AF89,[1]Diccionario!B:N,13,0)="A"), "OK",IF(
AND(AC89="A", OR(VLOOKUP(AF89,[1]Diccionario!B:N,13,0)="B", VLOOKUP(AF89,[1]Diccionario!B:N,13,0)="C")), "SOBREOFERTA",""
))))))),"")</f>
        <v/>
      </c>
      <c r="AF89" s="48"/>
      <c r="AG89" s="53"/>
      <c r="AH89" s="54"/>
      <c r="AI89" s="55" t="str">
        <f t="shared" si="32"/>
        <v/>
      </c>
      <c r="AJ89" s="46"/>
      <c r="AK89" s="34" t="e">
        <f>IF(AB89&lt;&gt;"",HLOOKUP(VALUE(TEXT(AH89,"h:mm:ss")),IF($C$6="Laboral",[1]Input!$A$4:$Y$227,IF($C$6="Sábado",[1]Input!$A$231:$Y$452,[1]Input!$A$456:$Y$656)),VLOOKUP($C$4,[1]Input!$AG$2:$AI$99,3,0)+IF(AD$5="Ida",0,1),1),"")</f>
        <v>#N/A</v>
      </c>
      <c r="AL89" s="34" t="str">
        <f>IF(AB90&lt;&gt;AB89,AVERAGEIF(AB$9:AB89,AB89,AK$9:AK89),"")</f>
        <v/>
      </c>
      <c r="AM89" s="35" t="str">
        <f>IFERROR(IF(AB90&lt;&gt;AB89,AVERAGEIF(AB$9:AB89,AB89,AT$9:AT89),""),"")</f>
        <v/>
      </c>
      <c r="AN89" s="35" t="str">
        <f>IFERROR(IF(AB90&lt;&gt;AB89,AVERAGEIF(AB$9:AB89,AB89,AU$9:AU89),""),"")</f>
        <v/>
      </c>
      <c r="AO89" s="35" t="str" cm="1">
        <f t="array" ref="AO89">IFERROR(IF(AB90&lt;&gt;AB89,_xlfn.STDEV.P(IF(AB$9:AB89=AB89,AU$9:AU89)),""),"")</f>
        <v/>
      </c>
      <c r="AP89" s="35" t="str" cm="1">
        <f t="array" ref="AP89">IFERROR(IF(AB90&lt;&gt;AB89,_xlfn.STDEV.P(IF(AB$9:AB89=AB89,AT$9:AT89)),""),"")</f>
        <v/>
      </c>
      <c r="AQ89" s="36" t="str">
        <f t="shared" si="23"/>
        <v/>
      </c>
      <c r="AR89" s="36" t="str">
        <f t="shared" si="24"/>
        <v/>
      </c>
      <c r="AS89" s="36" t="str">
        <f t="shared" si="33"/>
        <v/>
      </c>
      <c r="AT89" s="37" t="str">
        <f t="shared" si="25"/>
        <v/>
      </c>
      <c r="AU89" s="37" t="str">
        <f t="shared" si="26"/>
        <v/>
      </c>
      <c r="AV89" s="54"/>
      <c r="AW89" s="46"/>
      <c r="AX89" s="39" t="str" cm="1">
        <f t="array" ref="AX89">IF(AH89&lt;&gt;"",IF(AND(AX87:AX88&lt;&gt;"IE",AQ89&lt;&gt;0,AS89&lt;&gt;""),IF(IFERROR((AQ89/AS89),0) &lt;=1,IFERROR(AQ89/AS89,""),1),""),"")</f>
        <v/>
      </c>
      <c r="AY89" s="46"/>
      <c r="AZ89" s="57"/>
    </row>
    <row r="90" spans="1:52" ht="15.5" x14ac:dyDescent="0.35">
      <c r="A90" s="51">
        <f t="shared" si="34"/>
        <v>1</v>
      </c>
      <c r="B90" s="52"/>
      <c r="C90" s="52"/>
      <c r="D90" s="29" t="str">
        <f>IFERROR(
IF(AND(OR(Planilla!B90="C",Planilla!B90="c"), VLOOKUP(E90,[1]Diccionario!B:N,13,0)="C"), "OK",IF(AND(OR(Planilla!B90="C",Planilla!B90="c"), OR(VLOOKUP(E90,[1]Diccionario!B:N,13,0)="B", VLOOKUP(E90,[1]Diccionario!B:N,13,0)="A")), "DEFICIT",IF(
AND(OR(Planilla!B90="B", Planilla!B90="BPAL"), VLOOKUP(E90,[1]Diccionario!B:N,13,0)="B"), "OK",IF(AND(OR(Planilla!B90="B", Planilla!B90="BPAL"), VLOOKUP(E90,[1]Diccionario!B:N,13,0)="A"), "DEFICIT",IF(AND(OR(Planilla!B90="B", Planilla!B90="BPAL"), VLOOKUP(E90,[1]Diccionario!B:N,13,0)="C"), "SOBREOFERTA",IF(AND(Planilla!B90="A", VLOOKUP(E90,[1]Diccionario!B:N,13,0)="A"), "OK",IF(
AND(Planilla!B90="A", OR(VLOOKUP(E90,[1]Diccionario!B:N,13,0)="B", VLOOKUP(E90,[1]Diccionario!B:N,13,0)="C")), "SOBREOFERTA",""
))))))),"")</f>
        <v/>
      </c>
      <c r="E90" s="48"/>
      <c r="F90" s="53"/>
      <c r="G90" s="54"/>
      <c r="H90" s="55" t="str">
        <f t="shared" si="27"/>
        <v/>
      </c>
      <c r="I90" s="35"/>
      <c r="J90" s="34" t="e">
        <f>IF(A90&lt;&gt;"",HLOOKUP(VALUE(TEXT(G90,"h:mm:ss")),IF($C$6="Laboral",[1]Input!$A$4:$Y$227,IF($C$6="Sábado",[1]Input!$A$231:$Y$452,[1]Input!$A$456:$Y$656)),VLOOKUP($C$4,[1]Input!$AG$2:$AI$99,3,0)+IF(C$5="Ida",0,1),1),"")</f>
        <v>#N/A</v>
      </c>
      <c r="K90" s="34" t="str">
        <f>IF(A91&lt;&gt;A90,AVERAGEIF(A$9:A90,A90,J$13:J90),"")</f>
        <v/>
      </c>
      <c r="L90" s="35" t="str">
        <f>IFERROR(IF(A91&lt;&gt;A90,AVERAGEIF(A$9:A90,A90,S$13:S90),""),"")</f>
        <v/>
      </c>
      <c r="M90" s="35" t="str">
        <f>IFERROR(IF(A91&lt;&gt;A90,AVERAGEIF(A$9:A90,A90,T$8:T90),""),"")</f>
        <v/>
      </c>
      <c r="N90" s="35" t="str" cm="1">
        <f t="array" ref="N90">IFERROR(IF(A91&lt;&gt;A90,_xlfn.STDEV.P(IF(A$9:A90=A90,T$7:T90)),""),"")</f>
        <v/>
      </c>
      <c r="O90" s="35" t="str" cm="1">
        <f t="array" ref="O90">IFERROR(IF(A91&lt;&gt;A90,_xlfn.STDEV.P(IF(A$9:A90=A90,S$7:S90)),""),"")</f>
        <v/>
      </c>
      <c r="P90" s="36" t="str">
        <f t="shared" si="20"/>
        <v/>
      </c>
      <c r="Q90" s="36" t="str">
        <f t="shared" si="21"/>
        <v/>
      </c>
      <c r="R90" s="36" t="str">
        <f t="shared" si="28"/>
        <v/>
      </c>
      <c r="S90" s="37" t="str">
        <f t="shared" si="29"/>
        <v/>
      </c>
      <c r="T90" s="37" t="str">
        <f t="shared" si="22"/>
        <v/>
      </c>
      <c r="U90" s="54"/>
      <c r="V90" s="46"/>
      <c r="W90" s="39" t="str">
        <f t="shared" si="30"/>
        <v/>
      </c>
      <c r="X90" s="38"/>
      <c r="Y90" s="48"/>
      <c r="AB90" s="56">
        <f t="shared" si="31"/>
        <v>1</v>
      </c>
      <c r="AC90" s="52"/>
      <c r="AD90" s="52"/>
      <c r="AE90" s="29" t="str">
        <f>IFERROR(
IF(AND(OR(AC90="C",AC90="c"), VLOOKUP(AF90,[1]Diccionario!B:N,13,0)="C"), "OK",IF(AND(OR(AC90="C",AC90="c"), OR(VLOOKUP(AF90,[1]Diccionario!B:N,13,0)="B", VLOOKUP(AF90,[1]Diccionario!B:N,13,0)="A")), "DEFICIT",IF(
AND(OR(AC90="B", AC90="BPAL"), VLOOKUP(AF90,[1]Diccionario!B:N,13,0)="B"), "OK",IF(AND(OR(AC90="B", AC90="BPAL"), VLOOKUP(AF90,[1]Diccionario!B:N,13,0)="A"), "DEFICIT",IF(AND(OR(AC90="B", AC90="BPAL"), VLOOKUP(AF90,[1]Diccionario!B:N,13,0)="C"), "SOBREOFERTA",IF(AND(AC90="A", VLOOKUP(AF90,[1]Diccionario!B:N,13,0)="A"), "OK",IF(
AND(AC90="A", OR(VLOOKUP(AF90,[1]Diccionario!B:N,13,0)="B", VLOOKUP(AF90,[1]Diccionario!B:N,13,0)="C")), "SOBREOFERTA",""
))))))),"")</f>
        <v/>
      </c>
      <c r="AF90" s="48"/>
      <c r="AG90" s="53"/>
      <c r="AH90" s="54"/>
      <c r="AI90" s="55" t="str">
        <f t="shared" si="32"/>
        <v/>
      </c>
      <c r="AJ90" s="46"/>
      <c r="AK90" s="34" t="e">
        <f>IF(AB90&lt;&gt;"",HLOOKUP(VALUE(TEXT(AH90,"h:mm:ss")),IF($C$6="Laboral",[1]Input!$A$4:$Y$227,IF($C$6="Sábado",[1]Input!$A$231:$Y$452,[1]Input!$A$456:$Y$656)),VLOOKUP($C$4,[1]Input!$AG$2:$AI$99,3,0)+IF(AD$5="Ida",0,1),1),"")</f>
        <v>#N/A</v>
      </c>
      <c r="AL90" s="34" t="str">
        <f>IF(AB91&lt;&gt;AB90,AVERAGEIF(AB$9:AB90,AB90,AK$9:AK90),"")</f>
        <v/>
      </c>
      <c r="AM90" s="35" t="str">
        <f>IFERROR(IF(AB91&lt;&gt;AB90,AVERAGEIF(AB$9:AB90,AB90,AT$9:AT90),""),"")</f>
        <v/>
      </c>
      <c r="AN90" s="35" t="str">
        <f>IFERROR(IF(AB91&lt;&gt;AB90,AVERAGEIF(AB$9:AB90,AB90,AU$9:AU90),""),"")</f>
        <v/>
      </c>
      <c r="AO90" s="35" t="str" cm="1">
        <f t="array" ref="AO90">IFERROR(IF(AB91&lt;&gt;AB90,_xlfn.STDEV.P(IF(AB$9:AB90=AB90,AU$9:AU90)),""),"")</f>
        <v/>
      </c>
      <c r="AP90" s="35" t="str" cm="1">
        <f t="array" ref="AP90">IFERROR(IF(AB91&lt;&gt;AB90,_xlfn.STDEV.P(IF(AB$9:AB90=AB90,AT$9:AT90)),""),"")</f>
        <v/>
      </c>
      <c r="AQ90" s="36" t="str">
        <f t="shared" si="23"/>
        <v/>
      </c>
      <c r="AR90" s="36" t="str">
        <f t="shared" si="24"/>
        <v/>
      </c>
      <c r="AS90" s="36" t="str">
        <f t="shared" si="33"/>
        <v/>
      </c>
      <c r="AT90" s="37" t="str">
        <f t="shared" si="25"/>
        <v/>
      </c>
      <c r="AU90" s="37" t="str">
        <f t="shared" si="26"/>
        <v/>
      </c>
      <c r="AV90" s="54"/>
      <c r="AW90" s="46"/>
      <c r="AX90" s="39" t="str" cm="1">
        <f t="array" ref="AX90">IF(AH90&lt;&gt;"",IF(AND(AX88:AX89&lt;&gt;"IE",AQ90&lt;&gt;0,AS90&lt;&gt;""),IF(IFERROR((AQ90/AS90),0) &lt;=1,IFERROR(AQ90/AS90,""),1),""),"")</f>
        <v/>
      </c>
      <c r="AY90" s="46"/>
      <c r="AZ90" s="57"/>
    </row>
    <row r="91" spans="1:52" ht="15.5" x14ac:dyDescent="0.35">
      <c r="A91" s="51">
        <f t="shared" si="34"/>
        <v>1</v>
      </c>
      <c r="B91" s="52"/>
      <c r="C91" s="52"/>
      <c r="D91" s="29" t="str">
        <f>IFERROR(
IF(AND(OR(Planilla!B91="C",Planilla!B91="c"), VLOOKUP(E91,[1]Diccionario!B:N,13,0)="C"), "OK",IF(AND(OR(Planilla!B91="C",Planilla!B91="c"), OR(VLOOKUP(E91,[1]Diccionario!B:N,13,0)="B", VLOOKUP(E91,[1]Diccionario!B:N,13,0)="A")), "DEFICIT",IF(
AND(OR(Planilla!B91="B", Planilla!B91="BPAL"), VLOOKUP(E91,[1]Diccionario!B:N,13,0)="B"), "OK",IF(AND(OR(Planilla!B91="B", Planilla!B91="BPAL"), VLOOKUP(E91,[1]Diccionario!B:N,13,0)="A"), "DEFICIT",IF(AND(OR(Planilla!B91="B", Planilla!B91="BPAL"), VLOOKUP(E91,[1]Diccionario!B:N,13,0)="C"), "SOBREOFERTA",IF(AND(Planilla!B91="A", VLOOKUP(E91,[1]Diccionario!B:N,13,0)="A"), "OK",IF(
AND(Planilla!B91="A", OR(VLOOKUP(E91,[1]Diccionario!B:N,13,0)="B", VLOOKUP(E91,[1]Diccionario!B:N,13,0)="C")), "SOBREOFERTA",""
))))))),"")</f>
        <v/>
      </c>
      <c r="E91" s="48"/>
      <c r="F91" s="53"/>
      <c r="G91" s="54"/>
      <c r="H91" s="55" t="str">
        <f t="shared" si="27"/>
        <v/>
      </c>
      <c r="I91" s="35"/>
      <c r="J91" s="34" t="e">
        <f>IF(A91&lt;&gt;"",HLOOKUP(VALUE(TEXT(G91,"h:mm:ss")),IF($C$6="Laboral",[1]Input!$A$4:$Y$227,IF($C$6="Sábado",[1]Input!$A$231:$Y$452,[1]Input!$A$456:$Y$656)),VLOOKUP($C$4,[1]Input!$AG$2:$AI$99,3,0)+IF(C$5="Ida",0,1),1),"")</f>
        <v>#N/A</v>
      </c>
      <c r="K91" s="34" t="str">
        <f>IF(A92&lt;&gt;A91,AVERAGEIF(A$9:A91,A91,J$13:J91),"")</f>
        <v/>
      </c>
      <c r="L91" s="35" t="str">
        <f>IFERROR(IF(A92&lt;&gt;A91,AVERAGEIF(A$9:A91,A91,S$13:S91),""),"")</f>
        <v/>
      </c>
      <c r="M91" s="35" t="str">
        <f>IFERROR(IF(A92&lt;&gt;A91,AVERAGEIF(A$9:A91,A91,T$8:T91),""),"")</f>
        <v/>
      </c>
      <c r="N91" s="35" t="str" cm="1">
        <f t="array" ref="N91">IFERROR(IF(A92&lt;&gt;A91,_xlfn.STDEV.P(IF(A$9:A91=A91,T$7:T91)),""),"")</f>
        <v/>
      </c>
      <c r="O91" s="35" t="str" cm="1">
        <f t="array" ref="O91">IFERROR(IF(A92&lt;&gt;A91,_xlfn.STDEV.P(IF(A$9:A91=A91,S$7:S91)),""),"")</f>
        <v/>
      </c>
      <c r="P91" s="36" t="str">
        <f t="shared" si="20"/>
        <v/>
      </c>
      <c r="Q91" s="36" t="str">
        <f t="shared" si="21"/>
        <v/>
      </c>
      <c r="R91" s="36" t="str">
        <f t="shared" si="28"/>
        <v/>
      </c>
      <c r="S91" s="37" t="str">
        <f t="shared" si="29"/>
        <v/>
      </c>
      <c r="T91" s="37" t="str">
        <f t="shared" si="22"/>
        <v/>
      </c>
      <c r="U91" s="54"/>
      <c r="V91" s="46"/>
      <c r="W91" s="39" t="str">
        <f t="shared" si="30"/>
        <v/>
      </c>
      <c r="X91" s="38"/>
      <c r="Y91" s="48"/>
      <c r="AB91" s="56">
        <f t="shared" si="31"/>
        <v>1</v>
      </c>
      <c r="AC91" s="52"/>
      <c r="AD91" s="52"/>
      <c r="AE91" s="29" t="str">
        <f>IFERROR(
IF(AND(OR(AC91="C",AC91="c"), VLOOKUP(AF91,[1]Diccionario!B:N,13,0)="C"), "OK",IF(AND(OR(AC91="C",AC91="c"), OR(VLOOKUP(AF91,[1]Diccionario!B:N,13,0)="B", VLOOKUP(AF91,[1]Diccionario!B:N,13,0)="A")), "DEFICIT",IF(
AND(OR(AC91="B", AC91="BPAL"), VLOOKUP(AF91,[1]Diccionario!B:N,13,0)="B"), "OK",IF(AND(OR(AC91="B", AC91="BPAL"), VLOOKUP(AF91,[1]Diccionario!B:N,13,0)="A"), "DEFICIT",IF(AND(OR(AC91="B", AC91="BPAL"), VLOOKUP(AF91,[1]Diccionario!B:N,13,0)="C"), "SOBREOFERTA",IF(AND(AC91="A", VLOOKUP(AF91,[1]Diccionario!B:N,13,0)="A"), "OK",IF(
AND(AC91="A", OR(VLOOKUP(AF91,[1]Diccionario!B:N,13,0)="B", VLOOKUP(AF91,[1]Diccionario!B:N,13,0)="C")), "SOBREOFERTA",""
))))))),"")</f>
        <v/>
      </c>
      <c r="AF91" s="48"/>
      <c r="AG91" s="53"/>
      <c r="AH91" s="54"/>
      <c r="AI91" s="55" t="str">
        <f t="shared" si="32"/>
        <v/>
      </c>
      <c r="AJ91" s="46"/>
      <c r="AK91" s="34" t="e">
        <f>IF(AB91&lt;&gt;"",HLOOKUP(VALUE(TEXT(AH91,"h:mm:ss")),IF($C$6="Laboral",[1]Input!$A$4:$Y$227,IF($C$6="Sábado",[1]Input!$A$231:$Y$452,[1]Input!$A$456:$Y$656)),VLOOKUP($C$4,[1]Input!$AG$2:$AI$99,3,0)+IF(AD$5="Ida",0,1),1),"")</f>
        <v>#N/A</v>
      </c>
      <c r="AL91" s="34" t="str">
        <f>IF(AB92&lt;&gt;AB91,AVERAGEIF(AB$9:AB91,AB91,AK$9:AK91),"")</f>
        <v/>
      </c>
      <c r="AM91" s="35" t="str">
        <f>IFERROR(IF(AB92&lt;&gt;AB91,AVERAGEIF(AB$9:AB91,AB91,AT$9:AT91),""),"")</f>
        <v/>
      </c>
      <c r="AN91" s="35" t="str">
        <f>IFERROR(IF(AB92&lt;&gt;AB91,AVERAGEIF(AB$9:AB91,AB91,AU$9:AU91),""),"")</f>
        <v/>
      </c>
      <c r="AO91" s="35" t="str" cm="1">
        <f t="array" ref="AO91">IFERROR(IF(AB92&lt;&gt;AB91,_xlfn.STDEV.P(IF(AB$9:AB91=AB91,AU$9:AU91)),""),"")</f>
        <v/>
      </c>
      <c r="AP91" s="35" t="str" cm="1">
        <f t="array" ref="AP91">IFERROR(IF(AB92&lt;&gt;AB91,_xlfn.STDEV.P(IF(AB$9:AB91=AB91,AT$9:AT91)),""),"")</f>
        <v/>
      </c>
      <c r="AQ91" s="36" t="str">
        <f t="shared" si="23"/>
        <v/>
      </c>
      <c r="AR91" s="36" t="str">
        <f t="shared" si="24"/>
        <v/>
      </c>
      <c r="AS91" s="36" t="str">
        <f t="shared" si="33"/>
        <v/>
      </c>
      <c r="AT91" s="37" t="str">
        <f t="shared" si="25"/>
        <v/>
      </c>
      <c r="AU91" s="37" t="str">
        <f t="shared" si="26"/>
        <v/>
      </c>
      <c r="AV91" s="54"/>
      <c r="AW91" s="46"/>
      <c r="AX91" s="39" t="str" cm="1">
        <f t="array" ref="AX91">IF(AH91&lt;&gt;"",IF(AND(AX89:AX90&lt;&gt;"IE",AQ91&lt;&gt;0,AS91&lt;&gt;""),IF(IFERROR((AQ91/AS91),0) &lt;=1,IFERROR(AQ91/AS91,""),1),""),"")</f>
        <v/>
      </c>
      <c r="AY91" s="46"/>
      <c r="AZ91" s="57"/>
    </row>
    <row r="92" spans="1:52" ht="15.5" x14ac:dyDescent="0.35">
      <c r="A92" s="51">
        <f t="shared" si="34"/>
        <v>1</v>
      </c>
      <c r="B92" s="52"/>
      <c r="C92" s="52"/>
      <c r="D92" s="29" t="str">
        <f>IFERROR(
IF(AND(OR(Planilla!B92="C",Planilla!B92="c"), VLOOKUP(E92,[1]Diccionario!B:N,13,0)="C"), "OK",IF(AND(OR(Planilla!B92="C",Planilla!B92="c"), OR(VLOOKUP(E92,[1]Diccionario!B:N,13,0)="B", VLOOKUP(E92,[1]Diccionario!B:N,13,0)="A")), "DEFICIT",IF(
AND(OR(Planilla!B92="B", Planilla!B92="BPAL"), VLOOKUP(E92,[1]Diccionario!B:N,13,0)="B"), "OK",IF(AND(OR(Planilla!B92="B", Planilla!B92="BPAL"), VLOOKUP(E92,[1]Diccionario!B:N,13,0)="A"), "DEFICIT",IF(AND(OR(Planilla!B92="B", Planilla!B92="BPAL"), VLOOKUP(E92,[1]Diccionario!B:N,13,0)="C"), "SOBREOFERTA",IF(AND(Planilla!B92="A", VLOOKUP(E92,[1]Diccionario!B:N,13,0)="A"), "OK",IF(
AND(Planilla!B92="A", OR(VLOOKUP(E92,[1]Diccionario!B:N,13,0)="B", VLOOKUP(E92,[1]Diccionario!B:N,13,0)="C")), "SOBREOFERTA",""
))))))),"")</f>
        <v/>
      </c>
      <c r="E92" s="48"/>
      <c r="F92" s="53"/>
      <c r="G92" s="54"/>
      <c r="H92" s="55" t="str">
        <f t="shared" si="27"/>
        <v/>
      </c>
      <c r="I92" s="35"/>
      <c r="J92" s="34" t="e">
        <f>IF(A92&lt;&gt;"",HLOOKUP(VALUE(TEXT(G92,"h:mm:ss")),IF($C$6="Laboral",[1]Input!$A$4:$Y$227,IF($C$6="Sábado",[1]Input!$A$231:$Y$452,[1]Input!$A$456:$Y$656)),VLOOKUP($C$4,[1]Input!$AG$2:$AI$99,3,0)+IF(C$5="Ida",0,1),1),"")</f>
        <v>#N/A</v>
      </c>
      <c r="K92" s="34" t="str">
        <f>IF(A93&lt;&gt;A92,AVERAGEIF(A$9:A92,A92,J$13:J92),"")</f>
        <v/>
      </c>
      <c r="L92" s="35" t="str">
        <f>IFERROR(IF(A93&lt;&gt;A92,AVERAGEIF(A$9:A92,A92,S$13:S92),""),"")</f>
        <v/>
      </c>
      <c r="M92" s="35" t="str">
        <f>IFERROR(IF(A93&lt;&gt;A92,AVERAGEIF(A$9:A92,A92,T$8:T92),""),"")</f>
        <v/>
      </c>
      <c r="N92" s="35" t="str" cm="1">
        <f t="array" ref="N92">IFERROR(IF(A93&lt;&gt;A92,_xlfn.STDEV.P(IF(A$9:A92=A92,T$7:T92)),""),"")</f>
        <v/>
      </c>
      <c r="O92" s="35" t="str" cm="1">
        <f t="array" ref="O92">IFERROR(IF(A93&lt;&gt;A92,_xlfn.STDEV.P(IF(A$9:A92=A92,S$7:S92)),""),"")</f>
        <v/>
      </c>
      <c r="P92" s="36" t="str">
        <f t="shared" si="20"/>
        <v/>
      </c>
      <c r="Q92" s="36" t="str">
        <f t="shared" si="21"/>
        <v/>
      </c>
      <c r="R92" s="36" t="str">
        <f t="shared" si="28"/>
        <v/>
      </c>
      <c r="S92" s="37" t="str">
        <f t="shared" si="29"/>
        <v/>
      </c>
      <c r="T92" s="37" t="str">
        <f t="shared" si="22"/>
        <v/>
      </c>
      <c r="U92" s="54"/>
      <c r="V92" s="46"/>
      <c r="W92" s="39" t="str">
        <f t="shared" si="30"/>
        <v/>
      </c>
      <c r="X92" s="38"/>
      <c r="Y92" s="48"/>
      <c r="AB92" s="56">
        <f t="shared" si="31"/>
        <v>1</v>
      </c>
      <c r="AC92" s="52"/>
      <c r="AD92" s="52"/>
      <c r="AE92" s="29" t="str">
        <f>IFERROR(
IF(AND(OR(AC92="C",AC92="c"), VLOOKUP(AF92,[1]Diccionario!B:N,13,0)="C"), "OK",IF(AND(OR(AC92="C",AC92="c"), OR(VLOOKUP(AF92,[1]Diccionario!B:N,13,0)="B", VLOOKUP(AF92,[1]Diccionario!B:N,13,0)="A")), "DEFICIT",IF(
AND(OR(AC92="B", AC92="BPAL"), VLOOKUP(AF92,[1]Diccionario!B:N,13,0)="B"), "OK",IF(AND(OR(AC92="B", AC92="BPAL"), VLOOKUP(AF92,[1]Diccionario!B:N,13,0)="A"), "DEFICIT",IF(AND(OR(AC92="B", AC92="BPAL"), VLOOKUP(AF92,[1]Diccionario!B:N,13,0)="C"), "SOBREOFERTA",IF(AND(AC92="A", VLOOKUP(AF92,[1]Diccionario!B:N,13,0)="A"), "OK",IF(
AND(AC92="A", OR(VLOOKUP(AF92,[1]Diccionario!B:N,13,0)="B", VLOOKUP(AF92,[1]Diccionario!B:N,13,0)="C")), "SOBREOFERTA",""
))))))),"")</f>
        <v/>
      </c>
      <c r="AF92" s="48"/>
      <c r="AG92" s="53"/>
      <c r="AH92" s="54"/>
      <c r="AI92" s="55" t="str">
        <f t="shared" si="32"/>
        <v/>
      </c>
      <c r="AJ92" s="46"/>
      <c r="AK92" s="34" t="e">
        <f>IF(AB92&lt;&gt;"",HLOOKUP(VALUE(TEXT(AH92,"h:mm:ss")),IF($C$6="Laboral",[1]Input!$A$4:$Y$227,IF($C$6="Sábado",[1]Input!$A$231:$Y$452,[1]Input!$A$456:$Y$656)),VLOOKUP($C$4,[1]Input!$AG$2:$AI$99,3,0)+IF(AD$5="Ida",0,1),1),"")</f>
        <v>#N/A</v>
      </c>
      <c r="AL92" s="34" t="str">
        <f>IF(AB93&lt;&gt;AB92,AVERAGEIF(AB$9:AB92,AB92,AK$9:AK92),"")</f>
        <v/>
      </c>
      <c r="AM92" s="35" t="str">
        <f>IFERROR(IF(AB93&lt;&gt;AB92,AVERAGEIF(AB$9:AB92,AB92,AT$9:AT92),""),"")</f>
        <v/>
      </c>
      <c r="AN92" s="35" t="str">
        <f>IFERROR(IF(AB93&lt;&gt;AB92,AVERAGEIF(AB$9:AB92,AB92,AU$9:AU92),""),"")</f>
        <v/>
      </c>
      <c r="AO92" s="35" t="str" cm="1">
        <f t="array" ref="AO92">IFERROR(IF(AB93&lt;&gt;AB92,_xlfn.STDEV.P(IF(AB$9:AB92=AB92,AU$9:AU92)),""),"")</f>
        <v/>
      </c>
      <c r="AP92" s="35" t="str" cm="1">
        <f t="array" ref="AP92">IFERROR(IF(AB93&lt;&gt;AB92,_xlfn.STDEV.P(IF(AB$9:AB92=AB92,AT$9:AT92)),""),"")</f>
        <v/>
      </c>
      <c r="AQ92" s="36" t="str">
        <f t="shared" si="23"/>
        <v/>
      </c>
      <c r="AR92" s="36" t="str">
        <f t="shared" si="24"/>
        <v/>
      </c>
      <c r="AS92" s="36" t="str">
        <f t="shared" si="33"/>
        <v/>
      </c>
      <c r="AT92" s="37" t="str">
        <f t="shared" si="25"/>
        <v/>
      </c>
      <c r="AU92" s="37" t="str">
        <f t="shared" si="26"/>
        <v/>
      </c>
      <c r="AV92" s="54"/>
      <c r="AW92" s="46"/>
      <c r="AX92" s="39" t="str" cm="1">
        <f t="array" ref="AX92">IF(AH92&lt;&gt;"",IF(AND(AX90:AX91&lt;&gt;"IE",AQ92&lt;&gt;0,AS92&lt;&gt;""),IF(IFERROR((AQ92/AS92),0) &lt;=1,IFERROR(AQ92/AS92,""),1),""),"")</f>
        <v/>
      </c>
      <c r="AY92" s="46"/>
      <c r="AZ92" s="57"/>
    </row>
    <row r="93" spans="1:52" ht="15.5" x14ac:dyDescent="0.35">
      <c r="A93" s="51">
        <f t="shared" si="34"/>
        <v>1</v>
      </c>
      <c r="B93" s="52"/>
      <c r="C93" s="52"/>
      <c r="D93" s="29" t="str">
        <f>IFERROR(
IF(AND(OR(Planilla!B93="C",Planilla!B93="c"), VLOOKUP(E93,[1]Diccionario!B:N,13,0)="C"), "OK",IF(AND(OR(Planilla!B93="C",Planilla!B93="c"), OR(VLOOKUP(E93,[1]Diccionario!B:N,13,0)="B", VLOOKUP(E93,[1]Diccionario!B:N,13,0)="A")), "DEFICIT",IF(
AND(OR(Planilla!B93="B", Planilla!B93="BPAL"), VLOOKUP(E93,[1]Diccionario!B:N,13,0)="B"), "OK",IF(AND(OR(Planilla!B93="B", Planilla!B93="BPAL"), VLOOKUP(E93,[1]Diccionario!B:N,13,0)="A"), "DEFICIT",IF(AND(OR(Planilla!B93="B", Planilla!B93="BPAL"), VLOOKUP(E93,[1]Diccionario!B:N,13,0)="C"), "SOBREOFERTA",IF(AND(Planilla!B93="A", VLOOKUP(E93,[1]Diccionario!B:N,13,0)="A"), "OK",IF(
AND(Planilla!B93="A", OR(VLOOKUP(E93,[1]Diccionario!B:N,13,0)="B", VLOOKUP(E93,[1]Diccionario!B:N,13,0)="C")), "SOBREOFERTA",""
))))))),"")</f>
        <v/>
      </c>
      <c r="E93" s="48"/>
      <c r="F93" s="53"/>
      <c r="G93" s="54"/>
      <c r="H93" s="55" t="str">
        <f t="shared" si="27"/>
        <v/>
      </c>
      <c r="I93" s="35"/>
      <c r="J93" s="34" t="e">
        <f>IF(A93&lt;&gt;"",HLOOKUP(VALUE(TEXT(G93,"h:mm:ss")),IF($C$6="Laboral",[1]Input!$A$4:$Y$227,IF($C$6="Sábado",[1]Input!$A$231:$Y$452,[1]Input!$A$456:$Y$656)),VLOOKUP($C$4,[1]Input!$AG$2:$AI$99,3,0)+IF(C$5="Ida",0,1),1),"")</f>
        <v>#N/A</v>
      </c>
      <c r="K93" s="34" t="str">
        <f>IF(A94&lt;&gt;A93,AVERAGEIF(A$9:A93,A93,J$13:J93),"")</f>
        <v/>
      </c>
      <c r="L93" s="35" t="str">
        <f>IFERROR(IF(A94&lt;&gt;A93,AVERAGEIF(A$9:A93,A93,S$13:S93),""),"")</f>
        <v/>
      </c>
      <c r="M93" s="35" t="str">
        <f>IFERROR(IF(A94&lt;&gt;A93,AVERAGEIF(A$9:A93,A93,T$8:T93),""),"")</f>
        <v/>
      </c>
      <c r="N93" s="35" t="str" cm="1">
        <f t="array" ref="N93">IFERROR(IF(A94&lt;&gt;A93,_xlfn.STDEV.P(IF(A$9:A93=A93,T$7:T93)),""),"")</f>
        <v/>
      </c>
      <c r="O93" s="35" t="str" cm="1">
        <f t="array" ref="O93">IFERROR(IF(A94&lt;&gt;A93,_xlfn.STDEV.P(IF(A$9:A93=A93,S$7:S93)),""),"")</f>
        <v/>
      </c>
      <c r="P93" s="36" t="str">
        <f t="shared" si="20"/>
        <v/>
      </c>
      <c r="Q93" s="36" t="str">
        <f t="shared" si="21"/>
        <v/>
      </c>
      <c r="R93" s="36" t="str">
        <f t="shared" si="28"/>
        <v/>
      </c>
      <c r="S93" s="37" t="str">
        <f t="shared" si="29"/>
        <v/>
      </c>
      <c r="T93" s="37" t="str">
        <f t="shared" si="22"/>
        <v/>
      </c>
      <c r="U93" s="54"/>
      <c r="V93" s="46"/>
      <c r="W93" s="39" t="str">
        <f t="shared" si="30"/>
        <v/>
      </c>
      <c r="X93" s="38"/>
      <c r="Y93" s="48"/>
      <c r="AB93" s="56">
        <f t="shared" si="31"/>
        <v>1</v>
      </c>
      <c r="AC93" s="52"/>
      <c r="AD93" s="52"/>
      <c r="AE93" s="29" t="str">
        <f>IFERROR(
IF(AND(OR(AC93="C",AC93="c"), VLOOKUP(AF93,[1]Diccionario!B:N,13,0)="C"), "OK",IF(AND(OR(AC93="C",AC93="c"), OR(VLOOKUP(AF93,[1]Diccionario!B:N,13,0)="B", VLOOKUP(AF93,[1]Diccionario!B:N,13,0)="A")), "DEFICIT",IF(
AND(OR(AC93="B", AC93="BPAL"), VLOOKUP(AF93,[1]Diccionario!B:N,13,0)="B"), "OK",IF(AND(OR(AC93="B", AC93="BPAL"), VLOOKUP(AF93,[1]Diccionario!B:N,13,0)="A"), "DEFICIT",IF(AND(OR(AC93="B", AC93="BPAL"), VLOOKUP(AF93,[1]Diccionario!B:N,13,0)="C"), "SOBREOFERTA",IF(AND(AC93="A", VLOOKUP(AF93,[1]Diccionario!B:N,13,0)="A"), "OK",IF(
AND(AC93="A", OR(VLOOKUP(AF93,[1]Diccionario!B:N,13,0)="B", VLOOKUP(AF93,[1]Diccionario!B:N,13,0)="C")), "SOBREOFERTA",""
))))))),"")</f>
        <v/>
      </c>
      <c r="AF93" s="48"/>
      <c r="AG93" s="53"/>
      <c r="AH93" s="54"/>
      <c r="AI93" s="55" t="str">
        <f t="shared" si="32"/>
        <v/>
      </c>
      <c r="AJ93" s="46"/>
      <c r="AK93" s="34" t="e">
        <f>IF(AB93&lt;&gt;"",HLOOKUP(VALUE(TEXT(AH93,"h:mm:ss")),IF($C$6="Laboral",[1]Input!$A$4:$Y$227,IF($C$6="Sábado",[1]Input!$A$231:$Y$452,[1]Input!$A$456:$Y$656)),VLOOKUP($C$4,[1]Input!$AG$2:$AI$99,3,0)+IF(AD$5="Ida",0,1),1),"")</f>
        <v>#N/A</v>
      </c>
      <c r="AL93" s="34" t="str">
        <f>IF(AB94&lt;&gt;AB93,AVERAGEIF(AB$9:AB93,AB93,AK$9:AK93),"")</f>
        <v/>
      </c>
      <c r="AM93" s="35" t="str">
        <f>IFERROR(IF(AB94&lt;&gt;AB93,AVERAGEIF(AB$9:AB93,AB93,AT$9:AT93),""),"")</f>
        <v/>
      </c>
      <c r="AN93" s="35" t="str">
        <f>IFERROR(IF(AB94&lt;&gt;AB93,AVERAGEIF(AB$9:AB93,AB93,AU$9:AU93),""),"")</f>
        <v/>
      </c>
      <c r="AO93" s="35" t="str" cm="1">
        <f t="array" ref="AO93">IFERROR(IF(AB94&lt;&gt;AB93,_xlfn.STDEV.P(IF(AB$9:AB93=AB93,AU$9:AU93)),""),"")</f>
        <v/>
      </c>
      <c r="AP93" s="35" t="str" cm="1">
        <f t="array" ref="AP93">IFERROR(IF(AB94&lt;&gt;AB93,_xlfn.STDEV.P(IF(AB$9:AB93=AB93,AT$9:AT93)),""),"")</f>
        <v/>
      </c>
      <c r="AQ93" s="36" t="str">
        <f t="shared" si="23"/>
        <v/>
      </c>
      <c r="AR93" s="36" t="str">
        <f t="shared" si="24"/>
        <v/>
      </c>
      <c r="AS93" s="36" t="str">
        <f t="shared" si="33"/>
        <v/>
      </c>
      <c r="AT93" s="37" t="str">
        <f t="shared" si="25"/>
        <v/>
      </c>
      <c r="AU93" s="37" t="str">
        <f t="shared" si="26"/>
        <v/>
      </c>
      <c r="AV93" s="54"/>
      <c r="AW93" s="46"/>
      <c r="AX93" s="39" t="str" cm="1">
        <f t="array" ref="AX93">IF(AH93&lt;&gt;"",IF(AND(AX91:AX92&lt;&gt;"IE",AQ93&lt;&gt;0,AS93&lt;&gt;""),IF(IFERROR((AQ93/AS93),0) &lt;=1,IFERROR(AQ93/AS93,""),1),""),"")</f>
        <v/>
      </c>
      <c r="AY93" s="46"/>
      <c r="AZ93" s="57"/>
    </row>
    <row r="94" spans="1:52" ht="15.5" x14ac:dyDescent="0.35">
      <c r="A94" s="51">
        <f t="shared" si="34"/>
        <v>1</v>
      </c>
      <c r="B94" s="52"/>
      <c r="C94" s="52"/>
      <c r="D94" s="29" t="str">
        <f>IFERROR(
IF(AND(OR(Planilla!B94="C",Planilla!B94="c"), VLOOKUP(E94,[1]Diccionario!B:N,13,0)="C"), "OK",IF(AND(OR(Planilla!B94="C",Planilla!B94="c"), OR(VLOOKUP(E94,[1]Diccionario!B:N,13,0)="B", VLOOKUP(E94,[1]Diccionario!B:N,13,0)="A")), "DEFICIT",IF(
AND(OR(Planilla!B94="B", Planilla!B94="BPAL"), VLOOKUP(E94,[1]Diccionario!B:N,13,0)="B"), "OK",IF(AND(OR(Planilla!B94="B", Planilla!B94="BPAL"), VLOOKUP(E94,[1]Diccionario!B:N,13,0)="A"), "DEFICIT",IF(AND(OR(Planilla!B94="B", Planilla!B94="BPAL"), VLOOKUP(E94,[1]Diccionario!B:N,13,0)="C"), "SOBREOFERTA",IF(AND(Planilla!B94="A", VLOOKUP(E94,[1]Diccionario!B:N,13,0)="A"), "OK",IF(
AND(Planilla!B94="A", OR(VLOOKUP(E94,[1]Diccionario!B:N,13,0)="B", VLOOKUP(E94,[1]Diccionario!B:N,13,0)="C")), "SOBREOFERTA",""
))))))),"")</f>
        <v/>
      </c>
      <c r="E94" s="48"/>
      <c r="F94" s="53"/>
      <c r="G94" s="54"/>
      <c r="H94" s="55" t="str">
        <f t="shared" si="27"/>
        <v/>
      </c>
      <c r="I94" s="35"/>
      <c r="J94" s="34" t="e">
        <f>IF(A94&lt;&gt;"",HLOOKUP(VALUE(TEXT(G94,"h:mm:ss")),IF($C$6="Laboral",[1]Input!$A$4:$Y$227,IF($C$6="Sábado",[1]Input!$A$231:$Y$452,[1]Input!$A$456:$Y$656)),VLOOKUP($C$4,[1]Input!$AG$2:$AI$99,3,0)+IF(C$5="Ida",0,1),1),"")</f>
        <v>#N/A</v>
      </c>
      <c r="K94" s="34" t="str">
        <f>IF(A95&lt;&gt;A94,AVERAGEIF(A$9:A94,A94,J$13:J94),"")</f>
        <v/>
      </c>
      <c r="L94" s="35" t="str">
        <f>IFERROR(IF(A95&lt;&gt;A94,AVERAGEIF(A$9:A94,A94,S$13:S94),""),"")</f>
        <v/>
      </c>
      <c r="M94" s="35" t="str">
        <f>IFERROR(IF(A95&lt;&gt;A94,AVERAGEIF(A$9:A94,A94,T$8:T94),""),"")</f>
        <v/>
      </c>
      <c r="N94" s="35" t="str" cm="1">
        <f t="array" ref="N94">IFERROR(IF(A95&lt;&gt;A94,_xlfn.STDEV.P(IF(A$9:A94=A94,T$7:T94)),""),"")</f>
        <v/>
      </c>
      <c r="O94" s="35" t="str" cm="1">
        <f t="array" ref="O94">IFERROR(IF(A95&lt;&gt;A94,_xlfn.STDEV.P(IF(A$9:A94=A94,S$7:S94)),""),"")</f>
        <v/>
      </c>
      <c r="P94" s="36" t="str">
        <f t="shared" si="20"/>
        <v/>
      </c>
      <c r="Q94" s="36" t="str">
        <f t="shared" si="21"/>
        <v/>
      </c>
      <c r="R94" s="36" t="str">
        <f t="shared" si="28"/>
        <v/>
      </c>
      <c r="S94" s="37" t="str">
        <f t="shared" si="29"/>
        <v/>
      </c>
      <c r="T94" s="37" t="str">
        <f t="shared" si="22"/>
        <v/>
      </c>
      <c r="U94" s="54"/>
      <c r="V94" s="46"/>
      <c r="W94" s="39" t="str">
        <f t="shared" si="30"/>
        <v/>
      </c>
      <c r="X94" s="38"/>
      <c r="Y94" s="48"/>
      <c r="AB94" s="56">
        <f t="shared" si="31"/>
        <v>1</v>
      </c>
      <c r="AC94" s="52"/>
      <c r="AD94" s="52"/>
      <c r="AE94" s="29" t="str">
        <f>IFERROR(
IF(AND(OR(AC94="C",AC94="c"), VLOOKUP(AF94,[1]Diccionario!B:N,13,0)="C"), "OK",IF(AND(OR(AC94="C",AC94="c"), OR(VLOOKUP(AF94,[1]Diccionario!B:N,13,0)="B", VLOOKUP(AF94,[1]Diccionario!B:N,13,0)="A")), "DEFICIT",IF(
AND(OR(AC94="B", AC94="BPAL"), VLOOKUP(AF94,[1]Diccionario!B:N,13,0)="B"), "OK",IF(AND(OR(AC94="B", AC94="BPAL"), VLOOKUP(AF94,[1]Diccionario!B:N,13,0)="A"), "DEFICIT",IF(AND(OR(AC94="B", AC94="BPAL"), VLOOKUP(AF94,[1]Diccionario!B:N,13,0)="C"), "SOBREOFERTA",IF(AND(AC94="A", VLOOKUP(AF94,[1]Diccionario!B:N,13,0)="A"), "OK",IF(
AND(AC94="A", OR(VLOOKUP(AF94,[1]Diccionario!B:N,13,0)="B", VLOOKUP(AF94,[1]Diccionario!B:N,13,0)="C")), "SOBREOFERTA",""
))))))),"")</f>
        <v/>
      </c>
      <c r="AF94" s="48"/>
      <c r="AG94" s="53"/>
      <c r="AH94" s="54"/>
      <c r="AI94" s="55" t="str">
        <f t="shared" si="32"/>
        <v/>
      </c>
      <c r="AJ94" s="46"/>
      <c r="AK94" s="34" t="e">
        <f>IF(AB94&lt;&gt;"",HLOOKUP(VALUE(TEXT(AH94,"h:mm:ss")),IF($C$6="Laboral",[1]Input!$A$4:$Y$227,IF($C$6="Sábado",[1]Input!$A$231:$Y$452,[1]Input!$A$456:$Y$656)),VLOOKUP($C$4,[1]Input!$AG$2:$AI$99,3,0)+IF(AD$5="Ida",0,1),1),"")</f>
        <v>#N/A</v>
      </c>
      <c r="AL94" s="34" t="str">
        <f>IF(AB95&lt;&gt;AB94,AVERAGEIF(AB$9:AB94,AB94,AK$9:AK94),"")</f>
        <v/>
      </c>
      <c r="AM94" s="35" t="str">
        <f>IFERROR(IF(AB95&lt;&gt;AB94,AVERAGEIF(AB$9:AB94,AB94,AT$9:AT94),""),"")</f>
        <v/>
      </c>
      <c r="AN94" s="35" t="str">
        <f>IFERROR(IF(AB95&lt;&gt;AB94,AVERAGEIF(AB$9:AB94,AB94,AU$9:AU94),""),"")</f>
        <v/>
      </c>
      <c r="AO94" s="35" t="str" cm="1">
        <f t="array" ref="AO94">IFERROR(IF(AB95&lt;&gt;AB94,_xlfn.STDEV.P(IF(AB$9:AB94=AB94,AU$9:AU94)),""),"")</f>
        <v/>
      </c>
      <c r="AP94" s="35" t="str" cm="1">
        <f t="array" ref="AP94">IFERROR(IF(AB95&lt;&gt;AB94,_xlfn.STDEV.P(IF(AB$9:AB94=AB94,AT$9:AT94)),""),"")</f>
        <v/>
      </c>
      <c r="AQ94" s="36" t="str">
        <f t="shared" si="23"/>
        <v/>
      </c>
      <c r="AR94" s="36" t="str">
        <f t="shared" si="24"/>
        <v/>
      </c>
      <c r="AS94" s="36" t="str">
        <f t="shared" si="33"/>
        <v/>
      </c>
      <c r="AT94" s="37" t="str">
        <f t="shared" si="25"/>
        <v/>
      </c>
      <c r="AU94" s="37" t="str">
        <f t="shared" si="26"/>
        <v/>
      </c>
      <c r="AV94" s="54"/>
      <c r="AW94" s="46"/>
      <c r="AX94" s="39" t="str" cm="1">
        <f t="array" ref="AX94">IF(AH94&lt;&gt;"",IF(AND(AX92:AX93&lt;&gt;"IE",AQ94&lt;&gt;0,AS94&lt;&gt;""),IF(IFERROR((AQ94/AS94),0) &lt;=1,IFERROR(AQ94/AS94,""),1),""),"")</f>
        <v/>
      </c>
      <c r="AY94" s="46"/>
      <c r="AZ94" s="57"/>
    </row>
    <row r="95" spans="1:52" ht="15.5" x14ac:dyDescent="0.35">
      <c r="A95" s="51">
        <f t="shared" si="34"/>
        <v>1</v>
      </c>
      <c r="B95" s="52"/>
      <c r="C95" s="52"/>
      <c r="D95" s="29" t="str">
        <f>IFERROR(
IF(AND(OR(Planilla!B95="C",Planilla!B95="c"), VLOOKUP(E95,[1]Diccionario!B:N,13,0)="C"), "OK",IF(AND(OR(Planilla!B95="C",Planilla!B95="c"), OR(VLOOKUP(E95,[1]Diccionario!B:N,13,0)="B", VLOOKUP(E95,[1]Diccionario!B:N,13,0)="A")), "DEFICIT",IF(
AND(OR(Planilla!B95="B", Planilla!B95="BPAL"), VLOOKUP(E95,[1]Diccionario!B:N,13,0)="B"), "OK",IF(AND(OR(Planilla!B95="B", Planilla!B95="BPAL"), VLOOKUP(E95,[1]Diccionario!B:N,13,0)="A"), "DEFICIT",IF(AND(OR(Planilla!B95="B", Planilla!B95="BPAL"), VLOOKUP(E95,[1]Diccionario!B:N,13,0)="C"), "SOBREOFERTA",IF(AND(Planilla!B95="A", VLOOKUP(E95,[1]Diccionario!B:N,13,0)="A"), "OK",IF(
AND(Planilla!B95="A", OR(VLOOKUP(E95,[1]Diccionario!B:N,13,0)="B", VLOOKUP(E95,[1]Diccionario!B:N,13,0)="C")), "SOBREOFERTA",""
))))))),"")</f>
        <v/>
      </c>
      <c r="E95" s="48"/>
      <c r="F95" s="53"/>
      <c r="G95" s="54"/>
      <c r="H95" s="55" t="str">
        <f t="shared" si="27"/>
        <v/>
      </c>
      <c r="I95" s="35"/>
      <c r="J95" s="34" t="e">
        <f>IF(A95&lt;&gt;"",HLOOKUP(VALUE(TEXT(G95,"h:mm:ss")),IF($C$6="Laboral",[1]Input!$A$4:$Y$227,IF($C$6="Sábado",[1]Input!$A$231:$Y$452,[1]Input!$A$456:$Y$656)),VLOOKUP($C$4,[1]Input!$AG$2:$AI$99,3,0)+IF(C$5="Ida",0,1),1),"")</f>
        <v>#N/A</v>
      </c>
      <c r="K95" s="34" t="str">
        <f>IF(A96&lt;&gt;A95,AVERAGEIF(A$9:A95,A95,J$13:J95),"")</f>
        <v/>
      </c>
      <c r="L95" s="35" t="str">
        <f>IFERROR(IF(A96&lt;&gt;A95,AVERAGEIF(A$9:A95,A95,S$13:S95),""),"")</f>
        <v/>
      </c>
      <c r="M95" s="35" t="str">
        <f>IFERROR(IF(A96&lt;&gt;A95,AVERAGEIF(A$9:A95,A95,T$8:T95),""),"")</f>
        <v/>
      </c>
      <c r="N95" s="35" t="str" cm="1">
        <f t="array" ref="N95">IFERROR(IF(A96&lt;&gt;A95,_xlfn.STDEV.P(IF(A$9:A95=A95,T$7:T95)),""),"")</f>
        <v/>
      </c>
      <c r="O95" s="35" t="str" cm="1">
        <f t="array" ref="O95">IFERROR(IF(A96&lt;&gt;A95,_xlfn.STDEV.P(IF(A$9:A95=A95,S$7:S95)),""),"")</f>
        <v/>
      </c>
      <c r="P95" s="36" t="str">
        <f t="shared" si="20"/>
        <v/>
      </c>
      <c r="Q95" s="36" t="str">
        <f t="shared" si="21"/>
        <v/>
      </c>
      <c r="R95" s="36" t="str">
        <f t="shared" si="28"/>
        <v/>
      </c>
      <c r="S95" s="37" t="str">
        <f t="shared" si="29"/>
        <v/>
      </c>
      <c r="T95" s="37" t="str">
        <f t="shared" si="22"/>
        <v/>
      </c>
      <c r="U95" s="54"/>
      <c r="V95" s="46"/>
      <c r="W95" s="39" t="str">
        <f t="shared" si="30"/>
        <v/>
      </c>
      <c r="X95" s="38"/>
      <c r="Y95" s="48"/>
      <c r="AB95" s="56">
        <f t="shared" si="31"/>
        <v>1</v>
      </c>
      <c r="AC95" s="52"/>
      <c r="AD95" s="52"/>
      <c r="AE95" s="29" t="str">
        <f>IFERROR(
IF(AND(OR(AC95="C",AC95="c"), VLOOKUP(AF95,[1]Diccionario!B:N,13,0)="C"), "OK",IF(AND(OR(AC95="C",AC95="c"), OR(VLOOKUP(AF95,[1]Diccionario!B:N,13,0)="B", VLOOKUP(AF95,[1]Diccionario!B:N,13,0)="A")), "DEFICIT",IF(
AND(OR(AC95="B", AC95="BPAL"), VLOOKUP(AF95,[1]Diccionario!B:N,13,0)="B"), "OK",IF(AND(OR(AC95="B", AC95="BPAL"), VLOOKUP(AF95,[1]Diccionario!B:N,13,0)="A"), "DEFICIT",IF(AND(OR(AC95="B", AC95="BPAL"), VLOOKUP(AF95,[1]Diccionario!B:N,13,0)="C"), "SOBREOFERTA",IF(AND(AC95="A", VLOOKUP(AF95,[1]Diccionario!B:N,13,0)="A"), "OK",IF(
AND(AC95="A", OR(VLOOKUP(AF95,[1]Diccionario!B:N,13,0)="B", VLOOKUP(AF95,[1]Diccionario!B:N,13,0)="C")), "SOBREOFERTA",""
))))))),"")</f>
        <v/>
      </c>
      <c r="AF95" s="48"/>
      <c r="AG95" s="53"/>
      <c r="AH95" s="54"/>
      <c r="AI95" s="55" t="str">
        <f t="shared" si="32"/>
        <v/>
      </c>
      <c r="AJ95" s="46"/>
      <c r="AK95" s="34" t="e">
        <f>IF(AB95&lt;&gt;"",HLOOKUP(VALUE(TEXT(AH95,"h:mm:ss")),IF($C$6="Laboral",[1]Input!$A$4:$Y$227,IF($C$6="Sábado",[1]Input!$A$231:$Y$452,[1]Input!$A$456:$Y$656)),VLOOKUP($C$4,[1]Input!$AG$2:$AI$99,3,0)+IF(AD$5="Ida",0,1),1),"")</f>
        <v>#N/A</v>
      </c>
      <c r="AL95" s="34" t="str">
        <f>IF(AB96&lt;&gt;AB95,AVERAGEIF(AB$9:AB95,AB95,AK$9:AK95),"")</f>
        <v/>
      </c>
      <c r="AM95" s="35" t="str">
        <f>IFERROR(IF(AB96&lt;&gt;AB95,AVERAGEIF(AB$9:AB95,AB95,AT$9:AT95),""),"")</f>
        <v/>
      </c>
      <c r="AN95" s="35" t="str">
        <f>IFERROR(IF(AB96&lt;&gt;AB95,AVERAGEIF(AB$9:AB95,AB95,AU$9:AU95),""),"")</f>
        <v/>
      </c>
      <c r="AO95" s="35" t="str" cm="1">
        <f t="array" ref="AO95">IFERROR(IF(AB96&lt;&gt;AB95,_xlfn.STDEV.P(IF(AB$9:AB95=AB95,AU$9:AU95)),""),"")</f>
        <v/>
      </c>
      <c r="AP95" s="35" t="str" cm="1">
        <f t="array" ref="AP95">IFERROR(IF(AB96&lt;&gt;AB95,_xlfn.STDEV.P(IF(AB$9:AB95=AB95,AT$9:AT95)),""),"")</f>
        <v/>
      </c>
      <c r="AQ95" s="36" t="str">
        <f t="shared" si="23"/>
        <v/>
      </c>
      <c r="AR95" s="36" t="str">
        <f t="shared" si="24"/>
        <v/>
      </c>
      <c r="AS95" s="36" t="str">
        <f t="shared" si="33"/>
        <v/>
      </c>
      <c r="AT95" s="37" t="str">
        <f t="shared" si="25"/>
        <v/>
      </c>
      <c r="AU95" s="37" t="str">
        <f t="shared" si="26"/>
        <v/>
      </c>
      <c r="AV95" s="54"/>
      <c r="AW95" s="46"/>
      <c r="AX95" s="39" t="str" cm="1">
        <f t="array" ref="AX95">IF(AH95&lt;&gt;"",IF(AND(AX93:AX94&lt;&gt;"IE",AQ95&lt;&gt;0,AS95&lt;&gt;""),IF(IFERROR((AQ95/AS95),0) &lt;=1,IFERROR(AQ95/AS95,""),1),""),"")</f>
        <v/>
      </c>
      <c r="AY95" s="46"/>
      <c r="AZ95" s="57"/>
    </row>
    <row r="96" spans="1:52" ht="15.5" x14ac:dyDescent="0.35">
      <c r="A96" s="51">
        <f t="shared" si="34"/>
        <v>1</v>
      </c>
      <c r="B96" s="52"/>
      <c r="C96" s="52"/>
      <c r="D96" s="29" t="str">
        <f>IFERROR(
IF(AND(OR(Planilla!B96="C",Planilla!B96="c"), VLOOKUP(E96,[1]Diccionario!B:N,13,0)="C"), "OK",IF(AND(OR(Planilla!B96="C",Planilla!B96="c"), OR(VLOOKUP(E96,[1]Diccionario!B:N,13,0)="B", VLOOKUP(E96,[1]Diccionario!B:N,13,0)="A")), "DEFICIT",IF(
AND(OR(Planilla!B96="B", Planilla!B96="BPAL"), VLOOKUP(E96,[1]Diccionario!B:N,13,0)="B"), "OK",IF(AND(OR(Planilla!B96="B", Planilla!B96="BPAL"), VLOOKUP(E96,[1]Diccionario!B:N,13,0)="A"), "DEFICIT",IF(AND(OR(Planilla!B96="B", Planilla!B96="BPAL"), VLOOKUP(E96,[1]Diccionario!B:N,13,0)="C"), "SOBREOFERTA",IF(AND(Planilla!B96="A", VLOOKUP(E96,[1]Diccionario!B:N,13,0)="A"), "OK",IF(
AND(Planilla!B96="A", OR(VLOOKUP(E96,[1]Diccionario!B:N,13,0)="B", VLOOKUP(E96,[1]Diccionario!B:N,13,0)="C")), "SOBREOFERTA",""
))))))),"")</f>
        <v/>
      </c>
      <c r="E96" s="48"/>
      <c r="F96" s="53"/>
      <c r="G96" s="54"/>
      <c r="H96" s="55" t="str">
        <f t="shared" si="27"/>
        <v/>
      </c>
      <c r="I96" s="35"/>
      <c r="J96" s="34" t="e">
        <f>IF(A96&lt;&gt;"",HLOOKUP(VALUE(TEXT(G96,"h:mm:ss")),IF($C$6="Laboral",[1]Input!$A$4:$Y$227,IF($C$6="Sábado",[1]Input!$A$231:$Y$452,[1]Input!$A$456:$Y$656)),VLOOKUP($C$4,[1]Input!$AG$2:$AI$99,3,0)+IF(C$5="Ida",0,1),1),"")</f>
        <v>#N/A</v>
      </c>
      <c r="K96" s="34" t="str">
        <f>IF(A97&lt;&gt;A96,AVERAGEIF(A$9:A96,A96,J$13:J96),"")</f>
        <v/>
      </c>
      <c r="L96" s="35" t="str">
        <f>IFERROR(IF(A97&lt;&gt;A96,AVERAGEIF(A$9:A96,A96,S$13:S96),""),"")</f>
        <v/>
      </c>
      <c r="M96" s="35" t="str">
        <f>IFERROR(IF(A97&lt;&gt;A96,AVERAGEIF(A$9:A96,A96,T$8:T96),""),"")</f>
        <v/>
      </c>
      <c r="N96" s="35" t="str" cm="1">
        <f t="array" ref="N96">IFERROR(IF(A97&lt;&gt;A96,_xlfn.STDEV.P(IF(A$9:A96=A96,T$7:T96)),""),"")</f>
        <v/>
      </c>
      <c r="O96" s="35" t="str" cm="1">
        <f t="array" ref="O96">IFERROR(IF(A97&lt;&gt;A96,_xlfn.STDEV.P(IF(A$9:A96=A96,S$7:S96)),""),"")</f>
        <v/>
      </c>
      <c r="P96" s="36" t="str">
        <f t="shared" si="20"/>
        <v/>
      </c>
      <c r="Q96" s="36" t="str">
        <f t="shared" si="21"/>
        <v/>
      </c>
      <c r="R96" s="36" t="str">
        <f t="shared" si="28"/>
        <v/>
      </c>
      <c r="S96" s="37" t="str">
        <f t="shared" si="29"/>
        <v/>
      </c>
      <c r="T96" s="37" t="str">
        <f t="shared" si="22"/>
        <v/>
      </c>
      <c r="U96" s="54"/>
      <c r="V96" s="46"/>
      <c r="W96" s="39" t="str">
        <f t="shared" si="30"/>
        <v/>
      </c>
      <c r="X96" s="38"/>
      <c r="Y96" s="48"/>
      <c r="AB96" s="56">
        <f t="shared" si="31"/>
        <v>1</v>
      </c>
      <c r="AC96" s="52"/>
      <c r="AD96" s="52"/>
      <c r="AE96" s="29" t="str">
        <f>IFERROR(
IF(AND(OR(AC96="C",AC96="c"), VLOOKUP(AF96,[1]Diccionario!B:N,13,0)="C"), "OK",IF(AND(OR(AC96="C",AC96="c"), OR(VLOOKUP(AF96,[1]Diccionario!B:N,13,0)="B", VLOOKUP(AF96,[1]Diccionario!B:N,13,0)="A")), "DEFICIT",IF(
AND(OR(AC96="B", AC96="BPAL"), VLOOKUP(AF96,[1]Diccionario!B:N,13,0)="B"), "OK",IF(AND(OR(AC96="B", AC96="BPAL"), VLOOKUP(AF96,[1]Diccionario!B:N,13,0)="A"), "DEFICIT",IF(AND(OR(AC96="B", AC96="BPAL"), VLOOKUP(AF96,[1]Diccionario!B:N,13,0)="C"), "SOBREOFERTA",IF(AND(AC96="A", VLOOKUP(AF96,[1]Diccionario!B:N,13,0)="A"), "OK",IF(
AND(AC96="A", OR(VLOOKUP(AF96,[1]Diccionario!B:N,13,0)="B", VLOOKUP(AF96,[1]Diccionario!B:N,13,0)="C")), "SOBREOFERTA",""
))))))),"")</f>
        <v/>
      </c>
      <c r="AF96" s="48"/>
      <c r="AG96" s="53"/>
      <c r="AH96" s="54"/>
      <c r="AI96" s="55" t="str">
        <f t="shared" si="32"/>
        <v/>
      </c>
      <c r="AJ96" s="46"/>
      <c r="AK96" s="34" t="e">
        <f>IF(AB96&lt;&gt;"",HLOOKUP(VALUE(TEXT(AH96,"h:mm:ss")),IF($C$6="Laboral",[1]Input!$A$4:$Y$227,IF($C$6="Sábado",[1]Input!$A$231:$Y$452,[1]Input!$A$456:$Y$656)),VLOOKUP($C$4,[1]Input!$AG$2:$AI$99,3,0)+IF(AD$5="Ida",0,1),1),"")</f>
        <v>#N/A</v>
      </c>
      <c r="AL96" s="34" t="str">
        <f>IF(AB97&lt;&gt;AB96,AVERAGEIF(AB$9:AB96,AB96,AK$9:AK96),"")</f>
        <v/>
      </c>
      <c r="AM96" s="35" t="str">
        <f>IFERROR(IF(AB97&lt;&gt;AB96,AVERAGEIF(AB$9:AB96,AB96,AT$9:AT96),""),"")</f>
        <v/>
      </c>
      <c r="AN96" s="35" t="str">
        <f>IFERROR(IF(AB97&lt;&gt;AB96,AVERAGEIF(AB$9:AB96,AB96,AU$9:AU96),""),"")</f>
        <v/>
      </c>
      <c r="AO96" s="35" t="str" cm="1">
        <f t="array" ref="AO96">IFERROR(IF(AB97&lt;&gt;AB96,_xlfn.STDEV.P(IF(AB$9:AB96=AB96,AU$9:AU96)),""),"")</f>
        <v/>
      </c>
      <c r="AP96" s="35" t="str" cm="1">
        <f t="array" ref="AP96">IFERROR(IF(AB97&lt;&gt;AB96,_xlfn.STDEV.P(IF(AB$9:AB96=AB96,AT$9:AT96)),""),"")</f>
        <v/>
      </c>
      <c r="AQ96" s="36" t="str">
        <f t="shared" si="23"/>
        <v/>
      </c>
      <c r="AR96" s="36" t="str">
        <f t="shared" si="24"/>
        <v/>
      </c>
      <c r="AS96" s="36" t="str">
        <f t="shared" si="33"/>
        <v/>
      </c>
      <c r="AT96" s="37" t="str">
        <f t="shared" si="25"/>
        <v/>
      </c>
      <c r="AU96" s="37" t="str">
        <f t="shared" si="26"/>
        <v/>
      </c>
      <c r="AV96" s="54"/>
      <c r="AW96" s="46"/>
      <c r="AX96" s="39" t="str" cm="1">
        <f t="array" ref="AX96">IF(AH96&lt;&gt;"",IF(AND(AX94:AX95&lt;&gt;"IE",AQ96&lt;&gt;0,AS96&lt;&gt;""),IF(IFERROR((AQ96/AS96),0) &lt;=1,IFERROR(AQ96/AS96,""),1),""),"")</f>
        <v/>
      </c>
      <c r="AY96" s="46"/>
      <c r="AZ96" s="57"/>
    </row>
    <row r="97" spans="1:52" ht="15.5" x14ac:dyDescent="0.35">
      <c r="A97" s="51">
        <f t="shared" si="34"/>
        <v>1</v>
      </c>
      <c r="B97" s="52"/>
      <c r="C97" s="52"/>
      <c r="D97" s="29" t="str">
        <f>IFERROR(
IF(AND(OR(Planilla!B97="C",Planilla!B97="c"), VLOOKUP(E97,[1]Diccionario!B:N,13,0)="C"), "OK",IF(AND(OR(Planilla!B97="C",Planilla!B97="c"), OR(VLOOKUP(E97,[1]Diccionario!B:N,13,0)="B", VLOOKUP(E97,[1]Diccionario!B:N,13,0)="A")), "DEFICIT",IF(
AND(OR(Planilla!B97="B", Planilla!B97="BPAL"), VLOOKUP(E97,[1]Diccionario!B:N,13,0)="B"), "OK",IF(AND(OR(Planilla!B97="B", Planilla!B97="BPAL"), VLOOKUP(E97,[1]Diccionario!B:N,13,0)="A"), "DEFICIT",IF(AND(OR(Planilla!B97="B", Planilla!B97="BPAL"), VLOOKUP(E97,[1]Diccionario!B:N,13,0)="C"), "SOBREOFERTA",IF(AND(Planilla!B97="A", VLOOKUP(E97,[1]Diccionario!B:N,13,0)="A"), "OK",IF(
AND(Planilla!B97="A", OR(VLOOKUP(E97,[1]Diccionario!B:N,13,0)="B", VLOOKUP(E97,[1]Diccionario!B:N,13,0)="C")), "SOBREOFERTA",""
))))))),"")</f>
        <v/>
      </c>
      <c r="E97" s="48"/>
      <c r="F97" s="53"/>
      <c r="G97" s="54"/>
      <c r="H97" s="55" t="str">
        <f t="shared" si="27"/>
        <v/>
      </c>
      <c r="I97" s="35"/>
      <c r="J97" s="34" t="e">
        <f>IF(A97&lt;&gt;"",HLOOKUP(VALUE(TEXT(G97,"h:mm:ss")),IF($C$6="Laboral",[1]Input!$A$4:$Y$227,IF($C$6="Sábado",[1]Input!$A$231:$Y$452,[1]Input!$A$456:$Y$656)),VLOOKUP($C$4,[1]Input!$AG$2:$AI$99,3,0)+IF(C$5="Ida",0,1),1),"")</f>
        <v>#N/A</v>
      </c>
      <c r="K97" s="34" t="str">
        <f>IF(A98&lt;&gt;A97,AVERAGEIF(A$9:A97,A97,J$13:J97),"")</f>
        <v/>
      </c>
      <c r="L97" s="35" t="str">
        <f>IFERROR(IF(A98&lt;&gt;A97,AVERAGEIF(A$9:A97,A97,S$13:S97),""),"")</f>
        <v/>
      </c>
      <c r="M97" s="35" t="str">
        <f>IFERROR(IF(A98&lt;&gt;A97,AVERAGEIF(A$9:A97,A97,T$8:T97),""),"")</f>
        <v/>
      </c>
      <c r="N97" s="35" t="str" cm="1">
        <f t="array" ref="N97">IFERROR(IF(A98&lt;&gt;A97,_xlfn.STDEV.P(IF(A$9:A97=A97,T$7:T97)),""),"")</f>
        <v/>
      </c>
      <c r="O97" s="35" t="str" cm="1">
        <f t="array" ref="O97">IFERROR(IF(A98&lt;&gt;A97,_xlfn.STDEV.P(IF(A$9:A97=A97,S$7:S97)),""),"")</f>
        <v/>
      </c>
      <c r="P97" s="36" t="str">
        <f t="shared" si="20"/>
        <v/>
      </c>
      <c r="Q97" s="36" t="str">
        <f t="shared" si="21"/>
        <v/>
      </c>
      <c r="R97" s="36" t="str">
        <f t="shared" si="28"/>
        <v/>
      </c>
      <c r="S97" s="37" t="str">
        <f t="shared" si="29"/>
        <v/>
      </c>
      <c r="T97" s="37" t="str">
        <f t="shared" si="22"/>
        <v/>
      </c>
      <c r="U97" s="54"/>
      <c r="V97" s="46"/>
      <c r="W97" s="39" t="str">
        <f t="shared" si="30"/>
        <v/>
      </c>
      <c r="X97" s="38"/>
      <c r="Y97" s="48"/>
      <c r="AB97" s="56">
        <f t="shared" si="31"/>
        <v>1</v>
      </c>
      <c r="AC97" s="52"/>
      <c r="AD97" s="52"/>
      <c r="AE97" s="29" t="str">
        <f>IFERROR(
IF(AND(OR(AC97="C",AC97="c"), VLOOKUP(AF97,[1]Diccionario!B:N,13,0)="C"), "OK",IF(AND(OR(AC97="C",AC97="c"), OR(VLOOKUP(AF97,[1]Diccionario!B:N,13,0)="B", VLOOKUP(AF97,[1]Diccionario!B:N,13,0)="A")), "DEFICIT",IF(
AND(OR(AC97="B", AC97="BPAL"), VLOOKUP(AF97,[1]Diccionario!B:N,13,0)="B"), "OK",IF(AND(OR(AC97="B", AC97="BPAL"), VLOOKUP(AF97,[1]Diccionario!B:N,13,0)="A"), "DEFICIT",IF(AND(OR(AC97="B", AC97="BPAL"), VLOOKUP(AF97,[1]Diccionario!B:N,13,0)="C"), "SOBREOFERTA",IF(AND(AC97="A", VLOOKUP(AF97,[1]Diccionario!B:N,13,0)="A"), "OK",IF(
AND(AC97="A", OR(VLOOKUP(AF97,[1]Diccionario!B:N,13,0)="B", VLOOKUP(AF97,[1]Diccionario!B:N,13,0)="C")), "SOBREOFERTA",""
))))))),"")</f>
        <v/>
      </c>
      <c r="AF97" s="48"/>
      <c r="AG97" s="53"/>
      <c r="AH97" s="54"/>
      <c r="AI97" s="55" t="str">
        <f t="shared" si="32"/>
        <v/>
      </c>
      <c r="AJ97" s="46"/>
      <c r="AK97" s="34" t="e">
        <f>IF(AB97&lt;&gt;"",HLOOKUP(VALUE(TEXT(AH97,"h:mm:ss")),IF($C$6="Laboral",[1]Input!$A$4:$Y$227,IF($C$6="Sábado",[1]Input!$A$231:$Y$452,[1]Input!$A$456:$Y$656)),VLOOKUP($C$4,[1]Input!$AG$2:$AI$99,3,0)+IF(AD$5="Ida",0,1),1),"")</f>
        <v>#N/A</v>
      </c>
      <c r="AL97" s="34" t="str">
        <f>IF(AB98&lt;&gt;AB97,AVERAGEIF(AB$9:AB97,AB97,AK$9:AK97),"")</f>
        <v/>
      </c>
      <c r="AM97" s="35" t="str">
        <f>IFERROR(IF(AB98&lt;&gt;AB97,AVERAGEIF(AB$9:AB97,AB97,AT$9:AT97),""),"")</f>
        <v/>
      </c>
      <c r="AN97" s="35" t="str">
        <f>IFERROR(IF(AB98&lt;&gt;AB97,AVERAGEIF(AB$9:AB97,AB97,AU$9:AU97),""),"")</f>
        <v/>
      </c>
      <c r="AO97" s="35" t="str" cm="1">
        <f t="array" ref="AO97">IFERROR(IF(AB98&lt;&gt;AB97,_xlfn.STDEV.P(IF(AB$9:AB97=AB97,AU$9:AU97)),""),"")</f>
        <v/>
      </c>
      <c r="AP97" s="35" t="str" cm="1">
        <f t="array" ref="AP97">IFERROR(IF(AB98&lt;&gt;AB97,_xlfn.STDEV.P(IF(AB$9:AB97=AB97,AT$9:AT97)),""),"")</f>
        <v/>
      </c>
      <c r="AQ97" s="36" t="str">
        <f t="shared" si="23"/>
        <v/>
      </c>
      <c r="AR97" s="36" t="str">
        <f t="shared" si="24"/>
        <v/>
      </c>
      <c r="AS97" s="36" t="str">
        <f t="shared" si="33"/>
        <v/>
      </c>
      <c r="AT97" s="37" t="str">
        <f t="shared" si="25"/>
        <v/>
      </c>
      <c r="AU97" s="37" t="str">
        <f t="shared" si="26"/>
        <v/>
      </c>
      <c r="AV97" s="54"/>
      <c r="AW97" s="46"/>
      <c r="AX97" s="39" t="str" cm="1">
        <f t="array" ref="AX97">IF(AH97&lt;&gt;"",IF(AND(AX95:AX96&lt;&gt;"IE",AQ97&lt;&gt;0,AS97&lt;&gt;""),IF(IFERROR((AQ97/AS97),0) &lt;=1,IFERROR(AQ97/AS97,""),1),""),"")</f>
        <v/>
      </c>
      <c r="AY97" s="46"/>
      <c r="AZ97" s="57"/>
    </row>
    <row r="98" spans="1:52" ht="15.5" x14ac:dyDescent="0.35">
      <c r="A98" s="51">
        <f t="shared" si="34"/>
        <v>1</v>
      </c>
      <c r="B98" s="52"/>
      <c r="C98" s="52"/>
      <c r="D98" s="29" t="str">
        <f>IFERROR(
IF(AND(OR(Planilla!B98="C",Planilla!B98="c"), VLOOKUP(E98,[1]Diccionario!B:N,13,0)="C"), "OK",IF(AND(OR(Planilla!B98="C",Planilla!B98="c"), OR(VLOOKUP(E98,[1]Diccionario!B:N,13,0)="B", VLOOKUP(E98,[1]Diccionario!B:N,13,0)="A")), "DEFICIT",IF(
AND(OR(Planilla!B98="B", Planilla!B98="BPAL"), VLOOKUP(E98,[1]Diccionario!B:N,13,0)="B"), "OK",IF(AND(OR(Planilla!B98="B", Planilla!B98="BPAL"), VLOOKUP(E98,[1]Diccionario!B:N,13,0)="A"), "DEFICIT",IF(AND(OR(Planilla!B98="B", Planilla!B98="BPAL"), VLOOKUP(E98,[1]Diccionario!B:N,13,0)="C"), "SOBREOFERTA",IF(AND(Planilla!B98="A", VLOOKUP(E98,[1]Diccionario!B:N,13,0)="A"), "OK",IF(
AND(Planilla!B98="A", OR(VLOOKUP(E98,[1]Diccionario!B:N,13,0)="B", VLOOKUP(E98,[1]Diccionario!B:N,13,0)="C")), "SOBREOFERTA",""
))))))),"")</f>
        <v/>
      </c>
      <c r="E98" s="48"/>
      <c r="F98" s="53"/>
      <c r="G98" s="54"/>
      <c r="H98" s="55" t="str">
        <f t="shared" si="27"/>
        <v/>
      </c>
      <c r="I98" s="35"/>
      <c r="J98" s="34" t="e">
        <f>IF(A98&lt;&gt;"",HLOOKUP(VALUE(TEXT(G98,"h:mm:ss")),IF($C$6="Laboral",[1]Input!$A$4:$Y$227,IF($C$6="Sábado",[1]Input!$A$231:$Y$452,[1]Input!$A$456:$Y$656)),VLOOKUP($C$4,[1]Input!$AG$2:$AI$99,3,0)+IF(C$5="Ida",0,1),1),"")</f>
        <v>#N/A</v>
      </c>
      <c r="K98" s="34" t="str">
        <f>IF(A99&lt;&gt;A98,AVERAGEIF(A$9:A98,A98,J$13:J98),"")</f>
        <v/>
      </c>
      <c r="L98" s="35" t="str">
        <f>IFERROR(IF(A99&lt;&gt;A98,AVERAGEIF(A$9:A98,A98,S$13:S98),""),"")</f>
        <v/>
      </c>
      <c r="M98" s="35" t="str">
        <f>IFERROR(IF(A99&lt;&gt;A98,AVERAGEIF(A$9:A98,A98,T$8:T98),""),"")</f>
        <v/>
      </c>
      <c r="N98" s="35" t="str" cm="1">
        <f t="array" ref="N98">IFERROR(IF(A99&lt;&gt;A98,_xlfn.STDEV.P(IF(A$9:A98=A98,T$7:T98)),""),"")</f>
        <v/>
      </c>
      <c r="O98" s="35" t="str" cm="1">
        <f t="array" ref="O98">IFERROR(IF(A99&lt;&gt;A98,_xlfn.STDEV.P(IF(A$9:A98=A98,S$7:S98)),""),"")</f>
        <v/>
      </c>
      <c r="P98" s="36" t="str">
        <f t="shared" si="20"/>
        <v/>
      </c>
      <c r="Q98" s="36" t="str">
        <f t="shared" si="21"/>
        <v/>
      </c>
      <c r="R98" s="36" t="str">
        <f t="shared" si="28"/>
        <v/>
      </c>
      <c r="S98" s="37" t="str">
        <f t="shared" si="29"/>
        <v/>
      </c>
      <c r="T98" s="37" t="str">
        <f t="shared" si="22"/>
        <v/>
      </c>
      <c r="U98" s="54"/>
      <c r="V98" s="46"/>
      <c r="W98" s="39" t="str">
        <f t="shared" si="30"/>
        <v/>
      </c>
      <c r="X98" s="38"/>
      <c r="Y98" s="48"/>
      <c r="AB98" s="56">
        <f t="shared" si="31"/>
        <v>1</v>
      </c>
      <c r="AC98" s="52"/>
      <c r="AD98" s="52"/>
      <c r="AE98" s="29" t="str">
        <f>IFERROR(
IF(AND(OR(AC98="C",AC98="c"), VLOOKUP(AF98,[1]Diccionario!B:N,13,0)="C"), "OK",IF(AND(OR(AC98="C",AC98="c"), OR(VLOOKUP(AF98,[1]Diccionario!B:N,13,0)="B", VLOOKUP(AF98,[1]Diccionario!B:N,13,0)="A")), "DEFICIT",IF(
AND(OR(AC98="B", AC98="BPAL"), VLOOKUP(AF98,[1]Diccionario!B:N,13,0)="B"), "OK",IF(AND(OR(AC98="B", AC98="BPAL"), VLOOKUP(AF98,[1]Diccionario!B:N,13,0)="A"), "DEFICIT",IF(AND(OR(AC98="B", AC98="BPAL"), VLOOKUP(AF98,[1]Diccionario!B:N,13,0)="C"), "SOBREOFERTA",IF(AND(AC98="A", VLOOKUP(AF98,[1]Diccionario!B:N,13,0)="A"), "OK",IF(
AND(AC98="A", OR(VLOOKUP(AF98,[1]Diccionario!B:N,13,0)="B", VLOOKUP(AF98,[1]Diccionario!B:N,13,0)="C")), "SOBREOFERTA",""
))))))),"")</f>
        <v/>
      </c>
      <c r="AF98" s="48"/>
      <c r="AG98" s="53"/>
      <c r="AH98" s="54"/>
      <c r="AI98" s="55" t="str">
        <f t="shared" si="32"/>
        <v/>
      </c>
      <c r="AJ98" s="46"/>
      <c r="AK98" s="34" t="e">
        <f>IF(AB98&lt;&gt;"",HLOOKUP(VALUE(TEXT(AH98,"h:mm:ss")),IF($C$6="Laboral",[1]Input!$A$4:$Y$227,IF($C$6="Sábado",[1]Input!$A$231:$Y$452,[1]Input!$A$456:$Y$656)),VLOOKUP($C$4,[1]Input!$AG$2:$AI$99,3,0)+IF(AD$5="Ida",0,1),1),"")</f>
        <v>#N/A</v>
      </c>
      <c r="AL98" s="34" t="str">
        <f>IF(AB99&lt;&gt;AB98,AVERAGEIF(AB$9:AB98,AB98,AK$9:AK98),"")</f>
        <v/>
      </c>
      <c r="AM98" s="35" t="str">
        <f>IFERROR(IF(AB99&lt;&gt;AB98,AVERAGEIF(AB$9:AB98,AB98,AT$9:AT98),""),"")</f>
        <v/>
      </c>
      <c r="AN98" s="35" t="str">
        <f>IFERROR(IF(AB99&lt;&gt;AB98,AVERAGEIF(AB$9:AB98,AB98,AU$9:AU98),""),"")</f>
        <v/>
      </c>
      <c r="AO98" s="35" t="str" cm="1">
        <f t="array" ref="AO98">IFERROR(IF(AB99&lt;&gt;AB98,_xlfn.STDEV.P(IF(AB$9:AB98=AB98,AU$9:AU98)),""),"")</f>
        <v/>
      </c>
      <c r="AP98" s="35" t="str" cm="1">
        <f t="array" ref="AP98">IFERROR(IF(AB99&lt;&gt;AB98,_xlfn.STDEV.P(IF(AB$9:AB98=AB98,AT$9:AT98)),""),"")</f>
        <v/>
      </c>
      <c r="AQ98" s="36" t="str">
        <f t="shared" si="23"/>
        <v/>
      </c>
      <c r="AR98" s="36" t="str">
        <f t="shared" si="24"/>
        <v/>
      </c>
      <c r="AS98" s="36" t="str">
        <f t="shared" si="33"/>
        <v/>
      </c>
      <c r="AT98" s="37" t="str">
        <f t="shared" si="25"/>
        <v/>
      </c>
      <c r="AU98" s="37" t="str">
        <f t="shared" si="26"/>
        <v/>
      </c>
      <c r="AV98" s="54"/>
      <c r="AW98" s="46"/>
      <c r="AX98" s="39" t="str" cm="1">
        <f t="array" ref="AX98">IF(AH98&lt;&gt;"",IF(AND(AX96:AX97&lt;&gt;"IE",AQ98&lt;&gt;0,AS98&lt;&gt;""),IF(IFERROR((AQ98/AS98),0) &lt;=1,IFERROR(AQ98/AS98,""),1),""),"")</f>
        <v/>
      </c>
      <c r="AY98" s="46"/>
      <c r="AZ98" s="57"/>
    </row>
    <row r="99" spans="1:52" ht="15.5" x14ac:dyDescent="0.35">
      <c r="A99" s="51">
        <f t="shared" si="34"/>
        <v>1</v>
      </c>
      <c r="B99" s="52"/>
      <c r="C99" s="52"/>
      <c r="D99" s="29" t="str">
        <f>IFERROR(
IF(AND(OR(Planilla!B99="C",Planilla!B99="c"), VLOOKUP(E99,[1]Diccionario!B:N,13,0)="C"), "OK",IF(AND(OR(Planilla!B99="C",Planilla!B99="c"), OR(VLOOKUP(E99,[1]Diccionario!B:N,13,0)="B", VLOOKUP(E99,[1]Diccionario!B:N,13,0)="A")), "DEFICIT",IF(
AND(OR(Planilla!B99="B", Planilla!B99="BPAL"), VLOOKUP(E99,[1]Diccionario!B:N,13,0)="B"), "OK",IF(AND(OR(Planilla!B99="B", Planilla!B99="BPAL"), VLOOKUP(E99,[1]Diccionario!B:N,13,0)="A"), "DEFICIT",IF(AND(OR(Planilla!B99="B", Planilla!B99="BPAL"), VLOOKUP(E99,[1]Diccionario!B:N,13,0)="C"), "SOBREOFERTA",IF(AND(Planilla!B99="A", VLOOKUP(E99,[1]Diccionario!B:N,13,0)="A"), "OK",IF(
AND(Planilla!B99="A", OR(VLOOKUP(E99,[1]Diccionario!B:N,13,0)="B", VLOOKUP(E99,[1]Diccionario!B:N,13,0)="C")), "SOBREOFERTA",""
))))))),"")</f>
        <v/>
      </c>
      <c r="E99" s="48"/>
      <c r="F99" s="53"/>
      <c r="G99" s="54"/>
      <c r="H99" s="55" t="str">
        <f t="shared" si="27"/>
        <v/>
      </c>
      <c r="I99" s="35"/>
      <c r="J99" s="34" t="e">
        <f>IF(A99&lt;&gt;"",HLOOKUP(VALUE(TEXT(G99,"h:mm:ss")),IF($C$6="Laboral",[1]Input!$A$4:$Y$227,IF($C$6="Sábado",[1]Input!$A$231:$Y$452,[1]Input!$A$456:$Y$656)),VLOOKUP($C$4,[1]Input!$AG$2:$AI$99,3,0)+IF(C$5="Ida",0,1),1),"")</f>
        <v>#N/A</v>
      </c>
      <c r="K99" s="34" t="str">
        <f>IF(A100&lt;&gt;A99,AVERAGEIF(A$9:A99,A99,J$13:J99),"")</f>
        <v/>
      </c>
      <c r="L99" s="35" t="str">
        <f>IFERROR(IF(A100&lt;&gt;A99,AVERAGEIF(A$9:A99,A99,S$13:S99),""),"")</f>
        <v/>
      </c>
      <c r="M99" s="35" t="str">
        <f>IFERROR(IF(A100&lt;&gt;A99,AVERAGEIF(A$9:A99,A99,T$8:T99),""),"")</f>
        <v/>
      </c>
      <c r="N99" s="35" t="str" cm="1">
        <f t="array" ref="N99">IFERROR(IF(A100&lt;&gt;A99,_xlfn.STDEV.P(IF(A$9:A99=A99,T$7:T99)),""),"")</f>
        <v/>
      </c>
      <c r="O99" s="35" t="str" cm="1">
        <f t="array" ref="O99">IFERROR(IF(A100&lt;&gt;A99,_xlfn.STDEV.P(IF(A$9:A99=A99,S$7:S99)),""),"")</f>
        <v/>
      </c>
      <c r="P99" s="36" t="str">
        <f t="shared" si="20"/>
        <v/>
      </c>
      <c r="Q99" s="36" t="str">
        <f t="shared" si="21"/>
        <v/>
      </c>
      <c r="R99" s="36" t="str">
        <f t="shared" si="28"/>
        <v/>
      </c>
      <c r="S99" s="37" t="str">
        <f t="shared" si="29"/>
        <v/>
      </c>
      <c r="T99" s="37" t="str">
        <f t="shared" si="22"/>
        <v/>
      </c>
      <c r="U99" s="54"/>
      <c r="V99" s="46"/>
      <c r="W99" s="39" t="str">
        <f t="shared" si="30"/>
        <v/>
      </c>
      <c r="X99" s="38"/>
      <c r="Y99" s="48"/>
      <c r="AB99" s="56">
        <f t="shared" si="31"/>
        <v>1</v>
      </c>
      <c r="AC99" s="52"/>
      <c r="AD99" s="52"/>
      <c r="AE99" s="29" t="str">
        <f>IFERROR(
IF(AND(OR(AC99="C",AC99="c"), VLOOKUP(AF99,[1]Diccionario!B:N,13,0)="C"), "OK",IF(AND(OR(AC99="C",AC99="c"), OR(VLOOKUP(AF99,[1]Diccionario!B:N,13,0)="B", VLOOKUP(AF99,[1]Diccionario!B:N,13,0)="A")), "DEFICIT",IF(
AND(OR(AC99="B", AC99="BPAL"), VLOOKUP(AF99,[1]Diccionario!B:N,13,0)="B"), "OK",IF(AND(OR(AC99="B", AC99="BPAL"), VLOOKUP(AF99,[1]Diccionario!B:N,13,0)="A"), "DEFICIT",IF(AND(OR(AC99="B", AC99="BPAL"), VLOOKUP(AF99,[1]Diccionario!B:N,13,0)="C"), "SOBREOFERTA",IF(AND(AC99="A", VLOOKUP(AF99,[1]Diccionario!B:N,13,0)="A"), "OK",IF(
AND(AC99="A", OR(VLOOKUP(AF99,[1]Diccionario!B:N,13,0)="B", VLOOKUP(AF99,[1]Diccionario!B:N,13,0)="C")), "SOBREOFERTA",""
))))))),"")</f>
        <v/>
      </c>
      <c r="AF99" s="48"/>
      <c r="AG99" s="53"/>
      <c r="AH99" s="54"/>
      <c r="AI99" s="55" t="str">
        <f t="shared" si="32"/>
        <v/>
      </c>
      <c r="AJ99" s="46"/>
      <c r="AK99" s="34" t="e">
        <f>IF(AB99&lt;&gt;"",HLOOKUP(VALUE(TEXT(AH99,"h:mm:ss")),IF($C$6="Laboral",[1]Input!$A$4:$Y$227,IF($C$6="Sábado",[1]Input!$A$231:$Y$452,[1]Input!$A$456:$Y$656)),VLOOKUP($C$4,[1]Input!$AG$2:$AI$99,3,0)+IF(AD$5="Ida",0,1),1),"")</f>
        <v>#N/A</v>
      </c>
      <c r="AL99" s="34" t="str">
        <f>IF(AB100&lt;&gt;AB99,AVERAGEIF(AB$9:AB99,AB99,AK$9:AK99),"")</f>
        <v/>
      </c>
      <c r="AM99" s="35" t="str">
        <f>IFERROR(IF(AB100&lt;&gt;AB99,AVERAGEIF(AB$9:AB99,AB99,AT$9:AT99),""),"")</f>
        <v/>
      </c>
      <c r="AN99" s="35" t="str">
        <f>IFERROR(IF(AB100&lt;&gt;AB99,AVERAGEIF(AB$9:AB99,AB99,AU$9:AU99),""),"")</f>
        <v/>
      </c>
      <c r="AO99" s="35" t="str" cm="1">
        <f t="array" ref="AO99">IFERROR(IF(AB100&lt;&gt;AB99,_xlfn.STDEV.P(IF(AB$9:AB99=AB99,AU$9:AU99)),""),"")</f>
        <v/>
      </c>
      <c r="AP99" s="35" t="str" cm="1">
        <f t="array" ref="AP99">IFERROR(IF(AB100&lt;&gt;AB99,_xlfn.STDEV.P(IF(AB$9:AB99=AB99,AT$9:AT99)),""),"")</f>
        <v/>
      </c>
      <c r="AQ99" s="36" t="str">
        <f t="shared" si="23"/>
        <v/>
      </c>
      <c r="AR99" s="36" t="str">
        <f t="shared" si="24"/>
        <v/>
      </c>
      <c r="AS99" s="36" t="str">
        <f t="shared" si="33"/>
        <v/>
      </c>
      <c r="AT99" s="37" t="str">
        <f t="shared" si="25"/>
        <v/>
      </c>
      <c r="AU99" s="37" t="str">
        <f t="shared" si="26"/>
        <v/>
      </c>
      <c r="AV99" s="54"/>
      <c r="AW99" s="46"/>
      <c r="AX99" s="39" t="str" cm="1">
        <f t="array" ref="AX99">IF(AH99&lt;&gt;"",IF(AND(AX97:AX98&lt;&gt;"IE",AQ99&lt;&gt;0,AS99&lt;&gt;""),IF(IFERROR((AQ99/AS99),0) &lt;=1,IFERROR(AQ99/AS99,""),1),""),"")</f>
        <v/>
      </c>
      <c r="AY99" s="46"/>
      <c r="AZ99" s="57"/>
    </row>
    <row r="100" spans="1:52" ht="15.5" x14ac:dyDescent="0.35">
      <c r="A100" s="51">
        <f t="shared" si="34"/>
        <v>1</v>
      </c>
      <c r="B100" s="52"/>
      <c r="C100" s="52"/>
      <c r="D100" s="29" t="str">
        <f>IFERROR(
IF(AND(OR(Planilla!B100="C",Planilla!B100="c"), VLOOKUP(E100,[1]Diccionario!B:N,13,0)="C"), "OK",IF(AND(OR(Planilla!B100="C",Planilla!B100="c"), OR(VLOOKUP(E100,[1]Diccionario!B:N,13,0)="B", VLOOKUP(E100,[1]Diccionario!B:N,13,0)="A")), "DEFICIT",IF(
AND(OR(Planilla!B100="B", Planilla!B100="BPAL"), VLOOKUP(E100,[1]Diccionario!B:N,13,0)="B"), "OK",IF(AND(OR(Planilla!B100="B", Planilla!B100="BPAL"), VLOOKUP(E100,[1]Diccionario!B:N,13,0)="A"), "DEFICIT",IF(AND(OR(Planilla!B100="B", Planilla!B100="BPAL"), VLOOKUP(E100,[1]Diccionario!B:N,13,0)="C"), "SOBREOFERTA",IF(AND(Planilla!B100="A", VLOOKUP(E100,[1]Diccionario!B:N,13,0)="A"), "OK",IF(
AND(Planilla!B100="A", OR(VLOOKUP(E100,[1]Diccionario!B:N,13,0)="B", VLOOKUP(E100,[1]Diccionario!B:N,13,0)="C")), "SOBREOFERTA",""
))))))),"")</f>
        <v/>
      </c>
      <c r="E100" s="48"/>
      <c r="F100" s="53"/>
      <c r="G100" s="54"/>
      <c r="H100" s="55" t="str">
        <f t="shared" si="27"/>
        <v/>
      </c>
      <c r="I100" s="35"/>
      <c r="J100" s="34" t="e">
        <f>IF(A100&lt;&gt;"",HLOOKUP(VALUE(TEXT(G100,"h:mm:ss")),IF($C$6="Laboral",[1]Input!$A$4:$Y$227,IF($C$6="Sábado",[1]Input!$A$231:$Y$452,[1]Input!$A$456:$Y$656)),VLOOKUP($C$4,[1]Input!$AG$2:$AI$99,3,0)+IF(C$5="Ida",0,1),1),"")</f>
        <v>#N/A</v>
      </c>
      <c r="K100" s="34" t="str">
        <f>IF(A101&lt;&gt;A100,AVERAGEIF(A$9:A100,A100,J$13:J100),"")</f>
        <v/>
      </c>
      <c r="L100" s="35" t="str">
        <f>IFERROR(IF(A101&lt;&gt;A100,AVERAGEIF(A$9:A100,A100,S$13:S100),""),"")</f>
        <v/>
      </c>
      <c r="M100" s="35" t="str">
        <f>IFERROR(IF(A101&lt;&gt;A100,AVERAGEIF(A$9:A100,A100,T$8:T100),""),"")</f>
        <v/>
      </c>
      <c r="N100" s="35" t="str" cm="1">
        <f t="array" ref="N100">IFERROR(IF(A101&lt;&gt;A100,_xlfn.STDEV.P(IF(A$9:A100=A100,T$7:T100)),""),"")</f>
        <v/>
      </c>
      <c r="O100" s="35" t="str" cm="1">
        <f t="array" ref="O100">IFERROR(IF(A101&lt;&gt;A100,_xlfn.STDEV.P(IF(A$9:A100=A100,S$7:S100)),""),"")</f>
        <v/>
      </c>
      <c r="P100" s="36" t="str">
        <f t="shared" si="20"/>
        <v/>
      </c>
      <c r="Q100" s="36" t="str">
        <f t="shared" si="21"/>
        <v/>
      </c>
      <c r="R100" s="36" t="str">
        <f t="shared" si="28"/>
        <v/>
      </c>
      <c r="S100" s="37" t="str">
        <f t="shared" si="29"/>
        <v/>
      </c>
      <c r="T100" s="37" t="str">
        <f t="shared" si="22"/>
        <v/>
      </c>
      <c r="U100" s="54"/>
      <c r="V100" s="46"/>
      <c r="W100" s="39" t="str">
        <f t="shared" si="30"/>
        <v/>
      </c>
      <c r="X100" s="38"/>
      <c r="Y100" s="48"/>
      <c r="AB100" s="56">
        <f t="shared" si="31"/>
        <v>1</v>
      </c>
      <c r="AC100" s="52"/>
      <c r="AD100" s="52"/>
      <c r="AE100" s="29" t="str">
        <f>IFERROR(
IF(AND(OR(AC100="C",AC100="c"), VLOOKUP(AF100,[1]Diccionario!B:N,13,0)="C"), "OK",IF(AND(OR(AC100="C",AC100="c"), OR(VLOOKUP(AF100,[1]Diccionario!B:N,13,0)="B", VLOOKUP(AF100,[1]Diccionario!B:N,13,0)="A")), "DEFICIT",IF(
AND(OR(AC100="B", AC100="BPAL"), VLOOKUP(AF100,[1]Diccionario!B:N,13,0)="B"), "OK",IF(AND(OR(AC100="B", AC100="BPAL"), VLOOKUP(AF100,[1]Diccionario!B:N,13,0)="A"), "DEFICIT",IF(AND(OR(AC100="B", AC100="BPAL"), VLOOKUP(AF100,[1]Diccionario!B:N,13,0)="C"), "SOBREOFERTA",IF(AND(AC100="A", VLOOKUP(AF100,[1]Diccionario!B:N,13,0)="A"), "OK",IF(
AND(AC100="A", OR(VLOOKUP(AF100,[1]Diccionario!B:N,13,0)="B", VLOOKUP(AF100,[1]Diccionario!B:N,13,0)="C")), "SOBREOFERTA",""
))))))),"")</f>
        <v/>
      </c>
      <c r="AF100" s="48"/>
      <c r="AG100" s="53"/>
      <c r="AH100" s="54"/>
      <c r="AI100" s="55" t="str">
        <f t="shared" si="32"/>
        <v/>
      </c>
      <c r="AJ100" s="46"/>
      <c r="AK100" s="34" t="e">
        <f>IF(AB100&lt;&gt;"",HLOOKUP(VALUE(TEXT(AH100,"h:mm:ss")),IF($C$6="Laboral",[1]Input!$A$4:$Y$227,IF($C$6="Sábado",[1]Input!$A$231:$Y$452,[1]Input!$A$456:$Y$656)),VLOOKUP($C$4,[1]Input!$AG$2:$AI$99,3,0)+IF(AD$5="Ida",0,1),1),"")</f>
        <v>#N/A</v>
      </c>
      <c r="AL100" s="34" t="str">
        <f>IF(AB101&lt;&gt;AB100,AVERAGEIF(AB$9:AB100,AB100,AK$9:AK100),"")</f>
        <v/>
      </c>
      <c r="AM100" s="35" t="str">
        <f>IFERROR(IF(AB101&lt;&gt;AB100,AVERAGEIF(AB$9:AB100,AB100,AT$9:AT100),""),"")</f>
        <v/>
      </c>
      <c r="AN100" s="35" t="str">
        <f>IFERROR(IF(AB101&lt;&gt;AB100,AVERAGEIF(AB$9:AB100,AB100,AU$9:AU100),""),"")</f>
        <v/>
      </c>
      <c r="AO100" s="35" t="str" cm="1">
        <f t="array" ref="AO100">IFERROR(IF(AB101&lt;&gt;AB100,_xlfn.STDEV.P(IF(AB$9:AB100=AB100,AU$9:AU100)),""),"")</f>
        <v/>
      </c>
      <c r="AP100" s="35" t="str" cm="1">
        <f t="array" ref="AP100">IFERROR(IF(AB101&lt;&gt;AB100,_xlfn.STDEV.P(IF(AB$9:AB100=AB100,AT$9:AT100)),""),"")</f>
        <v/>
      </c>
      <c r="AQ100" s="36" t="str">
        <f t="shared" si="23"/>
        <v/>
      </c>
      <c r="AR100" s="36" t="str">
        <f t="shared" si="24"/>
        <v/>
      </c>
      <c r="AS100" s="36" t="str">
        <f t="shared" si="33"/>
        <v/>
      </c>
      <c r="AT100" s="37" t="str">
        <f t="shared" si="25"/>
        <v/>
      </c>
      <c r="AU100" s="37" t="str">
        <f t="shared" si="26"/>
        <v/>
      </c>
      <c r="AV100" s="54"/>
      <c r="AW100" s="46"/>
      <c r="AX100" s="39" t="str" cm="1">
        <f t="array" ref="AX100">IF(AH100&lt;&gt;"",IF(AND(AX98:AX99&lt;&gt;"IE",AQ100&lt;&gt;0,AS100&lt;&gt;""),IF(IFERROR((AQ100/AS100),0) &lt;=1,IFERROR(AQ100/AS100,""),1),""),"")</f>
        <v/>
      </c>
      <c r="AY100" s="46"/>
      <c r="AZ100" s="57"/>
    </row>
    <row r="101" spans="1:52" ht="15.5" x14ac:dyDescent="0.35">
      <c r="A101" s="51">
        <f t="shared" si="34"/>
        <v>1</v>
      </c>
      <c r="B101" s="52"/>
      <c r="C101" s="52"/>
      <c r="D101" s="29" t="str">
        <f>IFERROR(
IF(AND(OR(Planilla!B101="C",Planilla!B101="c"), VLOOKUP(E101,[1]Diccionario!B:N,13,0)="C"), "OK",IF(AND(OR(Planilla!B101="C",Planilla!B101="c"), OR(VLOOKUP(E101,[1]Diccionario!B:N,13,0)="B", VLOOKUP(E101,[1]Diccionario!B:N,13,0)="A")), "DEFICIT",IF(
AND(OR(Planilla!B101="B", Planilla!B101="BPAL"), VLOOKUP(E101,[1]Diccionario!B:N,13,0)="B"), "OK",IF(AND(OR(Planilla!B101="B", Planilla!B101="BPAL"), VLOOKUP(E101,[1]Diccionario!B:N,13,0)="A"), "DEFICIT",IF(AND(OR(Planilla!B101="B", Planilla!B101="BPAL"), VLOOKUP(E101,[1]Diccionario!B:N,13,0)="C"), "SOBREOFERTA",IF(AND(Planilla!B101="A", VLOOKUP(E101,[1]Diccionario!B:N,13,0)="A"), "OK",IF(
AND(Planilla!B101="A", OR(VLOOKUP(E101,[1]Diccionario!B:N,13,0)="B", VLOOKUP(E101,[1]Diccionario!B:N,13,0)="C")), "SOBREOFERTA",""
))))))),"")</f>
        <v/>
      </c>
      <c r="E101" s="48"/>
      <c r="F101" s="53"/>
      <c r="G101" s="54"/>
      <c r="H101" s="55" t="str">
        <f t="shared" si="27"/>
        <v/>
      </c>
      <c r="I101" s="35"/>
      <c r="J101" s="34" t="e">
        <f>IF(A101&lt;&gt;"",HLOOKUP(VALUE(TEXT(G101,"h:mm:ss")),IF($C$6="Laboral",[1]Input!$A$4:$Y$227,IF($C$6="Sábado",[1]Input!$A$231:$Y$452,[1]Input!$A$456:$Y$656)),VLOOKUP($C$4,[1]Input!$AG$2:$AI$99,3,0)+IF(C$5="Ida",0,1),1),"")</f>
        <v>#N/A</v>
      </c>
      <c r="K101" s="34" t="str">
        <f>IF(A102&lt;&gt;A101,AVERAGEIF(A$9:A101,A101,J$13:J101),"")</f>
        <v/>
      </c>
      <c r="L101" s="35" t="str">
        <f>IFERROR(IF(A102&lt;&gt;A101,AVERAGEIF(A$9:A101,A101,S$13:S101),""),"")</f>
        <v/>
      </c>
      <c r="M101" s="35" t="str">
        <f>IFERROR(IF(A102&lt;&gt;A101,AVERAGEIF(A$9:A101,A101,T$8:T101),""),"")</f>
        <v/>
      </c>
      <c r="N101" s="35" t="str" cm="1">
        <f t="array" ref="N101">IFERROR(IF(A102&lt;&gt;A101,_xlfn.STDEV.P(IF(A$9:A101=A101,T$7:T101)),""),"")</f>
        <v/>
      </c>
      <c r="O101" s="35" t="str" cm="1">
        <f t="array" ref="O101">IFERROR(IF(A102&lt;&gt;A101,_xlfn.STDEV.P(IF(A$9:A101=A101,S$7:S101)),""),"")</f>
        <v/>
      </c>
      <c r="P101" s="36" t="str">
        <f t="shared" si="20"/>
        <v/>
      </c>
      <c r="Q101" s="36" t="str">
        <f t="shared" si="21"/>
        <v/>
      </c>
      <c r="R101" s="36" t="str">
        <f t="shared" si="28"/>
        <v/>
      </c>
      <c r="S101" s="37" t="str">
        <f t="shared" si="29"/>
        <v/>
      </c>
      <c r="T101" s="37" t="str">
        <f t="shared" si="22"/>
        <v/>
      </c>
      <c r="U101" s="54"/>
      <c r="V101" s="46"/>
      <c r="W101" s="39" t="str">
        <f t="shared" si="30"/>
        <v/>
      </c>
      <c r="X101" s="38"/>
      <c r="Y101" s="48"/>
      <c r="AB101" s="56">
        <f t="shared" si="31"/>
        <v>1</v>
      </c>
      <c r="AC101" s="52"/>
      <c r="AD101" s="52"/>
      <c r="AE101" s="29" t="str">
        <f>IFERROR(
IF(AND(OR(AC101="C",AC101="c"), VLOOKUP(AF101,[1]Diccionario!B:N,13,0)="C"), "OK",IF(AND(OR(AC101="C",AC101="c"), OR(VLOOKUP(AF101,[1]Diccionario!B:N,13,0)="B", VLOOKUP(AF101,[1]Diccionario!B:N,13,0)="A")), "DEFICIT",IF(
AND(OR(AC101="B", AC101="BPAL"), VLOOKUP(AF101,[1]Diccionario!B:N,13,0)="B"), "OK",IF(AND(OR(AC101="B", AC101="BPAL"), VLOOKUP(AF101,[1]Diccionario!B:N,13,0)="A"), "DEFICIT",IF(AND(OR(AC101="B", AC101="BPAL"), VLOOKUP(AF101,[1]Diccionario!B:N,13,0)="C"), "SOBREOFERTA",IF(AND(AC101="A", VLOOKUP(AF101,[1]Diccionario!B:N,13,0)="A"), "OK",IF(
AND(AC101="A", OR(VLOOKUP(AF101,[1]Diccionario!B:N,13,0)="B", VLOOKUP(AF101,[1]Diccionario!B:N,13,0)="C")), "SOBREOFERTA",""
))))))),"")</f>
        <v/>
      </c>
      <c r="AF101" s="48"/>
      <c r="AG101" s="53"/>
      <c r="AH101" s="54"/>
      <c r="AI101" s="55" t="str">
        <f t="shared" si="32"/>
        <v/>
      </c>
      <c r="AJ101" s="46"/>
      <c r="AK101" s="34" t="e">
        <f>IF(AB101&lt;&gt;"",HLOOKUP(VALUE(TEXT(AH101,"h:mm:ss")),IF($C$6="Laboral",[1]Input!$A$4:$Y$227,IF($C$6="Sábado",[1]Input!$A$231:$Y$452,[1]Input!$A$456:$Y$656)),VLOOKUP($C$4,[1]Input!$AG$2:$AI$99,3,0)+IF(AD$5="Ida",0,1),1),"")</f>
        <v>#N/A</v>
      </c>
      <c r="AL101" s="34" t="str">
        <f>IF(AB102&lt;&gt;AB101,AVERAGEIF(AB$9:AB101,AB101,AK$9:AK101),"")</f>
        <v/>
      </c>
      <c r="AM101" s="35" t="str">
        <f>IFERROR(IF(AB102&lt;&gt;AB101,AVERAGEIF(AB$9:AB101,AB101,AT$9:AT101),""),"")</f>
        <v/>
      </c>
      <c r="AN101" s="35" t="str">
        <f>IFERROR(IF(AB102&lt;&gt;AB101,AVERAGEIF(AB$9:AB101,AB101,AU$9:AU101),""),"")</f>
        <v/>
      </c>
      <c r="AO101" s="35" t="str" cm="1">
        <f t="array" ref="AO101">IFERROR(IF(AB102&lt;&gt;AB101,_xlfn.STDEV.P(IF(AB$9:AB101=AB101,AU$9:AU101)),""),"")</f>
        <v/>
      </c>
      <c r="AP101" s="35" t="str" cm="1">
        <f t="array" ref="AP101">IFERROR(IF(AB102&lt;&gt;AB101,_xlfn.STDEV.P(IF(AB$9:AB101=AB101,AT$9:AT101)),""),"")</f>
        <v/>
      </c>
      <c r="AQ101" s="36" t="str">
        <f t="shared" si="23"/>
        <v/>
      </c>
      <c r="AR101" s="36" t="str">
        <f t="shared" si="24"/>
        <v/>
      </c>
      <c r="AS101" s="36" t="str">
        <f t="shared" si="33"/>
        <v/>
      </c>
      <c r="AT101" s="37" t="str">
        <f t="shared" si="25"/>
        <v/>
      </c>
      <c r="AU101" s="37" t="str">
        <f t="shared" si="26"/>
        <v/>
      </c>
      <c r="AV101" s="54"/>
      <c r="AW101" s="46"/>
      <c r="AX101" s="39" t="str" cm="1">
        <f t="array" ref="AX101">IF(AH101&lt;&gt;"",IF(AND(AX99:AX100&lt;&gt;"IE",AQ101&lt;&gt;0,AS101&lt;&gt;""),IF(IFERROR((AQ101/AS101),0) &lt;=1,IFERROR(AQ101/AS101,""),1),""),"")</f>
        <v/>
      </c>
      <c r="AY101" s="46"/>
      <c r="AZ101" s="57"/>
    </row>
    <row r="102" spans="1:52" ht="15.5" x14ac:dyDescent="0.35">
      <c r="A102" s="51">
        <f t="shared" si="34"/>
        <v>1</v>
      </c>
      <c r="B102" s="52"/>
      <c r="C102" s="52"/>
      <c r="D102" s="29" t="str">
        <f>IFERROR(
IF(AND(OR(Planilla!B102="C",Planilla!B102="c"), VLOOKUP(E102,[1]Diccionario!B:N,13,0)="C"), "OK",IF(AND(OR(Planilla!B102="C",Planilla!B102="c"), OR(VLOOKUP(E102,[1]Diccionario!B:N,13,0)="B", VLOOKUP(E102,[1]Diccionario!B:N,13,0)="A")), "DEFICIT",IF(
AND(OR(Planilla!B102="B", Planilla!B102="BPAL"), VLOOKUP(E102,[1]Diccionario!B:N,13,0)="B"), "OK",IF(AND(OR(Planilla!B102="B", Planilla!B102="BPAL"), VLOOKUP(E102,[1]Diccionario!B:N,13,0)="A"), "DEFICIT",IF(AND(OR(Planilla!B102="B", Planilla!B102="BPAL"), VLOOKUP(E102,[1]Diccionario!B:N,13,0)="C"), "SOBREOFERTA",IF(AND(Planilla!B102="A", VLOOKUP(E102,[1]Diccionario!B:N,13,0)="A"), "OK",IF(
AND(Planilla!B102="A", OR(VLOOKUP(E102,[1]Diccionario!B:N,13,0)="B", VLOOKUP(E102,[1]Diccionario!B:N,13,0)="C")), "SOBREOFERTA",""
))))))),"")</f>
        <v/>
      </c>
      <c r="E102" s="48"/>
      <c r="F102" s="53"/>
      <c r="G102" s="54"/>
      <c r="H102" s="55" t="str">
        <f t="shared" si="27"/>
        <v/>
      </c>
      <c r="I102" s="35"/>
      <c r="J102" s="34" t="e">
        <f>IF(A102&lt;&gt;"",HLOOKUP(VALUE(TEXT(G102,"h:mm:ss")),IF($C$6="Laboral",[1]Input!$A$4:$Y$227,IF($C$6="Sábado",[1]Input!$A$231:$Y$452,[1]Input!$A$456:$Y$656)),VLOOKUP($C$4,[1]Input!$AG$2:$AI$99,3,0)+IF(C$5="Ida",0,1),1),"")</f>
        <v>#N/A</v>
      </c>
      <c r="K102" s="34" t="str">
        <f>IF(A103&lt;&gt;A102,AVERAGEIF(A$9:A102,A102,J$13:J102),"")</f>
        <v/>
      </c>
      <c r="L102" s="35" t="str">
        <f>IFERROR(IF(A103&lt;&gt;A102,AVERAGEIF(A$9:A102,A102,S$13:S102),""),"")</f>
        <v/>
      </c>
      <c r="M102" s="35" t="str">
        <f>IFERROR(IF(A103&lt;&gt;A102,AVERAGEIF(A$9:A102,A102,T$8:T102),""),"")</f>
        <v/>
      </c>
      <c r="N102" s="35" t="str" cm="1">
        <f t="array" ref="N102">IFERROR(IF(A103&lt;&gt;A102,_xlfn.STDEV.P(IF(A$9:A102=A102,T$7:T102)),""),"")</f>
        <v/>
      </c>
      <c r="O102" s="35" t="str" cm="1">
        <f t="array" ref="O102">IFERROR(IF(A103&lt;&gt;A102,_xlfn.STDEV.P(IF(A$9:A102=A102,S$7:S102)),""),"")</f>
        <v/>
      </c>
      <c r="P102" s="36" t="str">
        <f t="shared" si="20"/>
        <v/>
      </c>
      <c r="Q102" s="36" t="str">
        <f t="shared" si="21"/>
        <v/>
      </c>
      <c r="R102" s="36" t="str">
        <f t="shared" si="28"/>
        <v/>
      </c>
      <c r="S102" s="37" t="str">
        <f t="shared" si="29"/>
        <v/>
      </c>
      <c r="T102" s="37" t="str">
        <f t="shared" si="22"/>
        <v/>
      </c>
      <c r="U102" s="54"/>
      <c r="V102" s="46"/>
      <c r="W102" s="39" t="str">
        <f t="shared" si="30"/>
        <v/>
      </c>
      <c r="X102" s="38"/>
      <c r="Y102" s="48"/>
      <c r="AB102" s="56">
        <f t="shared" si="31"/>
        <v>1</v>
      </c>
      <c r="AC102" s="52"/>
      <c r="AD102" s="52"/>
      <c r="AE102" s="29" t="str">
        <f>IFERROR(
IF(AND(OR(AC102="C",AC102="c"), VLOOKUP(AF102,[1]Diccionario!B:N,13,0)="C"), "OK",IF(AND(OR(AC102="C",AC102="c"), OR(VLOOKUP(AF102,[1]Diccionario!B:N,13,0)="B", VLOOKUP(AF102,[1]Diccionario!B:N,13,0)="A")), "DEFICIT",IF(
AND(OR(AC102="B", AC102="BPAL"), VLOOKUP(AF102,[1]Diccionario!B:N,13,0)="B"), "OK",IF(AND(OR(AC102="B", AC102="BPAL"), VLOOKUP(AF102,[1]Diccionario!B:N,13,0)="A"), "DEFICIT",IF(AND(OR(AC102="B", AC102="BPAL"), VLOOKUP(AF102,[1]Diccionario!B:N,13,0)="C"), "SOBREOFERTA",IF(AND(AC102="A", VLOOKUP(AF102,[1]Diccionario!B:N,13,0)="A"), "OK",IF(
AND(AC102="A", OR(VLOOKUP(AF102,[1]Diccionario!B:N,13,0)="B", VLOOKUP(AF102,[1]Diccionario!B:N,13,0)="C")), "SOBREOFERTA",""
))))))),"")</f>
        <v/>
      </c>
      <c r="AF102" s="48"/>
      <c r="AG102" s="53"/>
      <c r="AH102" s="54"/>
      <c r="AI102" s="55" t="str">
        <f t="shared" si="32"/>
        <v/>
      </c>
      <c r="AJ102" s="46"/>
      <c r="AK102" s="34" t="e">
        <f>IF(AB102&lt;&gt;"",HLOOKUP(VALUE(TEXT(AH102,"h:mm:ss")),IF($C$6="Laboral",[1]Input!$A$4:$Y$227,IF($C$6="Sábado",[1]Input!$A$231:$Y$452,[1]Input!$A$456:$Y$656)),VLOOKUP($C$4,[1]Input!$AG$2:$AI$99,3,0)+IF(AD$5="Ida",0,1),1),"")</f>
        <v>#N/A</v>
      </c>
      <c r="AL102" s="34" t="str">
        <f>IF(AB103&lt;&gt;AB102,AVERAGEIF(AB$9:AB102,AB102,AK$9:AK102),"")</f>
        <v/>
      </c>
      <c r="AM102" s="35" t="str">
        <f>IFERROR(IF(AB103&lt;&gt;AB102,AVERAGEIF(AB$9:AB102,AB102,AT$9:AT102),""),"")</f>
        <v/>
      </c>
      <c r="AN102" s="35" t="str">
        <f>IFERROR(IF(AB103&lt;&gt;AB102,AVERAGEIF(AB$9:AB102,AB102,AU$9:AU102),""),"")</f>
        <v/>
      </c>
      <c r="AO102" s="35" t="str" cm="1">
        <f t="array" ref="AO102">IFERROR(IF(AB103&lt;&gt;AB102,_xlfn.STDEV.P(IF(AB$9:AB102=AB102,AU$9:AU102)),""),"")</f>
        <v/>
      </c>
      <c r="AP102" s="35" t="str" cm="1">
        <f t="array" ref="AP102">IFERROR(IF(AB103&lt;&gt;AB102,_xlfn.STDEV.P(IF(AB$9:AB102=AB102,AT$9:AT102)),""),"")</f>
        <v/>
      </c>
      <c r="AQ102" s="36" t="str">
        <f t="shared" si="23"/>
        <v/>
      </c>
      <c r="AR102" s="36" t="str">
        <f t="shared" si="24"/>
        <v/>
      </c>
      <c r="AS102" s="36" t="str">
        <f t="shared" si="33"/>
        <v/>
      </c>
      <c r="AT102" s="37" t="str">
        <f t="shared" si="25"/>
        <v/>
      </c>
      <c r="AU102" s="37" t="str">
        <f t="shared" si="26"/>
        <v/>
      </c>
      <c r="AV102" s="54"/>
      <c r="AW102" s="46"/>
      <c r="AX102" s="39" t="str" cm="1">
        <f t="array" ref="AX102">IF(AH102&lt;&gt;"",IF(AND(AX100:AX101&lt;&gt;"IE",AQ102&lt;&gt;0,AS102&lt;&gt;""),IF(IFERROR((AQ102/AS102),0) &lt;=1,IFERROR(AQ102/AS102,""),1),""),"")</f>
        <v/>
      </c>
      <c r="AY102" s="46"/>
      <c r="AZ102" s="57"/>
    </row>
    <row r="103" spans="1:52" ht="15.5" x14ac:dyDescent="0.35">
      <c r="A103" s="51">
        <f t="shared" si="34"/>
        <v>1</v>
      </c>
      <c r="B103" s="52"/>
      <c r="C103" s="52"/>
      <c r="D103" s="29" t="str">
        <f>IFERROR(
IF(AND(OR(Planilla!B103="C",Planilla!B103="c"), VLOOKUP(E103,[1]Diccionario!B:N,13,0)="C"), "OK",IF(AND(OR(Planilla!B103="C",Planilla!B103="c"), OR(VLOOKUP(E103,[1]Diccionario!B:N,13,0)="B", VLOOKUP(E103,[1]Diccionario!B:N,13,0)="A")), "DEFICIT",IF(
AND(OR(Planilla!B103="B", Planilla!B103="BPAL"), VLOOKUP(E103,[1]Diccionario!B:N,13,0)="B"), "OK",IF(AND(OR(Planilla!B103="B", Planilla!B103="BPAL"), VLOOKUP(E103,[1]Diccionario!B:N,13,0)="A"), "DEFICIT",IF(AND(OR(Planilla!B103="B", Planilla!B103="BPAL"), VLOOKUP(E103,[1]Diccionario!B:N,13,0)="C"), "SOBREOFERTA",IF(AND(Planilla!B103="A", VLOOKUP(E103,[1]Diccionario!B:N,13,0)="A"), "OK",IF(
AND(Planilla!B103="A", OR(VLOOKUP(E103,[1]Diccionario!B:N,13,0)="B", VLOOKUP(E103,[1]Diccionario!B:N,13,0)="C")), "SOBREOFERTA",""
))))))),"")</f>
        <v/>
      </c>
      <c r="E103" s="48"/>
      <c r="F103" s="53"/>
      <c r="G103" s="54"/>
      <c r="H103" s="55" t="str">
        <f t="shared" si="27"/>
        <v/>
      </c>
      <c r="I103" s="35"/>
      <c r="J103" s="34" t="e">
        <f>IF(A103&lt;&gt;"",HLOOKUP(VALUE(TEXT(G103,"h:mm:ss")),IF($C$6="Laboral",[1]Input!$A$4:$Y$227,IF($C$6="Sábado",[1]Input!$A$231:$Y$452,[1]Input!$A$456:$Y$656)),VLOOKUP($C$4,[1]Input!$AG$2:$AI$99,3,0)+IF(C$5="Ida",0,1),1),"")</f>
        <v>#N/A</v>
      </c>
      <c r="K103" s="34" t="str">
        <f>IF(A104&lt;&gt;A103,AVERAGEIF(A$9:A103,A103,J$13:J103),"")</f>
        <v/>
      </c>
      <c r="L103" s="35" t="str">
        <f>IFERROR(IF(A104&lt;&gt;A103,AVERAGEIF(A$9:A103,A103,S$13:S103),""),"")</f>
        <v/>
      </c>
      <c r="M103" s="35" t="str">
        <f>IFERROR(IF(A104&lt;&gt;A103,AVERAGEIF(A$9:A103,A103,T$8:T103),""),"")</f>
        <v/>
      </c>
      <c r="N103" s="35" t="str" cm="1">
        <f t="array" ref="N103">IFERROR(IF(A104&lt;&gt;A103,_xlfn.STDEV.P(IF(A$9:A103=A103,T$7:T103)),""),"")</f>
        <v/>
      </c>
      <c r="O103" s="35" t="str" cm="1">
        <f t="array" ref="O103">IFERROR(IF(A104&lt;&gt;A103,_xlfn.STDEV.P(IF(A$9:A103=A103,S$7:S103)),""),"")</f>
        <v/>
      </c>
      <c r="P103" s="36" t="str">
        <f t="shared" si="20"/>
        <v/>
      </c>
      <c r="Q103" s="36" t="str">
        <f t="shared" si="21"/>
        <v/>
      </c>
      <c r="R103" s="36" t="str">
        <f t="shared" si="28"/>
        <v/>
      </c>
      <c r="S103" s="37" t="str">
        <f t="shared" si="29"/>
        <v/>
      </c>
      <c r="T103" s="37" t="str">
        <f t="shared" si="22"/>
        <v/>
      </c>
      <c r="U103" s="54"/>
      <c r="V103" s="46"/>
      <c r="W103" s="39" t="str">
        <f t="shared" si="30"/>
        <v/>
      </c>
      <c r="X103" s="38"/>
      <c r="Y103" s="48"/>
      <c r="AB103" s="56">
        <f t="shared" si="31"/>
        <v>1</v>
      </c>
      <c r="AC103" s="52"/>
      <c r="AD103" s="52"/>
      <c r="AE103" s="29" t="str">
        <f>IFERROR(
IF(AND(OR(AC103="C",AC103="c"), VLOOKUP(AF103,[1]Diccionario!B:N,13,0)="C"), "OK",IF(AND(OR(AC103="C",AC103="c"), OR(VLOOKUP(AF103,[1]Diccionario!B:N,13,0)="B", VLOOKUP(AF103,[1]Diccionario!B:N,13,0)="A")), "DEFICIT",IF(
AND(OR(AC103="B", AC103="BPAL"), VLOOKUP(AF103,[1]Diccionario!B:N,13,0)="B"), "OK",IF(AND(OR(AC103="B", AC103="BPAL"), VLOOKUP(AF103,[1]Diccionario!B:N,13,0)="A"), "DEFICIT",IF(AND(OR(AC103="B", AC103="BPAL"), VLOOKUP(AF103,[1]Diccionario!B:N,13,0)="C"), "SOBREOFERTA",IF(AND(AC103="A", VLOOKUP(AF103,[1]Diccionario!B:N,13,0)="A"), "OK",IF(
AND(AC103="A", OR(VLOOKUP(AF103,[1]Diccionario!B:N,13,0)="B", VLOOKUP(AF103,[1]Diccionario!B:N,13,0)="C")), "SOBREOFERTA",""
))))))),"")</f>
        <v/>
      </c>
      <c r="AF103" s="48"/>
      <c r="AG103" s="53"/>
      <c r="AH103" s="54"/>
      <c r="AI103" s="55" t="str">
        <f t="shared" si="32"/>
        <v/>
      </c>
      <c r="AJ103" s="46"/>
      <c r="AK103" s="34" t="e">
        <f>IF(AB103&lt;&gt;"",HLOOKUP(VALUE(TEXT(AH103,"h:mm:ss")),IF($C$6="Laboral",[1]Input!$A$4:$Y$227,IF($C$6="Sábado",[1]Input!$A$231:$Y$452,[1]Input!$A$456:$Y$656)),VLOOKUP($C$4,[1]Input!$AG$2:$AI$99,3,0)+IF(AD$5="Ida",0,1),1),"")</f>
        <v>#N/A</v>
      </c>
      <c r="AL103" s="34" t="str">
        <f>IF(AB104&lt;&gt;AB103,AVERAGEIF(AB$9:AB103,AB103,AK$9:AK103),"")</f>
        <v/>
      </c>
      <c r="AM103" s="35" t="str">
        <f>IFERROR(IF(AB104&lt;&gt;AB103,AVERAGEIF(AB$9:AB103,AB103,AT$9:AT103),""),"")</f>
        <v/>
      </c>
      <c r="AN103" s="35" t="str">
        <f>IFERROR(IF(AB104&lt;&gt;AB103,AVERAGEIF(AB$9:AB103,AB103,AU$9:AU103),""),"")</f>
        <v/>
      </c>
      <c r="AO103" s="35" t="str" cm="1">
        <f t="array" ref="AO103">IFERROR(IF(AB104&lt;&gt;AB103,_xlfn.STDEV.P(IF(AB$9:AB103=AB103,AU$9:AU103)),""),"")</f>
        <v/>
      </c>
      <c r="AP103" s="35" t="str" cm="1">
        <f t="array" ref="AP103">IFERROR(IF(AB104&lt;&gt;AB103,_xlfn.STDEV.P(IF(AB$9:AB103=AB103,AT$9:AT103)),""),"")</f>
        <v/>
      </c>
      <c r="AQ103" s="36" t="str">
        <f t="shared" si="23"/>
        <v/>
      </c>
      <c r="AR103" s="36" t="str">
        <f t="shared" si="24"/>
        <v/>
      </c>
      <c r="AS103" s="36" t="str">
        <f t="shared" si="33"/>
        <v/>
      </c>
      <c r="AT103" s="37" t="str">
        <f t="shared" si="25"/>
        <v/>
      </c>
      <c r="AU103" s="37" t="str">
        <f t="shared" si="26"/>
        <v/>
      </c>
      <c r="AV103" s="54"/>
      <c r="AW103" s="46"/>
      <c r="AX103" s="39" t="str" cm="1">
        <f t="array" ref="AX103">IF(AH103&lt;&gt;"",IF(AND(AX101:AX102&lt;&gt;"IE",AQ103&lt;&gt;0,AS103&lt;&gt;""),IF(IFERROR((AQ103/AS103),0) &lt;=1,IFERROR(AQ103/AS103,""),1),""),"")</f>
        <v/>
      </c>
      <c r="AY103" s="46"/>
      <c r="AZ103" s="57"/>
    </row>
    <row r="104" spans="1:52" ht="15.5" x14ac:dyDescent="0.35">
      <c r="A104" s="51">
        <f t="shared" si="34"/>
        <v>1</v>
      </c>
      <c r="B104" s="52"/>
      <c r="C104" s="52"/>
      <c r="D104" s="29" t="str">
        <f>IFERROR(
IF(AND(OR(Planilla!B104="C",Planilla!B104="c"), VLOOKUP(E104,[1]Diccionario!B:N,13,0)="C"), "OK",IF(AND(OR(Planilla!B104="C",Planilla!B104="c"), OR(VLOOKUP(E104,[1]Diccionario!B:N,13,0)="B", VLOOKUP(E104,[1]Diccionario!B:N,13,0)="A")), "DEFICIT",IF(
AND(OR(Planilla!B104="B", Planilla!B104="BPAL"), VLOOKUP(E104,[1]Diccionario!B:N,13,0)="B"), "OK",IF(AND(OR(Planilla!B104="B", Planilla!B104="BPAL"), VLOOKUP(E104,[1]Diccionario!B:N,13,0)="A"), "DEFICIT",IF(AND(OR(Planilla!B104="B", Planilla!B104="BPAL"), VLOOKUP(E104,[1]Diccionario!B:N,13,0)="C"), "SOBREOFERTA",IF(AND(Planilla!B104="A", VLOOKUP(E104,[1]Diccionario!B:N,13,0)="A"), "OK",IF(
AND(Planilla!B104="A", OR(VLOOKUP(E104,[1]Diccionario!B:N,13,0)="B", VLOOKUP(E104,[1]Diccionario!B:N,13,0)="C")), "SOBREOFERTA",""
))))))),"")</f>
        <v/>
      </c>
      <c r="E104" s="48"/>
      <c r="F104" s="53"/>
      <c r="G104" s="54"/>
      <c r="H104" s="55" t="str">
        <f t="shared" si="27"/>
        <v/>
      </c>
      <c r="I104" s="35"/>
      <c r="J104" s="34" t="e">
        <f>IF(A104&lt;&gt;"",HLOOKUP(VALUE(TEXT(G104,"h:mm:ss")),IF($C$6="Laboral",[1]Input!$A$4:$Y$227,IF($C$6="Sábado",[1]Input!$A$231:$Y$452,[1]Input!$A$456:$Y$656)),VLOOKUP($C$4,[1]Input!$AG$2:$AI$99,3,0)+IF(C$5="Ida",0,1),1),"")</f>
        <v>#N/A</v>
      </c>
      <c r="K104" s="34" t="str">
        <f>IF(A105&lt;&gt;A104,AVERAGEIF(A$9:A104,A104,J$13:J104),"")</f>
        <v/>
      </c>
      <c r="L104" s="35" t="str">
        <f>IFERROR(IF(A105&lt;&gt;A104,AVERAGEIF(A$9:A104,A104,S$13:S104),""),"")</f>
        <v/>
      </c>
      <c r="M104" s="35" t="str">
        <f>IFERROR(IF(A105&lt;&gt;A104,AVERAGEIF(A$9:A104,A104,T$8:T104),""),"")</f>
        <v/>
      </c>
      <c r="N104" s="35" t="str" cm="1">
        <f t="array" ref="N104">IFERROR(IF(A105&lt;&gt;A104,_xlfn.STDEV.P(IF(A$9:A104=A104,T$7:T104)),""),"")</f>
        <v/>
      </c>
      <c r="O104" s="35" t="str" cm="1">
        <f t="array" ref="O104">IFERROR(IF(A105&lt;&gt;A104,_xlfn.STDEV.P(IF(A$9:A104=A104,S$7:S104)),""),"")</f>
        <v/>
      </c>
      <c r="P104" s="36" t="str">
        <f t="shared" si="20"/>
        <v/>
      </c>
      <c r="Q104" s="36" t="str">
        <f t="shared" si="21"/>
        <v/>
      </c>
      <c r="R104" s="36" t="str">
        <f t="shared" si="28"/>
        <v/>
      </c>
      <c r="S104" s="37" t="str">
        <f t="shared" si="29"/>
        <v/>
      </c>
      <c r="T104" s="37" t="str">
        <f t="shared" si="22"/>
        <v/>
      </c>
      <c r="U104" s="54"/>
      <c r="V104" s="46"/>
      <c r="W104" s="39" t="str">
        <f t="shared" si="30"/>
        <v/>
      </c>
      <c r="X104" s="38"/>
      <c r="Y104" s="48"/>
      <c r="AB104" s="56">
        <f t="shared" si="31"/>
        <v>1</v>
      </c>
      <c r="AC104" s="52"/>
      <c r="AD104" s="52"/>
      <c r="AE104" s="29" t="str">
        <f>IFERROR(
IF(AND(OR(AC104="C",AC104="c"), VLOOKUP(AF104,[1]Diccionario!B:N,13,0)="C"), "OK",IF(AND(OR(AC104="C",AC104="c"), OR(VLOOKUP(AF104,[1]Diccionario!B:N,13,0)="B", VLOOKUP(AF104,[1]Diccionario!B:N,13,0)="A")), "DEFICIT",IF(
AND(OR(AC104="B", AC104="BPAL"), VLOOKUP(AF104,[1]Diccionario!B:N,13,0)="B"), "OK",IF(AND(OR(AC104="B", AC104="BPAL"), VLOOKUP(AF104,[1]Diccionario!B:N,13,0)="A"), "DEFICIT",IF(AND(OR(AC104="B", AC104="BPAL"), VLOOKUP(AF104,[1]Diccionario!B:N,13,0)="C"), "SOBREOFERTA",IF(AND(AC104="A", VLOOKUP(AF104,[1]Diccionario!B:N,13,0)="A"), "OK",IF(
AND(AC104="A", OR(VLOOKUP(AF104,[1]Diccionario!B:N,13,0)="B", VLOOKUP(AF104,[1]Diccionario!B:N,13,0)="C")), "SOBREOFERTA",""
))))))),"")</f>
        <v/>
      </c>
      <c r="AF104" s="48"/>
      <c r="AG104" s="53"/>
      <c r="AH104" s="54"/>
      <c r="AI104" s="55" t="str">
        <f t="shared" si="32"/>
        <v/>
      </c>
      <c r="AJ104" s="46"/>
      <c r="AK104" s="34" t="e">
        <f>IF(AB104&lt;&gt;"",HLOOKUP(VALUE(TEXT(AH104,"h:mm:ss")),IF($C$6="Laboral",[1]Input!$A$4:$Y$227,IF($C$6="Sábado",[1]Input!$A$231:$Y$452,[1]Input!$A$456:$Y$656)),VLOOKUP($C$4,[1]Input!$AG$2:$AI$99,3,0)+IF(AD$5="Ida",0,1),1),"")</f>
        <v>#N/A</v>
      </c>
      <c r="AL104" s="34" t="str">
        <f>IF(AB105&lt;&gt;AB104,AVERAGEIF(AB$9:AB104,AB104,AK$9:AK104),"")</f>
        <v/>
      </c>
      <c r="AM104" s="35" t="str">
        <f>IFERROR(IF(AB105&lt;&gt;AB104,AVERAGEIF(AB$9:AB104,AB104,AT$9:AT104),""),"")</f>
        <v/>
      </c>
      <c r="AN104" s="35" t="str">
        <f>IFERROR(IF(AB105&lt;&gt;AB104,AVERAGEIF(AB$9:AB104,AB104,AU$9:AU104),""),"")</f>
        <v/>
      </c>
      <c r="AO104" s="35" t="str" cm="1">
        <f t="array" ref="AO104">IFERROR(IF(AB105&lt;&gt;AB104,_xlfn.STDEV.P(IF(AB$9:AB104=AB104,AU$9:AU104)),""),"")</f>
        <v/>
      </c>
      <c r="AP104" s="35" t="str" cm="1">
        <f t="array" ref="AP104">IFERROR(IF(AB105&lt;&gt;AB104,_xlfn.STDEV.P(IF(AB$9:AB104=AB104,AT$9:AT104)),""),"")</f>
        <v/>
      </c>
      <c r="AQ104" s="36" t="str">
        <f t="shared" si="23"/>
        <v/>
      </c>
      <c r="AR104" s="36" t="str">
        <f t="shared" si="24"/>
        <v/>
      </c>
      <c r="AS104" s="36" t="str">
        <f t="shared" si="33"/>
        <v/>
      </c>
      <c r="AT104" s="37" t="str">
        <f t="shared" si="25"/>
        <v/>
      </c>
      <c r="AU104" s="37" t="str">
        <f t="shared" si="26"/>
        <v/>
      </c>
      <c r="AV104" s="54"/>
      <c r="AW104" s="46"/>
      <c r="AX104" s="39" t="str" cm="1">
        <f t="array" ref="AX104">IF(AH104&lt;&gt;"",IF(AND(AX102:AX103&lt;&gt;"IE",AQ104&lt;&gt;0,AS104&lt;&gt;""),IF(IFERROR((AQ104/AS104),0) &lt;=1,IFERROR(AQ104/AS104,""),1),""),"")</f>
        <v/>
      </c>
      <c r="AY104" s="46"/>
      <c r="AZ104" s="57"/>
    </row>
    <row r="105" spans="1:52" ht="15.5" x14ac:dyDescent="0.35">
      <c r="A105" s="51">
        <f t="shared" si="34"/>
        <v>1</v>
      </c>
      <c r="B105" s="52"/>
      <c r="C105" s="52"/>
      <c r="D105" s="29" t="str">
        <f>IFERROR(
IF(AND(OR(Planilla!B105="C",Planilla!B105="c"), VLOOKUP(E105,[1]Diccionario!B:N,13,0)="C"), "OK",IF(AND(OR(Planilla!B105="C",Planilla!B105="c"), OR(VLOOKUP(E105,[1]Diccionario!B:N,13,0)="B", VLOOKUP(E105,[1]Diccionario!B:N,13,0)="A")), "DEFICIT",IF(
AND(OR(Planilla!B105="B", Planilla!B105="BPAL"), VLOOKUP(E105,[1]Diccionario!B:N,13,0)="B"), "OK",IF(AND(OR(Planilla!B105="B", Planilla!B105="BPAL"), VLOOKUP(E105,[1]Diccionario!B:N,13,0)="A"), "DEFICIT",IF(AND(OR(Planilla!B105="B", Planilla!B105="BPAL"), VLOOKUP(E105,[1]Diccionario!B:N,13,0)="C"), "SOBREOFERTA",IF(AND(Planilla!B105="A", VLOOKUP(E105,[1]Diccionario!B:N,13,0)="A"), "OK",IF(
AND(Planilla!B105="A", OR(VLOOKUP(E105,[1]Diccionario!B:N,13,0)="B", VLOOKUP(E105,[1]Diccionario!B:N,13,0)="C")), "SOBREOFERTA",""
))))))),"")</f>
        <v/>
      </c>
      <c r="E105" s="48"/>
      <c r="F105" s="53"/>
      <c r="G105" s="54"/>
      <c r="H105" s="55" t="str">
        <f t="shared" si="27"/>
        <v/>
      </c>
      <c r="I105" s="35"/>
      <c r="J105" s="34" t="e">
        <f>IF(A105&lt;&gt;"",HLOOKUP(VALUE(TEXT(G105,"h:mm:ss")),IF($C$6="Laboral",[1]Input!$A$4:$Y$227,IF($C$6="Sábado",[1]Input!$A$231:$Y$452,[1]Input!$A$456:$Y$656)),VLOOKUP($C$4,[1]Input!$AG$2:$AI$99,3,0)+IF(C$5="Ida",0,1),1),"")</f>
        <v>#N/A</v>
      </c>
      <c r="K105" s="34" t="str">
        <f>IF(A106&lt;&gt;A105,AVERAGEIF(A$9:A105,A105,J$13:J105),"")</f>
        <v/>
      </c>
      <c r="L105" s="35" t="str">
        <f>IFERROR(IF(A106&lt;&gt;A105,AVERAGEIF(A$9:A105,A105,S$13:S105),""),"")</f>
        <v/>
      </c>
      <c r="M105" s="35" t="str">
        <f>IFERROR(IF(A106&lt;&gt;A105,AVERAGEIF(A$9:A105,A105,T$8:T105),""),"")</f>
        <v/>
      </c>
      <c r="N105" s="35" t="str" cm="1">
        <f t="array" ref="N105">IFERROR(IF(A106&lt;&gt;A105,_xlfn.STDEV.P(IF(A$9:A105=A105,T$7:T105)),""),"")</f>
        <v/>
      </c>
      <c r="O105" s="35" t="str" cm="1">
        <f t="array" ref="O105">IFERROR(IF(A106&lt;&gt;A105,_xlfn.STDEV.P(IF(A$9:A105=A105,S$7:S105)),""),"")</f>
        <v/>
      </c>
      <c r="P105" s="36" t="str">
        <f t="shared" si="20"/>
        <v/>
      </c>
      <c r="Q105" s="36" t="str">
        <f t="shared" si="21"/>
        <v/>
      </c>
      <c r="R105" s="36" t="str">
        <f t="shared" si="28"/>
        <v/>
      </c>
      <c r="S105" s="37" t="str">
        <f t="shared" si="29"/>
        <v/>
      </c>
      <c r="T105" s="37" t="str">
        <f t="shared" si="22"/>
        <v/>
      </c>
      <c r="U105" s="54"/>
      <c r="V105" s="46"/>
      <c r="W105" s="39" t="str">
        <f t="shared" si="30"/>
        <v/>
      </c>
      <c r="X105" s="38"/>
      <c r="Y105" s="48"/>
      <c r="AB105" s="56">
        <f t="shared" si="31"/>
        <v>1</v>
      </c>
      <c r="AC105" s="52"/>
      <c r="AD105" s="52"/>
      <c r="AE105" s="29" t="str">
        <f>IFERROR(
IF(AND(OR(AC105="C",AC105="c"), VLOOKUP(AF105,[1]Diccionario!B:N,13,0)="C"), "OK",IF(AND(OR(AC105="C",AC105="c"), OR(VLOOKUP(AF105,[1]Diccionario!B:N,13,0)="B", VLOOKUP(AF105,[1]Diccionario!B:N,13,0)="A")), "DEFICIT",IF(
AND(OR(AC105="B", AC105="BPAL"), VLOOKUP(AF105,[1]Diccionario!B:N,13,0)="B"), "OK",IF(AND(OR(AC105="B", AC105="BPAL"), VLOOKUP(AF105,[1]Diccionario!B:N,13,0)="A"), "DEFICIT",IF(AND(OR(AC105="B", AC105="BPAL"), VLOOKUP(AF105,[1]Diccionario!B:N,13,0)="C"), "SOBREOFERTA",IF(AND(AC105="A", VLOOKUP(AF105,[1]Diccionario!B:N,13,0)="A"), "OK",IF(
AND(AC105="A", OR(VLOOKUP(AF105,[1]Diccionario!B:N,13,0)="B", VLOOKUP(AF105,[1]Diccionario!B:N,13,0)="C")), "SOBREOFERTA",""
))))))),"")</f>
        <v/>
      </c>
      <c r="AF105" s="48"/>
      <c r="AG105" s="53"/>
      <c r="AH105" s="54"/>
      <c r="AI105" s="55" t="str">
        <f t="shared" si="32"/>
        <v/>
      </c>
      <c r="AJ105" s="46"/>
      <c r="AK105" s="34" t="e">
        <f>IF(AB105&lt;&gt;"",HLOOKUP(VALUE(TEXT(AH105,"h:mm:ss")),IF($C$6="Laboral",[1]Input!$A$4:$Y$227,IF($C$6="Sábado",[1]Input!$A$231:$Y$452,[1]Input!$A$456:$Y$656)),VLOOKUP($C$4,[1]Input!$AG$2:$AI$99,3,0)+IF(AD$5="Ida",0,1),1),"")</f>
        <v>#N/A</v>
      </c>
      <c r="AL105" s="34" t="str">
        <f>IF(AB106&lt;&gt;AB105,AVERAGEIF(AB$9:AB105,AB105,AK$9:AK105),"")</f>
        <v/>
      </c>
      <c r="AM105" s="35" t="str">
        <f>IFERROR(IF(AB106&lt;&gt;AB105,AVERAGEIF(AB$9:AB105,AB105,AT$9:AT105),""),"")</f>
        <v/>
      </c>
      <c r="AN105" s="35" t="str">
        <f>IFERROR(IF(AB106&lt;&gt;AB105,AVERAGEIF(AB$9:AB105,AB105,AU$9:AU105),""),"")</f>
        <v/>
      </c>
      <c r="AO105" s="35" t="str" cm="1">
        <f t="array" ref="AO105">IFERROR(IF(AB106&lt;&gt;AB105,_xlfn.STDEV.P(IF(AB$9:AB105=AB105,AU$9:AU105)),""),"")</f>
        <v/>
      </c>
      <c r="AP105" s="35" t="str" cm="1">
        <f t="array" ref="AP105">IFERROR(IF(AB106&lt;&gt;AB105,_xlfn.STDEV.P(IF(AB$9:AB105=AB105,AT$9:AT105)),""),"")</f>
        <v/>
      </c>
      <c r="AQ105" s="36" t="str">
        <f t="shared" si="23"/>
        <v/>
      </c>
      <c r="AR105" s="36" t="str">
        <f t="shared" si="24"/>
        <v/>
      </c>
      <c r="AS105" s="36" t="str">
        <f t="shared" si="33"/>
        <v/>
      </c>
      <c r="AT105" s="37" t="str">
        <f t="shared" si="25"/>
        <v/>
      </c>
      <c r="AU105" s="37" t="str">
        <f t="shared" si="26"/>
        <v/>
      </c>
      <c r="AV105" s="54"/>
      <c r="AW105" s="46"/>
      <c r="AX105" s="39" t="str" cm="1">
        <f t="array" ref="AX105">IF(AH105&lt;&gt;"",IF(AND(AX103:AX104&lt;&gt;"IE",AQ105&lt;&gt;0,AS105&lt;&gt;""),IF(IFERROR((AQ105/AS105),0) &lt;=1,IFERROR(AQ105/AS105,""),1),""),"")</f>
        <v/>
      </c>
      <c r="AY105" s="46"/>
      <c r="AZ105" s="57"/>
    </row>
    <row r="106" spans="1:52" ht="15.5" x14ac:dyDescent="0.35">
      <c r="A106" s="51">
        <f t="shared" si="34"/>
        <v>1</v>
      </c>
      <c r="B106" s="52"/>
      <c r="C106" s="52"/>
      <c r="D106" s="29" t="str">
        <f>IFERROR(
IF(AND(OR(Planilla!B106="C",Planilla!B106="c"), VLOOKUP(E106,[1]Diccionario!B:N,13,0)="C"), "OK",IF(AND(OR(Planilla!B106="C",Planilla!B106="c"), OR(VLOOKUP(E106,[1]Diccionario!B:N,13,0)="B", VLOOKUP(E106,[1]Diccionario!B:N,13,0)="A")), "DEFICIT",IF(
AND(OR(Planilla!B106="B", Planilla!B106="BPAL"), VLOOKUP(E106,[1]Diccionario!B:N,13,0)="B"), "OK",IF(AND(OR(Planilla!B106="B", Planilla!B106="BPAL"), VLOOKUP(E106,[1]Diccionario!B:N,13,0)="A"), "DEFICIT",IF(AND(OR(Planilla!B106="B", Planilla!B106="BPAL"), VLOOKUP(E106,[1]Diccionario!B:N,13,0)="C"), "SOBREOFERTA",IF(AND(Planilla!B106="A", VLOOKUP(E106,[1]Diccionario!B:N,13,0)="A"), "OK",IF(
AND(Planilla!B106="A", OR(VLOOKUP(E106,[1]Diccionario!B:N,13,0)="B", VLOOKUP(E106,[1]Diccionario!B:N,13,0)="C")), "SOBREOFERTA",""
))))))),"")</f>
        <v/>
      </c>
      <c r="E106" s="48"/>
      <c r="F106" s="53"/>
      <c r="G106" s="54"/>
      <c r="H106" s="55" t="str">
        <f t="shared" si="27"/>
        <v/>
      </c>
      <c r="I106" s="35"/>
      <c r="J106" s="34" t="e">
        <f>IF(A106&lt;&gt;"",HLOOKUP(VALUE(TEXT(G106,"h:mm:ss")),IF($C$6="Laboral",[1]Input!$A$4:$Y$227,IF($C$6="Sábado",[1]Input!$A$231:$Y$452,[1]Input!$A$456:$Y$656)),VLOOKUP($C$4,[1]Input!$AG$2:$AI$99,3,0)+IF(C$5="Ida",0,1),1),"")</f>
        <v>#N/A</v>
      </c>
      <c r="K106" s="34" t="str">
        <f>IF(A107&lt;&gt;A106,AVERAGEIF(A$9:A106,A106,J$13:J106),"")</f>
        <v/>
      </c>
      <c r="L106" s="35" t="str">
        <f>IFERROR(IF(A107&lt;&gt;A106,AVERAGEIF(A$9:A106,A106,S$13:S106),""),"")</f>
        <v/>
      </c>
      <c r="M106" s="35" t="str">
        <f>IFERROR(IF(A107&lt;&gt;A106,AVERAGEIF(A$9:A106,A106,T$8:T106),""),"")</f>
        <v/>
      </c>
      <c r="N106" s="35" t="str" cm="1">
        <f t="array" ref="N106">IFERROR(IF(A107&lt;&gt;A106,_xlfn.STDEV.P(IF(A$9:A106=A106,T$7:T106)),""),"")</f>
        <v/>
      </c>
      <c r="O106" s="35" t="str" cm="1">
        <f t="array" ref="O106">IFERROR(IF(A107&lt;&gt;A106,_xlfn.STDEV.P(IF(A$9:A106=A106,S$7:S106)),""),"")</f>
        <v/>
      </c>
      <c r="P106" s="36" t="str">
        <f t="shared" si="20"/>
        <v/>
      </c>
      <c r="Q106" s="36" t="str">
        <f t="shared" si="21"/>
        <v/>
      </c>
      <c r="R106" s="36" t="str">
        <f t="shared" si="28"/>
        <v/>
      </c>
      <c r="S106" s="37" t="str">
        <f t="shared" si="29"/>
        <v/>
      </c>
      <c r="T106" s="37" t="str">
        <f t="shared" si="22"/>
        <v/>
      </c>
      <c r="U106" s="54"/>
      <c r="V106" s="46"/>
      <c r="W106" s="39" t="str">
        <f t="shared" si="30"/>
        <v/>
      </c>
      <c r="X106" s="38"/>
      <c r="Y106" s="48"/>
      <c r="AB106" s="56">
        <f t="shared" si="31"/>
        <v>1</v>
      </c>
      <c r="AC106" s="52"/>
      <c r="AD106" s="52"/>
      <c r="AE106" s="29" t="str">
        <f>IFERROR(
IF(AND(OR(AC106="C",AC106="c"), VLOOKUP(AF106,[1]Diccionario!B:N,13,0)="C"), "OK",IF(AND(OR(AC106="C",AC106="c"), OR(VLOOKUP(AF106,[1]Diccionario!B:N,13,0)="B", VLOOKUP(AF106,[1]Diccionario!B:N,13,0)="A")), "DEFICIT",IF(
AND(OR(AC106="B", AC106="BPAL"), VLOOKUP(AF106,[1]Diccionario!B:N,13,0)="B"), "OK",IF(AND(OR(AC106="B", AC106="BPAL"), VLOOKUP(AF106,[1]Diccionario!B:N,13,0)="A"), "DEFICIT",IF(AND(OR(AC106="B", AC106="BPAL"), VLOOKUP(AF106,[1]Diccionario!B:N,13,0)="C"), "SOBREOFERTA",IF(AND(AC106="A", VLOOKUP(AF106,[1]Diccionario!B:N,13,0)="A"), "OK",IF(
AND(AC106="A", OR(VLOOKUP(AF106,[1]Diccionario!B:N,13,0)="B", VLOOKUP(AF106,[1]Diccionario!B:N,13,0)="C")), "SOBREOFERTA",""
))))))),"")</f>
        <v/>
      </c>
      <c r="AF106" s="48"/>
      <c r="AG106" s="53"/>
      <c r="AH106" s="54"/>
      <c r="AI106" s="55" t="str">
        <f t="shared" si="32"/>
        <v/>
      </c>
      <c r="AJ106" s="46"/>
      <c r="AK106" s="34" t="e">
        <f>IF(AB106&lt;&gt;"",HLOOKUP(VALUE(TEXT(AH106,"h:mm:ss")),IF($C$6="Laboral",[1]Input!$A$4:$Y$227,IF($C$6="Sábado",[1]Input!$A$231:$Y$452,[1]Input!$A$456:$Y$656)),VLOOKUP($C$4,[1]Input!$AG$2:$AI$99,3,0)+IF(AD$5="Ida",0,1),1),"")</f>
        <v>#N/A</v>
      </c>
      <c r="AL106" s="34" t="str">
        <f>IF(AB107&lt;&gt;AB106,AVERAGEIF(AB$9:AB106,AB106,AK$9:AK106),"")</f>
        <v/>
      </c>
      <c r="AM106" s="35" t="str">
        <f>IFERROR(IF(AB107&lt;&gt;AB106,AVERAGEIF(AB$9:AB106,AB106,AT$9:AT106),""),"")</f>
        <v/>
      </c>
      <c r="AN106" s="35" t="str">
        <f>IFERROR(IF(AB107&lt;&gt;AB106,AVERAGEIF(AB$9:AB106,AB106,AU$9:AU106),""),"")</f>
        <v/>
      </c>
      <c r="AO106" s="35" t="str" cm="1">
        <f t="array" ref="AO106">IFERROR(IF(AB107&lt;&gt;AB106,_xlfn.STDEV.P(IF(AB$9:AB106=AB106,AU$9:AU106)),""),"")</f>
        <v/>
      </c>
      <c r="AP106" s="35" t="str" cm="1">
        <f t="array" ref="AP106">IFERROR(IF(AB107&lt;&gt;AB106,_xlfn.STDEV.P(IF(AB$9:AB106=AB106,AT$9:AT106)),""),"")</f>
        <v/>
      </c>
      <c r="AQ106" s="36" t="str">
        <f t="shared" si="23"/>
        <v/>
      </c>
      <c r="AR106" s="36" t="str">
        <f t="shared" si="24"/>
        <v/>
      </c>
      <c r="AS106" s="36" t="str">
        <f t="shared" si="33"/>
        <v/>
      </c>
      <c r="AT106" s="37" t="str">
        <f t="shared" si="25"/>
        <v/>
      </c>
      <c r="AU106" s="37" t="str">
        <f t="shared" si="26"/>
        <v/>
      </c>
      <c r="AV106" s="54"/>
      <c r="AW106" s="46"/>
      <c r="AX106" s="39" t="str" cm="1">
        <f t="array" ref="AX106">IF(AH106&lt;&gt;"",IF(AND(AX104:AX105&lt;&gt;"IE",AQ106&lt;&gt;0,AS106&lt;&gt;""),IF(IFERROR((AQ106/AS106),0) &lt;=1,IFERROR(AQ106/AS106,""),1),""),"")</f>
        <v/>
      </c>
      <c r="AY106" s="46"/>
      <c r="AZ106" s="57"/>
    </row>
    <row r="107" spans="1:52" ht="15.5" x14ac:dyDescent="0.35">
      <c r="A107" s="51">
        <f t="shared" si="34"/>
        <v>1</v>
      </c>
      <c r="B107" s="52"/>
      <c r="C107" s="52"/>
      <c r="D107" s="29" t="str">
        <f>IFERROR(
IF(AND(OR(Planilla!B107="C",Planilla!B107="c"), VLOOKUP(E107,[1]Diccionario!B:N,13,0)="C"), "OK",IF(AND(OR(Planilla!B107="C",Planilla!B107="c"), OR(VLOOKUP(E107,[1]Diccionario!B:N,13,0)="B", VLOOKUP(E107,[1]Diccionario!B:N,13,0)="A")), "DEFICIT",IF(
AND(OR(Planilla!B107="B", Planilla!B107="BPAL"), VLOOKUP(E107,[1]Diccionario!B:N,13,0)="B"), "OK",IF(AND(OR(Planilla!B107="B", Planilla!B107="BPAL"), VLOOKUP(E107,[1]Diccionario!B:N,13,0)="A"), "DEFICIT",IF(AND(OR(Planilla!B107="B", Planilla!B107="BPAL"), VLOOKUP(E107,[1]Diccionario!B:N,13,0)="C"), "SOBREOFERTA",IF(AND(Planilla!B107="A", VLOOKUP(E107,[1]Diccionario!B:N,13,0)="A"), "OK",IF(
AND(Planilla!B107="A", OR(VLOOKUP(E107,[1]Diccionario!B:N,13,0)="B", VLOOKUP(E107,[1]Diccionario!B:N,13,0)="C")), "SOBREOFERTA",""
))))))),"")</f>
        <v/>
      </c>
      <c r="E107" s="48"/>
      <c r="F107" s="53"/>
      <c r="G107" s="54"/>
      <c r="H107" s="55" t="str">
        <f t="shared" si="27"/>
        <v/>
      </c>
      <c r="I107" s="35"/>
      <c r="J107" s="34" t="e">
        <f>IF(A107&lt;&gt;"",HLOOKUP(VALUE(TEXT(G107,"h:mm:ss")),IF($C$6="Laboral",[1]Input!$A$4:$Y$227,IF($C$6="Sábado",[1]Input!$A$231:$Y$452,[1]Input!$A$456:$Y$656)),VLOOKUP($C$4,[1]Input!$AG$2:$AI$99,3,0)+IF(C$5="Ida",0,1),1),"")</f>
        <v>#N/A</v>
      </c>
      <c r="K107" s="34" t="str">
        <f>IF(A108&lt;&gt;A107,AVERAGEIF(A$9:A107,A107,J$13:J107),"")</f>
        <v/>
      </c>
      <c r="L107" s="35" t="str">
        <f>IFERROR(IF(A108&lt;&gt;A107,AVERAGEIF(A$9:A107,A107,S$13:S107),""),"")</f>
        <v/>
      </c>
      <c r="M107" s="35" t="str">
        <f>IFERROR(IF(A108&lt;&gt;A107,AVERAGEIF(A$9:A107,A107,T$8:T107),""),"")</f>
        <v/>
      </c>
      <c r="N107" s="35" t="str" cm="1">
        <f t="array" ref="N107">IFERROR(IF(A108&lt;&gt;A107,_xlfn.STDEV.P(IF(A$9:A107=A107,T$7:T107)),""),"")</f>
        <v/>
      </c>
      <c r="O107" s="35" t="str" cm="1">
        <f t="array" ref="O107">IFERROR(IF(A108&lt;&gt;A107,_xlfn.STDEV.P(IF(A$9:A107=A107,S$7:S107)),""),"")</f>
        <v/>
      </c>
      <c r="P107" s="36" t="str">
        <f t="shared" si="20"/>
        <v/>
      </c>
      <c r="Q107" s="36" t="str">
        <f t="shared" si="21"/>
        <v/>
      </c>
      <c r="R107" s="36" t="str">
        <f t="shared" si="28"/>
        <v/>
      </c>
      <c r="S107" s="37" t="str">
        <f t="shared" si="29"/>
        <v/>
      </c>
      <c r="T107" s="37" t="str">
        <f t="shared" si="22"/>
        <v/>
      </c>
      <c r="U107" s="54"/>
      <c r="V107" s="46"/>
      <c r="W107" s="39" t="str">
        <f t="shared" si="30"/>
        <v/>
      </c>
      <c r="X107" s="38"/>
      <c r="Y107" s="48"/>
      <c r="AB107" s="56">
        <f t="shared" si="31"/>
        <v>1</v>
      </c>
      <c r="AC107" s="52"/>
      <c r="AD107" s="52"/>
      <c r="AE107" s="29" t="str">
        <f>IFERROR(
IF(AND(OR(AC107="C",AC107="c"), VLOOKUP(AF107,[1]Diccionario!B:N,13,0)="C"), "OK",IF(AND(OR(AC107="C",AC107="c"), OR(VLOOKUP(AF107,[1]Diccionario!B:N,13,0)="B", VLOOKUP(AF107,[1]Diccionario!B:N,13,0)="A")), "DEFICIT",IF(
AND(OR(AC107="B", AC107="BPAL"), VLOOKUP(AF107,[1]Diccionario!B:N,13,0)="B"), "OK",IF(AND(OR(AC107="B", AC107="BPAL"), VLOOKUP(AF107,[1]Diccionario!B:N,13,0)="A"), "DEFICIT",IF(AND(OR(AC107="B", AC107="BPAL"), VLOOKUP(AF107,[1]Diccionario!B:N,13,0)="C"), "SOBREOFERTA",IF(AND(AC107="A", VLOOKUP(AF107,[1]Diccionario!B:N,13,0)="A"), "OK",IF(
AND(AC107="A", OR(VLOOKUP(AF107,[1]Diccionario!B:N,13,0)="B", VLOOKUP(AF107,[1]Diccionario!B:N,13,0)="C")), "SOBREOFERTA",""
))))))),"")</f>
        <v/>
      </c>
      <c r="AF107" s="48"/>
      <c r="AG107" s="53"/>
      <c r="AH107" s="54"/>
      <c r="AI107" s="55" t="str">
        <f t="shared" si="32"/>
        <v/>
      </c>
      <c r="AJ107" s="46"/>
      <c r="AK107" s="34" t="e">
        <f>IF(AB107&lt;&gt;"",HLOOKUP(VALUE(TEXT(AH107,"h:mm:ss")),IF($C$6="Laboral",[1]Input!$A$4:$Y$227,IF($C$6="Sábado",[1]Input!$A$231:$Y$452,[1]Input!$A$456:$Y$656)),VLOOKUP($C$4,[1]Input!$AG$2:$AI$99,3,0)+IF(AD$5="Ida",0,1),1),"")</f>
        <v>#N/A</v>
      </c>
      <c r="AL107" s="34" t="str">
        <f>IF(AB108&lt;&gt;AB107,AVERAGEIF(AB$9:AB107,AB107,AK$9:AK107),"")</f>
        <v/>
      </c>
      <c r="AM107" s="35" t="str">
        <f>IFERROR(IF(AB108&lt;&gt;AB107,AVERAGEIF(AB$9:AB107,AB107,AT$9:AT107),""),"")</f>
        <v/>
      </c>
      <c r="AN107" s="35" t="str">
        <f>IFERROR(IF(AB108&lt;&gt;AB107,AVERAGEIF(AB$9:AB107,AB107,AU$9:AU107),""),"")</f>
        <v/>
      </c>
      <c r="AO107" s="35" t="str" cm="1">
        <f t="array" ref="AO107">IFERROR(IF(AB108&lt;&gt;AB107,_xlfn.STDEV.P(IF(AB$9:AB107=AB107,AU$9:AU107)),""),"")</f>
        <v/>
      </c>
      <c r="AP107" s="35" t="str" cm="1">
        <f t="array" ref="AP107">IFERROR(IF(AB108&lt;&gt;AB107,_xlfn.STDEV.P(IF(AB$9:AB107=AB107,AT$9:AT107)),""),"")</f>
        <v/>
      </c>
      <c r="AQ107" s="36" t="str">
        <f t="shared" si="23"/>
        <v/>
      </c>
      <c r="AR107" s="36" t="str">
        <f t="shared" si="24"/>
        <v/>
      </c>
      <c r="AS107" s="36" t="str">
        <f t="shared" si="33"/>
        <v/>
      </c>
      <c r="AT107" s="37" t="str">
        <f t="shared" si="25"/>
        <v/>
      </c>
      <c r="AU107" s="37" t="str">
        <f t="shared" si="26"/>
        <v/>
      </c>
      <c r="AV107" s="54"/>
      <c r="AW107" s="46"/>
      <c r="AX107" s="39" t="str" cm="1">
        <f t="array" ref="AX107">IF(AH107&lt;&gt;"",IF(AND(AX105:AX106&lt;&gt;"IE",AQ107&lt;&gt;0,AS107&lt;&gt;""),IF(IFERROR((AQ107/AS107),0) &lt;=1,IFERROR(AQ107/AS107,""),1),""),"")</f>
        <v/>
      </c>
      <c r="AY107" s="46"/>
      <c r="AZ107" s="57"/>
    </row>
    <row r="108" spans="1:52" ht="15.5" x14ac:dyDescent="0.35">
      <c r="A108" s="51">
        <f t="shared" si="34"/>
        <v>1</v>
      </c>
      <c r="B108" s="52"/>
      <c r="C108" s="52"/>
      <c r="D108" s="29" t="str">
        <f>IFERROR(
IF(AND(OR(Planilla!B108="C",Planilla!B108="c"), VLOOKUP(E108,[1]Diccionario!B:N,13,0)="C"), "OK",IF(AND(OR(Planilla!B108="C",Planilla!B108="c"), OR(VLOOKUP(E108,[1]Diccionario!B:N,13,0)="B", VLOOKUP(E108,[1]Diccionario!B:N,13,0)="A")), "DEFICIT",IF(
AND(OR(Planilla!B108="B", Planilla!B108="BPAL"), VLOOKUP(E108,[1]Diccionario!B:N,13,0)="B"), "OK",IF(AND(OR(Planilla!B108="B", Planilla!B108="BPAL"), VLOOKUP(E108,[1]Diccionario!B:N,13,0)="A"), "DEFICIT",IF(AND(OR(Planilla!B108="B", Planilla!B108="BPAL"), VLOOKUP(E108,[1]Diccionario!B:N,13,0)="C"), "SOBREOFERTA",IF(AND(Planilla!B108="A", VLOOKUP(E108,[1]Diccionario!B:N,13,0)="A"), "OK",IF(
AND(Planilla!B108="A", OR(VLOOKUP(E108,[1]Diccionario!B:N,13,0)="B", VLOOKUP(E108,[1]Diccionario!B:N,13,0)="C")), "SOBREOFERTA",""
))))))),"")</f>
        <v/>
      </c>
      <c r="E108" s="48"/>
      <c r="F108" s="53"/>
      <c r="G108" s="54"/>
      <c r="H108" s="55" t="str">
        <f t="shared" si="27"/>
        <v/>
      </c>
      <c r="I108" s="35"/>
      <c r="J108" s="34" t="e">
        <f>IF(A108&lt;&gt;"",HLOOKUP(VALUE(TEXT(G108,"h:mm:ss")),IF($C$6="Laboral",[1]Input!$A$4:$Y$227,IF($C$6="Sábado",[1]Input!$A$231:$Y$452,[1]Input!$A$456:$Y$656)),VLOOKUP($C$4,[1]Input!$AG$2:$AI$99,3,0)+IF(C$5="Ida",0,1),1),"")</f>
        <v>#N/A</v>
      </c>
      <c r="K108" s="34" t="str">
        <f>IF(A109&lt;&gt;A108,AVERAGEIF(A$9:A108,A108,J$13:J108),"")</f>
        <v/>
      </c>
      <c r="L108" s="35" t="str">
        <f>IFERROR(IF(A109&lt;&gt;A108,AVERAGEIF(A$9:A108,A108,S$13:S108),""),"")</f>
        <v/>
      </c>
      <c r="M108" s="35" t="str">
        <f>IFERROR(IF(A109&lt;&gt;A108,AVERAGEIF(A$9:A108,A108,T$8:T108),""),"")</f>
        <v/>
      </c>
      <c r="N108" s="35" t="str" cm="1">
        <f t="array" ref="N108">IFERROR(IF(A109&lt;&gt;A108,_xlfn.STDEV.P(IF(A$9:A108=A108,T$7:T108)),""),"")</f>
        <v/>
      </c>
      <c r="O108" s="35" t="str" cm="1">
        <f t="array" ref="O108">IFERROR(IF(A109&lt;&gt;A108,_xlfn.STDEV.P(IF(A$9:A108=A108,S$7:S108)),""),"")</f>
        <v/>
      </c>
      <c r="P108" s="36" t="str">
        <f t="shared" si="20"/>
        <v/>
      </c>
      <c r="Q108" s="36" t="str">
        <f t="shared" si="21"/>
        <v/>
      </c>
      <c r="R108" s="36" t="str">
        <f t="shared" si="28"/>
        <v/>
      </c>
      <c r="S108" s="37" t="str">
        <f t="shared" si="29"/>
        <v/>
      </c>
      <c r="T108" s="37" t="str">
        <f t="shared" si="22"/>
        <v/>
      </c>
      <c r="U108" s="54"/>
      <c r="V108" s="46"/>
      <c r="W108" s="39" t="str">
        <f t="shared" si="30"/>
        <v/>
      </c>
      <c r="X108" s="38"/>
      <c r="Y108" s="48"/>
      <c r="AB108" s="56">
        <f t="shared" si="31"/>
        <v>1</v>
      </c>
      <c r="AC108" s="52"/>
      <c r="AD108" s="52"/>
      <c r="AE108" s="29" t="str">
        <f>IFERROR(
IF(AND(OR(AC108="C",AC108="c"), VLOOKUP(AF108,[1]Diccionario!B:N,13,0)="C"), "OK",IF(AND(OR(AC108="C",AC108="c"), OR(VLOOKUP(AF108,[1]Diccionario!B:N,13,0)="B", VLOOKUP(AF108,[1]Diccionario!B:N,13,0)="A")), "DEFICIT",IF(
AND(OR(AC108="B", AC108="BPAL"), VLOOKUP(AF108,[1]Diccionario!B:N,13,0)="B"), "OK",IF(AND(OR(AC108="B", AC108="BPAL"), VLOOKUP(AF108,[1]Diccionario!B:N,13,0)="A"), "DEFICIT",IF(AND(OR(AC108="B", AC108="BPAL"), VLOOKUP(AF108,[1]Diccionario!B:N,13,0)="C"), "SOBREOFERTA",IF(AND(AC108="A", VLOOKUP(AF108,[1]Diccionario!B:N,13,0)="A"), "OK",IF(
AND(AC108="A", OR(VLOOKUP(AF108,[1]Diccionario!B:N,13,0)="B", VLOOKUP(AF108,[1]Diccionario!B:N,13,0)="C")), "SOBREOFERTA",""
))))))),"")</f>
        <v/>
      </c>
      <c r="AF108" s="48"/>
      <c r="AG108" s="53"/>
      <c r="AH108" s="54"/>
      <c r="AI108" s="55" t="str">
        <f t="shared" si="32"/>
        <v/>
      </c>
      <c r="AJ108" s="46"/>
      <c r="AK108" s="34" t="e">
        <f>IF(AB108&lt;&gt;"",HLOOKUP(VALUE(TEXT(AH108,"h:mm:ss")),IF($C$6="Laboral",[1]Input!$A$4:$Y$227,IF($C$6="Sábado",[1]Input!$A$231:$Y$452,[1]Input!$A$456:$Y$656)),VLOOKUP($C$4,[1]Input!$AG$2:$AI$99,3,0)+IF(AD$5="Ida",0,1),1),"")</f>
        <v>#N/A</v>
      </c>
      <c r="AL108" s="34" t="str">
        <f>IF(AB109&lt;&gt;AB108,AVERAGEIF(AB$9:AB108,AB108,AK$9:AK108),"")</f>
        <v/>
      </c>
      <c r="AM108" s="35" t="str">
        <f>IFERROR(IF(AB109&lt;&gt;AB108,AVERAGEIF(AB$9:AB108,AB108,AT$9:AT108),""),"")</f>
        <v/>
      </c>
      <c r="AN108" s="35" t="str">
        <f>IFERROR(IF(AB109&lt;&gt;AB108,AVERAGEIF(AB$9:AB108,AB108,AU$9:AU108),""),"")</f>
        <v/>
      </c>
      <c r="AO108" s="35" t="str" cm="1">
        <f t="array" ref="AO108">IFERROR(IF(AB109&lt;&gt;AB108,_xlfn.STDEV.P(IF(AB$9:AB108=AB108,AU$9:AU108)),""),"")</f>
        <v/>
      </c>
      <c r="AP108" s="35" t="str" cm="1">
        <f t="array" ref="AP108">IFERROR(IF(AB109&lt;&gt;AB108,_xlfn.STDEV.P(IF(AB$9:AB108=AB108,AT$9:AT108)),""),"")</f>
        <v/>
      </c>
      <c r="AQ108" s="36" t="str">
        <f t="shared" si="23"/>
        <v/>
      </c>
      <c r="AR108" s="36" t="str">
        <f t="shared" si="24"/>
        <v/>
      </c>
      <c r="AS108" s="36" t="str">
        <f t="shared" si="33"/>
        <v/>
      </c>
      <c r="AT108" s="37" t="str">
        <f t="shared" si="25"/>
        <v/>
      </c>
      <c r="AU108" s="37" t="str">
        <f t="shared" si="26"/>
        <v/>
      </c>
      <c r="AV108" s="54"/>
      <c r="AW108" s="46"/>
      <c r="AX108" s="39" t="str" cm="1">
        <f t="array" ref="AX108">IF(AH108&lt;&gt;"",IF(AND(AX106:AX107&lt;&gt;"IE",AQ108&lt;&gt;0,AS108&lt;&gt;""),IF(IFERROR((AQ108/AS108),0) &lt;=1,IFERROR(AQ108/AS108,""),1),""),"")</f>
        <v/>
      </c>
      <c r="AY108" s="46"/>
      <c r="AZ108" s="57"/>
    </row>
    <row r="109" spans="1:52" ht="15.5" x14ac:dyDescent="0.35">
      <c r="A109" s="51">
        <f t="shared" si="34"/>
        <v>1</v>
      </c>
      <c r="B109" s="52"/>
      <c r="C109" s="52"/>
      <c r="D109" s="29" t="str">
        <f>IFERROR(
IF(AND(OR(Planilla!B109="C",Planilla!B109="c"), VLOOKUP(E109,[1]Diccionario!B:N,13,0)="C"), "OK",IF(AND(OR(Planilla!B109="C",Planilla!B109="c"), OR(VLOOKUP(E109,[1]Diccionario!B:N,13,0)="B", VLOOKUP(E109,[1]Diccionario!B:N,13,0)="A")), "DEFICIT",IF(
AND(OR(Planilla!B109="B", Planilla!B109="BPAL"), VLOOKUP(E109,[1]Diccionario!B:N,13,0)="B"), "OK",IF(AND(OR(Planilla!B109="B", Planilla!B109="BPAL"), VLOOKUP(E109,[1]Diccionario!B:N,13,0)="A"), "DEFICIT",IF(AND(OR(Planilla!B109="B", Planilla!B109="BPAL"), VLOOKUP(E109,[1]Diccionario!B:N,13,0)="C"), "SOBREOFERTA",IF(AND(Planilla!B109="A", VLOOKUP(E109,[1]Diccionario!B:N,13,0)="A"), "OK",IF(
AND(Planilla!B109="A", OR(VLOOKUP(E109,[1]Diccionario!B:N,13,0)="B", VLOOKUP(E109,[1]Diccionario!B:N,13,0)="C")), "SOBREOFERTA",""
))))))),"")</f>
        <v/>
      </c>
      <c r="E109" s="48"/>
      <c r="F109" s="53"/>
      <c r="G109" s="54"/>
      <c r="H109" s="55" t="str">
        <f t="shared" si="27"/>
        <v/>
      </c>
      <c r="I109" s="35"/>
      <c r="J109" s="34" t="e">
        <f>IF(A109&lt;&gt;"",HLOOKUP(VALUE(TEXT(G109,"h:mm:ss")),IF($C$6="Laboral",[1]Input!$A$4:$Y$227,IF($C$6="Sábado",[1]Input!$A$231:$Y$452,[1]Input!$A$456:$Y$656)),VLOOKUP($C$4,[1]Input!$AG$2:$AI$99,3,0)+IF(C$5="Ida",0,1),1),"")</f>
        <v>#N/A</v>
      </c>
      <c r="K109" s="34" t="str">
        <f>IF(A110&lt;&gt;A109,AVERAGEIF(A$9:A109,A109,J$13:J109),"")</f>
        <v/>
      </c>
      <c r="L109" s="35" t="str">
        <f>IFERROR(IF(A110&lt;&gt;A109,AVERAGEIF(A$9:A109,A109,S$13:S109),""),"")</f>
        <v/>
      </c>
      <c r="M109" s="35" t="str">
        <f>IFERROR(IF(A110&lt;&gt;A109,AVERAGEIF(A$9:A109,A109,T$8:T109),""),"")</f>
        <v/>
      </c>
      <c r="N109" s="35" t="str" cm="1">
        <f t="array" ref="N109">IFERROR(IF(A110&lt;&gt;A109,_xlfn.STDEV.P(IF(A$9:A109=A109,T$7:T109)),""),"")</f>
        <v/>
      </c>
      <c r="O109" s="35" t="str" cm="1">
        <f t="array" ref="O109">IFERROR(IF(A110&lt;&gt;A109,_xlfn.STDEV.P(IF(A$9:A109=A109,S$7:S109)),""),"")</f>
        <v/>
      </c>
      <c r="P109" s="36" t="str">
        <f t="shared" si="20"/>
        <v/>
      </c>
      <c r="Q109" s="36" t="str">
        <f t="shared" si="21"/>
        <v/>
      </c>
      <c r="R109" s="36" t="str">
        <f t="shared" si="28"/>
        <v/>
      </c>
      <c r="S109" s="37" t="str">
        <f t="shared" si="29"/>
        <v/>
      </c>
      <c r="T109" s="37" t="str">
        <f t="shared" si="22"/>
        <v/>
      </c>
      <c r="U109" s="54"/>
      <c r="V109" s="46"/>
      <c r="W109" s="39" t="str">
        <f t="shared" si="30"/>
        <v/>
      </c>
      <c r="X109" s="38"/>
      <c r="Y109" s="48"/>
      <c r="AB109" s="56">
        <f t="shared" si="31"/>
        <v>1</v>
      </c>
      <c r="AC109" s="52"/>
      <c r="AD109" s="52"/>
      <c r="AE109" s="29" t="str">
        <f>IFERROR(
IF(AND(OR(AC109="C",AC109="c"), VLOOKUP(AF109,[1]Diccionario!B:N,13,0)="C"), "OK",IF(AND(OR(AC109="C",AC109="c"), OR(VLOOKUP(AF109,[1]Diccionario!B:N,13,0)="B", VLOOKUP(AF109,[1]Diccionario!B:N,13,0)="A")), "DEFICIT",IF(
AND(OR(AC109="B", AC109="BPAL"), VLOOKUP(AF109,[1]Diccionario!B:N,13,0)="B"), "OK",IF(AND(OR(AC109="B", AC109="BPAL"), VLOOKUP(AF109,[1]Diccionario!B:N,13,0)="A"), "DEFICIT",IF(AND(OR(AC109="B", AC109="BPAL"), VLOOKUP(AF109,[1]Diccionario!B:N,13,0)="C"), "SOBREOFERTA",IF(AND(AC109="A", VLOOKUP(AF109,[1]Diccionario!B:N,13,0)="A"), "OK",IF(
AND(AC109="A", OR(VLOOKUP(AF109,[1]Diccionario!B:N,13,0)="B", VLOOKUP(AF109,[1]Diccionario!B:N,13,0)="C")), "SOBREOFERTA",""
))))))),"")</f>
        <v/>
      </c>
      <c r="AF109" s="48"/>
      <c r="AG109" s="53"/>
      <c r="AH109" s="54"/>
      <c r="AI109" s="55" t="str">
        <f t="shared" si="32"/>
        <v/>
      </c>
      <c r="AJ109" s="46"/>
      <c r="AK109" s="34" t="e">
        <f>IF(AB109&lt;&gt;"",HLOOKUP(VALUE(TEXT(AH109,"h:mm:ss")),IF($C$6="Laboral",[1]Input!$A$4:$Y$227,IF($C$6="Sábado",[1]Input!$A$231:$Y$452,[1]Input!$A$456:$Y$656)),VLOOKUP($C$4,[1]Input!$AG$2:$AI$99,3,0)+IF(AD$5="Ida",0,1),1),"")</f>
        <v>#N/A</v>
      </c>
      <c r="AL109" s="34" t="str">
        <f>IF(AB110&lt;&gt;AB109,AVERAGEIF(AB$9:AB109,AB109,AK$9:AK109),"")</f>
        <v/>
      </c>
      <c r="AM109" s="35" t="str">
        <f>IFERROR(IF(AB110&lt;&gt;AB109,AVERAGEIF(AB$9:AB109,AB109,AT$9:AT109),""),"")</f>
        <v/>
      </c>
      <c r="AN109" s="35" t="str">
        <f>IFERROR(IF(AB110&lt;&gt;AB109,AVERAGEIF(AB$9:AB109,AB109,AU$9:AU109),""),"")</f>
        <v/>
      </c>
      <c r="AO109" s="35" t="str" cm="1">
        <f t="array" ref="AO109">IFERROR(IF(AB110&lt;&gt;AB109,_xlfn.STDEV.P(IF(AB$9:AB109=AB109,AU$9:AU109)),""),"")</f>
        <v/>
      </c>
      <c r="AP109" s="35" t="str" cm="1">
        <f t="array" ref="AP109">IFERROR(IF(AB110&lt;&gt;AB109,_xlfn.STDEV.P(IF(AB$9:AB109=AB109,AT$9:AT109)),""),"")</f>
        <v/>
      </c>
      <c r="AQ109" s="36" t="str">
        <f t="shared" si="23"/>
        <v/>
      </c>
      <c r="AR109" s="36" t="str">
        <f t="shared" si="24"/>
        <v/>
      </c>
      <c r="AS109" s="36" t="str">
        <f t="shared" si="33"/>
        <v/>
      </c>
      <c r="AT109" s="37" t="str">
        <f t="shared" si="25"/>
        <v/>
      </c>
      <c r="AU109" s="37" t="str">
        <f t="shared" si="26"/>
        <v/>
      </c>
      <c r="AV109" s="54"/>
      <c r="AW109" s="46"/>
      <c r="AX109" s="39" t="str" cm="1">
        <f t="array" ref="AX109">IF(AH109&lt;&gt;"",IF(AND(AX107:AX108&lt;&gt;"IE",AQ109&lt;&gt;0,AS109&lt;&gt;""),IF(IFERROR((AQ109/AS109),0) &lt;=1,IFERROR(AQ109/AS109,""),1),""),"")</f>
        <v/>
      </c>
      <c r="AY109" s="46"/>
      <c r="AZ109" s="57"/>
    </row>
    <row r="110" spans="1:52" ht="15.5" x14ac:dyDescent="0.35">
      <c r="A110" s="51">
        <f t="shared" si="34"/>
        <v>1</v>
      </c>
      <c r="B110" s="52"/>
      <c r="C110" s="52"/>
      <c r="D110" s="29" t="str">
        <f>IFERROR(
IF(AND(OR(Planilla!B110="C",Planilla!B110="c"), VLOOKUP(E110,[1]Diccionario!B:N,13,0)="C"), "OK",IF(AND(OR(Planilla!B110="C",Planilla!B110="c"), OR(VLOOKUP(E110,[1]Diccionario!B:N,13,0)="B", VLOOKUP(E110,[1]Diccionario!B:N,13,0)="A")), "DEFICIT",IF(
AND(OR(Planilla!B110="B", Planilla!B110="BPAL"), VLOOKUP(E110,[1]Diccionario!B:N,13,0)="B"), "OK",IF(AND(OR(Planilla!B110="B", Planilla!B110="BPAL"), VLOOKUP(E110,[1]Diccionario!B:N,13,0)="A"), "DEFICIT",IF(AND(OR(Planilla!B110="B", Planilla!B110="BPAL"), VLOOKUP(E110,[1]Diccionario!B:N,13,0)="C"), "SOBREOFERTA",IF(AND(Planilla!B110="A", VLOOKUP(E110,[1]Diccionario!B:N,13,0)="A"), "OK",IF(
AND(Planilla!B110="A", OR(VLOOKUP(E110,[1]Diccionario!B:N,13,0)="B", VLOOKUP(E110,[1]Diccionario!B:N,13,0)="C")), "SOBREOFERTA",""
))))))),"")</f>
        <v/>
      </c>
      <c r="E110" s="48"/>
      <c r="F110" s="53"/>
      <c r="G110" s="54"/>
      <c r="H110" s="55" t="str">
        <f t="shared" si="27"/>
        <v/>
      </c>
      <c r="I110" s="35"/>
      <c r="J110" s="34" t="e">
        <f>IF(A110&lt;&gt;"",HLOOKUP(VALUE(TEXT(G110,"h:mm:ss")),IF($C$6="Laboral",[1]Input!$A$4:$Y$227,IF($C$6="Sábado",[1]Input!$A$231:$Y$452,[1]Input!$A$456:$Y$656)),VLOOKUP($C$4,[1]Input!$AG$2:$AI$99,3,0)+IF(C$5="Ida",0,1),1),"")</f>
        <v>#N/A</v>
      </c>
      <c r="K110" s="34" t="str">
        <f>IF(A111&lt;&gt;A110,AVERAGEIF(A$9:A110,A110,J$13:J110),"")</f>
        <v/>
      </c>
      <c r="L110" s="35" t="str">
        <f>IFERROR(IF(A111&lt;&gt;A110,AVERAGEIF(A$9:A110,A110,S$13:S110),""),"")</f>
        <v/>
      </c>
      <c r="M110" s="35" t="str">
        <f>IFERROR(IF(A111&lt;&gt;A110,AVERAGEIF(A$9:A110,A110,T$8:T110),""),"")</f>
        <v/>
      </c>
      <c r="N110" s="35" t="str" cm="1">
        <f t="array" ref="N110">IFERROR(IF(A111&lt;&gt;A110,_xlfn.STDEV.P(IF(A$9:A110=A110,T$7:T110)),""),"")</f>
        <v/>
      </c>
      <c r="O110" s="35" t="str" cm="1">
        <f t="array" ref="O110">IFERROR(IF(A111&lt;&gt;A110,_xlfn.STDEV.P(IF(A$9:A110=A110,S$7:S110)),""),"")</f>
        <v/>
      </c>
      <c r="P110" s="36" t="str">
        <f t="shared" si="20"/>
        <v/>
      </c>
      <c r="Q110" s="36" t="str">
        <f t="shared" si="21"/>
        <v/>
      </c>
      <c r="R110" s="36" t="str">
        <f t="shared" si="28"/>
        <v/>
      </c>
      <c r="S110" s="37" t="str">
        <f t="shared" si="29"/>
        <v/>
      </c>
      <c r="T110" s="37" t="str">
        <f t="shared" si="22"/>
        <v/>
      </c>
      <c r="U110" s="54"/>
      <c r="V110" s="46"/>
      <c r="W110" s="39" t="str">
        <f t="shared" si="30"/>
        <v/>
      </c>
      <c r="X110" s="38"/>
      <c r="Y110" s="48"/>
      <c r="AB110" s="56">
        <f t="shared" si="31"/>
        <v>1</v>
      </c>
      <c r="AC110" s="52"/>
      <c r="AD110" s="52"/>
      <c r="AE110" s="29" t="str">
        <f>IFERROR(
IF(AND(OR(AC110="C",AC110="c"), VLOOKUP(AF110,[1]Diccionario!B:N,13,0)="C"), "OK",IF(AND(OR(AC110="C",AC110="c"), OR(VLOOKUP(AF110,[1]Diccionario!B:N,13,0)="B", VLOOKUP(AF110,[1]Diccionario!B:N,13,0)="A")), "DEFICIT",IF(
AND(OR(AC110="B", AC110="BPAL"), VLOOKUP(AF110,[1]Diccionario!B:N,13,0)="B"), "OK",IF(AND(OR(AC110="B", AC110="BPAL"), VLOOKUP(AF110,[1]Diccionario!B:N,13,0)="A"), "DEFICIT",IF(AND(OR(AC110="B", AC110="BPAL"), VLOOKUP(AF110,[1]Diccionario!B:N,13,0)="C"), "SOBREOFERTA",IF(AND(AC110="A", VLOOKUP(AF110,[1]Diccionario!B:N,13,0)="A"), "OK",IF(
AND(AC110="A", OR(VLOOKUP(AF110,[1]Diccionario!B:N,13,0)="B", VLOOKUP(AF110,[1]Diccionario!B:N,13,0)="C")), "SOBREOFERTA",""
))))))),"")</f>
        <v/>
      </c>
      <c r="AF110" s="48"/>
      <c r="AG110" s="53"/>
      <c r="AH110" s="54"/>
      <c r="AI110" s="55" t="str">
        <f t="shared" si="32"/>
        <v/>
      </c>
      <c r="AJ110" s="46"/>
      <c r="AK110" s="34" t="e">
        <f>IF(AB110&lt;&gt;"",HLOOKUP(VALUE(TEXT(AH110,"h:mm:ss")),IF($C$6="Laboral",[1]Input!$A$4:$Y$227,IF($C$6="Sábado",[1]Input!$A$231:$Y$452,[1]Input!$A$456:$Y$656)),VLOOKUP($C$4,[1]Input!$AG$2:$AI$99,3,0)+IF(AD$5="Ida",0,1),1),"")</f>
        <v>#N/A</v>
      </c>
      <c r="AL110" s="34" t="str">
        <f>IF(AB111&lt;&gt;AB110,AVERAGEIF(AB$9:AB110,AB110,AK$9:AK110),"")</f>
        <v/>
      </c>
      <c r="AM110" s="35" t="str">
        <f>IFERROR(IF(AB111&lt;&gt;AB110,AVERAGEIF(AB$9:AB110,AB110,AT$9:AT110),""),"")</f>
        <v/>
      </c>
      <c r="AN110" s="35" t="str">
        <f>IFERROR(IF(AB111&lt;&gt;AB110,AVERAGEIF(AB$9:AB110,AB110,AU$9:AU110),""),"")</f>
        <v/>
      </c>
      <c r="AO110" s="35" t="str" cm="1">
        <f t="array" ref="AO110">IFERROR(IF(AB111&lt;&gt;AB110,_xlfn.STDEV.P(IF(AB$9:AB110=AB110,AU$9:AU110)),""),"")</f>
        <v/>
      </c>
      <c r="AP110" s="35" t="str" cm="1">
        <f t="array" ref="AP110">IFERROR(IF(AB111&lt;&gt;AB110,_xlfn.STDEV.P(IF(AB$9:AB110=AB110,AT$9:AT110)),""),"")</f>
        <v/>
      </c>
      <c r="AQ110" s="36" t="str">
        <f t="shared" si="23"/>
        <v/>
      </c>
      <c r="AR110" s="36" t="str">
        <f t="shared" si="24"/>
        <v/>
      </c>
      <c r="AS110" s="36" t="str">
        <f t="shared" si="33"/>
        <v/>
      </c>
      <c r="AT110" s="37" t="str">
        <f t="shared" si="25"/>
        <v/>
      </c>
      <c r="AU110" s="37" t="str">
        <f t="shared" si="26"/>
        <v/>
      </c>
      <c r="AV110" s="54"/>
      <c r="AW110" s="46"/>
      <c r="AX110" s="39" t="str" cm="1">
        <f t="array" ref="AX110">IF(AH110&lt;&gt;"",IF(AND(AX108:AX109&lt;&gt;"IE",AQ110&lt;&gt;0,AS110&lt;&gt;""),IF(IFERROR((AQ110/AS110),0) &lt;=1,IFERROR(AQ110/AS110,""),1),""),"")</f>
        <v/>
      </c>
      <c r="AY110" s="46"/>
      <c r="AZ110" s="57"/>
    </row>
    <row r="111" spans="1:52" ht="15.5" x14ac:dyDescent="0.35">
      <c r="A111" s="51">
        <f t="shared" si="34"/>
        <v>1</v>
      </c>
      <c r="B111" s="52"/>
      <c r="C111" s="52"/>
      <c r="D111" s="29" t="str">
        <f>IFERROR(
IF(AND(OR(Planilla!B111="C",Planilla!B111="c"), VLOOKUP(E111,[1]Diccionario!B:N,13,0)="C"), "OK",IF(AND(OR(Planilla!B111="C",Planilla!B111="c"), OR(VLOOKUP(E111,[1]Diccionario!B:N,13,0)="B", VLOOKUP(E111,[1]Diccionario!B:N,13,0)="A")), "DEFICIT",IF(
AND(OR(Planilla!B111="B", Planilla!B111="BPAL"), VLOOKUP(E111,[1]Diccionario!B:N,13,0)="B"), "OK",IF(AND(OR(Planilla!B111="B", Planilla!B111="BPAL"), VLOOKUP(E111,[1]Diccionario!B:N,13,0)="A"), "DEFICIT",IF(AND(OR(Planilla!B111="B", Planilla!B111="BPAL"), VLOOKUP(E111,[1]Diccionario!B:N,13,0)="C"), "SOBREOFERTA",IF(AND(Planilla!B111="A", VLOOKUP(E111,[1]Diccionario!B:N,13,0)="A"), "OK",IF(
AND(Planilla!B111="A", OR(VLOOKUP(E111,[1]Diccionario!B:N,13,0)="B", VLOOKUP(E111,[1]Diccionario!B:N,13,0)="C")), "SOBREOFERTA",""
))))))),"")</f>
        <v/>
      </c>
      <c r="E111" s="48"/>
      <c r="F111" s="53"/>
      <c r="G111" s="54"/>
      <c r="H111" s="55" t="str">
        <f t="shared" si="27"/>
        <v/>
      </c>
      <c r="I111" s="35"/>
      <c r="J111" s="34" t="e">
        <f>IF(A111&lt;&gt;"",HLOOKUP(VALUE(TEXT(G111,"h:mm:ss")),IF($C$6="Laboral",[1]Input!$A$4:$Y$227,IF($C$6="Sábado",[1]Input!$A$231:$Y$452,[1]Input!$A$456:$Y$656)),VLOOKUP($C$4,[1]Input!$AG$2:$AI$99,3,0)+IF(C$5="Ida",0,1),1),"")</f>
        <v>#N/A</v>
      </c>
      <c r="K111" s="34" t="str">
        <f>IF(A112&lt;&gt;A111,AVERAGEIF(A$9:A111,A111,J$13:J111),"")</f>
        <v/>
      </c>
      <c r="L111" s="35" t="str">
        <f>IFERROR(IF(A112&lt;&gt;A111,AVERAGEIF(A$9:A111,A111,S$13:S111),""),"")</f>
        <v/>
      </c>
      <c r="M111" s="35" t="str">
        <f>IFERROR(IF(A112&lt;&gt;A111,AVERAGEIF(A$9:A111,A111,T$8:T111),""),"")</f>
        <v/>
      </c>
      <c r="N111" s="35" t="str" cm="1">
        <f t="array" ref="N111">IFERROR(IF(A112&lt;&gt;A111,_xlfn.STDEV.P(IF(A$9:A111=A111,T$7:T111)),""),"")</f>
        <v/>
      </c>
      <c r="O111" s="35" t="str" cm="1">
        <f t="array" ref="O111">IFERROR(IF(A112&lt;&gt;A111,_xlfn.STDEV.P(IF(A$9:A111=A111,S$7:S111)),""),"")</f>
        <v/>
      </c>
      <c r="P111" s="36" t="str">
        <f t="shared" si="20"/>
        <v/>
      </c>
      <c r="Q111" s="36" t="str">
        <f t="shared" si="21"/>
        <v/>
      </c>
      <c r="R111" s="36" t="str">
        <f t="shared" si="28"/>
        <v/>
      </c>
      <c r="S111" s="37" t="str">
        <f t="shared" si="29"/>
        <v/>
      </c>
      <c r="T111" s="37" t="str">
        <f t="shared" si="22"/>
        <v/>
      </c>
      <c r="U111" s="54"/>
      <c r="V111" s="46"/>
      <c r="W111" s="39" t="str">
        <f t="shared" si="30"/>
        <v/>
      </c>
      <c r="X111" s="38"/>
      <c r="Y111" s="48"/>
      <c r="AB111" s="56">
        <f t="shared" si="31"/>
        <v>1</v>
      </c>
      <c r="AC111" s="52"/>
      <c r="AD111" s="52"/>
      <c r="AE111" s="29" t="str">
        <f>IFERROR(
IF(AND(OR(AC111="C",AC111="c"), VLOOKUP(AF111,[1]Diccionario!B:N,13,0)="C"), "OK",IF(AND(OR(AC111="C",AC111="c"), OR(VLOOKUP(AF111,[1]Diccionario!B:N,13,0)="B", VLOOKUP(AF111,[1]Diccionario!B:N,13,0)="A")), "DEFICIT",IF(
AND(OR(AC111="B", AC111="BPAL"), VLOOKUP(AF111,[1]Diccionario!B:N,13,0)="B"), "OK",IF(AND(OR(AC111="B", AC111="BPAL"), VLOOKUP(AF111,[1]Diccionario!B:N,13,0)="A"), "DEFICIT",IF(AND(OR(AC111="B", AC111="BPAL"), VLOOKUP(AF111,[1]Diccionario!B:N,13,0)="C"), "SOBREOFERTA",IF(AND(AC111="A", VLOOKUP(AF111,[1]Diccionario!B:N,13,0)="A"), "OK",IF(
AND(AC111="A", OR(VLOOKUP(AF111,[1]Diccionario!B:N,13,0)="B", VLOOKUP(AF111,[1]Diccionario!B:N,13,0)="C")), "SOBREOFERTA",""
))))))),"")</f>
        <v/>
      </c>
      <c r="AF111" s="48"/>
      <c r="AG111" s="53"/>
      <c r="AH111" s="54"/>
      <c r="AI111" s="55" t="str">
        <f t="shared" si="32"/>
        <v/>
      </c>
      <c r="AJ111" s="46"/>
      <c r="AK111" s="34" t="e">
        <f>IF(AB111&lt;&gt;"",HLOOKUP(VALUE(TEXT(AH111,"h:mm:ss")),IF($C$6="Laboral",[1]Input!$A$4:$Y$227,IF($C$6="Sábado",[1]Input!$A$231:$Y$452,[1]Input!$A$456:$Y$656)),VLOOKUP($C$4,[1]Input!$AG$2:$AI$99,3,0)+IF(AD$5="Ida",0,1),1),"")</f>
        <v>#N/A</v>
      </c>
      <c r="AL111" s="34" t="str">
        <f>IF(AB112&lt;&gt;AB111,AVERAGEIF(AB$9:AB111,AB111,AK$9:AK111),"")</f>
        <v/>
      </c>
      <c r="AM111" s="35" t="str">
        <f>IFERROR(IF(AB112&lt;&gt;AB111,AVERAGEIF(AB$9:AB111,AB111,AT$9:AT111),""),"")</f>
        <v/>
      </c>
      <c r="AN111" s="35" t="str">
        <f>IFERROR(IF(AB112&lt;&gt;AB111,AVERAGEIF(AB$9:AB111,AB111,AU$9:AU111),""),"")</f>
        <v/>
      </c>
      <c r="AO111" s="35" t="str" cm="1">
        <f t="array" ref="AO111">IFERROR(IF(AB112&lt;&gt;AB111,_xlfn.STDEV.P(IF(AB$9:AB111=AB111,AU$9:AU111)),""),"")</f>
        <v/>
      </c>
      <c r="AP111" s="35" t="str" cm="1">
        <f t="array" ref="AP111">IFERROR(IF(AB112&lt;&gt;AB111,_xlfn.STDEV.P(IF(AB$9:AB111=AB111,AT$9:AT111)),""),"")</f>
        <v/>
      </c>
      <c r="AQ111" s="36" t="str">
        <f t="shared" si="23"/>
        <v/>
      </c>
      <c r="AR111" s="36" t="str">
        <f t="shared" si="24"/>
        <v/>
      </c>
      <c r="AS111" s="36" t="str">
        <f t="shared" si="33"/>
        <v/>
      </c>
      <c r="AT111" s="37" t="str">
        <f t="shared" si="25"/>
        <v/>
      </c>
      <c r="AU111" s="37" t="str">
        <f t="shared" si="26"/>
        <v/>
      </c>
      <c r="AV111" s="54"/>
      <c r="AW111" s="46"/>
      <c r="AX111" s="39" t="str" cm="1">
        <f t="array" ref="AX111">IF(AH111&lt;&gt;"",IF(AND(AX109:AX110&lt;&gt;"IE",AQ111&lt;&gt;0,AS111&lt;&gt;""),IF(IFERROR((AQ111/AS111),0) &lt;=1,IFERROR(AQ111/AS111,""),1),""),"")</f>
        <v/>
      </c>
      <c r="AY111" s="46"/>
      <c r="AZ111" s="57"/>
    </row>
    <row r="112" spans="1:52" ht="15.5" x14ac:dyDescent="0.35">
      <c r="A112" s="51">
        <f t="shared" si="34"/>
        <v>1</v>
      </c>
      <c r="B112" s="52"/>
      <c r="C112" s="52"/>
      <c r="D112" s="29" t="str">
        <f>IFERROR(
IF(AND(OR(Planilla!B112="C",Planilla!B112="c"), VLOOKUP(E112,[1]Diccionario!B:N,13,0)="C"), "OK",IF(AND(OR(Planilla!B112="C",Planilla!B112="c"), OR(VLOOKUP(E112,[1]Diccionario!B:N,13,0)="B", VLOOKUP(E112,[1]Diccionario!B:N,13,0)="A")), "DEFICIT",IF(
AND(OR(Planilla!B112="B", Planilla!B112="BPAL"), VLOOKUP(E112,[1]Diccionario!B:N,13,0)="B"), "OK",IF(AND(OR(Planilla!B112="B", Planilla!B112="BPAL"), VLOOKUP(E112,[1]Diccionario!B:N,13,0)="A"), "DEFICIT",IF(AND(OR(Planilla!B112="B", Planilla!B112="BPAL"), VLOOKUP(E112,[1]Diccionario!B:N,13,0)="C"), "SOBREOFERTA",IF(AND(Planilla!B112="A", VLOOKUP(E112,[1]Diccionario!B:N,13,0)="A"), "OK",IF(
AND(Planilla!B112="A", OR(VLOOKUP(E112,[1]Diccionario!B:N,13,0)="B", VLOOKUP(E112,[1]Diccionario!B:N,13,0)="C")), "SOBREOFERTA",""
))))))),"")</f>
        <v/>
      </c>
      <c r="E112" s="48"/>
      <c r="F112" s="53"/>
      <c r="G112" s="54"/>
      <c r="H112" s="55" t="str">
        <f t="shared" si="27"/>
        <v/>
      </c>
      <c r="I112" s="35"/>
      <c r="J112" s="34" t="e">
        <f>IF(A112&lt;&gt;"",HLOOKUP(VALUE(TEXT(G112,"h:mm:ss")),IF($C$6="Laboral",[1]Input!$A$4:$Y$227,IF($C$6="Sábado",[1]Input!$A$231:$Y$452,[1]Input!$A$456:$Y$656)),VLOOKUP($C$4,[1]Input!$AG$2:$AI$99,3,0)+IF(C$5="Ida",0,1),1),"")</f>
        <v>#N/A</v>
      </c>
      <c r="K112" s="34" t="str">
        <f>IF(A113&lt;&gt;A112,AVERAGEIF(A$9:A112,A112,J$13:J112),"")</f>
        <v/>
      </c>
      <c r="L112" s="35" t="str">
        <f>IFERROR(IF(A113&lt;&gt;A112,AVERAGEIF(A$9:A112,A112,S$13:S112),""),"")</f>
        <v/>
      </c>
      <c r="M112" s="35" t="str">
        <f>IFERROR(IF(A113&lt;&gt;A112,AVERAGEIF(A$9:A112,A112,T$8:T112),""),"")</f>
        <v/>
      </c>
      <c r="N112" s="35" t="str" cm="1">
        <f t="array" ref="N112">IFERROR(IF(A113&lt;&gt;A112,_xlfn.STDEV.P(IF(A$9:A112=A112,T$7:T112)),""),"")</f>
        <v/>
      </c>
      <c r="O112" s="35" t="str" cm="1">
        <f t="array" ref="O112">IFERROR(IF(A113&lt;&gt;A112,_xlfn.STDEV.P(IF(A$9:A112=A112,S$7:S112)),""),"")</f>
        <v/>
      </c>
      <c r="P112" s="36" t="str">
        <f t="shared" si="20"/>
        <v/>
      </c>
      <c r="Q112" s="36" t="str">
        <f t="shared" si="21"/>
        <v/>
      </c>
      <c r="R112" s="36" t="str">
        <f t="shared" si="28"/>
        <v/>
      </c>
      <c r="S112" s="37" t="str">
        <f t="shared" si="29"/>
        <v/>
      </c>
      <c r="T112" s="37" t="str">
        <f t="shared" si="22"/>
        <v/>
      </c>
      <c r="U112" s="54"/>
      <c r="V112" s="46"/>
      <c r="W112" s="39" t="str">
        <f t="shared" si="30"/>
        <v/>
      </c>
      <c r="X112" s="38"/>
      <c r="Y112" s="48"/>
      <c r="AB112" s="56">
        <f t="shared" si="31"/>
        <v>1</v>
      </c>
      <c r="AC112" s="52"/>
      <c r="AD112" s="52"/>
      <c r="AE112" s="29" t="str">
        <f>IFERROR(
IF(AND(OR(AC112="C",AC112="c"), VLOOKUP(AF112,[1]Diccionario!B:N,13,0)="C"), "OK",IF(AND(OR(AC112="C",AC112="c"), OR(VLOOKUP(AF112,[1]Diccionario!B:N,13,0)="B", VLOOKUP(AF112,[1]Diccionario!B:N,13,0)="A")), "DEFICIT",IF(
AND(OR(AC112="B", AC112="BPAL"), VLOOKUP(AF112,[1]Diccionario!B:N,13,0)="B"), "OK",IF(AND(OR(AC112="B", AC112="BPAL"), VLOOKUP(AF112,[1]Diccionario!B:N,13,0)="A"), "DEFICIT",IF(AND(OR(AC112="B", AC112="BPAL"), VLOOKUP(AF112,[1]Diccionario!B:N,13,0)="C"), "SOBREOFERTA",IF(AND(AC112="A", VLOOKUP(AF112,[1]Diccionario!B:N,13,0)="A"), "OK",IF(
AND(AC112="A", OR(VLOOKUP(AF112,[1]Diccionario!B:N,13,0)="B", VLOOKUP(AF112,[1]Diccionario!B:N,13,0)="C")), "SOBREOFERTA",""
))))))),"")</f>
        <v/>
      </c>
      <c r="AF112" s="48"/>
      <c r="AG112" s="53"/>
      <c r="AH112" s="54"/>
      <c r="AI112" s="55" t="str">
        <f t="shared" si="32"/>
        <v/>
      </c>
      <c r="AJ112" s="46"/>
      <c r="AK112" s="34" t="e">
        <f>IF(AB112&lt;&gt;"",HLOOKUP(VALUE(TEXT(AH112,"h:mm:ss")),IF($C$6="Laboral",[1]Input!$A$4:$Y$227,IF($C$6="Sábado",[1]Input!$A$231:$Y$452,[1]Input!$A$456:$Y$656)),VLOOKUP($C$4,[1]Input!$AG$2:$AI$99,3,0)+IF(AD$5="Ida",0,1),1),"")</f>
        <v>#N/A</v>
      </c>
      <c r="AL112" s="34" t="str">
        <f>IF(AB113&lt;&gt;AB112,AVERAGEIF(AB$9:AB112,AB112,AK$9:AK112),"")</f>
        <v/>
      </c>
      <c r="AM112" s="35" t="str">
        <f>IFERROR(IF(AB113&lt;&gt;AB112,AVERAGEIF(AB$9:AB112,AB112,AT$9:AT112),""),"")</f>
        <v/>
      </c>
      <c r="AN112" s="35" t="str">
        <f>IFERROR(IF(AB113&lt;&gt;AB112,AVERAGEIF(AB$9:AB112,AB112,AU$9:AU112),""),"")</f>
        <v/>
      </c>
      <c r="AO112" s="35" t="str" cm="1">
        <f t="array" ref="AO112">IFERROR(IF(AB113&lt;&gt;AB112,_xlfn.STDEV.P(IF(AB$9:AB112=AB112,AU$9:AU112)),""),"")</f>
        <v/>
      </c>
      <c r="AP112" s="35" t="str" cm="1">
        <f t="array" ref="AP112">IFERROR(IF(AB113&lt;&gt;AB112,_xlfn.STDEV.P(IF(AB$9:AB112=AB112,AT$9:AT112)),""),"")</f>
        <v/>
      </c>
      <c r="AQ112" s="36" t="str">
        <f t="shared" si="23"/>
        <v/>
      </c>
      <c r="AR112" s="36" t="str">
        <f t="shared" si="24"/>
        <v/>
      </c>
      <c r="AS112" s="36" t="str">
        <f t="shared" si="33"/>
        <v/>
      </c>
      <c r="AT112" s="37" t="str">
        <f t="shared" si="25"/>
        <v/>
      </c>
      <c r="AU112" s="37" t="str">
        <f t="shared" si="26"/>
        <v/>
      </c>
      <c r="AV112" s="54"/>
      <c r="AW112" s="46"/>
      <c r="AX112" s="39" t="str" cm="1">
        <f t="array" ref="AX112">IF(AH112&lt;&gt;"",IF(AND(AX110:AX111&lt;&gt;"IE",AQ112&lt;&gt;0,AS112&lt;&gt;""),IF(IFERROR((AQ112/AS112),0) &lt;=1,IFERROR(AQ112/AS112,""),1),""),"")</f>
        <v/>
      </c>
      <c r="AY112" s="46"/>
      <c r="AZ112" s="57"/>
    </row>
    <row r="113" spans="1:52" ht="15.5" x14ac:dyDescent="0.35">
      <c r="A113" s="51">
        <f t="shared" si="34"/>
        <v>1</v>
      </c>
      <c r="B113" s="52"/>
      <c r="C113" s="52"/>
      <c r="D113" s="29" t="str">
        <f>IFERROR(
IF(AND(OR(Planilla!B113="C",Planilla!B113="c"), VLOOKUP(E113,[1]Diccionario!B:N,13,0)="C"), "OK",IF(AND(OR(Planilla!B113="C",Planilla!B113="c"), OR(VLOOKUP(E113,[1]Diccionario!B:N,13,0)="B", VLOOKUP(E113,[1]Diccionario!B:N,13,0)="A")), "DEFICIT",IF(
AND(OR(Planilla!B113="B", Planilla!B113="BPAL"), VLOOKUP(E113,[1]Diccionario!B:N,13,0)="B"), "OK",IF(AND(OR(Planilla!B113="B", Planilla!B113="BPAL"), VLOOKUP(E113,[1]Diccionario!B:N,13,0)="A"), "DEFICIT",IF(AND(OR(Planilla!B113="B", Planilla!B113="BPAL"), VLOOKUP(E113,[1]Diccionario!B:N,13,0)="C"), "SOBREOFERTA",IF(AND(Planilla!B113="A", VLOOKUP(E113,[1]Diccionario!B:N,13,0)="A"), "OK",IF(
AND(Planilla!B113="A", OR(VLOOKUP(E113,[1]Diccionario!B:N,13,0)="B", VLOOKUP(E113,[1]Diccionario!B:N,13,0)="C")), "SOBREOFERTA",""
))))))),"")</f>
        <v/>
      </c>
      <c r="E113" s="48"/>
      <c r="F113" s="53"/>
      <c r="G113" s="54"/>
      <c r="H113" s="55" t="str">
        <f t="shared" si="27"/>
        <v/>
      </c>
      <c r="I113" s="35"/>
      <c r="J113" s="34" t="e">
        <f>IF(A113&lt;&gt;"",HLOOKUP(VALUE(TEXT(G113,"h:mm:ss")),IF($C$6="Laboral",[1]Input!$A$4:$Y$227,IF($C$6="Sábado",[1]Input!$A$231:$Y$452,[1]Input!$A$456:$Y$656)),VLOOKUP($C$4,[1]Input!$AG$2:$AI$99,3,0)+IF(C$5="Ida",0,1),1),"")</f>
        <v>#N/A</v>
      </c>
      <c r="K113" s="34" t="str">
        <f>IF(A114&lt;&gt;A113,AVERAGEIF(A$9:A113,A113,J$13:J113),"")</f>
        <v/>
      </c>
      <c r="L113" s="35" t="str">
        <f>IFERROR(IF(A114&lt;&gt;A113,AVERAGEIF(A$9:A113,A113,S$13:S113),""),"")</f>
        <v/>
      </c>
      <c r="M113" s="35" t="str">
        <f>IFERROR(IF(A114&lt;&gt;A113,AVERAGEIF(A$9:A113,A113,T$8:T113),""),"")</f>
        <v/>
      </c>
      <c r="N113" s="35" t="str" cm="1">
        <f t="array" ref="N113">IFERROR(IF(A114&lt;&gt;A113,_xlfn.STDEV.P(IF(A$9:A113=A113,T$7:T113)),""),"")</f>
        <v/>
      </c>
      <c r="O113" s="35" t="str" cm="1">
        <f t="array" ref="O113">IFERROR(IF(A114&lt;&gt;A113,_xlfn.STDEV.P(IF(A$9:A113=A113,S$7:S113)),""),"")</f>
        <v/>
      </c>
      <c r="P113" s="36" t="str">
        <f t="shared" si="20"/>
        <v/>
      </c>
      <c r="Q113" s="36" t="str">
        <f t="shared" si="21"/>
        <v/>
      </c>
      <c r="R113" s="36" t="str">
        <f t="shared" si="28"/>
        <v/>
      </c>
      <c r="S113" s="37" t="str">
        <f t="shared" si="29"/>
        <v/>
      </c>
      <c r="T113" s="37" t="str">
        <f t="shared" si="22"/>
        <v/>
      </c>
      <c r="U113" s="54"/>
      <c r="V113" s="46"/>
      <c r="W113" s="39" t="str">
        <f t="shared" si="30"/>
        <v/>
      </c>
      <c r="X113" s="38"/>
      <c r="Y113" s="48"/>
      <c r="AB113" s="56">
        <f t="shared" si="31"/>
        <v>1</v>
      </c>
      <c r="AC113" s="52"/>
      <c r="AD113" s="52"/>
      <c r="AE113" s="29" t="str">
        <f>IFERROR(
IF(AND(OR(AC113="C",AC113="c"), VLOOKUP(AF113,[1]Diccionario!B:N,13,0)="C"), "OK",IF(AND(OR(AC113="C",AC113="c"), OR(VLOOKUP(AF113,[1]Diccionario!B:N,13,0)="B", VLOOKUP(AF113,[1]Diccionario!B:N,13,0)="A")), "DEFICIT",IF(
AND(OR(AC113="B", AC113="BPAL"), VLOOKUP(AF113,[1]Diccionario!B:N,13,0)="B"), "OK",IF(AND(OR(AC113="B", AC113="BPAL"), VLOOKUP(AF113,[1]Diccionario!B:N,13,0)="A"), "DEFICIT",IF(AND(OR(AC113="B", AC113="BPAL"), VLOOKUP(AF113,[1]Diccionario!B:N,13,0)="C"), "SOBREOFERTA",IF(AND(AC113="A", VLOOKUP(AF113,[1]Diccionario!B:N,13,0)="A"), "OK",IF(
AND(AC113="A", OR(VLOOKUP(AF113,[1]Diccionario!B:N,13,0)="B", VLOOKUP(AF113,[1]Diccionario!B:N,13,0)="C")), "SOBREOFERTA",""
))))))),"")</f>
        <v/>
      </c>
      <c r="AF113" s="48"/>
      <c r="AG113" s="53"/>
      <c r="AH113" s="54"/>
      <c r="AI113" s="55" t="str">
        <f t="shared" si="32"/>
        <v/>
      </c>
      <c r="AJ113" s="46"/>
      <c r="AK113" s="34" t="e">
        <f>IF(AB113&lt;&gt;"",HLOOKUP(VALUE(TEXT(AH113,"h:mm:ss")),IF($C$6="Laboral",[1]Input!$A$4:$Y$227,IF($C$6="Sábado",[1]Input!$A$231:$Y$452,[1]Input!$A$456:$Y$656)),VLOOKUP($C$4,[1]Input!$AG$2:$AI$99,3,0)+IF(AD$5="Ida",0,1),1),"")</f>
        <v>#N/A</v>
      </c>
      <c r="AL113" s="34" t="str">
        <f>IF(AB114&lt;&gt;AB113,AVERAGEIF(AB$9:AB113,AB113,AK$9:AK113),"")</f>
        <v/>
      </c>
      <c r="AM113" s="35" t="str">
        <f>IFERROR(IF(AB114&lt;&gt;AB113,AVERAGEIF(AB$9:AB113,AB113,AT$9:AT113),""),"")</f>
        <v/>
      </c>
      <c r="AN113" s="35" t="str">
        <f>IFERROR(IF(AB114&lt;&gt;AB113,AVERAGEIF(AB$9:AB113,AB113,AU$9:AU113),""),"")</f>
        <v/>
      </c>
      <c r="AO113" s="35" t="str" cm="1">
        <f t="array" ref="AO113">IFERROR(IF(AB114&lt;&gt;AB113,_xlfn.STDEV.P(IF(AB$9:AB113=AB113,AU$9:AU113)),""),"")</f>
        <v/>
      </c>
      <c r="AP113" s="35" t="str" cm="1">
        <f t="array" ref="AP113">IFERROR(IF(AB114&lt;&gt;AB113,_xlfn.STDEV.P(IF(AB$9:AB113=AB113,AT$9:AT113)),""),"")</f>
        <v/>
      </c>
      <c r="AQ113" s="36" t="str">
        <f t="shared" si="23"/>
        <v/>
      </c>
      <c r="AR113" s="36" t="str">
        <f t="shared" si="24"/>
        <v/>
      </c>
      <c r="AS113" s="36" t="str">
        <f t="shared" si="33"/>
        <v/>
      </c>
      <c r="AT113" s="37" t="str">
        <f t="shared" si="25"/>
        <v/>
      </c>
      <c r="AU113" s="37" t="str">
        <f t="shared" si="26"/>
        <v/>
      </c>
      <c r="AV113" s="54"/>
      <c r="AW113" s="46"/>
      <c r="AX113" s="39" t="str" cm="1">
        <f t="array" ref="AX113">IF(AH113&lt;&gt;"",IF(AND(AX111:AX112&lt;&gt;"IE",AQ113&lt;&gt;0,AS113&lt;&gt;""),IF(IFERROR((AQ113/AS113),0) &lt;=1,IFERROR(AQ113/AS113,""),1),""),"")</f>
        <v/>
      </c>
      <c r="AY113" s="46"/>
      <c r="AZ113" s="57"/>
    </row>
    <row r="114" spans="1:52" ht="15.5" x14ac:dyDescent="0.35">
      <c r="A114" s="51">
        <f t="shared" si="34"/>
        <v>1</v>
      </c>
      <c r="B114" s="52"/>
      <c r="C114" s="52"/>
      <c r="D114" s="29" t="str">
        <f>IFERROR(
IF(AND(OR(Planilla!B114="C",Planilla!B114="c"), VLOOKUP(E114,[1]Diccionario!B:N,13,0)="C"), "OK",IF(AND(OR(Planilla!B114="C",Planilla!B114="c"), OR(VLOOKUP(E114,[1]Diccionario!B:N,13,0)="B", VLOOKUP(E114,[1]Diccionario!B:N,13,0)="A")), "DEFICIT",IF(
AND(OR(Planilla!B114="B", Planilla!B114="BPAL"), VLOOKUP(E114,[1]Diccionario!B:N,13,0)="B"), "OK",IF(AND(OR(Planilla!B114="B", Planilla!B114="BPAL"), VLOOKUP(E114,[1]Diccionario!B:N,13,0)="A"), "DEFICIT",IF(AND(OR(Planilla!B114="B", Planilla!B114="BPAL"), VLOOKUP(E114,[1]Diccionario!B:N,13,0)="C"), "SOBREOFERTA",IF(AND(Planilla!B114="A", VLOOKUP(E114,[1]Diccionario!B:N,13,0)="A"), "OK",IF(
AND(Planilla!B114="A", OR(VLOOKUP(E114,[1]Diccionario!B:N,13,0)="B", VLOOKUP(E114,[1]Diccionario!B:N,13,0)="C")), "SOBREOFERTA",""
))))))),"")</f>
        <v/>
      </c>
      <c r="E114" s="48"/>
      <c r="F114" s="53"/>
      <c r="G114" s="54"/>
      <c r="H114" s="55" t="str">
        <f t="shared" si="27"/>
        <v/>
      </c>
      <c r="I114" s="35"/>
      <c r="J114" s="34" t="e">
        <f>IF(A114&lt;&gt;"",HLOOKUP(VALUE(TEXT(G114,"h:mm:ss")),IF($C$6="Laboral",[1]Input!$A$4:$Y$227,IF($C$6="Sábado",[1]Input!$A$231:$Y$452,[1]Input!$A$456:$Y$656)),VLOOKUP($C$4,[1]Input!$AG$2:$AI$99,3,0)+IF(C$5="Ida",0,1),1),"")</f>
        <v>#N/A</v>
      </c>
      <c r="K114" s="34" t="str">
        <f>IF(A115&lt;&gt;A114,AVERAGEIF(A$9:A114,A114,J$13:J114),"")</f>
        <v/>
      </c>
      <c r="L114" s="35" t="str">
        <f>IFERROR(IF(A115&lt;&gt;A114,AVERAGEIF(A$9:A114,A114,S$13:S114),""),"")</f>
        <v/>
      </c>
      <c r="M114" s="35" t="str">
        <f>IFERROR(IF(A115&lt;&gt;A114,AVERAGEIF(A$9:A114,A114,T$8:T114),""),"")</f>
        <v/>
      </c>
      <c r="N114" s="35" t="str" cm="1">
        <f t="array" ref="N114">IFERROR(IF(A115&lt;&gt;A114,_xlfn.STDEV.P(IF(A$9:A114=A114,T$7:T114)),""),"")</f>
        <v/>
      </c>
      <c r="O114" s="35" t="str" cm="1">
        <f t="array" ref="O114">IFERROR(IF(A115&lt;&gt;A114,_xlfn.STDEV.P(IF(A$9:A114=A114,S$7:S114)),""),"")</f>
        <v/>
      </c>
      <c r="P114" s="36" t="str">
        <f t="shared" si="20"/>
        <v/>
      </c>
      <c r="Q114" s="36" t="str">
        <f t="shared" si="21"/>
        <v/>
      </c>
      <c r="R114" s="36" t="str">
        <f t="shared" si="28"/>
        <v/>
      </c>
      <c r="S114" s="37" t="str">
        <f t="shared" si="29"/>
        <v/>
      </c>
      <c r="T114" s="37" t="str">
        <f t="shared" si="22"/>
        <v/>
      </c>
      <c r="U114" s="54"/>
      <c r="V114" s="46"/>
      <c r="W114" s="39" t="str">
        <f t="shared" si="30"/>
        <v/>
      </c>
      <c r="X114" s="38"/>
      <c r="Y114" s="48"/>
      <c r="AB114" s="56">
        <f t="shared" si="31"/>
        <v>1</v>
      </c>
      <c r="AC114" s="52"/>
      <c r="AD114" s="52"/>
      <c r="AE114" s="29" t="str">
        <f>IFERROR(
IF(AND(OR(AC114="C",AC114="c"), VLOOKUP(AF114,[1]Diccionario!B:N,13,0)="C"), "OK",IF(AND(OR(AC114="C",AC114="c"), OR(VLOOKUP(AF114,[1]Diccionario!B:N,13,0)="B", VLOOKUP(AF114,[1]Diccionario!B:N,13,0)="A")), "DEFICIT",IF(
AND(OR(AC114="B", AC114="BPAL"), VLOOKUP(AF114,[1]Diccionario!B:N,13,0)="B"), "OK",IF(AND(OR(AC114="B", AC114="BPAL"), VLOOKUP(AF114,[1]Diccionario!B:N,13,0)="A"), "DEFICIT",IF(AND(OR(AC114="B", AC114="BPAL"), VLOOKUP(AF114,[1]Diccionario!B:N,13,0)="C"), "SOBREOFERTA",IF(AND(AC114="A", VLOOKUP(AF114,[1]Diccionario!B:N,13,0)="A"), "OK",IF(
AND(AC114="A", OR(VLOOKUP(AF114,[1]Diccionario!B:N,13,0)="B", VLOOKUP(AF114,[1]Diccionario!B:N,13,0)="C")), "SOBREOFERTA",""
))))))),"")</f>
        <v/>
      </c>
      <c r="AF114" s="48"/>
      <c r="AG114" s="53"/>
      <c r="AH114" s="54"/>
      <c r="AI114" s="55" t="str">
        <f t="shared" si="32"/>
        <v/>
      </c>
      <c r="AJ114" s="46"/>
      <c r="AK114" s="34" t="e">
        <f>IF(AB114&lt;&gt;"",HLOOKUP(VALUE(TEXT(AH114,"h:mm:ss")),IF($C$6="Laboral",[1]Input!$A$4:$Y$227,IF($C$6="Sábado",[1]Input!$A$231:$Y$452,[1]Input!$A$456:$Y$656)),VLOOKUP($C$4,[1]Input!$AG$2:$AI$99,3,0)+IF(AD$5="Ida",0,1),1),"")</f>
        <v>#N/A</v>
      </c>
      <c r="AL114" s="34" t="str">
        <f>IF(AB115&lt;&gt;AB114,AVERAGEIF(AB$9:AB114,AB114,AK$9:AK114),"")</f>
        <v/>
      </c>
      <c r="AM114" s="35" t="str">
        <f>IFERROR(IF(AB115&lt;&gt;AB114,AVERAGEIF(AB$9:AB114,AB114,AT$9:AT114),""),"")</f>
        <v/>
      </c>
      <c r="AN114" s="35" t="str">
        <f>IFERROR(IF(AB115&lt;&gt;AB114,AVERAGEIF(AB$9:AB114,AB114,AU$9:AU114),""),"")</f>
        <v/>
      </c>
      <c r="AO114" s="35" t="str" cm="1">
        <f t="array" ref="AO114">IFERROR(IF(AB115&lt;&gt;AB114,_xlfn.STDEV.P(IF(AB$9:AB114=AB114,AU$9:AU114)),""),"")</f>
        <v/>
      </c>
      <c r="AP114" s="35" t="str" cm="1">
        <f t="array" ref="AP114">IFERROR(IF(AB115&lt;&gt;AB114,_xlfn.STDEV.P(IF(AB$9:AB114=AB114,AT$9:AT114)),""),"")</f>
        <v/>
      </c>
      <c r="AQ114" s="36" t="str">
        <f t="shared" si="23"/>
        <v/>
      </c>
      <c r="AR114" s="36" t="str">
        <f t="shared" si="24"/>
        <v/>
      </c>
      <c r="AS114" s="36" t="str">
        <f t="shared" si="33"/>
        <v/>
      </c>
      <c r="AT114" s="37" t="str">
        <f t="shared" si="25"/>
        <v/>
      </c>
      <c r="AU114" s="37" t="str">
        <f t="shared" si="26"/>
        <v/>
      </c>
      <c r="AV114" s="54"/>
      <c r="AW114" s="46"/>
      <c r="AX114" s="39" t="str" cm="1">
        <f t="array" ref="AX114">IF(AH114&lt;&gt;"",IF(AND(AX112:AX113&lt;&gt;"IE",AQ114&lt;&gt;0,AS114&lt;&gt;""),IF(IFERROR((AQ114/AS114),0) &lt;=1,IFERROR(AQ114/AS114,""),1),""),"")</f>
        <v/>
      </c>
      <c r="AY114" s="46"/>
      <c r="AZ114" s="57"/>
    </row>
    <row r="115" spans="1:52" ht="15.5" x14ac:dyDescent="0.35">
      <c r="A115" s="51">
        <f t="shared" si="34"/>
        <v>1</v>
      </c>
      <c r="B115" s="52"/>
      <c r="C115" s="52"/>
      <c r="D115" s="29" t="str">
        <f>IFERROR(
IF(AND(OR(Planilla!B115="C",Planilla!B115="c"), VLOOKUP(E115,[1]Diccionario!B:N,13,0)="C"), "OK",IF(AND(OR(Planilla!B115="C",Planilla!B115="c"), OR(VLOOKUP(E115,[1]Diccionario!B:N,13,0)="B", VLOOKUP(E115,[1]Diccionario!B:N,13,0)="A")), "DEFICIT",IF(
AND(OR(Planilla!B115="B", Planilla!B115="BPAL"), VLOOKUP(E115,[1]Diccionario!B:N,13,0)="B"), "OK",IF(AND(OR(Planilla!B115="B", Planilla!B115="BPAL"), VLOOKUP(E115,[1]Diccionario!B:N,13,0)="A"), "DEFICIT",IF(AND(OR(Planilla!B115="B", Planilla!B115="BPAL"), VLOOKUP(E115,[1]Diccionario!B:N,13,0)="C"), "SOBREOFERTA",IF(AND(Planilla!B115="A", VLOOKUP(E115,[1]Diccionario!B:N,13,0)="A"), "OK",IF(
AND(Planilla!B115="A", OR(VLOOKUP(E115,[1]Diccionario!B:N,13,0)="B", VLOOKUP(E115,[1]Diccionario!B:N,13,0)="C")), "SOBREOFERTA",""
))))))),"")</f>
        <v/>
      </c>
      <c r="E115" s="48"/>
      <c r="F115" s="53"/>
      <c r="G115" s="54"/>
      <c r="H115" s="55" t="str">
        <f t="shared" si="27"/>
        <v/>
      </c>
      <c r="I115" s="35"/>
      <c r="J115" s="34" t="e">
        <f>IF(A115&lt;&gt;"",HLOOKUP(VALUE(TEXT(G115,"h:mm:ss")),IF($C$6="Laboral",[1]Input!$A$4:$Y$227,IF($C$6="Sábado",[1]Input!$A$231:$Y$452,[1]Input!$A$456:$Y$656)),VLOOKUP($C$4,[1]Input!$AG$2:$AI$99,3,0)+IF(C$5="Ida",0,1),1),"")</f>
        <v>#N/A</v>
      </c>
      <c r="K115" s="34" t="str">
        <f>IF(A116&lt;&gt;A115,AVERAGEIF(A$9:A115,A115,J$13:J115),"")</f>
        <v/>
      </c>
      <c r="L115" s="35" t="str">
        <f>IFERROR(IF(A116&lt;&gt;A115,AVERAGEIF(A$9:A115,A115,S$13:S115),""),"")</f>
        <v/>
      </c>
      <c r="M115" s="35" t="str">
        <f>IFERROR(IF(A116&lt;&gt;A115,AVERAGEIF(A$9:A115,A115,T$8:T115),""),"")</f>
        <v/>
      </c>
      <c r="N115" s="35" t="str" cm="1">
        <f t="array" ref="N115">IFERROR(IF(A116&lt;&gt;A115,_xlfn.STDEV.P(IF(A$9:A115=A115,T$7:T115)),""),"")</f>
        <v/>
      </c>
      <c r="O115" s="35" t="str" cm="1">
        <f t="array" ref="O115">IFERROR(IF(A116&lt;&gt;A115,_xlfn.STDEV.P(IF(A$9:A115=A115,S$7:S115)),""),"")</f>
        <v/>
      </c>
      <c r="P115" s="36" t="str">
        <f t="shared" si="20"/>
        <v/>
      </c>
      <c r="Q115" s="36" t="str">
        <f t="shared" si="21"/>
        <v/>
      </c>
      <c r="R115" s="36" t="str">
        <f t="shared" si="28"/>
        <v/>
      </c>
      <c r="S115" s="37" t="str">
        <f t="shared" si="29"/>
        <v/>
      </c>
      <c r="T115" s="37" t="str">
        <f t="shared" si="22"/>
        <v/>
      </c>
      <c r="U115" s="54"/>
      <c r="V115" s="46"/>
      <c r="W115" s="39" t="str">
        <f t="shared" si="30"/>
        <v/>
      </c>
      <c r="X115" s="38"/>
      <c r="Y115" s="48"/>
      <c r="AB115" s="56">
        <f t="shared" si="31"/>
        <v>1</v>
      </c>
      <c r="AC115" s="52"/>
      <c r="AD115" s="52"/>
      <c r="AE115" s="29" t="str">
        <f>IFERROR(
IF(AND(OR(AC115="C",AC115="c"), VLOOKUP(AF115,[1]Diccionario!B:N,13,0)="C"), "OK",IF(AND(OR(AC115="C",AC115="c"), OR(VLOOKUP(AF115,[1]Diccionario!B:N,13,0)="B", VLOOKUP(AF115,[1]Diccionario!B:N,13,0)="A")), "DEFICIT",IF(
AND(OR(AC115="B", AC115="BPAL"), VLOOKUP(AF115,[1]Diccionario!B:N,13,0)="B"), "OK",IF(AND(OR(AC115="B", AC115="BPAL"), VLOOKUP(AF115,[1]Diccionario!B:N,13,0)="A"), "DEFICIT",IF(AND(OR(AC115="B", AC115="BPAL"), VLOOKUP(AF115,[1]Diccionario!B:N,13,0)="C"), "SOBREOFERTA",IF(AND(AC115="A", VLOOKUP(AF115,[1]Diccionario!B:N,13,0)="A"), "OK",IF(
AND(AC115="A", OR(VLOOKUP(AF115,[1]Diccionario!B:N,13,0)="B", VLOOKUP(AF115,[1]Diccionario!B:N,13,0)="C")), "SOBREOFERTA",""
))))))),"")</f>
        <v/>
      </c>
      <c r="AF115" s="48"/>
      <c r="AG115" s="53"/>
      <c r="AH115" s="54"/>
      <c r="AI115" s="55" t="str">
        <f t="shared" si="32"/>
        <v/>
      </c>
      <c r="AJ115" s="46"/>
      <c r="AK115" s="34" t="e">
        <f>IF(AB115&lt;&gt;"",HLOOKUP(VALUE(TEXT(AH115,"h:mm:ss")),IF($C$6="Laboral",[1]Input!$A$4:$Y$227,IF($C$6="Sábado",[1]Input!$A$231:$Y$452,[1]Input!$A$456:$Y$656)),VLOOKUP($C$4,[1]Input!$AG$2:$AI$99,3,0)+IF(AD$5="Ida",0,1),1),"")</f>
        <v>#N/A</v>
      </c>
      <c r="AL115" s="34" t="str">
        <f>IF(AB116&lt;&gt;AB115,AVERAGEIF(AB$9:AB115,AB115,AK$9:AK115),"")</f>
        <v/>
      </c>
      <c r="AM115" s="35" t="str">
        <f>IFERROR(IF(AB116&lt;&gt;AB115,AVERAGEIF(AB$9:AB115,AB115,AT$9:AT115),""),"")</f>
        <v/>
      </c>
      <c r="AN115" s="35" t="str">
        <f>IFERROR(IF(AB116&lt;&gt;AB115,AVERAGEIF(AB$9:AB115,AB115,AU$9:AU115),""),"")</f>
        <v/>
      </c>
      <c r="AO115" s="35" t="str" cm="1">
        <f t="array" ref="AO115">IFERROR(IF(AB116&lt;&gt;AB115,_xlfn.STDEV.P(IF(AB$9:AB115=AB115,AU$9:AU115)),""),"")</f>
        <v/>
      </c>
      <c r="AP115" s="35" t="str" cm="1">
        <f t="array" ref="AP115">IFERROR(IF(AB116&lt;&gt;AB115,_xlfn.STDEV.P(IF(AB$9:AB115=AB115,AT$9:AT115)),""),"")</f>
        <v/>
      </c>
      <c r="AQ115" s="36" t="str">
        <f t="shared" si="23"/>
        <v/>
      </c>
      <c r="AR115" s="36" t="str">
        <f t="shared" si="24"/>
        <v/>
      </c>
      <c r="AS115" s="36" t="str">
        <f t="shared" si="33"/>
        <v/>
      </c>
      <c r="AT115" s="37" t="str">
        <f t="shared" si="25"/>
        <v/>
      </c>
      <c r="AU115" s="37" t="str">
        <f t="shared" si="26"/>
        <v/>
      </c>
      <c r="AV115" s="54"/>
      <c r="AW115" s="46"/>
      <c r="AX115" s="39" t="str" cm="1">
        <f t="array" ref="AX115">IF(AH115&lt;&gt;"",IF(AND(AX113:AX114&lt;&gt;"IE",AQ115&lt;&gt;0,AS115&lt;&gt;""),IF(IFERROR((AQ115/AS115),0) &lt;=1,IFERROR(AQ115/AS115,""),1),""),"")</f>
        <v/>
      </c>
      <c r="AY115" s="46"/>
      <c r="AZ115" s="57"/>
    </row>
    <row r="116" spans="1:52" ht="15.5" x14ac:dyDescent="0.35">
      <c r="A116" s="51">
        <f t="shared" si="34"/>
        <v>1</v>
      </c>
      <c r="B116" s="52"/>
      <c r="C116" s="52"/>
      <c r="D116" s="29" t="str">
        <f>IFERROR(
IF(AND(OR(Planilla!B116="C",Planilla!B116="c"), VLOOKUP(E116,[1]Diccionario!B:N,13,0)="C"), "OK",IF(AND(OR(Planilla!B116="C",Planilla!B116="c"), OR(VLOOKUP(E116,[1]Diccionario!B:N,13,0)="B", VLOOKUP(E116,[1]Diccionario!B:N,13,0)="A")), "DEFICIT",IF(
AND(OR(Planilla!B116="B", Planilla!B116="BPAL"), VLOOKUP(E116,[1]Diccionario!B:N,13,0)="B"), "OK",IF(AND(OR(Planilla!B116="B", Planilla!B116="BPAL"), VLOOKUP(E116,[1]Diccionario!B:N,13,0)="A"), "DEFICIT",IF(AND(OR(Planilla!B116="B", Planilla!B116="BPAL"), VLOOKUP(E116,[1]Diccionario!B:N,13,0)="C"), "SOBREOFERTA",IF(AND(Planilla!B116="A", VLOOKUP(E116,[1]Diccionario!B:N,13,0)="A"), "OK",IF(
AND(Planilla!B116="A", OR(VLOOKUP(E116,[1]Diccionario!B:N,13,0)="B", VLOOKUP(E116,[1]Diccionario!B:N,13,0)="C")), "SOBREOFERTA",""
))))))),"")</f>
        <v/>
      </c>
      <c r="E116" s="48"/>
      <c r="F116" s="53"/>
      <c r="G116" s="54"/>
      <c r="H116" s="55" t="str">
        <f t="shared" si="27"/>
        <v/>
      </c>
      <c r="I116" s="35"/>
      <c r="J116" s="34" t="e">
        <f>IF(A116&lt;&gt;"",HLOOKUP(VALUE(TEXT(G116,"h:mm:ss")),IF($C$6="Laboral",[1]Input!$A$4:$Y$227,IF($C$6="Sábado",[1]Input!$A$231:$Y$452,[1]Input!$A$456:$Y$656)),VLOOKUP($C$4,[1]Input!$AG$2:$AI$99,3,0)+IF(C$5="Ida",0,1),1),"")</f>
        <v>#N/A</v>
      </c>
      <c r="K116" s="34" t="str">
        <f>IF(A117&lt;&gt;A116,AVERAGEIF(A$9:A116,A116,J$13:J116),"")</f>
        <v/>
      </c>
      <c r="L116" s="35" t="str">
        <f>IFERROR(IF(A117&lt;&gt;A116,AVERAGEIF(A$9:A116,A116,S$13:S116),""),"")</f>
        <v/>
      </c>
      <c r="M116" s="35" t="str">
        <f>IFERROR(IF(A117&lt;&gt;A116,AVERAGEIF(A$9:A116,A116,T$8:T116),""),"")</f>
        <v/>
      </c>
      <c r="N116" s="35" t="str" cm="1">
        <f t="array" ref="N116">IFERROR(IF(A117&lt;&gt;A116,_xlfn.STDEV.P(IF(A$9:A116=A116,T$7:T116)),""),"")</f>
        <v/>
      </c>
      <c r="O116" s="35" t="str" cm="1">
        <f t="array" ref="O116">IFERROR(IF(A117&lt;&gt;A116,_xlfn.STDEV.P(IF(A$9:A116=A116,S$7:S116)),""),"")</f>
        <v/>
      </c>
      <c r="P116" s="36" t="str">
        <f t="shared" si="20"/>
        <v/>
      </c>
      <c r="Q116" s="36" t="str">
        <f t="shared" si="21"/>
        <v/>
      </c>
      <c r="R116" s="36" t="str">
        <f t="shared" si="28"/>
        <v/>
      </c>
      <c r="S116" s="37" t="str">
        <f t="shared" si="29"/>
        <v/>
      </c>
      <c r="T116" s="37" t="str">
        <f t="shared" si="22"/>
        <v/>
      </c>
      <c r="U116" s="54"/>
      <c r="V116" s="46"/>
      <c r="W116" s="39" t="str">
        <f t="shared" si="30"/>
        <v/>
      </c>
      <c r="X116" s="38"/>
      <c r="Y116" s="48"/>
      <c r="AB116" s="56">
        <f t="shared" si="31"/>
        <v>1</v>
      </c>
      <c r="AC116" s="52"/>
      <c r="AD116" s="52"/>
      <c r="AE116" s="29" t="str">
        <f>IFERROR(
IF(AND(OR(AC116="C",AC116="c"), VLOOKUP(AF116,[1]Diccionario!B:N,13,0)="C"), "OK",IF(AND(OR(AC116="C",AC116="c"), OR(VLOOKUP(AF116,[1]Diccionario!B:N,13,0)="B", VLOOKUP(AF116,[1]Diccionario!B:N,13,0)="A")), "DEFICIT",IF(
AND(OR(AC116="B", AC116="BPAL"), VLOOKUP(AF116,[1]Diccionario!B:N,13,0)="B"), "OK",IF(AND(OR(AC116="B", AC116="BPAL"), VLOOKUP(AF116,[1]Diccionario!B:N,13,0)="A"), "DEFICIT",IF(AND(OR(AC116="B", AC116="BPAL"), VLOOKUP(AF116,[1]Diccionario!B:N,13,0)="C"), "SOBREOFERTA",IF(AND(AC116="A", VLOOKUP(AF116,[1]Diccionario!B:N,13,0)="A"), "OK",IF(
AND(AC116="A", OR(VLOOKUP(AF116,[1]Diccionario!B:N,13,0)="B", VLOOKUP(AF116,[1]Diccionario!B:N,13,0)="C")), "SOBREOFERTA",""
))))))),"")</f>
        <v/>
      </c>
      <c r="AF116" s="48"/>
      <c r="AG116" s="53"/>
      <c r="AH116" s="54"/>
      <c r="AI116" s="55" t="str">
        <f t="shared" si="32"/>
        <v/>
      </c>
      <c r="AJ116" s="46"/>
      <c r="AK116" s="34" t="e">
        <f>IF(AB116&lt;&gt;"",HLOOKUP(VALUE(TEXT(AH116,"h:mm:ss")),IF($C$6="Laboral",[1]Input!$A$4:$Y$227,IF($C$6="Sábado",[1]Input!$A$231:$Y$452,[1]Input!$A$456:$Y$656)),VLOOKUP($C$4,[1]Input!$AG$2:$AI$99,3,0)+IF(AD$5="Ida",0,1),1),"")</f>
        <v>#N/A</v>
      </c>
      <c r="AL116" s="34" t="str">
        <f>IF(AB117&lt;&gt;AB116,AVERAGEIF(AB$9:AB116,AB116,AK$9:AK116),"")</f>
        <v/>
      </c>
      <c r="AM116" s="35" t="str">
        <f>IFERROR(IF(AB117&lt;&gt;AB116,AVERAGEIF(AB$9:AB116,AB116,AT$9:AT116),""),"")</f>
        <v/>
      </c>
      <c r="AN116" s="35" t="str">
        <f>IFERROR(IF(AB117&lt;&gt;AB116,AVERAGEIF(AB$9:AB116,AB116,AU$9:AU116),""),"")</f>
        <v/>
      </c>
      <c r="AO116" s="35" t="str" cm="1">
        <f t="array" ref="AO116">IFERROR(IF(AB117&lt;&gt;AB116,_xlfn.STDEV.P(IF(AB$9:AB116=AB116,AU$9:AU116)),""),"")</f>
        <v/>
      </c>
      <c r="AP116" s="35" t="str" cm="1">
        <f t="array" ref="AP116">IFERROR(IF(AB117&lt;&gt;AB116,_xlfn.STDEV.P(IF(AB$9:AB116=AB116,AT$9:AT116)),""),"")</f>
        <v/>
      </c>
      <c r="AQ116" s="36" t="str">
        <f t="shared" si="23"/>
        <v/>
      </c>
      <c r="AR116" s="36" t="str">
        <f t="shared" si="24"/>
        <v/>
      </c>
      <c r="AS116" s="36" t="str">
        <f t="shared" si="33"/>
        <v/>
      </c>
      <c r="AT116" s="37" t="str">
        <f t="shared" si="25"/>
        <v/>
      </c>
      <c r="AU116" s="37" t="str">
        <f t="shared" si="26"/>
        <v/>
      </c>
      <c r="AV116" s="54"/>
      <c r="AW116" s="46"/>
      <c r="AX116" s="39" t="str" cm="1">
        <f t="array" ref="AX116">IF(AH116&lt;&gt;"",IF(AND(AX114:AX115&lt;&gt;"IE",AQ116&lt;&gt;0,AS116&lt;&gt;""),IF(IFERROR((AQ116/AS116),0) &lt;=1,IFERROR(AQ116/AS116,""),1),""),"")</f>
        <v/>
      </c>
      <c r="AY116" s="46"/>
      <c r="AZ116" s="57"/>
    </row>
    <row r="117" spans="1:52" ht="15.5" x14ac:dyDescent="0.35">
      <c r="A117" s="51">
        <f t="shared" si="34"/>
        <v>1</v>
      </c>
      <c r="B117" s="52"/>
      <c r="C117" s="52"/>
      <c r="D117" s="29" t="str">
        <f>IFERROR(
IF(AND(OR(Planilla!B117="C",Planilla!B117="c"), VLOOKUP(E117,[1]Diccionario!B:N,13,0)="C"), "OK",IF(AND(OR(Planilla!B117="C",Planilla!B117="c"), OR(VLOOKUP(E117,[1]Diccionario!B:N,13,0)="B", VLOOKUP(E117,[1]Diccionario!B:N,13,0)="A")), "DEFICIT",IF(
AND(OR(Planilla!B117="B", Planilla!B117="BPAL"), VLOOKUP(E117,[1]Diccionario!B:N,13,0)="B"), "OK",IF(AND(OR(Planilla!B117="B", Planilla!B117="BPAL"), VLOOKUP(E117,[1]Diccionario!B:N,13,0)="A"), "DEFICIT",IF(AND(OR(Planilla!B117="B", Planilla!B117="BPAL"), VLOOKUP(E117,[1]Diccionario!B:N,13,0)="C"), "SOBREOFERTA",IF(AND(Planilla!B117="A", VLOOKUP(E117,[1]Diccionario!B:N,13,0)="A"), "OK",IF(
AND(Planilla!B117="A", OR(VLOOKUP(E117,[1]Diccionario!B:N,13,0)="B", VLOOKUP(E117,[1]Diccionario!B:N,13,0)="C")), "SOBREOFERTA",""
))))))),"")</f>
        <v/>
      </c>
      <c r="E117" s="48"/>
      <c r="F117" s="53"/>
      <c r="G117" s="54"/>
      <c r="H117" s="55" t="str">
        <f t="shared" si="27"/>
        <v/>
      </c>
      <c r="I117" s="35"/>
      <c r="J117" s="34" t="e">
        <f>IF(A117&lt;&gt;"",HLOOKUP(VALUE(TEXT(G117,"h:mm:ss")),IF($C$6="Laboral",[1]Input!$A$4:$Y$227,IF($C$6="Sábado",[1]Input!$A$231:$Y$452,[1]Input!$A$456:$Y$656)),VLOOKUP($C$4,[1]Input!$AG$2:$AI$99,3,0)+IF(C$5="Ida",0,1),1),"")</f>
        <v>#N/A</v>
      </c>
      <c r="K117" s="34" t="str">
        <f>IF(A118&lt;&gt;A117,AVERAGEIF(A$9:A117,A117,J$13:J117),"")</f>
        <v/>
      </c>
      <c r="L117" s="35" t="str">
        <f>IFERROR(IF(A118&lt;&gt;A117,AVERAGEIF(A$9:A117,A117,S$13:S117),""),"")</f>
        <v/>
      </c>
      <c r="M117" s="35" t="str">
        <f>IFERROR(IF(A118&lt;&gt;A117,AVERAGEIF(A$9:A117,A117,T$8:T117),""),"")</f>
        <v/>
      </c>
      <c r="N117" s="35" t="str" cm="1">
        <f t="array" ref="N117">IFERROR(IF(A118&lt;&gt;A117,_xlfn.STDEV.P(IF(A$9:A117=A117,T$7:T117)),""),"")</f>
        <v/>
      </c>
      <c r="O117" s="35" t="str" cm="1">
        <f t="array" ref="O117">IFERROR(IF(A118&lt;&gt;A117,_xlfn.STDEV.P(IF(A$9:A117=A117,S$7:S117)),""),"")</f>
        <v/>
      </c>
      <c r="P117" s="36" t="str">
        <f t="shared" si="20"/>
        <v/>
      </c>
      <c r="Q117" s="36" t="str">
        <f t="shared" si="21"/>
        <v/>
      </c>
      <c r="R117" s="36" t="str">
        <f t="shared" si="28"/>
        <v/>
      </c>
      <c r="S117" s="37" t="str">
        <f t="shared" si="29"/>
        <v/>
      </c>
      <c r="T117" s="37" t="str">
        <f t="shared" si="22"/>
        <v/>
      </c>
      <c r="U117" s="54"/>
      <c r="V117" s="46"/>
      <c r="W117" s="39" t="str">
        <f t="shared" si="30"/>
        <v/>
      </c>
      <c r="X117" s="38"/>
      <c r="Y117" s="48"/>
      <c r="AB117" s="56">
        <f t="shared" si="31"/>
        <v>1</v>
      </c>
      <c r="AC117" s="52"/>
      <c r="AD117" s="52"/>
      <c r="AE117" s="29" t="str">
        <f>IFERROR(
IF(AND(OR(AC117="C",AC117="c"), VLOOKUP(AF117,[1]Diccionario!B:N,13,0)="C"), "OK",IF(AND(OR(AC117="C",AC117="c"), OR(VLOOKUP(AF117,[1]Diccionario!B:N,13,0)="B", VLOOKUP(AF117,[1]Diccionario!B:N,13,0)="A")), "DEFICIT",IF(
AND(OR(AC117="B", AC117="BPAL"), VLOOKUP(AF117,[1]Diccionario!B:N,13,0)="B"), "OK",IF(AND(OR(AC117="B", AC117="BPAL"), VLOOKUP(AF117,[1]Diccionario!B:N,13,0)="A"), "DEFICIT",IF(AND(OR(AC117="B", AC117="BPAL"), VLOOKUP(AF117,[1]Diccionario!B:N,13,0)="C"), "SOBREOFERTA",IF(AND(AC117="A", VLOOKUP(AF117,[1]Diccionario!B:N,13,0)="A"), "OK",IF(
AND(AC117="A", OR(VLOOKUP(AF117,[1]Diccionario!B:N,13,0)="B", VLOOKUP(AF117,[1]Diccionario!B:N,13,0)="C")), "SOBREOFERTA",""
))))))),"")</f>
        <v/>
      </c>
      <c r="AF117" s="48"/>
      <c r="AG117" s="53"/>
      <c r="AH117" s="54"/>
      <c r="AI117" s="55" t="str">
        <f t="shared" si="32"/>
        <v/>
      </c>
      <c r="AJ117" s="46"/>
      <c r="AK117" s="34" t="e">
        <f>IF(AB117&lt;&gt;"",HLOOKUP(VALUE(TEXT(AH117,"h:mm:ss")),IF($C$6="Laboral",[1]Input!$A$4:$Y$227,IF($C$6="Sábado",[1]Input!$A$231:$Y$452,[1]Input!$A$456:$Y$656)),VLOOKUP($C$4,[1]Input!$AG$2:$AI$99,3,0)+IF(AD$5="Ida",0,1),1),"")</f>
        <v>#N/A</v>
      </c>
      <c r="AL117" s="34" t="str">
        <f>IF(AB118&lt;&gt;AB117,AVERAGEIF(AB$9:AB117,AB117,AK$9:AK117),"")</f>
        <v/>
      </c>
      <c r="AM117" s="35" t="str">
        <f>IFERROR(IF(AB118&lt;&gt;AB117,AVERAGEIF(AB$9:AB117,AB117,AT$9:AT117),""),"")</f>
        <v/>
      </c>
      <c r="AN117" s="35" t="str">
        <f>IFERROR(IF(AB118&lt;&gt;AB117,AVERAGEIF(AB$9:AB117,AB117,AU$9:AU117),""),"")</f>
        <v/>
      </c>
      <c r="AO117" s="35" t="str" cm="1">
        <f t="array" ref="AO117">IFERROR(IF(AB118&lt;&gt;AB117,_xlfn.STDEV.P(IF(AB$9:AB117=AB117,AU$9:AU117)),""),"")</f>
        <v/>
      </c>
      <c r="AP117" s="35" t="str" cm="1">
        <f t="array" ref="AP117">IFERROR(IF(AB118&lt;&gt;AB117,_xlfn.STDEV.P(IF(AB$9:AB117=AB117,AT$9:AT117)),""),"")</f>
        <v/>
      </c>
      <c r="AQ117" s="36" t="str">
        <f t="shared" si="23"/>
        <v/>
      </c>
      <c r="AR117" s="36" t="str">
        <f t="shared" si="24"/>
        <v/>
      </c>
      <c r="AS117" s="36" t="str">
        <f t="shared" si="33"/>
        <v/>
      </c>
      <c r="AT117" s="37" t="str">
        <f t="shared" si="25"/>
        <v/>
      </c>
      <c r="AU117" s="37" t="str">
        <f t="shared" si="26"/>
        <v/>
      </c>
      <c r="AV117" s="54"/>
      <c r="AW117" s="46"/>
      <c r="AX117" s="39" t="str" cm="1">
        <f t="array" ref="AX117">IF(AH117&lt;&gt;"",IF(AND(AX115:AX116&lt;&gt;"IE",AQ117&lt;&gt;0,AS117&lt;&gt;""),IF(IFERROR((AQ117/AS117),0) &lt;=1,IFERROR(AQ117/AS117,""),1),""),"")</f>
        <v/>
      </c>
      <c r="AY117" s="46"/>
      <c r="AZ117" s="57"/>
    </row>
    <row r="118" spans="1:52" ht="15.5" x14ac:dyDescent="0.35">
      <c r="A118" s="51">
        <f t="shared" si="34"/>
        <v>1</v>
      </c>
      <c r="B118" s="52"/>
      <c r="C118" s="52"/>
      <c r="D118" s="29" t="str">
        <f>IFERROR(
IF(AND(OR(Planilla!B118="C",Planilla!B118="c"), VLOOKUP(E118,[1]Diccionario!B:N,13,0)="C"), "OK",IF(AND(OR(Planilla!B118="C",Planilla!B118="c"), OR(VLOOKUP(E118,[1]Diccionario!B:N,13,0)="B", VLOOKUP(E118,[1]Diccionario!B:N,13,0)="A")), "DEFICIT",IF(
AND(OR(Planilla!B118="B", Planilla!B118="BPAL"), VLOOKUP(E118,[1]Diccionario!B:N,13,0)="B"), "OK",IF(AND(OR(Planilla!B118="B", Planilla!B118="BPAL"), VLOOKUP(E118,[1]Diccionario!B:N,13,0)="A"), "DEFICIT",IF(AND(OR(Planilla!B118="B", Planilla!B118="BPAL"), VLOOKUP(E118,[1]Diccionario!B:N,13,0)="C"), "SOBREOFERTA",IF(AND(Planilla!B118="A", VLOOKUP(E118,[1]Diccionario!B:N,13,0)="A"), "OK",IF(
AND(Planilla!B118="A", OR(VLOOKUP(E118,[1]Diccionario!B:N,13,0)="B", VLOOKUP(E118,[1]Diccionario!B:N,13,0)="C")), "SOBREOFERTA",""
))))))),"")</f>
        <v/>
      </c>
      <c r="E118" s="48"/>
      <c r="F118" s="53"/>
      <c r="G118" s="54"/>
      <c r="H118" s="55" t="str">
        <f t="shared" si="27"/>
        <v/>
      </c>
      <c r="I118" s="35"/>
      <c r="J118" s="34" t="e">
        <f>IF(A118&lt;&gt;"",HLOOKUP(VALUE(TEXT(G118,"h:mm:ss")),IF($C$6="Laboral",[1]Input!$A$4:$Y$227,IF($C$6="Sábado",[1]Input!$A$231:$Y$452,[1]Input!$A$456:$Y$656)),VLOOKUP($C$4,[1]Input!$AG$2:$AI$99,3,0)+IF(C$5="Ida",0,1),1),"")</f>
        <v>#N/A</v>
      </c>
      <c r="K118" s="34" t="str">
        <f>IF(A119&lt;&gt;A118,AVERAGEIF(A$9:A118,A118,J$13:J118),"")</f>
        <v/>
      </c>
      <c r="L118" s="35" t="str">
        <f>IFERROR(IF(A119&lt;&gt;A118,AVERAGEIF(A$9:A118,A118,S$13:S118),""),"")</f>
        <v/>
      </c>
      <c r="M118" s="35" t="str">
        <f>IFERROR(IF(A119&lt;&gt;A118,AVERAGEIF(A$9:A118,A118,T$8:T118),""),"")</f>
        <v/>
      </c>
      <c r="N118" s="35" t="str" cm="1">
        <f t="array" ref="N118">IFERROR(IF(A119&lt;&gt;A118,_xlfn.STDEV.P(IF(A$9:A118=A118,T$7:T118)),""),"")</f>
        <v/>
      </c>
      <c r="O118" s="35" t="str" cm="1">
        <f t="array" ref="O118">IFERROR(IF(A119&lt;&gt;A118,_xlfn.STDEV.P(IF(A$9:A118=A118,S$7:S118)),""),"")</f>
        <v/>
      </c>
      <c r="P118" s="36" t="str">
        <f t="shared" si="20"/>
        <v/>
      </c>
      <c r="Q118" s="36" t="str">
        <f t="shared" si="21"/>
        <v/>
      </c>
      <c r="R118" s="36" t="str">
        <f t="shared" si="28"/>
        <v/>
      </c>
      <c r="S118" s="37" t="str">
        <f t="shared" si="29"/>
        <v/>
      </c>
      <c r="T118" s="37" t="str">
        <f t="shared" si="22"/>
        <v/>
      </c>
      <c r="U118" s="54"/>
      <c r="V118" s="46"/>
      <c r="W118" s="39" t="str">
        <f t="shared" si="30"/>
        <v/>
      </c>
      <c r="X118" s="38"/>
      <c r="Y118" s="48"/>
      <c r="AB118" s="56">
        <f t="shared" si="31"/>
        <v>1</v>
      </c>
      <c r="AC118" s="52"/>
      <c r="AD118" s="52"/>
      <c r="AE118" s="29" t="str">
        <f>IFERROR(
IF(AND(OR(AC118="C",AC118="c"), VLOOKUP(AF118,[1]Diccionario!B:N,13,0)="C"), "OK",IF(AND(OR(AC118="C",AC118="c"), OR(VLOOKUP(AF118,[1]Diccionario!B:N,13,0)="B", VLOOKUP(AF118,[1]Diccionario!B:N,13,0)="A")), "DEFICIT",IF(
AND(OR(AC118="B", AC118="BPAL"), VLOOKUP(AF118,[1]Diccionario!B:N,13,0)="B"), "OK",IF(AND(OR(AC118="B", AC118="BPAL"), VLOOKUP(AF118,[1]Diccionario!B:N,13,0)="A"), "DEFICIT",IF(AND(OR(AC118="B", AC118="BPAL"), VLOOKUP(AF118,[1]Diccionario!B:N,13,0)="C"), "SOBREOFERTA",IF(AND(AC118="A", VLOOKUP(AF118,[1]Diccionario!B:N,13,0)="A"), "OK",IF(
AND(AC118="A", OR(VLOOKUP(AF118,[1]Diccionario!B:N,13,0)="B", VLOOKUP(AF118,[1]Diccionario!B:N,13,0)="C")), "SOBREOFERTA",""
))))))),"")</f>
        <v/>
      </c>
      <c r="AF118" s="48"/>
      <c r="AG118" s="53"/>
      <c r="AH118" s="54"/>
      <c r="AI118" s="55" t="str">
        <f t="shared" si="32"/>
        <v/>
      </c>
      <c r="AJ118" s="46"/>
      <c r="AK118" s="34" t="e">
        <f>IF(AB118&lt;&gt;"",HLOOKUP(VALUE(TEXT(AH118,"h:mm:ss")),IF($C$6="Laboral",[1]Input!$A$4:$Y$227,IF($C$6="Sábado",[1]Input!$A$231:$Y$452,[1]Input!$A$456:$Y$656)),VLOOKUP($C$4,[1]Input!$AG$2:$AI$99,3,0)+IF(AD$5="Ida",0,1),1),"")</f>
        <v>#N/A</v>
      </c>
      <c r="AL118" s="34" t="str">
        <f>IF(AB119&lt;&gt;AB118,AVERAGEIF(AB$9:AB118,AB118,AK$9:AK118),"")</f>
        <v/>
      </c>
      <c r="AM118" s="35" t="str">
        <f>IFERROR(IF(AB119&lt;&gt;AB118,AVERAGEIF(AB$9:AB118,AB118,AT$9:AT118),""),"")</f>
        <v/>
      </c>
      <c r="AN118" s="35" t="str">
        <f>IFERROR(IF(AB119&lt;&gt;AB118,AVERAGEIF(AB$9:AB118,AB118,AU$9:AU118),""),"")</f>
        <v/>
      </c>
      <c r="AO118" s="35" t="str" cm="1">
        <f t="array" ref="AO118">IFERROR(IF(AB119&lt;&gt;AB118,_xlfn.STDEV.P(IF(AB$9:AB118=AB118,AU$9:AU118)),""),"")</f>
        <v/>
      </c>
      <c r="AP118" s="35" t="str" cm="1">
        <f t="array" ref="AP118">IFERROR(IF(AB119&lt;&gt;AB118,_xlfn.STDEV.P(IF(AB$9:AB118=AB118,AT$9:AT118)),""),"")</f>
        <v/>
      </c>
      <c r="AQ118" s="36" t="str">
        <f t="shared" si="23"/>
        <v/>
      </c>
      <c r="AR118" s="36" t="str">
        <f t="shared" si="24"/>
        <v/>
      </c>
      <c r="AS118" s="36" t="str">
        <f t="shared" si="33"/>
        <v/>
      </c>
      <c r="AT118" s="37" t="str">
        <f t="shared" si="25"/>
        <v/>
      </c>
      <c r="AU118" s="37" t="str">
        <f t="shared" si="26"/>
        <v/>
      </c>
      <c r="AV118" s="54"/>
      <c r="AW118" s="46"/>
      <c r="AX118" s="39" t="str" cm="1">
        <f t="array" ref="AX118">IF(AH118&lt;&gt;"",IF(AND(AX116:AX117&lt;&gt;"IE",AQ118&lt;&gt;0,AS118&lt;&gt;""),IF(IFERROR((AQ118/AS118),0) &lt;=1,IFERROR(AQ118/AS118,""),1),""),"")</f>
        <v/>
      </c>
      <c r="AY118" s="46"/>
      <c r="AZ118" s="57"/>
    </row>
    <row r="119" spans="1:52" ht="15.5" x14ac:dyDescent="0.35">
      <c r="A119" s="51">
        <f t="shared" si="34"/>
        <v>1</v>
      </c>
      <c r="B119" s="52"/>
      <c r="C119" s="52"/>
      <c r="D119" s="29" t="str">
        <f>IFERROR(
IF(AND(OR(Planilla!B119="C",Planilla!B119="c"), VLOOKUP(E119,[1]Diccionario!B:N,13,0)="C"), "OK",IF(AND(OR(Planilla!B119="C",Planilla!B119="c"), OR(VLOOKUP(E119,[1]Diccionario!B:N,13,0)="B", VLOOKUP(E119,[1]Diccionario!B:N,13,0)="A")), "DEFICIT",IF(
AND(OR(Planilla!B119="B", Planilla!B119="BPAL"), VLOOKUP(E119,[1]Diccionario!B:N,13,0)="B"), "OK",IF(AND(OR(Planilla!B119="B", Planilla!B119="BPAL"), VLOOKUP(E119,[1]Diccionario!B:N,13,0)="A"), "DEFICIT",IF(AND(OR(Planilla!B119="B", Planilla!B119="BPAL"), VLOOKUP(E119,[1]Diccionario!B:N,13,0)="C"), "SOBREOFERTA",IF(AND(Planilla!B119="A", VLOOKUP(E119,[1]Diccionario!B:N,13,0)="A"), "OK",IF(
AND(Planilla!B119="A", OR(VLOOKUP(E119,[1]Diccionario!B:N,13,0)="B", VLOOKUP(E119,[1]Diccionario!B:N,13,0)="C")), "SOBREOFERTA",""
))))))),"")</f>
        <v/>
      </c>
      <c r="E119" s="48"/>
      <c r="F119" s="53"/>
      <c r="G119" s="54"/>
      <c r="H119" s="55" t="str">
        <f t="shared" si="27"/>
        <v/>
      </c>
      <c r="I119" s="35"/>
      <c r="J119" s="34" t="e">
        <f>IF(A119&lt;&gt;"",HLOOKUP(VALUE(TEXT(G119,"h:mm:ss")),IF($C$6="Laboral",[1]Input!$A$4:$Y$227,IF($C$6="Sábado",[1]Input!$A$231:$Y$452,[1]Input!$A$456:$Y$656)),VLOOKUP($C$4,[1]Input!$AG$2:$AI$99,3,0)+IF(C$5="Ida",0,1),1),"")</f>
        <v>#N/A</v>
      </c>
      <c r="K119" s="34" t="str">
        <f>IF(A120&lt;&gt;A119,AVERAGEIF(A$9:A119,A119,J$13:J119),"")</f>
        <v/>
      </c>
      <c r="L119" s="35" t="str">
        <f>IFERROR(IF(A120&lt;&gt;A119,AVERAGEIF(A$9:A119,A119,S$13:S119),""),"")</f>
        <v/>
      </c>
      <c r="M119" s="35" t="str">
        <f>IFERROR(IF(A120&lt;&gt;A119,AVERAGEIF(A$9:A119,A119,T$8:T119),""),"")</f>
        <v/>
      </c>
      <c r="N119" s="35" t="str" cm="1">
        <f t="array" ref="N119">IFERROR(IF(A120&lt;&gt;A119,_xlfn.STDEV.P(IF(A$9:A119=A119,T$7:T119)),""),"")</f>
        <v/>
      </c>
      <c r="O119" s="35" t="str" cm="1">
        <f t="array" ref="O119">IFERROR(IF(A120&lt;&gt;A119,_xlfn.STDEV.P(IF(A$9:A119=A119,S$7:S119)),""),"")</f>
        <v/>
      </c>
      <c r="P119" s="36" t="str">
        <f t="shared" si="20"/>
        <v/>
      </c>
      <c r="Q119" s="36" t="str">
        <f t="shared" si="21"/>
        <v/>
      </c>
      <c r="R119" s="36" t="str">
        <f t="shared" si="28"/>
        <v/>
      </c>
      <c r="S119" s="37" t="str">
        <f t="shared" si="29"/>
        <v/>
      </c>
      <c r="T119" s="37" t="str">
        <f t="shared" si="22"/>
        <v/>
      </c>
      <c r="U119" s="54"/>
      <c r="V119" s="46"/>
      <c r="W119" s="39" t="str">
        <f t="shared" si="30"/>
        <v/>
      </c>
      <c r="X119" s="38"/>
      <c r="Y119" s="48"/>
      <c r="AB119" s="56">
        <f t="shared" si="31"/>
        <v>1</v>
      </c>
      <c r="AC119" s="52"/>
      <c r="AD119" s="52"/>
      <c r="AE119" s="29" t="str">
        <f>IFERROR(
IF(AND(OR(AC119="C",AC119="c"), VLOOKUP(AF119,[1]Diccionario!B:N,13,0)="C"), "OK",IF(AND(OR(AC119="C",AC119="c"), OR(VLOOKUP(AF119,[1]Diccionario!B:N,13,0)="B", VLOOKUP(AF119,[1]Diccionario!B:N,13,0)="A")), "DEFICIT",IF(
AND(OR(AC119="B", AC119="BPAL"), VLOOKUP(AF119,[1]Diccionario!B:N,13,0)="B"), "OK",IF(AND(OR(AC119="B", AC119="BPAL"), VLOOKUP(AF119,[1]Diccionario!B:N,13,0)="A"), "DEFICIT",IF(AND(OR(AC119="B", AC119="BPAL"), VLOOKUP(AF119,[1]Diccionario!B:N,13,0)="C"), "SOBREOFERTA",IF(AND(AC119="A", VLOOKUP(AF119,[1]Diccionario!B:N,13,0)="A"), "OK",IF(
AND(AC119="A", OR(VLOOKUP(AF119,[1]Diccionario!B:N,13,0)="B", VLOOKUP(AF119,[1]Diccionario!B:N,13,0)="C")), "SOBREOFERTA",""
))))))),"")</f>
        <v/>
      </c>
      <c r="AF119" s="48"/>
      <c r="AG119" s="53"/>
      <c r="AH119" s="54"/>
      <c r="AI119" s="55" t="str">
        <f t="shared" si="32"/>
        <v/>
      </c>
      <c r="AJ119" s="46"/>
      <c r="AK119" s="34" t="e">
        <f>IF(AB119&lt;&gt;"",HLOOKUP(VALUE(TEXT(AH119,"h:mm:ss")),IF($C$6="Laboral",[1]Input!$A$4:$Y$227,IF($C$6="Sábado",[1]Input!$A$231:$Y$452,[1]Input!$A$456:$Y$656)),VLOOKUP($C$4,[1]Input!$AG$2:$AI$99,3,0)+IF(AD$5="Ida",0,1),1),"")</f>
        <v>#N/A</v>
      </c>
      <c r="AL119" s="34" t="str">
        <f>IF(AB120&lt;&gt;AB119,AVERAGEIF(AB$9:AB119,AB119,AK$9:AK119),"")</f>
        <v/>
      </c>
      <c r="AM119" s="35" t="str">
        <f>IFERROR(IF(AB120&lt;&gt;AB119,AVERAGEIF(AB$9:AB119,AB119,AT$9:AT119),""),"")</f>
        <v/>
      </c>
      <c r="AN119" s="35" t="str">
        <f>IFERROR(IF(AB120&lt;&gt;AB119,AVERAGEIF(AB$9:AB119,AB119,AU$9:AU119),""),"")</f>
        <v/>
      </c>
      <c r="AO119" s="35" t="str" cm="1">
        <f t="array" ref="AO119">IFERROR(IF(AB120&lt;&gt;AB119,_xlfn.STDEV.P(IF(AB$9:AB119=AB119,AU$9:AU119)),""),"")</f>
        <v/>
      </c>
      <c r="AP119" s="35" t="str" cm="1">
        <f t="array" ref="AP119">IFERROR(IF(AB120&lt;&gt;AB119,_xlfn.STDEV.P(IF(AB$9:AB119=AB119,AT$9:AT119)),""),"")</f>
        <v/>
      </c>
      <c r="AQ119" s="36" t="str">
        <f t="shared" si="23"/>
        <v/>
      </c>
      <c r="AR119" s="36" t="str">
        <f t="shared" si="24"/>
        <v/>
      </c>
      <c r="AS119" s="36" t="str">
        <f t="shared" si="33"/>
        <v/>
      </c>
      <c r="AT119" s="37" t="str">
        <f t="shared" si="25"/>
        <v/>
      </c>
      <c r="AU119" s="37" t="str">
        <f t="shared" si="26"/>
        <v/>
      </c>
      <c r="AV119" s="54"/>
      <c r="AW119" s="46"/>
      <c r="AX119" s="39" t="str" cm="1">
        <f t="array" ref="AX119">IF(AH119&lt;&gt;"",IF(AND(AX117:AX118&lt;&gt;"IE",AQ119&lt;&gt;0,AS119&lt;&gt;""),IF(IFERROR((AQ119/AS119),0) &lt;=1,IFERROR(AQ119/AS119,""),1),""),"")</f>
        <v/>
      </c>
      <c r="AY119" s="46"/>
      <c r="AZ119" s="57"/>
    </row>
    <row r="120" spans="1:52" ht="15.5" x14ac:dyDescent="0.35">
      <c r="A120" s="51">
        <f t="shared" si="34"/>
        <v>1</v>
      </c>
      <c r="B120" s="52"/>
      <c r="C120" s="52"/>
      <c r="D120" s="29" t="str">
        <f>IFERROR(
IF(AND(OR(Planilla!B120="C",Planilla!B120="c"), VLOOKUP(E120,[1]Diccionario!B:N,13,0)="C"), "OK",IF(AND(OR(Planilla!B120="C",Planilla!B120="c"), OR(VLOOKUP(E120,[1]Diccionario!B:N,13,0)="B", VLOOKUP(E120,[1]Diccionario!B:N,13,0)="A")), "DEFICIT",IF(
AND(OR(Planilla!B120="B", Planilla!B120="BPAL"), VLOOKUP(E120,[1]Diccionario!B:N,13,0)="B"), "OK",IF(AND(OR(Planilla!B120="B", Planilla!B120="BPAL"), VLOOKUP(E120,[1]Diccionario!B:N,13,0)="A"), "DEFICIT",IF(AND(OR(Planilla!B120="B", Planilla!B120="BPAL"), VLOOKUP(E120,[1]Diccionario!B:N,13,0)="C"), "SOBREOFERTA",IF(AND(Planilla!B120="A", VLOOKUP(E120,[1]Diccionario!B:N,13,0)="A"), "OK",IF(
AND(Planilla!B120="A", OR(VLOOKUP(E120,[1]Diccionario!B:N,13,0)="B", VLOOKUP(E120,[1]Diccionario!B:N,13,0)="C")), "SOBREOFERTA",""
))))))),"")</f>
        <v/>
      </c>
      <c r="E120" s="48"/>
      <c r="F120" s="53"/>
      <c r="G120" s="54"/>
      <c r="H120" s="55" t="str">
        <f t="shared" si="27"/>
        <v/>
      </c>
      <c r="I120" s="35"/>
      <c r="J120" s="34" t="e">
        <f>IF(A120&lt;&gt;"",HLOOKUP(VALUE(TEXT(G120,"h:mm:ss")),IF($C$6="Laboral",[1]Input!$A$4:$Y$227,IF($C$6="Sábado",[1]Input!$A$231:$Y$452,[1]Input!$A$456:$Y$656)),VLOOKUP($C$4,[1]Input!$AG$2:$AI$99,3,0)+IF(C$5="Ida",0,1),1),"")</f>
        <v>#N/A</v>
      </c>
      <c r="K120" s="34" t="str">
        <f>IF(A121&lt;&gt;A120,AVERAGEIF(A$9:A120,A120,J$13:J120),"")</f>
        <v/>
      </c>
      <c r="L120" s="35" t="str">
        <f>IFERROR(IF(A121&lt;&gt;A120,AVERAGEIF(A$9:A120,A120,S$13:S120),""),"")</f>
        <v/>
      </c>
      <c r="M120" s="35" t="str">
        <f>IFERROR(IF(A121&lt;&gt;A120,AVERAGEIF(A$9:A120,A120,T$8:T120),""),"")</f>
        <v/>
      </c>
      <c r="N120" s="35" t="str" cm="1">
        <f t="array" ref="N120">IFERROR(IF(A121&lt;&gt;A120,_xlfn.STDEV.P(IF(A$9:A120=A120,T$7:T120)),""),"")</f>
        <v/>
      </c>
      <c r="O120" s="35" t="str" cm="1">
        <f t="array" ref="O120">IFERROR(IF(A121&lt;&gt;A120,_xlfn.STDEV.P(IF(A$9:A120=A120,S$7:S120)),""),"")</f>
        <v/>
      </c>
      <c r="P120" s="36" t="str">
        <f t="shared" si="20"/>
        <v/>
      </c>
      <c r="Q120" s="36" t="str">
        <f t="shared" si="21"/>
        <v/>
      </c>
      <c r="R120" s="36" t="str">
        <f t="shared" si="28"/>
        <v/>
      </c>
      <c r="S120" s="37" t="str">
        <f t="shared" si="29"/>
        <v/>
      </c>
      <c r="T120" s="37" t="str">
        <f t="shared" si="22"/>
        <v/>
      </c>
      <c r="U120" s="54"/>
      <c r="V120" s="46"/>
      <c r="W120" s="39" t="str">
        <f t="shared" si="30"/>
        <v/>
      </c>
      <c r="X120" s="38"/>
      <c r="Y120" s="48"/>
      <c r="AB120" s="56">
        <f t="shared" si="31"/>
        <v>1</v>
      </c>
      <c r="AC120" s="52"/>
      <c r="AD120" s="52"/>
      <c r="AE120" s="29" t="str">
        <f>IFERROR(
IF(AND(OR(AC120="C",AC120="c"), VLOOKUP(AF120,[1]Diccionario!B:N,13,0)="C"), "OK",IF(AND(OR(AC120="C",AC120="c"), OR(VLOOKUP(AF120,[1]Diccionario!B:N,13,0)="B", VLOOKUP(AF120,[1]Diccionario!B:N,13,0)="A")), "DEFICIT",IF(
AND(OR(AC120="B", AC120="BPAL"), VLOOKUP(AF120,[1]Diccionario!B:N,13,0)="B"), "OK",IF(AND(OR(AC120="B", AC120="BPAL"), VLOOKUP(AF120,[1]Diccionario!B:N,13,0)="A"), "DEFICIT",IF(AND(OR(AC120="B", AC120="BPAL"), VLOOKUP(AF120,[1]Diccionario!B:N,13,0)="C"), "SOBREOFERTA",IF(AND(AC120="A", VLOOKUP(AF120,[1]Diccionario!B:N,13,0)="A"), "OK",IF(
AND(AC120="A", OR(VLOOKUP(AF120,[1]Diccionario!B:N,13,0)="B", VLOOKUP(AF120,[1]Diccionario!B:N,13,0)="C")), "SOBREOFERTA",""
))))))),"")</f>
        <v/>
      </c>
      <c r="AF120" s="48"/>
      <c r="AG120" s="53"/>
      <c r="AH120" s="54"/>
      <c r="AI120" s="55" t="str">
        <f t="shared" si="32"/>
        <v/>
      </c>
      <c r="AJ120" s="46"/>
      <c r="AK120" s="34" t="e">
        <f>IF(AB120&lt;&gt;"",HLOOKUP(VALUE(TEXT(AH120,"h:mm:ss")),IF($C$6="Laboral",[1]Input!$A$4:$Y$227,IF($C$6="Sábado",[1]Input!$A$231:$Y$452,[1]Input!$A$456:$Y$656)),VLOOKUP($C$4,[1]Input!$AG$2:$AI$99,3,0)+IF(AD$5="Ida",0,1),1),"")</f>
        <v>#N/A</v>
      </c>
      <c r="AL120" s="34" t="str">
        <f>IF(AB121&lt;&gt;AB120,AVERAGEIF(AB$9:AB120,AB120,AK$9:AK120),"")</f>
        <v/>
      </c>
      <c r="AM120" s="35" t="str">
        <f>IFERROR(IF(AB121&lt;&gt;AB120,AVERAGEIF(AB$9:AB120,AB120,AT$9:AT120),""),"")</f>
        <v/>
      </c>
      <c r="AN120" s="35" t="str">
        <f>IFERROR(IF(AB121&lt;&gt;AB120,AVERAGEIF(AB$9:AB120,AB120,AU$9:AU120),""),"")</f>
        <v/>
      </c>
      <c r="AO120" s="35" t="str" cm="1">
        <f t="array" ref="AO120">IFERROR(IF(AB121&lt;&gt;AB120,_xlfn.STDEV.P(IF(AB$9:AB120=AB120,AU$9:AU120)),""),"")</f>
        <v/>
      </c>
      <c r="AP120" s="35" t="str" cm="1">
        <f t="array" ref="AP120">IFERROR(IF(AB121&lt;&gt;AB120,_xlfn.STDEV.P(IF(AB$9:AB120=AB120,AT$9:AT120)),""),"")</f>
        <v/>
      </c>
      <c r="AQ120" s="36" t="str">
        <f t="shared" si="23"/>
        <v/>
      </c>
      <c r="AR120" s="36" t="str">
        <f t="shared" si="24"/>
        <v/>
      </c>
      <c r="AS120" s="36" t="str">
        <f t="shared" si="33"/>
        <v/>
      </c>
      <c r="AT120" s="37" t="str">
        <f t="shared" si="25"/>
        <v/>
      </c>
      <c r="AU120" s="37" t="str">
        <f t="shared" si="26"/>
        <v/>
      </c>
      <c r="AV120" s="54"/>
      <c r="AW120" s="46"/>
      <c r="AX120" s="39" t="str" cm="1">
        <f t="array" ref="AX120">IF(AH120&lt;&gt;"",IF(AND(AX118:AX119&lt;&gt;"IE",AQ120&lt;&gt;0,AS120&lt;&gt;""),IF(IFERROR((AQ120/AS120),0) &lt;=1,IFERROR(AQ120/AS120,""),1),""),"")</f>
        <v/>
      </c>
      <c r="AY120" s="46"/>
      <c r="AZ120" s="57"/>
    </row>
    <row r="121" spans="1:52" ht="15.5" x14ac:dyDescent="0.35">
      <c r="A121" s="51">
        <f t="shared" si="34"/>
        <v>1</v>
      </c>
      <c r="B121" s="52"/>
      <c r="C121" s="52"/>
      <c r="D121" s="29" t="str">
        <f>IFERROR(
IF(AND(OR(Planilla!B121="C",Planilla!B121="c"), VLOOKUP(E121,[1]Diccionario!B:N,13,0)="C"), "OK",IF(AND(OR(Planilla!B121="C",Planilla!B121="c"), OR(VLOOKUP(E121,[1]Diccionario!B:N,13,0)="B", VLOOKUP(E121,[1]Diccionario!B:N,13,0)="A")), "DEFICIT",IF(
AND(OR(Planilla!B121="B", Planilla!B121="BPAL"), VLOOKUP(E121,[1]Diccionario!B:N,13,0)="B"), "OK",IF(AND(OR(Planilla!B121="B", Planilla!B121="BPAL"), VLOOKUP(E121,[1]Diccionario!B:N,13,0)="A"), "DEFICIT",IF(AND(OR(Planilla!B121="B", Planilla!B121="BPAL"), VLOOKUP(E121,[1]Diccionario!B:N,13,0)="C"), "SOBREOFERTA",IF(AND(Planilla!B121="A", VLOOKUP(E121,[1]Diccionario!B:N,13,0)="A"), "OK",IF(
AND(Planilla!B121="A", OR(VLOOKUP(E121,[1]Diccionario!B:N,13,0)="B", VLOOKUP(E121,[1]Diccionario!B:N,13,0)="C")), "SOBREOFERTA",""
))))))),"")</f>
        <v/>
      </c>
      <c r="E121" s="48"/>
      <c r="F121" s="53"/>
      <c r="G121" s="54"/>
      <c r="H121" s="55" t="str">
        <f t="shared" si="27"/>
        <v/>
      </c>
      <c r="I121" s="35"/>
      <c r="J121" s="34" t="e">
        <f>IF(A121&lt;&gt;"",HLOOKUP(VALUE(TEXT(G121,"h:mm:ss")),IF($C$6="Laboral",[1]Input!$A$4:$Y$227,IF($C$6="Sábado",[1]Input!$A$231:$Y$452,[1]Input!$A$456:$Y$656)),VLOOKUP($C$4,[1]Input!$AG$2:$AI$99,3,0)+IF(C$5="Ida",0,1),1),"")</f>
        <v>#N/A</v>
      </c>
      <c r="K121" s="34" t="str">
        <f>IF(A122&lt;&gt;A121,AVERAGEIF(A$9:A121,A121,J$13:J121),"")</f>
        <v/>
      </c>
      <c r="L121" s="35" t="str">
        <f>IFERROR(IF(A122&lt;&gt;A121,AVERAGEIF(A$9:A121,A121,S$13:S121),""),"")</f>
        <v/>
      </c>
      <c r="M121" s="35" t="str">
        <f>IFERROR(IF(A122&lt;&gt;A121,AVERAGEIF(A$9:A121,A121,T$8:T121),""),"")</f>
        <v/>
      </c>
      <c r="N121" s="35" t="str" cm="1">
        <f t="array" ref="N121">IFERROR(IF(A122&lt;&gt;A121,_xlfn.STDEV.P(IF(A$9:A121=A121,T$7:T121)),""),"")</f>
        <v/>
      </c>
      <c r="O121" s="35" t="str" cm="1">
        <f t="array" ref="O121">IFERROR(IF(A122&lt;&gt;A121,_xlfn.STDEV.P(IF(A$9:A121=A121,S$7:S121)),""),"")</f>
        <v/>
      </c>
      <c r="P121" s="36" t="str">
        <f t="shared" si="20"/>
        <v/>
      </c>
      <c r="Q121" s="36" t="str">
        <f t="shared" si="21"/>
        <v/>
      </c>
      <c r="R121" s="36" t="str">
        <f t="shared" si="28"/>
        <v/>
      </c>
      <c r="S121" s="37" t="str">
        <f t="shared" si="29"/>
        <v/>
      </c>
      <c r="T121" s="37" t="str">
        <f t="shared" si="22"/>
        <v/>
      </c>
      <c r="U121" s="54"/>
      <c r="V121" s="46"/>
      <c r="W121" s="39" t="str">
        <f t="shared" si="30"/>
        <v/>
      </c>
      <c r="X121" s="38"/>
      <c r="Y121" s="48"/>
      <c r="AB121" s="56">
        <f t="shared" si="31"/>
        <v>1</v>
      </c>
      <c r="AC121" s="52"/>
      <c r="AD121" s="52"/>
      <c r="AE121" s="29" t="str">
        <f>IFERROR(
IF(AND(OR(AC121="C",AC121="c"), VLOOKUP(AF121,[1]Diccionario!B:N,13,0)="C"), "OK",IF(AND(OR(AC121="C",AC121="c"), OR(VLOOKUP(AF121,[1]Diccionario!B:N,13,0)="B", VLOOKUP(AF121,[1]Diccionario!B:N,13,0)="A")), "DEFICIT",IF(
AND(OR(AC121="B", AC121="BPAL"), VLOOKUP(AF121,[1]Diccionario!B:N,13,0)="B"), "OK",IF(AND(OR(AC121="B", AC121="BPAL"), VLOOKUP(AF121,[1]Diccionario!B:N,13,0)="A"), "DEFICIT",IF(AND(OR(AC121="B", AC121="BPAL"), VLOOKUP(AF121,[1]Diccionario!B:N,13,0)="C"), "SOBREOFERTA",IF(AND(AC121="A", VLOOKUP(AF121,[1]Diccionario!B:N,13,0)="A"), "OK",IF(
AND(AC121="A", OR(VLOOKUP(AF121,[1]Diccionario!B:N,13,0)="B", VLOOKUP(AF121,[1]Diccionario!B:N,13,0)="C")), "SOBREOFERTA",""
))))))),"")</f>
        <v/>
      </c>
      <c r="AF121" s="48"/>
      <c r="AG121" s="53"/>
      <c r="AH121" s="54"/>
      <c r="AI121" s="55" t="str">
        <f t="shared" si="32"/>
        <v/>
      </c>
      <c r="AJ121" s="46"/>
      <c r="AK121" s="34" t="e">
        <f>IF(AB121&lt;&gt;"",HLOOKUP(VALUE(TEXT(AH121,"h:mm:ss")),IF($C$6="Laboral",[1]Input!$A$4:$Y$227,IF($C$6="Sábado",[1]Input!$A$231:$Y$452,[1]Input!$A$456:$Y$656)),VLOOKUP($C$4,[1]Input!$AG$2:$AI$99,3,0)+IF(AD$5="Ida",0,1),1),"")</f>
        <v>#N/A</v>
      </c>
      <c r="AL121" s="34" t="str">
        <f>IF(AB122&lt;&gt;AB121,AVERAGEIF(AB$9:AB121,AB121,AK$9:AK121),"")</f>
        <v/>
      </c>
      <c r="AM121" s="35" t="str">
        <f>IFERROR(IF(AB122&lt;&gt;AB121,AVERAGEIF(AB$9:AB121,AB121,AT$9:AT121),""),"")</f>
        <v/>
      </c>
      <c r="AN121" s="35" t="str">
        <f>IFERROR(IF(AB122&lt;&gt;AB121,AVERAGEIF(AB$9:AB121,AB121,AU$9:AU121),""),"")</f>
        <v/>
      </c>
      <c r="AO121" s="35" t="str" cm="1">
        <f t="array" ref="AO121">IFERROR(IF(AB122&lt;&gt;AB121,_xlfn.STDEV.P(IF(AB$9:AB121=AB121,AU$9:AU121)),""),"")</f>
        <v/>
      </c>
      <c r="AP121" s="35" t="str" cm="1">
        <f t="array" ref="AP121">IFERROR(IF(AB122&lt;&gt;AB121,_xlfn.STDEV.P(IF(AB$9:AB121=AB121,AT$9:AT121)),""),"")</f>
        <v/>
      </c>
      <c r="AQ121" s="36" t="str">
        <f t="shared" si="23"/>
        <v/>
      </c>
      <c r="AR121" s="36" t="str">
        <f t="shared" si="24"/>
        <v/>
      </c>
      <c r="AS121" s="36" t="str">
        <f t="shared" si="33"/>
        <v/>
      </c>
      <c r="AT121" s="37" t="str">
        <f t="shared" si="25"/>
        <v/>
      </c>
      <c r="AU121" s="37" t="str">
        <f t="shared" si="26"/>
        <v/>
      </c>
      <c r="AV121" s="54"/>
      <c r="AW121" s="46"/>
      <c r="AX121" s="39" t="str" cm="1">
        <f t="array" ref="AX121">IF(AH121&lt;&gt;"",IF(AND(AX119:AX120&lt;&gt;"IE",AQ121&lt;&gt;0,AS121&lt;&gt;""),IF(IFERROR((AQ121/AS121),0) &lt;=1,IFERROR(AQ121/AS121,""),1),""),"")</f>
        <v/>
      </c>
      <c r="AY121" s="46"/>
      <c r="AZ121" s="57"/>
    </row>
    <row r="122" spans="1:52" ht="15.5" x14ac:dyDescent="0.35">
      <c r="A122" s="51">
        <f t="shared" si="34"/>
        <v>1</v>
      </c>
      <c r="B122" s="52"/>
      <c r="C122" s="52"/>
      <c r="D122" s="29" t="str">
        <f>IFERROR(
IF(AND(OR(Planilla!B122="C",Planilla!B122="c"), VLOOKUP(E122,[1]Diccionario!B:N,13,0)="C"), "OK",IF(AND(OR(Planilla!B122="C",Planilla!B122="c"), OR(VLOOKUP(E122,[1]Diccionario!B:N,13,0)="B", VLOOKUP(E122,[1]Diccionario!B:N,13,0)="A")), "DEFICIT",IF(
AND(OR(Planilla!B122="B", Planilla!B122="BPAL"), VLOOKUP(E122,[1]Diccionario!B:N,13,0)="B"), "OK",IF(AND(OR(Planilla!B122="B", Planilla!B122="BPAL"), VLOOKUP(E122,[1]Diccionario!B:N,13,0)="A"), "DEFICIT",IF(AND(OR(Planilla!B122="B", Planilla!B122="BPAL"), VLOOKUP(E122,[1]Diccionario!B:N,13,0)="C"), "SOBREOFERTA",IF(AND(Planilla!B122="A", VLOOKUP(E122,[1]Diccionario!B:N,13,0)="A"), "OK",IF(
AND(Planilla!B122="A", OR(VLOOKUP(E122,[1]Diccionario!B:N,13,0)="B", VLOOKUP(E122,[1]Diccionario!B:N,13,0)="C")), "SOBREOFERTA",""
))))))),"")</f>
        <v/>
      </c>
      <c r="E122" s="48"/>
      <c r="F122" s="53"/>
      <c r="G122" s="54"/>
      <c r="H122" s="55" t="str">
        <f t="shared" si="27"/>
        <v/>
      </c>
      <c r="I122" s="35"/>
      <c r="J122" s="34" t="e">
        <f>IF(A122&lt;&gt;"",HLOOKUP(VALUE(TEXT(G122,"h:mm:ss")),IF($C$6="Laboral",[1]Input!$A$4:$Y$227,IF($C$6="Sábado",[1]Input!$A$231:$Y$452,[1]Input!$A$456:$Y$656)),VLOOKUP($C$4,[1]Input!$AG$2:$AI$99,3,0)+IF(C$5="Ida",0,1),1),"")</f>
        <v>#N/A</v>
      </c>
      <c r="K122" s="34" t="str">
        <f>IF(A123&lt;&gt;A122,AVERAGEIF(A$9:A122,A122,J$13:J122),"")</f>
        <v/>
      </c>
      <c r="L122" s="35" t="str">
        <f>IFERROR(IF(A123&lt;&gt;A122,AVERAGEIF(A$9:A122,A122,S$13:S122),""),"")</f>
        <v/>
      </c>
      <c r="M122" s="35" t="str">
        <f>IFERROR(IF(A123&lt;&gt;A122,AVERAGEIF(A$9:A122,A122,T$8:T122),""),"")</f>
        <v/>
      </c>
      <c r="N122" s="35" t="str" cm="1">
        <f t="array" ref="N122">IFERROR(IF(A123&lt;&gt;A122,_xlfn.STDEV.P(IF(A$9:A122=A122,T$7:T122)),""),"")</f>
        <v/>
      </c>
      <c r="O122" s="35" t="str" cm="1">
        <f t="array" ref="O122">IFERROR(IF(A123&lt;&gt;A122,_xlfn.STDEV.P(IF(A$9:A122=A122,S$7:S122)),""),"")</f>
        <v/>
      </c>
      <c r="P122" s="36" t="str">
        <f t="shared" si="20"/>
        <v/>
      </c>
      <c r="Q122" s="36" t="str">
        <f t="shared" si="21"/>
        <v/>
      </c>
      <c r="R122" s="36" t="str">
        <f t="shared" si="28"/>
        <v/>
      </c>
      <c r="S122" s="37" t="str">
        <f t="shared" si="29"/>
        <v/>
      </c>
      <c r="T122" s="37" t="str">
        <f t="shared" si="22"/>
        <v/>
      </c>
      <c r="U122" s="54"/>
      <c r="V122" s="46"/>
      <c r="W122" s="39" t="str">
        <f t="shared" si="30"/>
        <v/>
      </c>
      <c r="X122" s="38"/>
      <c r="Y122" s="48"/>
      <c r="AB122" s="56">
        <f t="shared" si="31"/>
        <v>1</v>
      </c>
      <c r="AC122" s="52"/>
      <c r="AD122" s="52"/>
      <c r="AE122" s="29" t="str">
        <f>IFERROR(
IF(AND(OR(AC122="C",AC122="c"), VLOOKUP(AF122,[1]Diccionario!B:N,13,0)="C"), "OK",IF(AND(OR(AC122="C",AC122="c"), OR(VLOOKUP(AF122,[1]Diccionario!B:N,13,0)="B", VLOOKUP(AF122,[1]Diccionario!B:N,13,0)="A")), "DEFICIT",IF(
AND(OR(AC122="B", AC122="BPAL"), VLOOKUP(AF122,[1]Diccionario!B:N,13,0)="B"), "OK",IF(AND(OR(AC122="B", AC122="BPAL"), VLOOKUP(AF122,[1]Diccionario!B:N,13,0)="A"), "DEFICIT",IF(AND(OR(AC122="B", AC122="BPAL"), VLOOKUP(AF122,[1]Diccionario!B:N,13,0)="C"), "SOBREOFERTA",IF(AND(AC122="A", VLOOKUP(AF122,[1]Diccionario!B:N,13,0)="A"), "OK",IF(
AND(AC122="A", OR(VLOOKUP(AF122,[1]Diccionario!B:N,13,0)="B", VLOOKUP(AF122,[1]Diccionario!B:N,13,0)="C")), "SOBREOFERTA",""
))))))),"")</f>
        <v/>
      </c>
      <c r="AF122" s="48"/>
      <c r="AG122" s="53"/>
      <c r="AH122" s="54"/>
      <c r="AI122" s="55" t="str">
        <f t="shared" si="32"/>
        <v/>
      </c>
      <c r="AJ122" s="46"/>
      <c r="AK122" s="34" t="e">
        <f>IF(AB122&lt;&gt;"",HLOOKUP(VALUE(TEXT(AH122,"h:mm:ss")),IF($C$6="Laboral",[1]Input!$A$4:$Y$227,IF($C$6="Sábado",[1]Input!$A$231:$Y$452,[1]Input!$A$456:$Y$656)),VLOOKUP($C$4,[1]Input!$AG$2:$AI$99,3,0)+IF(AD$5="Ida",0,1),1),"")</f>
        <v>#N/A</v>
      </c>
      <c r="AL122" s="34" t="str">
        <f>IF(AB123&lt;&gt;AB122,AVERAGEIF(AB$9:AB122,AB122,AK$9:AK122),"")</f>
        <v/>
      </c>
      <c r="AM122" s="35" t="str">
        <f>IFERROR(IF(AB123&lt;&gt;AB122,AVERAGEIF(AB$9:AB122,AB122,AT$9:AT122),""),"")</f>
        <v/>
      </c>
      <c r="AN122" s="35" t="str">
        <f>IFERROR(IF(AB123&lt;&gt;AB122,AVERAGEIF(AB$9:AB122,AB122,AU$9:AU122),""),"")</f>
        <v/>
      </c>
      <c r="AO122" s="35" t="str" cm="1">
        <f t="array" ref="AO122">IFERROR(IF(AB123&lt;&gt;AB122,_xlfn.STDEV.P(IF(AB$9:AB122=AB122,AU$9:AU122)),""),"")</f>
        <v/>
      </c>
      <c r="AP122" s="35" t="str" cm="1">
        <f t="array" ref="AP122">IFERROR(IF(AB123&lt;&gt;AB122,_xlfn.STDEV.P(IF(AB$9:AB122=AB122,AT$9:AT122)),""),"")</f>
        <v/>
      </c>
      <c r="AQ122" s="36" t="str">
        <f t="shared" si="23"/>
        <v/>
      </c>
      <c r="AR122" s="36" t="str">
        <f t="shared" si="24"/>
        <v/>
      </c>
      <c r="AS122" s="36" t="str">
        <f t="shared" si="33"/>
        <v/>
      </c>
      <c r="AT122" s="37" t="str">
        <f t="shared" si="25"/>
        <v/>
      </c>
      <c r="AU122" s="37" t="str">
        <f t="shared" si="26"/>
        <v/>
      </c>
      <c r="AV122" s="54"/>
      <c r="AW122" s="46"/>
      <c r="AX122" s="39" t="str" cm="1">
        <f t="array" ref="AX122">IF(AH122&lt;&gt;"",IF(AND(AX120:AX121&lt;&gt;"IE",AQ122&lt;&gt;0,AS122&lt;&gt;""),IF(IFERROR((AQ122/AS122),0) &lt;=1,IFERROR(AQ122/AS122,""),1),""),"")</f>
        <v/>
      </c>
      <c r="AY122" s="46"/>
      <c r="AZ122" s="57"/>
    </row>
    <row r="123" spans="1:52" ht="15.5" x14ac:dyDescent="0.35">
      <c r="A123" s="51">
        <f t="shared" si="34"/>
        <v>1</v>
      </c>
      <c r="B123" s="52"/>
      <c r="C123" s="52"/>
      <c r="D123" s="29" t="str">
        <f>IFERROR(
IF(AND(OR(Planilla!B123="C",Planilla!B123="c"), VLOOKUP(E123,[1]Diccionario!B:N,13,0)="C"), "OK",IF(AND(OR(Planilla!B123="C",Planilla!B123="c"), OR(VLOOKUP(E123,[1]Diccionario!B:N,13,0)="B", VLOOKUP(E123,[1]Diccionario!B:N,13,0)="A")), "DEFICIT",IF(
AND(OR(Planilla!B123="B", Planilla!B123="BPAL"), VLOOKUP(E123,[1]Diccionario!B:N,13,0)="B"), "OK",IF(AND(OR(Planilla!B123="B", Planilla!B123="BPAL"), VLOOKUP(E123,[1]Diccionario!B:N,13,0)="A"), "DEFICIT",IF(AND(OR(Planilla!B123="B", Planilla!B123="BPAL"), VLOOKUP(E123,[1]Diccionario!B:N,13,0)="C"), "SOBREOFERTA",IF(AND(Planilla!B123="A", VLOOKUP(E123,[1]Diccionario!B:N,13,0)="A"), "OK",IF(
AND(Planilla!B123="A", OR(VLOOKUP(E123,[1]Diccionario!B:N,13,0)="B", VLOOKUP(E123,[1]Diccionario!B:N,13,0)="C")), "SOBREOFERTA",""
))))))),"")</f>
        <v/>
      </c>
      <c r="E123" s="48"/>
      <c r="F123" s="53"/>
      <c r="G123" s="54"/>
      <c r="H123" s="55" t="str">
        <f t="shared" si="27"/>
        <v/>
      </c>
      <c r="I123" s="35"/>
      <c r="J123" s="34" t="e">
        <f>IF(A123&lt;&gt;"",HLOOKUP(VALUE(TEXT(G123,"h:mm:ss")),IF($C$6="Laboral",[1]Input!$A$4:$Y$227,IF($C$6="Sábado",[1]Input!$A$231:$Y$452,[1]Input!$A$456:$Y$656)),VLOOKUP($C$4,[1]Input!$AG$2:$AI$99,3,0)+IF(C$5="Ida",0,1),1),"")</f>
        <v>#N/A</v>
      </c>
      <c r="K123" s="34" t="str">
        <f>IF(A124&lt;&gt;A123,AVERAGEIF(A$9:A123,A123,J$13:J123),"")</f>
        <v/>
      </c>
      <c r="L123" s="35" t="str">
        <f>IFERROR(IF(A124&lt;&gt;A123,AVERAGEIF(A$9:A123,A123,S$13:S123),""),"")</f>
        <v/>
      </c>
      <c r="M123" s="35" t="str">
        <f>IFERROR(IF(A124&lt;&gt;A123,AVERAGEIF(A$9:A123,A123,T$8:T123),""),"")</f>
        <v/>
      </c>
      <c r="N123" s="35" t="str" cm="1">
        <f t="array" ref="N123">IFERROR(IF(A124&lt;&gt;A123,_xlfn.STDEV.P(IF(A$9:A123=A123,T$7:T123)),""),"")</f>
        <v/>
      </c>
      <c r="O123" s="35" t="str" cm="1">
        <f t="array" ref="O123">IFERROR(IF(A124&lt;&gt;A123,_xlfn.STDEV.P(IF(A$9:A123=A123,S$7:S123)),""),"")</f>
        <v/>
      </c>
      <c r="P123" s="36" t="str">
        <f t="shared" si="20"/>
        <v/>
      </c>
      <c r="Q123" s="36" t="str">
        <f t="shared" si="21"/>
        <v/>
      </c>
      <c r="R123" s="36" t="str">
        <f t="shared" si="28"/>
        <v/>
      </c>
      <c r="S123" s="37" t="str">
        <f t="shared" si="29"/>
        <v/>
      </c>
      <c r="T123" s="37" t="str">
        <f t="shared" si="22"/>
        <v/>
      </c>
      <c r="U123" s="54"/>
      <c r="V123" s="46"/>
      <c r="W123" s="39" t="str">
        <f t="shared" si="30"/>
        <v/>
      </c>
      <c r="X123" s="38"/>
      <c r="Y123" s="48"/>
      <c r="AB123" s="56">
        <f t="shared" si="31"/>
        <v>1</v>
      </c>
      <c r="AC123" s="52"/>
      <c r="AD123" s="52"/>
      <c r="AE123" s="29" t="str">
        <f>IFERROR(
IF(AND(OR(AC123="C",AC123="c"), VLOOKUP(AF123,[1]Diccionario!B:N,13,0)="C"), "OK",IF(AND(OR(AC123="C",AC123="c"), OR(VLOOKUP(AF123,[1]Diccionario!B:N,13,0)="B", VLOOKUP(AF123,[1]Diccionario!B:N,13,0)="A")), "DEFICIT",IF(
AND(OR(AC123="B", AC123="BPAL"), VLOOKUP(AF123,[1]Diccionario!B:N,13,0)="B"), "OK",IF(AND(OR(AC123="B", AC123="BPAL"), VLOOKUP(AF123,[1]Diccionario!B:N,13,0)="A"), "DEFICIT",IF(AND(OR(AC123="B", AC123="BPAL"), VLOOKUP(AF123,[1]Diccionario!B:N,13,0)="C"), "SOBREOFERTA",IF(AND(AC123="A", VLOOKUP(AF123,[1]Diccionario!B:N,13,0)="A"), "OK",IF(
AND(AC123="A", OR(VLOOKUP(AF123,[1]Diccionario!B:N,13,0)="B", VLOOKUP(AF123,[1]Diccionario!B:N,13,0)="C")), "SOBREOFERTA",""
))))))),"")</f>
        <v/>
      </c>
      <c r="AF123" s="48"/>
      <c r="AG123" s="53"/>
      <c r="AH123" s="54"/>
      <c r="AI123" s="55" t="str">
        <f t="shared" si="32"/>
        <v/>
      </c>
      <c r="AJ123" s="46"/>
      <c r="AK123" s="34" t="e">
        <f>IF(AB123&lt;&gt;"",HLOOKUP(VALUE(TEXT(AH123,"h:mm:ss")),IF($C$6="Laboral",[1]Input!$A$4:$Y$227,IF($C$6="Sábado",[1]Input!$A$231:$Y$452,[1]Input!$A$456:$Y$656)),VLOOKUP($C$4,[1]Input!$AG$2:$AI$99,3,0)+IF(AD$5="Ida",0,1),1),"")</f>
        <v>#N/A</v>
      </c>
      <c r="AL123" s="34" t="str">
        <f>IF(AB124&lt;&gt;AB123,AVERAGEIF(AB$9:AB123,AB123,AK$9:AK123),"")</f>
        <v/>
      </c>
      <c r="AM123" s="35" t="str">
        <f>IFERROR(IF(AB124&lt;&gt;AB123,AVERAGEIF(AB$9:AB123,AB123,AT$9:AT123),""),"")</f>
        <v/>
      </c>
      <c r="AN123" s="35" t="str">
        <f>IFERROR(IF(AB124&lt;&gt;AB123,AVERAGEIF(AB$9:AB123,AB123,AU$9:AU123),""),"")</f>
        <v/>
      </c>
      <c r="AO123" s="35" t="str" cm="1">
        <f t="array" ref="AO123">IFERROR(IF(AB124&lt;&gt;AB123,_xlfn.STDEV.P(IF(AB$9:AB123=AB123,AU$9:AU123)),""),"")</f>
        <v/>
      </c>
      <c r="AP123" s="35" t="str" cm="1">
        <f t="array" ref="AP123">IFERROR(IF(AB124&lt;&gt;AB123,_xlfn.STDEV.P(IF(AB$9:AB123=AB123,AT$9:AT123)),""),"")</f>
        <v/>
      </c>
      <c r="AQ123" s="36" t="str">
        <f t="shared" si="23"/>
        <v/>
      </c>
      <c r="AR123" s="36" t="str">
        <f t="shared" si="24"/>
        <v/>
      </c>
      <c r="AS123" s="36" t="str">
        <f t="shared" si="33"/>
        <v/>
      </c>
      <c r="AT123" s="37" t="str">
        <f t="shared" si="25"/>
        <v/>
      </c>
      <c r="AU123" s="37" t="str">
        <f t="shared" si="26"/>
        <v/>
      </c>
      <c r="AV123" s="54"/>
      <c r="AW123" s="46"/>
      <c r="AX123" s="39" t="str" cm="1">
        <f t="array" ref="AX123">IF(AH123&lt;&gt;"",IF(AND(AX121:AX122&lt;&gt;"IE",AQ123&lt;&gt;0,AS123&lt;&gt;""),IF(IFERROR((AQ123/AS123),0) &lt;=1,IFERROR(AQ123/AS123,""),1),""),"")</f>
        <v/>
      </c>
      <c r="AY123" s="46"/>
      <c r="AZ123" s="57"/>
    </row>
    <row r="124" spans="1:52" ht="15.5" x14ac:dyDescent="0.35">
      <c r="A124" s="51">
        <f t="shared" si="34"/>
        <v>1</v>
      </c>
      <c r="B124" s="52"/>
      <c r="C124" s="52"/>
      <c r="D124" s="29" t="str">
        <f>IFERROR(
IF(AND(OR(Planilla!B124="C",Planilla!B124="c"), VLOOKUP(E124,[1]Diccionario!B:N,13,0)="C"), "OK",IF(AND(OR(Planilla!B124="C",Planilla!B124="c"), OR(VLOOKUP(E124,[1]Diccionario!B:N,13,0)="B", VLOOKUP(E124,[1]Diccionario!B:N,13,0)="A")), "DEFICIT",IF(
AND(OR(Planilla!B124="B", Planilla!B124="BPAL"), VLOOKUP(E124,[1]Diccionario!B:N,13,0)="B"), "OK",IF(AND(OR(Planilla!B124="B", Planilla!B124="BPAL"), VLOOKUP(E124,[1]Diccionario!B:N,13,0)="A"), "DEFICIT",IF(AND(OR(Planilla!B124="B", Planilla!B124="BPAL"), VLOOKUP(E124,[1]Diccionario!B:N,13,0)="C"), "SOBREOFERTA",IF(AND(Planilla!B124="A", VLOOKUP(E124,[1]Diccionario!B:N,13,0)="A"), "OK",IF(
AND(Planilla!B124="A", OR(VLOOKUP(E124,[1]Diccionario!B:N,13,0)="B", VLOOKUP(E124,[1]Diccionario!B:N,13,0)="C")), "SOBREOFERTA",""
))))))),"")</f>
        <v/>
      </c>
      <c r="E124" s="48"/>
      <c r="F124" s="53"/>
      <c r="G124" s="54"/>
      <c r="H124" s="55" t="str">
        <f t="shared" si="27"/>
        <v/>
      </c>
      <c r="I124" s="35"/>
      <c r="J124" s="34" t="e">
        <f>IF(A124&lt;&gt;"",HLOOKUP(VALUE(TEXT(G124,"h:mm:ss")),IF($C$6="Laboral",[1]Input!$A$4:$Y$227,IF($C$6="Sábado",[1]Input!$A$231:$Y$452,[1]Input!$A$456:$Y$656)),VLOOKUP($C$4,[1]Input!$AG$2:$AI$99,3,0)+IF(C$5="Ida",0,1),1),"")</f>
        <v>#N/A</v>
      </c>
      <c r="K124" s="34" t="str">
        <f>IF(A125&lt;&gt;A124,AVERAGEIF(A$9:A124,A124,J$13:J124),"")</f>
        <v/>
      </c>
      <c r="L124" s="35" t="str">
        <f>IFERROR(IF(A125&lt;&gt;A124,AVERAGEIF(A$9:A124,A124,S$13:S124),""),"")</f>
        <v/>
      </c>
      <c r="M124" s="35" t="str">
        <f>IFERROR(IF(A125&lt;&gt;A124,AVERAGEIF(A$9:A124,A124,T$8:T124),""),"")</f>
        <v/>
      </c>
      <c r="N124" s="35" t="str" cm="1">
        <f t="array" ref="N124">IFERROR(IF(A125&lt;&gt;A124,_xlfn.STDEV.P(IF(A$9:A124=A124,T$7:T124)),""),"")</f>
        <v/>
      </c>
      <c r="O124" s="35" t="str" cm="1">
        <f t="array" ref="O124">IFERROR(IF(A125&lt;&gt;A124,_xlfn.STDEV.P(IF(A$9:A124=A124,S$7:S124)),""),"")</f>
        <v/>
      </c>
      <c r="P124" s="36" t="str">
        <f t="shared" si="20"/>
        <v/>
      </c>
      <c r="Q124" s="36" t="str">
        <f t="shared" si="21"/>
        <v/>
      </c>
      <c r="R124" s="36" t="str">
        <f t="shared" si="28"/>
        <v/>
      </c>
      <c r="S124" s="37" t="str">
        <f t="shared" si="29"/>
        <v/>
      </c>
      <c r="T124" s="37" t="str">
        <f t="shared" si="22"/>
        <v/>
      </c>
      <c r="U124" s="54"/>
      <c r="V124" s="46"/>
      <c r="W124" s="39" t="str">
        <f t="shared" si="30"/>
        <v/>
      </c>
      <c r="X124" s="38"/>
      <c r="Y124" s="48"/>
      <c r="AB124" s="56">
        <f t="shared" si="31"/>
        <v>1</v>
      </c>
      <c r="AC124" s="52"/>
      <c r="AD124" s="52"/>
      <c r="AE124" s="29" t="str">
        <f>IFERROR(
IF(AND(OR(AC124="C",AC124="c"), VLOOKUP(AF124,[1]Diccionario!B:N,13,0)="C"), "OK",IF(AND(OR(AC124="C",AC124="c"), OR(VLOOKUP(AF124,[1]Diccionario!B:N,13,0)="B", VLOOKUP(AF124,[1]Diccionario!B:N,13,0)="A")), "DEFICIT",IF(
AND(OR(AC124="B", AC124="BPAL"), VLOOKUP(AF124,[1]Diccionario!B:N,13,0)="B"), "OK",IF(AND(OR(AC124="B", AC124="BPAL"), VLOOKUP(AF124,[1]Diccionario!B:N,13,0)="A"), "DEFICIT",IF(AND(OR(AC124="B", AC124="BPAL"), VLOOKUP(AF124,[1]Diccionario!B:N,13,0)="C"), "SOBREOFERTA",IF(AND(AC124="A", VLOOKUP(AF124,[1]Diccionario!B:N,13,0)="A"), "OK",IF(
AND(AC124="A", OR(VLOOKUP(AF124,[1]Diccionario!B:N,13,0)="B", VLOOKUP(AF124,[1]Diccionario!B:N,13,0)="C")), "SOBREOFERTA",""
))))))),"")</f>
        <v/>
      </c>
      <c r="AF124" s="48"/>
      <c r="AG124" s="53"/>
      <c r="AH124" s="54"/>
      <c r="AI124" s="55" t="str">
        <f t="shared" si="32"/>
        <v/>
      </c>
      <c r="AJ124" s="46"/>
      <c r="AK124" s="34" t="e">
        <f>IF(AB124&lt;&gt;"",HLOOKUP(VALUE(TEXT(AH124,"h:mm:ss")),IF($C$6="Laboral",[1]Input!$A$4:$Y$227,IF($C$6="Sábado",[1]Input!$A$231:$Y$452,[1]Input!$A$456:$Y$656)),VLOOKUP($C$4,[1]Input!$AG$2:$AI$99,3,0)+IF(AD$5="Ida",0,1),1),"")</f>
        <v>#N/A</v>
      </c>
      <c r="AL124" s="34" t="str">
        <f>IF(AB125&lt;&gt;AB124,AVERAGEIF(AB$9:AB124,AB124,AK$9:AK124),"")</f>
        <v/>
      </c>
      <c r="AM124" s="35" t="str">
        <f>IFERROR(IF(AB125&lt;&gt;AB124,AVERAGEIF(AB$9:AB124,AB124,AT$9:AT124),""),"")</f>
        <v/>
      </c>
      <c r="AN124" s="35" t="str">
        <f>IFERROR(IF(AB125&lt;&gt;AB124,AVERAGEIF(AB$9:AB124,AB124,AU$9:AU124),""),"")</f>
        <v/>
      </c>
      <c r="AO124" s="35" t="str" cm="1">
        <f t="array" ref="AO124">IFERROR(IF(AB125&lt;&gt;AB124,_xlfn.STDEV.P(IF(AB$9:AB124=AB124,AU$9:AU124)),""),"")</f>
        <v/>
      </c>
      <c r="AP124" s="35" t="str" cm="1">
        <f t="array" ref="AP124">IFERROR(IF(AB125&lt;&gt;AB124,_xlfn.STDEV.P(IF(AB$9:AB124=AB124,AT$9:AT124)),""),"")</f>
        <v/>
      </c>
      <c r="AQ124" s="36" t="str">
        <f t="shared" si="23"/>
        <v/>
      </c>
      <c r="AR124" s="36" t="str">
        <f t="shared" si="24"/>
        <v/>
      </c>
      <c r="AS124" s="36" t="str">
        <f t="shared" si="33"/>
        <v/>
      </c>
      <c r="AT124" s="37" t="str">
        <f t="shared" si="25"/>
        <v/>
      </c>
      <c r="AU124" s="37" t="str">
        <f t="shared" si="26"/>
        <v/>
      </c>
      <c r="AV124" s="54"/>
      <c r="AW124" s="46"/>
      <c r="AX124" s="39" t="str" cm="1">
        <f t="array" ref="AX124">IF(AH124&lt;&gt;"",IF(AND(AX122:AX123&lt;&gt;"IE",AQ124&lt;&gt;0,AS124&lt;&gt;""),IF(IFERROR((AQ124/AS124),0) &lt;=1,IFERROR(AQ124/AS124,""),1),""),"")</f>
        <v/>
      </c>
      <c r="AY124" s="46"/>
      <c r="AZ124" s="57"/>
    </row>
    <row r="125" spans="1:52" ht="15.5" x14ac:dyDescent="0.35">
      <c r="A125" s="51">
        <f t="shared" si="34"/>
        <v>1</v>
      </c>
      <c r="B125" s="52"/>
      <c r="C125" s="52"/>
      <c r="D125" s="29" t="str">
        <f>IFERROR(
IF(AND(OR(Planilla!B125="C",Planilla!B125="c"), VLOOKUP(E125,[1]Diccionario!B:N,13,0)="C"), "OK",IF(AND(OR(Planilla!B125="C",Planilla!B125="c"), OR(VLOOKUP(E125,[1]Diccionario!B:N,13,0)="B", VLOOKUP(E125,[1]Diccionario!B:N,13,0)="A")), "DEFICIT",IF(
AND(OR(Planilla!B125="B", Planilla!B125="BPAL"), VLOOKUP(E125,[1]Diccionario!B:N,13,0)="B"), "OK",IF(AND(OR(Planilla!B125="B", Planilla!B125="BPAL"), VLOOKUP(E125,[1]Diccionario!B:N,13,0)="A"), "DEFICIT",IF(AND(OR(Planilla!B125="B", Planilla!B125="BPAL"), VLOOKUP(E125,[1]Diccionario!B:N,13,0)="C"), "SOBREOFERTA",IF(AND(Planilla!B125="A", VLOOKUP(E125,[1]Diccionario!B:N,13,0)="A"), "OK",IF(
AND(Planilla!B125="A", OR(VLOOKUP(E125,[1]Diccionario!B:N,13,0)="B", VLOOKUP(E125,[1]Diccionario!B:N,13,0)="C")), "SOBREOFERTA",""
))))))),"")</f>
        <v/>
      </c>
      <c r="E125" s="48"/>
      <c r="F125" s="53"/>
      <c r="G125" s="54"/>
      <c r="H125" s="55" t="str">
        <f t="shared" si="27"/>
        <v/>
      </c>
      <c r="I125" s="35"/>
      <c r="J125" s="34" t="e">
        <f>IF(A125&lt;&gt;"",HLOOKUP(VALUE(TEXT(G125,"h:mm:ss")),IF($C$6="Laboral",[1]Input!$A$4:$Y$227,IF($C$6="Sábado",[1]Input!$A$231:$Y$452,[1]Input!$A$456:$Y$656)),VLOOKUP($C$4,[1]Input!$AG$2:$AI$99,3,0)+IF(C$5="Ida",0,1),1),"")</f>
        <v>#N/A</v>
      </c>
      <c r="K125" s="34" t="str">
        <f>IF(A126&lt;&gt;A125,AVERAGEIF(A$9:A125,A125,J$13:J125),"")</f>
        <v/>
      </c>
      <c r="L125" s="35" t="str">
        <f>IFERROR(IF(A126&lt;&gt;A125,AVERAGEIF(A$9:A125,A125,S$13:S125),""),"")</f>
        <v/>
      </c>
      <c r="M125" s="35" t="str">
        <f>IFERROR(IF(A126&lt;&gt;A125,AVERAGEIF(A$9:A125,A125,T$8:T125),""),"")</f>
        <v/>
      </c>
      <c r="N125" s="35" t="str" cm="1">
        <f t="array" ref="N125">IFERROR(IF(A126&lt;&gt;A125,_xlfn.STDEV.P(IF(A$9:A125=A125,T$7:T125)),""),"")</f>
        <v/>
      </c>
      <c r="O125" s="35" t="str" cm="1">
        <f t="array" ref="O125">IFERROR(IF(A126&lt;&gt;A125,_xlfn.STDEV.P(IF(A$9:A125=A125,S$7:S125)),""),"")</f>
        <v/>
      </c>
      <c r="P125" s="36" t="str">
        <f t="shared" si="20"/>
        <v/>
      </c>
      <c r="Q125" s="36" t="str">
        <f t="shared" si="21"/>
        <v/>
      </c>
      <c r="R125" s="36" t="str">
        <f t="shared" si="28"/>
        <v/>
      </c>
      <c r="S125" s="37" t="str">
        <f t="shared" si="29"/>
        <v/>
      </c>
      <c r="T125" s="37" t="str">
        <f t="shared" si="22"/>
        <v/>
      </c>
      <c r="U125" s="54"/>
      <c r="V125" s="46"/>
      <c r="W125" s="39" t="str">
        <f t="shared" si="30"/>
        <v/>
      </c>
      <c r="X125" s="38"/>
      <c r="Y125" s="48"/>
      <c r="AB125" s="56">
        <f t="shared" si="31"/>
        <v>1</v>
      </c>
      <c r="AC125" s="52"/>
      <c r="AD125" s="52"/>
      <c r="AE125" s="29" t="str">
        <f>IFERROR(
IF(AND(OR(AC125="C",AC125="c"), VLOOKUP(AF125,[1]Diccionario!B:N,13,0)="C"), "OK",IF(AND(OR(AC125="C",AC125="c"), OR(VLOOKUP(AF125,[1]Diccionario!B:N,13,0)="B", VLOOKUP(AF125,[1]Diccionario!B:N,13,0)="A")), "DEFICIT",IF(
AND(OR(AC125="B", AC125="BPAL"), VLOOKUP(AF125,[1]Diccionario!B:N,13,0)="B"), "OK",IF(AND(OR(AC125="B", AC125="BPAL"), VLOOKUP(AF125,[1]Diccionario!B:N,13,0)="A"), "DEFICIT",IF(AND(OR(AC125="B", AC125="BPAL"), VLOOKUP(AF125,[1]Diccionario!B:N,13,0)="C"), "SOBREOFERTA",IF(AND(AC125="A", VLOOKUP(AF125,[1]Diccionario!B:N,13,0)="A"), "OK",IF(
AND(AC125="A", OR(VLOOKUP(AF125,[1]Diccionario!B:N,13,0)="B", VLOOKUP(AF125,[1]Diccionario!B:N,13,0)="C")), "SOBREOFERTA",""
))))))),"")</f>
        <v/>
      </c>
      <c r="AF125" s="48"/>
      <c r="AG125" s="53"/>
      <c r="AH125" s="54"/>
      <c r="AI125" s="55" t="str">
        <f t="shared" si="32"/>
        <v/>
      </c>
      <c r="AJ125" s="46"/>
      <c r="AK125" s="34" t="e">
        <f>IF(AB125&lt;&gt;"",HLOOKUP(VALUE(TEXT(AH125,"h:mm:ss")),IF($C$6="Laboral",[1]Input!$A$4:$Y$227,IF($C$6="Sábado",[1]Input!$A$231:$Y$452,[1]Input!$A$456:$Y$656)),VLOOKUP($C$4,[1]Input!$AG$2:$AI$99,3,0)+IF(AD$5="Ida",0,1),1),"")</f>
        <v>#N/A</v>
      </c>
      <c r="AL125" s="34" t="str">
        <f>IF(AB126&lt;&gt;AB125,AVERAGEIF(AB$9:AB125,AB125,AK$9:AK125),"")</f>
        <v/>
      </c>
      <c r="AM125" s="35" t="str">
        <f>IFERROR(IF(AB126&lt;&gt;AB125,AVERAGEIF(AB$9:AB125,AB125,AT$9:AT125),""),"")</f>
        <v/>
      </c>
      <c r="AN125" s="35" t="str">
        <f>IFERROR(IF(AB126&lt;&gt;AB125,AVERAGEIF(AB$9:AB125,AB125,AU$9:AU125),""),"")</f>
        <v/>
      </c>
      <c r="AO125" s="35" t="str" cm="1">
        <f t="array" ref="AO125">IFERROR(IF(AB126&lt;&gt;AB125,_xlfn.STDEV.P(IF(AB$9:AB125=AB125,AU$9:AU125)),""),"")</f>
        <v/>
      </c>
      <c r="AP125" s="35" t="str" cm="1">
        <f t="array" ref="AP125">IFERROR(IF(AB126&lt;&gt;AB125,_xlfn.STDEV.P(IF(AB$9:AB125=AB125,AT$9:AT125)),""),"")</f>
        <v/>
      </c>
      <c r="AQ125" s="36" t="str">
        <f t="shared" si="23"/>
        <v/>
      </c>
      <c r="AR125" s="36" t="str">
        <f t="shared" si="24"/>
        <v/>
      </c>
      <c r="AS125" s="36" t="str">
        <f t="shared" si="33"/>
        <v/>
      </c>
      <c r="AT125" s="37" t="str">
        <f t="shared" si="25"/>
        <v/>
      </c>
      <c r="AU125" s="37" t="str">
        <f t="shared" si="26"/>
        <v/>
      </c>
      <c r="AV125" s="54"/>
      <c r="AW125" s="46"/>
      <c r="AX125" s="39" t="str" cm="1">
        <f t="array" ref="AX125">IF(AH125&lt;&gt;"",IF(AND(AX123:AX124&lt;&gt;"IE",AQ125&lt;&gt;0,AS125&lt;&gt;""),IF(IFERROR((AQ125/AS125),0) &lt;=1,IFERROR(AQ125/AS125,""),1),""),"")</f>
        <v/>
      </c>
      <c r="AY125" s="46"/>
      <c r="AZ125" s="57"/>
    </row>
    <row r="126" spans="1:52" ht="15.5" x14ac:dyDescent="0.35">
      <c r="A126" s="51">
        <f t="shared" si="34"/>
        <v>1</v>
      </c>
      <c r="B126" s="52"/>
      <c r="C126" s="52"/>
      <c r="D126" s="29" t="str">
        <f>IFERROR(
IF(AND(OR(Planilla!B126="C",Planilla!B126="c"), VLOOKUP(E126,[1]Diccionario!B:N,13,0)="C"), "OK",IF(AND(OR(Planilla!B126="C",Planilla!B126="c"), OR(VLOOKUP(E126,[1]Diccionario!B:N,13,0)="B", VLOOKUP(E126,[1]Diccionario!B:N,13,0)="A")), "DEFICIT",IF(
AND(OR(Planilla!B126="B", Planilla!B126="BPAL"), VLOOKUP(E126,[1]Diccionario!B:N,13,0)="B"), "OK",IF(AND(OR(Planilla!B126="B", Planilla!B126="BPAL"), VLOOKUP(E126,[1]Diccionario!B:N,13,0)="A"), "DEFICIT",IF(AND(OR(Planilla!B126="B", Planilla!B126="BPAL"), VLOOKUP(E126,[1]Diccionario!B:N,13,0)="C"), "SOBREOFERTA",IF(AND(Planilla!B126="A", VLOOKUP(E126,[1]Diccionario!B:N,13,0)="A"), "OK",IF(
AND(Planilla!B126="A", OR(VLOOKUP(E126,[1]Diccionario!B:N,13,0)="B", VLOOKUP(E126,[1]Diccionario!B:N,13,0)="C")), "SOBREOFERTA",""
))))))),"")</f>
        <v/>
      </c>
      <c r="E126" s="48"/>
      <c r="F126" s="53"/>
      <c r="G126" s="54"/>
      <c r="H126" s="55" t="str">
        <f t="shared" si="27"/>
        <v/>
      </c>
      <c r="I126" s="35"/>
      <c r="J126" s="34" t="e">
        <f>IF(A126&lt;&gt;"",HLOOKUP(VALUE(TEXT(G126,"h:mm:ss")),IF($C$6="Laboral",[1]Input!$A$4:$Y$227,IF($C$6="Sábado",[1]Input!$A$231:$Y$452,[1]Input!$A$456:$Y$656)),VLOOKUP($C$4,[1]Input!$AG$2:$AI$99,3,0)+IF(C$5="Ida",0,1),1),"")</f>
        <v>#N/A</v>
      </c>
      <c r="K126" s="34" t="str">
        <f>IF(A127&lt;&gt;A126,AVERAGEIF(A$9:A126,A126,J$13:J126),"")</f>
        <v/>
      </c>
      <c r="L126" s="35" t="str">
        <f>IFERROR(IF(A127&lt;&gt;A126,AVERAGEIF(A$9:A126,A126,S$13:S126),""),"")</f>
        <v/>
      </c>
      <c r="M126" s="35" t="str">
        <f>IFERROR(IF(A127&lt;&gt;A126,AVERAGEIF(A$9:A126,A126,T$8:T126),""),"")</f>
        <v/>
      </c>
      <c r="N126" s="35" t="str" cm="1">
        <f t="array" ref="N126">IFERROR(IF(A127&lt;&gt;A126,_xlfn.STDEV.P(IF(A$9:A126=A126,T$7:T126)),""),"")</f>
        <v/>
      </c>
      <c r="O126" s="35" t="str" cm="1">
        <f t="array" ref="O126">IFERROR(IF(A127&lt;&gt;A126,_xlfn.STDEV.P(IF(A$9:A126=A126,S$7:S126)),""),"")</f>
        <v/>
      </c>
      <c r="P126" s="36" t="str">
        <f t="shared" si="20"/>
        <v/>
      </c>
      <c r="Q126" s="36" t="str">
        <f t="shared" si="21"/>
        <v/>
      </c>
      <c r="R126" s="36" t="str">
        <f t="shared" si="28"/>
        <v/>
      </c>
      <c r="S126" s="37" t="str">
        <f t="shared" si="29"/>
        <v/>
      </c>
      <c r="T126" s="37" t="str">
        <f t="shared" si="22"/>
        <v/>
      </c>
      <c r="U126" s="54"/>
      <c r="V126" s="46"/>
      <c r="W126" s="39" t="str">
        <f t="shared" si="30"/>
        <v/>
      </c>
      <c r="X126" s="38"/>
      <c r="Y126" s="48"/>
      <c r="AB126" s="56">
        <f t="shared" si="31"/>
        <v>1</v>
      </c>
      <c r="AC126" s="52"/>
      <c r="AD126" s="52"/>
      <c r="AE126" s="29" t="str">
        <f>IFERROR(
IF(AND(OR(AC126="C",AC126="c"), VLOOKUP(AF126,[1]Diccionario!B:N,13,0)="C"), "OK",IF(AND(OR(AC126="C",AC126="c"), OR(VLOOKUP(AF126,[1]Diccionario!B:N,13,0)="B", VLOOKUP(AF126,[1]Diccionario!B:N,13,0)="A")), "DEFICIT",IF(
AND(OR(AC126="B", AC126="BPAL"), VLOOKUP(AF126,[1]Diccionario!B:N,13,0)="B"), "OK",IF(AND(OR(AC126="B", AC126="BPAL"), VLOOKUP(AF126,[1]Diccionario!B:N,13,0)="A"), "DEFICIT",IF(AND(OR(AC126="B", AC126="BPAL"), VLOOKUP(AF126,[1]Diccionario!B:N,13,0)="C"), "SOBREOFERTA",IF(AND(AC126="A", VLOOKUP(AF126,[1]Diccionario!B:N,13,0)="A"), "OK",IF(
AND(AC126="A", OR(VLOOKUP(AF126,[1]Diccionario!B:N,13,0)="B", VLOOKUP(AF126,[1]Diccionario!B:N,13,0)="C")), "SOBREOFERTA",""
))))))),"")</f>
        <v/>
      </c>
      <c r="AF126" s="48"/>
      <c r="AG126" s="53"/>
      <c r="AH126" s="54"/>
      <c r="AI126" s="55" t="str">
        <f t="shared" si="32"/>
        <v/>
      </c>
      <c r="AJ126" s="46"/>
      <c r="AK126" s="34" t="e">
        <f>IF(AB126&lt;&gt;"",HLOOKUP(VALUE(TEXT(AH126,"h:mm:ss")),IF($C$6="Laboral",[1]Input!$A$4:$Y$227,IF($C$6="Sábado",[1]Input!$A$231:$Y$452,[1]Input!$A$456:$Y$656)),VLOOKUP($C$4,[1]Input!$AG$2:$AI$99,3,0)+IF(AD$5="Ida",0,1),1),"")</f>
        <v>#N/A</v>
      </c>
      <c r="AL126" s="34" t="str">
        <f>IF(AB127&lt;&gt;AB126,AVERAGEIF(AB$9:AB126,AB126,AK$9:AK126),"")</f>
        <v/>
      </c>
      <c r="AM126" s="35" t="str">
        <f>IFERROR(IF(AB127&lt;&gt;AB126,AVERAGEIF(AB$9:AB126,AB126,AT$9:AT126),""),"")</f>
        <v/>
      </c>
      <c r="AN126" s="35" t="str">
        <f>IFERROR(IF(AB127&lt;&gt;AB126,AVERAGEIF(AB$9:AB126,AB126,AU$9:AU126),""),"")</f>
        <v/>
      </c>
      <c r="AO126" s="35" t="str" cm="1">
        <f t="array" ref="AO126">IFERROR(IF(AB127&lt;&gt;AB126,_xlfn.STDEV.P(IF(AB$9:AB126=AB126,AU$9:AU126)),""),"")</f>
        <v/>
      </c>
      <c r="AP126" s="35" t="str" cm="1">
        <f t="array" ref="AP126">IFERROR(IF(AB127&lt;&gt;AB126,_xlfn.STDEV.P(IF(AB$9:AB126=AB126,AT$9:AT126)),""),"")</f>
        <v/>
      </c>
      <c r="AQ126" s="36" t="str">
        <f t="shared" si="23"/>
        <v/>
      </c>
      <c r="AR126" s="36" t="str">
        <f t="shared" si="24"/>
        <v/>
      </c>
      <c r="AS126" s="36" t="str">
        <f t="shared" si="33"/>
        <v/>
      </c>
      <c r="AT126" s="37" t="str">
        <f t="shared" si="25"/>
        <v/>
      </c>
      <c r="AU126" s="37" t="str">
        <f t="shared" si="26"/>
        <v/>
      </c>
      <c r="AV126" s="54"/>
      <c r="AW126" s="46"/>
      <c r="AX126" s="39" t="str" cm="1">
        <f t="array" ref="AX126">IF(AH126&lt;&gt;"",IF(AND(AX124:AX125&lt;&gt;"IE",AQ126&lt;&gt;0,AS126&lt;&gt;""),IF(IFERROR((AQ126/AS126),0) &lt;=1,IFERROR(AQ126/AS126,""),1),""),"")</f>
        <v/>
      </c>
      <c r="AY126" s="46"/>
      <c r="AZ126" s="57"/>
    </row>
    <row r="127" spans="1:52" ht="15.5" x14ac:dyDescent="0.35">
      <c r="A127" s="51">
        <f t="shared" si="34"/>
        <v>1</v>
      </c>
      <c r="B127" s="52"/>
      <c r="C127" s="52"/>
      <c r="D127" s="29" t="str">
        <f>IFERROR(
IF(AND(OR(Planilla!B127="C",Planilla!B127="c"), VLOOKUP(E127,[1]Diccionario!B:N,13,0)="C"), "OK",IF(AND(OR(Planilla!B127="C",Planilla!B127="c"), OR(VLOOKUP(E127,[1]Diccionario!B:N,13,0)="B", VLOOKUP(E127,[1]Diccionario!B:N,13,0)="A")), "DEFICIT",IF(
AND(OR(Planilla!B127="B", Planilla!B127="BPAL"), VLOOKUP(E127,[1]Diccionario!B:N,13,0)="B"), "OK",IF(AND(OR(Planilla!B127="B", Planilla!B127="BPAL"), VLOOKUP(E127,[1]Diccionario!B:N,13,0)="A"), "DEFICIT",IF(AND(OR(Planilla!B127="B", Planilla!B127="BPAL"), VLOOKUP(E127,[1]Diccionario!B:N,13,0)="C"), "SOBREOFERTA",IF(AND(Planilla!B127="A", VLOOKUP(E127,[1]Diccionario!B:N,13,0)="A"), "OK",IF(
AND(Planilla!B127="A", OR(VLOOKUP(E127,[1]Diccionario!B:N,13,0)="B", VLOOKUP(E127,[1]Diccionario!B:N,13,0)="C")), "SOBREOFERTA",""
))))))),"")</f>
        <v/>
      </c>
      <c r="E127" s="48"/>
      <c r="F127" s="53"/>
      <c r="G127" s="54"/>
      <c r="H127" s="55" t="str">
        <f t="shared" si="27"/>
        <v/>
      </c>
      <c r="I127" s="35"/>
      <c r="J127" s="34" t="e">
        <f>IF(A127&lt;&gt;"",HLOOKUP(VALUE(TEXT(G127,"h:mm:ss")),IF($C$6="Laboral",[1]Input!$A$4:$Y$227,IF($C$6="Sábado",[1]Input!$A$231:$Y$452,[1]Input!$A$456:$Y$656)),VLOOKUP($C$4,[1]Input!$AG$2:$AI$99,3,0)+IF(C$5="Ida",0,1),1),"")</f>
        <v>#N/A</v>
      </c>
      <c r="K127" s="34" t="str">
        <f>IF(A128&lt;&gt;A127,AVERAGEIF(A$9:A127,A127,J$13:J127),"")</f>
        <v/>
      </c>
      <c r="L127" s="35" t="str">
        <f>IFERROR(IF(A128&lt;&gt;A127,AVERAGEIF(A$9:A127,A127,S$13:S127),""),"")</f>
        <v/>
      </c>
      <c r="M127" s="35" t="str">
        <f>IFERROR(IF(A128&lt;&gt;A127,AVERAGEIF(A$9:A127,A127,T$8:T127),""),"")</f>
        <v/>
      </c>
      <c r="N127" s="35" t="str" cm="1">
        <f t="array" ref="N127">IFERROR(IF(A128&lt;&gt;A127,_xlfn.STDEV.P(IF(A$9:A127=A127,T$7:T127)),""),"")</f>
        <v/>
      </c>
      <c r="O127" s="35" t="str" cm="1">
        <f t="array" ref="O127">IFERROR(IF(A128&lt;&gt;A127,_xlfn.STDEV.P(IF(A$9:A127=A127,S$7:S127)),""),"")</f>
        <v/>
      </c>
      <c r="P127" s="36" t="str">
        <f t="shared" si="20"/>
        <v/>
      </c>
      <c r="Q127" s="36" t="str">
        <f t="shared" si="21"/>
        <v/>
      </c>
      <c r="R127" s="36" t="str">
        <f t="shared" si="28"/>
        <v/>
      </c>
      <c r="S127" s="37" t="str">
        <f t="shared" si="29"/>
        <v/>
      </c>
      <c r="T127" s="37" t="str">
        <f t="shared" si="22"/>
        <v/>
      </c>
      <c r="U127" s="54"/>
      <c r="V127" s="46"/>
      <c r="W127" s="39" t="str">
        <f t="shared" si="30"/>
        <v/>
      </c>
      <c r="X127" s="38"/>
      <c r="Y127" s="48"/>
      <c r="AB127" s="56">
        <f t="shared" si="31"/>
        <v>1</v>
      </c>
      <c r="AC127" s="52"/>
      <c r="AD127" s="52"/>
      <c r="AE127" s="29" t="str">
        <f>IFERROR(
IF(AND(OR(AC127="C",AC127="c"), VLOOKUP(AF127,[1]Diccionario!B:N,13,0)="C"), "OK",IF(AND(OR(AC127="C",AC127="c"), OR(VLOOKUP(AF127,[1]Diccionario!B:N,13,0)="B", VLOOKUP(AF127,[1]Diccionario!B:N,13,0)="A")), "DEFICIT",IF(
AND(OR(AC127="B", AC127="BPAL"), VLOOKUP(AF127,[1]Diccionario!B:N,13,0)="B"), "OK",IF(AND(OR(AC127="B", AC127="BPAL"), VLOOKUP(AF127,[1]Diccionario!B:N,13,0)="A"), "DEFICIT",IF(AND(OR(AC127="B", AC127="BPAL"), VLOOKUP(AF127,[1]Diccionario!B:N,13,0)="C"), "SOBREOFERTA",IF(AND(AC127="A", VLOOKUP(AF127,[1]Diccionario!B:N,13,0)="A"), "OK",IF(
AND(AC127="A", OR(VLOOKUP(AF127,[1]Diccionario!B:N,13,0)="B", VLOOKUP(AF127,[1]Diccionario!B:N,13,0)="C")), "SOBREOFERTA",""
))))))),"")</f>
        <v/>
      </c>
      <c r="AF127" s="48"/>
      <c r="AG127" s="53"/>
      <c r="AH127" s="54"/>
      <c r="AI127" s="55" t="str">
        <f t="shared" si="32"/>
        <v/>
      </c>
      <c r="AJ127" s="46"/>
      <c r="AK127" s="34" t="e">
        <f>IF(AB127&lt;&gt;"",HLOOKUP(VALUE(TEXT(AH127,"h:mm:ss")),IF($C$6="Laboral",[1]Input!$A$4:$Y$227,IF($C$6="Sábado",[1]Input!$A$231:$Y$452,[1]Input!$A$456:$Y$656)),VLOOKUP($C$4,[1]Input!$AG$2:$AI$99,3,0)+IF(AD$5="Ida",0,1),1),"")</f>
        <v>#N/A</v>
      </c>
      <c r="AL127" s="34" t="str">
        <f>IF(AB128&lt;&gt;AB127,AVERAGEIF(AB$9:AB127,AB127,AK$9:AK127),"")</f>
        <v/>
      </c>
      <c r="AM127" s="35" t="str">
        <f>IFERROR(IF(AB128&lt;&gt;AB127,AVERAGEIF(AB$9:AB127,AB127,AT$9:AT127),""),"")</f>
        <v/>
      </c>
      <c r="AN127" s="35" t="str">
        <f>IFERROR(IF(AB128&lt;&gt;AB127,AVERAGEIF(AB$9:AB127,AB127,AU$9:AU127),""),"")</f>
        <v/>
      </c>
      <c r="AO127" s="35" t="str" cm="1">
        <f t="array" ref="AO127">IFERROR(IF(AB128&lt;&gt;AB127,_xlfn.STDEV.P(IF(AB$9:AB127=AB127,AU$9:AU127)),""),"")</f>
        <v/>
      </c>
      <c r="AP127" s="35" t="str" cm="1">
        <f t="array" ref="AP127">IFERROR(IF(AB128&lt;&gt;AB127,_xlfn.STDEV.P(IF(AB$9:AB127=AB127,AT$9:AT127)),""),"")</f>
        <v/>
      </c>
      <c r="AQ127" s="36" t="str">
        <f t="shared" si="23"/>
        <v/>
      </c>
      <c r="AR127" s="36" t="str">
        <f t="shared" si="24"/>
        <v/>
      </c>
      <c r="AS127" s="36" t="str">
        <f t="shared" si="33"/>
        <v/>
      </c>
      <c r="AT127" s="37" t="str">
        <f t="shared" si="25"/>
        <v/>
      </c>
      <c r="AU127" s="37" t="str">
        <f t="shared" si="26"/>
        <v/>
      </c>
      <c r="AV127" s="54"/>
      <c r="AW127" s="46"/>
      <c r="AX127" s="39" t="str" cm="1">
        <f t="array" ref="AX127">IF(AH127&lt;&gt;"",IF(AND(AX125:AX126&lt;&gt;"IE",AQ127&lt;&gt;0,AS127&lt;&gt;""),IF(IFERROR((AQ127/AS127),0) &lt;=1,IFERROR(AQ127/AS127,""),1),""),"")</f>
        <v/>
      </c>
      <c r="AY127" s="46"/>
      <c r="AZ127" s="57"/>
    </row>
    <row r="128" spans="1:52" ht="15.5" x14ac:dyDescent="0.35">
      <c r="A128" s="51">
        <f t="shared" si="34"/>
        <v>1</v>
      </c>
      <c r="B128" s="52"/>
      <c r="C128" s="52"/>
      <c r="D128" s="29" t="str">
        <f>IFERROR(
IF(AND(OR(Planilla!B128="C",Planilla!B128="c"), VLOOKUP(E128,[1]Diccionario!B:N,13,0)="C"), "OK",IF(AND(OR(Planilla!B128="C",Planilla!B128="c"), OR(VLOOKUP(E128,[1]Diccionario!B:N,13,0)="B", VLOOKUP(E128,[1]Diccionario!B:N,13,0)="A")), "DEFICIT",IF(
AND(OR(Planilla!B128="B", Planilla!B128="BPAL"), VLOOKUP(E128,[1]Diccionario!B:N,13,0)="B"), "OK",IF(AND(OR(Planilla!B128="B", Planilla!B128="BPAL"), VLOOKUP(E128,[1]Diccionario!B:N,13,0)="A"), "DEFICIT",IF(AND(OR(Planilla!B128="B", Planilla!B128="BPAL"), VLOOKUP(E128,[1]Diccionario!B:N,13,0)="C"), "SOBREOFERTA",IF(AND(Planilla!B128="A", VLOOKUP(E128,[1]Diccionario!B:N,13,0)="A"), "OK",IF(
AND(Planilla!B128="A", OR(VLOOKUP(E128,[1]Diccionario!B:N,13,0)="B", VLOOKUP(E128,[1]Diccionario!B:N,13,0)="C")), "SOBREOFERTA",""
))))))),"")</f>
        <v/>
      </c>
      <c r="E128" s="48"/>
      <c r="F128" s="53"/>
      <c r="G128" s="54"/>
      <c r="H128" s="55" t="str">
        <f t="shared" si="27"/>
        <v/>
      </c>
      <c r="I128" s="35"/>
      <c r="J128" s="34" t="e">
        <f>IF(A128&lt;&gt;"",HLOOKUP(VALUE(TEXT(G128,"h:mm:ss")),IF($C$6="Laboral",[1]Input!$A$4:$Y$227,IF($C$6="Sábado",[1]Input!$A$231:$Y$452,[1]Input!$A$456:$Y$656)),VLOOKUP($C$4,[1]Input!$AG$2:$AI$99,3,0)+IF(C$5="Ida",0,1),1),"")</f>
        <v>#N/A</v>
      </c>
      <c r="K128" s="34" t="str">
        <f>IF(A129&lt;&gt;A128,AVERAGEIF(A$9:A128,A128,J$13:J128),"")</f>
        <v/>
      </c>
      <c r="L128" s="35" t="str">
        <f>IFERROR(IF(A129&lt;&gt;A128,AVERAGEIF(A$9:A128,A128,S$13:S128),""),"")</f>
        <v/>
      </c>
      <c r="M128" s="35" t="str">
        <f>IFERROR(IF(A129&lt;&gt;A128,AVERAGEIF(A$9:A128,A128,T$8:T128),""),"")</f>
        <v/>
      </c>
      <c r="N128" s="35" t="str" cm="1">
        <f t="array" ref="N128">IFERROR(IF(A129&lt;&gt;A128,_xlfn.STDEV.P(IF(A$9:A128=A128,T$7:T128)),""),"")</f>
        <v/>
      </c>
      <c r="O128" s="35" t="str" cm="1">
        <f t="array" ref="O128">IFERROR(IF(A129&lt;&gt;A128,_xlfn.STDEV.P(IF(A$9:A128=A128,S$7:S128)),""),"")</f>
        <v/>
      </c>
      <c r="P128" s="36" t="str">
        <f t="shared" si="20"/>
        <v/>
      </c>
      <c r="Q128" s="36" t="str">
        <f t="shared" si="21"/>
        <v/>
      </c>
      <c r="R128" s="36" t="str">
        <f t="shared" si="28"/>
        <v/>
      </c>
      <c r="S128" s="37" t="str">
        <f t="shared" si="29"/>
        <v/>
      </c>
      <c r="T128" s="37" t="str">
        <f t="shared" si="22"/>
        <v/>
      </c>
      <c r="U128" s="54"/>
      <c r="V128" s="46"/>
      <c r="W128" s="39" t="str">
        <f t="shared" si="30"/>
        <v/>
      </c>
      <c r="X128" s="38"/>
      <c r="Y128" s="48"/>
      <c r="AB128" s="56">
        <f t="shared" si="31"/>
        <v>1</v>
      </c>
      <c r="AC128" s="52"/>
      <c r="AD128" s="52"/>
      <c r="AE128" s="29" t="str">
        <f>IFERROR(
IF(AND(OR(AC128="C",AC128="c"), VLOOKUP(AF128,[1]Diccionario!B:N,13,0)="C"), "OK",IF(AND(OR(AC128="C",AC128="c"), OR(VLOOKUP(AF128,[1]Diccionario!B:N,13,0)="B", VLOOKUP(AF128,[1]Diccionario!B:N,13,0)="A")), "DEFICIT",IF(
AND(OR(AC128="B", AC128="BPAL"), VLOOKUP(AF128,[1]Diccionario!B:N,13,0)="B"), "OK",IF(AND(OR(AC128="B", AC128="BPAL"), VLOOKUP(AF128,[1]Diccionario!B:N,13,0)="A"), "DEFICIT",IF(AND(OR(AC128="B", AC128="BPAL"), VLOOKUP(AF128,[1]Diccionario!B:N,13,0)="C"), "SOBREOFERTA",IF(AND(AC128="A", VLOOKUP(AF128,[1]Diccionario!B:N,13,0)="A"), "OK",IF(
AND(AC128="A", OR(VLOOKUP(AF128,[1]Diccionario!B:N,13,0)="B", VLOOKUP(AF128,[1]Diccionario!B:N,13,0)="C")), "SOBREOFERTA",""
))))))),"")</f>
        <v/>
      </c>
      <c r="AF128" s="48"/>
      <c r="AG128" s="53"/>
      <c r="AH128" s="54"/>
      <c r="AI128" s="55" t="str">
        <f t="shared" si="32"/>
        <v/>
      </c>
      <c r="AJ128" s="46"/>
      <c r="AK128" s="34" t="e">
        <f>IF(AB128&lt;&gt;"",HLOOKUP(VALUE(TEXT(AH128,"h:mm:ss")),IF($C$6="Laboral",[1]Input!$A$4:$Y$227,IF($C$6="Sábado",[1]Input!$A$231:$Y$452,[1]Input!$A$456:$Y$656)),VLOOKUP($C$4,[1]Input!$AG$2:$AI$99,3,0)+IF(AD$5="Ida",0,1),1),"")</f>
        <v>#N/A</v>
      </c>
      <c r="AL128" s="34" t="str">
        <f>IF(AB129&lt;&gt;AB128,AVERAGEIF(AB$9:AB128,AB128,AK$9:AK128),"")</f>
        <v/>
      </c>
      <c r="AM128" s="35" t="str">
        <f>IFERROR(IF(AB129&lt;&gt;AB128,AVERAGEIF(AB$9:AB128,AB128,AT$9:AT128),""),"")</f>
        <v/>
      </c>
      <c r="AN128" s="35" t="str">
        <f>IFERROR(IF(AB129&lt;&gt;AB128,AVERAGEIF(AB$9:AB128,AB128,AU$9:AU128),""),"")</f>
        <v/>
      </c>
      <c r="AO128" s="35" t="str" cm="1">
        <f t="array" ref="AO128">IFERROR(IF(AB129&lt;&gt;AB128,_xlfn.STDEV.P(IF(AB$9:AB128=AB128,AU$9:AU128)),""),"")</f>
        <v/>
      </c>
      <c r="AP128" s="35" t="str" cm="1">
        <f t="array" ref="AP128">IFERROR(IF(AB129&lt;&gt;AB128,_xlfn.STDEV.P(IF(AB$9:AB128=AB128,AT$9:AT128)),""),"")</f>
        <v/>
      </c>
      <c r="AQ128" s="36" t="str">
        <f t="shared" si="23"/>
        <v/>
      </c>
      <c r="AR128" s="36" t="str">
        <f t="shared" si="24"/>
        <v/>
      </c>
      <c r="AS128" s="36" t="str">
        <f t="shared" si="33"/>
        <v/>
      </c>
      <c r="AT128" s="37" t="str">
        <f t="shared" si="25"/>
        <v/>
      </c>
      <c r="AU128" s="37" t="str">
        <f t="shared" si="26"/>
        <v/>
      </c>
      <c r="AV128" s="54"/>
      <c r="AW128" s="46"/>
      <c r="AX128" s="39" t="str" cm="1">
        <f t="array" ref="AX128">IF(AH128&lt;&gt;"",IF(AND(AX126:AX127&lt;&gt;"IE",AQ128&lt;&gt;0,AS128&lt;&gt;""),IF(IFERROR((AQ128/AS128),0) &lt;=1,IFERROR(AQ128/AS128,""),1),""),"")</f>
        <v/>
      </c>
      <c r="AY128" s="46"/>
      <c r="AZ128" s="57"/>
    </row>
    <row r="129" spans="1:52" ht="15.5" x14ac:dyDescent="0.35">
      <c r="A129" s="51">
        <f t="shared" si="34"/>
        <v>1</v>
      </c>
      <c r="B129" s="52"/>
      <c r="C129" s="52"/>
      <c r="D129" s="29" t="str">
        <f>IFERROR(
IF(AND(OR(Planilla!B129="C",Planilla!B129="c"), VLOOKUP(E129,[1]Diccionario!B:N,13,0)="C"), "OK",IF(AND(OR(Planilla!B129="C",Planilla!B129="c"), OR(VLOOKUP(E129,[1]Diccionario!B:N,13,0)="B", VLOOKUP(E129,[1]Diccionario!B:N,13,0)="A")), "DEFICIT",IF(
AND(OR(Planilla!B129="B", Planilla!B129="BPAL"), VLOOKUP(E129,[1]Diccionario!B:N,13,0)="B"), "OK",IF(AND(OR(Planilla!B129="B", Planilla!B129="BPAL"), VLOOKUP(E129,[1]Diccionario!B:N,13,0)="A"), "DEFICIT",IF(AND(OR(Planilla!B129="B", Planilla!B129="BPAL"), VLOOKUP(E129,[1]Diccionario!B:N,13,0)="C"), "SOBREOFERTA",IF(AND(Planilla!B129="A", VLOOKUP(E129,[1]Diccionario!B:N,13,0)="A"), "OK",IF(
AND(Planilla!B129="A", OR(VLOOKUP(E129,[1]Diccionario!B:N,13,0)="B", VLOOKUP(E129,[1]Diccionario!B:N,13,0)="C")), "SOBREOFERTA",""
))))))),"")</f>
        <v/>
      </c>
      <c r="E129" s="48"/>
      <c r="F129" s="53"/>
      <c r="G129" s="54"/>
      <c r="H129" s="55" t="str">
        <f t="shared" si="27"/>
        <v/>
      </c>
      <c r="I129" s="35"/>
      <c r="J129" s="34" t="e">
        <f>IF(A129&lt;&gt;"",HLOOKUP(VALUE(TEXT(G129,"h:mm:ss")),IF($C$6="Laboral",[1]Input!$A$4:$Y$227,IF($C$6="Sábado",[1]Input!$A$231:$Y$452,[1]Input!$A$456:$Y$656)),VLOOKUP($C$4,[1]Input!$AG$2:$AI$99,3,0)+IF(C$5="Ida",0,1),1),"")</f>
        <v>#N/A</v>
      </c>
      <c r="K129" s="34" t="str">
        <f>IF(A130&lt;&gt;A129,AVERAGEIF(A$9:A129,A129,J$13:J129),"")</f>
        <v/>
      </c>
      <c r="L129" s="35" t="str">
        <f>IFERROR(IF(A130&lt;&gt;A129,AVERAGEIF(A$9:A129,A129,S$13:S129),""),"")</f>
        <v/>
      </c>
      <c r="M129" s="35" t="str">
        <f>IFERROR(IF(A130&lt;&gt;A129,AVERAGEIF(A$9:A129,A129,T$8:T129),""),"")</f>
        <v/>
      </c>
      <c r="N129" s="35" t="str" cm="1">
        <f t="array" ref="N129">IFERROR(IF(A130&lt;&gt;A129,_xlfn.STDEV.P(IF(A$9:A129=A129,T$7:T129)),""),"")</f>
        <v/>
      </c>
      <c r="O129" s="35" t="str" cm="1">
        <f t="array" ref="O129">IFERROR(IF(A130&lt;&gt;A129,_xlfn.STDEV.P(IF(A$9:A129=A129,S$7:S129)),""),"")</f>
        <v/>
      </c>
      <c r="P129" s="36" t="str">
        <f t="shared" si="20"/>
        <v/>
      </c>
      <c r="Q129" s="36" t="str">
        <f t="shared" si="21"/>
        <v/>
      </c>
      <c r="R129" s="36" t="str">
        <f t="shared" si="28"/>
        <v/>
      </c>
      <c r="S129" s="37" t="str">
        <f t="shared" si="29"/>
        <v/>
      </c>
      <c r="T129" s="37" t="str">
        <f t="shared" si="22"/>
        <v/>
      </c>
      <c r="U129" s="54"/>
      <c r="V129" s="46"/>
      <c r="W129" s="39" t="str">
        <f t="shared" si="30"/>
        <v/>
      </c>
      <c r="X129" s="38"/>
      <c r="Y129" s="48"/>
      <c r="AB129" s="56">
        <f t="shared" si="31"/>
        <v>1</v>
      </c>
      <c r="AC129" s="52"/>
      <c r="AD129" s="52"/>
      <c r="AE129" s="29" t="str">
        <f>IFERROR(
IF(AND(OR(AC129="C",AC129="c"), VLOOKUP(AF129,[1]Diccionario!B:N,13,0)="C"), "OK",IF(AND(OR(AC129="C",AC129="c"), OR(VLOOKUP(AF129,[1]Diccionario!B:N,13,0)="B", VLOOKUP(AF129,[1]Diccionario!B:N,13,0)="A")), "DEFICIT",IF(
AND(OR(AC129="B", AC129="BPAL"), VLOOKUP(AF129,[1]Diccionario!B:N,13,0)="B"), "OK",IF(AND(OR(AC129="B", AC129="BPAL"), VLOOKUP(AF129,[1]Diccionario!B:N,13,0)="A"), "DEFICIT",IF(AND(OR(AC129="B", AC129="BPAL"), VLOOKUP(AF129,[1]Diccionario!B:N,13,0)="C"), "SOBREOFERTA",IF(AND(AC129="A", VLOOKUP(AF129,[1]Diccionario!B:N,13,0)="A"), "OK",IF(
AND(AC129="A", OR(VLOOKUP(AF129,[1]Diccionario!B:N,13,0)="B", VLOOKUP(AF129,[1]Diccionario!B:N,13,0)="C")), "SOBREOFERTA",""
))))))),"")</f>
        <v/>
      </c>
      <c r="AF129" s="48"/>
      <c r="AG129" s="53"/>
      <c r="AH129" s="54"/>
      <c r="AI129" s="55" t="str">
        <f t="shared" si="32"/>
        <v/>
      </c>
      <c r="AJ129" s="46"/>
      <c r="AK129" s="34" t="e">
        <f>IF(AB129&lt;&gt;"",HLOOKUP(VALUE(TEXT(AH129,"h:mm:ss")),IF($C$6="Laboral",[1]Input!$A$4:$Y$227,IF($C$6="Sábado",[1]Input!$A$231:$Y$452,[1]Input!$A$456:$Y$656)),VLOOKUP($C$4,[1]Input!$AG$2:$AI$99,3,0)+IF(AD$5="Ida",0,1),1),"")</f>
        <v>#N/A</v>
      </c>
      <c r="AL129" s="34" t="str">
        <f>IF(AB130&lt;&gt;AB129,AVERAGEIF(AB$9:AB129,AB129,AK$9:AK129),"")</f>
        <v/>
      </c>
      <c r="AM129" s="35" t="str">
        <f>IFERROR(IF(AB130&lt;&gt;AB129,AVERAGEIF(AB$9:AB129,AB129,AT$9:AT129),""),"")</f>
        <v/>
      </c>
      <c r="AN129" s="35" t="str">
        <f>IFERROR(IF(AB130&lt;&gt;AB129,AVERAGEIF(AB$9:AB129,AB129,AU$9:AU129),""),"")</f>
        <v/>
      </c>
      <c r="AO129" s="35" t="str" cm="1">
        <f t="array" ref="AO129">IFERROR(IF(AB130&lt;&gt;AB129,_xlfn.STDEV.P(IF(AB$9:AB129=AB129,AU$9:AU129)),""),"")</f>
        <v/>
      </c>
      <c r="AP129" s="35" t="str" cm="1">
        <f t="array" ref="AP129">IFERROR(IF(AB130&lt;&gt;AB129,_xlfn.STDEV.P(IF(AB$9:AB129=AB129,AT$9:AT129)),""),"")</f>
        <v/>
      </c>
      <c r="AQ129" s="36" t="str">
        <f t="shared" si="23"/>
        <v/>
      </c>
      <c r="AR129" s="36" t="str">
        <f t="shared" si="24"/>
        <v/>
      </c>
      <c r="AS129" s="36" t="str">
        <f t="shared" si="33"/>
        <v/>
      </c>
      <c r="AT129" s="37" t="str">
        <f t="shared" si="25"/>
        <v/>
      </c>
      <c r="AU129" s="37" t="str">
        <f t="shared" si="26"/>
        <v/>
      </c>
      <c r="AV129" s="54"/>
      <c r="AW129" s="46"/>
      <c r="AX129" s="39" t="str" cm="1">
        <f t="array" ref="AX129">IF(AH129&lt;&gt;"",IF(AND(AX127:AX128&lt;&gt;"IE",AQ129&lt;&gt;0,AS129&lt;&gt;""),IF(IFERROR((AQ129/AS129),0) &lt;=1,IFERROR(AQ129/AS129,""),1),""),"")</f>
        <v/>
      </c>
      <c r="AY129" s="46"/>
      <c r="AZ129" s="57"/>
    </row>
    <row r="130" spans="1:52" ht="15.5" x14ac:dyDescent="0.35">
      <c r="A130" s="51">
        <f t="shared" si="34"/>
        <v>1</v>
      </c>
      <c r="B130" s="52"/>
      <c r="C130" s="52"/>
      <c r="D130" s="29" t="str">
        <f>IFERROR(
IF(AND(OR(Planilla!B130="C",Planilla!B130="c"), VLOOKUP(E130,[1]Diccionario!B:N,13,0)="C"), "OK",IF(AND(OR(Planilla!B130="C",Planilla!B130="c"), OR(VLOOKUP(E130,[1]Diccionario!B:N,13,0)="B", VLOOKUP(E130,[1]Diccionario!B:N,13,0)="A")), "DEFICIT",IF(
AND(OR(Planilla!B130="B", Planilla!B130="BPAL"), VLOOKUP(E130,[1]Diccionario!B:N,13,0)="B"), "OK",IF(AND(OR(Planilla!B130="B", Planilla!B130="BPAL"), VLOOKUP(E130,[1]Diccionario!B:N,13,0)="A"), "DEFICIT",IF(AND(OR(Planilla!B130="B", Planilla!B130="BPAL"), VLOOKUP(E130,[1]Diccionario!B:N,13,0)="C"), "SOBREOFERTA",IF(AND(Planilla!B130="A", VLOOKUP(E130,[1]Diccionario!B:N,13,0)="A"), "OK",IF(
AND(Planilla!B130="A", OR(VLOOKUP(E130,[1]Diccionario!B:N,13,0)="B", VLOOKUP(E130,[1]Diccionario!B:N,13,0)="C")), "SOBREOFERTA",""
))))))),"")</f>
        <v/>
      </c>
      <c r="E130" s="48"/>
      <c r="F130" s="53"/>
      <c r="G130" s="54"/>
      <c r="H130" s="55" t="str">
        <f t="shared" si="27"/>
        <v/>
      </c>
      <c r="I130" s="35"/>
      <c r="J130" s="34" t="e">
        <f>IF(A130&lt;&gt;"",HLOOKUP(VALUE(TEXT(G130,"h:mm:ss")),IF($C$6="Laboral",[1]Input!$A$4:$Y$227,IF($C$6="Sábado",[1]Input!$A$231:$Y$452,[1]Input!$A$456:$Y$656)),VLOOKUP($C$4,[1]Input!$AG$2:$AI$99,3,0)+IF(C$5="Ida",0,1),1),"")</f>
        <v>#N/A</v>
      </c>
      <c r="K130" s="34" t="str">
        <f>IF(A131&lt;&gt;A130,AVERAGEIF(A$9:A130,A130,J$13:J130),"")</f>
        <v/>
      </c>
      <c r="L130" s="35" t="str">
        <f>IFERROR(IF(A131&lt;&gt;A130,AVERAGEIF(A$9:A130,A130,S$13:S130),""),"")</f>
        <v/>
      </c>
      <c r="M130" s="35" t="str">
        <f>IFERROR(IF(A131&lt;&gt;A130,AVERAGEIF(A$9:A130,A130,T$8:T130),""),"")</f>
        <v/>
      </c>
      <c r="N130" s="35" t="str" cm="1">
        <f t="array" ref="N130">IFERROR(IF(A131&lt;&gt;A130,_xlfn.STDEV.P(IF(A$9:A130=A130,T$7:T130)),""),"")</f>
        <v/>
      </c>
      <c r="O130" s="35" t="str" cm="1">
        <f t="array" ref="O130">IFERROR(IF(A131&lt;&gt;A130,_xlfn.STDEV.P(IF(A$9:A130=A130,S$7:S130)),""),"")</f>
        <v/>
      </c>
      <c r="P130" s="36" t="str">
        <f t="shared" si="20"/>
        <v/>
      </c>
      <c r="Q130" s="36" t="str">
        <f t="shared" si="21"/>
        <v/>
      </c>
      <c r="R130" s="36" t="str">
        <f t="shared" si="28"/>
        <v/>
      </c>
      <c r="S130" s="37" t="str">
        <f t="shared" si="29"/>
        <v/>
      </c>
      <c r="T130" s="37" t="str">
        <f t="shared" si="22"/>
        <v/>
      </c>
      <c r="U130" s="54"/>
      <c r="V130" s="46"/>
      <c r="W130" s="39" t="str">
        <f t="shared" si="30"/>
        <v/>
      </c>
      <c r="X130" s="38"/>
      <c r="Y130" s="48"/>
      <c r="AB130" s="56">
        <f t="shared" si="31"/>
        <v>1</v>
      </c>
      <c r="AC130" s="52"/>
      <c r="AD130" s="52"/>
      <c r="AE130" s="29" t="str">
        <f>IFERROR(
IF(AND(OR(AC130="C",AC130="c"), VLOOKUP(AF130,[1]Diccionario!B:N,13,0)="C"), "OK",IF(AND(OR(AC130="C",AC130="c"), OR(VLOOKUP(AF130,[1]Diccionario!B:N,13,0)="B", VLOOKUP(AF130,[1]Diccionario!B:N,13,0)="A")), "DEFICIT",IF(
AND(OR(AC130="B", AC130="BPAL"), VLOOKUP(AF130,[1]Diccionario!B:N,13,0)="B"), "OK",IF(AND(OR(AC130="B", AC130="BPAL"), VLOOKUP(AF130,[1]Diccionario!B:N,13,0)="A"), "DEFICIT",IF(AND(OR(AC130="B", AC130="BPAL"), VLOOKUP(AF130,[1]Diccionario!B:N,13,0)="C"), "SOBREOFERTA",IF(AND(AC130="A", VLOOKUP(AF130,[1]Diccionario!B:N,13,0)="A"), "OK",IF(
AND(AC130="A", OR(VLOOKUP(AF130,[1]Diccionario!B:N,13,0)="B", VLOOKUP(AF130,[1]Diccionario!B:N,13,0)="C")), "SOBREOFERTA",""
))))))),"")</f>
        <v/>
      </c>
      <c r="AF130" s="48"/>
      <c r="AG130" s="53"/>
      <c r="AH130" s="54"/>
      <c r="AI130" s="55" t="str">
        <f t="shared" si="32"/>
        <v/>
      </c>
      <c r="AJ130" s="46"/>
      <c r="AK130" s="34" t="e">
        <f>IF(AB130&lt;&gt;"",HLOOKUP(VALUE(TEXT(AH130,"h:mm:ss")),IF($C$6="Laboral",[1]Input!$A$4:$Y$227,IF($C$6="Sábado",[1]Input!$A$231:$Y$452,[1]Input!$A$456:$Y$656)),VLOOKUP($C$4,[1]Input!$AG$2:$AI$99,3,0)+IF(AD$5="Ida",0,1),1),"")</f>
        <v>#N/A</v>
      </c>
      <c r="AL130" s="34" t="str">
        <f>IF(AB131&lt;&gt;AB130,AVERAGEIF(AB$9:AB130,AB130,AK$9:AK130),"")</f>
        <v/>
      </c>
      <c r="AM130" s="35" t="str">
        <f>IFERROR(IF(AB131&lt;&gt;AB130,AVERAGEIF(AB$9:AB130,AB130,AT$9:AT130),""),"")</f>
        <v/>
      </c>
      <c r="AN130" s="35" t="str">
        <f>IFERROR(IF(AB131&lt;&gt;AB130,AVERAGEIF(AB$9:AB130,AB130,AU$9:AU130),""),"")</f>
        <v/>
      </c>
      <c r="AO130" s="35" t="str" cm="1">
        <f t="array" ref="AO130">IFERROR(IF(AB131&lt;&gt;AB130,_xlfn.STDEV.P(IF(AB$9:AB130=AB130,AU$9:AU130)),""),"")</f>
        <v/>
      </c>
      <c r="AP130" s="35" t="str" cm="1">
        <f t="array" ref="AP130">IFERROR(IF(AB131&lt;&gt;AB130,_xlfn.STDEV.P(IF(AB$9:AB130=AB130,AT$9:AT130)),""),"")</f>
        <v/>
      </c>
      <c r="AQ130" s="36" t="str">
        <f t="shared" si="23"/>
        <v/>
      </c>
      <c r="AR130" s="36" t="str">
        <f t="shared" si="24"/>
        <v/>
      </c>
      <c r="AS130" s="36" t="str">
        <f t="shared" si="33"/>
        <v/>
      </c>
      <c r="AT130" s="37" t="str">
        <f t="shared" si="25"/>
        <v/>
      </c>
      <c r="AU130" s="37" t="str">
        <f t="shared" si="26"/>
        <v/>
      </c>
      <c r="AV130" s="54"/>
      <c r="AW130" s="46"/>
      <c r="AX130" s="39" t="str" cm="1">
        <f t="array" ref="AX130">IF(AH130&lt;&gt;"",IF(AND(AX128:AX129&lt;&gt;"IE",AQ130&lt;&gt;0,AS130&lt;&gt;""),IF(IFERROR((AQ130/AS130),0) &lt;=1,IFERROR(AQ130/AS130,""),1),""),"")</f>
        <v/>
      </c>
      <c r="AY130" s="46"/>
      <c r="AZ130" s="57"/>
    </row>
    <row r="131" spans="1:52" ht="15.5" x14ac:dyDescent="0.35">
      <c r="A131" s="51">
        <f t="shared" si="34"/>
        <v>1</v>
      </c>
      <c r="B131" s="52"/>
      <c r="C131" s="52"/>
      <c r="D131" s="29" t="str">
        <f>IFERROR(
IF(AND(OR(Planilla!B131="C",Planilla!B131="c"), VLOOKUP(E131,[1]Diccionario!B:N,13,0)="C"), "OK",IF(AND(OR(Planilla!B131="C",Planilla!B131="c"), OR(VLOOKUP(E131,[1]Diccionario!B:N,13,0)="B", VLOOKUP(E131,[1]Diccionario!B:N,13,0)="A")), "DEFICIT",IF(
AND(OR(Planilla!B131="B", Planilla!B131="BPAL"), VLOOKUP(E131,[1]Diccionario!B:N,13,0)="B"), "OK",IF(AND(OR(Planilla!B131="B", Planilla!B131="BPAL"), VLOOKUP(E131,[1]Diccionario!B:N,13,0)="A"), "DEFICIT",IF(AND(OR(Planilla!B131="B", Planilla!B131="BPAL"), VLOOKUP(E131,[1]Diccionario!B:N,13,0)="C"), "SOBREOFERTA",IF(AND(Planilla!B131="A", VLOOKUP(E131,[1]Diccionario!B:N,13,0)="A"), "OK",IF(
AND(Planilla!B131="A", OR(VLOOKUP(E131,[1]Diccionario!B:N,13,0)="B", VLOOKUP(E131,[1]Diccionario!B:N,13,0)="C")), "SOBREOFERTA",""
))))))),"")</f>
        <v/>
      </c>
      <c r="E131" s="48"/>
      <c r="F131" s="53"/>
      <c r="G131" s="54"/>
      <c r="H131" s="55" t="str">
        <f t="shared" si="27"/>
        <v/>
      </c>
      <c r="I131" s="35"/>
      <c r="J131" s="34" t="e">
        <f>IF(A131&lt;&gt;"",HLOOKUP(VALUE(TEXT(G131,"h:mm:ss")),IF($C$6="Laboral",[1]Input!$A$4:$Y$227,IF($C$6="Sábado",[1]Input!$A$231:$Y$452,[1]Input!$A$456:$Y$656)),VLOOKUP($C$4,[1]Input!$AG$2:$AI$99,3,0)+IF(C$5="Ida",0,1),1),"")</f>
        <v>#N/A</v>
      </c>
      <c r="K131" s="34" t="str">
        <f>IF(A132&lt;&gt;A131,AVERAGEIF(A$9:A131,A131,J$13:J131),"")</f>
        <v/>
      </c>
      <c r="L131" s="35" t="str">
        <f>IFERROR(IF(A132&lt;&gt;A131,AVERAGEIF(A$9:A131,A131,S$13:S131),""),"")</f>
        <v/>
      </c>
      <c r="M131" s="35" t="str">
        <f>IFERROR(IF(A132&lt;&gt;A131,AVERAGEIF(A$9:A131,A131,T$8:T131),""),"")</f>
        <v/>
      </c>
      <c r="N131" s="35" t="str" cm="1">
        <f t="array" ref="N131">IFERROR(IF(A132&lt;&gt;A131,_xlfn.STDEV.P(IF(A$9:A131=A131,T$7:T131)),""),"")</f>
        <v/>
      </c>
      <c r="O131" s="35" t="str" cm="1">
        <f t="array" ref="O131">IFERROR(IF(A132&lt;&gt;A131,_xlfn.STDEV.P(IF(A$9:A131=A131,S$7:S131)),""),"")</f>
        <v/>
      </c>
      <c r="P131" s="36" t="str">
        <f t="shared" si="20"/>
        <v/>
      </c>
      <c r="Q131" s="36" t="str">
        <f t="shared" si="21"/>
        <v/>
      </c>
      <c r="R131" s="36" t="str">
        <f t="shared" si="28"/>
        <v/>
      </c>
      <c r="S131" s="37" t="str">
        <f t="shared" si="29"/>
        <v/>
      </c>
      <c r="T131" s="37" t="str">
        <f t="shared" si="22"/>
        <v/>
      </c>
      <c r="U131" s="54"/>
      <c r="V131" s="46"/>
      <c r="W131" s="39" t="str">
        <f t="shared" si="30"/>
        <v/>
      </c>
      <c r="X131" s="38"/>
      <c r="Y131" s="48"/>
      <c r="AB131" s="56">
        <f t="shared" si="31"/>
        <v>1</v>
      </c>
      <c r="AC131" s="52"/>
      <c r="AD131" s="52"/>
      <c r="AE131" s="29" t="str">
        <f>IFERROR(
IF(AND(OR(AC131="C",AC131="c"), VLOOKUP(AF131,[1]Diccionario!B:N,13,0)="C"), "OK",IF(AND(OR(AC131="C",AC131="c"), OR(VLOOKUP(AF131,[1]Diccionario!B:N,13,0)="B", VLOOKUP(AF131,[1]Diccionario!B:N,13,0)="A")), "DEFICIT",IF(
AND(OR(AC131="B", AC131="BPAL"), VLOOKUP(AF131,[1]Diccionario!B:N,13,0)="B"), "OK",IF(AND(OR(AC131="B", AC131="BPAL"), VLOOKUP(AF131,[1]Diccionario!B:N,13,0)="A"), "DEFICIT",IF(AND(OR(AC131="B", AC131="BPAL"), VLOOKUP(AF131,[1]Diccionario!B:N,13,0)="C"), "SOBREOFERTA",IF(AND(AC131="A", VLOOKUP(AF131,[1]Diccionario!B:N,13,0)="A"), "OK",IF(
AND(AC131="A", OR(VLOOKUP(AF131,[1]Diccionario!B:N,13,0)="B", VLOOKUP(AF131,[1]Diccionario!B:N,13,0)="C")), "SOBREOFERTA",""
))))))),"")</f>
        <v/>
      </c>
      <c r="AF131" s="48"/>
      <c r="AG131" s="53"/>
      <c r="AH131" s="54"/>
      <c r="AI131" s="55" t="str">
        <f t="shared" si="32"/>
        <v/>
      </c>
      <c r="AJ131" s="46"/>
      <c r="AK131" s="34" t="e">
        <f>IF(AB131&lt;&gt;"",HLOOKUP(VALUE(TEXT(AH131,"h:mm:ss")),IF($C$6="Laboral",[1]Input!$A$4:$Y$227,IF($C$6="Sábado",[1]Input!$A$231:$Y$452,[1]Input!$A$456:$Y$656)),VLOOKUP($C$4,[1]Input!$AG$2:$AI$99,3,0)+IF(AD$5="Ida",0,1),1),"")</f>
        <v>#N/A</v>
      </c>
      <c r="AL131" s="34" t="str">
        <f>IF(AB132&lt;&gt;AB131,AVERAGEIF(AB$9:AB131,AB131,AK$9:AK131),"")</f>
        <v/>
      </c>
      <c r="AM131" s="35" t="str">
        <f>IFERROR(IF(AB132&lt;&gt;AB131,AVERAGEIF(AB$9:AB131,AB131,AT$9:AT131),""),"")</f>
        <v/>
      </c>
      <c r="AN131" s="35" t="str">
        <f>IFERROR(IF(AB132&lt;&gt;AB131,AVERAGEIF(AB$9:AB131,AB131,AU$9:AU131),""),"")</f>
        <v/>
      </c>
      <c r="AO131" s="35" t="str" cm="1">
        <f t="array" ref="AO131">IFERROR(IF(AB132&lt;&gt;AB131,_xlfn.STDEV.P(IF(AB$9:AB131=AB131,AU$9:AU131)),""),"")</f>
        <v/>
      </c>
      <c r="AP131" s="35" t="str" cm="1">
        <f t="array" ref="AP131">IFERROR(IF(AB132&lt;&gt;AB131,_xlfn.STDEV.P(IF(AB$9:AB131=AB131,AT$9:AT131)),""),"")</f>
        <v/>
      </c>
      <c r="AQ131" s="36" t="str">
        <f t="shared" si="23"/>
        <v/>
      </c>
      <c r="AR131" s="36" t="str">
        <f t="shared" si="24"/>
        <v/>
      </c>
      <c r="AS131" s="36" t="str">
        <f t="shared" si="33"/>
        <v/>
      </c>
      <c r="AT131" s="37" t="str">
        <f t="shared" si="25"/>
        <v/>
      </c>
      <c r="AU131" s="37" t="str">
        <f t="shared" si="26"/>
        <v/>
      </c>
      <c r="AV131" s="54"/>
      <c r="AW131" s="46"/>
      <c r="AX131" s="39" t="str" cm="1">
        <f t="array" ref="AX131">IF(AH131&lt;&gt;"",IF(AND(AX129:AX130&lt;&gt;"IE",AQ131&lt;&gt;0,AS131&lt;&gt;""),IF(IFERROR((AQ131/AS131),0) &lt;=1,IFERROR(AQ131/AS131,""),1),""),"")</f>
        <v/>
      </c>
      <c r="AY131" s="46"/>
      <c r="AZ131" s="57"/>
    </row>
    <row r="132" spans="1:52" ht="15.5" x14ac:dyDescent="0.35">
      <c r="A132" s="51">
        <f t="shared" si="34"/>
        <v>1</v>
      </c>
      <c r="B132" s="52"/>
      <c r="C132" s="52"/>
      <c r="D132" s="29" t="str">
        <f>IFERROR(
IF(AND(OR(Planilla!B132="C",Planilla!B132="c"), VLOOKUP(E132,[1]Diccionario!B:N,13,0)="C"), "OK",IF(AND(OR(Planilla!B132="C",Planilla!B132="c"), OR(VLOOKUP(E132,[1]Diccionario!B:N,13,0)="B", VLOOKUP(E132,[1]Diccionario!B:N,13,0)="A")), "DEFICIT",IF(
AND(OR(Planilla!B132="B", Planilla!B132="BPAL"), VLOOKUP(E132,[1]Diccionario!B:N,13,0)="B"), "OK",IF(AND(OR(Planilla!B132="B", Planilla!B132="BPAL"), VLOOKUP(E132,[1]Diccionario!B:N,13,0)="A"), "DEFICIT",IF(AND(OR(Planilla!B132="B", Planilla!B132="BPAL"), VLOOKUP(E132,[1]Diccionario!B:N,13,0)="C"), "SOBREOFERTA",IF(AND(Planilla!B132="A", VLOOKUP(E132,[1]Diccionario!B:N,13,0)="A"), "OK",IF(
AND(Planilla!B132="A", OR(VLOOKUP(E132,[1]Diccionario!B:N,13,0)="B", VLOOKUP(E132,[1]Diccionario!B:N,13,0)="C")), "SOBREOFERTA",""
))))))),"")</f>
        <v/>
      </c>
      <c r="E132" s="48"/>
      <c r="F132" s="53"/>
      <c r="G132" s="54"/>
      <c r="H132" s="55" t="str">
        <f t="shared" si="27"/>
        <v/>
      </c>
      <c r="I132" s="35"/>
      <c r="J132" s="34" t="e">
        <f>IF(A132&lt;&gt;"",HLOOKUP(VALUE(TEXT(G132,"h:mm:ss")),IF($C$6="Laboral",[1]Input!$A$4:$Y$227,IF($C$6="Sábado",[1]Input!$A$231:$Y$452,[1]Input!$A$456:$Y$656)),VLOOKUP($C$4,[1]Input!$AG$2:$AI$99,3,0)+IF(C$5="Ida",0,1),1),"")</f>
        <v>#N/A</v>
      </c>
      <c r="K132" s="34" t="str">
        <f>IF(A133&lt;&gt;A132,AVERAGEIF(A$9:A132,A132,J$13:J132),"")</f>
        <v/>
      </c>
      <c r="L132" s="35" t="str">
        <f>IFERROR(IF(A133&lt;&gt;A132,AVERAGEIF(A$9:A132,A132,S$13:S132),""),"")</f>
        <v/>
      </c>
      <c r="M132" s="35" t="str">
        <f>IFERROR(IF(A133&lt;&gt;A132,AVERAGEIF(A$9:A132,A132,T$8:T132),""),"")</f>
        <v/>
      </c>
      <c r="N132" s="35" t="str" cm="1">
        <f t="array" ref="N132">IFERROR(IF(A133&lt;&gt;A132,_xlfn.STDEV.P(IF(A$9:A132=A132,T$7:T132)),""),"")</f>
        <v/>
      </c>
      <c r="O132" s="35" t="str" cm="1">
        <f t="array" ref="O132">IFERROR(IF(A133&lt;&gt;A132,_xlfn.STDEV.P(IF(A$9:A132=A132,S$7:S132)),""),"")</f>
        <v/>
      </c>
      <c r="P132" s="36" t="str">
        <f t="shared" si="20"/>
        <v/>
      </c>
      <c r="Q132" s="36" t="str">
        <f t="shared" si="21"/>
        <v/>
      </c>
      <c r="R132" s="36" t="str">
        <f t="shared" si="28"/>
        <v/>
      </c>
      <c r="S132" s="37" t="str">
        <f t="shared" si="29"/>
        <v/>
      </c>
      <c r="T132" s="37" t="str">
        <f t="shared" si="22"/>
        <v/>
      </c>
      <c r="U132" s="54"/>
      <c r="V132" s="46"/>
      <c r="W132" s="39" t="str">
        <f t="shared" si="30"/>
        <v/>
      </c>
      <c r="X132" s="38"/>
      <c r="Y132" s="48"/>
      <c r="AB132" s="56">
        <f t="shared" si="31"/>
        <v>1</v>
      </c>
      <c r="AC132" s="52"/>
      <c r="AD132" s="52"/>
      <c r="AE132" s="29" t="str">
        <f>IFERROR(
IF(AND(OR(AC132="C",AC132="c"), VLOOKUP(AF132,[1]Diccionario!B:N,13,0)="C"), "OK",IF(AND(OR(AC132="C",AC132="c"), OR(VLOOKUP(AF132,[1]Diccionario!B:N,13,0)="B", VLOOKUP(AF132,[1]Diccionario!B:N,13,0)="A")), "DEFICIT",IF(
AND(OR(AC132="B", AC132="BPAL"), VLOOKUP(AF132,[1]Diccionario!B:N,13,0)="B"), "OK",IF(AND(OR(AC132="B", AC132="BPAL"), VLOOKUP(AF132,[1]Diccionario!B:N,13,0)="A"), "DEFICIT",IF(AND(OR(AC132="B", AC132="BPAL"), VLOOKUP(AF132,[1]Diccionario!B:N,13,0)="C"), "SOBREOFERTA",IF(AND(AC132="A", VLOOKUP(AF132,[1]Diccionario!B:N,13,0)="A"), "OK",IF(
AND(AC132="A", OR(VLOOKUP(AF132,[1]Diccionario!B:N,13,0)="B", VLOOKUP(AF132,[1]Diccionario!B:N,13,0)="C")), "SOBREOFERTA",""
))))))),"")</f>
        <v/>
      </c>
      <c r="AF132" s="48"/>
      <c r="AG132" s="53"/>
      <c r="AH132" s="54"/>
      <c r="AI132" s="55" t="str">
        <f t="shared" si="32"/>
        <v/>
      </c>
      <c r="AJ132" s="46"/>
      <c r="AK132" s="34" t="e">
        <f>IF(AB132&lt;&gt;"",HLOOKUP(VALUE(TEXT(AH132,"h:mm:ss")),IF($C$6="Laboral",[1]Input!$A$4:$Y$227,IF($C$6="Sábado",[1]Input!$A$231:$Y$452,[1]Input!$A$456:$Y$656)),VLOOKUP($C$4,[1]Input!$AG$2:$AI$99,3,0)+IF(AD$5="Ida",0,1),1),"")</f>
        <v>#N/A</v>
      </c>
      <c r="AL132" s="34" t="str">
        <f>IF(AB133&lt;&gt;AB132,AVERAGEIF(AB$9:AB132,AB132,AK$9:AK132),"")</f>
        <v/>
      </c>
      <c r="AM132" s="35" t="str">
        <f>IFERROR(IF(AB133&lt;&gt;AB132,AVERAGEIF(AB$9:AB132,AB132,AT$9:AT132),""),"")</f>
        <v/>
      </c>
      <c r="AN132" s="35" t="str">
        <f>IFERROR(IF(AB133&lt;&gt;AB132,AVERAGEIF(AB$9:AB132,AB132,AU$9:AU132),""),"")</f>
        <v/>
      </c>
      <c r="AO132" s="35" t="str" cm="1">
        <f t="array" ref="AO132">IFERROR(IF(AB133&lt;&gt;AB132,_xlfn.STDEV.P(IF(AB$9:AB132=AB132,AU$9:AU132)),""),"")</f>
        <v/>
      </c>
      <c r="AP132" s="35" t="str" cm="1">
        <f t="array" ref="AP132">IFERROR(IF(AB133&lt;&gt;AB132,_xlfn.STDEV.P(IF(AB$9:AB132=AB132,AT$9:AT132)),""),"")</f>
        <v/>
      </c>
      <c r="AQ132" s="36" t="str">
        <f t="shared" si="23"/>
        <v/>
      </c>
      <c r="AR132" s="36" t="str">
        <f t="shared" si="24"/>
        <v/>
      </c>
      <c r="AS132" s="36" t="str">
        <f t="shared" si="33"/>
        <v/>
      </c>
      <c r="AT132" s="37" t="str">
        <f t="shared" si="25"/>
        <v/>
      </c>
      <c r="AU132" s="37" t="str">
        <f t="shared" si="26"/>
        <v/>
      </c>
      <c r="AV132" s="54"/>
      <c r="AW132" s="46"/>
      <c r="AX132" s="39" t="str" cm="1">
        <f t="array" ref="AX132">IF(AH132&lt;&gt;"",IF(AND(AX130:AX131&lt;&gt;"IE",AQ132&lt;&gt;0,AS132&lt;&gt;""),IF(IFERROR((AQ132/AS132),0) &lt;=1,IFERROR(AQ132/AS132,""),1),""),"")</f>
        <v/>
      </c>
      <c r="AY132" s="46"/>
      <c r="AZ132" s="57"/>
    </row>
    <row r="133" spans="1:52" ht="15.5" x14ac:dyDescent="0.35">
      <c r="A133" s="51">
        <f t="shared" si="34"/>
        <v>1</v>
      </c>
      <c r="B133" s="52"/>
      <c r="C133" s="52"/>
      <c r="D133" s="29" t="str">
        <f>IFERROR(
IF(AND(OR(Planilla!B133="C",Planilla!B133="c"), VLOOKUP(E133,[1]Diccionario!B:N,13,0)="C"), "OK",IF(AND(OR(Planilla!B133="C",Planilla!B133="c"), OR(VLOOKUP(E133,[1]Diccionario!B:N,13,0)="B", VLOOKUP(E133,[1]Diccionario!B:N,13,0)="A")), "DEFICIT",IF(
AND(OR(Planilla!B133="B", Planilla!B133="BPAL"), VLOOKUP(E133,[1]Diccionario!B:N,13,0)="B"), "OK",IF(AND(OR(Planilla!B133="B", Planilla!B133="BPAL"), VLOOKUP(E133,[1]Diccionario!B:N,13,0)="A"), "DEFICIT",IF(AND(OR(Planilla!B133="B", Planilla!B133="BPAL"), VLOOKUP(E133,[1]Diccionario!B:N,13,0)="C"), "SOBREOFERTA",IF(AND(Planilla!B133="A", VLOOKUP(E133,[1]Diccionario!B:N,13,0)="A"), "OK",IF(
AND(Planilla!B133="A", OR(VLOOKUP(E133,[1]Diccionario!B:N,13,0)="B", VLOOKUP(E133,[1]Diccionario!B:N,13,0)="C")), "SOBREOFERTA",""
))))))),"")</f>
        <v/>
      </c>
      <c r="E133" s="48"/>
      <c r="F133" s="53"/>
      <c r="G133" s="54"/>
      <c r="H133" s="55" t="str">
        <f t="shared" si="27"/>
        <v/>
      </c>
      <c r="I133" s="35"/>
      <c r="J133" s="34" t="e">
        <f>IF(A133&lt;&gt;"",HLOOKUP(VALUE(TEXT(G133,"h:mm:ss")),IF($C$6="Laboral",[1]Input!$A$4:$Y$227,IF($C$6="Sábado",[1]Input!$A$231:$Y$452,[1]Input!$A$456:$Y$656)),VLOOKUP($C$4,[1]Input!$AG$2:$AI$99,3,0)+IF(C$5="Ida",0,1),1),"")</f>
        <v>#N/A</v>
      </c>
      <c r="K133" s="34" t="str">
        <f>IF(A134&lt;&gt;A133,AVERAGEIF(A$9:A133,A133,J$13:J133),"")</f>
        <v/>
      </c>
      <c r="L133" s="35" t="str">
        <f>IFERROR(IF(A134&lt;&gt;A133,AVERAGEIF(A$9:A133,A133,S$13:S133),""),"")</f>
        <v/>
      </c>
      <c r="M133" s="35" t="str">
        <f>IFERROR(IF(A134&lt;&gt;A133,AVERAGEIF(A$9:A133,A133,T$8:T133),""),"")</f>
        <v/>
      </c>
      <c r="N133" s="35" t="str" cm="1">
        <f t="array" ref="N133">IFERROR(IF(A134&lt;&gt;A133,_xlfn.STDEV.P(IF(A$9:A133=A133,T$7:T133)),""),"")</f>
        <v/>
      </c>
      <c r="O133" s="35" t="str" cm="1">
        <f t="array" ref="O133">IFERROR(IF(A134&lt;&gt;A133,_xlfn.STDEV.P(IF(A$9:A133=A133,S$7:S133)),""),"")</f>
        <v/>
      </c>
      <c r="P133" s="36" t="str">
        <f t="shared" si="20"/>
        <v/>
      </c>
      <c r="Q133" s="36" t="str">
        <f t="shared" si="21"/>
        <v/>
      </c>
      <c r="R133" s="36" t="str">
        <f t="shared" si="28"/>
        <v/>
      </c>
      <c r="S133" s="37" t="str">
        <f t="shared" si="29"/>
        <v/>
      </c>
      <c r="T133" s="37" t="str">
        <f t="shared" si="22"/>
        <v/>
      </c>
      <c r="U133" s="54"/>
      <c r="V133" s="46"/>
      <c r="W133" s="39" t="str">
        <f t="shared" si="30"/>
        <v/>
      </c>
      <c r="X133" s="38"/>
      <c r="Y133" s="48"/>
      <c r="AB133" s="56">
        <f t="shared" si="31"/>
        <v>1</v>
      </c>
      <c r="AC133" s="52"/>
      <c r="AD133" s="52"/>
      <c r="AE133" s="29" t="str">
        <f>IFERROR(
IF(AND(OR(AC133="C",AC133="c"), VLOOKUP(AF133,[1]Diccionario!B:N,13,0)="C"), "OK",IF(AND(OR(AC133="C",AC133="c"), OR(VLOOKUP(AF133,[1]Diccionario!B:N,13,0)="B", VLOOKUP(AF133,[1]Diccionario!B:N,13,0)="A")), "DEFICIT",IF(
AND(OR(AC133="B", AC133="BPAL"), VLOOKUP(AF133,[1]Diccionario!B:N,13,0)="B"), "OK",IF(AND(OR(AC133="B", AC133="BPAL"), VLOOKUP(AF133,[1]Diccionario!B:N,13,0)="A"), "DEFICIT",IF(AND(OR(AC133="B", AC133="BPAL"), VLOOKUP(AF133,[1]Diccionario!B:N,13,0)="C"), "SOBREOFERTA",IF(AND(AC133="A", VLOOKUP(AF133,[1]Diccionario!B:N,13,0)="A"), "OK",IF(
AND(AC133="A", OR(VLOOKUP(AF133,[1]Diccionario!B:N,13,0)="B", VLOOKUP(AF133,[1]Diccionario!B:N,13,0)="C")), "SOBREOFERTA",""
))))))),"")</f>
        <v/>
      </c>
      <c r="AF133" s="48"/>
      <c r="AG133" s="53"/>
      <c r="AH133" s="54"/>
      <c r="AI133" s="55" t="str">
        <f t="shared" si="32"/>
        <v/>
      </c>
      <c r="AJ133" s="46"/>
      <c r="AK133" s="34" t="e">
        <f>IF(AB133&lt;&gt;"",HLOOKUP(VALUE(TEXT(AH133,"h:mm:ss")),IF($C$6="Laboral",[1]Input!$A$4:$Y$227,IF($C$6="Sábado",[1]Input!$A$231:$Y$452,[1]Input!$A$456:$Y$656)),VLOOKUP($C$4,[1]Input!$AG$2:$AI$99,3,0)+IF(AD$5="Ida",0,1),1),"")</f>
        <v>#N/A</v>
      </c>
      <c r="AL133" s="34" t="str">
        <f>IF(AB134&lt;&gt;AB133,AVERAGEIF(AB$9:AB133,AB133,AK$9:AK133),"")</f>
        <v/>
      </c>
      <c r="AM133" s="35" t="str">
        <f>IFERROR(IF(AB134&lt;&gt;AB133,AVERAGEIF(AB$9:AB133,AB133,AT$9:AT133),""),"")</f>
        <v/>
      </c>
      <c r="AN133" s="35" t="str">
        <f>IFERROR(IF(AB134&lt;&gt;AB133,AVERAGEIF(AB$9:AB133,AB133,AU$9:AU133),""),"")</f>
        <v/>
      </c>
      <c r="AO133" s="35" t="str" cm="1">
        <f t="array" ref="AO133">IFERROR(IF(AB134&lt;&gt;AB133,_xlfn.STDEV.P(IF(AB$9:AB133=AB133,AU$9:AU133)),""),"")</f>
        <v/>
      </c>
      <c r="AP133" s="35" t="str" cm="1">
        <f t="array" ref="AP133">IFERROR(IF(AB134&lt;&gt;AB133,_xlfn.STDEV.P(IF(AB$9:AB133=AB133,AT$9:AT133)),""),"")</f>
        <v/>
      </c>
      <c r="AQ133" s="36" t="str">
        <f t="shared" si="23"/>
        <v/>
      </c>
      <c r="AR133" s="36" t="str">
        <f t="shared" si="24"/>
        <v/>
      </c>
      <c r="AS133" s="36" t="str">
        <f t="shared" si="33"/>
        <v/>
      </c>
      <c r="AT133" s="37" t="str">
        <f t="shared" si="25"/>
        <v/>
      </c>
      <c r="AU133" s="37" t="str">
        <f t="shared" si="26"/>
        <v/>
      </c>
      <c r="AV133" s="54"/>
      <c r="AW133" s="46"/>
      <c r="AX133" s="39" t="str" cm="1">
        <f t="array" ref="AX133">IF(AH133&lt;&gt;"",IF(AND(AX131:AX132&lt;&gt;"IE",AQ133&lt;&gt;0,AS133&lt;&gt;""),IF(IFERROR((AQ133/AS133),0) &lt;=1,IFERROR(AQ133/AS133,""),1),""),"")</f>
        <v/>
      </c>
      <c r="AY133" s="46"/>
      <c r="AZ133" s="57"/>
    </row>
    <row r="134" spans="1:52" ht="15.5" x14ac:dyDescent="0.35">
      <c r="A134" s="51">
        <f t="shared" si="34"/>
        <v>1</v>
      </c>
      <c r="B134" s="52"/>
      <c r="C134" s="52"/>
      <c r="D134" s="29" t="str">
        <f>IFERROR(
IF(AND(OR(Planilla!B134="C",Planilla!B134="c"), VLOOKUP(E134,[1]Diccionario!B:N,13,0)="C"), "OK",IF(AND(OR(Planilla!B134="C",Planilla!B134="c"), OR(VLOOKUP(E134,[1]Diccionario!B:N,13,0)="B", VLOOKUP(E134,[1]Diccionario!B:N,13,0)="A")), "DEFICIT",IF(
AND(OR(Planilla!B134="B", Planilla!B134="BPAL"), VLOOKUP(E134,[1]Diccionario!B:N,13,0)="B"), "OK",IF(AND(OR(Planilla!B134="B", Planilla!B134="BPAL"), VLOOKUP(E134,[1]Diccionario!B:N,13,0)="A"), "DEFICIT",IF(AND(OR(Planilla!B134="B", Planilla!B134="BPAL"), VLOOKUP(E134,[1]Diccionario!B:N,13,0)="C"), "SOBREOFERTA",IF(AND(Planilla!B134="A", VLOOKUP(E134,[1]Diccionario!B:N,13,0)="A"), "OK",IF(
AND(Planilla!B134="A", OR(VLOOKUP(E134,[1]Diccionario!B:N,13,0)="B", VLOOKUP(E134,[1]Diccionario!B:N,13,0)="C")), "SOBREOFERTA",""
))))))),"")</f>
        <v/>
      </c>
      <c r="E134" s="48"/>
      <c r="F134" s="53"/>
      <c r="G134" s="54"/>
      <c r="H134" s="55" t="str">
        <f t="shared" si="27"/>
        <v/>
      </c>
      <c r="I134" s="35"/>
      <c r="J134" s="34" t="e">
        <f>IF(A134&lt;&gt;"",HLOOKUP(VALUE(TEXT(G134,"h:mm:ss")),IF($C$6="Laboral",[1]Input!$A$4:$Y$227,IF($C$6="Sábado",[1]Input!$A$231:$Y$452,[1]Input!$A$456:$Y$656)),VLOOKUP($C$4,[1]Input!$AG$2:$AI$99,3,0)+IF(C$5="Ida",0,1),1),"")</f>
        <v>#N/A</v>
      </c>
      <c r="K134" s="34" t="str">
        <f>IF(A135&lt;&gt;A134,AVERAGEIF(A$9:A134,A134,J$13:J134),"")</f>
        <v/>
      </c>
      <c r="L134" s="35" t="str">
        <f>IFERROR(IF(A135&lt;&gt;A134,AVERAGEIF(A$9:A134,A134,S$13:S134),""),"")</f>
        <v/>
      </c>
      <c r="M134" s="35" t="str">
        <f>IFERROR(IF(A135&lt;&gt;A134,AVERAGEIF(A$9:A134,A134,T$8:T134),""),"")</f>
        <v/>
      </c>
      <c r="N134" s="35" t="str" cm="1">
        <f t="array" ref="N134">IFERROR(IF(A135&lt;&gt;A134,_xlfn.STDEV.P(IF(A$9:A134=A134,T$7:T134)),""),"")</f>
        <v/>
      </c>
      <c r="O134" s="35" t="str" cm="1">
        <f t="array" ref="O134">IFERROR(IF(A135&lt;&gt;A134,_xlfn.STDEV.P(IF(A$9:A134=A134,S$7:S134)),""),"")</f>
        <v/>
      </c>
      <c r="P134" s="36" t="str">
        <f t="shared" si="20"/>
        <v/>
      </c>
      <c r="Q134" s="36" t="str">
        <f t="shared" si="21"/>
        <v/>
      </c>
      <c r="R134" s="36" t="str">
        <f t="shared" si="28"/>
        <v/>
      </c>
      <c r="S134" s="37" t="str">
        <f t="shared" si="29"/>
        <v/>
      </c>
      <c r="T134" s="37" t="str">
        <f t="shared" si="22"/>
        <v/>
      </c>
      <c r="U134" s="54"/>
      <c r="V134" s="46"/>
      <c r="W134" s="39" t="str">
        <f t="shared" si="30"/>
        <v/>
      </c>
      <c r="X134" s="38"/>
      <c r="Y134" s="48"/>
      <c r="AB134" s="56">
        <f t="shared" si="31"/>
        <v>1</v>
      </c>
      <c r="AC134" s="52"/>
      <c r="AD134" s="52"/>
      <c r="AE134" s="29" t="str">
        <f>IFERROR(
IF(AND(OR(AC134="C",AC134="c"), VLOOKUP(AF134,[1]Diccionario!B:N,13,0)="C"), "OK",IF(AND(OR(AC134="C",AC134="c"), OR(VLOOKUP(AF134,[1]Diccionario!B:N,13,0)="B", VLOOKUP(AF134,[1]Diccionario!B:N,13,0)="A")), "DEFICIT",IF(
AND(OR(AC134="B", AC134="BPAL"), VLOOKUP(AF134,[1]Diccionario!B:N,13,0)="B"), "OK",IF(AND(OR(AC134="B", AC134="BPAL"), VLOOKUP(AF134,[1]Diccionario!B:N,13,0)="A"), "DEFICIT",IF(AND(OR(AC134="B", AC134="BPAL"), VLOOKUP(AF134,[1]Diccionario!B:N,13,0)="C"), "SOBREOFERTA",IF(AND(AC134="A", VLOOKUP(AF134,[1]Diccionario!B:N,13,0)="A"), "OK",IF(
AND(AC134="A", OR(VLOOKUP(AF134,[1]Diccionario!B:N,13,0)="B", VLOOKUP(AF134,[1]Diccionario!B:N,13,0)="C")), "SOBREOFERTA",""
))))))),"")</f>
        <v/>
      </c>
      <c r="AF134" s="48"/>
      <c r="AG134" s="53"/>
      <c r="AH134" s="54"/>
      <c r="AI134" s="55" t="str">
        <f t="shared" si="32"/>
        <v/>
      </c>
      <c r="AJ134" s="46"/>
      <c r="AK134" s="34" t="e">
        <f>IF(AB134&lt;&gt;"",HLOOKUP(VALUE(TEXT(AH134,"h:mm:ss")),IF($C$6="Laboral",[1]Input!$A$4:$Y$227,IF($C$6="Sábado",[1]Input!$A$231:$Y$452,[1]Input!$A$456:$Y$656)),VLOOKUP($C$4,[1]Input!$AG$2:$AI$99,3,0)+IF(AD$5="Ida",0,1),1),"")</f>
        <v>#N/A</v>
      </c>
      <c r="AL134" s="34" t="str">
        <f>IF(AB135&lt;&gt;AB134,AVERAGEIF(AB$9:AB134,AB134,AK$9:AK134),"")</f>
        <v/>
      </c>
      <c r="AM134" s="35" t="str">
        <f>IFERROR(IF(AB135&lt;&gt;AB134,AVERAGEIF(AB$9:AB134,AB134,AT$9:AT134),""),"")</f>
        <v/>
      </c>
      <c r="AN134" s="35" t="str">
        <f>IFERROR(IF(AB135&lt;&gt;AB134,AVERAGEIF(AB$9:AB134,AB134,AU$9:AU134),""),"")</f>
        <v/>
      </c>
      <c r="AO134" s="35" t="str" cm="1">
        <f t="array" ref="AO134">IFERROR(IF(AB135&lt;&gt;AB134,_xlfn.STDEV.P(IF(AB$9:AB134=AB134,AU$9:AU134)),""),"")</f>
        <v/>
      </c>
      <c r="AP134" s="35" t="str" cm="1">
        <f t="array" ref="AP134">IFERROR(IF(AB135&lt;&gt;AB134,_xlfn.STDEV.P(IF(AB$9:AB134=AB134,AT$9:AT134)),""),"")</f>
        <v/>
      </c>
      <c r="AQ134" s="36" t="str">
        <f t="shared" si="23"/>
        <v/>
      </c>
      <c r="AR134" s="36" t="str">
        <f t="shared" si="24"/>
        <v/>
      </c>
      <c r="AS134" s="36" t="str">
        <f t="shared" si="33"/>
        <v/>
      </c>
      <c r="AT134" s="37" t="str">
        <f t="shared" si="25"/>
        <v/>
      </c>
      <c r="AU134" s="37" t="str">
        <f t="shared" si="26"/>
        <v/>
      </c>
      <c r="AV134" s="54"/>
      <c r="AW134" s="46"/>
      <c r="AX134" s="39" t="str" cm="1">
        <f t="array" ref="AX134">IF(AH134&lt;&gt;"",IF(AND(AX132:AX133&lt;&gt;"IE",AQ134&lt;&gt;0,AS134&lt;&gt;""),IF(IFERROR((AQ134/AS134),0) &lt;=1,IFERROR(AQ134/AS134,""),1),""),"")</f>
        <v/>
      </c>
      <c r="AY134" s="46"/>
      <c r="AZ134" s="57"/>
    </row>
    <row r="135" spans="1:52" ht="15.5" x14ac:dyDescent="0.35">
      <c r="A135" s="51">
        <f t="shared" si="34"/>
        <v>1</v>
      </c>
      <c r="B135" s="52"/>
      <c r="C135" s="52"/>
      <c r="D135" s="29" t="str">
        <f>IFERROR(
IF(AND(OR(Planilla!B135="C",Planilla!B135="c"), VLOOKUP(E135,[1]Diccionario!B:N,13,0)="C"), "OK",IF(AND(OR(Planilla!B135="C",Planilla!B135="c"), OR(VLOOKUP(E135,[1]Diccionario!B:N,13,0)="B", VLOOKUP(E135,[1]Diccionario!B:N,13,0)="A")), "DEFICIT",IF(
AND(OR(Planilla!B135="B", Planilla!B135="BPAL"), VLOOKUP(E135,[1]Diccionario!B:N,13,0)="B"), "OK",IF(AND(OR(Planilla!B135="B", Planilla!B135="BPAL"), VLOOKUP(E135,[1]Diccionario!B:N,13,0)="A"), "DEFICIT",IF(AND(OR(Planilla!B135="B", Planilla!B135="BPAL"), VLOOKUP(E135,[1]Diccionario!B:N,13,0)="C"), "SOBREOFERTA",IF(AND(Planilla!B135="A", VLOOKUP(E135,[1]Diccionario!B:N,13,0)="A"), "OK",IF(
AND(Planilla!B135="A", OR(VLOOKUP(E135,[1]Diccionario!B:N,13,0)="B", VLOOKUP(E135,[1]Diccionario!B:N,13,0)="C")), "SOBREOFERTA",""
))))))),"")</f>
        <v/>
      </c>
      <c r="E135" s="48"/>
      <c r="F135" s="53"/>
      <c r="G135" s="54"/>
      <c r="H135" s="55" t="str">
        <f t="shared" si="27"/>
        <v/>
      </c>
      <c r="I135" s="35"/>
      <c r="J135" s="34" t="e">
        <f>IF(A135&lt;&gt;"",HLOOKUP(VALUE(TEXT(G135,"h:mm:ss")),IF($C$6="Laboral",[1]Input!$A$4:$Y$227,IF($C$6="Sábado",[1]Input!$A$231:$Y$452,[1]Input!$A$456:$Y$656)),VLOOKUP($C$4,[1]Input!$AG$2:$AI$99,3,0)+IF(C$5="Ida",0,1),1),"")</f>
        <v>#N/A</v>
      </c>
      <c r="K135" s="34" t="str">
        <f>IF(A136&lt;&gt;A135,AVERAGEIF(A$9:A135,A135,J$13:J135),"")</f>
        <v/>
      </c>
      <c r="L135" s="35" t="str">
        <f>IFERROR(IF(A136&lt;&gt;A135,AVERAGEIF(A$9:A135,A135,S$13:S135),""),"")</f>
        <v/>
      </c>
      <c r="M135" s="35" t="str">
        <f>IFERROR(IF(A136&lt;&gt;A135,AVERAGEIF(A$9:A135,A135,T$8:T135),""),"")</f>
        <v/>
      </c>
      <c r="N135" s="35" t="str" cm="1">
        <f t="array" ref="N135">IFERROR(IF(A136&lt;&gt;A135,_xlfn.STDEV.P(IF(A$9:A135=A135,T$7:T135)),""),"")</f>
        <v/>
      </c>
      <c r="O135" s="35" t="str" cm="1">
        <f t="array" ref="O135">IFERROR(IF(A136&lt;&gt;A135,_xlfn.STDEV.P(IF(A$9:A135=A135,S$7:S135)),""),"")</f>
        <v/>
      </c>
      <c r="P135" s="36" t="str">
        <f t="shared" si="20"/>
        <v/>
      </c>
      <c r="Q135" s="36" t="str">
        <f t="shared" si="21"/>
        <v/>
      </c>
      <c r="R135" s="36" t="str">
        <f t="shared" si="28"/>
        <v/>
      </c>
      <c r="S135" s="37" t="str">
        <f t="shared" si="29"/>
        <v/>
      </c>
      <c r="T135" s="37" t="str">
        <f t="shared" si="22"/>
        <v/>
      </c>
      <c r="U135" s="54"/>
      <c r="V135" s="46"/>
      <c r="W135" s="39" t="str">
        <f t="shared" si="30"/>
        <v/>
      </c>
      <c r="X135" s="38"/>
      <c r="Y135" s="48"/>
      <c r="AB135" s="56">
        <f t="shared" si="31"/>
        <v>1</v>
      </c>
      <c r="AC135" s="52"/>
      <c r="AD135" s="52"/>
      <c r="AE135" s="29" t="str">
        <f>IFERROR(
IF(AND(OR(AC135="C",AC135="c"), VLOOKUP(AF135,[1]Diccionario!B:N,13,0)="C"), "OK",IF(AND(OR(AC135="C",AC135="c"), OR(VLOOKUP(AF135,[1]Diccionario!B:N,13,0)="B", VLOOKUP(AF135,[1]Diccionario!B:N,13,0)="A")), "DEFICIT",IF(
AND(OR(AC135="B", AC135="BPAL"), VLOOKUP(AF135,[1]Diccionario!B:N,13,0)="B"), "OK",IF(AND(OR(AC135="B", AC135="BPAL"), VLOOKUP(AF135,[1]Diccionario!B:N,13,0)="A"), "DEFICIT",IF(AND(OR(AC135="B", AC135="BPAL"), VLOOKUP(AF135,[1]Diccionario!B:N,13,0)="C"), "SOBREOFERTA",IF(AND(AC135="A", VLOOKUP(AF135,[1]Diccionario!B:N,13,0)="A"), "OK",IF(
AND(AC135="A", OR(VLOOKUP(AF135,[1]Diccionario!B:N,13,0)="B", VLOOKUP(AF135,[1]Diccionario!B:N,13,0)="C")), "SOBREOFERTA",""
))))))),"")</f>
        <v/>
      </c>
      <c r="AF135" s="48"/>
      <c r="AG135" s="53"/>
      <c r="AH135" s="54"/>
      <c r="AI135" s="55" t="str">
        <f t="shared" si="32"/>
        <v/>
      </c>
      <c r="AJ135" s="46"/>
      <c r="AK135" s="34" t="e">
        <f>IF(AB135&lt;&gt;"",HLOOKUP(VALUE(TEXT(AH135,"h:mm:ss")),IF($C$6="Laboral",[1]Input!$A$4:$Y$227,IF($C$6="Sábado",[1]Input!$A$231:$Y$452,[1]Input!$A$456:$Y$656)),VLOOKUP($C$4,[1]Input!$AG$2:$AI$99,3,0)+IF(AD$5="Ida",0,1),1),"")</f>
        <v>#N/A</v>
      </c>
      <c r="AL135" s="34" t="str">
        <f>IF(AB136&lt;&gt;AB135,AVERAGEIF(AB$9:AB135,AB135,AK$9:AK135),"")</f>
        <v/>
      </c>
      <c r="AM135" s="35" t="str">
        <f>IFERROR(IF(AB136&lt;&gt;AB135,AVERAGEIF(AB$9:AB135,AB135,AT$9:AT135),""),"")</f>
        <v/>
      </c>
      <c r="AN135" s="35" t="str">
        <f>IFERROR(IF(AB136&lt;&gt;AB135,AVERAGEIF(AB$9:AB135,AB135,AU$9:AU135),""),"")</f>
        <v/>
      </c>
      <c r="AO135" s="35" t="str" cm="1">
        <f t="array" ref="AO135">IFERROR(IF(AB136&lt;&gt;AB135,_xlfn.STDEV.P(IF(AB$9:AB135=AB135,AU$9:AU135)),""),"")</f>
        <v/>
      </c>
      <c r="AP135" s="35" t="str" cm="1">
        <f t="array" ref="AP135">IFERROR(IF(AB136&lt;&gt;AB135,_xlfn.STDEV.P(IF(AB$9:AB135=AB135,AT$9:AT135)),""),"")</f>
        <v/>
      </c>
      <c r="AQ135" s="36" t="str">
        <f t="shared" si="23"/>
        <v/>
      </c>
      <c r="AR135" s="36" t="str">
        <f t="shared" si="24"/>
        <v/>
      </c>
      <c r="AS135" s="36" t="str">
        <f t="shared" si="33"/>
        <v/>
      </c>
      <c r="AT135" s="37" t="str">
        <f t="shared" si="25"/>
        <v/>
      </c>
      <c r="AU135" s="37" t="str">
        <f t="shared" si="26"/>
        <v/>
      </c>
      <c r="AV135" s="54"/>
      <c r="AW135" s="46"/>
      <c r="AX135" s="39" t="str" cm="1">
        <f t="array" ref="AX135">IF(AH135&lt;&gt;"",IF(AND(AX133:AX134&lt;&gt;"IE",AQ135&lt;&gt;0,AS135&lt;&gt;""),IF(IFERROR((AQ135/AS135),0) &lt;=1,IFERROR(AQ135/AS135,""),1),""),"")</f>
        <v/>
      </c>
      <c r="AY135" s="46"/>
      <c r="AZ135" s="57"/>
    </row>
    <row r="136" spans="1:52" ht="15.5" x14ac:dyDescent="0.35">
      <c r="A136" s="51">
        <f t="shared" si="34"/>
        <v>1</v>
      </c>
      <c r="B136" s="52"/>
      <c r="C136" s="52"/>
      <c r="D136" s="29" t="str">
        <f>IFERROR(
IF(AND(OR(Planilla!B136="C",Planilla!B136="c"), VLOOKUP(E136,[1]Diccionario!B:N,13,0)="C"), "OK",IF(AND(OR(Planilla!B136="C",Planilla!B136="c"), OR(VLOOKUP(E136,[1]Diccionario!B:N,13,0)="B", VLOOKUP(E136,[1]Diccionario!B:N,13,0)="A")), "DEFICIT",IF(
AND(OR(Planilla!B136="B", Planilla!B136="BPAL"), VLOOKUP(E136,[1]Diccionario!B:N,13,0)="B"), "OK",IF(AND(OR(Planilla!B136="B", Planilla!B136="BPAL"), VLOOKUP(E136,[1]Diccionario!B:N,13,0)="A"), "DEFICIT",IF(AND(OR(Planilla!B136="B", Planilla!B136="BPAL"), VLOOKUP(E136,[1]Diccionario!B:N,13,0)="C"), "SOBREOFERTA",IF(AND(Planilla!B136="A", VLOOKUP(E136,[1]Diccionario!B:N,13,0)="A"), "OK",IF(
AND(Planilla!B136="A", OR(VLOOKUP(E136,[1]Diccionario!B:N,13,0)="B", VLOOKUP(E136,[1]Diccionario!B:N,13,0)="C")), "SOBREOFERTA",""
))))))),"")</f>
        <v/>
      </c>
      <c r="E136" s="48"/>
      <c r="F136" s="53"/>
      <c r="G136" s="54"/>
      <c r="H136" s="55" t="str">
        <f t="shared" si="27"/>
        <v/>
      </c>
      <c r="I136" s="35"/>
      <c r="J136" s="34" t="e">
        <f>IF(A136&lt;&gt;"",HLOOKUP(VALUE(TEXT(G136,"h:mm:ss")),IF($C$6="Laboral",[1]Input!$A$4:$Y$227,IF($C$6="Sábado",[1]Input!$A$231:$Y$452,[1]Input!$A$456:$Y$656)),VLOOKUP($C$4,[1]Input!$AG$2:$AI$99,3,0)+IF(C$5="Ida",0,1),1),"")</f>
        <v>#N/A</v>
      </c>
      <c r="K136" s="34" t="str">
        <f>IF(A137&lt;&gt;A136,AVERAGEIF(A$9:A136,A136,J$13:J136),"")</f>
        <v/>
      </c>
      <c r="L136" s="35" t="str">
        <f>IFERROR(IF(A137&lt;&gt;A136,AVERAGEIF(A$9:A136,A136,S$13:S136),""),"")</f>
        <v/>
      </c>
      <c r="M136" s="35" t="str">
        <f>IFERROR(IF(A137&lt;&gt;A136,AVERAGEIF(A$9:A136,A136,T$8:T136),""),"")</f>
        <v/>
      </c>
      <c r="N136" s="35" t="str" cm="1">
        <f t="array" ref="N136">IFERROR(IF(A137&lt;&gt;A136,_xlfn.STDEV.P(IF(A$9:A136=A136,T$7:T136)),""),"")</f>
        <v/>
      </c>
      <c r="O136" s="35" t="str" cm="1">
        <f t="array" ref="O136">IFERROR(IF(A137&lt;&gt;A136,_xlfn.STDEV.P(IF(A$9:A136=A136,S$7:S136)),""),"")</f>
        <v/>
      </c>
      <c r="P136" s="36" t="str">
        <f t="shared" si="20"/>
        <v/>
      </c>
      <c r="Q136" s="36" t="str">
        <f t="shared" si="21"/>
        <v/>
      </c>
      <c r="R136" s="36" t="str">
        <f t="shared" si="28"/>
        <v/>
      </c>
      <c r="S136" s="37" t="str">
        <f t="shared" si="29"/>
        <v/>
      </c>
      <c r="T136" s="37" t="str">
        <f t="shared" si="22"/>
        <v/>
      </c>
      <c r="U136" s="54"/>
      <c r="V136" s="46"/>
      <c r="W136" s="39" t="str">
        <f t="shared" si="30"/>
        <v/>
      </c>
      <c r="X136" s="38"/>
      <c r="Y136" s="48"/>
      <c r="AB136" s="56">
        <f t="shared" si="31"/>
        <v>1</v>
      </c>
      <c r="AC136" s="52"/>
      <c r="AD136" s="52"/>
      <c r="AE136" s="29" t="str">
        <f>IFERROR(
IF(AND(OR(AC136="C",AC136="c"), VLOOKUP(AF136,[1]Diccionario!B:N,13,0)="C"), "OK",IF(AND(OR(AC136="C",AC136="c"), OR(VLOOKUP(AF136,[1]Diccionario!B:N,13,0)="B", VLOOKUP(AF136,[1]Diccionario!B:N,13,0)="A")), "DEFICIT",IF(
AND(OR(AC136="B", AC136="BPAL"), VLOOKUP(AF136,[1]Diccionario!B:N,13,0)="B"), "OK",IF(AND(OR(AC136="B", AC136="BPAL"), VLOOKUP(AF136,[1]Diccionario!B:N,13,0)="A"), "DEFICIT",IF(AND(OR(AC136="B", AC136="BPAL"), VLOOKUP(AF136,[1]Diccionario!B:N,13,0)="C"), "SOBREOFERTA",IF(AND(AC136="A", VLOOKUP(AF136,[1]Diccionario!B:N,13,0)="A"), "OK",IF(
AND(AC136="A", OR(VLOOKUP(AF136,[1]Diccionario!B:N,13,0)="B", VLOOKUP(AF136,[1]Diccionario!B:N,13,0)="C")), "SOBREOFERTA",""
))))))),"")</f>
        <v/>
      </c>
      <c r="AF136" s="48"/>
      <c r="AG136" s="53"/>
      <c r="AH136" s="54"/>
      <c r="AI136" s="55" t="str">
        <f t="shared" si="32"/>
        <v/>
      </c>
      <c r="AJ136" s="46"/>
      <c r="AK136" s="34" t="e">
        <f>IF(AB136&lt;&gt;"",HLOOKUP(VALUE(TEXT(AH136,"h:mm:ss")),IF($C$6="Laboral",[1]Input!$A$4:$Y$227,IF($C$6="Sábado",[1]Input!$A$231:$Y$452,[1]Input!$A$456:$Y$656)),VLOOKUP($C$4,[1]Input!$AG$2:$AI$99,3,0)+IF(AD$5="Ida",0,1),1),"")</f>
        <v>#N/A</v>
      </c>
      <c r="AL136" s="34" t="str">
        <f>IF(AB137&lt;&gt;AB136,AVERAGEIF(AB$9:AB136,AB136,AK$9:AK136),"")</f>
        <v/>
      </c>
      <c r="AM136" s="35" t="str">
        <f>IFERROR(IF(AB137&lt;&gt;AB136,AVERAGEIF(AB$9:AB136,AB136,AT$9:AT136),""),"")</f>
        <v/>
      </c>
      <c r="AN136" s="35" t="str">
        <f>IFERROR(IF(AB137&lt;&gt;AB136,AVERAGEIF(AB$9:AB136,AB136,AU$9:AU136),""),"")</f>
        <v/>
      </c>
      <c r="AO136" s="35" t="str" cm="1">
        <f t="array" ref="AO136">IFERROR(IF(AB137&lt;&gt;AB136,_xlfn.STDEV.P(IF(AB$9:AB136=AB136,AU$9:AU136)),""),"")</f>
        <v/>
      </c>
      <c r="AP136" s="35" t="str" cm="1">
        <f t="array" ref="AP136">IFERROR(IF(AB137&lt;&gt;AB136,_xlfn.STDEV.P(IF(AB$9:AB136=AB136,AT$9:AT136)),""),"")</f>
        <v/>
      </c>
      <c r="AQ136" s="36" t="str">
        <f t="shared" si="23"/>
        <v/>
      </c>
      <c r="AR136" s="36" t="str">
        <f t="shared" si="24"/>
        <v/>
      </c>
      <c r="AS136" s="36" t="str">
        <f t="shared" si="33"/>
        <v/>
      </c>
      <c r="AT136" s="37" t="str">
        <f t="shared" si="25"/>
        <v/>
      </c>
      <c r="AU136" s="37" t="str">
        <f t="shared" si="26"/>
        <v/>
      </c>
      <c r="AV136" s="54"/>
      <c r="AW136" s="46"/>
      <c r="AX136" s="39" t="str" cm="1">
        <f t="array" ref="AX136">IF(AH136&lt;&gt;"",IF(AND(AX134:AX135&lt;&gt;"IE",AQ136&lt;&gt;0,AS136&lt;&gt;""),IF(IFERROR((AQ136/AS136),0) &lt;=1,IFERROR(AQ136/AS136,""),1),""),"")</f>
        <v/>
      </c>
      <c r="AY136" s="46"/>
      <c r="AZ136" s="57"/>
    </row>
    <row r="137" spans="1:52" ht="15.5" x14ac:dyDescent="0.35">
      <c r="A137" s="51">
        <f t="shared" si="34"/>
        <v>1</v>
      </c>
      <c r="B137" s="52"/>
      <c r="C137" s="52"/>
      <c r="D137" s="29" t="str">
        <f>IFERROR(
IF(AND(OR(Planilla!B137="C",Planilla!B137="c"), VLOOKUP(E137,[1]Diccionario!B:N,13,0)="C"), "OK",IF(AND(OR(Planilla!B137="C",Planilla!B137="c"), OR(VLOOKUP(E137,[1]Diccionario!B:N,13,0)="B", VLOOKUP(E137,[1]Diccionario!B:N,13,0)="A")), "DEFICIT",IF(
AND(OR(Planilla!B137="B", Planilla!B137="BPAL"), VLOOKUP(E137,[1]Diccionario!B:N,13,0)="B"), "OK",IF(AND(OR(Planilla!B137="B", Planilla!B137="BPAL"), VLOOKUP(E137,[1]Diccionario!B:N,13,0)="A"), "DEFICIT",IF(AND(OR(Planilla!B137="B", Planilla!B137="BPAL"), VLOOKUP(E137,[1]Diccionario!B:N,13,0)="C"), "SOBREOFERTA",IF(AND(Planilla!B137="A", VLOOKUP(E137,[1]Diccionario!B:N,13,0)="A"), "OK",IF(
AND(Planilla!B137="A", OR(VLOOKUP(E137,[1]Diccionario!B:N,13,0)="B", VLOOKUP(E137,[1]Diccionario!B:N,13,0)="C")), "SOBREOFERTA",""
))))))),"")</f>
        <v/>
      </c>
      <c r="E137" s="48"/>
      <c r="F137" s="53"/>
      <c r="G137" s="54"/>
      <c r="H137" s="55" t="str">
        <f t="shared" si="27"/>
        <v/>
      </c>
      <c r="I137" s="35"/>
      <c r="J137" s="34" t="e">
        <f>IF(A137&lt;&gt;"",HLOOKUP(VALUE(TEXT(G137,"h:mm:ss")),IF($C$6="Laboral",[1]Input!$A$4:$Y$227,IF($C$6="Sábado",[1]Input!$A$231:$Y$452,[1]Input!$A$456:$Y$656)),VLOOKUP($C$4,[1]Input!$AG$2:$AI$99,3,0)+IF(C$5="Ida",0,1),1),"")</f>
        <v>#N/A</v>
      </c>
      <c r="K137" s="34" t="str">
        <f>IF(A138&lt;&gt;A137,AVERAGEIF(A$9:A137,A137,J$13:J137),"")</f>
        <v/>
      </c>
      <c r="L137" s="35" t="str">
        <f>IFERROR(IF(A138&lt;&gt;A137,AVERAGEIF(A$9:A137,A137,S$13:S137),""),"")</f>
        <v/>
      </c>
      <c r="M137" s="35" t="str">
        <f>IFERROR(IF(A138&lt;&gt;A137,AVERAGEIF(A$9:A137,A137,T$8:T137),""),"")</f>
        <v/>
      </c>
      <c r="N137" s="35" t="str" cm="1">
        <f t="array" ref="N137">IFERROR(IF(A138&lt;&gt;A137,_xlfn.STDEV.P(IF(A$9:A137=A137,T$7:T137)),""),"")</f>
        <v/>
      </c>
      <c r="O137" s="35" t="str" cm="1">
        <f t="array" ref="O137">IFERROR(IF(A138&lt;&gt;A137,_xlfn.STDEV.P(IF(A$9:A137=A137,S$7:S137)),""),"")</f>
        <v/>
      </c>
      <c r="P137" s="36" t="str">
        <f t="shared" si="20"/>
        <v/>
      </c>
      <c r="Q137" s="36" t="str">
        <f t="shared" si="21"/>
        <v/>
      </c>
      <c r="R137" s="36" t="str">
        <f t="shared" si="28"/>
        <v/>
      </c>
      <c r="S137" s="37" t="str">
        <f t="shared" si="29"/>
        <v/>
      </c>
      <c r="T137" s="37" t="str">
        <f t="shared" si="22"/>
        <v/>
      </c>
      <c r="U137" s="54"/>
      <c r="V137" s="46"/>
      <c r="W137" s="39" t="str">
        <f t="shared" si="30"/>
        <v/>
      </c>
      <c r="X137" s="38"/>
      <c r="Y137" s="48"/>
      <c r="AB137" s="56">
        <f t="shared" si="31"/>
        <v>1</v>
      </c>
      <c r="AC137" s="52"/>
      <c r="AD137" s="52"/>
      <c r="AE137" s="29" t="str">
        <f>IFERROR(
IF(AND(OR(AC137="C",AC137="c"), VLOOKUP(AF137,[1]Diccionario!B:N,13,0)="C"), "OK",IF(AND(OR(AC137="C",AC137="c"), OR(VLOOKUP(AF137,[1]Diccionario!B:N,13,0)="B", VLOOKUP(AF137,[1]Diccionario!B:N,13,0)="A")), "DEFICIT",IF(
AND(OR(AC137="B", AC137="BPAL"), VLOOKUP(AF137,[1]Diccionario!B:N,13,0)="B"), "OK",IF(AND(OR(AC137="B", AC137="BPAL"), VLOOKUP(AF137,[1]Diccionario!B:N,13,0)="A"), "DEFICIT",IF(AND(OR(AC137="B", AC137="BPAL"), VLOOKUP(AF137,[1]Diccionario!B:N,13,0)="C"), "SOBREOFERTA",IF(AND(AC137="A", VLOOKUP(AF137,[1]Diccionario!B:N,13,0)="A"), "OK",IF(
AND(AC137="A", OR(VLOOKUP(AF137,[1]Diccionario!B:N,13,0)="B", VLOOKUP(AF137,[1]Diccionario!B:N,13,0)="C")), "SOBREOFERTA",""
))))))),"")</f>
        <v/>
      </c>
      <c r="AF137" s="48"/>
      <c r="AG137" s="53"/>
      <c r="AH137" s="54"/>
      <c r="AI137" s="55" t="str">
        <f t="shared" si="32"/>
        <v/>
      </c>
      <c r="AJ137" s="46"/>
      <c r="AK137" s="34" t="e">
        <f>IF(AB137&lt;&gt;"",HLOOKUP(VALUE(TEXT(AH137,"h:mm:ss")),IF($C$6="Laboral",[1]Input!$A$4:$Y$227,IF($C$6="Sábado",[1]Input!$A$231:$Y$452,[1]Input!$A$456:$Y$656)),VLOOKUP($C$4,[1]Input!$AG$2:$AI$99,3,0)+IF(AD$5="Ida",0,1),1),"")</f>
        <v>#N/A</v>
      </c>
      <c r="AL137" s="34" t="str">
        <f>IF(AB138&lt;&gt;AB137,AVERAGEIF(AB$9:AB137,AB137,AK$9:AK137),"")</f>
        <v/>
      </c>
      <c r="AM137" s="35" t="str">
        <f>IFERROR(IF(AB138&lt;&gt;AB137,AVERAGEIF(AB$9:AB137,AB137,AT$9:AT137),""),"")</f>
        <v/>
      </c>
      <c r="AN137" s="35" t="str">
        <f>IFERROR(IF(AB138&lt;&gt;AB137,AVERAGEIF(AB$9:AB137,AB137,AU$9:AU137),""),"")</f>
        <v/>
      </c>
      <c r="AO137" s="35" t="str" cm="1">
        <f t="array" ref="AO137">IFERROR(IF(AB138&lt;&gt;AB137,_xlfn.STDEV.P(IF(AB$9:AB137=AB137,AU$9:AU137)),""),"")</f>
        <v/>
      </c>
      <c r="AP137" s="35" t="str" cm="1">
        <f t="array" ref="AP137">IFERROR(IF(AB138&lt;&gt;AB137,_xlfn.STDEV.P(IF(AB$9:AB137=AB137,AT$9:AT137)),""),"")</f>
        <v/>
      </c>
      <c r="AQ137" s="36" t="str">
        <f t="shared" si="23"/>
        <v/>
      </c>
      <c r="AR137" s="36" t="str">
        <f t="shared" si="24"/>
        <v/>
      </c>
      <c r="AS137" s="36" t="str">
        <f t="shared" si="33"/>
        <v/>
      </c>
      <c r="AT137" s="37" t="str">
        <f t="shared" si="25"/>
        <v/>
      </c>
      <c r="AU137" s="37" t="str">
        <f t="shared" si="26"/>
        <v/>
      </c>
      <c r="AV137" s="54"/>
      <c r="AW137" s="46"/>
      <c r="AX137" s="39" t="str" cm="1">
        <f t="array" ref="AX137">IF(AH137&lt;&gt;"",IF(AND(AX135:AX136&lt;&gt;"IE",AQ137&lt;&gt;0,AS137&lt;&gt;""),IF(IFERROR((AQ137/AS137),0) &lt;=1,IFERROR(AQ137/AS137,""),1),""),"")</f>
        <v/>
      </c>
      <c r="AY137" s="46"/>
      <c r="AZ137" s="57"/>
    </row>
    <row r="138" spans="1:52" ht="15.5" x14ac:dyDescent="0.35">
      <c r="A138" s="51">
        <f t="shared" si="34"/>
        <v>1</v>
      </c>
      <c r="B138" s="52"/>
      <c r="C138" s="52"/>
      <c r="D138" s="29" t="str">
        <f>IFERROR(
IF(AND(OR(Planilla!B138="C",Planilla!B138="c"), VLOOKUP(E138,[1]Diccionario!B:N,13,0)="C"), "OK",IF(AND(OR(Planilla!B138="C",Planilla!B138="c"), OR(VLOOKUP(E138,[1]Diccionario!B:N,13,0)="B", VLOOKUP(E138,[1]Diccionario!B:N,13,0)="A")), "DEFICIT",IF(
AND(OR(Planilla!B138="B", Planilla!B138="BPAL"), VLOOKUP(E138,[1]Diccionario!B:N,13,0)="B"), "OK",IF(AND(OR(Planilla!B138="B", Planilla!B138="BPAL"), VLOOKUP(E138,[1]Diccionario!B:N,13,0)="A"), "DEFICIT",IF(AND(OR(Planilla!B138="B", Planilla!B138="BPAL"), VLOOKUP(E138,[1]Diccionario!B:N,13,0)="C"), "SOBREOFERTA",IF(AND(Planilla!B138="A", VLOOKUP(E138,[1]Diccionario!B:N,13,0)="A"), "OK",IF(
AND(Planilla!B138="A", OR(VLOOKUP(E138,[1]Diccionario!B:N,13,0)="B", VLOOKUP(E138,[1]Diccionario!B:N,13,0)="C")), "SOBREOFERTA",""
))))))),"")</f>
        <v/>
      </c>
      <c r="E138" s="48"/>
      <c r="F138" s="53"/>
      <c r="G138" s="54"/>
      <c r="H138" s="55" t="str">
        <f t="shared" si="27"/>
        <v/>
      </c>
      <c r="I138" s="35"/>
      <c r="J138" s="34" t="e">
        <f>IF(A138&lt;&gt;"",HLOOKUP(VALUE(TEXT(G138,"h:mm:ss")),IF($C$6="Laboral",[1]Input!$A$4:$Y$227,IF($C$6="Sábado",[1]Input!$A$231:$Y$452,[1]Input!$A$456:$Y$656)),VLOOKUP($C$4,[1]Input!$AG$2:$AI$99,3,0)+IF(C$5="Ida",0,1),1),"")</f>
        <v>#N/A</v>
      </c>
      <c r="K138" s="34" t="str">
        <f>IF(A139&lt;&gt;A138,AVERAGEIF(A$9:A138,A138,J$13:J138),"")</f>
        <v/>
      </c>
      <c r="L138" s="35" t="str">
        <f>IFERROR(IF(A139&lt;&gt;A138,AVERAGEIF(A$9:A138,A138,S$13:S138),""),"")</f>
        <v/>
      </c>
      <c r="M138" s="35" t="str">
        <f>IFERROR(IF(A139&lt;&gt;A138,AVERAGEIF(A$9:A138,A138,T$8:T138),""),"")</f>
        <v/>
      </c>
      <c r="N138" s="35" t="str" cm="1">
        <f t="array" ref="N138">IFERROR(IF(A139&lt;&gt;A138,_xlfn.STDEV.P(IF(A$9:A138=A138,T$7:T138)),""),"")</f>
        <v/>
      </c>
      <c r="O138" s="35" t="str" cm="1">
        <f t="array" ref="O138">IFERROR(IF(A139&lt;&gt;A138,_xlfn.STDEV.P(IF(A$9:A138=A138,S$7:S138)),""),"")</f>
        <v/>
      </c>
      <c r="P138" s="36" t="str">
        <f t="shared" si="20"/>
        <v/>
      </c>
      <c r="Q138" s="36" t="str">
        <f t="shared" si="21"/>
        <v/>
      </c>
      <c r="R138" s="36" t="str">
        <f t="shared" si="28"/>
        <v/>
      </c>
      <c r="S138" s="37" t="str">
        <f t="shared" si="29"/>
        <v/>
      </c>
      <c r="T138" s="37" t="str">
        <f t="shared" si="22"/>
        <v/>
      </c>
      <c r="U138" s="54"/>
      <c r="V138" s="46"/>
      <c r="W138" s="39" t="str">
        <f t="shared" si="30"/>
        <v/>
      </c>
      <c r="X138" s="38"/>
      <c r="Y138" s="48"/>
      <c r="AB138" s="56">
        <f t="shared" si="31"/>
        <v>1</v>
      </c>
      <c r="AC138" s="52"/>
      <c r="AD138" s="52"/>
      <c r="AE138" s="29" t="str">
        <f>IFERROR(
IF(AND(OR(AC138="C",AC138="c"), VLOOKUP(AF138,[1]Diccionario!B:N,13,0)="C"), "OK",IF(AND(OR(AC138="C",AC138="c"), OR(VLOOKUP(AF138,[1]Diccionario!B:N,13,0)="B", VLOOKUP(AF138,[1]Diccionario!B:N,13,0)="A")), "DEFICIT",IF(
AND(OR(AC138="B", AC138="BPAL"), VLOOKUP(AF138,[1]Diccionario!B:N,13,0)="B"), "OK",IF(AND(OR(AC138="B", AC138="BPAL"), VLOOKUP(AF138,[1]Diccionario!B:N,13,0)="A"), "DEFICIT",IF(AND(OR(AC138="B", AC138="BPAL"), VLOOKUP(AF138,[1]Diccionario!B:N,13,0)="C"), "SOBREOFERTA",IF(AND(AC138="A", VLOOKUP(AF138,[1]Diccionario!B:N,13,0)="A"), "OK",IF(
AND(AC138="A", OR(VLOOKUP(AF138,[1]Diccionario!B:N,13,0)="B", VLOOKUP(AF138,[1]Diccionario!B:N,13,0)="C")), "SOBREOFERTA",""
))))))),"")</f>
        <v/>
      </c>
      <c r="AF138" s="48"/>
      <c r="AG138" s="53"/>
      <c r="AH138" s="54"/>
      <c r="AI138" s="55" t="str">
        <f t="shared" si="32"/>
        <v/>
      </c>
      <c r="AJ138" s="46"/>
      <c r="AK138" s="34" t="e">
        <f>IF(AB138&lt;&gt;"",HLOOKUP(VALUE(TEXT(AH138,"h:mm:ss")),IF($C$6="Laboral",[1]Input!$A$4:$Y$227,IF($C$6="Sábado",[1]Input!$A$231:$Y$452,[1]Input!$A$456:$Y$656)),VLOOKUP($C$4,[1]Input!$AG$2:$AI$99,3,0)+IF(AD$5="Ida",0,1),1),"")</f>
        <v>#N/A</v>
      </c>
      <c r="AL138" s="34" t="str">
        <f>IF(AB139&lt;&gt;AB138,AVERAGEIF(AB$9:AB138,AB138,AK$9:AK138),"")</f>
        <v/>
      </c>
      <c r="AM138" s="35" t="str">
        <f>IFERROR(IF(AB139&lt;&gt;AB138,AVERAGEIF(AB$9:AB138,AB138,AT$9:AT138),""),"")</f>
        <v/>
      </c>
      <c r="AN138" s="35" t="str">
        <f>IFERROR(IF(AB139&lt;&gt;AB138,AVERAGEIF(AB$9:AB138,AB138,AU$9:AU138),""),"")</f>
        <v/>
      </c>
      <c r="AO138" s="35" t="str" cm="1">
        <f t="array" ref="AO138">IFERROR(IF(AB139&lt;&gt;AB138,_xlfn.STDEV.P(IF(AB$9:AB138=AB138,AU$9:AU138)),""),"")</f>
        <v/>
      </c>
      <c r="AP138" s="35" t="str" cm="1">
        <f t="array" ref="AP138">IFERROR(IF(AB139&lt;&gt;AB138,_xlfn.STDEV.P(IF(AB$9:AB138=AB138,AT$9:AT138)),""),"")</f>
        <v/>
      </c>
      <c r="AQ138" s="36" t="str">
        <f t="shared" si="23"/>
        <v/>
      </c>
      <c r="AR138" s="36" t="str">
        <f t="shared" si="24"/>
        <v/>
      </c>
      <c r="AS138" s="36" t="str">
        <f t="shared" si="33"/>
        <v/>
      </c>
      <c r="AT138" s="37" t="str">
        <f t="shared" si="25"/>
        <v/>
      </c>
      <c r="AU138" s="37" t="str">
        <f t="shared" si="26"/>
        <v/>
      </c>
      <c r="AV138" s="54"/>
      <c r="AW138" s="46"/>
      <c r="AX138" s="39" t="str" cm="1">
        <f t="array" ref="AX138">IF(AH138&lt;&gt;"",IF(AND(AX136:AX137&lt;&gt;"IE",AQ138&lt;&gt;0,AS138&lt;&gt;""),IF(IFERROR((AQ138/AS138),0) &lt;=1,IFERROR(AQ138/AS138,""),1),""),"")</f>
        <v/>
      </c>
      <c r="AY138" s="46"/>
      <c r="AZ138" s="57"/>
    </row>
    <row r="139" spans="1:52" ht="15.5" x14ac:dyDescent="0.35">
      <c r="A139" s="51">
        <f t="shared" si="34"/>
        <v>1</v>
      </c>
      <c r="B139" s="52"/>
      <c r="C139" s="52"/>
      <c r="D139" s="29" t="str">
        <f>IFERROR(
IF(AND(OR(Planilla!B139="C",Planilla!B139="c"), VLOOKUP(E139,[1]Diccionario!B:N,13,0)="C"), "OK",IF(AND(OR(Planilla!B139="C",Planilla!B139="c"), OR(VLOOKUP(E139,[1]Diccionario!B:N,13,0)="B", VLOOKUP(E139,[1]Diccionario!B:N,13,0)="A")), "DEFICIT",IF(
AND(OR(Planilla!B139="B", Planilla!B139="BPAL"), VLOOKUP(E139,[1]Diccionario!B:N,13,0)="B"), "OK",IF(AND(OR(Planilla!B139="B", Planilla!B139="BPAL"), VLOOKUP(E139,[1]Diccionario!B:N,13,0)="A"), "DEFICIT",IF(AND(OR(Planilla!B139="B", Planilla!B139="BPAL"), VLOOKUP(E139,[1]Diccionario!B:N,13,0)="C"), "SOBREOFERTA",IF(AND(Planilla!B139="A", VLOOKUP(E139,[1]Diccionario!B:N,13,0)="A"), "OK",IF(
AND(Planilla!B139="A", OR(VLOOKUP(E139,[1]Diccionario!B:N,13,0)="B", VLOOKUP(E139,[1]Diccionario!B:N,13,0)="C")), "SOBREOFERTA",""
))))))),"")</f>
        <v/>
      </c>
      <c r="E139" s="48"/>
      <c r="F139" s="53"/>
      <c r="G139" s="54"/>
      <c r="H139" s="55" t="str">
        <f t="shared" si="27"/>
        <v/>
      </c>
      <c r="I139" s="35"/>
      <c r="J139" s="34" t="e">
        <f>IF(A139&lt;&gt;"",HLOOKUP(VALUE(TEXT(G139,"h:mm:ss")),IF($C$6="Laboral",[1]Input!$A$4:$Y$227,IF($C$6="Sábado",[1]Input!$A$231:$Y$452,[1]Input!$A$456:$Y$656)),VLOOKUP($C$4,[1]Input!$AG$2:$AI$99,3,0)+IF(C$5="Ida",0,1),1),"")</f>
        <v>#N/A</v>
      </c>
      <c r="K139" s="34" t="str">
        <f>IF(A140&lt;&gt;A139,AVERAGEIF(A$9:A139,A139,J$13:J139),"")</f>
        <v/>
      </c>
      <c r="L139" s="35" t="str">
        <f>IFERROR(IF(A140&lt;&gt;A139,AVERAGEIF(A$9:A139,A139,S$13:S139),""),"")</f>
        <v/>
      </c>
      <c r="M139" s="35" t="str">
        <f>IFERROR(IF(A140&lt;&gt;A139,AVERAGEIF(A$9:A139,A139,T$8:T139),""),"")</f>
        <v/>
      </c>
      <c r="N139" s="35" t="str" cm="1">
        <f t="array" ref="N139">IFERROR(IF(A140&lt;&gt;A139,_xlfn.STDEV.P(IF(A$9:A139=A139,T$7:T139)),""),"")</f>
        <v/>
      </c>
      <c r="O139" s="35" t="str" cm="1">
        <f t="array" ref="O139">IFERROR(IF(A140&lt;&gt;A139,_xlfn.STDEV.P(IF(A$9:A139=A139,S$7:S139)),""),"")</f>
        <v/>
      </c>
      <c r="P139" s="36" t="str">
        <f t="shared" si="20"/>
        <v/>
      </c>
      <c r="Q139" s="36" t="str">
        <f t="shared" si="21"/>
        <v/>
      </c>
      <c r="R139" s="36" t="str">
        <f t="shared" si="28"/>
        <v/>
      </c>
      <c r="S139" s="37" t="str">
        <f t="shared" si="29"/>
        <v/>
      </c>
      <c r="T139" s="37" t="str">
        <f t="shared" si="22"/>
        <v/>
      </c>
      <c r="U139" s="54"/>
      <c r="V139" s="46"/>
      <c r="W139" s="39" t="str">
        <f t="shared" si="30"/>
        <v/>
      </c>
      <c r="X139" s="38"/>
      <c r="Y139" s="48"/>
      <c r="AB139" s="56">
        <f t="shared" si="31"/>
        <v>1</v>
      </c>
      <c r="AC139" s="52"/>
      <c r="AD139" s="52"/>
      <c r="AE139" s="29" t="str">
        <f>IFERROR(
IF(AND(OR(AC139="C",AC139="c"), VLOOKUP(AF139,[1]Diccionario!B:N,13,0)="C"), "OK",IF(AND(OR(AC139="C",AC139="c"), OR(VLOOKUP(AF139,[1]Diccionario!B:N,13,0)="B", VLOOKUP(AF139,[1]Diccionario!B:N,13,0)="A")), "DEFICIT",IF(
AND(OR(AC139="B", AC139="BPAL"), VLOOKUP(AF139,[1]Diccionario!B:N,13,0)="B"), "OK",IF(AND(OR(AC139="B", AC139="BPAL"), VLOOKUP(AF139,[1]Diccionario!B:N,13,0)="A"), "DEFICIT",IF(AND(OR(AC139="B", AC139="BPAL"), VLOOKUP(AF139,[1]Diccionario!B:N,13,0)="C"), "SOBREOFERTA",IF(AND(AC139="A", VLOOKUP(AF139,[1]Diccionario!B:N,13,0)="A"), "OK",IF(
AND(AC139="A", OR(VLOOKUP(AF139,[1]Diccionario!B:N,13,0)="B", VLOOKUP(AF139,[1]Diccionario!B:N,13,0)="C")), "SOBREOFERTA",""
))))))),"")</f>
        <v/>
      </c>
      <c r="AF139" s="48"/>
      <c r="AG139" s="53"/>
      <c r="AH139" s="54"/>
      <c r="AI139" s="55" t="str">
        <f t="shared" si="32"/>
        <v/>
      </c>
      <c r="AJ139" s="46"/>
      <c r="AK139" s="34" t="e">
        <f>IF(AB139&lt;&gt;"",HLOOKUP(VALUE(TEXT(AH139,"h:mm:ss")),IF($C$6="Laboral",[1]Input!$A$4:$Y$227,IF($C$6="Sábado",[1]Input!$A$231:$Y$452,[1]Input!$A$456:$Y$656)),VLOOKUP($C$4,[1]Input!$AG$2:$AI$99,3,0)+IF(AD$5="Ida",0,1),1),"")</f>
        <v>#N/A</v>
      </c>
      <c r="AL139" s="34" t="str">
        <f>IF(AB140&lt;&gt;AB139,AVERAGEIF(AB$9:AB139,AB139,AK$9:AK139),"")</f>
        <v/>
      </c>
      <c r="AM139" s="35" t="str">
        <f>IFERROR(IF(AB140&lt;&gt;AB139,AVERAGEIF(AB$9:AB139,AB139,AT$9:AT139),""),"")</f>
        <v/>
      </c>
      <c r="AN139" s="35" t="str">
        <f>IFERROR(IF(AB140&lt;&gt;AB139,AVERAGEIF(AB$9:AB139,AB139,AU$9:AU139),""),"")</f>
        <v/>
      </c>
      <c r="AO139" s="35" t="str" cm="1">
        <f t="array" ref="AO139">IFERROR(IF(AB140&lt;&gt;AB139,_xlfn.STDEV.P(IF(AB$9:AB139=AB139,AU$9:AU139)),""),"")</f>
        <v/>
      </c>
      <c r="AP139" s="35" t="str" cm="1">
        <f t="array" ref="AP139">IFERROR(IF(AB140&lt;&gt;AB139,_xlfn.STDEV.P(IF(AB$9:AB139=AB139,AT$9:AT139)),""),"")</f>
        <v/>
      </c>
      <c r="AQ139" s="36" t="str">
        <f t="shared" si="23"/>
        <v/>
      </c>
      <c r="AR139" s="36" t="str">
        <f t="shared" si="24"/>
        <v/>
      </c>
      <c r="AS139" s="36" t="str">
        <f t="shared" si="33"/>
        <v/>
      </c>
      <c r="AT139" s="37" t="str">
        <f t="shared" si="25"/>
        <v/>
      </c>
      <c r="AU139" s="37" t="str">
        <f t="shared" si="26"/>
        <v/>
      </c>
      <c r="AV139" s="54"/>
      <c r="AW139" s="46"/>
      <c r="AX139" s="39" t="str" cm="1">
        <f t="array" ref="AX139">IF(AH139&lt;&gt;"",IF(AND(AX137:AX138&lt;&gt;"IE",AQ139&lt;&gt;0,AS139&lt;&gt;""),IF(IFERROR((AQ139/AS139),0) &lt;=1,IFERROR(AQ139/AS139,""),1),""),"")</f>
        <v/>
      </c>
      <c r="AY139" s="46"/>
      <c r="AZ139" s="57"/>
    </row>
    <row r="140" spans="1:52" ht="15.5" x14ac:dyDescent="0.35">
      <c r="A140" s="51">
        <f t="shared" si="34"/>
        <v>1</v>
      </c>
      <c r="B140" s="52"/>
      <c r="C140" s="52"/>
      <c r="D140" s="29" t="str">
        <f>IFERROR(
IF(AND(OR(Planilla!B140="C",Planilla!B140="c"), VLOOKUP(E140,[1]Diccionario!B:N,13,0)="C"), "OK",IF(AND(OR(Planilla!B140="C",Planilla!B140="c"), OR(VLOOKUP(E140,[1]Diccionario!B:N,13,0)="B", VLOOKUP(E140,[1]Diccionario!B:N,13,0)="A")), "DEFICIT",IF(
AND(OR(Planilla!B140="B", Planilla!B140="BPAL"), VLOOKUP(E140,[1]Diccionario!B:N,13,0)="B"), "OK",IF(AND(OR(Planilla!B140="B", Planilla!B140="BPAL"), VLOOKUP(E140,[1]Diccionario!B:N,13,0)="A"), "DEFICIT",IF(AND(OR(Planilla!B140="B", Planilla!B140="BPAL"), VLOOKUP(E140,[1]Diccionario!B:N,13,0)="C"), "SOBREOFERTA",IF(AND(Planilla!B140="A", VLOOKUP(E140,[1]Diccionario!B:N,13,0)="A"), "OK",IF(
AND(Planilla!B140="A", OR(VLOOKUP(E140,[1]Diccionario!B:N,13,0)="B", VLOOKUP(E140,[1]Diccionario!B:N,13,0)="C")), "SOBREOFERTA",""
))))))),"")</f>
        <v/>
      </c>
      <c r="E140" s="48"/>
      <c r="F140" s="53"/>
      <c r="G140" s="54"/>
      <c r="H140" s="55" t="str">
        <f t="shared" si="27"/>
        <v/>
      </c>
      <c r="I140" s="35"/>
      <c r="J140" s="34" t="e">
        <f>IF(A140&lt;&gt;"",HLOOKUP(VALUE(TEXT(G140,"h:mm:ss")),IF($C$6="Laboral",[1]Input!$A$4:$Y$227,IF($C$6="Sábado",[1]Input!$A$231:$Y$452,[1]Input!$A$456:$Y$656)),VLOOKUP($C$4,[1]Input!$AG$2:$AI$99,3,0)+IF(C$5="Ida",0,1),1),"")</f>
        <v>#N/A</v>
      </c>
      <c r="K140" s="34" t="str">
        <f>IF(A141&lt;&gt;A140,AVERAGEIF(A$9:A140,A140,J$13:J140),"")</f>
        <v/>
      </c>
      <c r="L140" s="35" t="str">
        <f>IFERROR(IF(A141&lt;&gt;A140,AVERAGEIF(A$9:A140,A140,S$13:S140),""),"")</f>
        <v/>
      </c>
      <c r="M140" s="35" t="str">
        <f>IFERROR(IF(A141&lt;&gt;A140,AVERAGEIF(A$9:A140,A140,T$8:T140),""),"")</f>
        <v/>
      </c>
      <c r="N140" s="35" t="str" cm="1">
        <f t="array" ref="N140">IFERROR(IF(A141&lt;&gt;A140,_xlfn.STDEV.P(IF(A$9:A140=A140,T$7:T140)),""),"")</f>
        <v/>
      </c>
      <c r="O140" s="35" t="str" cm="1">
        <f t="array" ref="O140">IFERROR(IF(A141&lt;&gt;A140,_xlfn.STDEV.P(IF(A$9:A140=A140,S$7:S140)),""),"")</f>
        <v/>
      </c>
      <c r="P140" s="36" t="str">
        <f t="shared" si="20"/>
        <v/>
      </c>
      <c r="Q140" s="36" t="str">
        <f t="shared" si="21"/>
        <v/>
      </c>
      <c r="R140" s="36" t="str">
        <f t="shared" si="28"/>
        <v/>
      </c>
      <c r="S140" s="37" t="str">
        <f t="shared" si="29"/>
        <v/>
      </c>
      <c r="T140" s="37" t="str">
        <f t="shared" si="22"/>
        <v/>
      </c>
      <c r="U140" s="54"/>
      <c r="V140" s="46"/>
      <c r="W140" s="39" t="str">
        <f t="shared" si="30"/>
        <v/>
      </c>
      <c r="X140" s="38"/>
      <c r="Y140" s="48"/>
      <c r="AB140" s="56">
        <f t="shared" si="31"/>
        <v>1</v>
      </c>
      <c r="AC140" s="52"/>
      <c r="AD140" s="52"/>
      <c r="AE140" s="29" t="str">
        <f>IFERROR(
IF(AND(OR(AC140="C",AC140="c"), VLOOKUP(AF140,[1]Diccionario!B:N,13,0)="C"), "OK",IF(AND(OR(AC140="C",AC140="c"), OR(VLOOKUP(AF140,[1]Diccionario!B:N,13,0)="B", VLOOKUP(AF140,[1]Diccionario!B:N,13,0)="A")), "DEFICIT",IF(
AND(OR(AC140="B", AC140="BPAL"), VLOOKUP(AF140,[1]Diccionario!B:N,13,0)="B"), "OK",IF(AND(OR(AC140="B", AC140="BPAL"), VLOOKUP(AF140,[1]Diccionario!B:N,13,0)="A"), "DEFICIT",IF(AND(OR(AC140="B", AC140="BPAL"), VLOOKUP(AF140,[1]Diccionario!B:N,13,0)="C"), "SOBREOFERTA",IF(AND(AC140="A", VLOOKUP(AF140,[1]Diccionario!B:N,13,0)="A"), "OK",IF(
AND(AC140="A", OR(VLOOKUP(AF140,[1]Diccionario!B:N,13,0)="B", VLOOKUP(AF140,[1]Diccionario!B:N,13,0)="C")), "SOBREOFERTA",""
))))))),"")</f>
        <v/>
      </c>
      <c r="AF140" s="48"/>
      <c r="AG140" s="53"/>
      <c r="AH140" s="54"/>
      <c r="AI140" s="55" t="str">
        <f t="shared" si="32"/>
        <v/>
      </c>
      <c r="AJ140" s="46"/>
      <c r="AK140" s="34" t="e">
        <f>IF(AB140&lt;&gt;"",HLOOKUP(VALUE(TEXT(AH140,"h:mm:ss")),IF($C$6="Laboral",[1]Input!$A$4:$Y$227,IF($C$6="Sábado",[1]Input!$A$231:$Y$452,[1]Input!$A$456:$Y$656)),VLOOKUP($C$4,[1]Input!$AG$2:$AI$99,3,0)+IF(AD$5="Ida",0,1),1),"")</f>
        <v>#N/A</v>
      </c>
      <c r="AL140" s="34" t="str">
        <f>IF(AB141&lt;&gt;AB140,AVERAGEIF(AB$9:AB140,AB140,AK$9:AK140),"")</f>
        <v/>
      </c>
      <c r="AM140" s="35" t="str">
        <f>IFERROR(IF(AB141&lt;&gt;AB140,AVERAGEIF(AB$9:AB140,AB140,AT$9:AT140),""),"")</f>
        <v/>
      </c>
      <c r="AN140" s="35" t="str">
        <f>IFERROR(IF(AB141&lt;&gt;AB140,AVERAGEIF(AB$9:AB140,AB140,AU$9:AU140),""),"")</f>
        <v/>
      </c>
      <c r="AO140" s="35" t="str" cm="1">
        <f t="array" ref="AO140">IFERROR(IF(AB141&lt;&gt;AB140,_xlfn.STDEV.P(IF(AB$9:AB140=AB140,AU$9:AU140)),""),"")</f>
        <v/>
      </c>
      <c r="AP140" s="35" t="str" cm="1">
        <f t="array" ref="AP140">IFERROR(IF(AB141&lt;&gt;AB140,_xlfn.STDEV.P(IF(AB$9:AB140=AB140,AT$9:AT140)),""),"")</f>
        <v/>
      </c>
      <c r="AQ140" s="36" t="str">
        <f t="shared" si="23"/>
        <v/>
      </c>
      <c r="AR140" s="36" t="str">
        <f t="shared" si="24"/>
        <v/>
      </c>
      <c r="AS140" s="36" t="str">
        <f t="shared" si="33"/>
        <v/>
      </c>
      <c r="AT140" s="37" t="str">
        <f t="shared" si="25"/>
        <v/>
      </c>
      <c r="AU140" s="37" t="str">
        <f t="shared" si="26"/>
        <v/>
      </c>
      <c r="AV140" s="54"/>
      <c r="AW140" s="46"/>
      <c r="AX140" s="39" t="str" cm="1">
        <f t="array" ref="AX140">IF(AH140&lt;&gt;"",IF(AND(AX138:AX139&lt;&gt;"IE",AQ140&lt;&gt;0,AS140&lt;&gt;""),IF(IFERROR((AQ140/AS140),0) &lt;=1,IFERROR(AQ140/AS140,""),1),""),"")</f>
        <v/>
      </c>
      <c r="AY140" s="46"/>
      <c r="AZ140" s="57"/>
    </row>
    <row r="141" spans="1:52" ht="15.5" x14ac:dyDescent="0.35">
      <c r="A141" s="51">
        <f t="shared" si="34"/>
        <v>1</v>
      </c>
      <c r="B141" s="52"/>
      <c r="C141" s="52"/>
      <c r="D141" s="29" t="str">
        <f>IFERROR(
IF(AND(OR(Planilla!B141="C",Planilla!B141="c"), VLOOKUP(E141,[1]Diccionario!B:N,13,0)="C"), "OK",IF(AND(OR(Planilla!B141="C",Planilla!B141="c"), OR(VLOOKUP(E141,[1]Diccionario!B:N,13,0)="B", VLOOKUP(E141,[1]Diccionario!B:N,13,0)="A")), "DEFICIT",IF(
AND(OR(Planilla!B141="B", Planilla!B141="BPAL"), VLOOKUP(E141,[1]Diccionario!B:N,13,0)="B"), "OK",IF(AND(OR(Planilla!B141="B", Planilla!B141="BPAL"), VLOOKUP(E141,[1]Diccionario!B:N,13,0)="A"), "DEFICIT",IF(AND(OR(Planilla!B141="B", Planilla!B141="BPAL"), VLOOKUP(E141,[1]Diccionario!B:N,13,0)="C"), "SOBREOFERTA",IF(AND(Planilla!B141="A", VLOOKUP(E141,[1]Diccionario!B:N,13,0)="A"), "OK",IF(
AND(Planilla!B141="A", OR(VLOOKUP(E141,[1]Diccionario!B:N,13,0)="B", VLOOKUP(E141,[1]Diccionario!B:N,13,0)="C")), "SOBREOFERTA",""
))))))),"")</f>
        <v/>
      </c>
      <c r="E141" s="48"/>
      <c r="F141" s="53"/>
      <c r="G141" s="54"/>
      <c r="H141" s="55" t="str">
        <f t="shared" si="27"/>
        <v/>
      </c>
      <c r="I141" s="35"/>
      <c r="J141" s="34" t="e">
        <f>IF(A141&lt;&gt;"",HLOOKUP(VALUE(TEXT(G141,"h:mm:ss")),IF($C$6="Laboral",[1]Input!$A$4:$Y$227,IF($C$6="Sábado",[1]Input!$A$231:$Y$452,[1]Input!$A$456:$Y$656)),VLOOKUP($C$4,[1]Input!$AG$2:$AI$99,3,0)+IF(C$5="Ida",0,1),1),"")</f>
        <v>#N/A</v>
      </c>
      <c r="K141" s="34" t="str">
        <f>IF(A142&lt;&gt;A141,AVERAGEIF(A$9:A141,A141,J$13:J141),"")</f>
        <v/>
      </c>
      <c r="L141" s="35" t="str">
        <f>IFERROR(IF(A142&lt;&gt;A141,AVERAGEIF(A$9:A141,A141,S$13:S141),""),"")</f>
        <v/>
      </c>
      <c r="M141" s="35" t="str">
        <f>IFERROR(IF(A142&lt;&gt;A141,AVERAGEIF(A$9:A141,A141,T$8:T141),""),"")</f>
        <v/>
      </c>
      <c r="N141" s="35" t="str" cm="1">
        <f t="array" ref="N141">IFERROR(IF(A142&lt;&gt;A141,_xlfn.STDEV.P(IF(A$9:A141=A141,T$7:T141)),""),"")</f>
        <v/>
      </c>
      <c r="O141" s="35" t="str" cm="1">
        <f t="array" ref="O141">IFERROR(IF(A142&lt;&gt;A141,_xlfn.STDEV.P(IF(A$9:A141=A141,S$7:S141)),""),"")</f>
        <v/>
      </c>
      <c r="P141" s="36" t="str">
        <f t="shared" ref="P141:P204" si="35">IFERROR(IF(A141&lt;&gt;A142,MAX((((M141*24*60)/2)*(1+POWER((((N141*24*60) / (M141*24*60) )),2))) + ((M141*24*60 )*-0.1 + (K141*0.015)) +1,(((M141*24*60)/2)*(1+POWER((((N141*24*60) / (M141*24*60 ))),2)))),""),"")</f>
        <v/>
      </c>
      <c r="Q141" s="36" t="str">
        <f t="shared" ref="Q141:Q204" si="36">IF(AND(O141&lt;&gt;"",L141&lt;&gt;""),IF(A141&lt;&gt;A142,((L141*24*60) / 2 ) * (1 + POWER(((O141*24*60) / (L141*24*60)),2)),""),"")</f>
        <v/>
      </c>
      <c r="R141" s="36" t="str">
        <f t="shared" si="28"/>
        <v/>
      </c>
      <c r="S141" s="37" t="str">
        <f t="shared" si="29"/>
        <v/>
      </c>
      <c r="T141" s="37" t="str">
        <f t="shared" ref="T141:T204" si="37">IF(G141&lt;&gt;"H. Sale Real",IF(AND(G142&lt;&gt;"",LEFT(C142,2)&lt;&gt;"NC"),IF(AND(G141&lt;&gt;"",LEFT(C141,2)&lt;&gt;"NC",G141&lt;&gt;"H. Sale Real"),IF(G142-G141&lt;0.208333333333333,G142-G141,""),IF(AND(G140&lt;&gt;"",LEFT(C140,2)&lt;&gt;"NC",G140&lt;&gt;"H. Sale Real"),IF(G142-G140&lt;0.208333333333333,G142-G140,""),IF(AND(G139&lt;&gt;"",LEFT(C139,2)&lt;&gt;"NC",G139&lt;&gt;"H. Sale Real"),IF(G142-G139&lt;0.208333333333333,G142-G139,""),IF(AND(G138&lt;&gt;"",LEFT(C138,2)&lt;&gt;"NC",G138&lt;&gt;"H. Sale Real"),IF(G142-G138&lt;0.208333333333333,G142-G138,""),IF(AND(G137&lt;&gt;"",LEFT(C137,2)&lt;&gt;"NC",G137&lt;&gt;"H. Sale Real"),IF(G142-G137&lt;0.208333333333333,G142-G137,""),""))))),""),"")</f>
        <v/>
      </c>
      <c r="U141" s="54"/>
      <c r="V141" s="46"/>
      <c r="W141" s="39" t="str">
        <f t="shared" si="30"/>
        <v/>
      </c>
      <c r="X141" s="38"/>
      <c r="Y141" s="48"/>
      <c r="AB141" s="56">
        <f t="shared" si="31"/>
        <v>1</v>
      </c>
      <c r="AC141" s="52"/>
      <c r="AD141" s="52"/>
      <c r="AE141" s="29" t="str">
        <f>IFERROR(
IF(AND(OR(AC141="C",AC141="c"), VLOOKUP(AF141,[1]Diccionario!B:N,13,0)="C"), "OK",IF(AND(OR(AC141="C",AC141="c"), OR(VLOOKUP(AF141,[1]Diccionario!B:N,13,0)="B", VLOOKUP(AF141,[1]Diccionario!B:N,13,0)="A")), "DEFICIT",IF(
AND(OR(AC141="B", AC141="BPAL"), VLOOKUP(AF141,[1]Diccionario!B:N,13,0)="B"), "OK",IF(AND(OR(AC141="B", AC141="BPAL"), VLOOKUP(AF141,[1]Diccionario!B:N,13,0)="A"), "DEFICIT",IF(AND(OR(AC141="B", AC141="BPAL"), VLOOKUP(AF141,[1]Diccionario!B:N,13,0)="C"), "SOBREOFERTA",IF(AND(AC141="A", VLOOKUP(AF141,[1]Diccionario!B:N,13,0)="A"), "OK",IF(
AND(AC141="A", OR(VLOOKUP(AF141,[1]Diccionario!B:N,13,0)="B", VLOOKUP(AF141,[1]Diccionario!B:N,13,0)="C")), "SOBREOFERTA",""
))))))),"")</f>
        <v/>
      </c>
      <c r="AF141" s="48"/>
      <c r="AG141" s="53"/>
      <c r="AH141" s="54"/>
      <c r="AI141" s="55" t="str">
        <f t="shared" si="32"/>
        <v/>
      </c>
      <c r="AJ141" s="46"/>
      <c r="AK141" s="34" t="e">
        <f>IF(AB141&lt;&gt;"",HLOOKUP(VALUE(TEXT(AH141,"h:mm:ss")),IF($C$6="Laboral",[1]Input!$A$4:$Y$227,IF($C$6="Sábado",[1]Input!$A$231:$Y$452,[1]Input!$A$456:$Y$656)),VLOOKUP($C$4,[1]Input!$AG$2:$AI$99,3,0)+IF(AD$5="Ida",0,1),1),"")</f>
        <v>#N/A</v>
      </c>
      <c r="AL141" s="34" t="str">
        <f>IF(AB142&lt;&gt;AB141,AVERAGEIF(AB$9:AB141,AB141,AK$9:AK141),"")</f>
        <v/>
      </c>
      <c r="AM141" s="35" t="str">
        <f>IFERROR(IF(AB142&lt;&gt;AB141,AVERAGEIF(AB$9:AB141,AB141,AT$9:AT141),""),"")</f>
        <v/>
      </c>
      <c r="AN141" s="35" t="str">
        <f>IFERROR(IF(AB142&lt;&gt;AB141,AVERAGEIF(AB$9:AB141,AB141,AU$9:AU141),""),"")</f>
        <v/>
      </c>
      <c r="AO141" s="35" t="str" cm="1">
        <f t="array" ref="AO141">IFERROR(IF(AB142&lt;&gt;AB141,_xlfn.STDEV.P(IF(AB$9:AB141=AB141,AU$9:AU141)),""),"")</f>
        <v/>
      </c>
      <c r="AP141" s="35" t="str" cm="1">
        <f t="array" ref="AP141">IFERROR(IF(AB142&lt;&gt;AB141,_xlfn.STDEV.P(IF(AB$9:AB141=AB141,AT$9:AT141)),""),"")</f>
        <v/>
      </c>
      <c r="AQ141" s="36" t="str">
        <f t="shared" ref="AQ141:AQ204" si="38">IFERROR(IF(AB141&lt;&gt;AB142,MAX((((AN141*24*60)/2)*(1+POWER((((AO141*24*60) / (AN141*24*60) )),2))) + ((AN141*24*60 )*-0.1 + (AL141*0.015)) +1,(((AN141*24*60)/2)*(1+POWER((((AO141*24*60) / (AN141*24*60 ))),2)))),""),"")</f>
        <v/>
      </c>
      <c r="AR141" s="36" t="str">
        <f t="shared" ref="AR141:AR204" si="39">IF(AND(AP141&lt;&gt;"",AM141&lt;&gt;""),IF(AB141&lt;&gt;AB142,((AM141*24*60) / 2 ) * (1 + POWER(((AP141*24*60) / (AM141*24*60)),2)),""),"")</f>
        <v/>
      </c>
      <c r="AS141" s="36" t="str">
        <f t="shared" si="33"/>
        <v/>
      </c>
      <c r="AT141" s="37" t="str">
        <f t="shared" ref="AT141:AT204" si="40">IF(AJ141&lt;&gt;"H. Sale Real",IF(AND(AJ142&lt;&gt;"",LEFT(AD142,2)&lt;&gt;"NC"),IF(AND(AJ141&lt;&gt;"",LEFT(AD141,2)&lt;&gt;"NC",AJ141&lt;&gt;"H. Sale Real"),IF(AJ142-AJ141&lt;0.208333333333333,AJ142-AJ141,""),IF(AND(AJ140&lt;&gt;"",LEFT(AD140,2)&lt;&gt;"NC",AJ140&lt;&gt;"H. Sale Real"),IF(AJ142-AJ140&lt;0.208333333333333,AJ142-AJ140,""),IF(AND(AJ139&lt;&gt;"",LEFT(AD139,2)&lt;&gt;"NC",AJ139&lt;&gt;"H. Sale Real"),IF(AJ142-AJ139&lt;0.208333333333333,AJ142-AJ139,""),IF(AND(AJ138&lt;&gt;"",LEFT(AD138,2)&lt;&gt;"NC",AJ138&lt;&gt;"H. Sale Real"),IF(AJ142-AJ138&lt;0.208333333333333,AJ142-AJ138,""),IF(AND(AJ137&lt;&gt;"",LEFT(AD137,2)&lt;&gt;"NC",AJ137&lt;&gt;"H. Sale Real"),IF(AJ142-AJ137&lt;0.208333333333333,AJ142-AJ137,""),""))))),""),"")</f>
        <v/>
      </c>
      <c r="AU141" s="37" t="str">
        <f t="shared" ref="AU141:AU204" si="41">IF(AH141&lt;&gt;"H. Sale Real",IF(AND(AH142&lt;&gt;"",LEFT(AD142,2)&lt;&gt;"NC"),IF(AND(AH141&lt;&gt;"",LEFT(AD141,2)&lt;&gt;"NC",AH141&lt;&gt;"H. Sale Real"),IF(AH142-AH141&lt;0.208333333333333,AH142-AH141,""),IF(AND(AH140&lt;&gt;"",LEFT(AD140,2)&lt;&gt;"NC",AH140&lt;&gt;"H. Sale Real"),IF(AH142-AH140&lt;0.208333333333333,AH142-AH140,""),IF(AND(AH139&lt;&gt;"",LEFT(AD139,2)&lt;&gt;"NC",AH139&lt;&gt;"H. Sale Real"),IF(AH142-AH139&lt;0.208333333333333,AH142-AH139,""),IF(AND(AH138&lt;&gt;"",LEFT(AD138,2)&lt;&gt;"NC",AH138&lt;&gt;"H. Sale Real"),IF(AH142-AH138&lt;0.208333333333333,AH142-AH138,""),IF(AND(AH137&lt;&gt;"",LEFT(AD137,2)&lt;&gt;"NC",AH137&lt;&gt;"H. Sale Real"),IF(AH142-AH137&lt;0.208333333333333,AH142-AH137,""),""))))),""),"")</f>
        <v/>
      </c>
      <c r="AV141" s="54"/>
      <c r="AW141" s="46"/>
      <c r="AX141" s="39" t="str" cm="1">
        <f t="array" ref="AX141">IF(AH141&lt;&gt;"",IF(AND(AX139:AX140&lt;&gt;"IE",AQ141&lt;&gt;0,AS141&lt;&gt;""),IF(IFERROR((AQ141/AS141),0) &lt;=1,IFERROR(AQ141/AS141,""),1),""),"")</f>
        <v/>
      </c>
      <c r="AY141" s="46"/>
      <c r="AZ141" s="57"/>
    </row>
    <row r="142" spans="1:52" ht="15.5" x14ac:dyDescent="0.35">
      <c r="A142" s="51">
        <f t="shared" si="34"/>
        <v>1</v>
      </c>
      <c r="B142" s="52"/>
      <c r="C142" s="52"/>
      <c r="D142" s="29" t="str">
        <f>IFERROR(
IF(AND(OR(Planilla!B142="C",Planilla!B142="c"), VLOOKUP(E142,[1]Diccionario!B:N,13,0)="C"), "OK",IF(AND(OR(Planilla!B142="C",Planilla!B142="c"), OR(VLOOKUP(E142,[1]Diccionario!B:N,13,0)="B", VLOOKUP(E142,[1]Diccionario!B:N,13,0)="A")), "DEFICIT",IF(
AND(OR(Planilla!B142="B", Planilla!B142="BPAL"), VLOOKUP(E142,[1]Diccionario!B:N,13,0)="B"), "OK",IF(AND(OR(Planilla!B142="B", Planilla!B142="BPAL"), VLOOKUP(E142,[1]Diccionario!B:N,13,0)="A"), "DEFICIT",IF(AND(OR(Planilla!B142="B", Planilla!B142="BPAL"), VLOOKUP(E142,[1]Diccionario!B:N,13,0)="C"), "SOBREOFERTA",IF(AND(Planilla!B142="A", VLOOKUP(E142,[1]Diccionario!B:N,13,0)="A"), "OK",IF(
AND(Planilla!B142="A", OR(VLOOKUP(E142,[1]Diccionario!B:N,13,0)="B", VLOOKUP(E142,[1]Diccionario!B:N,13,0)="C")), "SOBREOFERTA",""
))))))),"")</f>
        <v/>
      </c>
      <c r="E142" s="48"/>
      <c r="F142" s="53"/>
      <c r="G142" s="54"/>
      <c r="H142" s="55" t="str">
        <f t="shared" ref="H142:H205" si="42">IF(I142="","",IF(AND((I142-G142)&gt;=TIME(0,0,0),(I142-G142)&lt;TIME(0,3,0)),"OK",IF(AND((I142-G142)&gt;=TIME(0,3,0),(I142-G142)&lt;TIME(0,5,0)),"RETRASO DE 3-5 MIN",IF(AND((I142-G142)&gt;=TIME(0,5,0),(I142-G142)&lt;TIME(0,10,0)),"RETRASO DE 5-10 MIN",IF((I142-G142)&gt;=TIME(0,10,0),"RETRASO &gt;10 MIN",         IF(AND((G142-I142)&gt;=TIME(0,0,0),(G142-I142)&lt;TIME(0,3,0)),"OK",IF((G142-I142)&gt;=TIME(0,3,0),"ADELANTADO")))))))</f>
        <v/>
      </c>
      <c r="I142" s="35"/>
      <c r="J142" s="34" t="e">
        <f>IF(A142&lt;&gt;"",HLOOKUP(VALUE(TEXT(G142,"h:mm:ss")),IF($C$6="Laboral",[1]Input!$A$4:$Y$227,IF($C$6="Sábado",[1]Input!$A$231:$Y$452,[1]Input!$A$456:$Y$656)),VLOOKUP($C$4,[1]Input!$AG$2:$AI$99,3,0)+IF(C$5="Ida",0,1),1),"")</f>
        <v>#N/A</v>
      </c>
      <c r="K142" s="34" t="str">
        <f>IF(A143&lt;&gt;A142,AVERAGEIF(A$9:A142,A142,J$13:J142),"")</f>
        <v/>
      </c>
      <c r="L142" s="35" t="str">
        <f>IFERROR(IF(A143&lt;&gt;A142,AVERAGEIF(A$9:A142,A142,S$13:S142),""),"")</f>
        <v/>
      </c>
      <c r="M142" s="35" t="str">
        <f>IFERROR(IF(A143&lt;&gt;A142,AVERAGEIF(A$9:A142,A142,T$8:T142),""),"")</f>
        <v/>
      </c>
      <c r="N142" s="35" t="str" cm="1">
        <f t="array" ref="N142">IFERROR(IF(A143&lt;&gt;A142,_xlfn.STDEV.P(IF(A$9:A142=A142,T$7:T142)),""),"")</f>
        <v/>
      </c>
      <c r="O142" s="35" t="str" cm="1">
        <f t="array" ref="O142">IFERROR(IF(A143&lt;&gt;A142,_xlfn.STDEV.P(IF(A$9:A142=A142,S$7:S142)),""),"")</f>
        <v/>
      </c>
      <c r="P142" s="36" t="str">
        <f t="shared" si="35"/>
        <v/>
      </c>
      <c r="Q142" s="36" t="str">
        <f t="shared" si="36"/>
        <v/>
      </c>
      <c r="R142" s="36" t="str">
        <f t="shared" ref="R142:R205" si="43">IF(Q142&lt;&gt;"",MAX(P142,Q142),"")</f>
        <v/>
      </c>
      <c r="S142" s="37" t="str">
        <f t="shared" ref="S142:S205" si="44">IF(I142&lt;&gt;"H. Sale Real",IF(AND(I143&lt;&gt;"",LEFT(C143,2)&lt;&gt;"NC"),IF(AND(I142&lt;&gt;"",LEFT(C142,2)&lt;&gt;"NC",I142&lt;&gt;"H. Sale Real"),IF(I143-I142&lt;0.208333333333333,I143-I142,""),IF(AND(I141&lt;&gt;"",LEFT(C141,2)&lt;&gt;"NC",I141&lt;&gt;"H. Sale Real"),IF(I143-I141&lt;0.208333333333333,I143-I141,""),IF(AND(I140&lt;&gt;"",LEFT(C140,2)&lt;&gt;"NC",I140&lt;&gt;"H. Sale Real"),IF(I143-I140&lt;0.208333333333333,I143-I140,""),IF(AND(I139&lt;&gt;"",LEFT(C139,2)&lt;&gt;"NC",I139&lt;&gt;"H. Sale Real"),IF(I143-I139&lt;0.208333333333333,I143-I139,""),IF(AND(I138&lt;&gt;"",LEFT(C138,2)&lt;&gt;"NC",I138&lt;&gt;"H. Sale Real"),IF(I143-I138&lt;0.208333333333333,I143-I138,""),""))))),""),"")</f>
        <v/>
      </c>
      <c r="T142" s="37" t="str">
        <f t="shared" si="37"/>
        <v/>
      </c>
      <c r="U142" s="54"/>
      <c r="V142" s="46"/>
      <c r="W142" s="39" t="str">
        <f t="shared" ref="W142:W205" si="45">IF(G142&lt;&gt;"",IF(AND(W141&lt;&gt;"IE",P142&lt;&gt;0,R142&lt;&gt;""),IF(IFERROR((P142/R142),0) &lt;=1,IFERROR(P142/R142,""),1),""),"")</f>
        <v/>
      </c>
      <c r="X142" s="38"/>
      <c r="Y142" s="48"/>
      <c r="AB142" s="56">
        <f t="shared" ref="AB142:AB205" si="46">HOUR(AH142)+1</f>
        <v>1</v>
      </c>
      <c r="AC142" s="52"/>
      <c r="AD142" s="52"/>
      <c r="AE142" s="29" t="str">
        <f>IFERROR(
IF(AND(OR(AC142="C",AC142="c"), VLOOKUP(AF142,[1]Diccionario!B:N,13,0)="C"), "OK",IF(AND(OR(AC142="C",AC142="c"), OR(VLOOKUP(AF142,[1]Diccionario!B:N,13,0)="B", VLOOKUP(AF142,[1]Diccionario!B:N,13,0)="A")), "DEFICIT",IF(
AND(OR(AC142="B", AC142="BPAL"), VLOOKUP(AF142,[1]Diccionario!B:N,13,0)="B"), "OK",IF(AND(OR(AC142="B", AC142="BPAL"), VLOOKUP(AF142,[1]Diccionario!B:N,13,0)="A"), "DEFICIT",IF(AND(OR(AC142="B", AC142="BPAL"), VLOOKUP(AF142,[1]Diccionario!B:N,13,0)="C"), "SOBREOFERTA",IF(AND(AC142="A", VLOOKUP(AF142,[1]Diccionario!B:N,13,0)="A"), "OK",IF(
AND(AC142="A", OR(VLOOKUP(AF142,[1]Diccionario!B:N,13,0)="B", VLOOKUP(AF142,[1]Diccionario!B:N,13,0)="C")), "SOBREOFERTA",""
))))))),"")</f>
        <v/>
      </c>
      <c r="AF142" s="48"/>
      <c r="AG142" s="53"/>
      <c r="AH142" s="54"/>
      <c r="AI142" s="55" t="str">
        <f t="shared" ref="AI142:AI205" si="47">IF(AJ142="","",IF(AND((AJ142-AH142)&gt;=TIME(0,0,0),(AJ142-AH142)&lt;TIME(0,3,0)),"OK",IF(AND((AJ142-AH142)&gt;=TIME(0,3,0),(AJ142-AH142)&lt;TIME(0,5,0)),"RETRASO DE 3-5 MIN",IF(AND((AJ142-AH142)&gt;=TIME(0,5,0),(AJ142-AH142)&lt;TIME(0,10,0)),"RETRASO DE 5-10 MIN",IF((AJ142-AH142)&gt;=TIME(0,10,0),"RETRASO &gt;10 MIN",         IF(AND((AH142-AJ142)&gt;=TIME(0,0,0),(AH142-AJ142)&lt;TIME(0,3,0)),"OK",IF((AH142-AJ142)&gt;=TIME(0,3,0),"ADELANTADO")))))))</f>
        <v/>
      </c>
      <c r="AJ142" s="46"/>
      <c r="AK142" s="34" t="e">
        <f>IF(AB142&lt;&gt;"",HLOOKUP(VALUE(TEXT(AH142,"h:mm:ss")),IF($C$6="Laboral",[1]Input!$A$4:$Y$227,IF($C$6="Sábado",[1]Input!$A$231:$Y$452,[1]Input!$A$456:$Y$656)),VLOOKUP($C$4,[1]Input!$AG$2:$AI$99,3,0)+IF(AD$5="Ida",0,1),1),"")</f>
        <v>#N/A</v>
      </c>
      <c r="AL142" s="34" t="str">
        <f>IF(AB143&lt;&gt;AB142,AVERAGEIF(AB$9:AB142,AB142,AK$9:AK142),"")</f>
        <v/>
      </c>
      <c r="AM142" s="35" t="str">
        <f>IFERROR(IF(AB143&lt;&gt;AB142,AVERAGEIF(AB$9:AB142,AB142,AT$9:AT142),""),"")</f>
        <v/>
      </c>
      <c r="AN142" s="35" t="str">
        <f>IFERROR(IF(AB143&lt;&gt;AB142,AVERAGEIF(AB$9:AB142,AB142,AU$9:AU142),""),"")</f>
        <v/>
      </c>
      <c r="AO142" s="35" t="str" cm="1">
        <f t="array" ref="AO142">IFERROR(IF(AB143&lt;&gt;AB142,_xlfn.STDEV.P(IF(AB$9:AB142=AB142,AU$9:AU142)),""),"")</f>
        <v/>
      </c>
      <c r="AP142" s="35" t="str" cm="1">
        <f t="array" ref="AP142">IFERROR(IF(AB143&lt;&gt;AB142,_xlfn.STDEV.P(IF(AB$9:AB142=AB142,AT$9:AT142)),""),"")</f>
        <v/>
      </c>
      <c r="AQ142" s="36" t="str">
        <f t="shared" si="38"/>
        <v/>
      </c>
      <c r="AR142" s="36" t="str">
        <f t="shared" si="39"/>
        <v/>
      </c>
      <c r="AS142" s="36" t="str">
        <f t="shared" ref="AS142:AS205" si="48">IF(AR142&lt;&gt;"",MAX(AQ142,AR142),"")</f>
        <v/>
      </c>
      <c r="AT142" s="37" t="str">
        <f t="shared" si="40"/>
        <v/>
      </c>
      <c r="AU142" s="37" t="str">
        <f t="shared" si="41"/>
        <v/>
      </c>
      <c r="AV142" s="54"/>
      <c r="AW142" s="46"/>
      <c r="AX142" s="39" t="str" cm="1">
        <f t="array" ref="AX142">IF(AH142&lt;&gt;"",IF(AND(AX140:AX141&lt;&gt;"IE",AQ142&lt;&gt;0,AS142&lt;&gt;""),IF(IFERROR((AQ142/AS142),0) &lt;=1,IFERROR(AQ142/AS142,""),1),""),"")</f>
        <v/>
      </c>
      <c r="AY142" s="46"/>
      <c r="AZ142" s="57"/>
    </row>
    <row r="143" spans="1:52" ht="15.5" x14ac:dyDescent="0.35">
      <c r="A143" s="51">
        <f t="shared" ref="A143:A206" si="49">HOUR(G143)+1</f>
        <v>1</v>
      </c>
      <c r="B143" s="52"/>
      <c r="C143" s="52"/>
      <c r="D143" s="29" t="str">
        <f>IFERROR(
IF(AND(OR(Planilla!B143="C",Planilla!B143="c"), VLOOKUP(E143,[1]Diccionario!B:N,13,0)="C"), "OK",IF(AND(OR(Planilla!B143="C",Planilla!B143="c"), OR(VLOOKUP(E143,[1]Diccionario!B:N,13,0)="B", VLOOKUP(E143,[1]Diccionario!B:N,13,0)="A")), "DEFICIT",IF(
AND(OR(Planilla!B143="B", Planilla!B143="BPAL"), VLOOKUP(E143,[1]Diccionario!B:N,13,0)="B"), "OK",IF(AND(OR(Planilla!B143="B", Planilla!B143="BPAL"), VLOOKUP(E143,[1]Diccionario!B:N,13,0)="A"), "DEFICIT",IF(AND(OR(Planilla!B143="B", Planilla!B143="BPAL"), VLOOKUP(E143,[1]Diccionario!B:N,13,0)="C"), "SOBREOFERTA",IF(AND(Planilla!B143="A", VLOOKUP(E143,[1]Diccionario!B:N,13,0)="A"), "OK",IF(
AND(Planilla!B143="A", OR(VLOOKUP(E143,[1]Diccionario!B:N,13,0)="B", VLOOKUP(E143,[1]Diccionario!B:N,13,0)="C")), "SOBREOFERTA",""
))))))),"")</f>
        <v/>
      </c>
      <c r="E143" s="48"/>
      <c r="F143" s="53"/>
      <c r="G143" s="54"/>
      <c r="H143" s="55" t="str">
        <f t="shared" si="42"/>
        <v/>
      </c>
      <c r="I143" s="35"/>
      <c r="J143" s="34" t="e">
        <f>IF(A143&lt;&gt;"",HLOOKUP(VALUE(TEXT(G143,"h:mm:ss")),IF($C$6="Laboral",[1]Input!$A$4:$Y$227,IF($C$6="Sábado",[1]Input!$A$231:$Y$452,[1]Input!$A$456:$Y$656)),VLOOKUP($C$4,[1]Input!$AG$2:$AI$99,3,0)+IF(C$5="Ida",0,1),1),"")</f>
        <v>#N/A</v>
      </c>
      <c r="K143" s="34" t="str">
        <f>IF(A144&lt;&gt;A143,AVERAGEIF(A$9:A143,A143,J$13:J143),"")</f>
        <v/>
      </c>
      <c r="L143" s="35" t="str">
        <f>IFERROR(IF(A144&lt;&gt;A143,AVERAGEIF(A$9:A143,A143,S$13:S143),""),"")</f>
        <v/>
      </c>
      <c r="M143" s="35" t="str">
        <f>IFERROR(IF(A144&lt;&gt;A143,AVERAGEIF(A$9:A143,A143,T$8:T143),""),"")</f>
        <v/>
      </c>
      <c r="N143" s="35" t="str" cm="1">
        <f t="array" ref="N143">IFERROR(IF(A144&lt;&gt;A143,_xlfn.STDEV.P(IF(A$9:A143=A143,T$7:T143)),""),"")</f>
        <v/>
      </c>
      <c r="O143" s="35" t="str" cm="1">
        <f t="array" ref="O143">IFERROR(IF(A144&lt;&gt;A143,_xlfn.STDEV.P(IF(A$9:A143=A143,S$7:S143)),""),"")</f>
        <v/>
      </c>
      <c r="P143" s="36" t="str">
        <f t="shared" si="35"/>
        <v/>
      </c>
      <c r="Q143" s="36" t="str">
        <f t="shared" si="36"/>
        <v/>
      </c>
      <c r="R143" s="36" t="str">
        <f t="shared" si="43"/>
        <v/>
      </c>
      <c r="S143" s="37" t="str">
        <f t="shared" si="44"/>
        <v/>
      </c>
      <c r="T143" s="37" t="str">
        <f t="shared" si="37"/>
        <v/>
      </c>
      <c r="U143" s="54"/>
      <c r="V143" s="46"/>
      <c r="W143" s="39" t="str">
        <f t="shared" si="45"/>
        <v/>
      </c>
      <c r="X143" s="38"/>
      <c r="Y143" s="48"/>
      <c r="AB143" s="56">
        <f t="shared" si="46"/>
        <v>1</v>
      </c>
      <c r="AC143" s="52"/>
      <c r="AD143" s="52"/>
      <c r="AE143" s="29" t="str">
        <f>IFERROR(
IF(AND(OR(AC143="C",AC143="c"), VLOOKUP(AF143,[1]Diccionario!B:N,13,0)="C"), "OK",IF(AND(OR(AC143="C",AC143="c"), OR(VLOOKUP(AF143,[1]Diccionario!B:N,13,0)="B", VLOOKUP(AF143,[1]Diccionario!B:N,13,0)="A")), "DEFICIT",IF(
AND(OR(AC143="B", AC143="BPAL"), VLOOKUP(AF143,[1]Diccionario!B:N,13,0)="B"), "OK",IF(AND(OR(AC143="B", AC143="BPAL"), VLOOKUP(AF143,[1]Diccionario!B:N,13,0)="A"), "DEFICIT",IF(AND(OR(AC143="B", AC143="BPAL"), VLOOKUP(AF143,[1]Diccionario!B:N,13,0)="C"), "SOBREOFERTA",IF(AND(AC143="A", VLOOKUP(AF143,[1]Diccionario!B:N,13,0)="A"), "OK",IF(
AND(AC143="A", OR(VLOOKUP(AF143,[1]Diccionario!B:N,13,0)="B", VLOOKUP(AF143,[1]Diccionario!B:N,13,0)="C")), "SOBREOFERTA",""
))))))),"")</f>
        <v/>
      </c>
      <c r="AF143" s="48"/>
      <c r="AG143" s="53"/>
      <c r="AH143" s="54"/>
      <c r="AI143" s="55" t="str">
        <f t="shared" si="47"/>
        <v/>
      </c>
      <c r="AJ143" s="46"/>
      <c r="AK143" s="34" t="e">
        <f>IF(AB143&lt;&gt;"",HLOOKUP(VALUE(TEXT(AH143,"h:mm:ss")),IF($C$6="Laboral",[1]Input!$A$4:$Y$227,IF($C$6="Sábado",[1]Input!$A$231:$Y$452,[1]Input!$A$456:$Y$656)),VLOOKUP($C$4,[1]Input!$AG$2:$AI$99,3,0)+IF(AD$5="Ida",0,1),1),"")</f>
        <v>#N/A</v>
      </c>
      <c r="AL143" s="34" t="str">
        <f>IF(AB144&lt;&gt;AB143,AVERAGEIF(AB$9:AB143,AB143,AK$9:AK143),"")</f>
        <v/>
      </c>
      <c r="AM143" s="35" t="str">
        <f>IFERROR(IF(AB144&lt;&gt;AB143,AVERAGEIF(AB$9:AB143,AB143,AT$9:AT143),""),"")</f>
        <v/>
      </c>
      <c r="AN143" s="35" t="str">
        <f>IFERROR(IF(AB144&lt;&gt;AB143,AVERAGEIF(AB$9:AB143,AB143,AU$9:AU143),""),"")</f>
        <v/>
      </c>
      <c r="AO143" s="35" t="str" cm="1">
        <f t="array" ref="AO143">IFERROR(IF(AB144&lt;&gt;AB143,_xlfn.STDEV.P(IF(AB$9:AB143=AB143,AU$9:AU143)),""),"")</f>
        <v/>
      </c>
      <c r="AP143" s="35" t="str" cm="1">
        <f t="array" ref="AP143">IFERROR(IF(AB144&lt;&gt;AB143,_xlfn.STDEV.P(IF(AB$9:AB143=AB143,AT$9:AT143)),""),"")</f>
        <v/>
      </c>
      <c r="AQ143" s="36" t="str">
        <f t="shared" si="38"/>
        <v/>
      </c>
      <c r="AR143" s="36" t="str">
        <f t="shared" si="39"/>
        <v/>
      </c>
      <c r="AS143" s="36" t="str">
        <f t="shared" si="48"/>
        <v/>
      </c>
      <c r="AT143" s="37" t="str">
        <f t="shared" si="40"/>
        <v/>
      </c>
      <c r="AU143" s="37" t="str">
        <f t="shared" si="41"/>
        <v/>
      </c>
      <c r="AV143" s="54"/>
      <c r="AW143" s="46"/>
      <c r="AX143" s="39" t="str" cm="1">
        <f t="array" ref="AX143">IF(AH143&lt;&gt;"",IF(AND(AX141:AX142&lt;&gt;"IE",AQ143&lt;&gt;0,AS143&lt;&gt;""),IF(IFERROR((AQ143/AS143),0) &lt;=1,IFERROR(AQ143/AS143,""),1),""),"")</f>
        <v/>
      </c>
      <c r="AY143" s="46"/>
      <c r="AZ143" s="57"/>
    </row>
    <row r="144" spans="1:52" ht="15.5" x14ac:dyDescent="0.35">
      <c r="A144" s="51">
        <f t="shared" si="49"/>
        <v>1</v>
      </c>
      <c r="B144" s="52"/>
      <c r="C144" s="52"/>
      <c r="D144" s="29" t="str">
        <f>IFERROR(
IF(AND(OR(Planilla!B144="C",Planilla!B144="c"), VLOOKUP(E144,[1]Diccionario!B:N,13,0)="C"), "OK",IF(AND(OR(Planilla!B144="C",Planilla!B144="c"), OR(VLOOKUP(E144,[1]Diccionario!B:N,13,0)="B", VLOOKUP(E144,[1]Diccionario!B:N,13,0)="A")), "DEFICIT",IF(
AND(OR(Planilla!B144="B", Planilla!B144="BPAL"), VLOOKUP(E144,[1]Diccionario!B:N,13,0)="B"), "OK",IF(AND(OR(Planilla!B144="B", Planilla!B144="BPAL"), VLOOKUP(E144,[1]Diccionario!B:N,13,0)="A"), "DEFICIT",IF(AND(OR(Planilla!B144="B", Planilla!B144="BPAL"), VLOOKUP(E144,[1]Diccionario!B:N,13,0)="C"), "SOBREOFERTA",IF(AND(Planilla!B144="A", VLOOKUP(E144,[1]Diccionario!B:N,13,0)="A"), "OK",IF(
AND(Planilla!B144="A", OR(VLOOKUP(E144,[1]Diccionario!B:N,13,0)="B", VLOOKUP(E144,[1]Diccionario!B:N,13,0)="C")), "SOBREOFERTA",""
))))))),"")</f>
        <v/>
      </c>
      <c r="E144" s="48"/>
      <c r="F144" s="53"/>
      <c r="G144" s="54"/>
      <c r="H144" s="55" t="str">
        <f t="shared" si="42"/>
        <v/>
      </c>
      <c r="I144" s="35"/>
      <c r="J144" s="34" t="e">
        <f>IF(A144&lt;&gt;"",HLOOKUP(VALUE(TEXT(G144,"h:mm:ss")),IF($C$6="Laboral",[1]Input!$A$4:$Y$227,IF($C$6="Sábado",[1]Input!$A$231:$Y$452,[1]Input!$A$456:$Y$656)),VLOOKUP($C$4,[1]Input!$AG$2:$AI$99,3,0)+IF(C$5="Ida",0,1),1),"")</f>
        <v>#N/A</v>
      </c>
      <c r="K144" s="34" t="str">
        <f>IF(A145&lt;&gt;A144,AVERAGEIF(A$9:A144,A144,J$13:J144),"")</f>
        <v/>
      </c>
      <c r="L144" s="35" t="str">
        <f>IFERROR(IF(A145&lt;&gt;A144,AVERAGEIF(A$9:A144,A144,S$13:S144),""),"")</f>
        <v/>
      </c>
      <c r="M144" s="35" t="str">
        <f>IFERROR(IF(A145&lt;&gt;A144,AVERAGEIF(A$9:A144,A144,T$8:T144),""),"")</f>
        <v/>
      </c>
      <c r="N144" s="35" t="str" cm="1">
        <f t="array" ref="N144">IFERROR(IF(A145&lt;&gt;A144,_xlfn.STDEV.P(IF(A$9:A144=A144,T$7:T144)),""),"")</f>
        <v/>
      </c>
      <c r="O144" s="35" t="str" cm="1">
        <f t="array" ref="O144">IFERROR(IF(A145&lt;&gt;A144,_xlfn.STDEV.P(IF(A$9:A144=A144,S$7:S144)),""),"")</f>
        <v/>
      </c>
      <c r="P144" s="36" t="str">
        <f t="shared" si="35"/>
        <v/>
      </c>
      <c r="Q144" s="36" t="str">
        <f t="shared" si="36"/>
        <v/>
      </c>
      <c r="R144" s="36" t="str">
        <f t="shared" si="43"/>
        <v/>
      </c>
      <c r="S144" s="37" t="str">
        <f t="shared" si="44"/>
        <v/>
      </c>
      <c r="T144" s="37" t="str">
        <f t="shared" si="37"/>
        <v/>
      </c>
      <c r="U144" s="54"/>
      <c r="V144" s="46"/>
      <c r="W144" s="39" t="str">
        <f t="shared" si="45"/>
        <v/>
      </c>
      <c r="X144" s="38"/>
      <c r="Y144" s="48"/>
      <c r="AB144" s="56">
        <f t="shared" si="46"/>
        <v>1</v>
      </c>
      <c r="AC144" s="52"/>
      <c r="AD144" s="52"/>
      <c r="AE144" s="29" t="str">
        <f>IFERROR(
IF(AND(OR(AC144="C",AC144="c"), VLOOKUP(AF144,[1]Diccionario!B:N,13,0)="C"), "OK",IF(AND(OR(AC144="C",AC144="c"), OR(VLOOKUP(AF144,[1]Diccionario!B:N,13,0)="B", VLOOKUP(AF144,[1]Diccionario!B:N,13,0)="A")), "DEFICIT",IF(
AND(OR(AC144="B", AC144="BPAL"), VLOOKUP(AF144,[1]Diccionario!B:N,13,0)="B"), "OK",IF(AND(OR(AC144="B", AC144="BPAL"), VLOOKUP(AF144,[1]Diccionario!B:N,13,0)="A"), "DEFICIT",IF(AND(OR(AC144="B", AC144="BPAL"), VLOOKUP(AF144,[1]Diccionario!B:N,13,0)="C"), "SOBREOFERTA",IF(AND(AC144="A", VLOOKUP(AF144,[1]Diccionario!B:N,13,0)="A"), "OK",IF(
AND(AC144="A", OR(VLOOKUP(AF144,[1]Diccionario!B:N,13,0)="B", VLOOKUP(AF144,[1]Diccionario!B:N,13,0)="C")), "SOBREOFERTA",""
))))))),"")</f>
        <v/>
      </c>
      <c r="AF144" s="48"/>
      <c r="AG144" s="53"/>
      <c r="AH144" s="54"/>
      <c r="AI144" s="55" t="str">
        <f t="shared" si="47"/>
        <v/>
      </c>
      <c r="AJ144" s="46"/>
      <c r="AK144" s="34" t="e">
        <f>IF(AB144&lt;&gt;"",HLOOKUP(VALUE(TEXT(AH144,"h:mm:ss")),IF($C$6="Laboral",[1]Input!$A$4:$Y$227,IF($C$6="Sábado",[1]Input!$A$231:$Y$452,[1]Input!$A$456:$Y$656)),VLOOKUP($C$4,[1]Input!$AG$2:$AI$99,3,0)+IF(AD$5="Ida",0,1),1),"")</f>
        <v>#N/A</v>
      </c>
      <c r="AL144" s="34" t="str">
        <f>IF(AB145&lt;&gt;AB144,AVERAGEIF(AB$9:AB144,AB144,AK$9:AK144),"")</f>
        <v/>
      </c>
      <c r="AM144" s="35" t="str">
        <f>IFERROR(IF(AB145&lt;&gt;AB144,AVERAGEIF(AB$9:AB144,AB144,AT$9:AT144),""),"")</f>
        <v/>
      </c>
      <c r="AN144" s="35" t="str">
        <f>IFERROR(IF(AB145&lt;&gt;AB144,AVERAGEIF(AB$9:AB144,AB144,AU$9:AU144),""),"")</f>
        <v/>
      </c>
      <c r="AO144" s="35" t="str" cm="1">
        <f t="array" ref="AO144">IFERROR(IF(AB145&lt;&gt;AB144,_xlfn.STDEV.P(IF(AB$9:AB144=AB144,AU$9:AU144)),""),"")</f>
        <v/>
      </c>
      <c r="AP144" s="35" t="str" cm="1">
        <f t="array" ref="AP144">IFERROR(IF(AB145&lt;&gt;AB144,_xlfn.STDEV.P(IF(AB$9:AB144=AB144,AT$9:AT144)),""),"")</f>
        <v/>
      </c>
      <c r="AQ144" s="36" t="str">
        <f t="shared" si="38"/>
        <v/>
      </c>
      <c r="AR144" s="36" t="str">
        <f t="shared" si="39"/>
        <v/>
      </c>
      <c r="AS144" s="36" t="str">
        <f t="shared" si="48"/>
        <v/>
      </c>
      <c r="AT144" s="37" t="str">
        <f t="shared" si="40"/>
        <v/>
      </c>
      <c r="AU144" s="37" t="str">
        <f t="shared" si="41"/>
        <v/>
      </c>
      <c r="AV144" s="54"/>
      <c r="AW144" s="46"/>
      <c r="AX144" s="39" t="str" cm="1">
        <f t="array" ref="AX144">IF(AH144&lt;&gt;"",IF(AND(AX142:AX143&lt;&gt;"IE",AQ144&lt;&gt;0,AS144&lt;&gt;""),IF(IFERROR((AQ144/AS144),0) &lt;=1,IFERROR(AQ144/AS144,""),1),""),"")</f>
        <v/>
      </c>
      <c r="AY144" s="46"/>
      <c r="AZ144" s="57"/>
    </row>
    <row r="145" spans="1:52" ht="15.5" x14ac:dyDescent="0.35">
      <c r="A145" s="51">
        <f t="shared" si="49"/>
        <v>1</v>
      </c>
      <c r="B145" s="52"/>
      <c r="C145" s="52"/>
      <c r="D145" s="29" t="str">
        <f>IFERROR(
IF(AND(OR(Planilla!B145="C",Planilla!B145="c"), VLOOKUP(E145,[1]Diccionario!B:N,13,0)="C"), "OK",IF(AND(OR(Planilla!B145="C",Planilla!B145="c"), OR(VLOOKUP(E145,[1]Diccionario!B:N,13,0)="B", VLOOKUP(E145,[1]Diccionario!B:N,13,0)="A")), "DEFICIT",IF(
AND(OR(Planilla!B145="B", Planilla!B145="BPAL"), VLOOKUP(E145,[1]Diccionario!B:N,13,0)="B"), "OK",IF(AND(OR(Planilla!B145="B", Planilla!B145="BPAL"), VLOOKUP(E145,[1]Diccionario!B:N,13,0)="A"), "DEFICIT",IF(AND(OR(Planilla!B145="B", Planilla!B145="BPAL"), VLOOKUP(E145,[1]Diccionario!B:N,13,0)="C"), "SOBREOFERTA",IF(AND(Planilla!B145="A", VLOOKUP(E145,[1]Diccionario!B:N,13,0)="A"), "OK",IF(
AND(Planilla!B145="A", OR(VLOOKUP(E145,[1]Diccionario!B:N,13,0)="B", VLOOKUP(E145,[1]Diccionario!B:N,13,0)="C")), "SOBREOFERTA",""
))))))),"")</f>
        <v/>
      </c>
      <c r="E145" s="48"/>
      <c r="F145" s="53"/>
      <c r="G145" s="54"/>
      <c r="H145" s="55" t="str">
        <f t="shared" si="42"/>
        <v/>
      </c>
      <c r="I145" s="35"/>
      <c r="J145" s="34" t="e">
        <f>IF(A145&lt;&gt;"",HLOOKUP(VALUE(TEXT(G145,"h:mm:ss")),IF($C$6="Laboral",[1]Input!$A$4:$Y$227,IF($C$6="Sábado",[1]Input!$A$231:$Y$452,[1]Input!$A$456:$Y$656)),VLOOKUP($C$4,[1]Input!$AG$2:$AI$99,3,0)+IF(C$5="Ida",0,1),1),"")</f>
        <v>#N/A</v>
      </c>
      <c r="K145" s="34" t="str">
        <f>IF(A146&lt;&gt;A145,AVERAGEIF(A$9:A145,A145,J$13:J145),"")</f>
        <v/>
      </c>
      <c r="L145" s="35" t="str">
        <f>IFERROR(IF(A146&lt;&gt;A145,AVERAGEIF(A$9:A145,A145,S$13:S145),""),"")</f>
        <v/>
      </c>
      <c r="M145" s="35" t="str">
        <f>IFERROR(IF(A146&lt;&gt;A145,AVERAGEIF(A$9:A145,A145,T$8:T145),""),"")</f>
        <v/>
      </c>
      <c r="N145" s="35" t="str" cm="1">
        <f t="array" ref="N145">IFERROR(IF(A146&lt;&gt;A145,_xlfn.STDEV.P(IF(A$9:A145=A145,T$7:T145)),""),"")</f>
        <v/>
      </c>
      <c r="O145" s="35" t="str" cm="1">
        <f t="array" ref="O145">IFERROR(IF(A146&lt;&gt;A145,_xlfn.STDEV.P(IF(A$9:A145=A145,S$7:S145)),""),"")</f>
        <v/>
      </c>
      <c r="P145" s="36" t="str">
        <f t="shared" si="35"/>
        <v/>
      </c>
      <c r="Q145" s="36" t="str">
        <f t="shared" si="36"/>
        <v/>
      </c>
      <c r="R145" s="36" t="str">
        <f t="shared" si="43"/>
        <v/>
      </c>
      <c r="S145" s="37" t="str">
        <f t="shared" si="44"/>
        <v/>
      </c>
      <c r="T145" s="37" t="str">
        <f t="shared" si="37"/>
        <v/>
      </c>
      <c r="U145" s="54"/>
      <c r="V145" s="46"/>
      <c r="W145" s="39" t="str">
        <f t="shared" si="45"/>
        <v/>
      </c>
      <c r="X145" s="38"/>
      <c r="Y145" s="48"/>
      <c r="AB145" s="56">
        <f t="shared" si="46"/>
        <v>1</v>
      </c>
      <c r="AC145" s="52"/>
      <c r="AD145" s="52"/>
      <c r="AE145" s="29" t="str">
        <f>IFERROR(
IF(AND(OR(AC145="C",AC145="c"), VLOOKUP(AF145,[1]Diccionario!B:N,13,0)="C"), "OK",IF(AND(OR(AC145="C",AC145="c"), OR(VLOOKUP(AF145,[1]Diccionario!B:N,13,0)="B", VLOOKUP(AF145,[1]Diccionario!B:N,13,0)="A")), "DEFICIT",IF(
AND(OR(AC145="B", AC145="BPAL"), VLOOKUP(AF145,[1]Diccionario!B:N,13,0)="B"), "OK",IF(AND(OR(AC145="B", AC145="BPAL"), VLOOKUP(AF145,[1]Diccionario!B:N,13,0)="A"), "DEFICIT",IF(AND(OR(AC145="B", AC145="BPAL"), VLOOKUP(AF145,[1]Diccionario!B:N,13,0)="C"), "SOBREOFERTA",IF(AND(AC145="A", VLOOKUP(AF145,[1]Diccionario!B:N,13,0)="A"), "OK",IF(
AND(AC145="A", OR(VLOOKUP(AF145,[1]Diccionario!B:N,13,0)="B", VLOOKUP(AF145,[1]Diccionario!B:N,13,0)="C")), "SOBREOFERTA",""
))))))),"")</f>
        <v/>
      </c>
      <c r="AF145" s="48"/>
      <c r="AG145" s="53"/>
      <c r="AH145" s="54"/>
      <c r="AI145" s="55" t="str">
        <f t="shared" si="47"/>
        <v/>
      </c>
      <c r="AJ145" s="46"/>
      <c r="AK145" s="34" t="e">
        <f>IF(AB145&lt;&gt;"",HLOOKUP(VALUE(TEXT(AH145,"h:mm:ss")),IF($C$6="Laboral",[1]Input!$A$4:$Y$227,IF($C$6="Sábado",[1]Input!$A$231:$Y$452,[1]Input!$A$456:$Y$656)),VLOOKUP($C$4,[1]Input!$AG$2:$AI$99,3,0)+IF(AD$5="Ida",0,1),1),"")</f>
        <v>#N/A</v>
      </c>
      <c r="AL145" s="34" t="str">
        <f>IF(AB146&lt;&gt;AB145,AVERAGEIF(AB$9:AB145,AB145,AK$9:AK145),"")</f>
        <v/>
      </c>
      <c r="AM145" s="35" t="str">
        <f>IFERROR(IF(AB146&lt;&gt;AB145,AVERAGEIF(AB$9:AB145,AB145,AT$9:AT145),""),"")</f>
        <v/>
      </c>
      <c r="AN145" s="35" t="str">
        <f>IFERROR(IF(AB146&lt;&gt;AB145,AVERAGEIF(AB$9:AB145,AB145,AU$9:AU145),""),"")</f>
        <v/>
      </c>
      <c r="AO145" s="35" t="str" cm="1">
        <f t="array" ref="AO145">IFERROR(IF(AB146&lt;&gt;AB145,_xlfn.STDEV.P(IF(AB$9:AB145=AB145,AU$9:AU145)),""),"")</f>
        <v/>
      </c>
      <c r="AP145" s="35" t="str" cm="1">
        <f t="array" ref="AP145">IFERROR(IF(AB146&lt;&gt;AB145,_xlfn.STDEV.P(IF(AB$9:AB145=AB145,AT$9:AT145)),""),"")</f>
        <v/>
      </c>
      <c r="AQ145" s="36" t="str">
        <f t="shared" si="38"/>
        <v/>
      </c>
      <c r="AR145" s="36" t="str">
        <f t="shared" si="39"/>
        <v/>
      </c>
      <c r="AS145" s="36" t="str">
        <f t="shared" si="48"/>
        <v/>
      </c>
      <c r="AT145" s="37" t="str">
        <f t="shared" si="40"/>
        <v/>
      </c>
      <c r="AU145" s="37" t="str">
        <f t="shared" si="41"/>
        <v/>
      </c>
      <c r="AV145" s="54"/>
      <c r="AW145" s="46"/>
      <c r="AX145" s="39" t="str" cm="1">
        <f t="array" ref="AX145">IF(AH145&lt;&gt;"",IF(AND(AX143:AX144&lt;&gt;"IE",AQ145&lt;&gt;0,AS145&lt;&gt;""),IF(IFERROR((AQ145/AS145),0) &lt;=1,IFERROR(AQ145/AS145,""),1),""),"")</f>
        <v/>
      </c>
      <c r="AY145" s="46"/>
      <c r="AZ145" s="57"/>
    </row>
    <row r="146" spans="1:52" ht="15.5" x14ac:dyDescent="0.35">
      <c r="A146" s="51">
        <f t="shared" si="49"/>
        <v>1</v>
      </c>
      <c r="B146" s="52"/>
      <c r="C146" s="52"/>
      <c r="D146" s="29" t="str">
        <f>IFERROR(
IF(AND(OR(Planilla!B146="C",Planilla!B146="c"), VLOOKUP(E146,[1]Diccionario!B:N,13,0)="C"), "OK",IF(AND(OR(Planilla!B146="C",Planilla!B146="c"), OR(VLOOKUP(E146,[1]Diccionario!B:N,13,0)="B", VLOOKUP(E146,[1]Diccionario!B:N,13,0)="A")), "DEFICIT",IF(
AND(OR(Planilla!B146="B", Planilla!B146="BPAL"), VLOOKUP(E146,[1]Diccionario!B:N,13,0)="B"), "OK",IF(AND(OR(Planilla!B146="B", Planilla!B146="BPAL"), VLOOKUP(E146,[1]Diccionario!B:N,13,0)="A"), "DEFICIT",IF(AND(OR(Planilla!B146="B", Planilla!B146="BPAL"), VLOOKUP(E146,[1]Diccionario!B:N,13,0)="C"), "SOBREOFERTA",IF(AND(Planilla!B146="A", VLOOKUP(E146,[1]Diccionario!B:N,13,0)="A"), "OK",IF(
AND(Planilla!B146="A", OR(VLOOKUP(E146,[1]Diccionario!B:N,13,0)="B", VLOOKUP(E146,[1]Diccionario!B:N,13,0)="C")), "SOBREOFERTA",""
))))))),"")</f>
        <v/>
      </c>
      <c r="E146" s="48"/>
      <c r="F146" s="53"/>
      <c r="G146" s="54"/>
      <c r="H146" s="55" t="str">
        <f t="shared" si="42"/>
        <v/>
      </c>
      <c r="I146" s="35"/>
      <c r="J146" s="34" t="e">
        <f>IF(A146&lt;&gt;"",HLOOKUP(VALUE(TEXT(G146,"h:mm:ss")),IF($C$6="Laboral",[1]Input!$A$4:$Y$227,IF($C$6="Sábado",[1]Input!$A$231:$Y$452,[1]Input!$A$456:$Y$656)),VLOOKUP($C$4,[1]Input!$AG$2:$AI$99,3,0)+IF(C$5="Ida",0,1),1),"")</f>
        <v>#N/A</v>
      </c>
      <c r="K146" s="34" t="str">
        <f>IF(A147&lt;&gt;A146,AVERAGEIF(A$9:A146,A146,J$13:J146),"")</f>
        <v/>
      </c>
      <c r="L146" s="35" t="str">
        <f>IFERROR(IF(A147&lt;&gt;A146,AVERAGEIF(A$9:A146,A146,S$13:S146),""),"")</f>
        <v/>
      </c>
      <c r="M146" s="35" t="str">
        <f>IFERROR(IF(A147&lt;&gt;A146,AVERAGEIF(A$9:A146,A146,T$8:T146),""),"")</f>
        <v/>
      </c>
      <c r="N146" s="35" t="str" cm="1">
        <f t="array" ref="N146">IFERROR(IF(A147&lt;&gt;A146,_xlfn.STDEV.P(IF(A$9:A146=A146,T$7:T146)),""),"")</f>
        <v/>
      </c>
      <c r="O146" s="35" t="str" cm="1">
        <f t="array" ref="O146">IFERROR(IF(A147&lt;&gt;A146,_xlfn.STDEV.P(IF(A$9:A146=A146,S$7:S146)),""),"")</f>
        <v/>
      </c>
      <c r="P146" s="36" t="str">
        <f t="shared" si="35"/>
        <v/>
      </c>
      <c r="Q146" s="36" t="str">
        <f t="shared" si="36"/>
        <v/>
      </c>
      <c r="R146" s="36" t="str">
        <f t="shared" si="43"/>
        <v/>
      </c>
      <c r="S146" s="37" t="str">
        <f t="shared" si="44"/>
        <v/>
      </c>
      <c r="T146" s="37" t="str">
        <f t="shared" si="37"/>
        <v/>
      </c>
      <c r="U146" s="54"/>
      <c r="V146" s="46"/>
      <c r="W146" s="39" t="str">
        <f t="shared" si="45"/>
        <v/>
      </c>
      <c r="X146" s="38"/>
      <c r="Y146" s="48"/>
      <c r="AB146" s="56">
        <f t="shared" si="46"/>
        <v>1</v>
      </c>
      <c r="AC146" s="52"/>
      <c r="AD146" s="52"/>
      <c r="AE146" s="29" t="str">
        <f>IFERROR(
IF(AND(OR(AC146="C",AC146="c"), VLOOKUP(AF146,[1]Diccionario!B:N,13,0)="C"), "OK",IF(AND(OR(AC146="C",AC146="c"), OR(VLOOKUP(AF146,[1]Diccionario!B:N,13,0)="B", VLOOKUP(AF146,[1]Diccionario!B:N,13,0)="A")), "DEFICIT",IF(
AND(OR(AC146="B", AC146="BPAL"), VLOOKUP(AF146,[1]Diccionario!B:N,13,0)="B"), "OK",IF(AND(OR(AC146="B", AC146="BPAL"), VLOOKUP(AF146,[1]Diccionario!B:N,13,0)="A"), "DEFICIT",IF(AND(OR(AC146="B", AC146="BPAL"), VLOOKUP(AF146,[1]Diccionario!B:N,13,0)="C"), "SOBREOFERTA",IF(AND(AC146="A", VLOOKUP(AF146,[1]Diccionario!B:N,13,0)="A"), "OK",IF(
AND(AC146="A", OR(VLOOKUP(AF146,[1]Diccionario!B:N,13,0)="B", VLOOKUP(AF146,[1]Diccionario!B:N,13,0)="C")), "SOBREOFERTA",""
))))))),"")</f>
        <v/>
      </c>
      <c r="AF146" s="48"/>
      <c r="AG146" s="53"/>
      <c r="AH146" s="54"/>
      <c r="AI146" s="55" t="str">
        <f t="shared" si="47"/>
        <v/>
      </c>
      <c r="AJ146" s="46"/>
      <c r="AK146" s="34" t="e">
        <f>IF(AB146&lt;&gt;"",HLOOKUP(VALUE(TEXT(AH146,"h:mm:ss")),IF($C$6="Laboral",[1]Input!$A$4:$Y$227,IF($C$6="Sábado",[1]Input!$A$231:$Y$452,[1]Input!$A$456:$Y$656)),VLOOKUP($C$4,[1]Input!$AG$2:$AI$99,3,0)+IF(AD$5="Ida",0,1),1),"")</f>
        <v>#N/A</v>
      </c>
      <c r="AL146" s="34" t="str">
        <f>IF(AB147&lt;&gt;AB146,AVERAGEIF(AB$9:AB146,AB146,AK$9:AK146),"")</f>
        <v/>
      </c>
      <c r="AM146" s="35" t="str">
        <f>IFERROR(IF(AB147&lt;&gt;AB146,AVERAGEIF(AB$9:AB146,AB146,AT$9:AT146),""),"")</f>
        <v/>
      </c>
      <c r="AN146" s="35" t="str">
        <f>IFERROR(IF(AB147&lt;&gt;AB146,AVERAGEIF(AB$9:AB146,AB146,AU$9:AU146),""),"")</f>
        <v/>
      </c>
      <c r="AO146" s="35" t="str" cm="1">
        <f t="array" ref="AO146">IFERROR(IF(AB147&lt;&gt;AB146,_xlfn.STDEV.P(IF(AB$9:AB146=AB146,AU$9:AU146)),""),"")</f>
        <v/>
      </c>
      <c r="AP146" s="35" t="str" cm="1">
        <f t="array" ref="AP146">IFERROR(IF(AB147&lt;&gt;AB146,_xlfn.STDEV.P(IF(AB$9:AB146=AB146,AT$9:AT146)),""),"")</f>
        <v/>
      </c>
      <c r="AQ146" s="36" t="str">
        <f t="shared" si="38"/>
        <v/>
      </c>
      <c r="AR146" s="36" t="str">
        <f t="shared" si="39"/>
        <v/>
      </c>
      <c r="AS146" s="36" t="str">
        <f t="shared" si="48"/>
        <v/>
      </c>
      <c r="AT146" s="37" t="str">
        <f t="shared" si="40"/>
        <v/>
      </c>
      <c r="AU146" s="37" t="str">
        <f t="shared" si="41"/>
        <v/>
      </c>
      <c r="AV146" s="54"/>
      <c r="AW146" s="46"/>
      <c r="AX146" s="39" t="str" cm="1">
        <f t="array" ref="AX146">IF(AH146&lt;&gt;"",IF(AND(AX144:AX145&lt;&gt;"IE",AQ146&lt;&gt;0,AS146&lt;&gt;""),IF(IFERROR((AQ146/AS146),0) &lt;=1,IFERROR(AQ146/AS146,""),1),""),"")</f>
        <v/>
      </c>
      <c r="AY146" s="46"/>
      <c r="AZ146" s="57"/>
    </row>
    <row r="147" spans="1:52" ht="15.5" x14ac:dyDescent="0.35">
      <c r="A147" s="51">
        <f t="shared" si="49"/>
        <v>1</v>
      </c>
      <c r="B147" s="52"/>
      <c r="C147" s="52"/>
      <c r="D147" s="29" t="str">
        <f>IFERROR(
IF(AND(OR(Planilla!B147="C",Planilla!B147="c"), VLOOKUP(E147,[1]Diccionario!B:N,13,0)="C"), "OK",IF(AND(OR(Planilla!B147="C",Planilla!B147="c"), OR(VLOOKUP(E147,[1]Diccionario!B:N,13,0)="B", VLOOKUP(E147,[1]Diccionario!B:N,13,0)="A")), "DEFICIT",IF(
AND(OR(Planilla!B147="B", Planilla!B147="BPAL"), VLOOKUP(E147,[1]Diccionario!B:N,13,0)="B"), "OK",IF(AND(OR(Planilla!B147="B", Planilla!B147="BPAL"), VLOOKUP(E147,[1]Diccionario!B:N,13,0)="A"), "DEFICIT",IF(AND(OR(Planilla!B147="B", Planilla!B147="BPAL"), VLOOKUP(E147,[1]Diccionario!B:N,13,0)="C"), "SOBREOFERTA",IF(AND(Planilla!B147="A", VLOOKUP(E147,[1]Diccionario!B:N,13,0)="A"), "OK",IF(
AND(Planilla!B147="A", OR(VLOOKUP(E147,[1]Diccionario!B:N,13,0)="B", VLOOKUP(E147,[1]Diccionario!B:N,13,0)="C")), "SOBREOFERTA",""
))))))),"")</f>
        <v/>
      </c>
      <c r="E147" s="48"/>
      <c r="F147" s="53"/>
      <c r="G147" s="54"/>
      <c r="H147" s="55" t="str">
        <f t="shared" si="42"/>
        <v/>
      </c>
      <c r="I147" s="35"/>
      <c r="J147" s="34" t="e">
        <f>IF(A147&lt;&gt;"",HLOOKUP(VALUE(TEXT(G147,"h:mm:ss")),IF($C$6="Laboral",[1]Input!$A$4:$Y$227,IF($C$6="Sábado",[1]Input!$A$231:$Y$452,[1]Input!$A$456:$Y$656)),VLOOKUP($C$4,[1]Input!$AG$2:$AI$99,3,0)+IF(C$5="Ida",0,1),1),"")</f>
        <v>#N/A</v>
      </c>
      <c r="K147" s="34" t="str">
        <f>IF(A148&lt;&gt;A147,AVERAGEIF(A$9:A147,A147,J$13:J147),"")</f>
        <v/>
      </c>
      <c r="L147" s="35" t="str">
        <f>IFERROR(IF(A148&lt;&gt;A147,AVERAGEIF(A$9:A147,A147,S$13:S147),""),"")</f>
        <v/>
      </c>
      <c r="M147" s="35" t="str">
        <f>IFERROR(IF(A148&lt;&gt;A147,AVERAGEIF(A$9:A147,A147,T$8:T147),""),"")</f>
        <v/>
      </c>
      <c r="N147" s="35" t="str" cm="1">
        <f t="array" ref="N147">IFERROR(IF(A148&lt;&gt;A147,_xlfn.STDEV.P(IF(A$9:A147=A147,T$7:T147)),""),"")</f>
        <v/>
      </c>
      <c r="O147" s="35" t="str" cm="1">
        <f t="array" ref="O147">IFERROR(IF(A148&lt;&gt;A147,_xlfn.STDEV.P(IF(A$9:A147=A147,S$7:S147)),""),"")</f>
        <v/>
      </c>
      <c r="P147" s="36" t="str">
        <f t="shared" si="35"/>
        <v/>
      </c>
      <c r="Q147" s="36" t="str">
        <f t="shared" si="36"/>
        <v/>
      </c>
      <c r="R147" s="36" t="str">
        <f t="shared" si="43"/>
        <v/>
      </c>
      <c r="S147" s="37" t="str">
        <f t="shared" si="44"/>
        <v/>
      </c>
      <c r="T147" s="37" t="str">
        <f t="shared" si="37"/>
        <v/>
      </c>
      <c r="U147" s="54"/>
      <c r="V147" s="46"/>
      <c r="W147" s="39" t="str">
        <f t="shared" si="45"/>
        <v/>
      </c>
      <c r="X147" s="38"/>
      <c r="Y147" s="48"/>
      <c r="AB147" s="56">
        <f t="shared" si="46"/>
        <v>1</v>
      </c>
      <c r="AC147" s="52"/>
      <c r="AD147" s="52"/>
      <c r="AE147" s="29" t="str">
        <f>IFERROR(
IF(AND(OR(AC147="C",AC147="c"), VLOOKUP(AF147,[1]Diccionario!B:N,13,0)="C"), "OK",IF(AND(OR(AC147="C",AC147="c"), OR(VLOOKUP(AF147,[1]Diccionario!B:N,13,0)="B", VLOOKUP(AF147,[1]Diccionario!B:N,13,0)="A")), "DEFICIT",IF(
AND(OR(AC147="B", AC147="BPAL"), VLOOKUP(AF147,[1]Diccionario!B:N,13,0)="B"), "OK",IF(AND(OR(AC147="B", AC147="BPAL"), VLOOKUP(AF147,[1]Diccionario!B:N,13,0)="A"), "DEFICIT",IF(AND(OR(AC147="B", AC147="BPAL"), VLOOKUP(AF147,[1]Diccionario!B:N,13,0)="C"), "SOBREOFERTA",IF(AND(AC147="A", VLOOKUP(AF147,[1]Diccionario!B:N,13,0)="A"), "OK",IF(
AND(AC147="A", OR(VLOOKUP(AF147,[1]Diccionario!B:N,13,0)="B", VLOOKUP(AF147,[1]Diccionario!B:N,13,0)="C")), "SOBREOFERTA",""
))))))),"")</f>
        <v/>
      </c>
      <c r="AF147" s="48"/>
      <c r="AG147" s="53"/>
      <c r="AH147" s="54"/>
      <c r="AI147" s="55" t="str">
        <f t="shared" si="47"/>
        <v/>
      </c>
      <c r="AJ147" s="46"/>
      <c r="AK147" s="34" t="e">
        <f>IF(AB147&lt;&gt;"",HLOOKUP(VALUE(TEXT(AH147,"h:mm:ss")),IF($C$6="Laboral",[1]Input!$A$4:$Y$227,IF($C$6="Sábado",[1]Input!$A$231:$Y$452,[1]Input!$A$456:$Y$656)),VLOOKUP($C$4,[1]Input!$AG$2:$AI$99,3,0)+IF(AD$5="Ida",0,1),1),"")</f>
        <v>#N/A</v>
      </c>
      <c r="AL147" s="34" t="str">
        <f>IF(AB148&lt;&gt;AB147,AVERAGEIF(AB$9:AB147,AB147,AK$9:AK147),"")</f>
        <v/>
      </c>
      <c r="AM147" s="35" t="str">
        <f>IFERROR(IF(AB148&lt;&gt;AB147,AVERAGEIF(AB$9:AB147,AB147,AT$9:AT147),""),"")</f>
        <v/>
      </c>
      <c r="AN147" s="35" t="str">
        <f>IFERROR(IF(AB148&lt;&gt;AB147,AVERAGEIF(AB$9:AB147,AB147,AU$9:AU147),""),"")</f>
        <v/>
      </c>
      <c r="AO147" s="35" t="str" cm="1">
        <f t="array" ref="AO147">IFERROR(IF(AB148&lt;&gt;AB147,_xlfn.STDEV.P(IF(AB$9:AB147=AB147,AU$9:AU147)),""),"")</f>
        <v/>
      </c>
      <c r="AP147" s="35" t="str" cm="1">
        <f t="array" ref="AP147">IFERROR(IF(AB148&lt;&gt;AB147,_xlfn.STDEV.P(IF(AB$9:AB147=AB147,AT$9:AT147)),""),"")</f>
        <v/>
      </c>
      <c r="AQ147" s="36" t="str">
        <f t="shared" si="38"/>
        <v/>
      </c>
      <c r="AR147" s="36" t="str">
        <f t="shared" si="39"/>
        <v/>
      </c>
      <c r="AS147" s="36" t="str">
        <f t="shared" si="48"/>
        <v/>
      </c>
      <c r="AT147" s="37" t="str">
        <f t="shared" si="40"/>
        <v/>
      </c>
      <c r="AU147" s="37" t="str">
        <f t="shared" si="41"/>
        <v/>
      </c>
      <c r="AV147" s="54"/>
      <c r="AW147" s="46"/>
      <c r="AX147" s="39" t="str" cm="1">
        <f t="array" ref="AX147">IF(AH147&lt;&gt;"",IF(AND(AX145:AX146&lt;&gt;"IE",AQ147&lt;&gt;0,AS147&lt;&gt;""),IF(IFERROR((AQ147/AS147),0) &lt;=1,IFERROR(AQ147/AS147,""),1),""),"")</f>
        <v/>
      </c>
      <c r="AY147" s="46"/>
      <c r="AZ147" s="57"/>
    </row>
    <row r="148" spans="1:52" ht="15.5" x14ac:dyDescent="0.35">
      <c r="A148" s="51">
        <f t="shared" si="49"/>
        <v>1</v>
      </c>
      <c r="B148" s="52"/>
      <c r="C148" s="52"/>
      <c r="D148" s="29" t="str">
        <f>IFERROR(
IF(AND(OR(Planilla!B148="C",Planilla!B148="c"), VLOOKUP(E148,[1]Diccionario!B:N,13,0)="C"), "OK",IF(AND(OR(Planilla!B148="C",Planilla!B148="c"), OR(VLOOKUP(E148,[1]Diccionario!B:N,13,0)="B", VLOOKUP(E148,[1]Diccionario!B:N,13,0)="A")), "DEFICIT",IF(
AND(OR(Planilla!B148="B", Planilla!B148="BPAL"), VLOOKUP(E148,[1]Diccionario!B:N,13,0)="B"), "OK",IF(AND(OR(Planilla!B148="B", Planilla!B148="BPAL"), VLOOKUP(E148,[1]Diccionario!B:N,13,0)="A"), "DEFICIT",IF(AND(OR(Planilla!B148="B", Planilla!B148="BPAL"), VLOOKUP(E148,[1]Diccionario!B:N,13,0)="C"), "SOBREOFERTA",IF(AND(Planilla!B148="A", VLOOKUP(E148,[1]Diccionario!B:N,13,0)="A"), "OK",IF(
AND(Planilla!B148="A", OR(VLOOKUP(E148,[1]Diccionario!B:N,13,0)="B", VLOOKUP(E148,[1]Diccionario!B:N,13,0)="C")), "SOBREOFERTA",""
))))))),"")</f>
        <v/>
      </c>
      <c r="E148" s="48"/>
      <c r="F148" s="53"/>
      <c r="G148" s="54"/>
      <c r="H148" s="55" t="str">
        <f t="shared" si="42"/>
        <v/>
      </c>
      <c r="I148" s="35"/>
      <c r="J148" s="34" t="e">
        <f>IF(A148&lt;&gt;"",HLOOKUP(VALUE(TEXT(G148,"h:mm:ss")),IF($C$6="Laboral",[1]Input!$A$4:$Y$227,IF($C$6="Sábado",[1]Input!$A$231:$Y$452,[1]Input!$A$456:$Y$656)),VLOOKUP($C$4,[1]Input!$AG$2:$AI$99,3,0)+IF(C$5="Ida",0,1),1),"")</f>
        <v>#N/A</v>
      </c>
      <c r="K148" s="34" t="str">
        <f>IF(A149&lt;&gt;A148,AVERAGEIF(A$9:A148,A148,J$13:J148),"")</f>
        <v/>
      </c>
      <c r="L148" s="35" t="str">
        <f>IFERROR(IF(A149&lt;&gt;A148,AVERAGEIF(A$9:A148,A148,S$13:S148),""),"")</f>
        <v/>
      </c>
      <c r="M148" s="35" t="str">
        <f>IFERROR(IF(A149&lt;&gt;A148,AVERAGEIF(A$9:A148,A148,T$8:T148),""),"")</f>
        <v/>
      </c>
      <c r="N148" s="35" t="str" cm="1">
        <f t="array" ref="N148">IFERROR(IF(A149&lt;&gt;A148,_xlfn.STDEV.P(IF(A$9:A148=A148,T$7:T148)),""),"")</f>
        <v/>
      </c>
      <c r="O148" s="35" t="str" cm="1">
        <f t="array" ref="O148">IFERROR(IF(A149&lt;&gt;A148,_xlfn.STDEV.P(IF(A$9:A148=A148,S$7:S148)),""),"")</f>
        <v/>
      </c>
      <c r="P148" s="36" t="str">
        <f t="shared" si="35"/>
        <v/>
      </c>
      <c r="Q148" s="36" t="str">
        <f t="shared" si="36"/>
        <v/>
      </c>
      <c r="R148" s="36" t="str">
        <f t="shared" si="43"/>
        <v/>
      </c>
      <c r="S148" s="37" t="str">
        <f t="shared" si="44"/>
        <v/>
      </c>
      <c r="T148" s="37" t="str">
        <f t="shared" si="37"/>
        <v/>
      </c>
      <c r="U148" s="54"/>
      <c r="V148" s="46"/>
      <c r="W148" s="39" t="str">
        <f t="shared" si="45"/>
        <v/>
      </c>
      <c r="X148" s="38"/>
      <c r="Y148" s="48"/>
      <c r="AB148" s="56">
        <f t="shared" si="46"/>
        <v>1</v>
      </c>
      <c r="AC148" s="52"/>
      <c r="AD148" s="52"/>
      <c r="AE148" s="29" t="str">
        <f>IFERROR(
IF(AND(OR(AC148="C",AC148="c"), VLOOKUP(AF148,[1]Diccionario!B:N,13,0)="C"), "OK",IF(AND(OR(AC148="C",AC148="c"), OR(VLOOKUP(AF148,[1]Diccionario!B:N,13,0)="B", VLOOKUP(AF148,[1]Diccionario!B:N,13,0)="A")), "DEFICIT",IF(
AND(OR(AC148="B", AC148="BPAL"), VLOOKUP(AF148,[1]Diccionario!B:N,13,0)="B"), "OK",IF(AND(OR(AC148="B", AC148="BPAL"), VLOOKUP(AF148,[1]Diccionario!B:N,13,0)="A"), "DEFICIT",IF(AND(OR(AC148="B", AC148="BPAL"), VLOOKUP(AF148,[1]Diccionario!B:N,13,0)="C"), "SOBREOFERTA",IF(AND(AC148="A", VLOOKUP(AF148,[1]Diccionario!B:N,13,0)="A"), "OK",IF(
AND(AC148="A", OR(VLOOKUP(AF148,[1]Diccionario!B:N,13,0)="B", VLOOKUP(AF148,[1]Diccionario!B:N,13,0)="C")), "SOBREOFERTA",""
))))))),"")</f>
        <v/>
      </c>
      <c r="AF148" s="48"/>
      <c r="AG148" s="53"/>
      <c r="AH148" s="54"/>
      <c r="AI148" s="55" t="str">
        <f t="shared" si="47"/>
        <v/>
      </c>
      <c r="AJ148" s="46"/>
      <c r="AK148" s="34" t="e">
        <f>IF(AB148&lt;&gt;"",HLOOKUP(VALUE(TEXT(AH148,"h:mm:ss")),IF($C$6="Laboral",[1]Input!$A$4:$Y$227,IF($C$6="Sábado",[1]Input!$A$231:$Y$452,[1]Input!$A$456:$Y$656)),VLOOKUP($C$4,[1]Input!$AG$2:$AI$99,3,0)+IF(AD$5="Ida",0,1),1),"")</f>
        <v>#N/A</v>
      </c>
      <c r="AL148" s="34" t="str">
        <f>IF(AB149&lt;&gt;AB148,AVERAGEIF(AB$9:AB148,AB148,AK$9:AK148),"")</f>
        <v/>
      </c>
      <c r="AM148" s="35" t="str">
        <f>IFERROR(IF(AB149&lt;&gt;AB148,AVERAGEIF(AB$9:AB148,AB148,AT$9:AT148),""),"")</f>
        <v/>
      </c>
      <c r="AN148" s="35" t="str">
        <f>IFERROR(IF(AB149&lt;&gt;AB148,AVERAGEIF(AB$9:AB148,AB148,AU$9:AU148),""),"")</f>
        <v/>
      </c>
      <c r="AO148" s="35" t="str" cm="1">
        <f t="array" ref="AO148">IFERROR(IF(AB149&lt;&gt;AB148,_xlfn.STDEV.P(IF(AB$9:AB148=AB148,AU$9:AU148)),""),"")</f>
        <v/>
      </c>
      <c r="AP148" s="35" t="str" cm="1">
        <f t="array" ref="AP148">IFERROR(IF(AB149&lt;&gt;AB148,_xlfn.STDEV.P(IF(AB$9:AB148=AB148,AT$9:AT148)),""),"")</f>
        <v/>
      </c>
      <c r="AQ148" s="36" t="str">
        <f t="shared" si="38"/>
        <v/>
      </c>
      <c r="AR148" s="36" t="str">
        <f t="shared" si="39"/>
        <v/>
      </c>
      <c r="AS148" s="36" t="str">
        <f t="shared" si="48"/>
        <v/>
      </c>
      <c r="AT148" s="37" t="str">
        <f t="shared" si="40"/>
        <v/>
      </c>
      <c r="AU148" s="37" t="str">
        <f t="shared" si="41"/>
        <v/>
      </c>
      <c r="AV148" s="54"/>
      <c r="AW148" s="46"/>
      <c r="AX148" s="39" t="str" cm="1">
        <f t="array" ref="AX148">IF(AH148&lt;&gt;"",IF(AND(AX146:AX147&lt;&gt;"IE",AQ148&lt;&gt;0,AS148&lt;&gt;""),IF(IFERROR((AQ148/AS148),0) &lt;=1,IFERROR(AQ148/AS148,""),1),""),"")</f>
        <v/>
      </c>
      <c r="AY148" s="46"/>
      <c r="AZ148" s="57"/>
    </row>
    <row r="149" spans="1:52" ht="15.5" x14ac:dyDescent="0.35">
      <c r="A149" s="51">
        <f t="shared" si="49"/>
        <v>1</v>
      </c>
      <c r="B149" s="52"/>
      <c r="C149" s="52"/>
      <c r="D149" s="29" t="str">
        <f>IFERROR(
IF(AND(OR(Planilla!B149="C",Planilla!B149="c"), VLOOKUP(E149,[1]Diccionario!B:N,13,0)="C"), "OK",IF(AND(OR(Planilla!B149="C",Planilla!B149="c"), OR(VLOOKUP(E149,[1]Diccionario!B:N,13,0)="B", VLOOKUP(E149,[1]Diccionario!B:N,13,0)="A")), "DEFICIT",IF(
AND(OR(Planilla!B149="B", Planilla!B149="BPAL"), VLOOKUP(E149,[1]Diccionario!B:N,13,0)="B"), "OK",IF(AND(OR(Planilla!B149="B", Planilla!B149="BPAL"), VLOOKUP(E149,[1]Diccionario!B:N,13,0)="A"), "DEFICIT",IF(AND(OR(Planilla!B149="B", Planilla!B149="BPAL"), VLOOKUP(E149,[1]Diccionario!B:N,13,0)="C"), "SOBREOFERTA",IF(AND(Planilla!B149="A", VLOOKUP(E149,[1]Diccionario!B:N,13,0)="A"), "OK",IF(
AND(Planilla!B149="A", OR(VLOOKUP(E149,[1]Diccionario!B:N,13,0)="B", VLOOKUP(E149,[1]Diccionario!B:N,13,0)="C")), "SOBREOFERTA",""
))))))),"")</f>
        <v/>
      </c>
      <c r="E149" s="48"/>
      <c r="F149" s="53"/>
      <c r="G149" s="54"/>
      <c r="H149" s="55" t="str">
        <f t="shared" si="42"/>
        <v/>
      </c>
      <c r="I149" s="35"/>
      <c r="J149" s="34" t="e">
        <f>IF(A149&lt;&gt;"",HLOOKUP(VALUE(TEXT(G149,"h:mm:ss")),IF($C$6="Laboral",[1]Input!$A$4:$Y$227,IF($C$6="Sábado",[1]Input!$A$231:$Y$452,[1]Input!$A$456:$Y$656)),VLOOKUP($C$4,[1]Input!$AG$2:$AI$99,3,0)+IF(C$5="Ida",0,1),1),"")</f>
        <v>#N/A</v>
      </c>
      <c r="K149" s="34" t="str">
        <f>IF(A150&lt;&gt;A149,AVERAGEIF(A$9:A149,A149,J$13:J149),"")</f>
        <v/>
      </c>
      <c r="L149" s="35" t="str">
        <f>IFERROR(IF(A150&lt;&gt;A149,AVERAGEIF(A$9:A149,A149,S$13:S149),""),"")</f>
        <v/>
      </c>
      <c r="M149" s="35" t="str">
        <f>IFERROR(IF(A150&lt;&gt;A149,AVERAGEIF(A$9:A149,A149,T$8:T149),""),"")</f>
        <v/>
      </c>
      <c r="N149" s="35" t="str" cm="1">
        <f t="array" ref="N149">IFERROR(IF(A150&lt;&gt;A149,_xlfn.STDEV.P(IF(A$9:A149=A149,T$7:T149)),""),"")</f>
        <v/>
      </c>
      <c r="O149" s="35" t="str" cm="1">
        <f t="array" ref="O149">IFERROR(IF(A150&lt;&gt;A149,_xlfn.STDEV.P(IF(A$9:A149=A149,S$7:S149)),""),"")</f>
        <v/>
      </c>
      <c r="P149" s="36" t="str">
        <f t="shared" si="35"/>
        <v/>
      </c>
      <c r="Q149" s="36" t="str">
        <f t="shared" si="36"/>
        <v/>
      </c>
      <c r="R149" s="36" t="str">
        <f t="shared" si="43"/>
        <v/>
      </c>
      <c r="S149" s="37" t="str">
        <f t="shared" si="44"/>
        <v/>
      </c>
      <c r="T149" s="37" t="str">
        <f t="shared" si="37"/>
        <v/>
      </c>
      <c r="U149" s="54"/>
      <c r="V149" s="46"/>
      <c r="W149" s="39" t="str">
        <f t="shared" si="45"/>
        <v/>
      </c>
      <c r="X149" s="38"/>
      <c r="Y149" s="48"/>
      <c r="AB149" s="56">
        <f t="shared" si="46"/>
        <v>1</v>
      </c>
      <c r="AC149" s="52"/>
      <c r="AD149" s="52"/>
      <c r="AE149" s="29" t="str">
        <f>IFERROR(
IF(AND(OR(AC149="C",AC149="c"), VLOOKUP(AF149,[1]Diccionario!B:N,13,0)="C"), "OK",IF(AND(OR(AC149="C",AC149="c"), OR(VLOOKUP(AF149,[1]Diccionario!B:N,13,0)="B", VLOOKUP(AF149,[1]Diccionario!B:N,13,0)="A")), "DEFICIT",IF(
AND(OR(AC149="B", AC149="BPAL"), VLOOKUP(AF149,[1]Diccionario!B:N,13,0)="B"), "OK",IF(AND(OR(AC149="B", AC149="BPAL"), VLOOKUP(AF149,[1]Diccionario!B:N,13,0)="A"), "DEFICIT",IF(AND(OR(AC149="B", AC149="BPAL"), VLOOKUP(AF149,[1]Diccionario!B:N,13,0)="C"), "SOBREOFERTA",IF(AND(AC149="A", VLOOKUP(AF149,[1]Diccionario!B:N,13,0)="A"), "OK",IF(
AND(AC149="A", OR(VLOOKUP(AF149,[1]Diccionario!B:N,13,0)="B", VLOOKUP(AF149,[1]Diccionario!B:N,13,0)="C")), "SOBREOFERTA",""
))))))),"")</f>
        <v/>
      </c>
      <c r="AF149" s="48"/>
      <c r="AG149" s="53"/>
      <c r="AH149" s="54"/>
      <c r="AI149" s="55" t="str">
        <f t="shared" si="47"/>
        <v/>
      </c>
      <c r="AJ149" s="46"/>
      <c r="AK149" s="34" t="e">
        <f>IF(AB149&lt;&gt;"",HLOOKUP(VALUE(TEXT(AH149,"h:mm:ss")),IF($C$6="Laboral",[1]Input!$A$4:$Y$227,IF($C$6="Sábado",[1]Input!$A$231:$Y$452,[1]Input!$A$456:$Y$656)),VLOOKUP($C$4,[1]Input!$AG$2:$AI$99,3,0)+IF(AD$5="Ida",0,1),1),"")</f>
        <v>#N/A</v>
      </c>
      <c r="AL149" s="34" t="str">
        <f>IF(AB150&lt;&gt;AB149,AVERAGEIF(AB$9:AB149,AB149,AK$9:AK149),"")</f>
        <v/>
      </c>
      <c r="AM149" s="35" t="str">
        <f>IFERROR(IF(AB150&lt;&gt;AB149,AVERAGEIF(AB$9:AB149,AB149,AT$9:AT149),""),"")</f>
        <v/>
      </c>
      <c r="AN149" s="35" t="str">
        <f>IFERROR(IF(AB150&lt;&gt;AB149,AVERAGEIF(AB$9:AB149,AB149,AU$9:AU149),""),"")</f>
        <v/>
      </c>
      <c r="AO149" s="35" t="str" cm="1">
        <f t="array" ref="AO149">IFERROR(IF(AB150&lt;&gt;AB149,_xlfn.STDEV.P(IF(AB$9:AB149=AB149,AU$9:AU149)),""),"")</f>
        <v/>
      </c>
      <c r="AP149" s="35" t="str" cm="1">
        <f t="array" ref="AP149">IFERROR(IF(AB150&lt;&gt;AB149,_xlfn.STDEV.P(IF(AB$9:AB149=AB149,AT$9:AT149)),""),"")</f>
        <v/>
      </c>
      <c r="AQ149" s="36" t="str">
        <f t="shared" si="38"/>
        <v/>
      </c>
      <c r="AR149" s="36" t="str">
        <f t="shared" si="39"/>
        <v/>
      </c>
      <c r="AS149" s="36" t="str">
        <f t="shared" si="48"/>
        <v/>
      </c>
      <c r="AT149" s="37" t="str">
        <f t="shared" si="40"/>
        <v/>
      </c>
      <c r="AU149" s="37" t="str">
        <f t="shared" si="41"/>
        <v/>
      </c>
      <c r="AV149" s="54"/>
      <c r="AW149" s="46"/>
      <c r="AX149" s="39" t="str" cm="1">
        <f t="array" ref="AX149">IF(AH149&lt;&gt;"",IF(AND(AX147:AX148&lt;&gt;"IE",AQ149&lt;&gt;0,AS149&lt;&gt;""),IF(IFERROR((AQ149/AS149),0) &lt;=1,IFERROR(AQ149/AS149,""),1),""),"")</f>
        <v/>
      </c>
      <c r="AY149" s="46"/>
      <c r="AZ149" s="57"/>
    </row>
    <row r="150" spans="1:52" ht="15.5" x14ac:dyDescent="0.35">
      <c r="A150" s="51">
        <f t="shared" si="49"/>
        <v>1</v>
      </c>
      <c r="B150" s="52"/>
      <c r="C150" s="52"/>
      <c r="D150" s="29" t="str">
        <f>IFERROR(
IF(AND(OR(Planilla!B150="C",Planilla!B150="c"), VLOOKUP(E150,[1]Diccionario!B:N,13,0)="C"), "OK",IF(AND(OR(Planilla!B150="C",Planilla!B150="c"), OR(VLOOKUP(E150,[1]Diccionario!B:N,13,0)="B", VLOOKUP(E150,[1]Diccionario!B:N,13,0)="A")), "DEFICIT",IF(
AND(OR(Planilla!B150="B", Planilla!B150="BPAL"), VLOOKUP(E150,[1]Diccionario!B:N,13,0)="B"), "OK",IF(AND(OR(Planilla!B150="B", Planilla!B150="BPAL"), VLOOKUP(E150,[1]Diccionario!B:N,13,0)="A"), "DEFICIT",IF(AND(OR(Planilla!B150="B", Planilla!B150="BPAL"), VLOOKUP(E150,[1]Diccionario!B:N,13,0)="C"), "SOBREOFERTA",IF(AND(Planilla!B150="A", VLOOKUP(E150,[1]Diccionario!B:N,13,0)="A"), "OK",IF(
AND(Planilla!B150="A", OR(VLOOKUP(E150,[1]Diccionario!B:N,13,0)="B", VLOOKUP(E150,[1]Diccionario!B:N,13,0)="C")), "SOBREOFERTA",""
))))))),"")</f>
        <v/>
      </c>
      <c r="E150" s="48"/>
      <c r="F150" s="53"/>
      <c r="G150" s="54"/>
      <c r="H150" s="55" t="str">
        <f t="shared" si="42"/>
        <v/>
      </c>
      <c r="I150" s="35"/>
      <c r="J150" s="34" t="e">
        <f>IF(A150&lt;&gt;"",HLOOKUP(VALUE(TEXT(G150,"h:mm:ss")),IF($C$6="Laboral",[1]Input!$A$4:$Y$227,IF($C$6="Sábado",[1]Input!$A$231:$Y$452,[1]Input!$A$456:$Y$656)),VLOOKUP($C$4,[1]Input!$AG$2:$AI$99,3,0)+IF(C$5="Ida",0,1),1),"")</f>
        <v>#N/A</v>
      </c>
      <c r="K150" s="34" t="str">
        <f>IF(A151&lt;&gt;A150,AVERAGEIF(A$9:A150,A150,J$13:J150),"")</f>
        <v/>
      </c>
      <c r="L150" s="35" t="str">
        <f>IFERROR(IF(A151&lt;&gt;A150,AVERAGEIF(A$9:A150,A150,S$13:S150),""),"")</f>
        <v/>
      </c>
      <c r="M150" s="35" t="str">
        <f>IFERROR(IF(A151&lt;&gt;A150,AVERAGEIF(A$9:A150,A150,T$8:T150),""),"")</f>
        <v/>
      </c>
      <c r="N150" s="35" t="str" cm="1">
        <f t="array" ref="N150">IFERROR(IF(A151&lt;&gt;A150,_xlfn.STDEV.P(IF(A$9:A150=A150,T$7:T150)),""),"")</f>
        <v/>
      </c>
      <c r="O150" s="35" t="str" cm="1">
        <f t="array" ref="O150">IFERROR(IF(A151&lt;&gt;A150,_xlfn.STDEV.P(IF(A$9:A150=A150,S$7:S150)),""),"")</f>
        <v/>
      </c>
      <c r="P150" s="36" t="str">
        <f t="shared" si="35"/>
        <v/>
      </c>
      <c r="Q150" s="36" t="str">
        <f t="shared" si="36"/>
        <v/>
      </c>
      <c r="R150" s="36" t="str">
        <f t="shared" si="43"/>
        <v/>
      </c>
      <c r="S150" s="37" t="str">
        <f t="shared" si="44"/>
        <v/>
      </c>
      <c r="T150" s="37" t="str">
        <f t="shared" si="37"/>
        <v/>
      </c>
      <c r="U150" s="54"/>
      <c r="V150" s="46"/>
      <c r="W150" s="39" t="str">
        <f t="shared" si="45"/>
        <v/>
      </c>
      <c r="X150" s="38"/>
      <c r="Y150" s="48"/>
      <c r="AB150" s="56">
        <f t="shared" si="46"/>
        <v>1</v>
      </c>
      <c r="AC150" s="52"/>
      <c r="AD150" s="52"/>
      <c r="AE150" s="29" t="str">
        <f>IFERROR(
IF(AND(OR(AC150="C",AC150="c"), VLOOKUP(AF150,[1]Diccionario!B:N,13,0)="C"), "OK",IF(AND(OR(AC150="C",AC150="c"), OR(VLOOKUP(AF150,[1]Diccionario!B:N,13,0)="B", VLOOKUP(AF150,[1]Diccionario!B:N,13,0)="A")), "DEFICIT",IF(
AND(OR(AC150="B", AC150="BPAL"), VLOOKUP(AF150,[1]Diccionario!B:N,13,0)="B"), "OK",IF(AND(OR(AC150="B", AC150="BPAL"), VLOOKUP(AF150,[1]Diccionario!B:N,13,0)="A"), "DEFICIT",IF(AND(OR(AC150="B", AC150="BPAL"), VLOOKUP(AF150,[1]Diccionario!B:N,13,0)="C"), "SOBREOFERTA",IF(AND(AC150="A", VLOOKUP(AF150,[1]Diccionario!B:N,13,0)="A"), "OK",IF(
AND(AC150="A", OR(VLOOKUP(AF150,[1]Diccionario!B:N,13,0)="B", VLOOKUP(AF150,[1]Diccionario!B:N,13,0)="C")), "SOBREOFERTA",""
))))))),"")</f>
        <v/>
      </c>
      <c r="AF150" s="48"/>
      <c r="AG150" s="53"/>
      <c r="AH150" s="54"/>
      <c r="AI150" s="55" t="str">
        <f t="shared" si="47"/>
        <v/>
      </c>
      <c r="AJ150" s="46"/>
      <c r="AK150" s="34" t="e">
        <f>IF(AB150&lt;&gt;"",HLOOKUP(VALUE(TEXT(AH150,"h:mm:ss")),IF($C$6="Laboral",[1]Input!$A$4:$Y$227,IF($C$6="Sábado",[1]Input!$A$231:$Y$452,[1]Input!$A$456:$Y$656)),VLOOKUP($C$4,[1]Input!$AG$2:$AI$99,3,0)+IF(AD$5="Ida",0,1),1),"")</f>
        <v>#N/A</v>
      </c>
      <c r="AL150" s="34" t="str">
        <f>IF(AB151&lt;&gt;AB150,AVERAGEIF(AB$9:AB150,AB150,AK$9:AK150),"")</f>
        <v/>
      </c>
      <c r="AM150" s="35" t="str">
        <f>IFERROR(IF(AB151&lt;&gt;AB150,AVERAGEIF(AB$9:AB150,AB150,AT$9:AT150),""),"")</f>
        <v/>
      </c>
      <c r="AN150" s="35" t="str">
        <f>IFERROR(IF(AB151&lt;&gt;AB150,AVERAGEIF(AB$9:AB150,AB150,AU$9:AU150),""),"")</f>
        <v/>
      </c>
      <c r="AO150" s="35" t="str" cm="1">
        <f t="array" ref="AO150">IFERROR(IF(AB151&lt;&gt;AB150,_xlfn.STDEV.P(IF(AB$9:AB150=AB150,AU$9:AU150)),""),"")</f>
        <v/>
      </c>
      <c r="AP150" s="35" t="str" cm="1">
        <f t="array" ref="AP150">IFERROR(IF(AB151&lt;&gt;AB150,_xlfn.STDEV.P(IF(AB$9:AB150=AB150,AT$9:AT150)),""),"")</f>
        <v/>
      </c>
      <c r="AQ150" s="36" t="str">
        <f t="shared" si="38"/>
        <v/>
      </c>
      <c r="AR150" s="36" t="str">
        <f t="shared" si="39"/>
        <v/>
      </c>
      <c r="AS150" s="36" t="str">
        <f t="shared" si="48"/>
        <v/>
      </c>
      <c r="AT150" s="37" t="str">
        <f t="shared" si="40"/>
        <v/>
      </c>
      <c r="AU150" s="37" t="str">
        <f t="shared" si="41"/>
        <v/>
      </c>
      <c r="AV150" s="54"/>
      <c r="AW150" s="46"/>
      <c r="AX150" s="39" t="str" cm="1">
        <f t="array" ref="AX150">IF(AH150&lt;&gt;"",IF(AND(AX148:AX149&lt;&gt;"IE",AQ150&lt;&gt;0,AS150&lt;&gt;""),IF(IFERROR((AQ150/AS150),0) &lt;=1,IFERROR(AQ150/AS150,""),1),""),"")</f>
        <v/>
      </c>
      <c r="AY150" s="46"/>
      <c r="AZ150" s="57"/>
    </row>
    <row r="151" spans="1:52" ht="15.5" x14ac:dyDescent="0.35">
      <c r="A151" s="51">
        <f t="shared" si="49"/>
        <v>1</v>
      </c>
      <c r="B151" s="52"/>
      <c r="C151" s="52"/>
      <c r="D151" s="29" t="str">
        <f>IFERROR(
IF(AND(OR(Planilla!B151="C",Planilla!B151="c"), VLOOKUP(E151,[1]Diccionario!B:N,13,0)="C"), "OK",IF(AND(OR(Planilla!B151="C",Planilla!B151="c"), OR(VLOOKUP(E151,[1]Diccionario!B:N,13,0)="B", VLOOKUP(E151,[1]Diccionario!B:N,13,0)="A")), "DEFICIT",IF(
AND(OR(Planilla!B151="B", Planilla!B151="BPAL"), VLOOKUP(E151,[1]Diccionario!B:N,13,0)="B"), "OK",IF(AND(OR(Planilla!B151="B", Planilla!B151="BPAL"), VLOOKUP(E151,[1]Diccionario!B:N,13,0)="A"), "DEFICIT",IF(AND(OR(Planilla!B151="B", Planilla!B151="BPAL"), VLOOKUP(E151,[1]Diccionario!B:N,13,0)="C"), "SOBREOFERTA",IF(AND(Planilla!B151="A", VLOOKUP(E151,[1]Diccionario!B:N,13,0)="A"), "OK",IF(
AND(Planilla!B151="A", OR(VLOOKUP(E151,[1]Diccionario!B:N,13,0)="B", VLOOKUP(E151,[1]Diccionario!B:N,13,0)="C")), "SOBREOFERTA",""
))))))),"")</f>
        <v/>
      </c>
      <c r="E151" s="48"/>
      <c r="F151" s="53"/>
      <c r="G151" s="54"/>
      <c r="H151" s="55" t="str">
        <f t="shared" si="42"/>
        <v/>
      </c>
      <c r="I151" s="35"/>
      <c r="J151" s="34" t="e">
        <f>IF(A151&lt;&gt;"",HLOOKUP(VALUE(TEXT(G151,"h:mm:ss")),IF($C$6="Laboral",[1]Input!$A$4:$Y$227,IF($C$6="Sábado",[1]Input!$A$231:$Y$452,[1]Input!$A$456:$Y$656)),VLOOKUP($C$4,[1]Input!$AG$2:$AI$99,3,0)+IF(C$5="Ida",0,1),1),"")</f>
        <v>#N/A</v>
      </c>
      <c r="K151" s="34" t="str">
        <f>IF(A152&lt;&gt;A151,AVERAGEIF(A$9:A151,A151,J$13:J151),"")</f>
        <v/>
      </c>
      <c r="L151" s="35" t="str">
        <f>IFERROR(IF(A152&lt;&gt;A151,AVERAGEIF(A$9:A151,A151,S$13:S151),""),"")</f>
        <v/>
      </c>
      <c r="M151" s="35" t="str">
        <f>IFERROR(IF(A152&lt;&gt;A151,AVERAGEIF(A$9:A151,A151,T$8:T151),""),"")</f>
        <v/>
      </c>
      <c r="N151" s="35" t="str" cm="1">
        <f t="array" ref="N151">IFERROR(IF(A152&lt;&gt;A151,_xlfn.STDEV.P(IF(A$9:A151=A151,T$7:T151)),""),"")</f>
        <v/>
      </c>
      <c r="O151" s="35" t="str" cm="1">
        <f t="array" ref="O151">IFERROR(IF(A152&lt;&gt;A151,_xlfn.STDEV.P(IF(A$9:A151=A151,S$7:S151)),""),"")</f>
        <v/>
      </c>
      <c r="P151" s="36" t="str">
        <f t="shared" si="35"/>
        <v/>
      </c>
      <c r="Q151" s="36" t="str">
        <f t="shared" si="36"/>
        <v/>
      </c>
      <c r="R151" s="36" t="str">
        <f t="shared" si="43"/>
        <v/>
      </c>
      <c r="S151" s="37" t="str">
        <f t="shared" si="44"/>
        <v/>
      </c>
      <c r="T151" s="37" t="str">
        <f t="shared" si="37"/>
        <v/>
      </c>
      <c r="U151" s="54"/>
      <c r="V151" s="46"/>
      <c r="W151" s="39" t="str">
        <f t="shared" si="45"/>
        <v/>
      </c>
      <c r="X151" s="38"/>
      <c r="Y151" s="48"/>
      <c r="AB151" s="56">
        <f t="shared" si="46"/>
        <v>1</v>
      </c>
      <c r="AC151" s="52"/>
      <c r="AD151" s="52"/>
      <c r="AE151" s="29" t="str">
        <f>IFERROR(
IF(AND(OR(AC151="C",AC151="c"), VLOOKUP(AF151,[1]Diccionario!B:N,13,0)="C"), "OK",IF(AND(OR(AC151="C",AC151="c"), OR(VLOOKUP(AF151,[1]Diccionario!B:N,13,0)="B", VLOOKUP(AF151,[1]Diccionario!B:N,13,0)="A")), "DEFICIT",IF(
AND(OR(AC151="B", AC151="BPAL"), VLOOKUP(AF151,[1]Diccionario!B:N,13,0)="B"), "OK",IF(AND(OR(AC151="B", AC151="BPAL"), VLOOKUP(AF151,[1]Diccionario!B:N,13,0)="A"), "DEFICIT",IF(AND(OR(AC151="B", AC151="BPAL"), VLOOKUP(AF151,[1]Diccionario!B:N,13,0)="C"), "SOBREOFERTA",IF(AND(AC151="A", VLOOKUP(AF151,[1]Diccionario!B:N,13,0)="A"), "OK",IF(
AND(AC151="A", OR(VLOOKUP(AF151,[1]Diccionario!B:N,13,0)="B", VLOOKUP(AF151,[1]Diccionario!B:N,13,0)="C")), "SOBREOFERTA",""
))))))),"")</f>
        <v/>
      </c>
      <c r="AF151" s="48"/>
      <c r="AG151" s="53"/>
      <c r="AH151" s="54"/>
      <c r="AI151" s="55" t="str">
        <f t="shared" si="47"/>
        <v/>
      </c>
      <c r="AJ151" s="46"/>
      <c r="AK151" s="34" t="e">
        <f>IF(AB151&lt;&gt;"",HLOOKUP(VALUE(TEXT(AH151,"h:mm:ss")),IF($C$6="Laboral",[1]Input!$A$4:$Y$227,IF($C$6="Sábado",[1]Input!$A$231:$Y$452,[1]Input!$A$456:$Y$656)),VLOOKUP($C$4,[1]Input!$AG$2:$AI$99,3,0)+IF(AD$5="Ida",0,1),1),"")</f>
        <v>#N/A</v>
      </c>
      <c r="AL151" s="34" t="str">
        <f>IF(AB152&lt;&gt;AB151,AVERAGEIF(AB$9:AB151,AB151,AK$9:AK151),"")</f>
        <v/>
      </c>
      <c r="AM151" s="35" t="str">
        <f>IFERROR(IF(AB152&lt;&gt;AB151,AVERAGEIF(AB$9:AB151,AB151,AT$9:AT151),""),"")</f>
        <v/>
      </c>
      <c r="AN151" s="35" t="str">
        <f>IFERROR(IF(AB152&lt;&gt;AB151,AVERAGEIF(AB$9:AB151,AB151,AU$9:AU151),""),"")</f>
        <v/>
      </c>
      <c r="AO151" s="35" t="str" cm="1">
        <f t="array" ref="AO151">IFERROR(IF(AB152&lt;&gt;AB151,_xlfn.STDEV.P(IF(AB$9:AB151=AB151,AU$9:AU151)),""),"")</f>
        <v/>
      </c>
      <c r="AP151" s="35" t="str" cm="1">
        <f t="array" ref="AP151">IFERROR(IF(AB152&lt;&gt;AB151,_xlfn.STDEV.P(IF(AB$9:AB151=AB151,AT$9:AT151)),""),"")</f>
        <v/>
      </c>
      <c r="AQ151" s="36" t="str">
        <f t="shared" si="38"/>
        <v/>
      </c>
      <c r="AR151" s="36" t="str">
        <f t="shared" si="39"/>
        <v/>
      </c>
      <c r="AS151" s="36" t="str">
        <f t="shared" si="48"/>
        <v/>
      </c>
      <c r="AT151" s="37" t="str">
        <f t="shared" si="40"/>
        <v/>
      </c>
      <c r="AU151" s="37" t="str">
        <f t="shared" si="41"/>
        <v/>
      </c>
      <c r="AV151" s="54"/>
      <c r="AW151" s="46"/>
      <c r="AX151" s="39" t="str" cm="1">
        <f t="array" ref="AX151">IF(AH151&lt;&gt;"",IF(AND(AX149:AX150&lt;&gt;"IE",AQ151&lt;&gt;0,AS151&lt;&gt;""),IF(IFERROR((AQ151/AS151),0) &lt;=1,IFERROR(AQ151/AS151,""),1),""),"")</f>
        <v/>
      </c>
      <c r="AY151" s="46"/>
      <c r="AZ151" s="57"/>
    </row>
    <row r="152" spans="1:52" ht="15.5" x14ac:dyDescent="0.35">
      <c r="A152" s="51">
        <f t="shared" si="49"/>
        <v>1</v>
      </c>
      <c r="B152" s="52"/>
      <c r="C152" s="52"/>
      <c r="D152" s="29" t="str">
        <f>IFERROR(
IF(AND(OR(Planilla!B152="C",Planilla!B152="c"), VLOOKUP(E152,[1]Diccionario!B:N,13,0)="C"), "OK",IF(AND(OR(Planilla!B152="C",Planilla!B152="c"), OR(VLOOKUP(E152,[1]Diccionario!B:N,13,0)="B", VLOOKUP(E152,[1]Diccionario!B:N,13,0)="A")), "DEFICIT",IF(
AND(OR(Planilla!B152="B", Planilla!B152="BPAL"), VLOOKUP(E152,[1]Diccionario!B:N,13,0)="B"), "OK",IF(AND(OR(Planilla!B152="B", Planilla!B152="BPAL"), VLOOKUP(E152,[1]Diccionario!B:N,13,0)="A"), "DEFICIT",IF(AND(OR(Planilla!B152="B", Planilla!B152="BPAL"), VLOOKUP(E152,[1]Diccionario!B:N,13,0)="C"), "SOBREOFERTA",IF(AND(Planilla!B152="A", VLOOKUP(E152,[1]Diccionario!B:N,13,0)="A"), "OK",IF(
AND(Planilla!B152="A", OR(VLOOKUP(E152,[1]Diccionario!B:N,13,0)="B", VLOOKUP(E152,[1]Diccionario!B:N,13,0)="C")), "SOBREOFERTA",""
))))))),"")</f>
        <v/>
      </c>
      <c r="E152" s="48"/>
      <c r="F152" s="53"/>
      <c r="G152" s="54"/>
      <c r="H152" s="55" t="str">
        <f t="shared" si="42"/>
        <v/>
      </c>
      <c r="I152" s="35"/>
      <c r="J152" s="34" t="e">
        <f>IF(A152&lt;&gt;"",HLOOKUP(VALUE(TEXT(G152,"h:mm:ss")),IF($C$6="Laboral",[1]Input!$A$4:$Y$227,IF($C$6="Sábado",[1]Input!$A$231:$Y$452,[1]Input!$A$456:$Y$656)),VLOOKUP($C$4,[1]Input!$AG$2:$AI$99,3,0)+IF(C$5="Ida",0,1),1),"")</f>
        <v>#N/A</v>
      </c>
      <c r="K152" s="34" t="str">
        <f>IF(A153&lt;&gt;A152,AVERAGEIF(A$9:A152,A152,J$13:J152),"")</f>
        <v/>
      </c>
      <c r="L152" s="35" t="str">
        <f>IFERROR(IF(A153&lt;&gt;A152,AVERAGEIF(A$9:A152,A152,S$13:S152),""),"")</f>
        <v/>
      </c>
      <c r="M152" s="35" t="str">
        <f>IFERROR(IF(A153&lt;&gt;A152,AVERAGEIF(A$9:A152,A152,T$8:T152),""),"")</f>
        <v/>
      </c>
      <c r="N152" s="35" t="str" cm="1">
        <f t="array" ref="N152">IFERROR(IF(A153&lt;&gt;A152,_xlfn.STDEV.P(IF(A$9:A152=A152,T$7:T152)),""),"")</f>
        <v/>
      </c>
      <c r="O152" s="35" t="str" cm="1">
        <f t="array" ref="O152">IFERROR(IF(A153&lt;&gt;A152,_xlfn.STDEV.P(IF(A$9:A152=A152,S$7:S152)),""),"")</f>
        <v/>
      </c>
      <c r="P152" s="36" t="str">
        <f t="shared" si="35"/>
        <v/>
      </c>
      <c r="Q152" s="36" t="str">
        <f t="shared" si="36"/>
        <v/>
      </c>
      <c r="R152" s="36" t="str">
        <f t="shared" si="43"/>
        <v/>
      </c>
      <c r="S152" s="37" t="str">
        <f t="shared" si="44"/>
        <v/>
      </c>
      <c r="T152" s="37" t="str">
        <f t="shared" si="37"/>
        <v/>
      </c>
      <c r="U152" s="54"/>
      <c r="V152" s="46"/>
      <c r="W152" s="39" t="str">
        <f t="shared" si="45"/>
        <v/>
      </c>
      <c r="X152" s="38"/>
      <c r="Y152" s="48"/>
      <c r="AB152" s="56">
        <f t="shared" si="46"/>
        <v>1</v>
      </c>
      <c r="AC152" s="52"/>
      <c r="AD152" s="52"/>
      <c r="AE152" s="29" t="str">
        <f>IFERROR(
IF(AND(OR(AC152="C",AC152="c"), VLOOKUP(AF152,[1]Diccionario!B:N,13,0)="C"), "OK",IF(AND(OR(AC152="C",AC152="c"), OR(VLOOKUP(AF152,[1]Diccionario!B:N,13,0)="B", VLOOKUP(AF152,[1]Diccionario!B:N,13,0)="A")), "DEFICIT",IF(
AND(OR(AC152="B", AC152="BPAL"), VLOOKUP(AF152,[1]Diccionario!B:N,13,0)="B"), "OK",IF(AND(OR(AC152="B", AC152="BPAL"), VLOOKUP(AF152,[1]Diccionario!B:N,13,0)="A"), "DEFICIT",IF(AND(OR(AC152="B", AC152="BPAL"), VLOOKUP(AF152,[1]Diccionario!B:N,13,0)="C"), "SOBREOFERTA",IF(AND(AC152="A", VLOOKUP(AF152,[1]Diccionario!B:N,13,0)="A"), "OK",IF(
AND(AC152="A", OR(VLOOKUP(AF152,[1]Diccionario!B:N,13,0)="B", VLOOKUP(AF152,[1]Diccionario!B:N,13,0)="C")), "SOBREOFERTA",""
))))))),"")</f>
        <v/>
      </c>
      <c r="AF152" s="48"/>
      <c r="AG152" s="53"/>
      <c r="AH152" s="54"/>
      <c r="AI152" s="55" t="str">
        <f t="shared" si="47"/>
        <v/>
      </c>
      <c r="AJ152" s="46"/>
      <c r="AK152" s="34" t="e">
        <f>IF(AB152&lt;&gt;"",HLOOKUP(VALUE(TEXT(AH152,"h:mm:ss")),IF($C$6="Laboral",[1]Input!$A$4:$Y$227,IF($C$6="Sábado",[1]Input!$A$231:$Y$452,[1]Input!$A$456:$Y$656)),VLOOKUP($C$4,[1]Input!$AG$2:$AI$99,3,0)+IF(AD$5="Ida",0,1),1),"")</f>
        <v>#N/A</v>
      </c>
      <c r="AL152" s="34" t="str">
        <f>IF(AB153&lt;&gt;AB152,AVERAGEIF(AB$9:AB152,AB152,AK$9:AK152),"")</f>
        <v/>
      </c>
      <c r="AM152" s="35" t="str">
        <f>IFERROR(IF(AB153&lt;&gt;AB152,AVERAGEIF(AB$9:AB152,AB152,AT$9:AT152),""),"")</f>
        <v/>
      </c>
      <c r="AN152" s="35" t="str">
        <f>IFERROR(IF(AB153&lt;&gt;AB152,AVERAGEIF(AB$9:AB152,AB152,AU$9:AU152),""),"")</f>
        <v/>
      </c>
      <c r="AO152" s="35" t="str" cm="1">
        <f t="array" ref="AO152">IFERROR(IF(AB153&lt;&gt;AB152,_xlfn.STDEV.P(IF(AB$9:AB152=AB152,AU$9:AU152)),""),"")</f>
        <v/>
      </c>
      <c r="AP152" s="35" t="str" cm="1">
        <f t="array" ref="AP152">IFERROR(IF(AB153&lt;&gt;AB152,_xlfn.STDEV.P(IF(AB$9:AB152=AB152,AT$9:AT152)),""),"")</f>
        <v/>
      </c>
      <c r="AQ152" s="36" t="str">
        <f t="shared" si="38"/>
        <v/>
      </c>
      <c r="AR152" s="36" t="str">
        <f t="shared" si="39"/>
        <v/>
      </c>
      <c r="AS152" s="36" t="str">
        <f t="shared" si="48"/>
        <v/>
      </c>
      <c r="AT152" s="37" t="str">
        <f t="shared" si="40"/>
        <v/>
      </c>
      <c r="AU152" s="37" t="str">
        <f t="shared" si="41"/>
        <v/>
      </c>
      <c r="AV152" s="54"/>
      <c r="AW152" s="46"/>
      <c r="AX152" s="39" t="str" cm="1">
        <f t="array" ref="AX152">IF(AH152&lt;&gt;"",IF(AND(AX150:AX151&lt;&gt;"IE",AQ152&lt;&gt;0,AS152&lt;&gt;""),IF(IFERROR((AQ152/AS152),0) &lt;=1,IFERROR(AQ152/AS152,""),1),""),"")</f>
        <v/>
      </c>
      <c r="AY152" s="46"/>
      <c r="AZ152" s="57"/>
    </row>
    <row r="153" spans="1:52" ht="15.5" x14ac:dyDescent="0.35">
      <c r="A153" s="51">
        <f t="shared" si="49"/>
        <v>1</v>
      </c>
      <c r="B153" s="52"/>
      <c r="C153" s="52"/>
      <c r="D153" s="29" t="str">
        <f>IFERROR(
IF(AND(OR(Planilla!B153="C",Planilla!B153="c"), VLOOKUP(E153,[1]Diccionario!B:N,13,0)="C"), "OK",IF(AND(OR(Planilla!B153="C",Planilla!B153="c"), OR(VLOOKUP(E153,[1]Diccionario!B:N,13,0)="B", VLOOKUP(E153,[1]Diccionario!B:N,13,0)="A")), "DEFICIT",IF(
AND(OR(Planilla!B153="B", Planilla!B153="BPAL"), VLOOKUP(E153,[1]Diccionario!B:N,13,0)="B"), "OK",IF(AND(OR(Planilla!B153="B", Planilla!B153="BPAL"), VLOOKUP(E153,[1]Diccionario!B:N,13,0)="A"), "DEFICIT",IF(AND(OR(Planilla!B153="B", Planilla!B153="BPAL"), VLOOKUP(E153,[1]Diccionario!B:N,13,0)="C"), "SOBREOFERTA",IF(AND(Planilla!B153="A", VLOOKUP(E153,[1]Diccionario!B:N,13,0)="A"), "OK",IF(
AND(Planilla!B153="A", OR(VLOOKUP(E153,[1]Diccionario!B:N,13,0)="B", VLOOKUP(E153,[1]Diccionario!B:N,13,0)="C")), "SOBREOFERTA",""
))))))),"")</f>
        <v/>
      </c>
      <c r="E153" s="48"/>
      <c r="F153" s="53"/>
      <c r="G153" s="54"/>
      <c r="H153" s="55" t="str">
        <f t="shared" si="42"/>
        <v/>
      </c>
      <c r="I153" s="35"/>
      <c r="J153" s="34" t="e">
        <f>IF(A153&lt;&gt;"",HLOOKUP(VALUE(TEXT(G153,"h:mm:ss")),IF($C$6="Laboral",[1]Input!$A$4:$Y$227,IF($C$6="Sábado",[1]Input!$A$231:$Y$452,[1]Input!$A$456:$Y$656)),VLOOKUP($C$4,[1]Input!$AG$2:$AI$99,3,0)+IF(C$5="Ida",0,1),1),"")</f>
        <v>#N/A</v>
      </c>
      <c r="K153" s="34" t="str">
        <f>IF(A154&lt;&gt;A153,AVERAGEIF(A$9:A153,A153,J$13:J153),"")</f>
        <v/>
      </c>
      <c r="L153" s="35" t="str">
        <f>IFERROR(IF(A154&lt;&gt;A153,AVERAGEIF(A$9:A153,A153,S$13:S153),""),"")</f>
        <v/>
      </c>
      <c r="M153" s="35" t="str">
        <f>IFERROR(IF(A154&lt;&gt;A153,AVERAGEIF(A$9:A153,A153,T$8:T153),""),"")</f>
        <v/>
      </c>
      <c r="N153" s="35" t="str" cm="1">
        <f t="array" ref="N153">IFERROR(IF(A154&lt;&gt;A153,_xlfn.STDEV.P(IF(A$9:A153=A153,T$7:T153)),""),"")</f>
        <v/>
      </c>
      <c r="O153" s="35" t="str" cm="1">
        <f t="array" ref="O153">IFERROR(IF(A154&lt;&gt;A153,_xlfn.STDEV.P(IF(A$9:A153=A153,S$7:S153)),""),"")</f>
        <v/>
      </c>
      <c r="P153" s="36" t="str">
        <f t="shared" si="35"/>
        <v/>
      </c>
      <c r="Q153" s="36" t="str">
        <f t="shared" si="36"/>
        <v/>
      </c>
      <c r="R153" s="36" t="str">
        <f t="shared" si="43"/>
        <v/>
      </c>
      <c r="S153" s="37" t="str">
        <f t="shared" si="44"/>
        <v/>
      </c>
      <c r="T153" s="37" t="str">
        <f t="shared" si="37"/>
        <v/>
      </c>
      <c r="U153" s="54"/>
      <c r="V153" s="46"/>
      <c r="W153" s="39" t="str">
        <f t="shared" si="45"/>
        <v/>
      </c>
      <c r="X153" s="38"/>
      <c r="Y153" s="48"/>
      <c r="AB153" s="56">
        <f t="shared" si="46"/>
        <v>1</v>
      </c>
      <c r="AC153" s="52"/>
      <c r="AD153" s="52"/>
      <c r="AE153" s="29" t="str">
        <f>IFERROR(
IF(AND(OR(AC153="C",AC153="c"), VLOOKUP(AF153,[1]Diccionario!B:N,13,0)="C"), "OK",IF(AND(OR(AC153="C",AC153="c"), OR(VLOOKUP(AF153,[1]Diccionario!B:N,13,0)="B", VLOOKUP(AF153,[1]Diccionario!B:N,13,0)="A")), "DEFICIT",IF(
AND(OR(AC153="B", AC153="BPAL"), VLOOKUP(AF153,[1]Diccionario!B:N,13,0)="B"), "OK",IF(AND(OR(AC153="B", AC153="BPAL"), VLOOKUP(AF153,[1]Diccionario!B:N,13,0)="A"), "DEFICIT",IF(AND(OR(AC153="B", AC153="BPAL"), VLOOKUP(AF153,[1]Diccionario!B:N,13,0)="C"), "SOBREOFERTA",IF(AND(AC153="A", VLOOKUP(AF153,[1]Diccionario!B:N,13,0)="A"), "OK",IF(
AND(AC153="A", OR(VLOOKUP(AF153,[1]Diccionario!B:N,13,0)="B", VLOOKUP(AF153,[1]Diccionario!B:N,13,0)="C")), "SOBREOFERTA",""
))))))),"")</f>
        <v/>
      </c>
      <c r="AF153" s="48"/>
      <c r="AG153" s="53"/>
      <c r="AH153" s="54"/>
      <c r="AI153" s="55" t="str">
        <f t="shared" si="47"/>
        <v/>
      </c>
      <c r="AJ153" s="46"/>
      <c r="AK153" s="34" t="e">
        <f>IF(AB153&lt;&gt;"",HLOOKUP(VALUE(TEXT(AH153,"h:mm:ss")),IF($C$6="Laboral",[1]Input!$A$4:$Y$227,IF($C$6="Sábado",[1]Input!$A$231:$Y$452,[1]Input!$A$456:$Y$656)),VLOOKUP($C$4,[1]Input!$AG$2:$AI$99,3,0)+IF(AD$5="Ida",0,1),1),"")</f>
        <v>#N/A</v>
      </c>
      <c r="AL153" s="34" t="str">
        <f>IF(AB154&lt;&gt;AB153,AVERAGEIF(AB$9:AB153,AB153,AK$9:AK153),"")</f>
        <v/>
      </c>
      <c r="AM153" s="35" t="str">
        <f>IFERROR(IF(AB154&lt;&gt;AB153,AVERAGEIF(AB$9:AB153,AB153,AT$9:AT153),""),"")</f>
        <v/>
      </c>
      <c r="AN153" s="35" t="str">
        <f>IFERROR(IF(AB154&lt;&gt;AB153,AVERAGEIF(AB$9:AB153,AB153,AU$9:AU153),""),"")</f>
        <v/>
      </c>
      <c r="AO153" s="35" t="str" cm="1">
        <f t="array" ref="AO153">IFERROR(IF(AB154&lt;&gt;AB153,_xlfn.STDEV.P(IF(AB$9:AB153=AB153,AU$9:AU153)),""),"")</f>
        <v/>
      </c>
      <c r="AP153" s="35" t="str" cm="1">
        <f t="array" ref="AP153">IFERROR(IF(AB154&lt;&gt;AB153,_xlfn.STDEV.P(IF(AB$9:AB153=AB153,AT$9:AT153)),""),"")</f>
        <v/>
      </c>
      <c r="AQ153" s="36" t="str">
        <f t="shared" si="38"/>
        <v/>
      </c>
      <c r="AR153" s="36" t="str">
        <f t="shared" si="39"/>
        <v/>
      </c>
      <c r="AS153" s="36" t="str">
        <f t="shared" si="48"/>
        <v/>
      </c>
      <c r="AT153" s="37" t="str">
        <f t="shared" si="40"/>
        <v/>
      </c>
      <c r="AU153" s="37" t="str">
        <f t="shared" si="41"/>
        <v/>
      </c>
      <c r="AV153" s="54"/>
      <c r="AW153" s="46"/>
      <c r="AX153" s="39" t="str" cm="1">
        <f t="array" ref="AX153">IF(AH153&lt;&gt;"",IF(AND(AX151:AX152&lt;&gt;"IE",AQ153&lt;&gt;0,AS153&lt;&gt;""),IF(IFERROR((AQ153/AS153),0) &lt;=1,IFERROR(AQ153/AS153,""),1),""),"")</f>
        <v/>
      </c>
      <c r="AY153" s="46"/>
      <c r="AZ153" s="57"/>
    </row>
    <row r="154" spans="1:52" ht="15.5" x14ac:dyDescent="0.35">
      <c r="A154" s="51">
        <f t="shared" si="49"/>
        <v>1</v>
      </c>
      <c r="B154" s="52"/>
      <c r="C154" s="52"/>
      <c r="D154" s="29" t="str">
        <f>IFERROR(
IF(AND(OR(Planilla!B154="C",Planilla!B154="c"), VLOOKUP(E154,[1]Diccionario!B:N,13,0)="C"), "OK",IF(AND(OR(Planilla!B154="C",Planilla!B154="c"), OR(VLOOKUP(E154,[1]Diccionario!B:N,13,0)="B", VLOOKUP(E154,[1]Diccionario!B:N,13,0)="A")), "DEFICIT",IF(
AND(OR(Planilla!B154="B", Planilla!B154="BPAL"), VLOOKUP(E154,[1]Diccionario!B:N,13,0)="B"), "OK",IF(AND(OR(Planilla!B154="B", Planilla!B154="BPAL"), VLOOKUP(E154,[1]Diccionario!B:N,13,0)="A"), "DEFICIT",IF(AND(OR(Planilla!B154="B", Planilla!B154="BPAL"), VLOOKUP(E154,[1]Diccionario!B:N,13,0)="C"), "SOBREOFERTA",IF(AND(Planilla!B154="A", VLOOKUP(E154,[1]Diccionario!B:N,13,0)="A"), "OK",IF(
AND(Planilla!B154="A", OR(VLOOKUP(E154,[1]Diccionario!B:N,13,0)="B", VLOOKUP(E154,[1]Diccionario!B:N,13,0)="C")), "SOBREOFERTA",""
))))))),"")</f>
        <v/>
      </c>
      <c r="E154" s="48"/>
      <c r="F154" s="53"/>
      <c r="G154" s="54"/>
      <c r="H154" s="55" t="str">
        <f t="shared" si="42"/>
        <v/>
      </c>
      <c r="I154" s="35"/>
      <c r="J154" s="34" t="e">
        <f>IF(A154&lt;&gt;"",HLOOKUP(VALUE(TEXT(G154,"h:mm:ss")),IF($C$6="Laboral",[1]Input!$A$4:$Y$227,IF($C$6="Sábado",[1]Input!$A$231:$Y$452,[1]Input!$A$456:$Y$656)),VLOOKUP($C$4,[1]Input!$AG$2:$AI$99,3,0)+IF(C$5="Ida",0,1),1),"")</f>
        <v>#N/A</v>
      </c>
      <c r="K154" s="34" t="str">
        <f>IF(A155&lt;&gt;A154,AVERAGEIF(A$9:A154,A154,J$13:J154),"")</f>
        <v/>
      </c>
      <c r="L154" s="35" t="str">
        <f>IFERROR(IF(A155&lt;&gt;A154,AVERAGEIF(A$9:A154,A154,S$13:S154),""),"")</f>
        <v/>
      </c>
      <c r="M154" s="35" t="str">
        <f>IFERROR(IF(A155&lt;&gt;A154,AVERAGEIF(A$9:A154,A154,T$8:T154),""),"")</f>
        <v/>
      </c>
      <c r="N154" s="35" t="str" cm="1">
        <f t="array" ref="N154">IFERROR(IF(A155&lt;&gt;A154,_xlfn.STDEV.P(IF(A$9:A154=A154,T$7:T154)),""),"")</f>
        <v/>
      </c>
      <c r="O154" s="35" t="str" cm="1">
        <f t="array" ref="O154">IFERROR(IF(A155&lt;&gt;A154,_xlfn.STDEV.P(IF(A$9:A154=A154,S$7:S154)),""),"")</f>
        <v/>
      </c>
      <c r="P154" s="36" t="str">
        <f t="shared" si="35"/>
        <v/>
      </c>
      <c r="Q154" s="36" t="str">
        <f t="shared" si="36"/>
        <v/>
      </c>
      <c r="R154" s="36" t="str">
        <f t="shared" si="43"/>
        <v/>
      </c>
      <c r="S154" s="37" t="str">
        <f t="shared" si="44"/>
        <v/>
      </c>
      <c r="T154" s="37" t="str">
        <f t="shared" si="37"/>
        <v/>
      </c>
      <c r="U154" s="54"/>
      <c r="V154" s="46"/>
      <c r="W154" s="39" t="str">
        <f t="shared" si="45"/>
        <v/>
      </c>
      <c r="X154" s="38"/>
      <c r="Y154" s="48"/>
      <c r="AB154" s="56">
        <f t="shared" si="46"/>
        <v>1</v>
      </c>
      <c r="AC154" s="52"/>
      <c r="AD154" s="52"/>
      <c r="AE154" s="29" t="str">
        <f>IFERROR(
IF(AND(OR(AC154="C",AC154="c"), VLOOKUP(AF154,[1]Diccionario!B:N,13,0)="C"), "OK",IF(AND(OR(AC154="C",AC154="c"), OR(VLOOKUP(AF154,[1]Diccionario!B:N,13,0)="B", VLOOKUP(AF154,[1]Diccionario!B:N,13,0)="A")), "DEFICIT",IF(
AND(OR(AC154="B", AC154="BPAL"), VLOOKUP(AF154,[1]Diccionario!B:N,13,0)="B"), "OK",IF(AND(OR(AC154="B", AC154="BPAL"), VLOOKUP(AF154,[1]Diccionario!B:N,13,0)="A"), "DEFICIT",IF(AND(OR(AC154="B", AC154="BPAL"), VLOOKUP(AF154,[1]Diccionario!B:N,13,0)="C"), "SOBREOFERTA",IF(AND(AC154="A", VLOOKUP(AF154,[1]Diccionario!B:N,13,0)="A"), "OK",IF(
AND(AC154="A", OR(VLOOKUP(AF154,[1]Diccionario!B:N,13,0)="B", VLOOKUP(AF154,[1]Diccionario!B:N,13,0)="C")), "SOBREOFERTA",""
))))))),"")</f>
        <v/>
      </c>
      <c r="AF154" s="48"/>
      <c r="AG154" s="53"/>
      <c r="AH154" s="54"/>
      <c r="AI154" s="55" t="str">
        <f t="shared" si="47"/>
        <v/>
      </c>
      <c r="AJ154" s="46"/>
      <c r="AK154" s="34" t="e">
        <f>IF(AB154&lt;&gt;"",HLOOKUP(VALUE(TEXT(AH154,"h:mm:ss")),IF($C$6="Laboral",[1]Input!$A$4:$Y$227,IF($C$6="Sábado",[1]Input!$A$231:$Y$452,[1]Input!$A$456:$Y$656)),VLOOKUP($C$4,[1]Input!$AG$2:$AI$99,3,0)+IF(AD$5="Ida",0,1),1),"")</f>
        <v>#N/A</v>
      </c>
      <c r="AL154" s="34" t="str">
        <f>IF(AB155&lt;&gt;AB154,AVERAGEIF(AB$9:AB154,AB154,AK$9:AK154),"")</f>
        <v/>
      </c>
      <c r="AM154" s="35" t="str">
        <f>IFERROR(IF(AB155&lt;&gt;AB154,AVERAGEIF(AB$9:AB154,AB154,AT$9:AT154),""),"")</f>
        <v/>
      </c>
      <c r="AN154" s="35" t="str">
        <f>IFERROR(IF(AB155&lt;&gt;AB154,AVERAGEIF(AB$9:AB154,AB154,AU$9:AU154),""),"")</f>
        <v/>
      </c>
      <c r="AO154" s="35" t="str" cm="1">
        <f t="array" ref="AO154">IFERROR(IF(AB155&lt;&gt;AB154,_xlfn.STDEV.P(IF(AB$9:AB154=AB154,AU$9:AU154)),""),"")</f>
        <v/>
      </c>
      <c r="AP154" s="35" t="str" cm="1">
        <f t="array" ref="AP154">IFERROR(IF(AB155&lt;&gt;AB154,_xlfn.STDEV.P(IF(AB$9:AB154=AB154,AT$9:AT154)),""),"")</f>
        <v/>
      </c>
      <c r="AQ154" s="36" t="str">
        <f t="shared" si="38"/>
        <v/>
      </c>
      <c r="AR154" s="36" t="str">
        <f t="shared" si="39"/>
        <v/>
      </c>
      <c r="AS154" s="36" t="str">
        <f t="shared" si="48"/>
        <v/>
      </c>
      <c r="AT154" s="37" t="str">
        <f t="shared" si="40"/>
        <v/>
      </c>
      <c r="AU154" s="37" t="str">
        <f t="shared" si="41"/>
        <v/>
      </c>
      <c r="AV154" s="54"/>
      <c r="AW154" s="46"/>
      <c r="AX154" s="39" t="str" cm="1">
        <f t="array" ref="AX154">IF(AH154&lt;&gt;"",IF(AND(AX152:AX153&lt;&gt;"IE",AQ154&lt;&gt;0,AS154&lt;&gt;""),IF(IFERROR((AQ154/AS154),0) &lt;=1,IFERROR(AQ154/AS154,""),1),""),"")</f>
        <v/>
      </c>
      <c r="AY154" s="46"/>
      <c r="AZ154" s="57"/>
    </row>
    <row r="155" spans="1:52" ht="15.5" x14ac:dyDescent="0.35">
      <c r="A155" s="51">
        <f t="shared" si="49"/>
        <v>1</v>
      </c>
      <c r="B155" s="52"/>
      <c r="C155" s="52"/>
      <c r="D155" s="29" t="str">
        <f>IFERROR(
IF(AND(OR(Planilla!B155="C",Planilla!B155="c"), VLOOKUP(E155,[1]Diccionario!B:N,13,0)="C"), "OK",IF(AND(OR(Planilla!B155="C",Planilla!B155="c"), OR(VLOOKUP(E155,[1]Diccionario!B:N,13,0)="B", VLOOKUP(E155,[1]Diccionario!B:N,13,0)="A")), "DEFICIT",IF(
AND(OR(Planilla!B155="B", Planilla!B155="BPAL"), VLOOKUP(E155,[1]Diccionario!B:N,13,0)="B"), "OK",IF(AND(OR(Planilla!B155="B", Planilla!B155="BPAL"), VLOOKUP(E155,[1]Diccionario!B:N,13,0)="A"), "DEFICIT",IF(AND(OR(Planilla!B155="B", Planilla!B155="BPAL"), VLOOKUP(E155,[1]Diccionario!B:N,13,0)="C"), "SOBREOFERTA",IF(AND(Planilla!B155="A", VLOOKUP(E155,[1]Diccionario!B:N,13,0)="A"), "OK",IF(
AND(Planilla!B155="A", OR(VLOOKUP(E155,[1]Diccionario!B:N,13,0)="B", VLOOKUP(E155,[1]Diccionario!B:N,13,0)="C")), "SOBREOFERTA",""
))))))),"")</f>
        <v/>
      </c>
      <c r="E155" s="48"/>
      <c r="F155" s="53"/>
      <c r="G155" s="54"/>
      <c r="H155" s="55" t="str">
        <f t="shared" si="42"/>
        <v/>
      </c>
      <c r="I155" s="35"/>
      <c r="J155" s="34" t="e">
        <f>IF(A155&lt;&gt;"",HLOOKUP(VALUE(TEXT(G155,"h:mm:ss")),IF($C$6="Laboral",[1]Input!$A$4:$Y$227,IF($C$6="Sábado",[1]Input!$A$231:$Y$452,[1]Input!$A$456:$Y$656)),VLOOKUP($C$4,[1]Input!$AG$2:$AI$99,3,0)+IF(C$5="Ida",0,1),1),"")</f>
        <v>#N/A</v>
      </c>
      <c r="K155" s="34" t="str">
        <f>IF(A156&lt;&gt;A155,AVERAGEIF(A$9:A155,A155,J$13:J155),"")</f>
        <v/>
      </c>
      <c r="L155" s="35" t="str">
        <f>IFERROR(IF(A156&lt;&gt;A155,AVERAGEIF(A$9:A155,A155,S$13:S155),""),"")</f>
        <v/>
      </c>
      <c r="M155" s="35" t="str">
        <f>IFERROR(IF(A156&lt;&gt;A155,AVERAGEIF(A$9:A155,A155,T$8:T155),""),"")</f>
        <v/>
      </c>
      <c r="N155" s="35" t="str" cm="1">
        <f t="array" ref="N155">IFERROR(IF(A156&lt;&gt;A155,_xlfn.STDEV.P(IF(A$9:A155=A155,T$7:T155)),""),"")</f>
        <v/>
      </c>
      <c r="O155" s="35" t="str" cm="1">
        <f t="array" ref="O155">IFERROR(IF(A156&lt;&gt;A155,_xlfn.STDEV.P(IF(A$9:A155=A155,S$7:S155)),""),"")</f>
        <v/>
      </c>
      <c r="P155" s="36" t="str">
        <f t="shared" si="35"/>
        <v/>
      </c>
      <c r="Q155" s="36" t="str">
        <f t="shared" si="36"/>
        <v/>
      </c>
      <c r="R155" s="36" t="str">
        <f t="shared" si="43"/>
        <v/>
      </c>
      <c r="S155" s="37" t="str">
        <f t="shared" si="44"/>
        <v/>
      </c>
      <c r="T155" s="37" t="str">
        <f t="shared" si="37"/>
        <v/>
      </c>
      <c r="U155" s="54"/>
      <c r="V155" s="46"/>
      <c r="W155" s="39" t="str">
        <f t="shared" si="45"/>
        <v/>
      </c>
      <c r="X155" s="38"/>
      <c r="Y155" s="48"/>
      <c r="AB155" s="56">
        <f t="shared" si="46"/>
        <v>1</v>
      </c>
      <c r="AC155" s="52"/>
      <c r="AD155" s="52"/>
      <c r="AE155" s="29" t="str">
        <f>IFERROR(
IF(AND(OR(AC155="C",AC155="c"), VLOOKUP(AF155,[1]Diccionario!B:N,13,0)="C"), "OK",IF(AND(OR(AC155="C",AC155="c"), OR(VLOOKUP(AF155,[1]Diccionario!B:N,13,0)="B", VLOOKUP(AF155,[1]Diccionario!B:N,13,0)="A")), "DEFICIT",IF(
AND(OR(AC155="B", AC155="BPAL"), VLOOKUP(AF155,[1]Diccionario!B:N,13,0)="B"), "OK",IF(AND(OR(AC155="B", AC155="BPAL"), VLOOKUP(AF155,[1]Diccionario!B:N,13,0)="A"), "DEFICIT",IF(AND(OR(AC155="B", AC155="BPAL"), VLOOKUP(AF155,[1]Diccionario!B:N,13,0)="C"), "SOBREOFERTA",IF(AND(AC155="A", VLOOKUP(AF155,[1]Diccionario!B:N,13,0)="A"), "OK",IF(
AND(AC155="A", OR(VLOOKUP(AF155,[1]Diccionario!B:N,13,0)="B", VLOOKUP(AF155,[1]Diccionario!B:N,13,0)="C")), "SOBREOFERTA",""
))))))),"")</f>
        <v/>
      </c>
      <c r="AF155" s="48"/>
      <c r="AG155" s="53"/>
      <c r="AH155" s="54"/>
      <c r="AI155" s="55" t="str">
        <f t="shared" si="47"/>
        <v/>
      </c>
      <c r="AJ155" s="46"/>
      <c r="AK155" s="34" t="e">
        <f>IF(AB155&lt;&gt;"",HLOOKUP(VALUE(TEXT(AH155,"h:mm:ss")),IF($C$6="Laboral",[1]Input!$A$4:$Y$227,IF($C$6="Sábado",[1]Input!$A$231:$Y$452,[1]Input!$A$456:$Y$656)),VLOOKUP($C$4,[1]Input!$AG$2:$AI$99,3,0)+IF(AD$5="Ida",0,1),1),"")</f>
        <v>#N/A</v>
      </c>
      <c r="AL155" s="34" t="str">
        <f>IF(AB156&lt;&gt;AB155,AVERAGEIF(AB$9:AB155,AB155,AK$9:AK155),"")</f>
        <v/>
      </c>
      <c r="AM155" s="35" t="str">
        <f>IFERROR(IF(AB156&lt;&gt;AB155,AVERAGEIF(AB$9:AB155,AB155,AT$9:AT155),""),"")</f>
        <v/>
      </c>
      <c r="AN155" s="35" t="str">
        <f>IFERROR(IF(AB156&lt;&gt;AB155,AVERAGEIF(AB$9:AB155,AB155,AU$9:AU155),""),"")</f>
        <v/>
      </c>
      <c r="AO155" s="35" t="str" cm="1">
        <f t="array" ref="AO155">IFERROR(IF(AB156&lt;&gt;AB155,_xlfn.STDEV.P(IF(AB$9:AB155=AB155,AU$9:AU155)),""),"")</f>
        <v/>
      </c>
      <c r="AP155" s="35" t="str" cm="1">
        <f t="array" ref="AP155">IFERROR(IF(AB156&lt;&gt;AB155,_xlfn.STDEV.P(IF(AB$9:AB155=AB155,AT$9:AT155)),""),"")</f>
        <v/>
      </c>
      <c r="AQ155" s="36" t="str">
        <f t="shared" si="38"/>
        <v/>
      </c>
      <c r="AR155" s="36" t="str">
        <f t="shared" si="39"/>
        <v/>
      </c>
      <c r="AS155" s="36" t="str">
        <f t="shared" si="48"/>
        <v/>
      </c>
      <c r="AT155" s="37" t="str">
        <f t="shared" si="40"/>
        <v/>
      </c>
      <c r="AU155" s="37" t="str">
        <f t="shared" si="41"/>
        <v/>
      </c>
      <c r="AV155" s="54"/>
      <c r="AW155" s="46"/>
      <c r="AX155" s="39" t="str" cm="1">
        <f t="array" ref="AX155">IF(AH155&lt;&gt;"",IF(AND(AX153:AX154&lt;&gt;"IE",AQ155&lt;&gt;0,AS155&lt;&gt;""),IF(IFERROR((AQ155/AS155),0) &lt;=1,IFERROR(AQ155/AS155,""),1),""),"")</f>
        <v/>
      </c>
      <c r="AY155" s="46"/>
      <c r="AZ155" s="57"/>
    </row>
    <row r="156" spans="1:52" ht="15.5" x14ac:dyDescent="0.35">
      <c r="A156" s="51">
        <f t="shared" si="49"/>
        <v>1</v>
      </c>
      <c r="B156" s="52"/>
      <c r="C156" s="52"/>
      <c r="D156" s="29" t="str">
        <f>IFERROR(
IF(AND(OR(Planilla!B156="C",Planilla!B156="c"), VLOOKUP(E156,[1]Diccionario!B:N,13,0)="C"), "OK",IF(AND(OR(Planilla!B156="C",Planilla!B156="c"), OR(VLOOKUP(E156,[1]Diccionario!B:N,13,0)="B", VLOOKUP(E156,[1]Diccionario!B:N,13,0)="A")), "DEFICIT",IF(
AND(OR(Planilla!B156="B", Planilla!B156="BPAL"), VLOOKUP(E156,[1]Diccionario!B:N,13,0)="B"), "OK",IF(AND(OR(Planilla!B156="B", Planilla!B156="BPAL"), VLOOKUP(E156,[1]Diccionario!B:N,13,0)="A"), "DEFICIT",IF(AND(OR(Planilla!B156="B", Planilla!B156="BPAL"), VLOOKUP(E156,[1]Diccionario!B:N,13,0)="C"), "SOBREOFERTA",IF(AND(Planilla!B156="A", VLOOKUP(E156,[1]Diccionario!B:N,13,0)="A"), "OK",IF(
AND(Planilla!B156="A", OR(VLOOKUP(E156,[1]Diccionario!B:N,13,0)="B", VLOOKUP(E156,[1]Diccionario!B:N,13,0)="C")), "SOBREOFERTA",""
))))))),"")</f>
        <v/>
      </c>
      <c r="E156" s="48"/>
      <c r="F156" s="53"/>
      <c r="G156" s="54"/>
      <c r="H156" s="55" t="str">
        <f t="shared" si="42"/>
        <v/>
      </c>
      <c r="I156" s="35"/>
      <c r="J156" s="34" t="e">
        <f>IF(A156&lt;&gt;"",HLOOKUP(VALUE(TEXT(G156,"h:mm:ss")),IF($C$6="Laboral",[1]Input!$A$4:$Y$227,IF($C$6="Sábado",[1]Input!$A$231:$Y$452,[1]Input!$A$456:$Y$656)),VLOOKUP($C$4,[1]Input!$AG$2:$AI$99,3,0)+IF(C$5="Ida",0,1),1),"")</f>
        <v>#N/A</v>
      </c>
      <c r="K156" s="34" t="str">
        <f>IF(A157&lt;&gt;A156,AVERAGEIF(A$9:A156,A156,J$13:J156),"")</f>
        <v/>
      </c>
      <c r="L156" s="35" t="str">
        <f>IFERROR(IF(A157&lt;&gt;A156,AVERAGEIF(A$9:A156,A156,S$13:S156),""),"")</f>
        <v/>
      </c>
      <c r="M156" s="35" t="str">
        <f>IFERROR(IF(A157&lt;&gt;A156,AVERAGEIF(A$9:A156,A156,T$8:T156),""),"")</f>
        <v/>
      </c>
      <c r="N156" s="35" t="str" cm="1">
        <f t="array" ref="N156">IFERROR(IF(A157&lt;&gt;A156,_xlfn.STDEV.P(IF(A$9:A156=A156,T$7:T156)),""),"")</f>
        <v/>
      </c>
      <c r="O156" s="35" t="str" cm="1">
        <f t="array" ref="O156">IFERROR(IF(A157&lt;&gt;A156,_xlfn.STDEV.P(IF(A$9:A156=A156,S$7:S156)),""),"")</f>
        <v/>
      </c>
      <c r="P156" s="36" t="str">
        <f t="shared" si="35"/>
        <v/>
      </c>
      <c r="Q156" s="36" t="str">
        <f t="shared" si="36"/>
        <v/>
      </c>
      <c r="R156" s="36" t="str">
        <f t="shared" si="43"/>
        <v/>
      </c>
      <c r="S156" s="37" t="str">
        <f t="shared" si="44"/>
        <v/>
      </c>
      <c r="T156" s="37" t="str">
        <f t="shared" si="37"/>
        <v/>
      </c>
      <c r="U156" s="54"/>
      <c r="V156" s="46"/>
      <c r="W156" s="39" t="str">
        <f t="shared" si="45"/>
        <v/>
      </c>
      <c r="X156" s="38"/>
      <c r="Y156" s="48"/>
      <c r="AB156" s="56">
        <f t="shared" si="46"/>
        <v>1</v>
      </c>
      <c r="AC156" s="52"/>
      <c r="AD156" s="52"/>
      <c r="AE156" s="29" t="str">
        <f>IFERROR(
IF(AND(OR(AC156="C",AC156="c"), VLOOKUP(AF156,[1]Diccionario!B:N,13,0)="C"), "OK",IF(AND(OR(AC156="C",AC156="c"), OR(VLOOKUP(AF156,[1]Diccionario!B:N,13,0)="B", VLOOKUP(AF156,[1]Diccionario!B:N,13,0)="A")), "DEFICIT",IF(
AND(OR(AC156="B", AC156="BPAL"), VLOOKUP(AF156,[1]Diccionario!B:N,13,0)="B"), "OK",IF(AND(OR(AC156="B", AC156="BPAL"), VLOOKUP(AF156,[1]Diccionario!B:N,13,0)="A"), "DEFICIT",IF(AND(OR(AC156="B", AC156="BPAL"), VLOOKUP(AF156,[1]Diccionario!B:N,13,0)="C"), "SOBREOFERTA",IF(AND(AC156="A", VLOOKUP(AF156,[1]Diccionario!B:N,13,0)="A"), "OK",IF(
AND(AC156="A", OR(VLOOKUP(AF156,[1]Diccionario!B:N,13,0)="B", VLOOKUP(AF156,[1]Diccionario!B:N,13,0)="C")), "SOBREOFERTA",""
))))))),"")</f>
        <v/>
      </c>
      <c r="AF156" s="48"/>
      <c r="AG156" s="53"/>
      <c r="AH156" s="54"/>
      <c r="AI156" s="55" t="str">
        <f t="shared" si="47"/>
        <v/>
      </c>
      <c r="AJ156" s="46"/>
      <c r="AK156" s="34" t="e">
        <f>IF(AB156&lt;&gt;"",HLOOKUP(VALUE(TEXT(AH156,"h:mm:ss")),IF($C$6="Laboral",[1]Input!$A$4:$Y$227,IF($C$6="Sábado",[1]Input!$A$231:$Y$452,[1]Input!$A$456:$Y$656)),VLOOKUP($C$4,[1]Input!$AG$2:$AI$99,3,0)+IF(AD$5="Ida",0,1),1),"")</f>
        <v>#N/A</v>
      </c>
      <c r="AL156" s="34" t="str">
        <f>IF(AB157&lt;&gt;AB156,AVERAGEIF(AB$9:AB156,AB156,AK$9:AK156),"")</f>
        <v/>
      </c>
      <c r="AM156" s="35" t="str">
        <f>IFERROR(IF(AB157&lt;&gt;AB156,AVERAGEIF(AB$9:AB156,AB156,AT$9:AT156),""),"")</f>
        <v/>
      </c>
      <c r="AN156" s="35" t="str">
        <f>IFERROR(IF(AB157&lt;&gt;AB156,AVERAGEIF(AB$9:AB156,AB156,AU$9:AU156),""),"")</f>
        <v/>
      </c>
      <c r="AO156" s="35" t="str" cm="1">
        <f t="array" ref="AO156">IFERROR(IF(AB157&lt;&gt;AB156,_xlfn.STDEV.P(IF(AB$9:AB156=AB156,AU$9:AU156)),""),"")</f>
        <v/>
      </c>
      <c r="AP156" s="35" t="str" cm="1">
        <f t="array" ref="AP156">IFERROR(IF(AB157&lt;&gt;AB156,_xlfn.STDEV.P(IF(AB$9:AB156=AB156,AT$9:AT156)),""),"")</f>
        <v/>
      </c>
      <c r="AQ156" s="36" t="str">
        <f t="shared" si="38"/>
        <v/>
      </c>
      <c r="AR156" s="36" t="str">
        <f t="shared" si="39"/>
        <v/>
      </c>
      <c r="AS156" s="36" t="str">
        <f t="shared" si="48"/>
        <v/>
      </c>
      <c r="AT156" s="37" t="str">
        <f t="shared" si="40"/>
        <v/>
      </c>
      <c r="AU156" s="37" t="str">
        <f t="shared" si="41"/>
        <v/>
      </c>
      <c r="AV156" s="54"/>
      <c r="AW156" s="46"/>
      <c r="AX156" s="39" t="str" cm="1">
        <f t="array" ref="AX156">IF(AH156&lt;&gt;"",IF(AND(AX154:AX155&lt;&gt;"IE",AQ156&lt;&gt;0,AS156&lt;&gt;""),IF(IFERROR((AQ156/AS156),0) &lt;=1,IFERROR(AQ156/AS156,""),1),""),"")</f>
        <v/>
      </c>
      <c r="AY156" s="46"/>
      <c r="AZ156" s="57"/>
    </row>
    <row r="157" spans="1:52" ht="15.5" x14ac:dyDescent="0.35">
      <c r="A157" s="51">
        <f t="shared" si="49"/>
        <v>1</v>
      </c>
      <c r="B157" s="52"/>
      <c r="C157" s="52"/>
      <c r="D157" s="29" t="str">
        <f>IFERROR(
IF(AND(OR(Planilla!B157="C",Planilla!B157="c"), VLOOKUP(E157,[1]Diccionario!B:N,13,0)="C"), "OK",IF(AND(OR(Planilla!B157="C",Planilla!B157="c"), OR(VLOOKUP(E157,[1]Diccionario!B:N,13,0)="B", VLOOKUP(E157,[1]Diccionario!B:N,13,0)="A")), "DEFICIT",IF(
AND(OR(Planilla!B157="B", Planilla!B157="BPAL"), VLOOKUP(E157,[1]Diccionario!B:N,13,0)="B"), "OK",IF(AND(OR(Planilla!B157="B", Planilla!B157="BPAL"), VLOOKUP(E157,[1]Diccionario!B:N,13,0)="A"), "DEFICIT",IF(AND(OR(Planilla!B157="B", Planilla!B157="BPAL"), VLOOKUP(E157,[1]Diccionario!B:N,13,0)="C"), "SOBREOFERTA",IF(AND(Planilla!B157="A", VLOOKUP(E157,[1]Diccionario!B:N,13,0)="A"), "OK",IF(
AND(Planilla!B157="A", OR(VLOOKUP(E157,[1]Diccionario!B:N,13,0)="B", VLOOKUP(E157,[1]Diccionario!B:N,13,0)="C")), "SOBREOFERTA",""
))))))),"")</f>
        <v/>
      </c>
      <c r="E157" s="48"/>
      <c r="F157" s="53"/>
      <c r="G157" s="54"/>
      <c r="H157" s="55" t="str">
        <f t="shared" si="42"/>
        <v/>
      </c>
      <c r="I157" s="35"/>
      <c r="J157" s="34" t="e">
        <f>IF(A157&lt;&gt;"",HLOOKUP(VALUE(TEXT(G157,"h:mm:ss")),IF($C$6="Laboral",[1]Input!$A$4:$Y$227,IF($C$6="Sábado",[1]Input!$A$231:$Y$452,[1]Input!$A$456:$Y$656)),VLOOKUP($C$4,[1]Input!$AG$2:$AI$99,3,0)+IF(C$5="Ida",0,1),1),"")</f>
        <v>#N/A</v>
      </c>
      <c r="K157" s="34" t="str">
        <f>IF(A158&lt;&gt;A157,AVERAGEIF(A$9:A157,A157,J$13:J157),"")</f>
        <v/>
      </c>
      <c r="L157" s="35" t="str">
        <f>IFERROR(IF(A158&lt;&gt;A157,AVERAGEIF(A$9:A157,A157,S$13:S157),""),"")</f>
        <v/>
      </c>
      <c r="M157" s="35" t="str">
        <f>IFERROR(IF(A158&lt;&gt;A157,AVERAGEIF(A$9:A157,A157,T$8:T157),""),"")</f>
        <v/>
      </c>
      <c r="N157" s="35" t="str" cm="1">
        <f t="array" ref="N157">IFERROR(IF(A158&lt;&gt;A157,_xlfn.STDEV.P(IF(A$9:A157=A157,T$7:T157)),""),"")</f>
        <v/>
      </c>
      <c r="O157" s="35" t="str" cm="1">
        <f t="array" ref="O157">IFERROR(IF(A158&lt;&gt;A157,_xlfn.STDEV.P(IF(A$9:A157=A157,S$7:S157)),""),"")</f>
        <v/>
      </c>
      <c r="P157" s="36" t="str">
        <f t="shared" si="35"/>
        <v/>
      </c>
      <c r="Q157" s="36" t="str">
        <f t="shared" si="36"/>
        <v/>
      </c>
      <c r="R157" s="36" t="str">
        <f t="shared" si="43"/>
        <v/>
      </c>
      <c r="S157" s="37" t="str">
        <f t="shared" si="44"/>
        <v/>
      </c>
      <c r="T157" s="37" t="str">
        <f t="shared" si="37"/>
        <v/>
      </c>
      <c r="U157" s="54"/>
      <c r="V157" s="46"/>
      <c r="W157" s="39" t="str">
        <f t="shared" si="45"/>
        <v/>
      </c>
      <c r="X157" s="38"/>
      <c r="Y157" s="48"/>
      <c r="AB157" s="56">
        <f t="shared" si="46"/>
        <v>1</v>
      </c>
      <c r="AC157" s="52"/>
      <c r="AD157" s="52"/>
      <c r="AE157" s="29" t="str">
        <f>IFERROR(
IF(AND(OR(AC157="C",AC157="c"), VLOOKUP(AF157,[1]Diccionario!B:N,13,0)="C"), "OK",IF(AND(OR(AC157="C",AC157="c"), OR(VLOOKUP(AF157,[1]Diccionario!B:N,13,0)="B", VLOOKUP(AF157,[1]Diccionario!B:N,13,0)="A")), "DEFICIT",IF(
AND(OR(AC157="B", AC157="BPAL"), VLOOKUP(AF157,[1]Diccionario!B:N,13,0)="B"), "OK",IF(AND(OR(AC157="B", AC157="BPAL"), VLOOKUP(AF157,[1]Diccionario!B:N,13,0)="A"), "DEFICIT",IF(AND(OR(AC157="B", AC157="BPAL"), VLOOKUP(AF157,[1]Diccionario!B:N,13,0)="C"), "SOBREOFERTA",IF(AND(AC157="A", VLOOKUP(AF157,[1]Diccionario!B:N,13,0)="A"), "OK",IF(
AND(AC157="A", OR(VLOOKUP(AF157,[1]Diccionario!B:N,13,0)="B", VLOOKUP(AF157,[1]Diccionario!B:N,13,0)="C")), "SOBREOFERTA",""
))))))),"")</f>
        <v/>
      </c>
      <c r="AF157" s="48"/>
      <c r="AG157" s="53"/>
      <c r="AH157" s="54"/>
      <c r="AI157" s="55" t="str">
        <f t="shared" si="47"/>
        <v/>
      </c>
      <c r="AJ157" s="46"/>
      <c r="AK157" s="34" t="e">
        <f>IF(AB157&lt;&gt;"",HLOOKUP(VALUE(TEXT(AH157,"h:mm:ss")),IF($C$6="Laboral",[1]Input!$A$4:$Y$227,IF($C$6="Sábado",[1]Input!$A$231:$Y$452,[1]Input!$A$456:$Y$656)),VLOOKUP($C$4,[1]Input!$AG$2:$AI$99,3,0)+IF(AD$5="Ida",0,1),1),"")</f>
        <v>#N/A</v>
      </c>
      <c r="AL157" s="34" t="str">
        <f>IF(AB158&lt;&gt;AB157,AVERAGEIF(AB$9:AB157,AB157,AK$9:AK157),"")</f>
        <v/>
      </c>
      <c r="AM157" s="35" t="str">
        <f>IFERROR(IF(AB158&lt;&gt;AB157,AVERAGEIF(AB$9:AB157,AB157,AT$9:AT157),""),"")</f>
        <v/>
      </c>
      <c r="AN157" s="35" t="str">
        <f>IFERROR(IF(AB158&lt;&gt;AB157,AVERAGEIF(AB$9:AB157,AB157,AU$9:AU157),""),"")</f>
        <v/>
      </c>
      <c r="AO157" s="35" t="str" cm="1">
        <f t="array" ref="AO157">IFERROR(IF(AB158&lt;&gt;AB157,_xlfn.STDEV.P(IF(AB$9:AB157=AB157,AU$9:AU157)),""),"")</f>
        <v/>
      </c>
      <c r="AP157" s="35" t="str" cm="1">
        <f t="array" ref="AP157">IFERROR(IF(AB158&lt;&gt;AB157,_xlfn.STDEV.P(IF(AB$9:AB157=AB157,AT$9:AT157)),""),"")</f>
        <v/>
      </c>
      <c r="AQ157" s="36" t="str">
        <f t="shared" si="38"/>
        <v/>
      </c>
      <c r="AR157" s="36" t="str">
        <f t="shared" si="39"/>
        <v/>
      </c>
      <c r="AS157" s="36" t="str">
        <f t="shared" si="48"/>
        <v/>
      </c>
      <c r="AT157" s="37" t="str">
        <f t="shared" si="40"/>
        <v/>
      </c>
      <c r="AU157" s="37" t="str">
        <f t="shared" si="41"/>
        <v/>
      </c>
      <c r="AV157" s="54"/>
      <c r="AW157" s="46"/>
      <c r="AX157" s="39" t="str" cm="1">
        <f t="array" ref="AX157">IF(AH157&lt;&gt;"",IF(AND(AX155:AX156&lt;&gt;"IE",AQ157&lt;&gt;0,AS157&lt;&gt;""),IF(IFERROR((AQ157/AS157),0) &lt;=1,IFERROR(AQ157/AS157,""),1),""),"")</f>
        <v/>
      </c>
      <c r="AY157" s="46"/>
      <c r="AZ157" s="57"/>
    </row>
    <row r="158" spans="1:52" ht="15.5" x14ac:dyDescent="0.35">
      <c r="A158" s="51">
        <f t="shared" si="49"/>
        <v>1</v>
      </c>
      <c r="B158" s="52"/>
      <c r="C158" s="52"/>
      <c r="D158" s="29" t="str">
        <f>IFERROR(
IF(AND(OR(Planilla!B158="C",Planilla!B158="c"), VLOOKUP(E158,[1]Diccionario!B:N,13,0)="C"), "OK",IF(AND(OR(Planilla!B158="C",Planilla!B158="c"), OR(VLOOKUP(E158,[1]Diccionario!B:N,13,0)="B", VLOOKUP(E158,[1]Diccionario!B:N,13,0)="A")), "DEFICIT",IF(
AND(OR(Planilla!B158="B", Planilla!B158="BPAL"), VLOOKUP(E158,[1]Diccionario!B:N,13,0)="B"), "OK",IF(AND(OR(Planilla!B158="B", Planilla!B158="BPAL"), VLOOKUP(E158,[1]Diccionario!B:N,13,0)="A"), "DEFICIT",IF(AND(OR(Planilla!B158="B", Planilla!B158="BPAL"), VLOOKUP(E158,[1]Diccionario!B:N,13,0)="C"), "SOBREOFERTA",IF(AND(Planilla!B158="A", VLOOKUP(E158,[1]Diccionario!B:N,13,0)="A"), "OK",IF(
AND(Planilla!B158="A", OR(VLOOKUP(E158,[1]Diccionario!B:N,13,0)="B", VLOOKUP(E158,[1]Diccionario!B:N,13,0)="C")), "SOBREOFERTA",""
))))))),"")</f>
        <v/>
      </c>
      <c r="E158" s="48"/>
      <c r="F158" s="53"/>
      <c r="G158" s="54"/>
      <c r="H158" s="55" t="str">
        <f t="shared" si="42"/>
        <v/>
      </c>
      <c r="I158" s="35"/>
      <c r="J158" s="34" t="e">
        <f>IF(A158&lt;&gt;"",HLOOKUP(VALUE(TEXT(G158,"h:mm:ss")),IF($C$6="Laboral",[1]Input!$A$4:$Y$227,IF($C$6="Sábado",[1]Input!$A$231:$Y$452,[1]Input!$A$456:$Y$656)),VLOOKUP($C$4,[1]Input!$AG$2:$AI$99,3,0)+IF(C$5="Ida",0,1),1),"")</f>
        <v>#N/A</v>
      </c>
      <c r="K158" s="34" t="str">
        <f>IF(A159&lt;&gt;A158,AVERAGEIF(A$9:A158,A158,J$13:J158),"")</f>
        <v/>
      </c>
      <c r="L158" s="35" t="str">
        <f>IFERROR(IF(A159&lt;&gt;A158,AVERAGEIF(A$9:A158,A158,S$13:S158),""),"")</f>
        <v/>
      </c>
      <c r="M158" s="35" t="str">
        <f>IFERROR(IF(A159&lt;&gt;A158,AVERAGEIF(A$9:A158,A158,T$8:T158),""),"")</f>
        <v/>
      </c>
      <c r="N158" s="35" t="str" cm="1">
        <f t="array" ref="N158">IFERROR(IF(A159&lt;&gt;A158,_xlfn.STDEV.P(IF(A$9:A158=A158,T$7:T158)),""),"")</f>
        <v/>
      </c>
      <c r="O158" s="35" t="str" cm="1">
        <f t="array" ref="O158">IFERROR(IF(A159&lt;&gt;A158,_xlfn.STDEV.P(IF(A$9:A158=A158,S$7:S158)),""),"")</f>
        <v/>
      </c>
      <c r="P158" s="36" t="str">
        <f t="shared" si="35"/>
        <v/>
      </c>
      <c r="Q158" s="36" t="str">
        <f t="shared" si="36"/>
        <v/>
      </c>
      <c r="R158" s="36" t="str">
        <f t="shared" si="43"/>
        <v/>
      </c>
      <c r="S158" s="37" t="str">
        <f t="shared" si="44"/>
        <v/>
      </c>
      <c r="T158" s="37" t="str">
        <f t="shared" si="37"/>
        <v/>
      </c>
      <c r="U158" s="54"/>
      <c r="V158" s="46"/>
      <c r="W158" s="39" t="str">
        <f t="shared" si="45"/>
        <v/>
      </c>
      <c r="X158" s="38"/>
      <c r="Y158" s="48"/>
      <c r="AB158" s="56">
        <f t="shared" si="46"/>
        <v>1</v>
      </c>
      <c r="AC158" s="52"/>
      <c r="AD158" s="52"/>
      <c r="AE158" s="29" t="str">
        <f>IFERROR(
IF(AND(OR(AC158="C",AC158="c"), VLOOKUP(AF158,[1]Diccionario!B:N,13,0)="C"), "OK",IF(AND(OR(AC158="C",AC158="c"), OR(VLOOKUP(AF158,[1]Diccionario!B:N,13,0)="B", VLOOKUP(AF158,[1]Diccionario!B:N,13,0)="A")), "DEFICIT",IF(
AND(OR(AC158="B", AC158="BPAL"), VLOOKUP(AF158,[1]Diccionario!B:N,13,0)="B"), "OK",IF(AND(OR(AC158="B", AC158="BPAL"), VLOOKUP(AF158,[1]Diccionario!B:N,13,0)="A"), "DEFICIT",IF(AND(OR(AC158="B", AC158="BPAL"), VLOOKUP(AF158,[1]Diccionario!B:N,13,0)="C"), "SOBREOFERTA",IF(AND(AC158="A", VLOOKUP(AF158,[1]Diccionario!B:N,13,0)="A"), "OK",IF(
AND(AC158="A", OR(VLOOKUP(AF158,[1]Diccionario!B:N,13,0)="B", VLOOKUP(AF158,[1]Diccionario!B:N,13,0)="C")), "SOBREOFERTA",""
))))))),"")</f>
        <v/>
      </c>
      <c r="AF158" s="48"/>
      <c r="AG158" s="53"/>
      <c r="AH158" s="54"/>
      <c r="AI158" s="55" t="str">
        <f t="shared" si="47"/>
        <v/>
      </c>
      <c r="AJ158" s="46"/>
      <c r="AK158" s="34" t="e">
        <f>IF(AB158&lt;&gt;"",HLOOKUP(VALUE(TEXT(AH158,"h:mm:ss")),IF($C$6="Laboral",[1]Input!$A$4:$Y$227,IF($C$6="Sábado",[1]Input!$A$231:$Y$452,[1]Input!$A$456:$Y$656)),VLOOKUP($C$4,[1]Input!$AG$2:$AI$99,3,0)+IF(AD$5="Ida",0,1),1),"")</f>
        <v>#N/A</v>
      </c>
      <c r="AL158" s="34" t="str">
        <f>IF(AB159&lt;&gt;AB158,AVERAGEIF(AB$9:AB158,AB158,AK$9:AK158),"")</f>
        <v/>
      </c>
      <c r="AM158" s="35" t="str">
        <f>IFERROR(IF(AB159&lt;&gt;AB158,AVERAGEIF(AB$9:AB158,AB158,AT$9:AT158),""),"")</f>
        <v/>
      </c>
      <c r="AN158" s="35" t="str">
        <f>IFERROR(IF(AB159&lt;&gt;AB158,AVERAGEIF(AB$9:AB158,AB158,AU$9:AU158),""),"")</f>
        <v/>
      </c>
      <c r="AO158" s="35" t="str" cm="1">
        <f t="array" ref="AO158">IFERROR(IF(AB159&lt;&gt;AB158,_xlfn.STDEV.P(IF(AB$9:AB158=AB158,AU$9:AU158)),""),"")</f>
        <v/>
      </c>
      <c r="AP158" s="35" t="str" cm="1">
        <f t="array" ref="AP158">IFERROR(IF(AB159&lt;&gt;AB158,_xlfn.STDEV.P(IF(AB$9:AB158=AB158,AT$9:AT158)),""),"")</f>
        <v/>
      </c>
      <c r="AQ158" s="36" t="str">
        <f t="shared" si="38"/>
        <v/>
      </c>
      <c r="AR158" s="36" t="str">
        <f t="shared" si="39"/>
        <v/>
      </c>
      <c r="AS158" s="36" t="str">
        <f t="shared" si="48"/>
        <v/>
      </c>
      <c r="AT158" s="37" t="str">
        <f t="shared" si="40"/>
        <v/>
      </c>
      <c r="AU158" s="37" t="str">
        <f t="shared" si="41"/>
        <v/>
      </c>
      <c r="AV158" s="54"/>
      <c r="AW158" s="46"/>
      <c r="AX158" s="39" t="str" cm="1">
        <f t="array" ref="AX158">IF(AH158&lt;&gt;"",IF(AND(AX156:AX157&lt;&gt;"IE",AQ158&lt;&gt;0,AS158&lt;&gt;""),IF(IFERROR((AQ158/AS158),0) &lt;=1,IFERROR(AQ158/AS158,""),1),""),"")</f>
        <v/>
      </c>
      <c r="AY158" s="46"/>
      <c r="AZ158" s="57"/>
    </row>
    <row r="159" spans="1:52" ht="15.5" x14ac:dyDescent="0.35">
      <c r="A159" s="51">
        <f t="shared" si="49"/>
        <v>1</v>
      </c>
      <c r="B159" s="52"/>
      <c r="C159" s="52"/>
      <c r="D159" s="29" t="str">
        <f>IFERROR(
IF(AND(OR(Planilla!B159="C",Planilla!B159="c"), VLOOKUP(E159,[1]Diccionario!B:N,13,0)="C"), "OK",IF(AND(OR(Planilla!B159="C",Planilla!B159="c"), OR(VLOOKUP(E159,[1]Diccionario!B:N,13,0)="B", VLOOKUP(E159,[1]Diccionario!B:N,13,0)="A")), "DEFICIT",IF(
AND(OR(Planilla!B159="B", Planilla!B159="BPAL"), VLOOKUP(E159,[1]Diccionario!B:N,13,0)="B"), "OK",IF(AND(OR(Planilla!B159="B", Planilla!B159="BPAL"), VLOOKUP(E159,[1]Diccionario!B:N,13,0)="A"), "DEFICIT",IF(AND(OR(Planilla!B159="B", Planilla!B159="BPAL"), VLOOKUP(E159,[1]Diccionario!B:N,13,0)="C"), "SOBREOFERTA",IF(AND(Planilla!B159="A", VLOOKUP(E159,[1]Diccionario!B:N,13,0)="A"), "OK",IF(
AND(Planilla!B159="A", OR(VLOOKUP(E159,[1]Diccionario!B:N,13,0)="B", VLOOKUP(E159,[1]Diccionario!B:N,13,0)="C")), "SOBREOFERTA",""
))))))),"")</f>
        <v/>
      </c>
      <c r="E159" s="48"/>
      <c r="F159" s="53"/>
      <c r="G159" s="54"/>
      <c r="H159" s="55" t="str">
        <f t="shared" si="42"/>
        <v/>
      </c>
      <c r="I159" s="35"/>
      <c r="J159" s="34" t="e">
        <f>IF(A159&lt;&gt;"",HLOOKUP(VALUE(TEXT(G159,"h:mm:ss")),IF($C$6="Laboral",[1]Input!$A$4:$Y$227,IF($C$6="Sábado",[1]Input!$A$231:$Y$452,[1]Input!$A$456:$Y$656)),VLOOKUP($C$4,[1]Input!$AG$2:$AI$99,3,0)+IF(C$5="Ida",0,1),1),"")</f>
        <v>#N/A</v>
      </c>
      <c r="K159" s="34" t="str">
        <f>IF(A160&lt;&gt;A159,AVERAGEIF(A$9:A159,A159,J$13:J159),"")</f>
        <v/>
      </c>
      <c r="L159" s="35" t="str">
        <f>IFERROR(IF(A160&lt;&gt;A159,AVERAGEIF(A$9:A159,A159,S$13:S159),""),"")</f>
        <v/>
      </c>
      <c r="M159" s="35" t="str">
        <f>IFERROR(IF(A160&lt;&gt;A159,AVERAGEIF(A$9:A159,A159,T$8:T159),""),"")</f>
        <v/>
      </c>
      <c r="N159" s="35" t="str" cm="1">
        <f t="array" ref="N159">IFERROR(IF(A160&lt;&gt;A159,_xlfn.STDEV.P(IF(A$9:A159=A159,T$7:T159)),""),"")</f>
        <v/>
      </c>
      <c r="O159" s="35" t="str" cm="1">
        <f t="array" ref="O159">IFERROR(IF(A160&lt;&gt;A159,_xlfn.STDEV.P(IF(A$9:A159=A159,S$7:S159)),""),"")</f>
        <v/>
      </c>
      <c r="P159" s="36" t="str">
        <f t="shared" si="35"/>
        <v/>
      </c>
      <c r="Q159" s="36" t="str">
        <f t="shared" si="36"/>
        <v/>
      </c>
      <c r="R159" s="36" t="str">
        <f t="shared" si="43"/>
        <v/>
      </c>
      <c r="S159" s="37" t="str">
        <f t="shared" si="44"/>
        <v/>
      </c>
      <c r="T159" s="37" t="str">
        <f t="shared" si="37"/>
        <v/>
      </c>
      <c r="U159" s="54"/>
      <c r="V159" s="46"/>
      <c r="W159" s="39" t="str">
        <f t="shared" si="45"/>
        <v/>
      </c>
      <c r="X159" s="38"/>
      <c r="Y159" s="48"/>
      <c r="AB159" s="56">
        <f t="shared" si="46"/>
        <v>1</v>
      </c>
      <c r="AC159" s="52"/>
      <c r="AD159" s="52"/>
      <c r="AE159" s="29" t="str">
        <f>IFERROR(
IF(AND(OR(AC159="C",AC159="c"), VLOOKUP(AF159,[1]Diccionario!B:N,13,0)="C"), "OK",IF(AND(OR(AC159="C",AC159="c"), OR(VLOOKUP(AF159,[1]Diccionario!B:N,13,0)="B", VLOOKUP(AF159,[1]Diccionario!B:N,13,0)="A")), "DEFICIT",IF(
AND(OR(AC159="B", AC159="BPAL"), VLOOKUP(AF159,[1]Diccionario!B:N,13,0)="B"), "OK",IF(AND(OR(AC159="B", AC159="BPAL"), VLOOKUP(AF159,[1]Diccionario!B:N,13,0)="A"), "DEFICIT",IF(AND(OR(AC159="B", AC159="BPAL"), VLOOKUP(AF159,[1]Diccionario!B:N,13,0)="C"), "SOBREOFERTA",IF(AND(AC159="A", VLOOKUP(AF159,[1]Diccionario!B:N,13,0)="A"), "OK",IF(
AND(AC159="A", OR(VLOOKUP(AF159,[1]Diccionario!B:N,13,0)="B", VLOOKUP(AF159,[1]Diccionario!B:N,13,0)="C")), "SOBREOFERTA",""
))))))),"")</f>
        <v/>
      </c>
      <c r="AF159" s="48"/>
      <c r="AG159" s="53"/>
      <c r="AH159" s="54"/>
      <c r="AI159" s="55" t="str">
        <f t="shared" si="47"/>
        <v/>
      </c>
      <c r="AJ159" s="46"/>
      <c r="AK159" s="34" t="e">
        <f>IF(AB159&lt;&gt;"",HLOOKUP(VALUE(TEXT(AH159,"h:mm:ss")),IF($C$6="Laboral",[1]Input!$A$4:$Y$227,IF($C$6="Sábado",[1]Input!$A$231:$Y$452,[1]Input!$A$456:$Y$656)),VLOOKUP($C$4,[1]Input!$AG$2:$AI$99,3,0)+IF(AD$5="Ida",0,1),1),"")</f>
        <v>#N/A</v>
      </c>
      <c r="AL159" s="34" t="str">
        <f>IF(AB160&lt;&gt;AB159,AVERAGEIF(AB$9:AB159,AB159,AK$9:AK159),"")</f>
        <v/>
      </c>
      <c r="AM159" s="35" t="str">
        <f>IFERROR(IF(AB160&lt;&gt;AB159,AVERAGEIF(AB$9:AB159,AB159,AT$9:AT159),""),"")</f>
        <v/>
      </c>
      <c r="AN159" s="35" t="str">
        <f>IFERROR(IF(AB160&lt;&gt;AB159,AVERAGEIF(AB$9:AB159,AB159,AU$9:AU159),""),"")</f>
        <v/>
      </c>
      <c r="AO159" s="35" t="str" cm="1">
        <f t="array" ref="AO159">IFERROR(IF(AB160&lt;&gt;AB159,_xlfn.STDEV.P(IF(AB$9:AB159=AB159,AU$9:AU159)),""),"")</f>
        <v/>
      </c>
      <c r="AP159" s="35" t="str" cm="1">
        <f t="array" ref="AP159">IFERROR(IF(AB160&lt;&gt;AB159,_xlfn.STDEV.P(IF(AB$9:AB159=AB159,AT$9:AT159)),""),"")</f>
        <v/>
      </c>
      <c r="AQ159" s="36" t="str">
        <f t="shared" si="38"/>
        <v/>
      </c>
      <c r="AR159" s="36" t="str">
        <f t="shared" si="39"/>
        <v/>
      </c>
      <c r="AS159" s="36" t="str">
        <f t="shared" si="48"/>
        <v/>
      </c>
      <c r="AT159" s="37" t="str">
        <f t="shared" si="40"/>
        <v/>
      </c>
      <c r="AU159" s="37" t="str">
        <f t="shared" si="41"/>
        <v/>
      </c>
      <c r="AV159" s="54"/>
      <c r="AW159" s="46"/>
      <c r="AX159" s="39" t="str" cm="1">
        <f t="array" ref="AX159">IF(AH159&lt;&gt;"",IF(AND(AX157:AX158&lt;&gt;"IE",AQ159&lt;&gt;0,AS159&lt;&gt;""),IF(IFERROR((AQ159/AS159),0) &lt;=1,IFERROR(AQ159/AS159,""),1),""),"")</f>
        <v/>
      </c>
      <c r="AY159" s="46"/>
      <c r="AZ159" s="57"/>
    </row>
    <row r="160" spans="1:52" ht="15.5" x14ac:dyDescent="0.35">
      <c r="A160" s="51">
        <f t="shared" si="49"/>
        <v>1</v>
      </c>
      <c r="B160" s="52"/>
      <c r="C160" s="52"/>
      <c r="D160" s="29" t="str">
        <f>IFERROR(
IF(AND(OR(Planilla!B160="C",Planilla!B160="c"), VLOOKUP(E160,[1]Diccionario!B:N,13,0)="C"), "OK",IF(AND(OR(Planilla!B160="C",Planilla!B160="c"), OR(VLOOKUP(E160,[1]Diccionario!B:N,13,0)="B", VLOOKUP(E160,[1]Diccionario!B:N,13,0)="A")), "DEFICIT",IF(
AND(OR(Planilla!B160="B", Planilla!B160="BPAL"), VLOOKUP(E160,[1]Diccionario!B:N,13,0)="B"), "OK",IF(AND(OR(Planilla!B160="B", Planilla!B160="BPAL"), VLOOKUP(E160,[1]Diccionario!B:N,13,0)="A"), "DEFICIT",IF(AND(OR(Planilla!B160="B", Planilla!B160="BPAL"), VLOOKUP(E160,[1]Diccionario!B:N,13,0)="C"), "SOBREOFERTA",IF(AND(Planilla!B160="A", VLOOKUP(E160,[1]Diccionario!B:N,13,0)="A"), "OK",IF(
AND(Planilla!B160="A", OR(VLOOKUP(E160,[1]Diccionario!B:N,13,0)="B", VLOOKUP(E160,[1]Diccionario!B:N,13,0)="C")), "SOBREOFERTA",""
))))))),"")</f>
        <v/>
      </c>
      <c r="E160" s="48"/>
      <c r="F160" s="53"/>
      <c r="G160" s="54"/>
      <c r="H160" s="55" t="str">
        <f t="shared" si="42"/>
        <v/>
      </c>
      <c r="I160" s="35"/>
      <c r="J160" s="34" t="e">
        <f>IF(A160&lt;&gt;"",HLOOKUP(VALUE(TEXT(G160,"h:mm:ss")),IF($C$6="Laboral",[1]Input!$A$4:$Y$227,IF($C$6="Sábado",[1]Input!$A$231:$Y$452,[1]Input!$A$456:$Y$656)),VLOOKUP($C$4,[1]Input!$AG$2:$AI$99,3,0)+IF(C$5="Ida",0,1),1),"")</f>
        <v>#N/A</v>
      </c>
      <c r="K160" s="34" t="str">
        <f>IF(A161&lt;&gt;A160,AVERAGEIF(A$9:A160,A160,J$13:J160),"")</f>
        <v/>
      </c>
      <c r="L160" s="35" t="str">
        <f>IFERROR(IF(A161&lt;&gt;A160,AVERAGEIF(A$9:A160,A160,S$13:S160),""),"")</f>
        <v/>
      </c>
      <c r="M160" s="35" t="str">
        <f>IFERROR(IF(A161&lt;&gt;A160,AVERAGEIF(A$9:A160,A160,T$8:T160),""),"")</f>
        <v/>
      </c>
      <c r="N160" s="35" t="str" cm="1">
        <f t="array" ref="N160">IFERROR(IF(A161&lt;&gt;A160,_xlfn.STDEV.P(IF(A$9:A160=A160,T$7:T160)),""),"")</f>
        <v/>
      </c>
      <c r="O160" s="35" t="str" cm="1">
        <f t="array" ref="O160">IFERROR(IF(A161&lt;&gt;A160,_xlfn.STDEV.P(IF(A$9:A160=A160,S$7:S160)),""),"")</f>
        <v/>
      </c>
      <c r="P160" s="36" t="str">
        <f t="shared" si="35"/>
        <v/>
      </c>
      <c r="Q160" s="36" t="str">
        <f t="shared" si="36"/>
        <v/>
      </c>
      <c r="R160" s="36" t="str">
        <f t="shared" si="43"/>
        <v/>
      </c>
      <c r="S160" s="37" t="str">
        <f t="shared" si="44"/>
        <v/>
      </c>
      <c r="T160" s="37" t="str">
        <f t="shared" si="37"/>
        <v/>
      </c>
      <c r="U160" s="54"/>
      <c r="V160" s="46"/>
      <c r="W160" s="39" t="str">
        <f t="shared" si="45"/>
        <v/>
      </c>
      <c r="X160" s="38"/>
      <c r="Y160" s="48"/>
      <c r="AB160" s="56">
        <f t="shared" si="46"/>
        <v>1</v>
      </c>
      <c r="AC160" s="52"/>
      <c r="AD160" s="52"/>
      <c r="AE160" s="29" t="str">
        <f>IFERROR(
IF(AND(OR(AC160="C",AC160="c"), VLOOKUP(AF160,[1]Diccionario!B:N,13,0)="C"), "OK",IF(AND(OR(AC160="C",AC160="c"), OR(VLOOKUP(AF160,[1]Diccionario!B:N,13,0)="B", VLOOKUP(AF160,[1]Diccionario!B:N,13,0)="A")), "DEFICIT",IF(
AND(OR(AC160="B", AC160="BPAL"), VLOOKUP(AF160,[1]Diccionario!B:N,13,0)="B"), "OK",IF(AND(OR(AC160="B", AC160="BPAL"), VLOOKUP(AF160,[1]Diccionario!B:N,13,0)="A"), "DEFICIT",IF(AND(OR(AC160="B", AC160="BPAL"), VLOOKUP(AF160,[1]Diccionario!B:N,13,0)="C"), "SOBREOFERTA",IF(AND(AC160="A", VLOOKUP(AF160,[1]Diccionario!B:N,13,0)="A"), "OK",IF(
AND(AC160="A", OR(VLOOKUP(AF160,[1]Diccionario!B:N,13,0)="B", VLOOKUP(AF160,[1]Diccionario!B:N,13,0)="C")), "SOBREOFERTA",""
))))))),"")</f>
        <v/>
      </c>
      <c r="AF160" s="48"/>
      <c r="AG160" s="53"/>
      <c r="AH160" s="54"/>
      <c r="AI160" s="55" t="str">
        <f t="shared" si="47"/>
        <v/>
      </c>
      <c r="AJ160" s="46"/>
      <c r="AK160" s="34" t="e">
        <f>IF(AB160&lt;&gt;"",HLOOKUP(VALUE(TEXT(AH160,"h:mm:ss")),IF($C$6="Laboral",[1]Input!$A$4:$Y$227,IF($C$6="Sábado",[1]Input!$A$231:$Y$452,[1]Input!$A$456:$Y$656)),VLOOKUP($C$4,[1]Input!$AG$2:$AI$99,3,0)+IF(AD$5="Ida",0,1),1),"")</f>
        <v>#N/A</v>
      </c>
      <c r="AL160" s="34" t="str">
        <f>IF(AB161&lt;&gt;AB160,AVERAGEIF(AB$9:AB160,AB160,AK$9:AK160),"")</f>
        <v/>
      </c>
      <c r="AM160" s="35" t="str">
        <f>IFERROR(IF(AB161&lt;&gt;AB160,AVERAGEIF(AB$9:AB160,AB160,AT$9:AT160),""),"")</f>
        <v/>
      </c>
      <c r="AN160" s="35" t="str">
        <f>IFERROR(IF(AB161&lt;&gt;AB160,AVERAGEIF(AB$9:AB160,AB160,AU$9:AU160),""),"")</f>
        <v/>
      </c>
      <c r="AO160" s="35" t="str" cm="1">
        <f t="array" ref="AO160">IFERROR(IF(AB161&lt;&gt;AB160,_xlfn.STDEV.P(IF(AB$9:AB160=AB160,AU$9:AU160)),""),"")</f>
        <v/>
      </c>
      <c r="AP160" s="35" t="str" cm="1">
        <f t="array" ref="AP160">IFERROR(IF(AB161&lt;&gt;AB160,_xlfn.STDEV.P(IF(AB$9:AB160=AB160,AT$9:AT160)),""),"")</f>
        <v/>
      </c>
      <c r="AQ160" s="36" t="str">
        <f t="shared" si="38"/>
        <v/>
      </c>
      <c r="AR160" s="36" t="str">
        <f t="shared" si="39"/>
        <v/>
      </c>
      <c r="AS160" s="36" t="str">
        <f t="shared" si="48"/>
        <v/>
      </c>
      <c r="AT160" s="37" t="str">
        <f t="shared" si="40"/>
        <v/>
      </c>
      <c r="AU160" s="37" t="str">
        <f t="shared" si="41"/>
        <v/>
      </c>
      <c r="AV160" s="54"/>
      <c r="AW160" s="46"/>
      <c r="AX160" s="39" t="str" cm="1">
        <f t="array" ref="AX160">IF(AH160&lt;&gt;"",IF(AND(AX158:AX159&lt;&gt;"IE",AQ160&lt;&gt;0,AS160&lt;&gt;""),IF(IFERROR((AQ160/AS160),0) &lt;=1,IFERROR(AQ160/AS160,""),1),""),"")</f>
        <v/>
      </c>
      <c r="AY160" s="46"/>
      <c r="AZ160" s="57"/>
    </row>
    <row r="161" spans="1:52" ht="15.5" x14ac:dyDescent="0.35">
      <c r="A161" s="51">
        <f t="shared" si="49"/>
        <v>1</v>
      </c>
      <c r="B161" s="52"/>
      <c r="C161" s="52"/>
      <c r="D161" s="29" t="str">
        <f>IFERROR(
IF(AND(OR(Planilla!B161="C",Planilla!B161="c"), VLOOKUP(E161,[1]Diccionario!B:N,13,0)="C"), "OK",IF(AND(OR(Planilla!B161="C",Planilla!B161="c"), OR(VLOOKUP(E161,[1]Diccionario!B:N,13,0)="B", VLOOKUP(E161,[1]Diccionario!B:N,13,0)="A")), "DEFICIT",IF(
AND(OR(Planilla!B161="B", Planilla!B161="BPAL"), VLOOKUP(E161,[1]Diccionario!B:N,13,0)="B"), "OK",IF(AND(OR(Planilla!B161="B", Planilla!B161="BPAL"), VLOOKUP(E161,[1]Diccionario!B:N,13,0)="A"), "DEFICIT",IF(AND(OR(Planilla!B161="B", Planilla!B161="BPAL"), VLOOKUP(E161,[1]Diccionario!B:N,13,0)="C"), "SOBREOFERTA",IF(AND(Planilla!B161="A", VLOOKUP(E161,[1]Diccionario!B:N,13,0)="A"), "OK",IF(
AND(Planilla!B161="A", OR(VLOOKUP(E161,[1]Diccionario!B:N,13,0)="B", VLOOKUP(E161,[1]Diccionario!B:N,13,0)="C")), "SOBREOFERTA",""
))))))),"")</f>
        <v/>
      </c>
      <c r="E161" s="48"/>
      <c r="F161" s="53"/>
      <c r="G161" s="54"/>
      <c r="H161" s="55" t="str">
        <f t="shared" si="42"/>
        <v/>
      </c>
      <c r="I161" s="35"/>
      <c r="J161" s="34" t="e">
        <f>IF(A161&lt;&gt;"",HLOOKUP(VALUE(TEXT(G161,"h:mm:ss")),IF($C$6="Laboral",[1]Input!$A$4:$Y$227,IF($C$6="Sábado",[1]Input!$A$231:$Y$452,[1]Input!$A$456:$Y$656)),VLOOKUP($C$4,[1]Input!$AG$2:$AI$99,3,0)+IF(C$5="Ida",0,1),1),"")</f>
        <v>#N/A</v>
      </c>
      <c r="K161" s="34" t="str">
        <f>IF(A162&lt;&gt;A161,AVERAGEIF(A$9:A161,A161,J$13:J161),"")</f>
        <v/>
      </c>
      <c r="L161" s="35" t="str">
        <f>IFERROR(IF(A162&lt;&gt;A161,AVERAGEIF(A$9:A161,A161,S$13:S161),""),"")</f>
        <v/>
      </c>
      <c r="M161" s="35" t="str">
        <f>IFERROR(IF(A162&lt;&gt;A161,AVERAGEIF(A$9:A161,A161,T$8:T161),""),"")</f>
        <v/>
      </c>
      <c r="N161" s="35" t="str" cm="1">
        <f t="array" ref="N161">IFERROR(IF(A162&lt;&gt;A161,_xlfn.STDEV.P(IF(A$9:A161=A161,T$7:T161)),""),"")</f>
        <v/>
      </c>
      <c r="O161" s="35" t="str" cm="1">
        <f t="array" ref="O161">IFERROR(IF(A162&lt;&gt;A161,_xlfn.STDEV.P(IF(A$9:A161=A161,S$7:S161)),""),"")</f>
        <v/>
      </c>
      <c r="P161" s="36" t="str">
        <f t="shared" si="35"/>
        <v/>
      </c>
      <c r="Q161" s="36" t="str">
        <f t="shared" si="36"/>
        <v/>
      </c>
      <c r="R161" s="36" t="str">
        <f t="shared" si="43"/>
        <v/>
      </c>
      <c r="S161" s="37" t="str">
        <f t="shared" si="44"/>
        <v/>
      </c>
      <c r="T161" s="37" t="str">
        <f t="shared" si="37"/>
        <v/>
      </c>
      <c r="U161" s="54"/>
      <c r="V161" s="46"/>
      <c r="W161" s="39" t="str">
        <f t="shared" si="45"/>
        <v/>
      </c>
      <c r="X161" s="38"/>
      <c r="Y161" s="48"/>
      <c r="AB161" s="56">
        <f t="shared" si="46"/>
        <v>1</v>
      </c>
      <c r="AC161" s="52"/>
      <c r="AD161" s="52"/>
      <c r="AE161" s="29" t="str">
        <f>IFERROR(
IF(AND(OR(AC161="C",AC161="c"), VLOOKUP(AF161,[1]Diccionario!B:N,13,0)="C"), "OK",IF(AND(OR(AC161="C",AC161="c"), OR(VLOOKUP(AF161,[1]Diccionario!B:N,13,0)="B", VLOOKUP(AF161,[1]Diccionario!B:N,13,0)="A")), "DEFICIT",IF(
AND(OR(AC161="B", AC161="BPAL"), VLOOKUP(AF161,[1]Diccionario!B:N,13,0)="B"), "OK",IF(AND(OR(AC161="B", AC161="BPAL"), VLOOKUP(AF161,[1]Diccionario!B:N,13,0)="A"), "DEFICIT",IF(AND(OR(AC161="B", AC161="BPAL"), VLOOKUP(AF161,[1]Diccionario!B:N,13,0)="C"), "SOBREOFERTA",IF(AND(AC161="A", VLOOKUP(AF161,[1]Diccionario!B:N,13,0)="A"), "OK",IF(
AND(AC161="A", OR(VLOOKUP(AF161,[1]Diccionario!B:N,13,0)="B", VLOOKUP(AF161,[1]Diccionario!B:N,13,0)="C")), "SOBREOFERTA",""
))))))),"")</f>
        <v/>
      </c>
      <c r="AF161" s="48"/>
      <c r="AG161" s="53"/>
      <c r="AH161" s="54"/>
      <c r="AI161" s="55" t="str">
        <f t="shared" si="47"/>
        <v/>
      </c>
      <c r="AJ161" s="46"/>
      <c r="AK161" s="34" t="e">
        <f>IF(AB161&lt;&gt;"",HLOOKUP(VALUE(TEXT(AH161,"h:mm:ss")),IF($C$6="Laboral",[1]Input!$A$4:$Y$227,IF($C$6="Sábado",[1]Input!$A$231:$Y$452,[1]Input!$A$456:$Y$656)),VLOOKUP($C$4,[1]Input!$AG$2:$AI$99,3,0)+IF(AD$5="Ida",0,1),1),"")</f>
        <v>#N/A</v>
      </c>
      <c r="AL161" s="34" t="str">
        <f>IF(AB162&lt;&gt;AB161,AVERAGEIF(AB$9:AB161,AB161,AK$9:AK161),"")</f>
        <v/>
      </c>
      <c r="AM161" s="35" t="str">
        <f>IFERROR(IF(AB162&lt;&gt;AB161,AVERAGEIF(AB$9:AB161,AB161,AT$9:AT161),""),"")</f>
        <v/>
      </c>
      <c r="AN161" s="35" t="str">
        <f>IFERROR(IF(AB162&lt;&gt;AB161,AVERAGEIF(AB$9:AB161,AB161,AU$9:AU161),""),"")</f>
        <v/>
      </c>
      <c r="AO161" s="35" t="str" cm="1">
        <f t="array" ref="AO161">IFERROR(IF(AB162&lt;&gt;AB161,_xlfn.STDEV.P(IF(AB$9:AB161=AB161,AU$9:AU161)),""),"")</f>
        <v/>
      </c>
      <c r="AP161" s="35" t="str" cm="1">
        <f t="array" ref="AP161">IFERROR(IF(AB162&lt;&gt;AB161,_xlfn.STDEV.P(IF(AB$9:AB161=AB161,AT$9:AT161)),""),"")</f>
        <v/>
      </c>
      <c r="AQ161" s="36" t="str">
        <f t="shared" si="38"/>
        <v/>
      </c>
      <c r="AR161" s="36" t="str">
        <f t="shared" si="39"/>
        <v/>
      </c>
      <c r="AS161" s="36" t="str">
        <f t="shared" si="48"/>
        <v/>
      </c>
      <c r="AT161" s="37" t="str">
        <f t="shared" si="40"/>
        <v/>
      </c>
      <c r="AU161" s="37" t="str">
        <f t="shared" si="41"/>
        <v/>
      </c>
      <c r="AV161" s="54"/>
      <c r="AW161" s="46"/>
      <c r="AX161" s="39" t="str" cm="1">
        <f t="array" ref="AX161">IF(AH161&lt;&gt;"",IF(AND(AX159:AX160&lt;&gt;"IE",AQ161&lt;&gt;0,AS161&lt;&gt;""),IF(IFERROR((AQ161/AS161),0) &lt;=1,IFERROR(AQ161/AS161,""),1),""),"")</f>
        <v/>
      </c>
      <c r="AY161" s="46"/>
      <c r="AZ161" s="57"/>
    </row>
    <row r="162" spans="1:52" ht="15.5" x14ac:dyDescent="0.35">
      <c r="A162" s="51">
        <f t="shared" si="49"/>
        <v>1</v>
      </c>
      <c r="B162" s="52"/>
      <c r="C162" s="52"/>
      <c r="D162" s="29" t="str">
        <f>IFERROR(
IF(AND(OR(Planilla!B162="C",Planilla!B162="c"), VLOOKUP(E162,[1]Diccionario!B:N,13,0)="C"), "OK",IF(AND(OR(Planilla!B162="C",Planilla!B162="c"), OR(VLOOKUP(E162,[1]Diccionario!B:N,13,0)="B", VLOOKUP(E162,[1]Diccionario!B:N,13,0)="A")), "DEFICIT",IF(
AND(OR(Planilla!B162="B", Planilla!B162="BPAL"), VLOOKUP(E162,[1]Diccionario!B:N,13,0)="B"), "OK",IF(AND(OR(Planilla!B162="B", Planilla!B162="BPAL"), VLOOKUP(E162,[1]Diccionario!B:N,13,0)="A"), "DEFICIT",IF(AND(OR(Planilla!B162="B", Planilla!B162="BPAL"), VLOOKUP(E162,[1]Diccionario!B:N,13,0)="C"), "SOBREOFERTA",IF(AND(Planilla!B162="A", VLOOKUP(E162,[1]Diccionario!B:N,13,0)="A"), "OK",IF(
AND(Planilla!B162="A", OR(VLOOKUP(E162,[1]Diccionario!B:N,13,0)="B", VLOOKUP(E162,[1]Diccionario!B:N,13,0)="C")), "SOBREOFERTA",""
))))))),"")</f>
        <v/>
      </c>
      <c r="E162" s="48"/>
      <c r="F162" s="53"/>
      <c r="G162" s="54"/>
      <c r="H162" s="55" t="str">
        <f t="shared" si="42"/>
        <v/>
      </c>
      <c r="I162" s="35"/>
      <c r="J162" s="34" t="e">
        <f>IF(A162&lt;&gt;"",HLOOKUP(VALUE(TEXT(G162,"h:mm:ss")),IF($C$6="Laboral",[1]Input!$A$4:$Y$227,IF($C$6="Sábado",[1]Input!$A$231:$Y$452,[1]Input!$A$456:$Y$656)),VLOOKUP($C$4,[1]Input!$AG$2:$AI$99,3,0)+IF(C$5="Ida",0,1),1),"")</f>
        <v>#N/A</v>
      </c>
      <c r="K162" s="34" t="str">
        <f>IF(A163&lt;&gt;A162,AVERAGEIF(A$9:A162,A162,J$13:J162),"")</f>
        <v/>
      </c>
      <c r="L162" s="35" t="str">
        <f>IFERROR(IF(A163&lt;&gt;A162,AVERAGEIF(A$9:A162,A162,S$13:S162),""),"")</f>
        <v/>
      </c>
      <c r="M162" s="35" t="str">
        <f>IFERROR(IF(A163&lt;&gt;A162,AVERAGEIF(A$9:A162,A162,T$8:T162),""),"")</f>
        <v/>
      </c>
      <c r="N162" s="35" t="str" cm="1">
        <f t="array" ref="N162">IFERROR(IF(A163&lt;&gt;A162,_xlfn.STDEV.P(IF(A$9:A162=A162,T$7:T162)),""),"")</f>
        <v/>
      </c>
      <c r="O162" s="35" t="str" cm="1">
        <f t="array" ref="O162">IFERROR(IF(A163&lt;&gt;A162,_xlfn.STDEV.P(IF(A$9:A162=A162,S$7:S162)),""),"")</f>
        <v/>
      </c>
      <c r="P162" s="36" t="str">
        <f t="shared" si="35"/>
        <v/>
      </c>
      <c r="Q162" s="36" t="str">
        <f t="shared" si="36"/>
        <v/>
      </c>
      <c r="R162" s="36" t="str">
        <f t="shared" si="43"/>
        <v/>
      </c>
      <c r="S162" s="37" t="str">
        <f t="shared" si="44"/>
        <v/>
      </c>
      <c r="T162" s="37" t="str">
        <f t="shared" si="37"/>
        <v/>
      </c>
      <c r="U162" s="54"/>
      <c r="V162" s="46"/>
      <c r="W162" s="39" t="str">
        <f t="shared" si="45"/>
        <v/>
      </c>
      <c r="X162" s="38"/>
      <c r="Y162" s="48"/>
      <c r="AB162" s="56">
        <f t="shared" si="46"/>
        <v>1</v>
      </c>
      <c r="AC162" s="52"/>
      <c r="AD162" s="52"/>
      <c r="AE162" s="29" t="str">
        <f>IFERROR(
IF(AND(OR(AC162="C",AC162="c"), VLOOKUP(AF162,[1]Diccionario!B:N,13,0)="C"), "OK",IF(AND(OR(AC162="C",AC162="c"), OR(VLOOKUP(AF162,[1]Diccionario!B:N,13,0)="B", VLOOKUP(AF162,[1]Diccionario!B:N,13,0)="A")), "DEFICIT",IF(
AND(OR(AC162="B", AC162="BPAL"), VLOOKUP(AF162,[1]Diccionario!B:N,13,0)="B"), "OK",IF(AND(OR(AC162="B", AC162="BPAL"), VLOOKUP(AF162,[1]Diccionario!B:N,13,0)="A"), "DEFICIT",IF(AND(OR(AC162="B", AC162="BPAL"), VLOOKUP(AF162,[1]Diccionario!B:N,13,0)="C"), "SOBREOFERTA",IF(AND(AC162="A", VLOOKUP(AF162,[1]Diccionario!B:N,13,0)="A"), "OK",IF(
AND(AC162="A", OR(VLOOKUP(AF162,[1]Diccionario!B:N,13,0)="B", VLOOKUP(AF162,[1]Diccionario!B:N,13,0)="C")), "SOBREOFERTA",""
))))))),"")</f>
        <v/>
      </c>
      <c r="AF162" s="48"/>
      <c r="AG162" s="53"/>
      <c r="AH162" s="54"/>
      <c r="AI162" s="55" t="str">
        <f t="shared" si="47"/>
        <v/>
      </c>
      <c r="AJ162" s="46"/>
      <c r="AK162" s="34" t="e">
        <f>IF(AB162&lt;&gt;"",HLOOKUP(VALUE(TEXT(AH162,"h:mm:ss")),IF($C$6="Laboral",[1]Input!$A$4:$Y$227,IF($C$6="Sábado",[1]Input!$A$231:$Y$452,[1]Input!$A$456:$Y$656)),VLOOKUP($C$4,[1]Input!$AG$2:$AI$99,3,0)+IF(AD$5="Ida",0,1),1),"")</f>
        <v>#N/A</v>
      </c>
      <c r="AL162" s="34" t="str">
        <f>IF(AB163&lt;&gt;AB162,AVERAGEIF(AB$9:AB162,AB162,AK$9:AK162),"")</f>
        <v/>
      </c>
      <c r="AM162" s="35" t="str">
        <f>IFERROR(IF(AB163&lt;&gt;AB162,AVERAGEIF(AB$9:AB162,AB162,AT$9:AT162),""),"")</f>
        <v/>
      </c>
      <c r="AN162" s="35" t="str">
        <f>IFERROR(IF(AB163&lt;&gt;AB162,AVERAGEIF(AB$9:AB162,AB162,AU$9:AU162),""),"")</f>
        <v/>
      </c>
      <c r="AO162" s="35" t="str" cm="1">
        <f t="array" ref="AO162">IFERROR(IF(AB163&lt;&gt;AB162,_xlfn.STDEV.P(IF(AB$9:AB162=AB162,AU$9:AU162)),""),"")</f>
        <v/>
      </c>
      <c r="AP162" s="35" t="str" cm="1">
        <f t="array" ref="AP162">IFERROR(IF(AB163&lt;&gt;AB162,_xlfn.STDEV.P(IF(AB$9:AB162=AB162,AT$9:AT162)),""),"")</f>
        <v/>
      </c>
      <c r="AQ162" s="36" t="str">
        <f t="shared" si="38"/>
        <v/>
      </c>
      <c r="AR162" s="36" t="str">
        <f t="shared" si="39"/>
        <v/>
      </c>
      <c r="AS162" s="36" t="str">
        <f t="shared" si="48"/>
        <v/>
      </c>
      <c r="AT162" s="37" t="str">
        <f t="shared" si="40"/>
        <v/>
      </c>
      <c r="AU162" s="37" t="str">
        <f t="shared" si="41"/>
        <v/>
      </c>
      <c r="AV162" s="54"/>
      <c r="AW162" s="46"/>
      <c r="AX162" s="39" t="str" cm="1">
        <f t="array" ref="AX162">IF(AH162&lt;&gt;"",IF(AND(AX160:AX161&lt;&gt;"IE",AQ162&lt;&gt;0,AS162&lt;&gt;""),IF(IFERROR((AQ162/AS162),0) &lt;=1,IFERROR(AQ162/AS162,""),1),""),"")</f>
        <v/>
      </c>
      <c r="AY162" s="46"/>
      <c r="AZ162" s="57"/>
    </row>
    <row r="163" spans="1:52" ht="15.5" x14ac:dyDescent="0.35">
      <c r="A163" s="51">
        <f t="shared" si="49"/>
        <v>1</v>
      </c>
      <c r="B163" s="52"/>
      <c r="C163" s="52"/>
      <c r="D163" s="29" t="str">
        <f>IFERROR(
IF(AND(OR(Planilla!B163="C",Planilla!B163="c"), VLOOKUP(E163,[1]Diccionario!B:N,13,0)="C"), "OK",IF(AND(OR(Planilla!B163="C",Planilla!B163="c"), OR(VLOOKUP(E163,[1]Diccionario!B:N,13,0)="B", VLOOKUP(E163,[1]Diccionario!B:N,13,0)="A")), "DEFICIT",IF(
AND(OR(Planilla!B163="B", Planilla!B163="BPAL"), VLOOKUP(E163,[1]Diccionario!B:N,13,0)="B"), "OK",IF(AND(OR(Planilla!B163="B", Planilla!B163="BPAL"), VLOOKUP(E163,[1]Diccionario!B:N,13,0)="A"), "DEFICIT",IF(AND(OR(Planilla!B163="B", Planilla!B163="BPAL"), VLOOKUP(E163,[1]Diccionario!B:N,13,0)="C"), "SOBREOFERTA",IF(AND(Planilla!B163="A", VLOOKUP(E163,[1]Diccionario!B:N,13,0)="A"), "OK",IF(
AND(Planilla!B163="A", OR(VLOOKUP(E163,[1]Diccionario!B:N,13,0)="B", VLOOKUP(E163,[1]Diccionario!B:N,13,0)="C")), "SOBREOFERTA",""
))))))),"")</f>
        <v/>
      </c>
      <c r="E163" s="48"/>
      <c r="F163" s="53"/>
      <c r="G163" s="54"/>
      <c r="H163" s="55" t="str">
        <f t="shared" si="42"/>
        <v/>
      </c>
      <c r="I163" s="35"/>
      <c r="J163" s="34" t="e">
        <f>IF(A163&lt;&gt;"",HLOOKUP(VALUE(TEXT(G163,"h:mm:ss")),IF($C$6="Laboral",[1]Input!$A$4:$Y$227,IF($C$6="Sábado",[1]Input!$A$231:$Y$452,[1]Input!$A$456:$Y$656)),VLOOKUP($C$4,[1]Input!$AG$2:$AI$99,3,0)+IF(C$5="Ida",0,1),1),"")</f>
        <v>#N/A</v>
      </c>
      <c r="K163" s="34" t="str">
        <f>IF(A164&lt;&gt;A163,AVERAGEIF(A$9:A163,A163,J$13:J163),"")</f>
        <v/>
      </c>
      <c r="L163" s="35" t="str">
        <f>IFERROR(IF(A164&lt;&gt;A163,AVERAGEIF(A$9:A163,A163,S$13:S163),""),"")</f>
        <v/>
      </c>
      <c r="M163" s="35" t="str">
        <f>IFERROR(IF(A164&lt;&gt;A163,AVERAGEIF(A$9:A163,A163,T$8:T163),""),"")</f>
        <v/>
      </c>
      <c r="N163" s="35" t="str" cm="1">
        <f t="array" ref="N163">IFERROR(IF(A164&lt;&gt;A163,_xlfn.STDEV.P(IF(A$9:A163=A163,T$7:T163)),""),"")</f>
        <v/>
      </c>
      <c r="O163" s="35" t="str" cm="1">
        <f t="array" ref="O163">IFERROR(IF(A164&lt;&gt;A163,_xlfn.STDEV.P(IF(A$9:A163=A163,S$7:S163)),""),"")</f>
        <v/>
      </c>
      <c r="P163" s="36" t="str">
        <f t="shared" si="35"/>
        <v/>
      </c>
      <c r="Q163" s="36" t="str">
        <f t="shared" si="36"/>
        <v/>
      </c>
      <c r="R163" s="36" t="str">
        <f t="shared" si="43"/>
        <v/>
      </c>
      <c r="S163" s="37" t="str">
        <f t="shared" si="44"/>
        <v/>
      </c>
      <c r="T163" s="37" t="str">
        <f t="shared" si="37"/>
        <v/>
      </c>
      <c r="U163" s="54"/>
      <c r="V163" s="46"/>
      <c r="W163" s="39" t="str">
        <f t="shared" si="45"/>
        <v/>
      </c>
      <c r="X163" s="38"/>
      <c r="Y163" s="48"/>
      <c r="AB163" s="56">
        <f t="shared" si="46"/>
        <v>1</v>
      </c>
      <c r="AC163" s="52"/>
      <c r="AD163" s="52"/>
      <c r="AE163" s="29" t="str">
        <f>IFERROR(
IF(AND(OR(AC163="C",AC163="c"), VLOOKUP(AF163,[1]Diccionario!B:N,13,0)="C"), "OK",IF(AND(OR(AC163="C",AC163="c"), OR(VLOOKUP(AF163,[1]Diccionario!B:N,13,0)="B", VLOOKUP(AF163,[1]Diccionario!B:N,13,0)="A")), "DEFICIT",IF(
AND(OR(AC163="B", AC163="BPAL"), VLOOKUP(AF163,[1]Diccionario!B:N,13,0)="B"), "OK",IF(AND(OR(AC163="B", AC163="BPAL"), VLOOKUP(AF163,[1]Diccionario!B:N,13,0)="A"), "DEFICIT",IF(AND(OR(AC163="B", AC163="BPAL"), VLOOKUP(AF163,[1]Diccionario!B:N,13,0)="C"), "SOBREOFERTA",IF(AND(AC163="A", VLOOKUP(AF163,[1]Diccionario!B:N,13,0)="A"), "OK",IF(
AND(AC163="A", OR(VLOOKUP(AF163,[1]Diccionario!B:N,13,0)="B", VLOOKUP(AF163,[1]Diccionario!B:N,13,0)="C")), "SOBREOFERTA",""
))))))),"")</f>
        <v/>
      </c>
      <c r="AF163" s="48"/>
      <c r="AG163" s="53"/>
      <c r="AH163" s="54"/>
      <c r="AI163" s="55" t="str">
        <f t="shared" si="47"/>
        <v/>
      </c>
      <c r="AJ163" s="46"/>
      <c r="AK163" s="34" t="e">
        <f>IF(AB163&lt;&gt;"",HLOOKUP(VALUE(TEXT(AH163,"h:mm:ss")),IF($C$6="Laboral",[1]Input!$A$4:$Y$227,IF($C$6="Sábado",[1]Input!$A$231:$Y$452,[1]Input!$A$456:$Y$656)),VLOOKUP($C$4,[1]Input!$AG$2:$AI$99,3,0)+IF(AD$5="Ida",0,1),1),"")</f>
        <v>#N/A</v>
      </c>
      <c r="AL163" s="34" t="str">
        <f>IF(AB164&lt;&gt;AB163,AVERAGEIF(AB$9:AB163,AB163,AK$9:AK163),"")</f>
        <v/>
      </c>
      <c r="AM163" s="35" t="str">
        <f>IFERROR(IF(AB164&lt;&gt;AB163,AVERAGEIF(AB$9:AB163,AB163,AT$9:AT163),""),"")</f>
        <v/>
      </c>
      <c r="AN163" s="35" t="str">
        <f>IFERROR(IF(AB164&lt;&gt;AB163,AVERAGEIF(AB$9:AB163,AB163,AU$9:AU163),""),"")</f>
        <v/>
      </c>
      <c r="AO163" s="35" t="str" cm="1">
        <f t="array" ref="AO163">IFERROR(IF(AB164&lt;&gt;AB163,_xlfn.STDEV.P(IF(AB$9:AB163=AB163,AU$9:AU163)),""),"")</f>
        <v/>
      </c>
      <c r="AP163" s="35" t="str" cm="1">
        <f t="array" ref="AP163">IFERROR(IF(AB164&lt;&gt;AB163,_xlfn.STDEV.P(IF(AB$9:AB163=AB163,AT$9:AT163)),""),"")</f>
        <v/>
      </c>
      <c r="AQ163" s="36" t="str">
        <f t="shared" si="38"/>
        <v/>
      </c>
      <c r="AR163" s="36" t="str">
        <f t="shared" si="39"/>
        <v/>
      </c>
      <c r="AS163" s="36" t="str">
        <f t="shared" si="48"/>
        <v/>
      </c>
      <c r="AT163" s="37" t="str">
        <f t="shared" si="40"/>
        <v/>
      </c>
      <c r="AU163" s="37" t="str">
        <f t="shared" si="41"/>
        <v/>
      </c>
      <c r="AV163" s="54"/>
      <c r="AW163" s="46"/>
      <c r="AX163" s="39" t="str" cm="1">
        <f t="array" ref="AX163">IF(AH163&lt;&gt;"",IF(AND(AX161:AX162&lt;&gt;"IE",AQ163&lt;&gt;0,AS163&lt;&gt;""),IF(IFERROR((AQ163/AS163),0) &lt;=1,IFERROR(AQ163/AS163,""),1),""),"")</f>
        <v/>
      </c>
      <c r="AY163" s="46"/>
      <c r="AZ163" s="57"/>
    </row>
    <row r="164" spans="1:52" ht="15.5" x14ac:dyDescent="0.35">
      <c r="A164" s="51">
        <f t="shared" si="49"/>
        <v>1</v>
      </c>
      <c r="B164" s="52"/>
      <c r="C164" s="52"/>
      <c r="D164" s="29" t="str">
        <f>IFERROR(
IF(AND(OR(Planilla!B164="C",Planilla!B164="c"), VLOOKUP(E164,[1]Diccionario!B:N,13,0)="C"), "OK",IF(AND(OR(Planilla!B164="C",Planilla!B164="c"), OR(VLOOKUP(E164,[1]Diccionario!B:N,13,0)="B", VLOOKUP(E164,[1]Diccionario!B:N,13,0)="A")), "DEFICIT",IF(
AND(OR(Planilla!B164="B", Planilla!B164="BPAL"), VLOOKUP(E164,[1]Diccionario!B:N,13,0)="B"), "OK",IF(AND(OR(Planilla!B164="B", Planilla!B164="BPAL"), VLOOKUP(E164,[1]Diccionario!B:N,13,0)="A"), "DEFICIT",IF(AND(OR(Planilla!B164="B", Planilla!B164="BPAL"), VLOOKUP(E164,[1]Diccionario!B:N,13,0)="C"), "SOBREOFERTA",IF(AND(Planilla!B164="A", VLOOKUP(E164,[1]Diccionario!B:N,13,0)="A"), "OK",IF(
AND(Planilla!B164="A", OR(VLOOKUP(E164,[1]Diccionario!B:N,13,0)="B", VLOOKUP(E164,[1]Diccionario!B:N,13,0)="C")), "SOBREOFERTA",""
))))))),"")</f>
        <v/>
      </c>
      <c r="E164" s="48"/>
      <c r="F164" s="53"/>
      <c r="G164" s="54"/>
      <c r="H164" s="55" t="str">
        <f t="shared" si="42"/>
        <v/>
      </c>
      <c r="I164" s="35"/>
      <c r="J164" s="34" t="e">
        <f>IF(A164&lt;&gt;"",HLOOKUP(VALUE(TEXT(G164,"h:mm:ss")),IF($C$6="Laboral",[1]Input!$A$4:$Y$227,IF($C$6="Sábado",[1]Input!$A$231:$Y$452,[1]Input!$A$456:$Y$656)),VLOOKUP($C$4,[1]Input!$AG$2:$AI$99,3,0)+IF(C$5="Ida",0,1),1),"")</f>
        <v>#N/A</v>
      </c>
      <c r="K164" s="34" t="str">
        <f>IF(A165&lt;&gt;A164,AVERAGEIF(A$9:A164,A164,J$13:J164),"")</f>
        <v/>
      </c>
      <c r="L164" s="35" t="str">
        <f>IFERROR(IF(A165&lt;&gt;A164,AVERAGEIF(A$9:A164,A164,S$13:S164),""),"")</f>
        <v/>
      </c>
      <c r="M164" s="35" t="str">
        <f>IFERROR(IF(A165&lt;&gt;A164,AVERAGEIF(A$9:A164,A164,T$8:T164),""),"")</f>
        <v/>
      </c>
      <c r="N164" s="35" t="str" cm="1">
        <f t="array" ref="N164">IFERROR(IF(A165&lt;&gt;A164,_xlfn.STDEV.P(IF(A$9:A164=A164,T$7:T164)),""),"")</f>
        <v/>
      </c>
      <c r="O164" s="35" t="str" cm="1">
        <f t="array" ref="O164">IFERROR(IF(A165&lt;&gt;A164,_xlfn.STDEV.P(IF(A$9:A164=A164,S$7:S164)),""),"")</f>
        <v/>
      </c>
      <c r="P164" s="36" t="str">
        <f t="shared" si="35"/>
        <v/>
      </c>
      <c r="Q164" s="36" t="str">
        <f t="shared" si="36"/>
        <v/>
      </c>
      <c r="R164" s="36" t="str">
        <f t="shared" si="43"/>
        <v/>
      </c>
      <c r="S164" s="37" t="str">
        <f t="shared" si="44"/>
        <v/>
      </c>
      <c r="T164" s="37" t="str">
        <f t="shared" si="37"/>
        <v/>
      </c>
      <c r="U164" s="54"/>
      <c r="V164" s="46"/>
      <c r="W164" s="39" t="str">
        <f t="shared" si="45"/>
        <v/>
      </c>
      <c r="X164" s="38"/>
      <c r="Y164" s="48"/>
      <c r="AB164" s="56">
        <f t="shared" si="46"/>
        <v>1</v>
      </c>
      <c r="AC164" s="52"/>
      <c r="AD164" s="52"/>
      <c r="AE164" s="29" t="str">
        <f>IFERROR(
IF(AND(OR(AC164="C",AC164="c"), VLOOKUP(AF164,[1]Diccionario!B:N,13,0)="C"), "OK",IF(AND(OR(AC164="C",AC164="c"), OR(VLOOKUP(AF164,[1]Diccionario!B:N,13,0)="B", VLOOKUP(AF164,[1]Diccionario!B:N,13,0)="A")), "DEFICIT",IF(
AND(OR(AC164="B", AC164="BPAL"), VLOOKUP(AF164,[1]Diccionario!B:N,13,0)="B"), "OK",IF(AND(OR(AC164="B", AC164="BPAL"), VLOOKUP(AF164,[1]Diccionario!B:N,13,0)="A"), "DEFICIT",IF(AND(OR(AC164="B", AC164="BPAL"), VLOOKUP(AF164,[1]Diccionario!B:N,13,0)="C"), "SOBREOFERTA",IF(AND(AC164="A", VLOOKUP(AF164,[1]Diccionario!B:N,13,0)="A"), "OK",IF(
AND(AC164="A", OR(VLOOKUP(AF164,[1]Diccionario!B:N,13,0)="B", VLOOKUP(AF164,[1]Diccionario!B:N,13,0)="C")), "SOBREOFERTA",""
))))))),"")</f>
        <v/>
      </c>
      <c r="AF164" s="48"/>
      <c r="AG164" s="53"/>
      <c r="AH164" s="54"/>
      <c r="AI164" s="55" t="str">
        <f t="shared" si="47"/>
        <v/>
      </c>
      <c r="AJ164" s="46"/>
      <c r="AK164" s="34" t="e">
        <f>IF(AB164&lt;&gt;"",HLOOKUP(VALUE(TEXT(AH164,"h:mm:ss")),IF($C$6="Laboral",[1]Input!$A$4:$Y$227,IF($C$6="Sábado",[1]Input!$A$231:$Y$452,[1]Input!$A$456:$Y$656)),VLOOKUP($C$4,[1]Input!$AG$2:$AI$99,3,0)+IF(AD$5="Ida",0,1),1),"")</f>
        <v>#N/A</v>
      </c>
      <c r="AL164" s="34" t="str">
        <f>IF(AB165&lt;&gt;AB164,AVERAGEIF(AB$9:AB164,AB164,AK$9:AK164),"")</f>
        <v/>
      </c>
      <c r="AM164" s="35" t="str">
        <f>IFERROR(IF(AB165&lt;&gt;AB164,AVERAGEIF(AB$9:AB164,AB164,AT$9:AT164),""),"")</f>
        <v/>
      </c>
      <c r="AN164" s="35" t="str">
        <f>IFERROR(IF(AB165&lt;&gt;AB164,AVERAGEIF(AB$9:AB164,AB164,AU$9:AU164),""),"")</f>
        <v/>
      </c>
      <c r="AO164" s="35" t="str" cm="1">
        <f t="array" ref="AO164">IFERROR(IF(AB165&lt;&gt;AB164,_xlfn.STDEV.P(IF(AB$9:AB164=AB164,AU$9:AU164)),""),"")</f>
        <v/>
      </c>
      <c r="AP164" s="35" t="str" cm="1">
        <f t="array" ref="AP164">IFERROR(IF(AB165&lt;&gt;AB164,_xlfn.STDEV.P(IF(AB$9:AB164=AB164,AT$9:AT164)),""),"")</f>
        <v/>
      </c>
      <c r="AQ164" s="36" t="str">
        <f t="shared" si="38"/>
        <v/>
      </c>
      <c r="AR164" s="36" t="str">
        <f t="shared" si="39"/>
        <v/>
      </c>
      <c r="AS164" s="36" t="str">
        <f t="shared" si="48"/>
        <v/>
      </c>
      <c r="AT164" s="37" t="str">
        <f t="shared" si="40"/>
        <v/>
      </c>
      <c r="AU164" s="37" t="str">
        <f t="shared" si="41"/>
        <v/>
      </c>
      <c r="AV164" s="54"/>
      <c r="AW164" s="46"/>
      <c r="AX164" s="39" t="str" cm="1">
        <f t="array" ref="AX164">IF(AH164&lt;&gt;"",IF(AND(AX162:AX163&lt;&gt;"IE",AQ164&lt;&gt;0,AS164&lt;&gt;""),IF(IFERROR((AQ164/AS164),0) &lt;=1,IFERROR(AQ164/AS164,""),1),""),"")</f>
        <v/>
      </c>
      <c r="AY164" s="46"/>
      <c r="AZ164" s="57"/>
    </row>
    <row r="165" spans="1:52" ht="15.5" x14ac:dyDescent="0.35">
      <c r="A165" s="51">
        <f t="shared" si="49"/>
        <v>1</v>
      </c>
      <c r="B165" s="52"/>
      <c r="C165" s="52"/>
      <c r="D165" s="29" t="str">
        <f>IFERROR(
IF(AND(OR(Planilla!B165="C",Planilla!B165="c"), VLOOKUP(E165,[1]Diccionario!B:N,13,0)="C"), "OK",IF(AND(OR(Planilla!B165="C",Planilla!B165="c"), OR(VLOOKUP(E165,[1]Diccionario!B:N,13,0)="B", VLOOKUP(E165,[1]Diccionario!B:N,13,0)="A")), "DEFICIT",IF(
AND(OR(Planilla!B165="B", Planilla!B165="BPAL"), VLOOKUP(E165,[1]Diccionario!B:N,13,0)="B"), "OK",IF(AND(OR(Planilla!B165="B", Planilla!B165="BPAL"), VLOOKUP(E165,[1]Diccionario!B:N,13,0)="A"), "DEFICIT",IF(AND(OR(Planilla!B165="B", Planilla!B165="BPAL"), VLOOKUP(E165,[1]Diccionario!B:N,13,0)="C"), "SOBREOFERTA",IF(AND(Planilla!B165="A", VLOOKUP(E165,[1]Diccionario!B:N,13,0)="A"), "OK",IF(
AND(Planilla!B165="A", OR(VLOOKUP(E165,[1]Diccionario!B:N,13,0)="B", VLOOKUP(E165,[1]Diccionario!B:N,13,0)="C")), "SOBREOFERTA",""
))))))),"")</f>
        <v/>
      </c>
      <c r="E165" s="48"/>
      <c r="F165" s="53"/>
      <c r="G165" s="54"/>
      <c r="H165" s="55" t="str">
        <f t="shared" si="42"/>
        <v/>
      </c>
      <c r="I165" s="35"/>
      <c r="J165" s="34" t="e">
        <f>IF(A165&lt;&gt;"",HLOOKUP(VALUE(TEXT(G165,"h:mm:ss")),IF($C$6="Laboral",[1]Input!$A$4:$Y$227,IF($C$6="Sábado",[1]Input!$A$231:$Y$452,[1]Input!$A$456:$Y$656)),VLOOKUP($C$4,[1]Input!$AG$2:$AI$99,3,0)+IF(C$5="Ida",0,1),1),"")</f>
        <v>#N/A</v>
      </c>
      <c r="K165" s="34" t="str">
        <f>IF(A166&lt;&gt;A165,AVERAGEIF(A$9:A165,A165,J$13:J165),"")</f>
        <v/>
      </c>
      <c r="L165" s="35" t="str">
        <f>IFERROR(IF(A166&lt;&gt;A165,AVERAGEIF(A$9:A165,A165,S$13:S165),""),"")</f>
        <v/>
      </c>
      <c r="M165" s="35" t="str">
        <f>IFERROR(IF(A166&lt;&gt;A165,AVERAGEIF(A$9:A165,A165,T$8:T165),""),"")</f>
        <v/>
      </c>
      <c r="N165" s="35" t="str" cm="1">
        <f t="array" ref="N165">IFERROR(IF(A166&lt;&gt;A165,_xlfn.STDEV.P(IF(A$9:A165=A165,T$7:T165)),""),"")</f>
        <v/>
      </c>
      <c r="O165" s="35" t="str" cm="1">
        <f t="array" ref="O165">IFERROR(IF(A166&lt;&gt;A165,_xlfn.STDEV.P(IF(A$9:A165=A165,S$7:S165)),""),"")</f>
        <v/>
      </c>
      <c r="P165" s="36" t="str">
        <f t="shared" si="35"/>
        <v/>
      </c>
      <c r="Q165" s="36" t="str">
        <f t="shared" si="36"/>
        <v/>
      </c>
      <c r="R165" s="36" t="str">
        <f t="shared" si="43"/>
        <v/>
      </c>
      <c r="S165" s="37" t="str">
        <f t="shared" si="44"/>
        <v/>
      </c>
      <c r="T165" s="37" t="str">
        <f t="shared" si="37"/>
        <v/>
      </c>
      <c r="U165" s="54"/>
      <c r="V165" s="46"/>
      <c r="W165" s="39" t="str">
        <f t="shared" si="45"/>
        <v/>
      </c>
      <c r="X165" s="38"/>
      <c r="Y165" s="48"/>
      <c r="AB165" s="56">
        <f t="shared" si="46"/>
        <v>1</v>
      </c>
      <c r="AC165" s="52"/>
      <c r="AD165" s="52"/>
      <c r="AE165" s="29" t="str">
        <f>IFERROR(
IF(AND(OR(AC165="C",AC165="c"), VLOOKUP(AF165,[1]Diccionario!B:N,13,0)="C"), "OK",IF(AND(OR(AC165="C",AC165="c"), OR(VLOOKUP(AF165,[1]Diccionario!B:N,13,0)="B", VLOOKUP(AF165,[1]Diccionario!B:N,13,0)="A")), "DEFICIT",IF(
AND(OR(AC165="B", AC165="BPAL"), VLOOKUP(AF165,[1]Diccionario!B:N,13,0)="B"), "OK",IF(AND(OR(AC165="B", AC165="BPAL"), VLOOKUP(AF165,[1]Diccionario!B:N,13,0)="A"), "DEFICIT",IF(AND(OR(AC165="B", AC165="BPAL"), VLOOKUP(AF165,[1]Diccionario!B:N,13,0)="C"), "SOBREOFERTA",IF(AND(AC165="A", VLOOKUP(AF165,[1]Diccionario!B:N,13,0)="A"), "OK",IF(
AND(AC165="A", OR(VLOOKUP(AF165,[1]Diccionario!B:N,13,0)="B", VLOOKUP(AF165,[1]Diccionario!B:N,13,0)="C")), "SOBREOFERTA",""
))))))),"")</f>
        <v/>
      </c>
      <c r="AF165" s="48"/>
      <c r="AG165" s="53"/>
      <c r="AH165" s="54"/>
      <c r="AI165" s="55" t="str">
        <f t="shared" si="47"/>
        <v/>
      </c>
      <c r="AJ165" s="46"/>
      <c r="AK165" s="34" t="e">
        <f>IF(AB165&lt;&gt;"",HLOOKUP(VALUE(TEXT(AH165,"h:mm:ss")),IF($C$6="Laboral",[1]Input!$A$4:$Y$227,IF($C$6="Sábado",[1]Input!$A$231:$Y$452,[1]Input!$A$456:$Y$656)),VLOOKUP($C$4,[1]Input!$AG$2:$AI$99,3,0)+IF(AD$5="Ida",0,1),1),"")</f>
        <v>#N/A</v>
      </c>
      <c r="AL165" s="34" t="str">
        <f>IF(AB166&lt;&gt;AB165,AVERAGEIF(AB$9:AB165,AB165,AK$9:AK165),"")</f>
        <v/>
      </c>
      <c r="AM165" s="35" t="str">
        <f>IFERROR(IF(AB166&lt;&gt;AB165,AVERAGEIF(AB$9:AB165,AB165,AT$9:AT165),""),"")</f>
        <v/>
      </c>
      <c r="AN165" s="35" t="str">
        <f>IFERROR(IF(AB166&lt;&gt;AB165,AVERAGEIF(AB$9:AB165,AB165,AU$9:AU165),""),"")</f>
        <v/>
      </c>
      <c r="AO165" s="35" t="str" cm="1">
        <f t="array" ref="AO165">IFERROR(IF(AB166&lt;&gt;AB165,_xlfn.STDEV.P(IF(AB$9:AB165=AB165,AU$9:AU165)),""),"")</f>
        <v/>
      </c>
      <c r="AP165" s="35" t="str" cm="1">
        <f t="array" ref="AP165">IFERROR(IF(AB166&lt;&gt;AB165,_xlfn.STDEV.P(IF(AB$9:AB165=AB165,AT$9:AT165)),""),"")</f>
        <v/>
      </c>
      <c r="AQ165" s="36" t="str">
        <f t="shared" si="38"/>
        <v/>
      </c>
      <c r="AR165" s="36" t="str">
        <f t="shared" si="39"/>
        <v/>
      </c>
      <c r="AS165" s="36" t="str">
        <f t="shared" si="48"/>
        <v/>
      </c>
      <c r="AT165" s="37" t="str">
        <f t="shared" si="40"/>
        <v/>
      </c>
      <c r="AU165" s="37" t="str">
        <f t="shared" si="41"/>
        <v/>
      </c>
      <c r="AV165" s="54"/>
      <c r="AW165" s="46"/>
      <c r="AX165" s="39" t="str" cm="1">
        <f t="array" ref="AX165">IF(AH165&lt;&gt;"",IF(AND(AX163:AX164&lt;&gt;"IE",AQ165&lt;&gt;0,AS165&lt;&gt;""),IF(IFERROR((AQ165/AS165),0) &lt;=1,IFERROR(AQ165/AS165,""),1),""),"")</f>
        <v/>
      </c>
      <c r="AY165" s="46"/>
      <c r="AZ165" s="57"/>
    </row>
    <row r="166" spans="1:52" ht="15.5" x14ac:dyDescent="0.35">
      <c r="A166" s="51">
        <f t="shared" si="49"/>
        <v>1</v>
      </c>
      <c r="B166" s="52"/>
      <c r="C166" s="52"/>
      <c r="D166" s="29" t="str">
        <f>IFERROR(
IF(AND(OR(Planilla!B166="C",Planilla!B166="c"), VLOOKUP(E166,[1]Diccionario!B:N,13,0)="C"), "OK",IF(AND(OR(Planilla!B166="C",Planilla!B166="c"), OR(VLOOKUP(E166,[1]Diccionario!B:N,13,0)="B", VLOOKUP(E166,[1]Diccionario!B:N,13,0)="A")), "DEFICIT",IF(
AND(OR(Planilla!B166="B", Planilla!B166="BPAL"), VLOOKUP(E166,[1]Diccionario!B:N,13,0)="B"), "OK",IF(AND(OR(Planilla!B166="B", Planilla!B166="BPAL"), VLOOKUP(E166,[1]Diccionario!B:N,13,0)="A"), "DEFICIT",IF(AND(OR(Planilla!B166="B", Planilla!B166="BPAL"), VLOOKUP(E166,[1]Diccionario!B:N,13,0)="C"), "SOBREOFERTA",IF(AND(Planilla!B166="A", VLOOKUP(E166,[1]Diccionario!B:N,13,0)="A"), "OK",IF(
AND(Planilla!B166="A", OR(VLOOKUP(E166,[1]Diccionario!B:N,13,0)="B", VLOOKUP(E166,[1]Diccionario!B:N,13,0)="C")), "SOBREOFERTA",""
))))))),"")</f>
        <v/>
      </c>
      <c r="E166" s="48"/>
      <c r="F166" s="53"/>
      <c r="G166" s="54"/>
      <c r="H166" s="55" t="str">
        <f t="shared" si="42"/>
        <v/>
      </c>
      <c r="I166" s="35"/>
      <c r="J166" s="34" t="e">
        <f>IF(A166&lt;&gt;"",HLOOKUP(VALUE(TEXT(G166,"h:mm:ss")),IF($C$6="Laboral",[1]Input!$A$4:$Y$227,IF($C$6="Sábado",[1]Input!$A$231:$Y$452,[1]Input!$A$456:$Y$656)),VLOOKUP($C$4,[1]Input!$AG$2:$AI$99,3,0)+IF(C$5="Ida",0,1),1),"")</f>
        <v>#N/A</v>
      </c>
      <c r="K166" s="34" t="str">
        <f>IF(A167&lt;&gt;A166,AVERAGEIF(A$9:A166,A166,J$13:J166),"")</f>
        <v/>
      </c>
      <c r="L166" s="35" t="str">
        <f>IFERROR(IF(A167&lt;&gt;A166,AVERAGEIF(A$9:A166,A166,S$13:S166),""),"")</f>
        <v/>
      </c>
      <c r="M166" s="35" t="str">
        <f>IFERROR(IF(A167&lt;&gt;A166,AVERAGEIF(A$9:A166,A166,T$8:T166),""),"")</f>
        <v/>
      </c>
      <c r="N166" s="35" t="str" cm="1">
        <f t="array" ref="N166">IFERROR(IF(A167&lt;&gt;A166,_xlfn.STDEV.P(IF(A$9:A166=A166,T$7:T166)),""),"")</f>
        <v/>
      </c>
      <c r="O166" s="35" t="str" cm="1">
        <f t="array" ref="O166">IFERROR(IF(A167&lt;&gt;A166,_xlfn.STDEV.P(IF(A$9:A166=A166,S$7:S166)),""),"")</f>
        <v/>
      </c>
      <c r="P166" s="36" t="str">
        <f t="shared" si="35"/>
        <v/>
      </c>
      <c r="Q166" s="36" t="str">
        <f t="shared" si="36"/>
        <v/>
      </c>
      <c r="R166" s="36" t="str">
        <f t="shared" si="43"/>
        <v/>
      </c>
      <c r="S166" s="37" t="str">
        <f t="shared" si="44"/>
        <v/>
      </c>
      <c r="T166" s="37" t="str">
        <f t="shared" si="37"/>
        <v/>
      </c>
      <c r="U166" s="54"/>
      <c r="V166" s="46"/>
      <c r="W166" s="39" t="str">
        <f t="shared" si="45"/>
        <v/>
      </c>
      <c r="X166" s="38"/>
      <c r="Y166" s="48"/>
      <c r="AB166" s="56">
        <f t="shared" si="46"/>
        <v>1</v>
      </c>
      <c r="AC166" s="52"/>
      <c r="AD166" s="52"/>
      <c r="AE166" s="29" t="str">
        <f>IFERROR(
IF(AND(OR(AC166="C",AC166="c"), VLOOKUP(AF166,[1]Diccionario!B:N,13,0)="C"), "OK",IF(AND(OR(AC166="C",AC166="c"), OR(VLOOKUP(AF166,[1]Diccionario!B:N,13,0)="B", VLOOKUP(AF166,[1]Diccionario!B:N,13,0)="A")), "DEFICIT",IF(
AND(OR(AC166="B", AC166="BPAL"), VLOOKUP(AF166,[1]Diccionario!B:N,13,0)="B"), "OK",IF(AND(OR(AC166="B", AC166="BPAL"), VLOOKUP(AF166,[1]Diccionario!B:N,13,0)="A"), "DEFICIT",IF(AND(OR(AC166="B", AC166="BPAL"), VLOOKUP(AF166,[1]Diccionario!B:N,13,0)="C"), "SOBREOFERTA",IF(AND(AC166="A", VLOOKUP(AF166,[1]Diccionario!B:N,13,0)="A"), "OK",IF(
AND(AC166="A", OR(VLOOKUP(AF166,[1]Diccionario!B:N,13,0)="B", VLOOKUP(AF166,[1]Diccionario!B:N,13,0)="C")), "SOBREOFERTA",""
))))))),"")</f>
        <v/>
      </c>
      <c r="AF166" s="48"/>
      <c r="AG166" s="53"/>
      <c r="AH166" s="54"/>
      <c r="AI166" s="55" t="str">
        <f t="shared" si="47"/>
        <v/>
      </c>
      <c r="AJ166" s="46"/>
      <c r="AK166" s="34" t="e">
        <f>IF(AB166&lt;&gt;"",HLOOKUP(VALUE(TEXT(AH166,"h:mm:ss")),IF($C$6="Laboral",[1]Input!$A$4:$Y$227,IF($C$6="Sábado",[1]Input!$A$231:$Y$452,[1]Input!$A$456:$Y$656)),VLOOKUP($C$4,[1]Input!$AG$2:$AI$99,3,0)+IF(AD$5="Ida",0,1),1),"")</f>
        <v>#N/A</v>
      </c>
      <c r="AL166" s="34" t="str">
        <f>IF(AB167&lt;&gt;AB166,AVERAGEIF(AB$9:AB166,AB166,AK$9:AK166),"")</f>
        <v/>
      </c>
      <c r="AM166" s="35" t="str">
        <f>IFERROR(IF(AB167&lt;&gt;AB166,AVERAGEIF(AB$9:AB166,AB166,AT$9:AT166),""),"")</f>
        <v/>
      </c>
      <c r="AN166" s="35" t="str">
        <f>IFERROR(IF(AB167&lt;&gt;AB166,AVERAGEIF(AB$9:AB166,AB166,AU$9:AU166),""),"")</f>
        <v/>
      </c>
      <c r="AO166" s="35" t="str" cm="1">
        <f t="array" ref="AO166">IFERROR(IF(AB167&lt;&gt;AB166,_xlfn.STDEV.P(IF(AB$9:AB166=AB166,AU$9:AU166)),""),"")</f>
        <v/>
      </c>
      <c r="AP166" s="35" t="str" cm="1">
        <f t="array" ref="AP166">IFERROR(IF(AB167&lt;&gt;AB166,_xlfn.STDEV.P(IF(AB$9:AB166=AB166,AT$9:AT166)),""),"")</f>
        <v/>
      </c>
      <c r="AQ166" s="36" t="str">
        <f t="shared" si="38"/>
        <v/>
      </c>
      <c r="AR166" s="36" t="str">
        <f t="shared" si="39"/>
        <v/>
      </c>
      <c r="AS166" s="36" t="str">
        <f t="shared" si="48"/>
        <v/>
      </c>
      <c r="AT166" s="37" t="str">
        <f t="shared" si="40"/>
        <v/>
      </c>
      <c r="AU166" s="37" t="str">
        <f t="shared" si="41"/>
        <v/>
      </c>
      <c r="AV166" s="54"/>
      <c r="AW166" s="46"/>
      <c r="AX166" s="39" t="str" cm="1">
        <f t="array" ref="AX166">IF(AH166&lt;&gt;"",IF(AND(AX164:AX165&lt;&gt;"IE",AQ166&lt;&gt;0,AS166&lt;&gt;""),IF(IFERROR((AQ166/AS166),0) &lt;=1,IFERROR(AQ166/AS166,""),1),""),"")</f>
        <v/>
      </c>
      <c r="AY166" s="46"/>
      <c r="AZ166" s="57"/>
    </row>
    <row r="167" spans="1:52" ht="15.5" x14ac:dyDescent="0.35">
      <c r="A167" s="51">
        <f t="shared" si="49"/>
        <v>1</v>
      </c>
      <c r="B167" s="52"/>
      <c r="C167" s="52"/>
      <c r="D167" s="29" t="str">
        <f>IFERROR(
IF(AND(OR(Planilla!B167="C",Planilla!B167="c"), VLOOKUP(E167,[1]Diccionario!B:N,13,0)="C"), "OK",IF(AND(OR(Planilla!B167="C",Planilla!B167="c"), OR(VLOOKUP(E167,[1]Diccionario!B:N,13,0)="B", VLOOKUP(E167,[1]Diccionario!B:N,13,0)="A")), "DEFICIT",IF(
AND(OR(Planilla!B167="B", Planilla!B167="BPAL"), VLOOKUP(E167,[1]Diccionario!B:N,13,0)="B"), "OK",IF(AND(OR(Planilla!B167="B", Planilla!B167="BPAL"), VLOOKUP(E167,[1]Diccionario!B:N,13,0)="A"), "DEFICIT",IF(AND(OR(Planilla!B167="B", Planilla!B167="BPAL"), VLOOKUP(E167,[1]Diccionario!B:N,13,0)="C"), "SOBREOFERTA",IF(AND(Planilla!B167="A", VLOOKUP(E167,[1]Diccionario!B:N,13,0)="A"), "OK",IF(
AND(Planilla!B167="A", OR(VLOOKUP(E167,[1]Diccionario!B:N,13,0)="B", VLOOKUP(E167,[1]Diccionario!B:N,13,0)="C")), "SOBREOFERTA",""
))))))),"")</f>
        <v/>
      </c>
      <c r="E167" s="48"/>
      <c r="F167" s="53"/>
      <c r="G167" s="54"/>
      <c r="H167" s="55" t="str">
        <f t="shared" si="42"/>
        <v/>
      </c>
      <c r="I167" s="35"/>
      <c r="J167" s="34" t="e">
        <f>IF(A167&lt;&gt;"",HLOOKUP(VALUE(TEXT(G167,"h:mm:ss")),IF($C$6="Laboral",[1]Input!$A$4:$Y$227,IF($C$6="Sábado",[1]Input!$A$231:$Y$452,[1]Input!$A$456:$Y$656)),VLOOKUP($C$4,[1]Input!$AG$2:$AI$99,3,0)+IF(C$5="Ida",0,1),1),"")</f>
        <v>#N/A</v>
      </c>
      <c r="K167" s="34" t="str">
        <f>IF(A168&lt;&gt;A167,AVERAGEIF(A$9:A167,A167,J$13:J167),"")</f>
        <v/>
      </c>
      <c r="L167" s="35" t="str">
        <f>IFERROR(IF(A168&lt;&gt;A167,AVERAGEIF(A$9:A167,A167,S$13:S167),""),"")</f>
        <v/>
      </c>
      <c r="M167" s="35" t="str">
        <f>IFERROR(IF(A168&lt;&gt;A167,AVERAGEIF(A$9:A167,A167,T$8:T167),""),"")</f>
        <v/>
      </c>
      <c r="N167" s="35" t="str" cm="1">
        <f t="array" ref="N167">IFERROR(IF(A168&lt;&gt;A167,_xlfn.STDEV.P(IF(A$9:A167=A167,T$7:T167)),""),"")</f>
        <v/>
      </c>
      <c r="O167" s="35" t="str" cm="1">
        <f t="array" ref="O167">IFERROR(IF(A168&lt;&gt;A167,_xlfn.STDEV.P(IF(A$9:A167=A167,S$7:S167)),""),"")</f>
        <v/>
      </c>
      <c r="P167" s="36" t="str">
        <f t="shared" si="35"/>
        <v/>
      </c>
      <c r="Q167" s="36" t="str">
        <f t="shared" si="36"/>
        <v/>
      </c>
      <c r="R167" s="36" t="str">
        <f t="shared" si="43"/>
        <v/>
      </c>
      <c r="S167" s="37" t="str">
        <f t="shared" si="44"/>
        <v/>
      </c>
      <c r="T167" s="37" t="str">
        <f t="shared" si="37"/>
        <v/>
      </c>
      <c r="U167" s="54"/>
      <c r="V167" s="46"/>
      <c r="W167" s="39" t="str">
        <f t="shared" si="45"/>
        <v/>
      </c>
      <c r="X167" s="38"/>
      <c r="Y167" s="48"/>
      <c r="AB167" s="56">
        <f t="shared" si="46"/>
        <v>1</v>
      </c>
      <c r="AC167" s="52"/>
      <c r="AD167" s="52"/>
      <c r="AE167" s="29" t="str">
        <f>IFERROR(
IF(AND(OR(AC167="C",AC167="c"), VLOOKUP(AF167,[1]Diccionario!B:N,13,0)="C"), "OK",IF(AND(OR(AC167="C",AC167="c"), OR(VLOOKUP(AF167,[1]Diccionario!B:N,13,0)="B", VLOOKUP(AF167,[1]Diccionario!B:N,13,0)="A")), "DEFICIT",IF(
AND(OR(AC167="B", AC167="BPAL"), VLOOKUP(AF167,[1]Diccionario!B:N,13,0)="B"), "OK",IF(AND(OR(AC167="B", AC167="BPAL"), VLOOKUP(AF167,[1]Diccionario!B:N,13,0)="A"), "DEFICIT",IF(AND(OR(AC167="B", AC167="BPAL"), VLOOKUP(AF167,[1]Diccionario!B:N,13,0)="C"), "SOBREOFERTA",IF(AND(AC167="A", VLOOKUP(AF167,[1]Diccionario!B:N,13,0)="A"), "OK",IF(
AND(AC167="A", OR(VLOOKUP(AF167,[1]Diccionario!B:N,13,0)="B", VLOOKUP(AF167,[1]Diccionario!B:N,13,0)="C")), "SOBREOFERTA",""
))))))),"")</f>
        <v/>
      </c>
      <c r="AF167" s="48"/>
      <c r="AG167" s="53"/>
      <c r="AH167" s="54"/>
      <c r="AI167" s="55" t="str">
        <f t="shared" si="47"/>
        <v/>
      </c>
      <c r="AJ167" s="46"/>
      <c r="AK167" s="34" t="e">
        <f>IF(AB167&lt;&gt;"",HLOOKUP(VALUE(TEXT(AH167,"h:mm:ss")),IF($C$6="Laboral",[1]Input!$A$4:$Y$227,IF($C$6="Sábado",[1]Input!$A$231:$Y$452,[1]Input!$A$456:$Y$656)),VLOOKUP($C$4,[1]Input!$AG$2:$AI$99,3,0)+IF(AD$5="Ida",0,1),1),"")</f>
        <v>#N/A</v>
      </c>
      <c r="AL167" s="34" t="str">
        <f>IF(AB168&lt;&gt;AB167,AVERAGEIF(AB$9:AB167,AB167,AK$9:AK167),"")</f>
        <v/>
      </c>
      <c r="AM167" s="35" t="str">
        <f>IFERROR(IF(AB168&lt;&gt;AB167,AVERAGEIF(AB$9:AB167,AB167,AT$9:AT167),""),"")</f>
        <v/>
      </c>
      <c r="AN167" s="35" t="str">
        <f>IFERROR(IF(AB168&lt;&gt;AB167,AVERAGEIF(AB$9:AB167,AB167,AU$9:AU167),""),"")</f>
        <v/>
      </c>
      <c r="AO167" s="35" t="str" cm="1">
        <f t="array" ref="AO167">IFERROR(IF(AB168&lt;&gt;AB167,_xlfn.STDEV.P(IF(AB$9:AB167=AB167,AU$9:AU167)),""),"")</f>
        <v/>
      </c>
      <c r="AP167" s="35" t="str" cm="1">
        <f t="array" ref="AP167">IFERROR(IF(AB168&lt;&gt;AB167,_xlfn.STDEV.P(IF(AB$9:AB167=AB167,AT$9:AT167)),""),"")</f>
        <v/>
      </c>
      <c r="AQ167" s="36" t="str">
        <f t="shared" si="38"/>
        <v/>
      </c>
      <c r="AR167" s="36" t="str">
        <f t="shared" si="39"/>
        <v/>
      </c>
      <c r="AS167" s="36" t="str">
        <f t="shared" si="48"/>
        <v/>
      </c>
      <c r="AT167" s="37" t="str">
        <f t="shared" si="40"/>
        <v/>
      </c>
      <c r="AU167" s="37" t="str">
        <f t="shared" si="41"/>
        <v/>
      </c>
      <c r="AV167" s="54"/>
      <c r="AW167" s="46"/>
      <c r="AX167" s="39" t="str" cm="1">
        <f t="array" ref="AX167">IF(AH167&lt;&gt;"",IF(AND(AX165:AX166&lt;&gt;"IE",AQ167&lt;&gt;0,AS167&lt;&gt;""),IF(IFERROR((AQ167/AS167),0) &lt;=1,IFERROR(AQ167/AS167,""),1),""),"")</f>
        <v/>
      </c>
      <c r="AY167" s="46"/>
      <c r="AZ167" s="57"/>
    </row>
    <row r="168" spans="1:52" ht="15.5" x14ac:dyDescent="0.35">
      <c r="A168" s="51">
        <f t="shared" si="49"/>
        <v>1</v>
      </c>
      <c r="B168" s="52"/>
      <c r="C168" s="52"/>
      <c r="D168" s="29" t="str">
        <f>IFERROR(
IF(AND(OR(Planilla!B168="C",Planilla!B168="c"), VLOOKUP(E168,[1]Diccionario!B:N,13,0)="C"), "OK",IF(AND(OR(Planilla!B168="C",Planilla!B168="c"), OR(VLOOKUP(E168,[1]Diccionario!B:N,13,0)="B", VLOOKUP(E168,[1]Diccionario!B:N,13,0)="A")), "DEFICIT",IF(
AND(OR(Planilla!B168="B", Planilla!B168="BPAL"), VLOOKUP(E168,[1]Diccionario!B:N,13,0)="B"), "OK",IF(AND(OR(Planilla!B168="B", Planilla!B168="BPAL"), VLOOKUP(E168,[1]Diccionario!B:N,13,0)="A"), "DEFICIT",IF(AND(OR(Planilla!B168="B", Planilla!B168="BPAL"), VLOOKUP(E168,[1]Diccionario!B:N,13,0)="C"), "SOBREOFERTA",IF(AND(Planilla!B168="A", VLOOKUP(E168,[1]Diccionario!B:N,13,0)="A"), "OK",IF(
AND(Planilla!B168="A", OR(VLOOKUP(E168,[1]Diccionario!B:N,13,0)="B", VLOOKUP(E168,[1]Diccionario!B:N,13,0)="C")), "SOBREOFERTA",""
))))))),"")</f>
        <v/>
      </c>
      <c r="E168" s="48"/>
      <c r="F168" s="53"/>
      <c r="G168" s="54"/>
      <c r="H168" s="55" t="str">
        <f t="shared" si="42"/>
        <v/>
      </c>
      <c r="I168" s="35"/>
      <c r="J168" s="34" t="e">
        <f>IF(A168&lt;&gt;"",HLOOKUP(VALUE(TEXT(G168,"h:mm:ss")),IF($C$6="Laboral",[1]Input!$A$4:$Y$227,IF($C$6="Sábado",[1]Input!$A$231:$Y$452,[1]Input!$A$456:$Y$656)),VLOOKUP($C$4,[1]Input!$AG$2:$AI$99,3,0)+IF(C$5="Ida",0,1),1),"")</f>
        <v>#N/A</v>
      </c>
      <c r="K168" s="34" t="str">
        <f>IF(A169&lt;&gt;A168,AVERAGEIF(A$9:A168,A168,J$13:J168),"")</f>
        <v/>
      </c>
      <c r="L168" s="35" t="str">
        <f>IFERROR(IF(A169&lt;&gt;A168,AVERAGEIF(A$9:A168,A168,S$13:S168),""),"")</f>
        <v/>
      </c>
      <c r="M168" s="35" t="str">
        <f>IFERROR(IF(A169&lt;&gt;A168,AVERAGEIF(A$9:A168,A168,T$8:T168),""),"")</f>
        <v/>
      </c>
      <c r="N168" s="35" t="str" cm="1">
        <f t="array" ref="N168">IFERROR(IF(A169&lt;&gt;A168,_xlfn.STDEV.P(IF(A$9:A168=A168,T$7:T168)),""),"")</f>
        <v/>
      </c>
      <c r="O168" s="35" t="str" cm="1">
        <f t="array" ref="O168">IFERROR(IF(A169&lt;&gt;A168,_xlfn.STDEV.P(IF(A$9:A168=A168,S$7:S168)),""),"")</f>
        <v/>
      </c>
      <c r="P168" s="36" t="str">
        <f t="shared" si="35"/>
        <v/>
      </c>
      <c r="Q168" s="36" t="str">
        <f t="shared" si="36"/>
        <v/>
      </c>
      <c r="R168" s="36" t="str">
        <f t="shared" si="43"/>
        <v/>
      </c>
      <c r="S168" s="37" t="str">
        <f t="shared" si="44"/>
        <v/>
      </c>
      <c r="T168" s="37" t="str">
        <f t="shared" si="37"/>
        <v/>
      </c>
      <c r="U168" s="54"/>
      <c r="V168" s="46"/>
      <c r="W168" s="39" t="str">
        <f t="shared" si="45"/>
        <v/>
      </c>
      <c r="X168" s="38"/>
      <c r="Y168" s="48"/>
      <c r="AB168" s="56">
        <f t="shared" si="46"/>
        <v>1</v>
      </c>
      <c r="AC168" s="52"/>
      <c r="AD168" s="52"/>
      <c r="AE168" s="29" t="str">
        <f>IFERROR(
IF(AND(OR(AC168="C",AC168="c"), VLOOKUP(AF168,[1]Diccionario!B:N,13,0)="C"), "OK",IF(AND(OR(AC168="C",AC168="c"), OR(VLOOKUP(AF168,[1]Diccionario!B:N,13,0)="B", VLOOKUP(AF168,[1]Diccionario!B:N,13,0)="A")), "DEFICIT",IF(
AND(OR(AC168="B", AC168="BPAL"), VLOOKUP(AF168,[1]Diccionario!B:N,13,0)="B"), "OK",IF(AND(OR(AC168="B", AC168="BPAL"), VLOOKUP(AF168,[1]Diccionario!B:N,13,0)="A"), "DEFICIT",IF(AND(OR(AC168="B", AC168="BPAL"), VLOOKUP(AF168,[1]Diccionario!B:N,13,0)="C"), "SOBREOFERTA",IF(AND(AC168="A", VLOOKUP(AF168,[1]Diccionario!B:N,13,0)="A"), "OK",IF(
AND(AC168="A", OR(VLOOKUP(AF168,[1]Diccionario!B:N,13,0)="B", VLOOKUP(AF168,[1]Diccionario!B:N,13,0)="C")), "SOBREOFERTA",""
))))))),"")</f>
        <v/>
      </c>
      <c r="AF168" s="48"/>
      <c r="AG168" s="53"/>
      <c r="AH168" s="54"/>
      <c r="AI168" s="55" t="str">
        <f t="shared" si="47"/>
        <v/>
      </c>
      <c r="AJ168" s="46"/>
      <c r="AK168" s="34" t="e">
        <f>IF(AB168&lt;&gt;"",HLOOKUP(VALUE(TEXT(AH168,"h:mm:ss")),IF($C$6="Laboral",[1]Input!$A$4:$Y$227,IF($C$6="Sábado",[1]Input!$A$231:$Y$452,[1]Input!$A$456:$Y$656)),VLOOKUP($C$4,[1]Input!$AG$2:$AI$99,3,0)+IF(AD$5="Ida",0,1),1),"")</f>
        <v>#N/A</v>
      </c>
      <c r="AL168" s="34" t="str">
        <f>IF(AB169&lt;&gt;AB168,AVERAGEIF(AB$9:AB168,AB168,AK$9:AK168),"")</f>
        <v/>
      </c>
      <c r="AM168" s="35" t="str">
        <f>IFERROR(IF(AB169&lt;&gt;AB168,AVERAGEIF(AB$9:AB168,AB168,AT$9:AT168),""),"")</f>
        <v/>
      </c>
      <c r="AN168" s="35" t="str">
        <f>IFERROR(IF(AB169&lt;&gt;AB168,AVERAGEIF(AB$9:AB168,AB168,AU$9:AU168),""),"")</f>
        <v/>
      </c>
      <c r="AO168" s="35" t="str" cm="1">
        <f t="array" ref="AO168">IFERROR(IF(AB169&lt;&gt;AB168,_xlfn.STDEV.P(IF(AB$9:AB168=AB168,AU$9:AU168)),""),"")</f>
        <v/>
      </c>
      <c r="AP168" s="35" t="str" cm="1">
        <f t="array" ref="AP168">IFERROR(IF(AB169&lt;&gt;AB168,_xlfn.STDEV.P(IF(AB$9:AB168=AB168,AT$9:AT168)),""),"")</f>
        <v/>
      </c>
      <c r="AQ168" s="36" t="str">
        <f t="shared" si="38"/>
        <v/>
      </c>
      <c r="AR168" s="36" t="str">
        <f t="shared" si="39"/>
        <v/>
      </c>
      <c r="AS168" s="36" t="str">
        <f t="shared" si="48"/>
        <v/>
      </c>
      <c r="AT168" s="37" t="str">
        <f t="shared" si="40"/>
        <v/>
      </c>
      <c r="AU168" s="37" t="str">
        <f t="shared" si="41"/>
        <v/>
      </c>
      <c r="AV168" s="54"/>
      <c r="AW168" s="46"/>
      <c r="AX168" s="39" t="str" cm="1">
        <f t="array" ref="AX168">IF(AH168&lt;&gt;"",IF(AND(AX166:AX167&lt;&gt;"IE",AQ168&lt;&gt;0,AS168&lt;&gt;""),IF(IFERROR((AQ168/AS168),0) &lt;=1,IFERROR(AQ168/AS168,""),1),""),"")</f>
        <v/>
      </c>
      <c r="AY168" s="46"/>
      <c r="AZ168" s="57"/>
    </row>
    <row r="169" spans="1:52" ht="15.5" x14ac:dyDescent="0.35">
      <c r="A169" s="51">
        <f t="shared" si="49"/>
        <v>1</v>
      </c>
      <c r="B169" s="52"/>
      <c r="C169" s="52"/>
      <c r="D169" s="29" t="str">
        <f>IFERROR(
IF(AND(OR(Planilla!B169="C",Planilla!B169="c"), VLOOKUP(E169,[1]Diccionario!B:N,13,0)="C"), "OK",IF(AND(OR(Planilla!B169="C",Planilla!B169="c"), OR(VLOOKUP(E169,[1]Diccionario!B:N,13,0)="B", VLOOKUP(E169,[1]Diccionario!B:N,13,0)="A")), "DEFICIT",IF(
AND(OR(Planilla!B169="B", Planilla!B169="BPAL"), VLOOKUP(E169,[1]Diccionario!B:N,13,0)="B"), "OK",IF(AND(OR(Planilla!B169="B", Planilla!B169="BPAL"), VLOOKUP(E169,[1]Diccionario!B:N,13,0)="A"), "DEFICIT",IF(AND(OR(Planilla!B169="B", Planilla!B169="BPAL"), VLOOKUP(E169,[1]Diccionario!B:N,13,0)="C"), "SOBREOFERTA",IF(AND(Planilla!B169="A", VLOOKUP(E169,[1]Diccionario!B:N,13,0)="A"), "OK",IF(
AND(Planilla!B169="A", OR(VLOOKUP(E169,[1]Diccionario!B:N,13,0)="B", VLOOKUP(E169,[1]Diccionario!B:N,13,0)="C")), "SOBREOFERTA",""
))))))),"")</f>
        <v/>
      </c>
      <c r="E169" s="48"/>
      <c r="F169" s="53"/>
      <c r="G169" s="54"/>
      <c r="H169" s="55" t="str">
        <f t="shared" si="42"/>
        <v/>
      </c>
      <c r="I169" s="35"/>
      <c r="J169" s="34" t="e">
        <f>IF(A169&lt;&gt;"",HLOOKUP(VALUE(TEXT(G169,"h:mm:ss")),IF($C$6="Laboral",[1]Input!$A$4:$Y$227,IF($C$6="Sábado",[1]Input!$A$231:$Y$452,[1]Input!$A$456:$Y$656)),VLOOKUP($C$4,[1]Input!$AG$2:$AI$99,3,0)+IF(C$5="Ida",0,1),1),"")</f>
        <v>#N/A</v>
      </c>
      <c r="K169" s="34" t="str">
        <f>IF(A170&lt;&gt;A169,AVERAGEIF(A$9:A169,A169,J$13:J169),"")</f>
        <v/>
      </c>
      <c r="L169" s="35" t="str">
        <f>IFERROR(IF(A170&lt;&gt;A169,AVERAGEIF(A$9:A169,A169,S$13:S169),""),"")</f>
        <v/>
      </c>
      <c r="M169" s="35" t="str">
        <f>IFERROR(IF(A170&lt;&gt;A169,AVERAGEIF(A$9:A169,A169,T$8:T169),""),"")</f>
        <v/>
      </c>
      <c r="N169" s="35" t="str" cm="1">
        <f t="array" ref="N169">IFERROR(IF(A170&lt;&gt;A169,_xlfn.STDEV.P(IF(A$9:A169=A169,T$7:T169)),""),"")</f>
        <v/>
      </c>
      <c r="O169" s="35" t="str" cm="1">
        <f t="array" ref="O169">IFERROR(IF(A170&lt;&gt;A169,_xlfn.STDEV.P(IF(A$9:A169=A169,S$7:S169)),""),"")</f>
        <v/>
      </c>
      <c r="P169" s="36" t="str">
        <f t="shared" si="35"/>
        <v/>
      </c>
      <c r="Q169" s="36" t="str">
        <f t="shared" si="36"/>
        <v/>
      </c>
      <c r="R169" s="36" t="str">
        <f t="shared" si="43"/>
        <v/>
      </c>
      <c r="S169" s="37" t="str">
        <f t="shared" si="44"/>
        <v/>
      </c>
      <c r="T169" s="37" t="str">
        <f t="shared" si="37"/>
        <v/>
      </c>
      <c r="U169" s="54"/>
      <c r="V169" s="46"/>
      <c r="W169" s="39" t="str">
        <f t="shared" si="45"/>
        <v/>
      </c>
      <c r="X169" s="38"/>
      <c r="Y169" s="48"/>
      <c r="AB169" s="56">
        <f t="shared" si="46"/>
        <v>1</v>
      </c>
      <c r="AC169" s="52"/>
      <c r="AD169" s="52"/>
      <c r="AE169" s="29" t="str">
        <f>IFERROR(
IF(AND(OR(AC169="C",AC169="c"), VLOOKUP(AF169,[1]Diccionario!B:N,13,0)="C"), "OK",IF(AND(OR(AC169="C",AC169="c"), OR(VLOOKUP(AF169,[1]Diccionario!B:N,13,0)="B", VLOOKUP(AF169,[1]Diccionario!B:N,13,0)="A")), "DEFICIT",IF(
AND(OR(AC169="B", AC169="BPAL"), VLOOKUP(AF169,[1]Diccionario!B:N,13,0)="B"), "OK",IF(AND(OR(AC169="B", AC169="BPAL"), VLOOKUP(AF169,[1]Diccionario!B:N,13,0)="A"), "DEFICIT",IF(AND(OR(AC169="B", AC169="BPAL"), VLOOKUP(AF169,[1]Diccionario!B:N,13,0)="C"), "SOBREOFERTA",IF(AND(AC169="A", VLOOKUP(AF169,[1]Diccionario!B:N,13,0)="A"), "OK",IF(
AND(AC169="A", OR(VLOOKUP(AF169,[1]Diccionario!B:N,13,0)="B", VLOOKUP(AF169,[1]Diccionario!B:N,13,0)="C")), "SOBREOFERTA",""
))))))),"")</f>
        <v/>
      </c>
      <c r="AF169" s="48"/>
      <c r="AG169" s="53"/>
      <c r="AH169" s="54"/>
      <c r="AI169" s="55" t="str">
        <f t="shared" si="47"/>
        <v/>
      </c>
      <c r="AJ169" s="46"/>
      <c r="AK169" s="34" t="e">
        <f>IF(AB169&lt;&gt;"",HLOOKUP(VALUE(TEXT(AH169,"h:mm:ss")),IF($C$6="Laboral",[1]Input!$A$4:$Y$227,IF($C$6="Sábado",[1]Input!$A$231:$Y$452,[1]Input!$A$456:$Y$656)),VLOOKUP($C$4,[1]Input!$AG$2:$AI$99,3,0)+IF(AD$5="Ida",0,1),1),"")</f>
        <v>#N/A</v>
      </c>
      <c r="AL169" s="34" t="str">
        <f>IF(AB170&lt;&gt;AB169,AVERAGEIF(AB$9:AB169,AB169,AK$9:AK169),"")</f>
        <v/>
      </c>
      <c r="AM169" s="35" t="str">
        <f>IFERROR(IF(AB170&lt;&gt;AB169,AVERAGEIF(AB$9:AB169,AB169,AT$9:AT169),""),"")</f>
        <v/>
      </c>
      <c r="AN169" s="35" t="str">
        <f>IFERROR(IF(AB170&lt;&gt;AB169,AVERAGEIF(AB$9:AB169,AB169,AU$9:AU169),""),"")</f>
        <v/>
      </c>
      <c r="AO169" s="35" t="str" cm="1">
        <f t="array" ref="AO169">IFERROR(IF(AB170&lt;&gt;AB169,_xlfn.STDEV.P(IF(AB$9:AB169=AB169,AU$9:AU169)),""),"")</f>
        <v/>
      </c>
      <c r="AP169" s="35" t="str" cm="1">
        <f t="array" ref="AP169">IFERROR(IF(AB170&lt;&gt;AB169,_xlfn.STDEV.P(IF(AB$9:AB169=AB169,AT$9:AT169)),""),"")</f>
        <v/>
      </c>
      <c r="AQ169" s="36" t="str">
        <f t="shared" si="38"/>
        <v/>
      </c>
      <c r="AR169" s="36" t="str">
        <f t="shared" si="39"/>
        <v/>
      </c>
      <c r="AS169" s="36" t="str">
        <f t="shared" si="48"/>
        <v/>
      </c>
      <c r="AT169" s="37" t="str">
        <f t="shared" si="40"/>
        <v/>
      </c>
      <c r="AU169" s="37" t="str">
        <f t="shared" si="41"/>
        <v/>
      </c>
      <c r="AV169" s="54"/>
      <c r="AW169" s="46"/>
      <c r="AX169" s="39" t="str" cm="1">
        <f t="array" ref="AX169">IF(AH169&lt;&gt;"",IF(AND(AX167:AX168&lt;&gt;"IE",AQ169&lt;&gt;0,AS169&lt;&gt;""),IF(IFERROR((AQ169/AS169),0) &lt;=1,IFERROR(AQ169/AS169,""),1),""),"")</f>
        <v/>
      </c>
      <c r="AY169" s="46"/>
      <c r="AZ169" s="57"/>
    </row>
    <row r="170" spans="1:52" ht="15.5" x14ac:dyDescent="0.35">
      <c r="A170" s="51">
        <f t="shared" si="49"/>
        <v>1</v>
      </c>
      <c r="B170" s="52"/>
      <c r="C170" s="52"/>
      <c r="D170" s="29" t="str">
        <f>IFERROR(
IF(AND(OR(Planilla!B170="C",Planilla!B170="c"), VLOOKUP(E170,[1]Diccionario!B:N,13,0)="C"), "OK",IF(AND(OR(Planilla!B170="C",Planilla!B170="c"), OR(VLOOKUP(E170,[1]Diccionario!B:N,13,0)="B", VLOOKUP(E170,[1]Diccionario!B:N,13,0)="A")), "DEFICIT",IF(
AND(OR(Planilla!B170="B", Planilla!B170="BPAL"), VLOOKUP(E170,[1]Diccionario!B:N,13,0)="B"), "OK",IF(AND(OR(Planilla!B170="B", Planilla!B170="BPAL"), VLOOKUP(E170,[1]Diccionario!B:N,13,0)="A"), "DEFICIT",IF(AND(OR(Planilla!B170="B", Planilla!B170="BPAL"), VLOOKUP(E170,[1]Diccionario!B:N,13,0)="C"), "SOBREOFERTA",IF(AND(Planilla!B170="A", VLOOKUP(E170,[1]Diccionario!B:N,13,0)="A"), "OK",IF(
AND(Planilla!B170="A", OR(VLOOKUP(E170,[1]Diccionario!B:N,13,0)="B", VLOOKUP(E170,[1]Diccionario!B:N,13,0)="C")), "SOBREOFERTA",""
))))))),"")</f>
        <v/>
      </c>
      <c r="E170" s="48"/>
      <c r="F170" s="53"/>
      <c r="G170" s="54"/>
      <c r="H170" s="55" t="str">
        <f t="shared" si="42"/>
        <v/>
      </c>
      <c r="I170" s="35"/>
      <c r="J170" s="34" t="e">
        <f>IF(A170&lt;&gt;"",HLOOKUP(VALUE(TEXT(G170,"h:mm:ss")),IF($C$6="Laboral",[1]Input!$A$4:$Y$227,IF($C$6="Sábado",[1]Input!$A$231:$Y$452,[1]Input!$A$456:$Y$656)),VLOOKUP($C$4,[1]Input!$AG$2:$AI$99,3,0)+IF(C$5="Ida",0,1),1),"")</f>
        <v>#N/A</v>
      </c>
      <c r="K170" s="34" t="str">
        <f>IF(A171&lt;&gt;A170,AVERAGEIF(A$9:A170,A170,J$13:J170),"")</f>
        <v/>
      </c>
      <c r="L170" s="35" t="str">
        <f>IFERROR(IF(A171&lt;&gt;A170,AVERAGEIF(A$9:A170,A170,S$13:S170),""),"")</f>
        <v/>
      </c>
      <c r="M170" s="35" t="str">
        <f>IFERROR(IF(A171&lt;&gt;A170,AVERAGEIF(A$9:A170,A170,T$8:T170),""),"")</f>
        <v/>
      </c>
      <c r="N170" s="35" t="str" cm="1">
        <f t="array" ref="N170">IFERROR(IF(A171&lt;&gt;A170,_xlfn.STDEV.P(IF(A$9:A170=A170,T$7:T170)),""),"")</f>
        <v/>
      </c>
      <c r="O170" s="35" t="str" cm="1">
        <f t="array" ref="O170">IFERROR(IF(A171&lt;&gt;A170,_xlfn.STDEV.P(IF(A$9:A170=A170,S$7:S170)),""),"")</f>
        <v/>
      </c>
      <c r="P170" s="36" t="str">
        <f t="shared" si="35"/>
        <v/>
      </c>
      <c r="Q170" s="36" t="str">
        <f t="shared" si="36"/>
        <v/>
      </c>
      <c r="R170" s="36" t="str">
        <f t="shared" si="43"/>
        <v/>
      </c>
      <c r="S170" s="37" t="str">
        <f t="shared" si="44"/>
        <v/>
      </c>
      <c r="T170" s="37" t="str">
        <f t="shared" si="37"/>
        <v/>
      </c>
      <c r="U170" s="54"/>
      <c r="V170" s="46"/>
      <c r="W170" s="39" t="str">
        <f t="shared" si="45"/>
        <v/>
      </c>
      <c r="X170" s="38"/>
      <c r="Y170" s="48"/>
      <c r="AB170" s="56">
        <f t="shared" si="46"/>
        <v>1</v>
      </c>
      <c r="AC170" s="52"/>
      <c r="AD170" s="52"/>
      <c r="AE170" s="29" t="str">
        <f>IFERROR(
IF(AND(OR(AC170="C",AC170="c"), VLOOKUP(AF170,[1]Diccionario!B:N,13,0)="C"), "OK",IF(AND(OR(AC170="C",AC170="c"), OR(VLOOKUP(AF170,[1]Diccionario!B:N,13,0)="B", VLOOKUP(AF170,[1]Diccionario!B:N,13,0)="A")), "DEFICIT",IF(
AND(OR(AC170="B", AC170="BPAL"), VLOOKUP(AF170,[1]Diccionario!B:N,13,0)="B"), "OK",IF(AND(OR(AC170="B", AC170="BPAL"), VLOOKUP(AF170,[1]Diccionario!B:N,13,0)="A"), "DEFICIT",IF(AND(OR(AC170="B", AC170="BPAL"), VLOOKUP(AF170,[1]Diccionario!B:N,13,0)="C"), "SOBREOFERTA",IF(AND(AC170="A", VLOOKUP(AF170,[1]Diccionario!B:N,13,0)="A"), "OK",IF(
AND(AC170="A", OR(VLOOKUP(AF170,[1]Diccionario!B:N,13,0)="B", VLOOKUP(AF170,[1]Diccionario!B:N,13,0)="C")), "SOBREOFERTA",""
))))))),"")</f>
        <v/>
      </c>
      <c r="AF170" s="48"/>
      <c r="AG170" s="53"/>
      <c r="AH170" s="54"/>
      <c r="AI170" s="55" t="str">
        <f t="shared" si="47"/>
        <v/>
      </c>
      <c r="AJ170" s="46"/>
      <c r="AK170" s="34" t="e">
        <f>IF(AB170&lt;&gt;"",HLOOKUP(VALUE(TEXT(AH170,"h:mm:ss")),IF($C$6="Laboral",[1]Input!$A$4:$Y$227,IF($C$6="Sábado",[1]Input!$A$231:$Y$452,[1]Input!$A$456:$Y$656)),VLOOKUP($C$4,[1]Input!$AG$2:$AI$99,3,0)+IF(AD$5="Ida",0,1),1),"")</f>
        <v>#N/A</v>
      </c>
      <c r="AL170" s="34" t="str">
        <f>IF(AB171&lt;&gt;AB170,AVERAGEIF(AB$9:AB170,AB170,AK$9:AK170),"")</f>
        <v/>
      </c>
      <c r="AM170" s="35" t="str">
        <f>IFERROR(IF(AB171&lt;&gt;AB170,AVERAGEIF(AB$9:AB170,AB170,AT$9:AT170),""),"")</f>
        <v/>
      </c>
      <c r="AN170" s="35" t="str">
        <f>IFERROR(IF(AB171&lt;&gt;AB170,AVERAGEIF(AB$9:AB170,AB170,AU$9:AU170),""),"")</f>
        <v/>
      </c>
      <c r="AO170" s="35" t="str" cm="1">
        <f t="array" ref="AO170">IFERROR(IF(AB171&lt;&gt;AB170,_xlfn.STDEV.P(IF(AB$9:AB170=AB170,AU$9:AU170)),""),"")</f>
        <v/>
      </c>
      <c r="AP170" s="35" t="str" cm="1">
        <f t="array" ref="AP170">IFERROR(IF(AB171&lt;&gt;AB170,_xlfn.STDEV.P(IF(AB$9:AB170=AB170,AT$9:AT170)),""),"")</f>
        <v/>
      </c>
      <c r="AQ170" s="36" t="str">
        <f t="shared" si="38"/>
        <v/>
      </c>
      <c r="AR170" s="36" t="str">
        <f t="shared" si="39"/>
        <v/>
      </c>
      <c r="AS170" s="36" t="str">
        <f t="shared" si="48"/>
        <v/>
      </c>
      <c r="AT170" s="37" t="str">
        <f t="shared" si="40"/>
        <v/>
      </c>
      <c r="AU170" s="37" t="str">
        <f t="shared" si="41"/>
        <v/>
      </c>
      <c r="AV170" s="54"/>
      <c r="AW170" s="46"/>
      <c r="AX170" s="39" t="str" cm="1">
        <f t="array" ref="AX170">IF(AH170&lt;&gt;"",IF(AND(AX168:AX169&lt;&gt;"IE",AQ170&lt;&gt;0,AS170&lt;&gt;""),IF(IFERROR((AQ170/AS170),0) &lt;=1,IFERROR(AQ170/AS170,""),1),""),"")</f>
        <v/>
      </c>
      <c r="AY170" s="46"/>
      <c r="AZ170" s="57"/>
    </row>
    <row r="171" spans="1:52" ht="15.5" x14ac:dyDescent="0.35">
      <c r="A171" s="51">
        <f t="shared" si="49"/>
        <v>1</v>
      </c>
      <c r="B171" s="52"/>
      <c r="C171" s="52"/>
      <c r="D171" s="29" t="str">
        <f>IFERROR(
IF(AND(OR(Planilla!B171="C",Planilla!B171="c"), VLOOKUP(E171,[1]Diccionario!B:N,13,0)="C"), "OK",IF(AND(OR(Planilla!B171="C",Planilla!B171="c"), OR(VLOOKUP(E171,[1]Diccionario!B:N,13,0)="B", VLOOKUP(E171,[1]Diccionario!B:N,13,0)="A")), "DEFICIT",IF(
AND(OR(Planilla!B171="B", Planilla!B171="BPAL"), VLOOKUP(E171,[1]Diccionario!B:N,13,0)="B"), "OK",IF(AND(OR(Planilla!B171="B", Planilla!B171="BPAL"), VLOOKUP(E171,[1]Diccionario!B:N,13,0)="A"), "DEFICIT",IF(AND(OR(Planilla!B171="B", Planilla!B171="BPAL"), VLOOKUP(E171,[1]Diccionario!B:N,13,0)="C"), "SOBREOFERTA",IF(AND(Planilla!B171="A", VLOOKUP(E171,[1]Diccionario!B:N,13,0)="A"), "OK",IF(
AND(Planilla!B171="A", OR(VLOOKUP(E171,[1]Diccionario!B:N,13,0)="B", VLOOKUP(E171,[1]Diccionario!B:N,13,0)="C")), "SOBREOFERTA",""
))))))),"")</f>
        <v/>
      </c>
      <c r="E171" s="48"/>
      <c r="F171" s="53"/>
      <c r="G171" s="54"/>
      <c r="H171" s="55" t="str">
        <f t="shared" si="42"/>
        <v/>
      </c>
      <c r="I171" s="35"/>
      <c r="J171" s="34" t="e">
        <f>IF(A171&lt;&gt;"",HLOOKUP(VALUE(TEXT(G171,"h:mm:ss")),IF($C$6="Laboral",[1]Input!$A$4:$Y$227,IF($C$6="Sábado",[1]Input!$A$231:$Y$452,[1]Input!$A$456:$Y$656)),VLOOKUP($C$4,[1]Input!$AG$2:$AI$99,3,0)+IF(C$5="Ida",0,1),1),"")</f>
        <v>#N/A</v>
      </c>
      <c r="K171" s="34" t="str">
        <f>IF(A172&lt;&gt;A171,AVERAGEIF(A$9:A171,A171,J$13:J171),"")</f>
        <v/>
      </c>
      <c r="L171" s="35" t="str">
        <f>IFERROR(IF(A172&lt;&gt;A171,AVERAGEIF(A$9:A171,A171,S$13:S171),""),"")</f>
        <v/>
      </c>
      <c r="M171" s="35" t="str">
        <f>IFERROR(IF(A172&lt;&gt;A171,AVERAGEIF(A$9:A171,A171,T$8:T171),""),"")</f>
        <v/>
      </c>
      <c r="N171" s="35" t="str" cm="1">
        <f t="array" ref="N171">IFERROR(IF(A172&lt;&gt;A171,_xlfn.STDEV.P(IF(A$9:A171=A171,T$7:T171)),""),"")</f>
        <v/>
      </c>
      <c r="O171" s="35" t="str" cm="1">
        <f t="array" ref="O171">IFERROR(IF(A172&lt;&gt;A171,_xlfn.STDEV.P(IF(A$9:A171=A171,S$7:S171)),""),"")</f>
        <v/>
      </c>
      <c r="P171" s="36" t="str">
        <f t="shared" si="35"/>
        <v/>
      </c>
      <c r="Q171" s="36" t="str">
        <f t="shared" si="36"/>
        <v/>
      </c>
      <c r="R171" s="36" t="str">
        <f t="shared" si="43"/>
        <v/>
      </c>
      <c r="S171" s="37" t="str">
        <f t="shared" si="44"/>
        <v/>
      </c>
      <c r="T171" s="37" t="str">
        <f t="shared" si="37"/>
        <v/>
      </c>
      <c r="U171" s="54"/>
      <c r="V171" s="46"/>
      <c r="W171" s="39" t="str">
        <f t="shared" si="45"/>
        <v/>
      </c>
      <c r="X171" s="38"/>
      <c r="Y171" s="48"/>
      <c r="AB171" s="56">
        <f t="shared" si="46"/>
        <v>1</v>
      </c>
      <c r="AC171" s="52"/>
      <c r="AD171" s="52"/>
      <c r="AE171" s="29" t="str">
        <f>IFERROR(
IF(AND(OR(AC171="C",AC171="c"), VLOOKUP(AF171,[1]Diccionario!B:N,13,0)="C"), "OK",IF(AND(OR(AC171="C",AC171="c"), OR(VLOOKUP(AF171,[1]Diccionario!B:N,13,0)="B", VLOOKUP(AF171,[1]Diccionario!B:N,13,0)="A")), "DEFICIT",IF(
AND(OR(AC171="B", AC171="BPAL"), VLOOKUP(AF171,[1]Diccionario!B:N,13,0)="B"), "OK",IF(AND(OR(AC171="B", AC171="BPAL"), VLOOKUP(AF171,[1]Diccionario!B:N,13,0)="A"), "DEFICIT",IF(AND(OR(AC171="B", AC171="BPAL"), VLOOKUP(AF171,[1]Diccionario!B:N,13,0)="C"), "SOBREOFERTA",IF(AND(AC171="A", VLOOKUP(AF171,[1]Diccionario!B:N,13,0)="A"), "OK",IF(
AND(AC171="A", OR(VLOOKUP(AF171,[1]Diccionario!B:N,13,0)="B", VLOOKUP(AF171,[1]Diccionario!B:N,13,0)="C")), "SOBREOFERTA",""
))))))),"")</f>
        <v/>
      </c>
      <c r="AF171" s="48"/>
      <c r="AG171" s="53"/>
      <c r="AH171" s="54"/>
      <c r="AI171" s="55" t="str">
        <f t="shared" si="47"/>
        <v/>
      </c>
      <c r="AJ171" s="46"/>
      <c r="AK171" s="34" t="e">
        <f>IF(AB171&lt;&gt;"",HLOOKUP(VALUE(TEXT(AH171,"h:mm:ss")),IF($C$6="Laboral",[1]Input!$A$4:$Y$227,IF($C$6="Sábado",[1]Input!$A$231:$Y$452,[1]Input!$A$456:$Y$656)),VLOOKUP($C$4,[1]Input!$AG$2:$AI$99,3,0)+IF(AD$5="Ida",0,1),1),"")</f>
        <v>#N/A</v>
      </c>
      <c r="AL171" s="34" t="str">
        <f>IF(AB172&lt;&gt;AB171,AVERAGEIF(AB$9:AB171,AB171,AK$9:AK171),"")</f>
        <v/>
      </c>
      <c r="AM171" s="35" t="str">
        <f>IFERROR(IF(AB172&lt;&gt;AB171,AVERAGEIF(AB$9:AB171,AB171,AT$9:AT171),""),"")</f>
        <v/>
      </c>
      <c r="AN171" s="35" t="str">
        <f>IFERROR(IF(AB172&lt;&gt;AB171,AVERAGEIF(AB$9:AB171,AB171,AU$9:AU171),""),"")</f>
        <v/>
      </c>
      <c r="AO171" s="35" t="str" cm="1">
        <f t="array" ref="AO171">IFERROR(IF(AB172&lt;&gt;AB171,_xlfn.STDEV.P(IF(AB$9:AB171=AB171,AU$9:AU171)),""),"")</f>
        <v/>
      </c>
      <c r="AP171" s="35" t="str" cm="1">
        <f t="array" ref="AP171">IFERROR(IF(AB172&lt;&gt;AB171,_xlfn.STDEV.P(IF(AB$9:AB171=AB171,AT$9:AT171)),""),"")</f>
        <v/>
      </c>
      <c r="AQ171" s="36" t="str">
        <f t="shared" si="38"/>
        <v/>
      </c>
      <c r="AR171" s="36" t="str">
        <f t="shared" si="39"/>
        <v/>
      </c>
      <c r="AS171" s="36" t="str">
        <f t="shared" si="48"/>
        <v/>
      </c>
      <c r="AT171" s="37" t="str">
        <f t="shared" si="40"/>
        <v/>
      </c>
      <c r="AU171" s="37" t="str">
        <f t="shared" si="41"/>
        <v/>
      </c>
      <c r="AV171" s="54"/>
      <c r="AW171" s="46"/>
      <c r="AX171" s="39" t="str" cm="1">
        <f t="array" ref="AX171">IF(AH171&lt;&gt;"",IF(AND(AX169:AX170&lt;&gt;"IE",AQ171&lt;&gt;0,AS171&lt;&gt;""),IF(IFERROR((AQ171/AS171),0) &lt;=1,IFERROR(AQ171/AS171,""),1),""),"")</f>
        <v/>
      </c>
      <c r="AY171" s="46"/>
      <c r="AZ171" s="57"/>
    </row>
    <row r="172" spans="1:52" ht="15.5" x14ac:dyDescent="0.35">
      <c r="A172" s="51">
        <f t="shared" si="49"/>
        <v>1</v>
      </c>
      <c r="B172" s="52"/>
      <c r="C172" s="52"/>
      <c r="D172" s="29" t="str">
        <f>IFERROR(
IF(AND(OR(Planilla!B172="C",Planilla!B172="c"), VLOOKUP(E172,[1]Diccionario!B:N,13,0)="C"), "OK",IF(AND(OR(Planilla!B172="C",Planilla!B172="c"), OR(VLOOKUP(E172,[1]Diccionario!B:N,13,0)="B", VLOOKUP(E172,[1]Diccionario!B:N,13,0)="A")), "DEFICIT",IF(
AND(OR(Planilla!B172="B", Planilla!B172="BPAL"), VLOOKUP(E172,[1]Diccionario!B:N,13,0)="B"), "OK",IF(AND(OR(Planilla!B172="B", Planilla!B172="BPAL"), VLOOKUP(E172,[1]Diccionario!B:N,13,0)="A"), "DEFICIT",IF(AND(OR(Planilla!B172="B", Planilla!B172="BPAL"), VLOOKUP(E172,[1]Diccionario!B:N,13,0)="C"), "SOBREOFERTA",IF(AND(Planilla!B172="A", VLOOKUP(E172,[1]Diccionario!B:N,13,0)="A"), "OK",IF(
AND(Planilla!B172="A", OR(VLOOKUP(E172,[1]Diccionario!B:N,13,0)="B", VLOOKUP(E172,[1]Diccionario!B:N,13,0)="C")), "SOBREOFERTA",""
))))))),"")</f>
        <v/>
      </c>
      <c r="E172" s="48"/>
      <c r="F172" s="53"/>
      <c r="G172" s="54"/>
      <c r="H172" s="55" t="str">
        <f t="shared" si="42"/>
        <v/>
      </c>
      <c r="I172" s="35"/>
      <c r="J172" s="34" t="e">
        <f>IF(A172&lt;&gt;"",HLOOKUP(VALUE(TEXT(G172,"h:mm:ss")),IF($C$6="Laboral",[1]Input!$A$4:$Y$227,IF($C$6="Sábado",[1]Input!$A$231:$Y$452,[1]Input!$A$456:$Y$656)),VLOOKUP($C$4,[1]Input!$AG$2:$AI$99,3,0)+IF(C$5="Ida",0,1),1),"")</f>
        <v>#N/A</v>
      </c>
      <c r="K172" s="34" t="str">
        <f>IF(A173&lt;&gt;A172,AVERAGEIF(A$9:A172,A172,J$13:J172),"")</f>
        <v/>
      </c>
      <c r="L172" s="35" t="str">
        <f>IFERROR(IF(A173&lt;&gt;A172,AVERAGEIF(A$9:A172,A172,S$13:S172),""),"")</f>
        <v/>
      </c>
      <c r="M172" s="35" t="str">
        <f>IFERROR(IF(A173&lt;&gt;A172,AVERAGEIF(A$9:A172,A172,T$8:T172),""),"")</f>
        <v/>
      </c>
      <c r="N172" s="35" t="str" cm="1">
        <f t="array" ref="N172">IFERROR(IF(A173&lt;&gt;A172,_xlfn.STDEV.P(IF(A$9:A172=A172,T$7:T172)),""),"")</f>
        <v/>
      </c>
      <c r="O172" s="35" t="str" cm="1">
        <f t="array" ref="O172">IFERROR(IF(A173&lt;&gt;A172,_xlfn.STDEV.P(IF(A$9:A172=A172,S$7:S172)),""),"")</f>
        <v/>
      </c>
      <c r="P172" s="36" t="str">
        <f t="shared" si="35"/>
        <v/>
      </c>
      <c r="Q172" s="36" t="str">
        <f t="shared" si="36"/>
        <v/>
      </c>
      <c r="R172" s="36" t="str">
        <f t="shared" si="43"/>
        <v/>
      </c>
      <c r="S172" s="37" t="str">
        <f t="shared" si="44"/>
        <v/>
      </c>
      <c r="T172" s="37" t="str">
        <f t="shared" si="37"/>
        <v/>
      </c>
      <c r="U172" s="54"/>
      <c r="V172" s="46"/>
      <c r="W172" s="39" t="str">
        <f t="shared" si="45"/>
        <v/>
      </c>
      <c r="X172" s="38"/>
      <c r="Y172" s="48"/>
      <c r="AB172" s="56">
        <f t="shared" si="46"/>
        <v>1</v>
      </c>
      <c r="AC172" s="52"/>
      <c r="AD172" s="52"/>
      <c r="AE172" s="29" t="str">
        <f>IFERROR(
IF(AND(OR(AC172="C",AC172="c"), VLOOKUP(AF172,[1]Diccionario!B:N,13,0)="C"), "OK",IF(AND(OR(AC172="C",AC172="c"), OR(VLOOKUP(AF172,[1]Diccionario!B:N,13,0)="B", VLOOKUP(AF172,[1]Diccionario!B:N,13,0)="A")), "DEFICIT",IF(
AND(OR(AC172="B", AC172="BPAL"), VLOOKUP(AF172,[1]Diccionario!B:N,13,0)="B"), "OK",IF(AND(OR(AC172="B", AC172="BPAL"), VLOOKUP(AF172,[1]Diccionario!B:N,13,0)="A"), "DEFICIT",IF(AND(OR(AC172="B", AC172="BPAL"), VLOOKUP(AF172,[1]Diccionario!B:N,13,0)="C"), "SOBREOFERTA",IF(AND(AC172="A", VLOOKUP(AF172,[1]Diccionario!B:N,13,0)="A"), "OK",IF(
AND(AC172="A", OR(VLOOKUP(AF172,[1]Diccionario!B:N,13,0)="B", VLOOKUP(AF172,[1]Diccionario!B:N,13,0)="C")), "SOBREOFERTA",""
))))))),"")</f>
        <v/>
      </c>
      <c r="AF172" s="48"/>
      <c r="AG172" s="53"/>
      <c r="AH172" s="54"/>
      <c r="AI172" s="55" t="str">
        <f t="shared" si="47"/>
        <v/>
      </c>
      <c r="AJ172" s="46"/>
      <c r="AK172" s="34" t="e">
        <f>IF(AB172&lt;&gt;"",HLOOKUP(VALUE(TEXT(AH172,"h:mm:ss")),IF($C$6="Laboral",[1]Input!$A$4:$Y$227,IF($C$6="Sábado",[1]Input!$A$231:$Y$452,[1]Input!$A$456:$Y$656)),VLOOKUP($C$4,[1]Input!$AG$2:$AI$99,3,0)+IF(AD$5="Ida",0,1),1),"")</f>
        <v>#N/A</v>
      </c>
      <c r="AL172" s="34" t="str">
        <f>IF(AB173&lt;&gt;AB172,AVERAGEIF(AB$9:AB172,AB172,AK$9:AK172),"")</f>
        <v/>
      </c>
      <c r="AM172" s="35" t="str">
        <f>IFERROR(IF(AB173&lt;&gt;AB172,AVERAGEIF(AB$9:AB172,AB172,AT$9:AT172),""),"")</f>
        <v/>
      </c>
      <c r="AN172" s="35" t="str">
        <f>IFERROR(IF(AB173&lt;&gt;AB172,AVERAGEIF(AB$9:AB172,AB172,AU$9:AU172),""),"")</f>
        <v/>
      </c>
      <c r="AO172" s="35" t="str" cm="1">
        <f t="array" ref="AO172">IFERROR(IF(AB173&lt;&gt;AB172,_xlfn.STDEV.P(IF(AB$9:AB172=AB172,AU$9:AU172)),""),"")</f>
        <v/>
      </c>
      <c r="AP172" s="35" t="str" cm="1">
        <f t="array" ref="AP172">IFERROR(IF(AB173&lt;&gt;AB172,_xlfn.STDEV.P(IF(AB$9:AB172=AB172,AT$9:AT172)),""),"")</f>
        <v/>
      </c>
      <c r="AQ172" s="36" t="str">
        <f t="shared" si="38"/>
        <v/>
      </c>
      <c r="AR172" s="36" t="str">
        <f t="shared" si="39"/>
        <v/>
      </c>
      <c r="AS172" s="36" t="str">
        <f t="shared" si="48"/>
        <v/>
      </c>
      <c r="AT172" s="37" t="str">
        <f t="shared" si="40"/>
        <v/>
      </c>
      <c r="AU172" s="37" t="str">
        <f t="shared" si="41"/>
        <v/>
      </c>
      <c r="AV172" s="54"/>
      <c r="AW172" s="46"/>
      <c r="AX172" s="39" t="str" cm="1">
        <f t="array" ref="AX172">IF(AH172&lt;&gt;"",IF(AND(AX170:AX171&lt;&gt;"IE",AQ172&lt;&gt;0,AS172&lt;&gt;""),IF(IFERROR((AQ172/AS172),0) &lt;=1,IFERROR(AQ172/AS172,""),1),""),"")</f>
        <v/>
      </c>
      <c r="AY172" s="46"/>
      <c r="AZ172" s="57"/>
    </row>
    <row r="173" spans="1:52" ht="15.5" x14ac:dyDescent="0.35">
      <c r="A173" s="51">
        <f t="shared" si="49"/>
        <v>1</v>
      </c>
      <c r="B173" s="52"/>
      <c r="C173" s="52"/>
      <c r="D173" s="29" t="str">
        <f>IFERROR(
IF(AND(OR(Planilla!B173="C",Planilla!B173="c"), VLOOKUP(E173,[1]Diccionario!B:N,13,0)="C"), "OK",IF(AND(OR(Planilla!B173="C",Planilla!B173="c"), OR(VLOOKUP(E173,[1]Diccionario!B:N,13,0)="B", VLOOKUP(E173,[1]Diccionario!B:N,13,0)="A")), "DEFICIT",IF(
AND(OR(Planilla!B173="B", Planilla!B173="BPAL"), VLOOKUP(E173,[1]Diccionario!B:N,13,0)="B"), "OK",IF(AND(OR(Planilla!B173="B", Planilla!B173="BPAL"), VLOOKUP(E173,[1]Diccionario!B:N,13,0)="A"), "DEFICIT",IF(AND(OR(Planilla!B173="B", Planilla!B173="BPAL"), VLOOKUP(E173,[1]Diccionario!B:N,13,0)="C"), "SOBREOFERTA",IF(AND(Planilla!B173="A", VLOOKUP(E173,[1]Diccionario!B:N,13,0)="A"), "OK",IF(
AND(Planilla!B173="A", OR(VLOOKUP(E173,[1]Diccionario!B:N,13,0)="B", VLOOKUP(E173,[1]Diccionario!B:N,13,0)="C")), "SOBREOFERTA",""
))))))),"")</f>
        <v/>
      </c>
      <c r="E173" s="48"/>
      <c r="F173" s="53"/>
      <c r="G173" s="54"/>
      <c r="H173" s="55" t="str">
        <f t="shared" si="42"/>
        <v/>
      </c>
      <c r="I173" s="35"/>
      <c r="J173" s="34" t="e">
        <f>IF(A173&lt;&gt;"",HLOOKUP(VALUE(TEXT(G173,"h:mm:ss")),IF($C$6="Laboral",[1]Input!$A$4:$Y$227,IF($C$6="Sábado",[1]Input!$A$231:$Y$452,[1]Input!$A$456:$Y$656)),VLOOKUP($C$4,[1]Input!$AG$2:$AI$99,3,0)+IF(C$5="Ida",0,1),1),"")</f>
        <v>#N/A</v>
      </c>
      <c r="K173" s="34" t="str">
        <f>IF(A174&lt;&gt;A173,AVERAGEIF(A$9:A173,A173,J$13:J173),"")</f>
        <v/>
      </c>
      <c r="L173" s="35" t="str">
        <f>IFERROR(IF(A174&lt;&gt;A173,AVERAGEIF(A$9:A173,A173,S$13:S173),""),"")</f>
        <v/>
      </c>
      <c r="M173" s="35" t="str">
        <f>IFERROR(IF(A174&lt;&gt;A173,AVERAGEIF(A$9:A173,A173,T$8:T173),""),"")</f>
        <v/>
      </c>
      <c r="N173" s="35" t="str" cm="1">
        <f t="array" ref="N173">IFERROR(IF(A174&lt;&gt;A173,_xlfn.STDEV.P(IF(A$9:A173=A173,T$7:T173)),""),"")</f>
        <v/>
      </c>
      <c r="O173" s="35" t="str" cm="1">
        <f t="array" ref="O173">IFERROR(IF(A174&lt;&gt;A173,_xlfn.STDEV.P(IF(A$9:A173=A173,S$7:S173)),""),"")</f>
        <v/>
      </c>
      <c r="P173" s="36" t="str">
        <f t="shared" si="35"/>
        <v/>
      </c>
      <c r="Q173" s="36" t="str">
        <f t="shared" si="36"/>
        <v/>
      </c>
      <c r="R173" s="36" t="str">
        <f t="shared" si="43"/>
        <v/>
      </c>
      <c r="S173" s="37" t="str">
        <f t="shared" si="44"/>
        <v/>
      </c>
      <c r="T173" s="37" t="str">
        <f t="shared" si="37"/>
        <v/>
      </c>
      <c r="U173" s="54"/>
      <c r="V173" s="46"/>
      <c r="W173" s="39" t="str">
        <f t="shared" si="45"/>
        <v/>
      </c>
      <c r="X173" s="38"/>
      <c r="Y173" s="48"/>
      <c r="AB173" s="56">
        <f t="shared" si="46"/>
        <v>1</v>
      </c>
      <c r="AC173" s="52"/>
      <c r="AD173" s="52"/>
      <c r="AE173" s="29" t="str">
        <f>IFERROR(
IF(AND(OR(AC173="C",AC173="c"), VLOOKUP(AF173,[1]Diccionario!B:N,13,0)="C"), "OK",IF(AND(OR(AC173="C",AC173="c"), OR(VLOOKUP(AF173,[1]Diccionario!B:N,13,0)="B", VLOOKUP(AF173,[1]Diccionario!B:N,13,0)="A")), "DEFICIT",IF(
AND(OR(AC173="B", AC173="BPAL"), VLOOKUP(AF173,[1]Diccionario!B:N,13,0)="B"), "OK",IF(AND(OR(AC173="B", AC173="BPAL"), VLOOKUP(AF173,[1]Diccionario!B:N,13,0)="A"), "DEFICIT",IF(AND(OR(AC173="B", AC173="BPAL"), VLOOKUP(AF173,[1]Diccionario!B:N,13,0)="C"), "SOBREOFERTA",IF(AND(AC173="A", VLOOKUP(AF173,[1]Diccionario!B:N,13,0)="A"), "OK",IF(
AND(AC173="A", OR(VLOOKUP(AF173,[1]Diccionario!B:N,13,0)="B", VLOOKUP(AF173,[1]Diccionario!B:N,13,0)="C")), "SOBREOFERTA",""
))))))),"")</f>
        <v/>
      </c>
      <c r="AF173" s="48"/>
      <c r="AG173" s="53"/>
      <c r="AH173" s="54"/>
      <c r="AI173" s="55" t="str">
        <f t="shared" si="47"/>
        <v/>
      </c>
      <c r="AJ173" s="46"/>
      <c r="AK173" s="34" t="e">
        <f>IF(AB173&lt;&gt;"",HLOOKUP(VALUE(TEXT(AH173,"h:mm:ss")),IF($C$6="Laboral",[1]Input!$A$4:$Y$227,IF($C$6="Sábado",[1]Input!$A$231:$Y$452,[1]Input!$A$456:$Y$656)),VLOOKUP($C$4,[1]Input!$AG$2:$AI$99,3,0)+IF(AD$5="Ida",0,1),1),"")</f>
        <v>#N/A</v>
      </c>
      <c r="AL173" s="34" t="str">
        <f>IF(AB174&lt;&gt;AB173,AVERAGEIF(AB$9:AB173,AB173,AK$9:AK173),"")</f>
        <v/>
      </c>
      <c r="AM173" s="35" t="str">
        <f>IFERROR(IF(AB174&lt;&gt;AB173,AVERAGEIF(AB$9:AB173,AB173,AT$9:AT173),""),"")</f>
        <v/>
      </c>
      <c r="AN173" s="35" t="str">
        <f>IFERROR(IF(AB174&lt;&gt;AB173,AVERAGEIF(AB$9:AB173,AB173,AU$9:AU173),""),"")</f>
        <v/>
      </c>
      <c r="AO173" s="35" t="str" cm="1">
        <f t="array" ref="AO173">IFERROR(IF(AB174&lt;&gt;AB173,_xlfn.STDEV.P(IF(AB$9:AB173=AB173,AU$9:AU173)),""),"")</f>
        <v/>
      </c>
      <c r="AP173" s="35" t="str" cm="1">
        <f t="array" ref="AP173">IFERROR(IF(AB174&lt;&gt;AB173,_xlfn.STDEV.P(IF(AB$9:AB173=AB173,AT$9:AT173)),""),"")</f>
        <v/>
      </c>
      <c r="AQ173" s="36" t="str">
        <f t="shared" si="38"/>
        <v/>
      </c>
      <c r="AR173" s="36" t="str">
        <f t="shared" si="39"/>
        <v/>
      </c>
      <c r="AS173" s="36" t="str">
        <f t="shared" si="48"/>
        <v/>
      </c>
      <c r="AT173" s="37" t="str">
        <f t="shared" si="40"/>
        <v/>
      </c>
      <c r="AU173" s="37" t="str">
        <f t="shared" si="41"/>
        <v/>
      </c>
      <c r="AV173" s="54"/>
      <c r="AW173" s="46"/>
      <c r="AX173" s="39" t="str" cm="1">
        <f t="array" ref="AX173">IF(AH173&lt;&gt;"",IF(AND(AX171:AX172&lt;&gt;"IE",AQ173&lt;&gt;0,AS173&lt;&gt;""),IF(IFERROR((AQ173/AS173),0) &lt;=1,IFERROR(AQ173/AS173,""),1),""),"")</f>
        <v/>
      </c>
      <c r="AY173" s="46"/>
      <c r="AZ173" s="57"/>
    </row>
    <row r="174" spans="1:52" ht="15.5" x14ac:dyDescent="0.35">
      <c r="A174" s="51">
        <f t="shared" si="49"/>
        <v>1</v>
      </c>
      <c r="B174" s="52"/>
      <c r="C174" s="52"/>
      <c r="D174" s="29" t="str">
        <f>IFERROR(
IF(AND(OR(Planilla!B174="C",Planilla!B174="c"), VLOOKUP(E174,[1]Diccionario!B:N,13,0)="C"), "OK",IF(AND(OR(Planilla!B174="C",Planilla!B174="c"), OR(VLOOKUP(E174,[1]Diccionario!B:N,13,0)="B", VLOOKUP(E174,[1]Diccionario!B:N,13,0)="A")), "DEFICIT",IF(
AND(OR(Planilla!B174="B", Planilla!B174="BPAL"), VLOOKUP(E174,[1]Diccionario!B:N,13,0)="B"), "OK",IF(AND(OR(Planilla!B174="B", Planilla!B174="BPAL"), VLOOKUP(E174,[1]Diccionario!B:N,13,0)="A"), "DEFICIT",IF(AND(OR(Planilla!B174="B", Planilla!B174="BPAL"), VLOOKUP(E174,[1]Diccionario!B:N,13,0)="C"), "SOBREOFERTA",IF(AND(Planilla!B174="A", VLOOKUP(E174,[1]Diccionario!B:N,13,0)="A"), "OK",IF(
AND(Planilla!B174="A", OR(VLOOKUP(E174,[1]Diccionario!B:N,13,0)="B", VLOOKUP(E174,[1]Diccionario!B:N,13,0)="C")), "SOBREOFERTA",""
))))))),"")</f>
        <v/>
      </c>
      <c r="E174" s="48"/>
      <c r="F174" s="53"/>
      <c r="G174" s="54"/>
      <c r="H174" s="55" t="str">
        <f t="shared" si="42"/>
        <v/>
      </c>
      <c r="I174" s="35"/>
      <c r="J174" s="34" t="e">
        <f>IF(A174&lt;&gt;"",HLOOKUP(VALUE(TEXT(G174,"h:mm:ss")),IF($C$6="Laboral",[1]Input!$A$4:$Y$227,IF($C$6="Sábado",[1]Input!$A$231:$Y$452,[1]Input!$A$456:$Y$656)),VLOOKUP($C$4,[1]Input!$AG$2:$AI$99,3,0)+IF(C$5="Ida",0,1),1),"")</f>
        <v>#N/A</v>
      </c>
      <c r="K174" s="34" t="str">
        <f>IF(A175&lt;&gt;A174,AVERAGEIF(A$9:A174,A174,J$13:J174),"")</f>
        <v/>
      </c>
      <c r="L174" s="35" t="str">
        <f>IFERROR(IF(A175&lt;&gt;A174,AVERAGEIF(A$9:A174,A174,S$13:S174),""),"")</f>
        <v/>
      </c>
      <c r="M174" s="35" t="str">
        <f>IFERROR(IF(A175&lt;&gt;A174,AVERAGEIF(A$9:A174,A174,T$8:T174),""),"")</f>
        <v/>
      </c>
      <c r="N174" s="35" t="str" cm="1">
        <f t="array" ref="N174">IFERROR(IF(A175&lt;&gt;A174,_xlfn.STDEV.P(IF(A$9:A174=A174,T$7:T174)),""),"")</f>
        <v/>
      </c>
      <c r="O174" s="35" t="str" cm="1">
        <f t="array" ref="O174">IFERROR(IF(A175&lt;&gt;A174,_xlfn.STDEV.P(IF(A$9:A174=A174,S$7:S174)),""),"")</f>
        <v/>
      </c>
      <c r="P174" s="36" t="str">
        <f t="shared" si="35"/>
        <v/>
      </c>
      <c r="Q174" s="36" t="str">
        <f t="shared" si="36"/>
        <v/>
      </c>
      <c r="R174" s="36" t="str">
        <f t="shared" si="43"/>
        <v/>
      </c>
      <c r="S174" s="37" t="str">
        <f t="shared" si="44"/>
        <v/>
      </c>
      <c r="T174" s="37" t="str">
        <f t="shared" si="37"/>
        <v/>
      </c>
      <c r="U174" s="54"/>
      <c r="V174" s="46"/>
      <c r="W174" s="39" t="str">
        <f t="shared" si="45"/>
        <v/>
      </c>
      <c r="X174" s="38"/>
      <c r="Y174" s="48"/>
      <c r="AB174" s="56">
        <f t="shared" si="46"/>
        <v>1</v>
      </c>
      <c r="AC174" s="52"/>
      <c r="AD174" s="52"/>
      <c r="AE174" s="29" t="str">
        <f>IFERROR(
IF(AND(OR(AC174="C",AC174="c"), VLOOKUP(AF174,[1]Diccionario!B:N,13,0)="C"), "OK",IF(AND(OR(AC174="C",AC174="c"), OR(VLOOKUP(AF174,[1]Diccionario!B:N,13,0)="B", VLOOKUP(AF174,[1]Diccionario!B:N,13,0)="A")), "DEFICIT",IF(
AND(OR(AC174="B", AC174="BPAL"), VLOOKUP(AF174,[1]Diccionario!B:N,13,0)="B"), "OK",IF(AND(OR(AC174="B", AC174="BPAL"), VLOOKUP(AF174,[1]Diccionario!B:N,13,0)="A"), "DEFICIT",IF(AND(OR(AC174="B", AC174="BPAL"), VLOOKUP(AF174,[1]Diccionario!B:N,13,0)="C"), "SOBREOFERTA",IF(AND(AC174="A", VLOOKUP(AF174,[1]Diccionario!B:N,13,0)="A"), "OK",IF(
AND(AC174="A", OR(VLOOKUP(AF174,[1]Diccionario!B:N,13,0)="B", VLOOKUP(AF174,[1]Diccionario!B:N,13,0)="C")), "SOBREOFERTA",""
))))))),"")</f>
        <v/>
      </c>
      <c r="AF174" s="48"/>
      <c r="AG174" s="53"/>
      <c r="AH174" s="54"/>
      <c r="AI174" s="55" t="str">
        <f t="shared" si="47"/>
        <v/>
      </c>
      <c r="AJ174" s="46"/>
      <c r="AK174" s="34" t="e">
        <f>IF(AB174&lt;&gt;"",HLOOKUP(VALUE(TEXT(AH174,"h:mm:ss")),IF($C$6="Laboral",[1]Input!$A$4:$Y$227,IF($C$6="Sábado",[1]Input!$A$231:$Y$452,[1]Input!$A$456:$Y$656)),VLOOKUP($C$4,[1]Input!$AG$2:$AI$99,3,0)+IF(AD$5="Ida",0,1),1),"")</f>
        <v>#N/A</v>
      </c>
      <c r="AL174" s="34" t="str">
        <f>IF(AB175&lt;&gt;AB174,AVERAGEIF(AB$9:AB174,AB174,AK$9:AK174),"")</f>
        <v/>
      </c>
      <c r="AM174" s="35" t="str">
        <f>IFERROR(IF(AB175&lt;&gt;AB174,AVERAGEIF(AB$9:AB174,AB174,AT$9:AT174),""),"")</f>
        <v/>
      </c>
      <c r="AN174" s="35" t="str">
        <f>IFERROR(IF(AB175&lt;&gt;AB174,AVERAGEIF(AB$9:AB174,AB174,AU$9:AU174),""),"")</f>
        <v/>
      </c>
      <c r="AO174" s="35" t="str" cm="1">
        <f t="array" ref="AO174">IFERROR(IF(AB175&lt;&gt;AB174,_xlfn.STDEV.P(IF(AB$9:AB174=AB174,AU$9:AU174)),""),"")</f>
        <v/>
      </c>
      <c r="AP174" s="35" t="str" cm="1">
        <f t="array" ref="AP174">IFERROR(IF(AB175&lt;&gt;AB174,_xlfn.STDEV.P(IF(AB$9:AB174=AB174,AT$9:AT174)),""),"")</f>
        <v/>
      </c>
      <c r="AQ174" s="36" t="str">
        <f t="shared" si="38"/>
        <v/>
      </c>
      <c r="AR174" s="36" t="str">
        <f t="shared" si="39"/>
        <v/>
      </c>
      <c r="AS174" s="36" t="str">
        <f t="shared" si="48"/>
        <v/>
      </c>
      <c r="AT174" s="37" t="str">
        <f t="shared" si="40"/>
        <v/>
      </c>
      <c r="AU174" s="37" t="str">
        <f t="shared" si="41"/>
        <v/>
      </c>
      <c r="AV174" s="54"/>
      <c r="AW174" s="46"/>
      <c r="AX174" s="39" t="str" cm="1">
        <f t="array" ref="AX174">IF(AH174&lt;&gt;"",IF(AND(AX172:AX173&lt;&gt;"IE",AQ174&lt;&gt;0,AS174&lt;&gt;""),IF(IFERROR((AQ174/AS174),0) &lt;=1,IFERROR(AQ174/AS174,""),1),""),"")</f>
        <v/>
      </c>
      <c r="AY174" s="46"/>
      <c r="AZ174" s="57"/>
    </row>
    <row r="175" spans="1:52" ht="15.5" x14ac:dyDescent="0.35">
      <c r="A175" s="51">
        <f t="shared" si="49"/>
        <v>1</v>
      </c>
      <c r="B175" s="52"/>
      <c r="C175" s="52"/>
      <c r="D175" s="29" t="str">
        <f>IFERROR(
IF(AND(OR(Planilla!B175="C",Planilla!B175="c"), VLOOKUP(E175,[1]Diccionario!B:N,13,0)="C"), "OK",IF(AND(OR(Planilla!B175="C",Planilla!B175="c"), OR(VLOOKUP(E175,[1]Diccionario!B:N,13,0)="B", VLOOKUP(E175,[1]Diccionario!B:N,13,0)="A")), "DEFICIT",IF(
AND(OR(Planilla!B175="B", Planilla!B175="BPAL"), VLOOKUP(E175,[1]Diccionario!B:N,13,0)="B"), "OK",IF(AND(OR(Planilla!B175="B", Planilla!B175="BPAL"), VLOOKUP(E175,[1]Diccionario!B:N,13,0)="A"), "DEFICIT",IF(AND(OR(Planilla!B175="B", Planilla!B175="BPAL"), VLOOKUP(E175,[1]Diccionario!B:N,13,0)="C"), "SOBREOFERTA",IF(AND(Planilla!B175="A", VLOOKUP(E175,[1]Diccionario!B:N,13,0)="A"), "OK",IF(
AND(Planilla!B175="A", OR(VLOOKUP(E175,[1]Diccionario!B:N,13,0)="B", VLOOKUP(E175,[1]Diccionario!B:N,13,0)="C")), "SOBREOFERTA",""
))))))),"")</f>
        <v/>
      </c>
      <c r="E175" s="48"/>
      <c r="F175" s="53"/>
      <c r="G175" s="54"/>
      <c r="H175" s="55" t="str">
        <f t="shared" si="42"/>
        <v/>
      </c>
      <c r="I175" s="35"/>
      <c r="J175" s="34" t="e">
        <f>IF(A175&lt;&gt;"",HLOOKUP(VALUE(TEXT(G175,"h:mm:ss")),IF($C$6="Laboral",[1]Input!$A$4:$Y$227,IF($C$6="Sábado",[1]Input!$A$231:$Y$452,[1]Input!$A$456:$Y$656)),VLOOKUP($C$4,[1]Input!$AG$2:$AI$99,3,0)+IF(C$5="Ida",0,1),1),"")</f>
        <v>#N/A</v>
      </c>
      <c r="K175" s="34" t="str">
        <f>IF(A176&lt;&gt;A175,AVERAGEIF(A$9:A175,A175,J$13:J175),"")</f>
        <v/>
      </c>
      <c r="L175" s="35" t="str">
        <f>IFERROR(IF(A176&lt;&gt;A175,AVERAGEIF(A$9:A175,A175,S$13:S175),""),"")</f>
        <v/>
      </c>
      <c r="M175" s="35" t="str">
        <f>IFERROR(IF(A176&lt;&gt;A175,AVERAGEIF(A$9:A175,A175,T$8:T175),""),"")</f>
        <v/>
      </c>
      <c r="N175" s="35" t="str" cm="1">
        <f t="array" ref="N175">IFERROR(IF(A176&lt;&gt;A175,_xlfn.STDEV.P(IF(A$9:A175=A175,T$7:T175)),""),"")</f>
        <v/>
      </c>
      <c r="O175" s="35" t="str" cm="1">
        <f t="array" ref="O175">IFERROR(IF(A176&lt;&gt;A175,_xlfn.STDEV.P(IF(A$9:A175=A175,S$7:S175)),""),"")</f>
        <v/>
      </c>
      <c r="P175" s="36" t="str">
        <f t="shared" si="35"/>
        <v/>
      </c>
      <c r="Q175" s="36" t="str">
        <f t="shared" si="36"/>
        <v/>
      </c>
      <c r="R175" s="36" t="str">
        <f t="shared" si="43"/>
        <v/>
      </c>
      <c r="S175" s="37" t="str">
        <f t="shared" si="44"/>
        <v/>
      </c>
      <c r="T175" s="37" t="str">
        <f t="shared" si="37"/>
        <v/>
      </c>
      <c r="U175" s="54"/>
      <c r="V175" s="46"/>
      <c r="W175" s="39" t="str">
        <f t="shared" si="45"/>
        <v/>
      </c>
      <c r="X175" s="38"/>
      <c r="Y175" s="48"/>
      <c r="AB175" s="56">
        <f t="shared" si="46"/>
        <v>1</v>
      </c>
      <c r="AC175" s="52"/>
      <c r="AD175" s="52"/>
      <c r="AE175" s="29" t="str">
        <f>IFERROR(
IF(AND(OR(AC175="C",AC175="c"), VLOOKUP(AF175,[1]Diccionario!B:N,13,0)="C"), "OK",IF(AND(OR(AC175="C",AC175="c"), OR(VLOOKUP(AF175,[1]Diccionario!B:N,13,0)="B", VLOOKUP(AF175,[1]Diccionario!B:N,13,0)="A")), "DEFICIT",IF(
AND(OR(AC175="B", AC175="BPAL"), VLOOKUP(AF175,[1]Diccionario!B:N,13,0)="B"), "OK",IF(AND(OR(AC175="B", AC175="BPAL"), VLOOKUP(AF175,[1]Diccionario!B:N,13,0)="A"), "DEFICIT",IF(AND(OR(AC175="B", AC175="BPAL"), VLOOKUP(AF175,[1]Diccionario!B:N,13,0)="C"), "SOBREOFERTA",IF(AND(AC175="A", VLOOKUP(AF175,[1]Diccionario!B:N,13,0)="A"), "OK",IF(
AND(AC175="A", OR(VLOOKUP(AF175,[1]Diccionario!B:N,13,0)="B", VLOOKUP(AF175,[1]Diccionario!B:N,13,0)="C")), "SOBREOFERTA",""
))))))),"")</f>
        <v/>
      </c>
      <c r="AF175" s="48"/>
      <c r="AG175" s="53"/>
      <c r="AH175" s="54"/>
      <c r="AI175" s="55" t="str">
        <f t="shared" si="47"/>
        <v/>
      </c>
      <c r="AJ175" s="46"/>
      <c r="AK175" s="34" t="e">
        <f>IF(AB175&lt;&gt;"",HLOOKUP(VALUE(TEXT(AH175,"h:mm:ss")),IF($C$6="Laboral",[1]Input!$A$4:$Y$227,IF($C$6="Sábado",[1]Input!$A$231:$Y$452,[1]Input!$A$456:$Y$656)),VLOOKUP($C$4,[1]Input!$AG$2:$AI$99,3,0)+IF(AD$5="Ida",0,1),1),"")</f>
        <v>#N/A</v>
      </c>
      <c r="AL175" s="34" t="str">
        <f>IF(AB176&lt;&gt;AB175,AVERAGEIF(AB$9:AB175,AB175,AK$9:AK175),"")</f>
        <v/>
      </c>
      <c r="AM175" s="35" t="str">
        <f>IFERROR(IF(AB176&lt;&gt;AB175,AVERAGEIF(AB$9:AB175,AB175,AT$9:AT175),""),"")</f>
        <v/>
      </c>
      <c r="AN175" s="35" t="str">
        <f>IFERROR(IF(AB176&lt;&gt;AB175,AVERAGEIF(AB$9:AB175,AB175,AU$9:AU175),""),"")</f>
        <v/>
      </c>
      <c r="AO175" s="35" t="str" cm="1">
        <f t="array" ref="AO175">IFERROR(IF(AB176&lt;&gt;AB175,_xlfn.STDEV.P(IF(AB$9:AB175=AB175,AU$9:AU175)),""),"")</f>
        <v/>
      </c>
      <c r="AP175" s="35" t="str" cm="1">
        <f t="array" ref="AP175">IFERROR(IF(AB176&lt;&gt;AB175,_xlfn.STDEV.P(IF(AB$9:AB175=AB175,AT$9:AT175)),""),"")</f>
        <v/>
      </c>
      <c r="AQ175" s="36" t="str">
        <f t="shared" si="38"/>
        <v/>
      </c>
      <c r="AR175" s="36" t="str">
        <f t="shared" si="39"/>
        <v/>
      </c>
      <c r="AS175" s="36" t="str">
        <f t="shared" si="48"/>
        <v/>
      </c>
      <c r="AT175" s="37" t="str">
        <f t="shared" si="40"/>
        <v/>
      </c>
      <c r="AU175" s="37" t="str">
        <f t="shared" si="41"/>
        <v/>
      </c>
      <c r="AV175" s="54"/>
      <c r="AW175" s="46"/>
      <c r="AX175" s="39" t="str" cm="1">
        <f t="array" ref="AX175">IF(AH175&lt;&gt;"",IF(AND(AX173:AX174&lt;&gt;"IE",AQ175&lt;&gt;0,AS175&lt;&gt;""),IF(IFERROR((AQ175/AS175),0) &lt;=1,IFERROR(AQ175/AS175,""),1),""),"")</f>
        <v/>
      </c>
      <c r="AY175" s="46"/>
      <c r="AZ175" s="57"/>
    </row>
    <row r="176" spans="1:52" ht="15.5" x14ac:dyDescent="0.35">
      <c r="A176" s="51">
        <f t="shared" si="49"/>
        <v>1</v>
      </c>
      <c r="B176" s="52"/>
      <c r="C176" s="52"/>
      <c r="D176" s="29" t="str">
        <f>IFERROR(
IF(AND(OR(Planilla!B176="C",Planilla!B176="c"), VLOOKUP(E176,[1]Diccionario!B:N,13,0)="C"), "OK",IF(AND(OR(Planilla!B176="C",Planilla!B176="c"), OR(VLOOKUP(E176,[1]Diccionario!B:N,13,0)="B", VLOOKUP(E176,[1]Diccionario!B:N,13,0)="A")), "DEFICIT",IF(
AND(OR(Planilla!B176="B", Planilla!B176="BPAL"), VLOOKUP(E176,[1]Diccionario!B:N,13,0)="B"), "OK",IF(AND(OR(Planilla!B176="B", Planilla!B176="BPAL"), VLOOKUP(E176,[1]Diccionario!B:N,13,0)="A"), "DEFICIT",IF(AND(OR(Planilla!B176="B", Planilla!B176="BPAL"), VLOOKUP(E176,[1]Diccionario!B:N,13,0)="C"), "SOBREOFERTA",IF(AND(Planilla!B176="A", VLOOKUP(E176,[1]Diccionario!B:N,13,0)="A"), "OK",IF(
AND(Planilla!B176="A", OR(VLOOKUP(E176,[1]Diccionario!B:N,13,0)="B", VLOOKUP(E176,[1]Diccionario!B:N,13,0)="C")), "SOBREOFERTA",""
))))))),"")</f>
        <v/>
      </c>
      <c r="E176" s="48"/>
      <c r="F176" s="53"/>
      <c r="G176" s="54"/>
      <c r="H176" s="55" t="str">
        <f t="shared" si="42"/>
        <v/>
      </c>
      <c r="I176" s="35"/>
      <c r="J176" s="34" t="e">
        <f>IF(A176&lt;&gt;"",HLOOKUP(VALUE(TEXT(G176,"h:mm:ss")),IF($C$6="Laboral",[1]Input!$A$4:$Y$227,IF($C$6="Sábado",[1]Input!$A$231:$Y$452,[1]Input!$A$456:$Y$656)),VLOOKUP($C$4,[1]Input!$AG$2:$AI$99,3,0)+IF(C$5="Ida",0,1),1),"")</f>
        <v>#N/A</v>
      </c>
      <c r="K176" s="34" t="str">
        <f>IF(A177&lt;&gt;A176,AVERAGEIF(A$9:A176,A176,J$13:J176),"")</f>
        <v/>
      </c>
      <c r="L176" s="35" t="str">
        <f>IFERROR(IF(A177&lt;&gt;A176,AVERAGEIF(A$9:A176,A176,S$13:S176),""),"")</f>
        <v/>
      </c>
      <c r="M176" s="35" t="str">
        <f>IFERROR(IF(A177&lt;&gt;A176,AVERAGEIF(A$9:A176,A176,T$8:T176),""),"")</f>
        <v/>
      </c>
      <c r="N176" s="35" t="str" cm="1">
        <f t="array" ref="N176">IFERROR(IF(A177&lt;&gt;A176,_xlfn.STDEV.P(IF(A$9:A176=A176,T$7:T176)),""),"")</f>
        <v/>
      </c>
      <c r="O176" s="35" t="str" cm="1">
        <f t="array" ref="O176">IFERROR(IF(A177&lt;&gt;A176,_xlfn.STDEV.P(IF(A$9:A176=A176,S$7:S176)),""),"")</f>
        <v/>
      </c>
      <c r="P176" s="36" t="str">
        <f t="shared" si="35"/>
        <v/>
      </c>
      <c r="Q176" s="36" t="str">
        <f t="shared" si="36"/>
        <v/>
      </c>
      <c r="R176" s="36" t="str">
        <f t="shared" si="43"/>
        <v/>
      </c>
      <c r="S176" s="37" t="str">
        <f t="shared" si="44"/>
        <v/>
      </c>
      <c r="T176" s="37" t="str">
        <f t="shared" si="37"/>
        <v/>
      </c>
      <c r="U176" s="54"/>
      <c r="V176" s="46"/>
      <c r="W176" s="39" t="str">
        <f t="shared" si="45"/>
        <v/>
      </c>
      <c r="X176" s="38"/>
      <c r="Y176" s="48"/>
      <c r="AB176" s="56">
        <f t="shared" si="46"/>
        <v>1</v>
      </c>
      <c r="AC176" s="52"/>
      <c r="AD176" s="52"/>
      <c r="AE176" s="29" t="str">
        <f>IFERROR(
IF(AND(OR(AC176="C",AC176="c"), VLOOKUP(AF176,[1]Diccionario!B:N,13,0)="C"), "OK",IF(AND(OR(AC176="C",AC176="c"), OR(VLOOKUP(AF176,[1]Diccionario!B:N,13,0)="B", VLOOKUP(AF176,[1]Diccionario!B:N,13,0)="A")), "DEFICIT",IF(
AND(OR(AC176="B", AC176="BPAL"), VLOOKUP(AF176,[1]Diccionario!B:N,13,0)="B"), "OK",IF(AND(OR(AC176="B", AC176="BPAL"), VLOOKUP(AF176,[1]Diccionario!B:N,13,0)="A"), "DEFICIT",IF(AND(OR(AC176="B", AC176="BPAL"), VLOOKUP(AF176,[1]Diccionario!B:N,13,0)="C"), "SOBREOFERTA",IF(AND(AC176="A", VLOOKUP(AF176,[1]Diccionario!B:N,13,0)="A"), "OK",IF(
AND(AC176="A", OR(VLOOKUP(AF176,[1]Diccionario!B:N,13,0)="B", VLOOKUP(AF176,[1]Diccionario!B:N,13,0)="C")), "SOBREOFERTA",""
))))))),"")</f>
        <v/>
      </c>
      <c r="AF176" s="48"/>
      <c r="AG176" s="53"/>
      <c r="AH176" s="54"/>
      <c r="AI176" s="55" t="str">
        <f t="shared" si="47"/>
        <v/>
      </c>
      <c r="AJ176" s="46"/>
      <c r="AK176" s="34" t="e">
        <f>IF(AB176&lt;&gt;"",HLOOKUP(VALUE(TEXT(AH176,"h:mm:ss")),IF($C$6="Laboral",[1]Input!$A$4:$Y$227,IF($C$6="Sábado",[1]Input!$A$231:$Y$452,[1]Input!$A$456:$Y$656)),VLOOKUP($C$4,[1]Input!$AG$2:$AI$99,3,0)+IF(AD$5="Ida",0,1),1),"")</f>
        <v>#N/A</v>
      </c>
      <c r="AL176" s="34" t="str">
        <f>IF(AB177&lt;&gt;AB176,AVERAGEIF(AB$9:AB176,AB176,AK$9:AK176),"")</f>
        <v/>
      </c>
      <c r="AM176" s="35" t="str">
        <f>IFERROR(IF(AB177&lt;&gt;AB176,AVERAGEIF(AB$9:AB176,AB176,AT$9:AT176),""),"")</f>
        <v/>
      </c>
      <c r="AN176" s="35" t="str">
        <f>IFERROR(IF(AB177&lt;&gt;AB176,AVERAGEIF(AB$9:AB176,AB176,AU$9:AU176),""),"")</f>
        <v/>
      </c>
      <c r="AO176" s="35" t="str" cm="1">
        <f t="array" ref="AO176">IFERROR(IF(AB177&lt;&gt;AB176,_xlfn.STDEV.P(IF(AB$9:AB176=AB176,AU$9:AU176)),""),"")</f>
        <v/>
      </c>
      <c r="AP176" s="35" t="str" cm="1">
        <f t="array" ref="AP176">IFERROR(IF(AB177&lt;&gt;AB176,_xlfn.STDEV.P(IF(AB$9:AB176=AB176,AT$9:AT176)),""),"")</f>
        <v/>
      </c>
      <c r="AQ176" s="36" t="str">
        <f t="shared" si="38"/>
        <v/>
      </c>
      <c r="AR176" s="36" t="str">
        <f t="shared" si="39"/>
        <v/>
      </c>
      <c r="AS176" s="36" t="str">
        <f t="shared" si="48"/>
        <v/>
      </c>
      <c r="AT176" s="37" t="str">
        <f t="shared" si="40"/>
        <v/>
      </c>
      <c r="AU176" s="37" t="str">
        <f t="shared" si="41"/>
        <v/>
      </c>
      <c r="AV176" s="54"/>
      <c r="AW176" s="46"/>
      <c r="AX176" s="39" t="str" cm="1">
        <f t="array" ref="AX176">IF(AH176&lt;&gt;"",IF(AND(AX174:AX175&lt;&gt;"IE",AQ176&lt;&gt;0,AS176&lt;&gt;""),IF(IFERROR((AQ176/AS176),0) &lt;=1,IFERROR(AQ176/AS176,""),1),""),"")</f>
        <v/>
      </c>
      <c r="AY176" s="46"/>
      <c r="AZ176" s="57"/>
    </row>
    <row r="177" spans="1:52" ht="15.5" x14ac:dyDescent="0.35">
      <c r="A177" s="51">
        <f t="shared" si="49"/>
        <v>1</v>
      </c>
      <c r="B177" s="52"/>
      <c r="C177" s="52"/>
      <c r="D177" s="29" t="str">
        <f>IFERROR(
IF(AND(OR(Planilla!B177="C",Planilla!B177="c"), VLOOKUP(E177,[1]Diccionario!B:N,13,0)="C"), "OK",IF(AND(OR(Planilla!B177="C",Planilla!B177="c"), OR(VLOOKUP(E177,[1]Diccionario!B:N,13,0)="B", VLOOKUP(E177,[1]Diccionario!B:N,13,0)="A")), "DEFICIT",IF(
AND(OR(Planilla!B177="B", Planilla!B177="BPAL"), VLOOKUP(E177,[1]Diccionario!B:N,13,0)="B"), "OK",IF(AND(OR(Planilla!B177="B", Planilla!B177="BPAL"), VLOOKUP(E177,[1]Diccionario!B:N,13,0)="A"), "DEFICIT",IF(AND(OR(Planilla!B177="B", Planilla!B177="BPAL"), VLOOKUP(E177,[1]Diccionario!B:N,13,0)="C"), "SOBREOFERTA",IF(AND(Planilla!B177="A", VLOOKUP(E177,[1]Diccionario!B:N,13,0)="A"), "OK",IF(
AND(Planilla!B177="A", OR(VLOOKUP(E177,[1]Diccionario!B:N,13,0)="B", VLOOKUP(E177,[1]Diccionario!B:N,13,0)="C")), "SOBREOFERTA",""
))))))),"")</f>
        <v/>
      </c>
      <c r="E177" s="48"/>
      <c r="F177" s="53"/>
      <c r="G177" s="54"/>
      <c r="H177" s="55" t="str">
        <f t="shared" si="42"/>
        <v/>
      </c>
      <c r="I177" s="35"/>
      <c r="J177" s="34" t="e">
        <f>IF(A177&lt;&gt;"",HLOOKUP(VALUE(TEXT(G177,"h:mm:ss")),IF($C$6="Laboral",[1]Input!$A$4:$Y$227,IF($C$6="Sábado",[1]Input!$A$231:$Y$452,[1]Input!$A$456:$Y$656)),VLOOKUP($C$4,[1]Input!$AG$2:$AI$99,3,0)+IF(C$5="Ida",0,1),1),"")</f>
        <v>#N/A</v>
      </c>
      <c r="K177" s="34" t="str">
        <f>IF(A178&lt;&gt;A177,AVERAGEIF(A$9:A177,A177,J$13:J177),"")</f>
        <v/>
      </c>
      <c r="L177" s="35" t="str">
        <f>IFERROR(IF(A178&lt;&gt;A177,AVERAGEIF(A$9:A177,A177,S$13:S177),""),"")</f>
        <v/>
      </c>
      <c r="M177" s="35" t="str">
        <f>IFERROR(IF(A178&lt;&gt;A177,AVERAGEIF(A$9:A177,A177,T$8:T177),""),"")</f>
        <v/>
      </c>
      <c r="N177" s="35" t="str" cm="1">
        <f t="array" ref="N177">IFERROR(IF(A178&lt;&gt;A177,_xlfn.STDEV.P(IF(A$9:A177=A177,T$7:T177)),""),"")</f>
        <v/>
      </c>
      <c r="O177" s="35" t="str" cm="1">
        <f t="array" ref="O177">IFERROR(IF(A178&lt;&gt;A177,_xlfn.STDEV.P(IF(A$9:A177=A177,S$7:S177)),""),"")</f>
        <v/>
      </c>
      <c r="P177" s="36" t="str">
        <f t="shared" si="35"/>
        <v/>
      </c>
      <c r="Q177" s="36" t="str">
        <f t="shared" si="36"/>
        <v/>
      </c>
      <c r="R177" s="36" t="str">
        <f t="shared" si="43"/>
        <v/>
      </c>
      <c r="S177" s="37" t="str">
        <f t="shared" si="44"/>
        <v/>
      </c>
      <c r="T177" s="37" t="str">
        <f t="shared" si="37"/>
        <v/>
      </c>
      <c r="U177" s="54"/>
      <c r="V177" s="46"/>
      <c r="W177" s="39" t="str">
        <f t="shared" si="45"/>
        <v/>
      </c>
      <c r="X177" s="38"/>
      <c r="Y177" s="48"/>
      <c r="AB177" s="56">
        <f t="shared" si="46"/>
        <v>1</v>
      </c>
      <c r="AC177" s="52"/>
      <c r="AD177" s="52"/>
      <c r="AE177" s="29" t="str">
        <f>IFERROR(
IF(AND(OR(AC177="C",AC177="c"), VLOOKUP(AF177,[1]Diccionario!B:N,13,0)="C"), "OK",IF(AND(OR(AC177="C",AC177="c"), OR(VLOOKUP(AF177,[1]Diccionario!B:N,13,0)="B", VLOOKUP(AF177,[1]Diccionario!B:N,13,0)="A")), "DEFICIT",IF(
AND(OR(AC177="B", AC177="BPAL"), VLOOKUP(AF177,[1]Diccionario!B:N,13,0)="B"), "OK",IF(AND(OR(AC177="B", AC177="BPAL"), VLOOKUP(AF177,[1]Diccionario!B:N,13,0)="A"), "DEFICIT",IF(AND(OR(AC177="B", AC177="BPAL"), VLOOKUP(AF177,[1]Diccionario!B:N,13,0)="C"), "SOBREOFERTA",IF(AND(AC177="A", VLOOKUP(AF177,[1]Diccionario!B:N,13,0)="A"), "OK",IF(
AND(AC177="A", OR(VLOOKUP(AF177,[1]Diccionario!B:N,13,0)="B", VLOOKUP(AF177,[1]Diccionario!B:N,13,0)="C")), "SOBREOFERTA",""
))))))),"")</f>
        <v/>
      </c>
      <c r="AF177" s="48"/>
      <c r="AG177" s="53"/>
      <c r="AH177" s="54"/>
      <c r="AI177" s="55" t="str">
        <f t="shared" si="47"/>
        <v/>
      </c>
      <c r="AJ177" s="46"/>
      <c r="AK177" s="34" t="e">
        <f>IF(AB177&lt;&gt;"",HLOOKUP(VALUE(TEXT(AH177,"h:mm:ss")),IF($C$6="Laboral",[1]Input!$A$4:$Y$227,IF($C$6="Sábado",[1]Input!$A$231:$Y$452,[1]Input!$A$456:$Y$656)),VLOOKUP($C$4,[1]Input!$AG$2:$AI$99,3,0)+IF(AD$5="Ida",0,1),1),"")</f>
        <v>#N/A</v>
      </c>
      <c r="AL177" s="34" t="str">
        <f>IF(AB178&lt;&gt;AB177,AVERAGEIF(AB$9:AB177,AB177,AK$9:AK177),"")</f>
        <v/>
      </c>
      <c r="AM177" s="35" t="str">
        <f>IFERROR(IF(AB178&lt;&gt;AB177,AVERAGEIF(AB$9:AB177,AB177,AT$9:AT177),""),"")</f>
        <v/>
      </c>
      <c r="AN177" s="35" t="str">
        <f>IFERROR(IF(AB178&lt;&gt;AB177,AVERAGEIF(AB$9:AB177,AB177,AU$9:AU177),""),"")</f>
        <v/>
      </c>
      <c r="AO177" s="35" t="str" cm="1">
        <f t="array" ref="AO177">IFERROR(IF(AB178&lt;&gt;AB177,_xlfn.STDEV.P(IF(AB$9:AB177=AB177,AU$9:AU177)),""),"")</f>
        <v/>
      </c>
      <c r="AP177" s="35" t="str" cm="1">
        <f t="array" ref="AP177">IFERROR(IF(AB178&lt;&gt;AB177,_xlfn.STDEV.P(IF(AB$9:AB177=AB177,AT$9:AT177)),""),"")</f>
        <v/>
      </c>
      <c r="AQ177" s="36" t="str">
        <f t="shared" si="38"/>
        <v/>
      </c>
      <c r="AR177" s="36" t="str">
        <f t="shared" si="39"/>
        <v/>
      </c>
      <c r="AS177" s="36" t="str">
        <f t="shared" si="48"/>
        <v/>
      </c>
      <c r="AT177" s="37" t="str">
        <f t="shared" si="40"/>
        <v/>
      </c>
      <c r="AU177" s="37" t="str">
        <f t="shared" si="41"/>
        <v/>
      </c>
      <c r="AV177" s="54"/>
      <c r="AW177" s="46"/>
      <c r="AX177" s="39" t="str" cm="1">
        <f t="array" ref="AX177">IF(AH177&lt;&gt;"",IF(AND(AX175:AX176&lt;&gt;"IE",AQ177&lt;&gt;0,AS177&lt;&gt;""),IF(IFERROR((AQ177/AS177),0) &lt;=1,IFERROR(AQ177/AS177,""),1),""),"")</f>
        <v/>
      </c>
      <c r="AY177" s="46"/>
      <c r="AZ177" s="57"/>
    </row>
    <row r="178" spans="1:52" ht="15.5" x14ac:dyDescent="0.35">
      <c r="A178" s="51">
        <f t="shared" si="49"/>
        <v>1</v>
      </c>
      <c r="B178" s="52"/>
      <c r="C178" s="52"/>
      <c r="D178" s="29" t="str">
        <f>IFERROR(
IF(AND(OR(Planilla!B178="C",Planilla!B178="c"), VLOOKUP(E178,[1]Diccionario!B:N,13,0)="C"), "OK",IF(AND(OR(Planilla!B178="C",Planilla!B178="c"), OR(VLOOKUP(E178,[1]Diccionario!B:N,13,0)="B", VLOOKUP(E178,[1]Diccionario!B:N,13,0)="A")), "DEFICIT",IF(
AND(OR(Planilla!B178="B", Planilla!B178="BPAL"), VLOOKUP(E178,[1]Diccionario!B:N,13,0)="B"), "OK",IF(AND(OR(Planilla!B178="B", Planilla!B178="BPAL"), VLOOKUP(E178,[1]Diccionario!B:N,13,0)="A"), "DEFICIT",IF(AND(OR(Planilla!B178="B", Planilla!B178="BPAL"), VLOOKUP(E178,[1]Diccionario!B:N,13,0)="C"), "SOBREOFERTA",IF(AND(Planilla!B178="A", VLOOKUP(E178,[1]Diccionario!B:N,13,0)="A"), "OK",IF(
AND(Planilla!B178="A", OR(VLOOKUP(E178,[1]Diccionario!B:N,13,0)="B", VLOOKUP(E178,[1]Diccionario!B:N,13,0)="C")), "SOBREOFERTA",""
))))))),"")</f>
        <v/>
      </c>
      <c r="E178" s="48"/>
      <c r="F178" s="53"/>
      <c r="G178" s="54"/>
      <c r="H178" s="55" t="str">
        <f t="shared" si="42"/>
        <v/>
      </c>
      <c r="I178" s="35"/>
      <c r="J178" s="34" t="e">
        <f>IF(A178&lt;&gt;"",HLOOKUP(VALUE(TEXT(G178,"h:mm:ss")),IF($C$6="Laboral",[1]Input!$A$4:$Y$227,IF($C$6="Sábado",[1]Input!$A$231:$Y$452,[1]Input!$A$456:$Y$656)),VLOOKUP($C$4,[1]Input!$AG$2:$AI$99,3,0)+IF(C$5="Ida",0,1),1),"")</f>
        <v>#N/A</v>
      </c>
      <c r="K178" s="34" t="str">
        <f>IF(A179&lt;&gt;A178,AVERAGEIF(A$9:A178,A178,J$13:J178),"")</f>
        <v/>
      </c>
      <c r="L178" s="35" t="str">
        <f>IFERROR(IF(A179&lt;&gt;A178,AVERAGEIF(A$9:A178,A178,S$13:S178),""),"")</f>
        <v/>
      </c>
      <c r="M178" s="35" t="str">
        <f>IFERROR(IF(A179&lt;&gt;A178,AVERAGEIF(A$9:A178,A178,T$8:T178),""),"")</f>
        <v/>
      </c>
      <c r="N178" s="35" t="str" cm="1">
        <f t="array" ref="N178">IFERROR(IF(A179&lt;&gt;A178,_xlfn.STDEV.P(IF(A$9:A178=A178,T$7:T178)),""),"")</f>
        <v/>
      </c>
      <c r="O178" s="35" t="str" cm="1">
        <f t="array" ref="O178">IFERROR(IF(A179&lt;&gt;A178,_xlfn.STDEV.P(IF(A$9:A178=A178,S$7:S178)),""),"")</f>
        <v/>
      </c>
      <c r="P178" s="36" t="str">
        <f t="shared" si="35"/>
        <v/>
      </c>
      <c r="Q178" s="36" t="str">
        <f t="shared" si="36"/>
        <v/>
      </c>
      <c r="R178" s="36" t="str">
        <f t="shared" si="43"/>
        <v/>
      </c>
      <c r="S178" s="37" t="str">
        <f t="shared" si="44"/>
        <v/>
      </c>
      <c r="T178" s="37" t="str">
        <f t="shared" si="37"/>
        <v/>
      </c>
      <c r="U178" s="54"/>
      <c r="V178" s="46"/>
      <c r="W178" s="39" t="str">
        <f t="shared" si="45"/>
        <v/>
      </c>
      <c r="X178" s="38"/>
      <c r="Y178" s="48"/>
      <c r="AB178" s="56">
        <f t="shared" si="46"/>
        <v>1</v>
      </c>
      <c r="AC178" s="52"/>
      <c r="AD178" s="52"/>
      <c r="AE178" s="29" t="str">
        <f>IFERROR(
IF(AND(OR(AC178="C",AC178="c"), VLOOKUP(AF178,[1]Diccionario!B:N,13,0)="C"), "OK",IF(AND(OR(AC178="C",AC178="c"), OR(VLOOKUP(AF178,[1]Diccionario!B:N,13,0)="B", VLOOKUP(AF178,[1]Diccionario!B:N,13,0)="A")), "DEFICIT",IF(
AND(OR(AC178="B", AC178="BPAL"), VLOOKUP(AF178,[1]Diccionario!B:N,13,0)="B"), "OK",IF(AND(OR(AC178="B", AC178="BPAL"), VLOOKUP(AF178,[1]Diccionario!B:N,13,0)="A"), "DEFICIT",IF(AND(OR(AC178="B", AC178="BPAL"), VLOOKUP(AF178,[1]Diccionario!B:N,13,0)="C"), "SOBREOFERTA",IF(AND(AC178="A", VLOOKUP(AF178,[1]Diccionario!B:N,13,0)="A"), "OK",IF(
AND(AC178="A", OR(VLOOKUP(AF178,[1]Diccionario!B:N,13,0)="B", VLOOKUP(AF178,[1]Diccionario!B:N,13,0)="C")), "SOBREOFERTA",""
))))))),"")</f>
        <v/>
      </c>
      <c r="AF178" s="48"/>
      <c r="AG178" s="53"/>
      <c r="AH178" s="54"/>
      <c r="AI178" s="55" t="str">
        <f t="shared" si="47"/>
        <v/>
      </c>
      <c r="AJ178" s="46"/>
      <c r="AK178" s="34" t="e">
        <f>IF(AB178&lt;&gt;"",HLOOKUP(VALUE(TEXT(AH178,"h:mm:ss")),IF($C$6="Laboral",[1]Input!$A$4:$Y$227,IF($C$6="Sábado",[1]Input!$A$231:$Y$452,[1]Input!$A$456:$Y$656)),VLOOKUP($C$4,[1]Input!$AG$2:$AI$99,3,0)+IF(AD$5="Ida",0,1),1),"")</f>
        <v>#N/A</v>
      </c>
      <c r="AL178" s="34" t="str">
        <f>IF(AB179&lt;&gt;AB178,AVERAGEIF(AB$9:AB178,AB178,AK$9:AK178),"")</f>
        <v/>
      </c>
      <c r="AM178" s="35" t="str">
        <f>IFERROR(IF(AB179&lt;&gt;AB178,AVERAGEIF(AB$9:AB178,AB178,AT$9:AT178),""),"")</f>
        <v/>
      </c>
      <c r="AN178" s="35" t="str">
        <f>IFERROR(IF(AB179&lt;&gt;AB178,AVERAGEIF(AB$9:AB178,AB178,AU$9:AU178),""),"")</f>
        <v/>
      </c>
      <c r="AO178" s="35" t="str" cm="1">
        <f t="array" ref="AO178">IFERROR(IF(AB179&lt;&gt;AB178,_xlfn.STDEV.P(IF(AB$9:AB178=AB178,AU$9:AU178)),""),"")</f>
        <v/>
      </c>
      <c r="AP178" s="35" t="str" cm="1">
        <f t="array" ref="AP178">IFERROR(IF(AB179&lt;&gt;AB178,_xlfn.STDEV.P(IF(AB$9:AB178=AB178,AT$9:AT178)),""),"")</f>
        <v/>
      </c>
      <c r="AQ178" s="36" t="str">
        <f t="shared" si="38"/>
        <v/>
      </c>
      <c r="AR178" s="36" t="str">
        <f t="shared" si="39"/>
        <v/>
      </c>
      <c r="AS178" s="36" t="str">
        <f t="shared" si="48"/>
        <v/>
      </c>
      <c r="AT178" s="37" t="str">
        <f t="shared" si="40"/>
        <v/>
      </c>
      <c r="AU178" s="37" t="str">
        <f t="shared" si="41"/>
        <v/>
      </c>
      <c r="AV178" s="54"/>
      <c r="AW178" s="46"/>
      <c r="AX178" s="39" t="str" cm="1">
        <f t="array" ref="AX178">IF(AH178&lt;&gt;"",IF(AND(AX176:AX177&lt;&gt;"IE",AQ178&lt;&gt;0,AS178&lt;&gt;""),IF(IFERROR((AQ178/AS178),0) &lt;=1,IFERROR(AQ178/AS178,""),1),""),"")</f>
        <v/>
      </c>
      <c r="AY178" s="46"/>
      <c r="AZ178" s="57"/>
    </row>
    <row r="179" spans="1:52" ht="15.5" x14ac:dyDescent="0.35">
      <c r="A179" s="51">
        <f t="shared" si="49"/>
        <v>1</v>
      </c>
      <c r="B179" s="52"/>
      <c r="C179" s="52"/>
      <c r="D179" s="29" t="str">
        <f>IFERROR(
IF(AND(OR(Planilla!B179="C",Planilla!B179="c"), VLOOKUP(E179,[1]Diccionario!B:N,13,0)="C"), "OK",IF(AND(OR(Planilla!B179="C",Planilla!B179="c"), OR(VLOOKUP(E179,[1]Diccionario!B:N,13,0)="B", VLOOKUP(E179,[1]Diccionario!B:N,13,0)="A")), "DEFICIT",IF(
AND(OR(Planilla!B179="B", Planilla!B179="BPAL"), VLOOKUP(E179,[1]Diccionario!B:N,13,0)="B"), "OK",IF(AND(OR(Planilla!B179="B", Planilla!B179="BPAL"), VLOOKUP(E179,[1]Diccionario!B:N,13,0)="A"), "DEFICIT",IF(AND(OR(Planilla!B179="B", Planilla!B179="BPAL"), VLOOKUP(E179,[1]Diccionario!B:N,13,0)="C"), "SOBREOFERTA",IF(AND(Planilla!B179="A", VLOOKUP(E179,[1]Diccionario!B:N,13,0)="A"), "OK",IF(
AND(Planilla!B179="A", OR(VLOOKUP(E179,[1]Diccionario!B:N,13,0)="B", VLOOKUP(E179,[1]Diccionario!B:N,13,0)="C")), "SOBREOFERTA",""
))))))),"")</f>
        <v/>
      </c>
      <c r="E179" s="48"/>
      <c r="F179" s="53"/>
      <c r="G179" s="54"/>
      <c r="H179" s="55" t="str">
        <f t="shared" si="42"/>
        <v/>
      </c>
      <c r="I179" s="35"/>
      <c r="J179" s="34" t="e">
        <f>IF(A179&lt;&gt;"",HLOOKUP(VALUE(TEXT(G179,"h:mm:ss")),IF($C$6="Laboral",[1]Input!$A$4:$Y$227,IF($C$6="Sábado",[1]Input!$A$231:$Y$452,[1]Input!$A$456:$Y$656)),VLOOKUP($C$4,[1]Input!$AG$2:$AI$99,3,0)+IF(C$5="Ida",0,1),1),"")</f>
        <v>#N/A</v>
      </c>
      <c r="K179" s="34" t="str">
        <f>IF(A180&lt;&gt;A179,AVERAGEIF(A$9:A179,A179,J$13:J179),"")</f>
        <v/>
      </c>
      <c r="L179" s="35" t="str">
        <f>IFERROR(IF(A180&lt;&gt;A179,AVERAGEIF(A$9:A179,A179,S$13:S179),""),"")</f>
        <v/>
      </c>
      <c r="M179" s="35" t="str">
        <f>IFERROR(IF(A180&lt;&gt;A179,AVERAGEIF(A$9:A179,A179,T$8:T179),""),"")</f>
        <v/>
      </c>
      <c r="N179" s="35" t="str" cm="1">
        <f t="array" ref="N179">IFERROR(IF(A180&lt;&gt;A179,_xlfn.STDEV.P(IF(A$9:A179=A179,T$7:T179)),""),"")</f>
        <v/>
      </c>
      <c r="O179" s="35" t="str" cm="1">
        <f t="array" ref="O179">IFERROR(IF(A180&lt;&gt;A179,_xlfn.STDEV.P(IF(A$9:A179=A179,S$7:S179)),""),"")</f>
        <v/>
      </c>
      <c r="P179" s="36" t="str">
        <f t="shared" si="35"/>
        <v/>
      </c>
      <c r="Q179" s="36" t="str">
        <f t="shared" si="36"/>
        <v/>
      </c>
      <c r="R179" s="36" t="str">
        <f t="shared" si="43"/>
        <v/>
      </c>
      <c r="S179" s="37" t="str">
        <f t="shared" si="44"/>
        <v/>
      </c>
      <c r="T179" s="37" t="str">
        <f t="shared" si="37"/>
        <v/>
      </c>
      <c r="U179" s="54"/>
      <c r="V179" s="46"/>
      <c r="W179" s="39" t="str">
        <f t="shared" si="45"/>
        <v/>
      </c>
      <c r="X179" s="38"/>
      <c r="Y179" s="48"/>
      <c r="AB179" s="56">
        <f t="shared" si="46"/>
        <v>1</v>
      </c>
      <c r="AC179" s="52"/>
      <c r="AD179" s="52"/>
      <c r="AE179" s="29" t="str">
        <f>IFERROR(
IF(AND(OR(AC179="C",AC179="c"), VLOOKUP(AF179,[1]Diccionario!B:N,13,0)="C"), "OK",IF(AND(OR(AC179="C",AC179="c"), OR(VLOOKUP(AF179,[1]Diccionario!B:N,13,0)="B", VLOOKUP(AF179,[1]Diccionario!B:N,13,0)="A")), "DEFICIT",IF(
AND(OR(AC179="B", AC179="BPAL"), VLOOKUP(AF179,[1]Diccionario!B:N,13,0)="B"), "OK",IF(AND(OR(AC179="B", AC179="BPAL"), VLOOKUP(AF179,[1]Diccionario!B:N,13,0)="A"), "DEFICIT",IF(AND(OR(AC179="B", AC179="BPAL"), VLOOKUP(AF179,[1]Diccionario!B:N,13,0)="C"), "SOBREOFERTA",IF(AND(AC179="A", VLOOKUP(AF179,[1]Diccionario!B:N,13,0)="A"), "OK",IF(
AND(AC179="A", OR(VLOOKUP(AF179,[1]Diccionario!B:N,13,0)="B", VLOOKUP(AF179,[1]Diccionario!B:N,13,0)="C")), "SOBREOFERTA",""
))))))),"")</f>
        <v/>
      </c>
      <c r="AF179" s="48"/>
      <c r="AG179" s="53"/>
      <c r="AH179" s="54"/>
      <c r="AI179" s="55" t="str">
        <f t="shared" si="47"/>
        <v/>
      </c>
      <c r="AJ179" s="46"/>
      <c r="AK179" s="34" t="e">
        <f>IF(AB179&lt;&gt;"",HLOOKUP(VALUE(TEXT(AH179,"h:mm:ss")),IF($C$6="Laboral",[1]Input!$A$4:$Y$227,IF($C$6="Sábado",[1]Input!$A$231:$Y$452,[1]Input!$A$456:$Y$656)),VLOOKUP($C$4,[1]Input!$AG$2:$AI$99,3,0)+IF(AD$5="Ida",0,1),1),"")</f>
        <v>#N/A</v>
      </c>
      <c r="AL179" s="34" t="str">
        <f>IF(AB180&lt;&gt;AB179,AVERAGEIF(AB$9:AB179,AB179,AK$9:AK179),"")</f>
        <v/>
      </c>
      <c r="AM179" s="35" t="str">
        <f>IFERROR(IF(AB180&lt;&gt;AB179,AVERAGEIF(AB$9:AB179,AB179,AT$9:AT179),""),"")</f>
        <v/>
      </c>
      <c r="AN179" s="35" t="str">
        <f>IFERROR(IF(AB180&lt;&gt;AB179,AVERAGEIF(AB$9:AB179,AB179,AU$9:AU179),""),"")</f>
        <v/>
      </c>
      <c r="AO179" s="35" t="str" cm="1">
        <f t="array" ref="AO179">IFERROR(IF(AB180&lt;&gt;AB179,_xlfn.STDEV.P(IF(AB$9:AB179=AB179,AU$9:AU179)),""),"")</f>
        <v/>
      </c>
      <c r="AP179" s="35" t="str" cm="1">
        <f t="array" ref="AP179">IFERROR(IF(AB180&lt;&gt;AB179,_xlfn.STDEV.P(IF(AB$9:AB179=AB179,AT$9:AT179)),""),"")</f>
        <v/>
      </c>
      <c r="AQ179" s="36" t="str">
        <f t="shared" si="38"/>
        <v/>
      </c>
      <c r="AR179" s="36" t="str">
        <f t="shared" si="39"/>
        <v/>
      </c>
      <c r="AS179" s="36" t="str">
        <f t="shared" si="48"/>
        <v/>
      </c>
      <c r="AT179" s="37" t="str">
        <f t="shared" si="40"/>
        <v/>
      </c>
      <c r="AU179" s="37" t="str">
        <f t="shared" si="41"/>
        <v/>
      </c>
      <c r="AV179" s="54"/>
      <c r="AW179" s="46"/>
      <c r="AX179" s="39" t="str" cm="1">
        <f t="array" ref="AX179">IF(AH179&lt;&gt;"",IF(AND(AX177:AX178&lt;&gt;"IE",AQ179&lt;&gt;0,AS179&lt;&gt;""),IF(IFERROR((AQ179/AS179),0) &lt;=1,IFERROR(AQ179/AS179,""),1),""),"")</f>
        <v/>
      </c>
      <c r="AY179" s="46"/>
      <c r="AZ179" s="57"/>
    </row>
    <row r="180" spans="1:52" ht="15.5" x14ac:dyDescent="0.35">
      <c r="A180" s="51">
        <f t="shared" si="49"/>
        <v>1</v>
      </c>
      <c r="B180" s="52"/>
      <c r="C180" s="52"/>
      <c r="D180" s="29" t="str">
        <f>IFERROR(
IF(AND(OR(Planilla!B180="C",Planilla!B180="c"), VLOOKUP(E180,[1]Diccionario!B:N,13,0)="C"), "OK",IF(AND(OR(Planilla!B180="C",Planilla!B180="c"), OR(VLOOKUP(E180,[1]Diccionario!B:N,13,0)="B", VLOOKUP(E180,[1]Diccionario!B:N,13,0)="A")), "DEFICIT",IF(
AND(OR(Planilla!B180="B", Planilla!B180="BPAL"), VLOOKUP(E180,[1]Diccionario!B:N,13,0)="B"), "OK",IF(AND(OR(Planilla!B180="B", Planilla!B180="BPAL"), VLOOKUP(E180,[1]Diccionario!B:N,13,0)="A"), "DEFICIT",IF(AND(OR(Planilla!B180="B", Planilla!B180="BPAL"), VLOOKUP(E180,[1]Diccionario!B:N,13,0)="C"), "SOBREOFERTA",IF(AND(Planilla!B180="A", VLOOKUP(E180,[1]Diccionario!B:N,13,0)="A"), "OK",IF(
AND(Planilla!B180="A", OR(VLOOKUP(E180,[1]Diccionario!B:N,13,0)="B", VLOOKUP(E180,[1]Diccionario!B:N,13,0)="C")), "SOBREOFERTA",""
))))))),"")</f>
        <v/>
      </c>
      <c r="E180" s="48"/>
      <c r="F180" s="53"/>
      <c r="G180" s="54"/>
      <c r="H180" s="55" t="str">
        <f t="shared" si="42"/>
        <v/>
      </c>
      <c r="I180" s="35"/>
      <c r="J180" s="34" t="e">
        <f>IF(A180&lt;&gt;"",HLOOKUP(VALUE(TEXT(G180,"h:mm:ss")),IF($C$6="Laboral",[1]Input!$A$4:$Y$227,IF($C$6="Sábado",[1]Input!$A$231:$Y$452,[1]Input!$A$456:$Y$656)),VLOOKUP($C$4,[1]Input!$AG$2:$AI$99,3,0)+IF(C$5="Ida",0,1),1),"")</f>
        <v>#N/A</v>
      </c>
      <c r="K180" s="34" t="str">
        <f>IF(A181&lt;&gt;A180,AVERAGEIF(A$9:A180,A180,J$13:J180),"")</f>
        <v/>
      </c>
      <c r="L180" s="35" t="str">
        <f>IFERROR(IF(A181&lt;&gt;A180,AVERAGEIF(A$9:A180,A180,S$13:S180),""),"")</f>
        <v/>
      </c>
      <c r="M180" s="35" t="str">
        <f>IFERROR(IF(A181&lt;&gt;A180,AVERAGEIF(A$9:A180,A180,T$8:T180),""),"")</f>
        <v/>
      </c>
      <c r="N180" s="35" t="str" cm="1">
        <f t="array" ref="N180">IFERROR(IF(A181&lt;&gt;A180,_xlfn.STDEV.P(IF(A$9:A180=A180,T$7:T180)),""),"")</f>
        <v/>
      </c>
      <c r="O180" s="35" t="str" cm="1">
        <f t="array" ref="O180">IFERROR(IF(A181&lt;&gt;A180,_xlfn.STDEV.P(IF(A$9:A180=A180,S$7:S180)),""),"")</f>
        <v/>
      </c>
      <c r="P180" s="36" t="str">
        <f t="shared" si="35"/>
        <v/>
      </c>
      <c r="Q180" s="36" t="str">
        <f t="shared" si="36"/>
        <v/>
      </c>
      <c r="R180" s="36" t="str">
        <f t="shared" si="43"/>
        <v/>
      </c>
      <c r="S180" s="37" t="str">
        <f t="shared" si="44"/>
        <v/>
      </c>
      <c r="T180" s="37" t="str">
        <f t="shared" si="37"/>
        <v/>
      </c>
      <c r="U180" s="54"/>
      <c r="V180" s="46"/>
      <c r="W180" s="39" t="str">
        <f t="shared" si="45"/>
        <v/>
      </c>
      <c r="X180" s="38"/>
      <c r="Y180" s="48"/>
      <c r="AB180" s="56">
        <f t="shared" si="46"/>
        <v>1</v>
      </c>
      <c r="AC180" s="52"/>
      <c r="AD180" s="52"/>
      <c r="AE180" s="29" t="str">
        <f>IFERROR(
IF(AND(OR(AC180="C",AC180="c"), VLOOKUP(AF180,[1]Diccionario!B:N,13,0)="C"), "OK",IF(AND(OR(AC180="C",AC180="c"), OR(VLOOKUP(AF180,[1]Diccionario!B:N,13,0)="B", VLOOKUP(AF180,[1]Diccionario!B:N,13,0)="A")), "DEFICIT",IF(
AND(OR(AC180="B", AC180="BPAL"), VLOOKUP(AF180,[1]Diccionario!B:N,13,0)="B"), "OK",IF(AND(OR(AC180="B", AC180="BPAL"), VLOOKUP(AF180,[1]Diccionario!B:N,13,0)="A"), "DEFICIT",IF(AND(OR(AC180="B", AC180="BPAL"), VLOOKUP(AF180,[1]Diccionario!B:N,13,0)="C"), "SOBREOFERTA",IF(AND(AC180="A", VLOOKUP(AF180,[1]Diccionario!B:N,13,0)="A"), "OK",IF(
AND(AC180="A", OR(VLOOKUP(AF180,[1]Diccionario!B:N,13,0)="B", VLOOKUP(AF180,[1]Diccionario!B:N,13,0)="C")), "SOBREOFERTA",""
))))))),"")</f>
        <v/>
      </c>
      <c r="AF180" s="48"/>
      <c r="AG180" s="53"/>
      <c r="AH180" s="54"/>
      <c r="AI180" s="55" t="str">
        <f t="shared" si="47"/>
        <v/>
      </c>
      <c r="AJ180" s="46"/>
      <c r="AK180" s="34" t="e">
        <f>IF(AB180&lt;&gt;"",HLOOKUP(VALUE(TEXT(AH180,"h:mm:ss")),IF($C$6="Laboral",[1]Input!$A$4:$Y$227,IF($C$6="Sábado",[1]Input!$A$231:$Y$452,[1]Input!$A$456:$Y$656)),VLOOKUP($C$4,[1]Input!$AG$2:$AI$99,3,0)+IF(AD$5="Ida",0,1),1),"")</f>
        <v>#N/A</v>
      </c>
      <c r="AL180" s="34" t="str">
        <f>IF(AB181&lt;&gt;AB180,AVERAGEIF(AB$9:AB180,AB180,AK$9:AK180),"")</f>
        <v/>
      </c>
      <c r="AM180" s="35" t="str">
        <f>IFERROR(IF(AB181&lt;&gt;AB180,AVERAGEIF(AB$9:AB180,AB180,AT$9:AT180),""),"")</f>
        <v/>
      </c>
      <c r="AN180" s="35" t="str">
        <f>IFERROR(IF(AB181&lt;&gt;AB180,AVERAGEIF(AB$9:AB180,AB180,AU$9:AU180),""),"")</f>
        <v/>
      </c>
      <c r="AO180" s="35" t="str" cm="1">
        <f t="array" ref="AO180">IFERROR(IF(AB181&lt;&gt;AB180,_xlfn.STDEV.P(IF(AB$9:AB180=AB180,AU$9:AU180)),""),"")</f>
        <v/>
      </c>
      <c r="AP180" s="35" t="str" cm="1">
        <f t="array" ref="AP180">IFERROR(IF(AB181&lt;&gt;AB180,_xlfn.STDEV.P(IF(AB$9:AB180=AB180,AT$9:AT180)),""),"")</f>
        <v/>
      </c>
      <c r="AQ180" s="36" t="str">
        <f t="shared" si="38"/>
        <v/>
      </c>
      <c r="AR180" s="36" t="str">
        <f t="shared" si="39"/>
        <v/>
      </c>
      <c r="AS180" s="36" t="str">
        <f t="shared" si="48"/>
        <v/>
      </c>
      <c r="AT180" s="37" t="str">
        <f t="shared" si="40"/>
        <v/>
      </c>
      <c r="AU180" s="37" t="str">
        <f t="shared" si="41"/>
        <v/>
      </c>
      <c r="AV180" s="54"/>
      <c r="AW180" s="46"/>
      <c r="AX180" s="39" t="str" cm="1">
        <f t="array" ref="AX180">IF(AH180&lt;&gt;"",IF(AND(AX178:AX179&lt;&gt;"IE",AQ180&lt;&gt;0,AS180&lt;&gt;""),IF(IFERROR((AQ180/AS180),0) &lt;=1,IFERROR(AQ180/AS180,""),1),""),"")</f>
        <v/>
      </c>
      <c r="AY180" s="46"/>
      <c r="AZ180" s="57"/>
    </row>
    <row r="181" spans="1:52" ht="15.5" x14ac:dyDescent="0.35">
      <c r="A181" s="51">
        <f t="shared" si="49"/>
        <v>1</v>
      </c>
      <c r="B181" s="52"/>
      <c r="C181" s="52"/>
      <c r="D181" s="29" t="str">
        <f>IFERROR(
IF(AND(OR(Planilla!B181="C",Planilla!B181="c"), VLOOKUP(E181,[1]Diccionario!B:N,13,0)="C"), "OK",IF(AND(OR(Planilla!B181="C",Planilla!B181="c"), OR(VLOOKUP(E181,[1]Diccionario!B:N,13,0)="B", VLOOKUP(E181,[1]Diccionario!B:N,13,0)="A")), "DEFICIT",IF(
AND(OR(Planilla!B181="B", Planilla!B181="BPAL"), VLOOKUP(E181,[1]Diccionario!B:N,13,0)="B"), "OK",IF(AND(OR(Planilla!B181="B", Planilla!B181="BPAL"), VLOOKUP(E181,[1]Diccionario!B:N,13,0)="A"), "DEFICIT",IF(AND(OR(Planilla!B181="B", Planilla!B181="BPAL"), VLOOKUP(E181,[1]Diccionario!B:N,13,0)="C"), "SOBREOFERTA",IF(AND(Planilla!B181="A", VLOOKUP(E181,[1]Diccionario!B:N,13,0)="A"), "OK",IF(
AND(Planilla!B181="A", OR(VLOOKUP(E181,[1]Diccionario!B:N,13,0)="B", VLOOKUP(E181,[1]Diccionario!B:N,13,0)="C")), "SOBREOFERTA",""
))))))),"")</f>
        <v/>
      </c>
      <c r="E181" s="48"/>
      <c r="F181" s="53"/>
      <c r="G181" s="54"/>
      <c r="H181" s="55" t="str">
        <f t="shared" si="42"/>
        <v/>
      </c>
      <c r="I181" s="35"/>
      <c r="J181" s="34" t="e">
        <f>IF(A181&lt;&gt;"",HLOOKUP(VALUE(TEXT(G181,"h:mm:ss")),IF($C$6="Laboral",[1]Input!$A$4:$Y$227,IF($C$6="Sábado",[1]Input!$A$231:$Y$452,[1]Input!$A$456:$Y$656)),VLOOKUP($C$4,[1]Input!$AG$2:$AI$99,3,0)+IF(C$5="Ida",0,1),1),"")</f>
        <v>#N/A</v>
      </c>
      <c r="K181" s="34" t="str">
        <f>IF(A182&lt;&gt;A181,AVERAGEIF(A$9:A181,A181,J$13:J181),"")</f>
        <v/>
      </c>
      <c r="L181" s="35" t="str">
        <f>IFERROR(IF(A182&lt;&gt;A181,AVERAGEIF(A$9:A181,A181,S$13:S181),""),"")</f>
        <v/>
      </c>
      <c r="M181" s="35" t="str">
        <f>IFERROR(IF(A182&lt;&gt;A181,AVERAGEIF(A$9:A181,A181,T$8:T181),""),"")</f>
        <v/>
      </c>
      <c r="N181" s="35" t="str" cm="1">
        <f t="array" ref="N181">IFERROR(IF(A182&lt;&gt;A181,_xlfn.STDEV.P(IF(A$9:A181=A181,T$7:T181)),""),"")</f>
        <v/>
      </c>
      <c r="O181" s="35" t="str" cm="1">
        <f t="array" ref="O181">IFERROR(IF(A182&lt;&gt;A181,_xlfn.STDEV.P(IF(A$9:A181=A181,S$7:S181)),""),"")</f>
        <v/>
      </c>
      <c r="P181" s="36" t="str">
        <f t="shared" si="35"/>
        <v/>
      </c>
      <c r="Q181" s="36" t="str">
        <f t="shared" si="36"/>
        <v/>
      </c>
      <c r="R181" s="36" t="str">
        <f t="shared" si="43"/>
        <v/>
      </c>
      <c r="S181" s="37" t="str">
        <f t="shared" si="44"/>
        <v/>
      </c>
      <c r="T181" s="37" t="str">
        <f t="shared" si="37"/>
        <v/>
      </c>
      <c r="U181" s="54"/>
      <c r="V181" s="46"/>
      <c r="W181" s="39" t="str">
        <f t="shared" si="45"/>
        <v/>
      </c>
      <c r="X181" s="38"/>
      <c r="Y181" s="48"/>
      <c r="AB181" s="56">
        <f t="shared" si="46"/>
        <v>1</v>
      </c>
      <c r="AC181" s="52"/>
      <c r="AD181" s="52"/>
      <c r="AE181" s="29" t="str">
        <f>IFERROR(
IF(AND(OR(AC181="C",AC181="c"), VLOOKUP(AF181,[1]Diccionario!B:N,13,0)="C"), "OK",IF(AND(OR(AC181="C",AC181="c"), OR(VLOOKUP(AF181,[1]Diccionario!B:N,13,0)="B", VLOOKUP(AF181,[1]Diccionario!B:N,13,0)="A")), "DEFICIT",IF(
AND(OR(AC181="B", AC181="BPAL"), VLOOKUP(AF181,[1]Diccionario!B:N,13,0)="B"), "OK",IF(AND(OR(AC181="B", AC181="BPAL"), VLOOKUP(AF181,[1]Diccionario!B:N,13,0)="A"), "DEFICIT",IF(AND(OR(AC181="B", AC181="BPAL"), VLOOKUP(AF181,[1]Diccionario!B:N,13,0)="C"), "SOBREOFERTA",IF(AND(AC181="A", VLOOKUP(AF181,[1]Diccionario!B:N,13,0)="A"), "OK",IF(
AND(AC181="A", OR(VLOOKUP(AF181,[1]Diccionario!B:N,13,0)="B", VLOOKUP(AF181,[1]Diccionario!B:N,13,0)="C")), "SOBREOFERTA",""
))))))),"")</f>
        <v/>
      </c>
      <c r="AF181" s="48"/>
      <c r="AG181" s="53"/>
      <c r="AH181" s="54"/>
      <c r="AI181" s="55" t="str">
        <f t="shared" si="47"/>
        <v/>
      </c>
      <c r="AJ181" s="46"/>
      <c r="AK181" s="34" t="e">
        <f>IF(AB181&lt;&gt;"",HLOOKUP(VALUE(TEXT(AH181,"h:mm:ss")),IF($C$6="Laboral",[1]Input!$A$4:$Y$227,IF($C$6="Sábado",[1]Input!$A$231:$Y$452,[1]Input!$A$456:$Y$656)),VLOOKUP($C$4,[1]Input!$AG$2:$AI$99,3,0)+IF(AD$5="Ida",0,1),1),"")</f>
        <v>#N/A</v>
      </c>
      <c r="AL181" s="34" t="str">
        <f>IF(AB182&lt;&gt;AB181,AVERAGEIF(AB$9:AB181,AB181,AK$9:AK181),"")</f>
        <v/>
      </c>
      <c r="AM181" s="35" t="str">
        <f>IFERROR(IF(AB182&lt;&gt;AB181,AVERAGEIF(AB$9:AB181,AB181,AT$9:AT181),""),"")</f>
        <v/>
      </c>
      <c r="AN181" s="35" t="str">
        <f>IFERROR(IF(AB182&lt;&gt;AB181,AVERAGEIF(AB$9:AB181,AB181,AU$9:AU181),""),"")</f>
        <v/>
      </c>
      <c r="AO181" s="35" t="str" cm="1">
        <f t="array" ref="AO181">IFERROR(IF(AB182&lt;&gt;AB181,_xlfn.STDEV.P(IF(AB$9:AB181=AB181,AU$9:AU181)),""),"")</f>
        <v/>
      </c>
      <c r="AP181" s="35" t="str" cm="1">
        <f t="array" ref="AP181">IFERROR(IF(AB182&lt;&gt;AB181,_xlfn.STDEV.P(IF(AB$9:AB181=AB181,AT$9:AT181)),""),"")</f>
        <v/>
      </c>
      <c r="AQ181" s="36" t="str">
        <f t="shared" si="38"/>
        <v/>
      </c>
      <c r="AR181" s="36" t="str">
        <f t="shared" si="39"/>
        <v/>
      </c>
      <c r="AS181" s="36" t="str">
        <f t="shared" si="48"/>
        <v/>
      </c>
      <c r="AT181" s="37" t="str">
        <f t="shared" si="40"/>
        <v/>
      </c>
      <c r="AU181" s="37" t="str">
        <f t="shared" si="41"/>
        <v/>
      </c>
      <c r="AV181" s="54"/>
      <c r="AW181" s="46"/>
      <c r="AX181" s="39" t="str" cm="1">
        <f t="array" ref="AX181">IF(AH181&lt;&gt;"",IF(AND(AX179:AX180&lt;&gt;"IE",AQ181&lt;&gt;0,AS181&lt;&gt;""),IF(IFERROR((AQ181/AS181),0) &lt;=1,IFERROR(AQ181/AS181,""),1),""),"")</f>
        <v/>
      </c>
      <c r="AY181" s="46"/>
      <c r="AZ181" s="57"/>
    </row>
    <row r="182" spans="1:52" ht="15.5" x14ac:dyDescent="0.35">
      <c r="A182" s="51">
        <f t="shared" si="49"/>
        <v>1</v>
      </c>
      <c r="B182" s="52"/>
      <c r="C182" s="52"/>
      <c r="D182" s="29" t="str">
        <f>IFERROR(
IF(AND(OR(Planilla!B182="C",Planilla!B182="c"), VLOOKUP(E182,[1]Diccionario!B:N,13,0)="C"), "OK",IF(AND(OR(Planilla!B182="C",Planilla!B182="c"), OR(VLOOKUP(E182,[1]Diccionario!B:N,13,0)="B", VLOOKUP(E182,[1]Diccionario!B:N,13,0)="A")), "DEFICIT",IF(
AND(OR(Planilla!B182="B", Planilla!B182="BPAL"), VLOOKUP(E182,[1]Diccionario!B:N,13,0)="B"), "OK",IF(AND(OR(Planilla!B182="B", Planilla!B182="BPAL"), VLOOKUP(E182,[1]Diccionario!B:N,13,0)="A"), "DEFICIT",IF(AND(OR(Planilla!B182="B", Planilla!B182="BPAL"), VLOOKUP(E182,[1]Diccionario!B:N,13,0)="C"), "SOBREOFERTA",IF(AND(Planilla!B182="A", VLOOKUP(E182,[1]Diccionario!B:N,13,0)="A"), "OK",IF(
AND(Planilla!B182="A", OR(VLOOKUP(E182,[1]Diccionario!B:N,13,0)="B", VLOOKUP(E182,[1]Diccionario!B:N,13,0)="C")), "SOBREOFERTA",""
))))))),"")</f>
        <v/>
      </c>
      <c r="E182" s="48"/>
      <c r="F182" s="53"/>
      <c r="G182" s="54"/>
      <c r="H182" s="55" t="str">
        <f t="shared" si="42"/>
        <v/>
      </c>
      <c r="I182" s="35"/>
      <c r="J182" s="34" t="e">
        <f>IF(A182&lt;&gt;"",HLOOKUP(VALUE(TEXT(G182,"h:mm:ss")),IF($C$6="Laboral",[1]Input!$A$4:$Y$227,IF($C$6="Sábado",[1]Input!$A$231:$Y$452,[1]Input!$A$456:$Y$656)),VLOOKUP($C$4,[1]Input!$AG$2:$AI$99,3,0)+IF(C$5="Ida",0,1),1),"")</f>
        <v>#N/A</v>
      </c>
      <c r="K182" s="34" t="str">
        <f>IF(A183&lt;&gt;A182,AVERAGEIF(A$9:A182,A182,J$13:J182),"")</f>
        <v/>
      </c>
      <c r="L182" s="35" t="str">
        <f>IFERROR(IF(A183&lt;&gt;A182,AVERAGEIF(A$9:A182,A182,S$13:S182),""),"")</f>
        <v/>
      </c>
      <c r="M182" s="35" t="str">
        <f>IFERROR(IF(A183&lt;&gt;A182,AVERAGEIF(A$9:A182,A182,T$8:T182),""),"")</f>
        <v/>
      </c>
      <c r="N182" s="35" t="str" cm="1">
        <f t="array" ref="N182">IFERROR(IF(A183&lt;&gt;A182,_xlfn.STDEV.P(IF(A$9:A182=A182,T$7:T182)),""),"")</f>
        <v/>
      </c>
      <c r="O182" s="35" t="str" cm="1">
        <f t="array" ref="O182">IFERROR(IF(A183&lt;&gt;A182,_xlfn.STDEV.P(IF(A$9:A182=A182,S$7:S182)),""),"")</f>
        <v/>
      </c>
      <c r="P182" s="36" t="str">
        <f t="shared" si="35"/>
        <v/>
      </c>
      <c r="Q182" s="36" t="str">
        <f t="shared" si="36"/>
        <v/>
      </c>
      <c r="R182" s="36" t="str">
        <f t="shared" si="43"/>
        <v/>
      </c>
      <c r="S182" s="37" t="str">
        <f t="shared" si="44"/>
        <v/>
      </c>
      <c r="T182" s="37" t="str">
        <f t="shared" si="37"/>
        <v/>
      </c>
      <c r="U182" s="54"/>
      <c r="V182" s="46"/>
      <c r="W182" s="39" t="str">
        <f t="shared" si="45"/>
        <v/>
      </c>
      <c r="X182" s="38"/>
      <c r="Y182" s="48"/>
      <c r="AB182" s="56">
        <f t="shared" si="46"/>
        <v>1</v>
      </c>
      <c r="AC182" s="52"/>
      <c r="AD182" s="52"/>
      <c r="AE182" s="29" t="str">
        <f>IFERROR(
IF(AND(OR(AC182="C",AC182="c"), VLOOKUP(AF182,[1]Diccionario!B:N,13,0)="C"), "OK",IF(AND(OR(AC182="C",AC182="c"), OR(VLOOKUP(AF182,[1]Diccionario!B:N,13,0)="B", VLOOKUP(AF182,[1]Diccionario!B:N,13,0)="A")), "DEFICIT",IF(
AND(OR(AC182="B", AC182="BPAL"), VLOOKUP(AF182,[1]Diccionario!B:N,13,0)="B"), "OK",IF(AND(OR(AC182="B", AC182="BPAL"), VLOOKUP(AF182,[1]Diccionario!B:N,13,0)="A"), "DEFICIT",IF(AND(OR(AC182="B", AC182="BPAL"), VLOOKUP(AF182,[1]Diccionario!B:N,13,0)="C"), "SOBREOFERTA",IF(AND(AC182="A", VLOOKUP(AF182,[1]Diccionario!B:N,13,0)="A"), "OK",IF(
AND(AC182="A", OR(VLOOKUP(AF182,[1]Diccionario!B:N,13,0)="B", VLOOKUP(AF182,[1]Diccionario!B:N,13,0)="C")), "SOBREOFERTA",""
))))))),"")</f>
        <v/>
      </c>
      <c r="AF182" s="48"/>
      <c r="AG182" s="53"/>
      <c r="AH182" s="54"/>
      <c r="AI182" s="55" t="str">
        <f t="shared" si="47"/>
        <v/>
      </c>
      <c r="AJ182" s="46"/>
      <c r="AK182" s="34" t="e">
        <f>IF(AB182&lt;&gt;"",HLOOKUP(VALUE(TEXT(AH182,"h:mm:ss")),IF($C$6="Laboral",[1]Input!$A$4:$Y$227,IF($C$6="Sábado",[1]Input!$A$231:$Y$452,[1]Input!$A$456:$Y$656)),VLOOKUP($C$4,[1]Input!$AG$2:$AI$99,3,0)+IF(AD$5="Ida",0,1),1),"")</f>
        <v>#N/A</v>
      </c>
      <c r="AL182" s="34" t="str">
        <f>IF(AB183&lt;&gt;AB182,AVERAGEIF(AB$9:AB182,AB182,AK$9:AK182),"")</f>
        <v/>
      </c>
      <c r="AM182" s="35" t="str">
        <f>IFERROR(IF(AB183&lt;&gt;AB182,AVERAGEIF(AB$9:AB182,AB182,AT$9:AT182),""),"")</f>
        <v/>
      </c>
      <c r="AN182" s="35" t="str">
        <f>IFERROR(IF(AB183&lt;&gt;AB182,AVERAGEIF(AB$9:AB182,AB182,AU$9:AU182),""),"")</f>
        <v/>
      </c>
      <c r="AO182" s="35" t="str" cm="1">
        <f t="array" ref="AO182">IFERROR(IF(AB183&lt;&gt;AB182,_xlfn.STDEV.P(IF(AB$9:AB182=AB182,AU$9:AU182)),""),"")</f>
        <v/>
      </c>
      <c r="AP182" s="35" t="str" cm="1">
        <f t="array" ref="AP182">IFERROR(IF(AB183&lt;&gt;AB182,_xlfn.STDEV.P(IF(AB$9:AB182=AB182,AT$9:AT182)),""),"")</f>
        <v/>
      </c>
      <c r="AQ182" s="36" t="str">
        <f t="shared" si="38"/>
        <v/>
      </c>
      <c r="AR182" s="36" t="str">
        <f t="shared" si="39"/>
        <v/>
      </c>
      <c r="AS182" s="36" t="str">
        <f t="shared" si="48"/>
        <v/>
      </c>
      <c r="AT182" s="37" t="str">
        <f t="shared" si="40"/>
        <v/>
      </c>
      <c r="AU182" s="37" t="str">
        <f t="shared" si="41"/>
        <v/>
      </c>
      <c r="AV182" s="54"/>
      <c r="AW182" s="46"/>
      <c r="AX182" s="39" t="str" cm="1">
        <f t="array" ref="AX182">IF(AH182&lt;&gt;"",IF(AND(AX180:AX181&lt;&gt;"IE",AQ182&lt;&gt;0,AS182&lt;&gt;""),IF(IFERROR((AQ182/AS182),0) &lt;=1,IFERROR(AQ182/AS182,""),1),""),"")</f>
        <v/>
      </c>
      <c r="AY182" s="46"/>
      <c r="AZ182" s="57"/>
    </row>
    <row r="183" spans="1:52" ht="15.5" x14ac:dyDescent="0.35">
      <c r="A183" s="51">
        <f t="shared" si="49"/>
        <v>1</v>
      </c>
      <c r="B183" s="52"/>
      <c r="C183" s="52"/>
      <c r="D183" s="29" t="str">
        <f>IFERROR(
IF(AND(OR(Planilla!B183="C",Planilla!B183="c"), VLOOKUP(E183,[1]Diccionario!B:N,13,0)="C"), "OK",IF(AND(OR(Planilla!B183="C",Planilla!B183="c"), OR(VLOOKUP(E183,[1]Diccionario!B:N,13,0)="B", VLOOKUP(E183,[1]Diccionario!B:N,13,0)="A")), "DEFICIT",IF(
AND(OR(Planilla!B183="B", Planilla!B183="BPAL"), VLOOKUP(E183,[1]Diccionario!B:N,13,0)="B"), "OK",IF(AND(OR(Planilla!B183="B", Planilla!B183="BPAL"), VLOOKUP(E183,[1]Diccionario!B:N,13,0)="A"), "DEFICIT",IF(AND(OR(Planilla!B183="B", Planilla!B183="BPAL"), VLOOKUP(E183,[1]Diccionario!B:N,13,0)="C"), "SOBREOFERTA",IF(AND(Planilla!B183="A", VLOOKUP(E183,[1]Diccionario!B:N,13,0)="A"), "OK",IF(
AND(Planilla!B183="A", OR(VLOOKUP(E183,[1]Diccionario!B:N,13,0)="B", VLOOKUP(E183,[1]Diccionario!B:N,13,0)="C")), "SOBREOFERTA",""
))))))),"")</f>
        <v/>
      </c>
      <c r="E183" s="48"/>
      <c r="F183" s="53"/>
      <c r="G183" s="54"/>
      <c r="H183" s="55" t="str">
        <f t="shared" si="42"/>
        <v/>
      </c>
      <c r="I183" s="35"/>
      <c r="J183" s="34" t="e">
        <f>IF(A183&lt;&gt;"",HLOOKUP(VALUE(TEXT(G183,"h:mm:ss")),IF($C$6="Laboral",[1]Input!$A$4:$Y$227,IF($C$6="Sábado",[1]Input!$A$231:$Y$452,[1]Input!$A$456:$Y$656)),VLOOKUP($C$4,[1]Input!$AG$2:$AI$99,3,0)+IF(C$5="Ida",0,1),1),"")</f>
        <v>#N/A</v>
      </c>
      <c r="K183" s="34" t="str">
        <f>IF(A184&lt;&gt;A183,AVERAGEIF(A$9:A183,A183,J$13:J183),"")</f>
        <v/>
      </c>
      <c r="L183" s="35" t="str">
        <f>IFERROR(IF(A184&lt;&gt;A183,AVERAGEIF(A$9:A183,A183,S$13:S183),""),"")</f>
        <v/>
      </c>
      <c r="M183" s="35" t="str">
        <f>IFERROR(IF(A184&lt;&gt;A183,AVERAGEIF(A$9:A183,A183,T$8:T183),""),"")</f>
        <v/>
      </c>
      <c r="N183" s="35" t="str" cm="1">
        <f t="array" ref="N183">IFERROR(IF(A184&lt;&gt;A183,_xlfn.STDEV.P(IF(A$9:A183=A183,T$7:T183)),""),"")</f>
        <v/>
      </c>
      <c r="O183" s="35" t="str" cm="1">
        <f t="array" ref="O183">IFERROR(IF(A184&lt;&gt;A183,_xlfn.STDEV.P(IF(A$9:A183=A183,S$7:S183)),""),"")</f>
        <v/>
      </c>
      <c r="P183" s="36" t="str">
        <f t="shared" si="35"/>
        <v/>
      </c>
      <c r="Q183" s="36" t="str">
        <f t="shared" si="36"/>
        <v/>
      </c>
      <c r="R183" s="36" t="str">
        <f t="shared" si="43"/>
        <v/>
      </c>
      <c r="S183" s="37" t="str">
        <f t="shared" si="44"/>
        <v/>
      </c>
      <c r="T183" s="37" t="str">
        <f t="shared" si="37"/>
        <v/>
      </c>
      <c r="U183" s="54"/>
      <c r="V183" s="46"/>
      <c r="W183" s="39" t="str">
        <f t="shared" si="45"/>
        <v/>
      </c>
      <c r="X183" s="38"/>
      <c r="Y183" s="48"/>
      <c r="AB183" s="56">
        <f t="shared" si="46"/>
        <v>1</v>
      </c>
      <c r="AC183" s="52"/>
      <c r="AD183" s="52"/>
      <c r="AE183" s="29" t="str">
        <f>IFERROR(
IF(AND(OR(AC183="C",AC183="c"), VLOOKUP(AF183,[1]Diccionario!B:N,13,0)="C"), "OK",IF(AND(OR(AC183="C",AC183="c"), OR(VLOOKUP(AF183,[1]Diccionario!B:N,13,0)="B", VLOOKUP(AF183,[1]Diccionario!B:N,13,0)="A")), "DEFICIT",IF(
AND(OR(AC183="B", AC183="BPAL"), VLOOKUP(AF183,[1]Diccionario!B:N,13,0)="B"), "OK",IF(AND(OR(AC183="B", AC183="BPAL"), VLOOKUP(AF183,[1]Diccionario!B:N,13,0)="A"), "DEFICIT",IF(AND(OR(AC183="B", AC183="BPAL"), VLOOKUP(AF183,[1]Diccionario!B:N,13,0)="C"), "SOBREOFERTA",IF(AND(AC183="A", VLOOKUP(AF183,[1]Diccionario!B:N,13,0)="A"), "OK",IF(
AND(AC183="A", OR(VLOOKUP(AF183,[1]Diccionario!B:N,13,0)="B", VLOOKUP(AF183,[1]Diccionario!B:N,13,0)="C")), "SOBREOFERTA",""
))))))),"")</f>
        <v/>
      </c>
      <c r="AF183" s="48"/>
      <c r="AG183" s="53"/>
      <c r="AH183" s="54"/>
      <c r="AI183" s="55" t="str">
        <f t="shared" si="47"/>
        <v/>
      </c>
      <c r="AJ183" s="46"/>
      <c r="AK183" s="34" t="e">
        <f>IF(AB183&lt;&gt;"",HLOOKUP(VALUE(TEXT(AH183,"h:mm:ss")),IF($C$6="Laboral",[1]Input!$A$4:$Y$227,IF($C$6="Sábado",[1]Input!$A$231:$Y$452,[1]Input!$A$456:$Y$656)),VLOOKUP($C$4,[1]Input!$AG$2:$AI$99,3,0)+IF(AD$5="Ida",0,1),1),"")</f>
        <v>#N/A</v>
      </c>
      <c r="AL183" s="34" t="str">
        <f>IF(AB184&lt;&gt;AB183,AVERAGEIF(AB$9:AB183,AB183,AK$9:AK183),"")</f>
        <v/>
      </c>
      <c r="AM183" s="35" t="str">
        <f>IFERROR(IF(AB184&lt;&gt;AB183,AVERAGEIF(AB$9:AB183,AB183,AT$9:AT183),""),"")</f>
        <v/>
      </c>
      <c r="AN183" s="35" t="str">
        <f>IFERROR(IF(AB184&lt;&gt;AB183,AVERAGEIF(AB$9:AB183,AB183,AU$9:AU183),""),"")</f>
        <v/>
      </c>
      <c r="AO183" s="35" t="str" cm="1">
        <f t="array" ref="AO183">IFERROR(IF(AB184&lt;&gt;AB183,_xlfn.STDEV.P(IF(AB$9:AB183=AB183,AU$9:AU183)),""),"")</f>
        <v/>
      </c>
      <c r="AP183" s="35" t="str" cm="1">
        <f t="array" ref="AP183">IFERROR(IF(AB184&lt;&gt;AB183,_xlfn.STDEV.P(IF(AB$9:AB183=AB183,AT$9:AT183)),""),"")</f>
        <v/>
      </c>
      <c r="AQ183" s="36" t="str">
        <f t="shared" si="38"/>
        <v/>
      </c>
      <c r="AR183" s="36" t="str">
        <f t="shared" si="39"/>
        <v/>
      </c>
      <c r="AS183" s="36" t="str">
        <f t="shared" si="48"/>
        <v/>
      </c>
      <c r="AT183" s="37" t="str">
        <f t="shared" si="40"/>
        <v/>
      </c>
      <c r="AU183" s="37" t="str">
        <f t="shared" si="41"/>
        <v/>
      </c>
      <c r="AV183" s="54"/>
      <c r="AW183" s="46"/>
      <c r="AX183" s="39" t="str" cm="1">
        <f t="array" ref="AX183">IF(AH183&lt;&gt;"",IF(AND(AX181:AX182&lt;&gt;"IE",AQ183&lt;&gt;0,AS183&lt;&gt;""),IF(IFERROR((AQ183/AS183),0) &lt;=1,IFERROR(AQ183/AS183,""),1),""),"")</f>
        <v/>
      </c>
      <c r="AY183" s="46"/>
      <c r="AZ183" s="57"/>
    </row>
    <row r="184" spans="1:52" ht="15.5" x14ac:dyDescent="0.35">
      <c r="A184" s="51">
        <f t="shared" si="49"/>
        <v>1</v>
      </c>
      <c r="B184" s="52"/>
      <c r="C184" s="52"/>
      <c r="D184" s="29" t="str">
        <f>IFERROR(
IF(AND(OR(Planilla!B184="C",Planilla!B184="c"), VLOOKUP(E184,[1]Diccionario!B:N,13,0)="C"), "OK",IF(AND(OR(Planilla!B184="C",Planilla!B184="c"), OR(VLOOKUP(E184,[1]Diccionario!B:N,13,0)="B", VLOOKUP(E184,[1]Diccionario!B:N,13,0)="A")), "DEFICIT",IF(
AND(OR(Planilla!B184="B", Planilla!B184="BPAL"), VLOOKUP(E184,[1]Diccionario!B:N,13,0)="B"), "OK",IF(AND(OR(Planilla!B184="B", Planilla!B184="BPAL"), VLOOKUP(E184,[1]Diccionario!B:N,13,0)="A"), "DEFICIT",IF(AND(OR(Planilla!B184="B", Planilla!B184="BPAL"), VLOOKUP(E184,[1]Diccionario!B:N,13,0)="C"), "SOBREOFERTA",IF(AND(Planilla!B184="A", VLOOKUP(E184,[1]Diccionario!B:N,13,0)="A"), "OK",IF(
AND(Planilla!B184="A", OR(VLOOKUP(E184,[1]Diccionario!B:N,13,0)="B", VLOOKUP(E184,[1]Diccionario!B:N,13,0)="C")), "SOBREOFERTA",""
))))))),"")</f>
        <v/>
      </c>
      <c r="E184" s="48"/>
      <c r="F184" s="53"/>
      <c r="G184" s="54"/>
      <c r="H184" s="55" t="str">
        <f t="shared" si="42"/>
        <v/>
      </c>
      <c r="I184" s="35"/>
      <c r="J184" s="34" t="e">
        <f>IF(A184&lt;&gt;"",HLOOKUP(VALUE(TEXT(G184,"h:mm:ss")),IF($C$6="Laboral",[1]Input!$A$4:$Y$227,IF($C$6="Sábado",[1]Input!$A$231:$Y$452,[1]Input!$A$456:$Y$656)),VLOOKUP($C$4,[1]Input!$AG$2:$AI$99,3,0)+IF(C$5="Ida",0,1),1),"")</f>
        <v>#N/A</v>
      </c>
      <c r="K184" s="34" t="str">
        <f>IF(A185&lt;&gt;A184,AVERAGEIF(A$9:A184,A184,J$13:J184),"")</f>
        <v/>
      </c>
      <c r="L184" s="35" t="str">
        <f>IFERROR(IF(A185&lt;&gt;A184,AVERAGEIF(A$9:A184,A184,S$13:S184),""),"")</f>
        <v/>
      </c>
      <c r="M184" s="35" t="str">
        <f>IFERROR(IF(A185&lt;&gt;A184,AVERAGEIF(A$9:A184,A184,T$8:T184),""),"")</f>
        <v/>
      </c>
      <c r="N184" s="35" t="str" cm="1">
        <f t="array" ref="N184">IFERROR(IF(A185&lt;&gt;A184,_xlfn.STDEV.P(IF(A$9:A184=A184,T$7:T184)),""),"")</f>
        <v/>
      </c>
      <c r="O184" s="35" t="str" cm="1">
        <f t="array" ref="O184">IFERROR(IF(A185&lt;&gt;A184,_xlfn.STDEV.P(IF(A$9:A184=A184,S$7:S184)),""),"")</f>
        <v/>
      </c>
      <c r="P184" s="36" t="str">
        <f t="shared" si="35"/>
        <v/>
      </c>
      <c r="Q184" s="36" t="str">
        <f t="shared" si="36"/>
        <v/>
      </c>
      <c r="R184" s="36" t="str">
        <f t="shared" si="43"/>
        <v/>
      </c>
      <c r="S184" s="37" t="str">
        <f t="shared" si="44"/>
        <v/>
      </c>
      <c r="T184" s="37" t="str">
        <f t="shared" si="37"/>
        <v/>
      </c>
      <c r="U184" s="54"/>
      <c r="V184" s="46"/>
      <c r="W184" s="39" t="str">
        <f t="shared" si="45"/>
        <v/>
      </c>
      <c r="X184" s="38"/>
      <c r="Y184" s="48"/>
      <c r="AB184" s="56">
        <f t="shared" si="46"/>
        <v>1</v>
      </c>
      <c r="AC184" s="52"/>
      <c r="AD184" s="52"/>
      <c r="AE184" s="29" t="str">
        <f>IFERROR(
IF(AND(OR(AC184="C",AC184="c"), VLOOKUP(AF184,[1]Diccionario!B:N,13,0)="C"), "OK",IF(AND(OR(AC184="C",AC184="c"), OR(VLOOKUP(AF184,[1]Diccionario!B:N,13,0)="B", VLOOKUP(AF184,[1]Diccionario!B:N,13,0)="A")), "DEFICIT",IF(
AND(OR(AC184="B", AC184="BPAL"), VLOOKUP(AF184,[1]Diccionario!B:N,13,0)="B"), "OK",IF(AND(OR(AC184="B", AC184="BPAL"), VLOOKUP(AF184,[1]Diccionario!B:N,13,0)="A"), "DEFICIT",IF(AND(OR(AC184="B", AC184="BPAL"), VLOOKUP(AF184,[1]Diccionario!B:N,13,0)="C"), "SOBREOFERTA",IF(AND(AC184="A", VLOOKUP(AF184,[1]Diccionario!B:N,13,0)="A"), "OK",IF(
AND(AC184="A", OR(VLOOKUP(AF184,[1]Diccionario!B:N,13,0)="B", VLOOKUP(AF184,[1]Diccionario!B:N,13,0)="C")), "SOBREOFERTA",""
))))))),"")</f>
        <v/>
      </c>
      <c r="AF184" s="48"/>
      <c r="AG184" s="53"/>
      <c r="AH184" s="54"/>
      <c r="AI184" s="55" t="str">
        <f t="shared" si="47"/>
        <v/>
      </c>
      <c r="AJ184" s="46"/>
      <c r="AK184" s="34" t="e">
        <f>IF(AB184&lt;&gt;"",HLOOKUP(VALUE(TEXT(AH184,"h:mm:ss")),IF($C$6="Laboral",[1]Input!$A$4:$Y$227,IF($C$6="Sábado",[1]Input!$A$231:$Y$452,[1]Input!$A$456:$Y$656)),VLOOKUP($C$4,[1]Input!$AG$2:$AI$99,3,0)+IF(AD$5="Ida",0,1),1),"")</f>
        <v>#N/A</v>
      </c>
      <c r="AL184" s="34" t="str">
        <f>IF(AB185&lt;&gt;AB184,AVERAGEIF(AB$9:AB184,AB184,AK$9:AK184),"")</f>
        <v/>
      </c>
      <c r="AM184" s="35" t="str">
        <f>IFERROR(IF(AB185&lt;&gt;AB184,AVERAGEIF(AB$9:AB184,AB184,AT$9:AT184),""),"")</f>
        <v/>
      </c>
      <c r="AN184" s="35" t="str">
        <f>IFERROR(IF(AB185&lt;&gt;AB184,AVERAGEIF(AB$9:AB184,AB184,AU$9:AU184),""),"")</f>
        <v/>
      </c>
      <c r="AO184" s="35" t="str" cm="1">
        <f t="array" ref="AO184">IFERROR(IF(AB185&lt;&gt;AB184,_xlfn.STDEV.P(IF(AB$9:AB184=AB184,AU$9:AU184)),""),"")</f>
        <v/>
      </c>
      <c r="AP184" s="35" t="str" cm="1">
        <f t="array" ref="AP184">IFERROR(IF(AB185&lt;&gt;AB184,_xlfn.STDEV.P(IF(AB$9:AB184=AB184,AT$9:AT184)),""),"")</f>
        <v/>
      </c>
      <c r="AQ184" s="36" t="str">
        <f t="shared" si="38"/>
        <v/>
      </c>
      <c r="AR184" s="36" t="str">
        <f t="shared" si="39"/>
        <v/>
      </c>
      <c r="AS184" s="36" t="str">
        <f t="shared" si="48"/>
        <v/>
      </c>
      <c r="AT184" s="37" t="str">
        <f t="shared" si="40"/>
        <v/>
      </c>
      <c r="AU184" s="37" t="str">
        <f t="shared" si="41"/>
        <v/>
      </c>
      <c r="AV184" s="54"/>
      <c r="AW184" s="46"/>
      <c r="AX184" s="39" t="str" cm="1">
        <f t="array" ref="AX184">IF(AH184&lt;&gt;"",IF(AND(AX182:AX183&lt;&gt;"IE",AQ184&lt;&gt;0,AS184&lt;&gt;""),IF(IFERROR((AQ184/AS184),0) &lt;=1,IFERROR(AQ184/AS184,""),1),""),"")</f>
        <v/>
      </c>
      <c r="AY184" s="46"/>
      <c r="AZ184" s="57"/>
    </row>
    <row r="185" spans="1:52" ht="15.5" x14ac:dyDescent="0.35">
      <c r="A185" s="51">
        <f t="shared" si="49"/>
        <v>1</v>
      </c>
      <c r="B185" s="52"/>
      <c r="C185" s="52"/>
      <c r="D185" s="29" t="str">
        <f>IFERROR(
IF(AND(OR(Planilla!B185="C",Planilla!B185="c"), VLOOKUP(E185,[1]Diccionario!B:N,13,0)="C"), "OK",IF(AND(OR(Planilla!B185="C",Planilla!B185="c"), OR(VLOOKUP(E185,[1]Diccionario!B:N,13,0)="B", VLOOKUP(E185,[1]Diccionario!B:N,13,0)="A")), "DEFICIT",IF(
AND(OR(Planilla!B185="B", Planilla!B185="BPAL"), VLOOKUP(E185,[1]Diccionario!B:N,13,0)="B"), "OK",IF(AND(OR(Planilla!B185="B", Planilla!B185="BPAL"), VLOOKUP(E185,[1]Diccionario!B:N,13,0)="A"), "DEFICIT",IF(AND(OR(Planilla!B185="B", Planilla!B185="BPAL"), VLOOKUP(E185,[1]Diccionario!B:N,13,0)="C"), "SOBREOFERTA",IF(AND(Planilla!B185="A", VLOOKUP(E185,[1]Diccionario!B:N,13,0)="A"), "OK",IF(
AND(Planilla!B185="A", OR(VLOOKUP(E185,[1]Diccionario!B:N,13,0)="B", VLOOKUP(E185,[1]Diccionario!B:N,13,0)="C")), "SOBREOFERTA",""
))))))),"")</f>
        <v/>
      </c>
      <c r="E185" s="48"/>
      <c r="F185" s="53"/>
      <c r="G185" s="54"/>
      <c r="H185" s="55" t="str">
        <f t="shared" si="42"/>
        <v/>
      </c>
      <c r="I185" s="35"/>
      <c r="J185" s="34" t="e">
        <f>IF(A185&lt;&gt;"",HLOOKUP(VALUE(TEXT(G185,"h:mm:ss")),IF($C$6="Laboral",[1]Input!$A$4:$Y$227,IF($C$6="Sábado",[1]Input!$A$231:$Y$452,[1]Input!$A$456:$Y$656)),VLOOKUP($C$4,[1]Input!$AG$2:$AI$99,3,0)+IF(C$5="Ida",0,1),1),"")</f>
        <v>#N/A</v>
      </c>
      <c r="K185" s="34" t="str">
        <f>IF(A186&lt;&gt;A185,AVERAGEIF(A$9:A185,A185,J$13:J185),"")</f>
        <v/>
      </c>
      <c r="L185" s="35" t="str">
        <f>IFERROR(IF(A186&lt;&gt;A185,AVERAGEIF(A$9:A185,A185,S$13:S185),""),"")</f>
        <v/>
      </c>
      <c r="M185" s="35" t="str">
        <f>IFERROR(IF(A186&lt;&gt;A185,AVERAGEIF(A$9:A185,A185,T$8:T185),""),"")</f>
        <v/>
      </c>
      <c r="N185" s="35" t="str" cm="1">
        <f t="array" ref="N185">IFERROR(IF(A186&lt;&gt;A185,_xlfn.STDEV.P(IF(A$9:A185=A185,T$7:T185)),""),"")</f>
        <v/>
      </c>
      <c r="O185" s="35" t="str" cm="1">
        <f t="array" ref="O185">IFERROR(IF(A186&lt;&gt;A185,_xlfn.STDEV.P(IF(A$9:A185=A185,S$7:S185)),""),"")</f>
        <v/>
      </c>
      <c r="P185" s="36" t="str">
        <f t="shared" si="35"/>
        <v/>
      </c>
      <c r="Q185" s="36" t="str">
        <f t="shared" si="36"/>
        <v/>
      </c>
      <c r="R185" s="36" t="str">
        <f t="shared" si="43"/>
        <v/>
      </c>
      <c r="S185" s="37" t="str">
        <f t="shared" si="44"/>
        <v/>
      </c>
      <c r="T185" s="37" t="str">
        <f t="shared" si="37"/>
        <v/>
      </c>
      <c r="U185" s="54"/>
      <c r="V185" s="46"/>
      <c r="W185" s="39" t="str">
        <f t="shared" si="45"/>
        <v/>
      </c>
      <c r="X185" s="38"/>
      <c r="Y185" s="48"/>
      <c r="AB185" s="56">
        <f t="shared" si="46"/>
        <v>1</v>
      </c>
      <c r="AC185" s="52"/>
      <c r="AD185" s="52"/>
      <c r="AE185" s="29" t="str">
        <f>IFERROR(
IF(AND(OR(AC185="C",AC185="c"), VLOOKUP(AF185,[1]Diccionario!B:N,13,0)="C"), "OK",IF(AND(OR(AC185="C",AC185="c"), OR(VLOOKUP(AF185,[1]Diccionario!B:N,13,0)="B", VLOOKUP(AF185,[1]Diccionario!B:N,13,0)="A")), "DEFICIT",IF(
AND(OR(AC185="B", AC185="BPAL"), VLOOKUP(AF185,[1]Diccionario!B:N,13,0)="B"), "OK",IF(AND(OR(AC185="B", AC185="BPAL"), VLOOKUP(AF185,[1]Diccionario!B:N,13,0)="A"), "DEFICIT",IF(AND(OR(AC185="B", AC185="BPAL"), VLOOKUP(AF185,[1]Diccionario!B:N,13,0)="C"), "SOBREOFERTA",IF(AND(AC185="A", VLOOKUP(AF185,[1]Diccionario!B:N,13,0)="A"), "OK",IF(
AND(AC185="A", OR(VLOOKUP(AF185,[1]Diccionario!B:N,13,0)="B", VLOOKUP(AF185,[1]Diccionario!B:N,13,0)="C")), "SOBREOFERTA",""
))))))),"")</f>
        <v/>
      </c>
      <c r="AF185" s="48"/>
      <c r="AG185" s="53"/>
      <c r="AH185" s="54"/>
      <c r="AI185" s="55" t="str">
        <f t="shared" si="47"/>
        <v/>
      </c>
      <c r="AJ185" s="46"/>
      <c r="AK185" s="34" t="e">
        <f>IF(AB185&lt;&gt;"",HLOOKUP(VALUE(TEXT(AH185,"h:mm:ss")),IF($C$6="Laboral",[1]Input!$A$4:$Y$227,IF($C$6="Sábado",[1]Input!$A$231:$Y$452,[1]Input!$A$456:$Y$656)),VLOOKUP($C$4,[1]Input!$AG$2:$AI$99,3,0)+IF(AD$5="Ida",0,1),1),"")</f>
        <v>#N/A</v>
      </c>
      <c r="AL185" s="34" t="str">
        <f>IF(AB186&lt;&gt;AB185,AVERAGEIF(AB$9:AB185,AB185,AK$9:AK185),"")</f>
        <v/>
      </c>
      <c r="AM185" s="35" t="str">
        <f>IFERROR(IF(AB186&lt;&gt;AB185,AVERAGEIF(AB$9:AB185,AB185,AT$9:AT185),""),"")</f>
        <v/>
      </c>
      <c r="AN185" s="35" t="str">
        <f>IFERROR(IF(AB186&lt;&gt;AB185,AVERAGEIF(AB$9:AB185,AB185,AU$9:AU185),""),"")</f>
        <v/>
      </c>
      <c r="AO185" s="35" t="str" cm="1">
        <f t="array" ref="AO185">IFERROR(IF(AB186&lt;&gt;AB185,_xlfn.STDEV.P(IF(AB$9:AB185=AB185,AU$9:AU185)),""),"")</f>
        <v/>
      </c>
      <c r="AP185" s="35" t="str" cm="1">
        <f t="array" ref="AP185">IFERROR(IF(AB186&lt;&gt;AB185,_xlfn.STDEV.P(IF(AB$9:AB185=AB185,AT$9:AT185)),""),"")</f>
        <v/>
      </c>
      <c r="AQ185" s="36" t="str">
        <f t="shared" si="38"/>
        <v/>
      </c>
      <c r="AR185" s="36" t="str">
        <f t="shared" si="39"/>
        <v/>
      </c>
      <c r="AS185" s="36" t="str">
        <f t="shared" si="48"/>
        <v/>
      </c>
      <c r="AT185" s="37" t="str">
        <f t="shared" si="40"/>
        <v/>
      </c>
      <c r="AU185" s="37" t="str">
        <f t="shared" si="41"/>
        <v/>
      </c>
      <c r="AV185" s="54"/>
      <c r="AW185" s="46"/>
      <c r="AX185" s="39" t="str" cm="1">
        <f t="array" ref="AX185">IF(AH185&lt;&gt;"",IF(AND(AX183:AX184&lt;&gt;"IE",AQ185&lt;&gt;0,AS185&lt;&gt;""),IF(IFERROR((AQ185/AS185),0) &lt;=1,IFERROR(AQ185/AS185,""),1),""),"")</f>
        <v/>
      </c>
      <c r="AY185" s="46"/>
      <c r="AZ185" s="57"/>
    </row>
    <row r="186" spans="1:52" ht="15.5" x14ac:dyDescent="0.35">
      <c r="A186" s="51">
        <f t="shared" si="49"/>
        <v>1</v>
      </c>
      <c r="B186" s="52"/>
      <c r="C186" s="52"/>
      <c r="D186" s="29" t="str">
        <f>IFERROR(
IF(AND(OR(Planilla!B186="C",Planilla!B186="c"), VLOOKUP(E186,[1]Diccionario!B:N,13,0)="C"), "OK",IF(AND(OR(Planilla!B186="C",Planilla!B186="c"), OR(VLOOKUP(E186,[1]Diccionario!B:N,13,0)="B", VLOOKUP(E186,[1]Diccionario!B:N,13,0)="A")), "DEFICIT",IF(
AND(OR(Planilla!B186="B", Planilla!B186="BPAL"), VLOOKUP(E186,[1]Diccionario!B:N,13,0)="B"), "OK",IF(AND(OR(Planilla!B186="B", Planilla!B186="BPAL"), VLOOKUP(E186,[1]Diccionario!B:N,13,0)="A"), "DEFICIT",IF(AND(OR(Planilla!B186="B", Planilla!B186="BPAL"), VLOOKUP(E186,[1]Diccionario!B:N,13,0)="C"), "SOBREOFERTA",IF(AND(Planilla!B186="A", VLOOKUP(E186,[1]Diccionario!B:N,13,0)="A"), "OK",IF(
AND(Planilla!B186="A", OR(VLOOKUP(E186,[1]Diccionario!B:N,13,0)="B", VLOOKUP(E186,[1]Diccionario!B:N,13,0)="C")), "SOBREOFERTA",""
))))))),"")</f>
        <v/>
      </c>
      <c r="E186" s="48"/>
      <c r="F186" s="53"/>
      <c r="G186" s="54"/>
      <c r="H186" s="55" t="str">
        <f t="shared" si="42"/>
        <v/>
      </c>
      <c r="I186" s="35"/>
      <c r="J186" s="34" t="e">
        <f>IF(A186&lt;&gt;"",HLOOKUP(VALUE(TEXT(G186,"h:mm:ss")),IF($C$6="Laboral",[1]Input!$A$4:$Y$227,IF($C$6="Sábado",[1]Input!$A$231:$Y$452,[1]Input!$A$456:$Y$656)),VLOOKUP($C$4,[1]Input!$AG$2:$AI$99,3,0)+IF(C$5="Ida",0,1),1),"")</f>
        <v>#N/A</v>
      </c>
      <c r="K186" s="34" t="str">
        <f>IF(A187&lt;&gt;A186,AVERAGEIF(A$9:A186,A186,J$13:J186),"")</f>
        <v/>
      </c>
      <c r="L186" s="35" t="str">
        <f>IFERROR(IF(A187&lt;&gt;A186,AVERAGEIF(A$9:A186,A186,S$13:S186),""),"")</f>
        <v/>
      </c>
      <c r="M186" s="35" t="str">
        <f>IFERROR(IF(A187&lt;&gt;A186,AVERAGEIF(A$9:A186,A186,T$8:T186),""),"")</f>
        <v/>
      </c>
      <c r="N186" s="35" t="str" cm="1">
        <f t="array" ref="N186">IFERROR(IF(A187&lt;&gt;A186,_xlfn.STDEV.P(IF(A$9:A186=A186,T$7:T186)),""),"")</f>
        <v/>
      </c>
      <c r="O186" s="35" t="str" cm="1">
        <f t="array" ref="O186">IFERROR(IF(A187&lt;&gt;A186,_xlfn.STDEV.P(IF(A$9:A186=A186,S$7:S186)),""),"")</f>
        <v/>
      </c>
      <c r="P186" s="36" t="str">
        <f t="shared" si="35"/>
        <v/>
      </c>
      <c r="Q186" s="36" t="str">
        <f t="shared" si="36"/>
        <v/>
      </c>
      <c r="R186" s="36" t="str">
        <f t="shared" si="43"/>
        <v/>
      </c>
      <c r="S186" s="37" t="str">
        <f t="shared" si="44"/>
        <v/>
      </c>
      <c r="T186" s="37" t="str">
        <f t="shared" si="37"/>
        <v/>
      </c>
      <c r="U186" s="54"/>
      <c r="V186" s="46"/>
      <c r="W186" s="39" t="str">
        <f t="shared" si="45"/>
        <v/>
      </c>
      <c r="X186" s="38"/>
      <c r="Y186" s="48"/>
      <c r="AB186" s="56">
        <f t="shared" si="46"/>
        <v>1</v>
      </c>
      <c r="AC186" s="52"/>
      <c r="AD186" s="52"/>
      <c r="AE186" s="29" t="str">
        <f>IFERROR(
IF(AND(OR(AC186="C",AC186="c"), VLOOKUP(AF186,[1]Diccionario!B:N,13,0)="C"), "OK",IF(AND(OR(AC186="C",AC186="c"), OR(VLOOKUP(AF186,[1]Diccionario!B:N,13,0)="B", VLOOKUP(AF186,[1]Diccionario!B:N,13,0)="A")), "DEFICIT",IF(
AND(OR(AC186="B", AC186="BPAL"), VLOOKUP(AF186,[1]Diccionario!B:N,13,0)="B"), "OK",IF(AND(OR(AC186="B", AC186="BPAL"), VLOOKUP(AF186,[1]Diccionario!B:N,13,0)="A"), "DEFICIT",IF(AND(OR(AC186="B", AC186="BPAL"), VLOOKUP(AF186,[1]Diccionario!B:N,13,0)="C"), "SOBREOFERTA",IF(AND(AC186="A", VLOOKUP(AF186,[1]Diccionario!B:N,13,0)="A"), "OK",IF(
AND(AC186="A", OR(VLOOKUP(AF186,[1]Diccionario!B:N,13,0)="B", VLOOKUP(AF186,[1]Diccionario!B:N,13,0)="C")), "SOBREOFERTA",""
))))))),"")</f>
        <v/>
      </c>
      <c r="AF186" s="48"/>
      <c r="AG186" s="53"/>
      <c r="AH186" s="54"/>
      <c r="AI186" s="55" t="str">
        <f t="shared" si="47"/>
        <v/>
      </c>
      <c r="AJ186" s="46"/>
      <c r="AK186" s="34" t="e">
        <f>IF(AB186&lt;&gt;"",HLOOKUP(VALUE(TEXT(AH186,"h:mm:ss")),IF($C$6="Laboral",[1]Input!$A$4:$Y$227,IF($C$6="Sábado",[1]Input!$A$231:$Y$452,[1]Input!$A$456:$Y$656)),VLOOKUP($C$4,[1]Input!$AG$2:$AI$99,3,0)+IF(AD$5="Ida",0,1),1),"")</f>
        <v>#N/A</v>
      </c>
      <c r="AL186" s="34" t="str">
        <f>IF(AB187&lt;&gt;AB186,AVERAGEIF(AB$9:AB186,AB186,AK$9:AK186),"")</f>
        <v/>
      </c>
      <c r="AM186" s="35" t="str">
        <f>IFERROR(IF(AB187&lt;&gt;AB186,AVERAGEIF(AB$9:AB186,AB186,AT$9:AT186),""),"")</f>
        <v/>
      </c>
      <c r="AN186" s="35" t="str">
        <f>IFERROR(IF(AB187&lt;&gt;AB186,AVERAGEIF(AB$9:AB186,AB186,AU$9:AU186),""),"")</f>
        <v/>
      </c>
      <c r="AO186" s="35" t="str" cm="1">
        <f t="array" ref="AO186">IFERROR(IF(AB187&lt;&gt;AB186,_xlfn.STDEV.P(IF(AB$9:AB186=AB186,AU$9:AU186)),""),"")</f>
        <v/>
      </c>
      <c r="AP186" s="35" t="str" cm="1">
        <f t="array" ref="AP186">IFERROR(IF(AB187&lt;&gt;AB186,_xlfn.STDEV.P(IF(AB$9:AB186=AB186,AT$9:AT186)),""),"")</f>
        <v/>
      </c>
      <c r="AQ186" s="36" t="str">
        <f t="shared" si="38"/>
        <v/>
      </c>
      <c r="AR186" s="36" t="str">
        <f t="shared" si="39"/>
        <v/>
      </c>
      <c r="AS186" s="36" t="str">
        <f t="shared" si="48"/>
        <v/>
      </c>
      <c r="AT186" s="37" t="str">
        <f t="shared" si="40"/>
        <v/>
      </c>
      <c r="AU186" s="37" t="str">
        <f t="shared" si="41"/>
        <v/>
      </c>
      <c r="AV186" s="54"/>
      <c r="AW186" s="46"/>
      <c r="AX186" s="39" t="str" cm="1">
        <f t="array" ref="AX186">IF(AH186&lt;&gt;"",IF(AND(AX184:AX185&lt;&gt;"IE",AQ186&lt;&gt;0,AS186&lt;&gt;""),IF(IFERROR((AQ186/AS186),0) &lt;=1,IFERROR(AQ186/AS186,""),1),""),"")</f>
        <v/>
      </c>
      <c r="AY186" s="46"/>
      <c r="AZ186" s="57"/>
    </row>
    <row r="187" spans="1:52" ht="15.5" x14ac:dyDescent="0.35">
      <c r="A187" s="51">
        <f t="shared" si="49"/>
        <v>1</v>
      </c>
      <c r="B187" s="52"/>
      <c r="C187" s="52"/>
      <c r="D187" s="29" t="str">
        <f>IFERROR(
IF(AND(OR(Planilla!B187="C",Planilla!B187="c"), VLOOKUP(E187,[1]Diccionario!B:N,13,0)="C"), "OK",IF(AND(OR(Planilla!B187="C",Planilla!B187="c"), OR(VLOOKUP(E187,[1]Diccionario!B:N,13,0)="B", VLOOKUP(E187,[1]Diccionario!B:N,13,0)="A")), "DEFICIT",IF(
AND(OR(Planilla!B187="B", Planilla!B187="BPAL"), VLOOKUP(E187,[1]Diccionario!B:N,13,0)="B"), "OK",IF(AND(OR(Planilla!B187="B", Planilla!B187="BPAL"), VLOOKUP(E187,[1]Diccionario!B:N,13,0)="A"), "DEFICIT",IF(AND(OR(Planilla!B187="B", Planilla!B187="BPAL"), VLOOKUP(E187,[1]Diccionario!B:N,13,0)="C"), "SOBREOFERTA",IF(AND(Planilla!B187="A", VLOOKUP(E187,[1]Diccionario!B:N,13,0)="A"), "OK",IF(
AND(Planilla!B187="A", OR(VLOOKUP(E187,[1]Diccionario!B:N,13,0)="B", VLOOKUP(E187,[1]Diccionario!B:N,13,0)="C")), "SOBREOFERTA",""
))))))),"")</f>
        <v/>
      </c>
      <c r="E187" s="48"/>
      <c r="F187" s="53"/>
      <c r="G187" s="54"/>
      <c r="H187" s="55" t="str">
        <f t="shared" si="42"/>
        <v/>
      </c>
      <c r="I187" s="35"/>
      <c r="J187" s="34" t="e">
        <f>IF(A187&lt;&gt;"",HLOOKUP(VALUE(TEXT(G187,"h:mm:ss")),IF($C$6="Laboral",[1]Input!$A$4:$Y$227,IF($C$6="Sábado",[1]Input!$A$231:$Y$452,[1]Input!$A$456:$Y$656)),VLOOKUP($C$4,[1]Input!$AG$2:$AI$99,3,0)+IF(C$5="Ida",0,1),1),"")</f>
        <v>#N/A</v>
      </c>
      <c r="K187" s="34" t="str">
        <f>IF(A188&lt;&gt;A187,AVERAGEIF(A$9:A187,A187,J$13:J187),"")</f>
        <v/>
      </c>
      <c r="L187" s="35" t="str">
        <f>IFERROR(IF(A188&lt;&gt;A187,AVERAGEIF(A$9:A187,A187,S$13:S187),""),"")</f>
        <v/>
      </c>
      <c r="M187" s="35" t="str">
        <f>IFERROR(IF(A188&lt;&gt;A187,AVERAGEIF(A$9:A187,A187,T$8:T187),""),"")</f>
        <v/>
      </c>
      <c r="N187" s="35" t="str" cm="1">
        <f t="array" ref="N187">IFERROR(IF(A188&lt;&gt;A187,_xlfn.STDEV.P(IF(A$9:A187=A187,T$7:T187)),""),"")</f>
        <v/>
      </c>
      <c r="O187" s="35" t="str" cm="1">
        <f t="array" ref="O187">IFERROR(IF(A188&lt;&gt;A187,_xlfn.STDEV.P(IF(A$9:A187=A187,S$7:S187)),""),"")</f>
        <v/>
      </c>
      <c r="P187" s="36" t="str">
        <f t="shared" si="35"/>
        <v/>
      </c>
      <c r="Q187" s="36" t="str">
        <f t="shared" si="36"/>
        <v/>
      </c>
      <c r="R187" s="36" t="str">
        <f t="shared" si="43"/>
        <v/>
      </c>
      <c r="S187" s="37" t="str">
        <f t="shared" si="44"/>
        <v/>
      </c>
      <c r="T187" s="37" t="str">
        <f t="shared" si="37"/>
        <v/>
      </c>
      <c r="U187" s="54"/>
      <c r="V187" s="46"/>
      <c r="W187" s="39" t="str">
        <f t="shared" si="45"/>
        <v/>
      </c>
      <c r="X187" s="38"/>
      <c r="Y187" s="48"/>
      <c r="AB187" s="56">
        <f t="shared" si="46"/>
        <v>1</v>
      </c>
      <c r="AC187" s="52"/>
      <c r="AD187" s="52"/>
      <c r="AE187" s="29" t="str">
        <f>IFERROR(
IF(AND(OR(AC187="C",AC187="c"), VLOOKUP(AF187,[1]Diccionario!B:N,13,0)="C"), "OK",IF(AND(OR(AC187="C",AC187="c"), OR(VLOOKUP(AF187,[1]Diccionario!B:N,13,0)="B", VLOOKUP(AF187,[1]Diccionario!B:N,13,0)="A")), "DEFICIT",IF(
AND(OR(AC187="B", AC187="BPAL"), VLOOKUP(AF187,[1]Diccionario!B:N,13,0)="B"), "OK",IF(AND(OR(AC187="B", AC187="BPAL"), VLOOKUP(AF187,[1]Diccionario!B:N,13,0)="A"), "DEFICIT",IF(AND(OR(AC187="B", AC187="BPAL"), VLOOKUP(AF187,[1]Diccionario!B:N,13,0)="C"), "SOBREOFERTA",IF(AND(AC187="A", VLOOKUP(AF187,[1]Diccionario!B:N,13,0)="A"), "OK",IF(
AND(AC187="A", OR(VLOOKUP(AF187,[1]Diccionario!B:N,13,0)="B", VLOOKUP(AF187,[1]Diccionario!B:N,13,0)="C")), "SOBREOFERTA",""
))))))),"")</f>
        <v/>
      </c>
      <c r="AF187" s="48"/>
      <c r="AG187" s="53"/>
      <c r="AH187" s="54"/>
      <c r="AI187" s="55" t="str">
        <f t="shared" si="47"/>
        <v/>
      </c>
      <c r="AJ187" s="46"/>
      <c r="AK187" s="34" t="e">
        <f>IF(AB187&lt;&gt;"",HLOOKUP(VALUE(TEXT(AH187,"h:mm:ss")),IF($C$6="Laboral",[1]Input!$A$4:$Y$227,IF($C$6="Sábado",[1]Input!$A$231:$Y$452,[1]Input!$A$456:$Y$656)),VLOOKUP($C$4,[1]Input!$AG$2:$AI$99,3,0)+IF(AD$5="Ida",0,1),1),"")</f>
        <v>#N/A</v>
      </c>
      <c r="AL187" s="34" t="str">
        <f>IF(AB188&lt;&gt;AB187,AVERAGEIF(AB$9:AB187,AB187,AK$9:AK187),"")</f>
        <v/>
      </c>
      <c r="AM187" s="35" t="str">
        <f>IFERROR(IF(AB188&lt;&gt;AB187,AVERAGEIF(AB$9:AB187,AB187,AT$9:AT187),""),"")</f>
        <v/>
      </c>
      <c r="AN187" s="35" t="str">
        <f>IFERROR(IF(AB188&lt;&gt;AB187,AVERAGEIF(AB$9:AB187,AB187,AU$9:AU187),""),"")</f>
        <v/>
      </c>
      <c r="AO187" s="35" t="str" cm="1">
        <f t="array" ref="AO187">IFERROR(IF(AB188&lt;&gt;AB187,_xlfn.STDEV.P(IF(AB$9:AB187=AB187,AU$9:AU187)),""),"")</f>
        <v/>
      </c>
      <c r="AP187" s="35" t="str" cm="1">
        <f t="array" ref="AP187">IFERROR(IF(AB188&lt;&gt;AB187,_xlfn.STDEV.P(IF(AB$9:AB187=AB187,AT$9:AT187)),""),"")</f>
        <v/>
      </c>
      <c r="AQ187" s="36" t="str">
        <f t="shared" si="38"/>
        <v/>
      </c>
      <c r="AR187" s="36" t="str">
        <f t="shared" si="39"/>
        <v/>
      </c>
      <c r="AS187" s="36" t="str">
        <f t="shared" si="48"/>
        <v/>
      </c>
      <c r="AT187" s="37" t="str">
        <f t="shared" si="40"/>
        <v/>
      </c>
      <c r="AU187" s="37" t="str">
        <f t="shared" si="41"/>
        <v/>
      </c>
      <c r="AV187" s="54"/>
      <c r="AW187" s="46"/>
      <c r="AX187" s="39" t="str" cm="1">
        <f t="array" ref="AX187">IF(AH187&lt;&gt;"",IF(AND(AX185:AX186&lt;&gt;"IE",AQ187&lt;&gt;0,AS187&lt;&gt;""),IF(IFERROR((AQ187/AS187),0) &lt;=1,IFERROR(AQ187/AS187,""),1),""),"")</f>
        <v/>
      </c>
      <c r="AY187" s="46"/>
      <c r="AZ187" s="57"/>
    </row>
    <row r="188" spans="1:52" ht="15.5" x14ac:dyDescent="0.35">
      <c r="A188" s="51">
        <f t="shared" si="49"/>
        <v>1</v>
      </c>
      <c r="B188" s="52"/>
      <c r="C188" s="52"/>
      <c r="D188" s="29" t="str">
        <f>IFERROR(
IF(AND(OR(Planilla!B188="C",Planilla!B188="c"), VLOOKUP(E188,[1]Diccionario!B:N,13,0)="C"), "OK",IF(AND(OR(Planilla!B188="C",Planilla!B188="c"), OR(VLOOKUP(E188,[1]Diccionario!B:N,13,0)="B", VLOOKUP(E188,[1]Diccionario!B:N,13,0)="A")), "DEFICIT",IF(
AND(OR(Planilla!B188="B", Planilla!B188="BPAL"), VLOOKUP(E188,[1]Diccionario!B:N,13,0)="B"), "OK",IF(AND(OR(Planilla!B188="B", Planilla!B188="BPAL"), VLOOKUP(E188,[1]Diccionario!B:N,13,0)="A"), "DEFICIT",IF(AND(OR(Planilla!B188="B", Planilla!B188="BPAL"), VLOOKUP(E188,[1]Diccionario!B:N,13,0)="C"), "SOBREOFERTA",IF(AND(Planilla!B188="A", VLOOKUP(E188,[1]Diccionario!B:N,13,0)="A"), "OK",IF(
AND(Planilla!B188="A", OR(VLOOKUP(E188,[1]Diccionario!B:N,13,0)="B", VLOOKUP(E188,[1]Diccionario!B:N,13,0)="C")), "SOBREOFERTA",""
))))))),"")</f>
        <v/>
      </c>
      <c r="E188" s="48"/>
      <c r="F188" s="53"/>
      <c r="G188" s="54"/>
      <c r="H188" s="55" t="str">
        <f t="shared" si="42"/>
        <v/>
      </c>
      <c r="I188" s="35"/>
      <c r="J188" s="34" t="e">
        <f>IF(A188&lt;&gt;"",HLOOKUP(VALUE(TEXT(G188,"h:mm:ss")),IF($C$6="Laboral",[1]Input!$A$4:$Y$227,IF($C$6="Sábado",[1]Input!$A$231:$Y$452,[1]Input!$A$456:$Y$656)),VLOOKUP($C$4,[1]Input!$AG$2:$AI$99,3,0)+IF(C$5="Ida",0,1),1),"")</f>
        <v>#N/A</v>
      </c>
      <c r="K188" s="34" t="str">
        <f>IF(A189&lt;&gt;A188,AVERAGEIF(A$9:A188,A188,J$13:J188),"")</f>
        <v/>
      </c>
      <c r="L188" s="35" t="str">
        <f>IFERROR(IF(A189&lt;&gt;A188,AVERAGEIF(A$9:A188,A188,S$13:S188),""),"")</f>
        <v/>
      </c>
      <c r="M188" s="35" t="str">
        <f>IFERROR(IF(A189&lt;&gt;A188,AVERAGEIF(A$9:A188,A188,T$8:T188),""),"")</f>
        <v/>
      </c>
      <c r="N188" s="35" t="str" cm="1">
        <f t="array" ref="N188">IFERROR(IF(A189&lt;&gt;A188,_xlfn.STDEV.P(IF(A$9:A188=A188,T$7:T188)),""),"")</f>
        <v/>
      </c>
      <c r="O188" s="35" t="str" cm="1">
        <f t="array" ref="O188">IFERROR(IF(A189&lt;&gt;A188,_xlfn.STDEV.P(IF(A$9:A188=A188,S$7:S188)),""),"")</f>
        <v/>
      </c>
      <c r="P188" s="36" t="str">
        <f t="shared" si="35"/>
        <v/>
      </c>
      <c r="Q188" s="36" t="str">
        <f t="shared" si="36"/>
        <v/>
      </c>
      <c r="R188" s="36" t="str">
        <f t="shared" si="43"/>
        <v/>
      </c>
      <c r="S188" s="37" t="str">
        <f t="shared" si="44"/>
        <v/>
      </c>
      <c r="T188" s="37" t="str">
        <f t="shared" si="37"/>
        <v/>
      </c>
      <c r="U188" s="54"/>
      <c r="V188" s="46"/>
      <c r="W188" s="39" t="str">
        <f t="shared" si="45"/>
        <v/>
      </c>
      <c r="X188" s="38"/>
      <c r="Y188" s="48"/>
      <c r="AB188" s="56">
        <f t="shared" si="46"/>
        <v>1</v>
      </c>
      <c r="AC188" s="52"/>
      <c r="AD188" s="52"/>
      <c r="AE188" s="29" t="str">
        <f>IFERROR(
IF(AND(OR(AC188="C",AC188="c"), VLOOKUP(AF188,[1]Diccionario!B:N,13,0)="C"), "OK",IF(AND(OR(AC188="C",AC188="c"), OR(VLOOKUP(AF188,[1]Diccionario!B:N,13,0)="B", VLOOKUP(AF188,[1]Diccionario!B:N,13,0)="A")), "DEFICIT",IF(
AND(OR(AC188="B", AC188="BPAL"), VLOOKUP(AF188,[1]Diccionario!B:N,13,0)="B"), "OK",IF(AND(OR(AC188="B", AC188="BPAL"), VLOOKUP(AF188,[1]Diccionario!B:N,13,0)="A"), "DEFICIT",IF(AND(OR(AC188="B", AC188="BPAL"), VLOOKUP(AF188,[1]Diccionario!B:N,13,0)="C"), "SOBREOFERTA",IF(AND(AC188="A", VLOOKUP(AF188,[1]Diccionario!B:N,13,0)="A"), "OK",IF(
AND(AC188="A", OR(VLOOKUP(AF188,[1]Diccionario!B:N,13,0)="B", VLOOKUP(AF188,[1]Diccionario!B:N,13,0)="C")), "SOBREOFERTA",""
))))))),"")</f>
        <v/>
      </c>
      <c r="AF188" s="48"/>
      <c r="AG188" s="53"/>
      <c r="AH188" s="54"/>
      <c r="AI188" s="55" t="str">
        <f t="shared" si="47"/>
        <v/>
      </c>
      <c r="AJ188" s="46"/>
      <c r="AK188" s="34" t="e">
        <f>IF(AB188&lt;&gt;"",HLOOKUP(VALUE(TEXT(AH188,"h:mm:ss")),IF($C$6="Laboral",[1]Input!$A$4:$Y$227,IF($C$6="Sábado",[1]Input!$A$231:$Y$452,[1]Input!$A$456:$Y$656)),VLOOKUP($C$4,[1]Input!$AG$2:$AI$99,3,0)+IF(AD$5="Ida",0,1),1),"")</f>
        <v>#N/A</v>
      </c>
      <c r="AL188" s="34" t="str">
        <f>IF(AB189&lt;&gt;AB188,AVERAGEIF(AB$9:AB188,AB188,AK$9:AK188),"")</f>
        <v/>
      </c>
      <c r="AM188" s="35" t="str">
        <f>IFERROR(IF(AB189&lt;&gt;AB188,AVERAGEIF(AB$9:AB188,AB188,AT$9:AT188),""),"")</f>
        <v/>
      </c>
      <c r="AN188" s="35" t="str">
        <f>IFERROR(IF(AB189&lt;&gt;AB188,AVERAGEIF(AB$9:AB188,AB188,AU$9:AU188),""),"")</f>
        <v/>
      </c>
      <c r="AO188" s="35" t="str" cm="1">
        <f t="array" ref="AO188">IFERROR(IF(AB189&lt;&gt;AB188,_xlfn.STDEV.P(IF(AB$9:AB188=AB188,AU$9:AU188)),""),"")</f>
        <v/>
      </c>
      <c r="AP188" s="35" t="str" cm="1">
        <f t="array" ref="AP188">IFERROR(IF(AB189&lt;&gt;AB188,_xlfn.STDEV.P(IF(AB$9:AB188=AB188,AT$9:AT188)),""),"")</f>
        <v/>
      </c>
      <c r="AQ188" s="36" t="str">
        <f t="shared" si="38"/>
        <v/>
      </c>
      <c r="AR188" s="36" t="str">
        <f t="shared" si="39"/>
        <v/>
      </c>
      <c r="AS188" s="36" t="str">
        <f t="shared" si="48"/>
        <v/>
      </c>
      <c r="AT188" s="37" t="str">
        <f t="shared" si="40"/>
        <v/>
      </c>
      <c r="AU188" s="37" t="str">
        <f t="shared" si="41"/>
        <v/>
      </c>
      <c r="AV188" s="54"/>
      <c r="AW188" s="46"/>
      <c r="AX188" s="39" t="str" cm="1">
        <f t="array" ref="AX188">IF(AH188&lt;&gt;"",IF(AND(AX186:AX187&lt;&gt;"IE",AQ188&lt;&gt;0,AS188&lt;&gt;""),IF(IFERROR((AQ188/AS188),0) &lt;=1,IFERROR(AQ188/AS188,""),1),""),"")</f>
        <v/>
      </c>
      <c r="AY188" s="46"/>
      <c r="AZ188" s="57"/>
    </row>
    <row r="189" spans="1:52" ht="15.5" x14ac:dyDescent="0.35">
      <c r="A189" s="51">
        <f t="shared" si="49"/>
        <v>1</v>
      </c>
      <c r="B189" s="52"/>
      <c r="C189" s="52"/>
      <c r="D189" s="29" t="str">
        <f>IFERROR(
IF(AND(OR(Planilla!B189="C",Planilla!B189="c"), VLOOKUP(E189,[1]Diccionario!B:N,13,0)="C"), "OK",IF(AND(OR(Planilla!B189="C",Planilla!B189="c"), OR(VLOOKUP(E189,[1]Diccionario!B:N,13,0)="B", VLOOKUP(E189,[1]Diccionario!B:N,13,0)="A")), "DEFICIT",IF(
AND(OR(Planilla!B189="B", Planilla!B189="BPAL"), VLOOKUP(E189,[1]Diccionario!B:N,13,0)="B"), "OK",IF(AND(OR(Planilla!B189="B", Planilla!B189="BPAL"), VLOOKUP(E189,[1]Diccionario!B:N,13,0)="A"), "DEFICIT",IF(AND(OR(Planilla!B189="B", Planilla!B189="BPAL"), VLOOKUP(E189,[1]Diccionario!B:N,13,0)="C"), "SOBREOFERTA",IF(AND(Planilla!B189="A", VLOOKUP(E189,[1]Diccionario!B:N,13,0)="A"), "OK",IF(
AND(Planilla!B189="A", OR(VLOOKUP(E189,[1]Diccionario!B:N,13,0)="B", VLOOKUP(E189,[1]Diccionario!B:N,13,0)="C")), "SOBREOFERTA",""
))))))),"")</f>
        <v/>
      </c>
      <c r="E189" s="48"/>
      <c r="F189" s="53"/>
      <c r="G189" s="54"/>
      <c r="H189" s="55" t="str">
        <f t="shared" si="42"/>
        <v/>
      </c>
      <c r="I189" s="35"/>
      <c r="J189" s="34" t="e">
        <f>IF(A189&lt;&gt;"",HLOOKUP(VALUE(TEXT(G189,"h:mm:ss")),IF($C$6="Laboral",[1]Input!$A$4:$Y$227,IF($C$6="Sábado",[1]Input!$A$231:$Y$452,[1]Input!$A$456:$Y$656)),VLOOKUP($C$4,[1]Input!$AG$2:$AI$99,3,0)+IF(C$5="Ida",0,1),1),"")</f>
        <v>#N/A</v>
      </c>
      <c r="K189" s="34" t="str">
        <f>IF(A190&lt;&gt;A189,AVERAGEIF(A$9:A189,A189,J$13:J189),"")</f>
        <v/>
      </c>
      <c r="L189" s="35" t="str">
        <f>IFERROR(IF(A190&lt;&gt;A189,AVERAGEIF(A$9:A189,A189,S$13:S189),""),"")</f>
        <v/>
      </c>
      <c r="M189" s="35" t="str">
        <f>IFERROR(IF(A190&lt;&gt;A189,AVERAGEIF(A$9:A189,A189,T$8:T189),""),"")</f>
        <v/>
      </c>
      <c r="N189" s="35" t="str" cm="1">
        <f t="array" ref="N189">IFERROR(IF(A190&lt;&gt;A189,_xlfn.STDEV.P(IF(A$9:A189=A189,T$7:T189)),""),"")</f>
        <v/>
      </c>
      <c r="O189" s="35" t="str" cm="1">
        <f t="array" ref="O189">IFERROR(IF(A190&lt;&gt;A189,_xlfn.STDEV.P(IF(A$9:A189=A189,S$7:S189)),""),"")</f>
        <v/>
      </c>
      <c r="P189" s="36" t="str">
        <f t="shared" si="35"/>
        <v/>
      </c>
      <c r="Q189" s="36" t="str">
        <f t="shared" si="36"/>
        <v/>
      </c>
      <c r="R189" s="36" t="str">
        <f t="shared" si="43"/>
        <v/>
      </c>
      <c r="S189" s="37" t="str">
        <f t="shared" si="44"/>
        <v/>
      </c>
      <c r="T189" s="37" t="str">
        <f t="shared" si="37"/>
        <v/>
      </c>
      <c r="U189" s="54"/>
      <c r="V189" s="46"/>
      <c r="W189" s="39" t="str">
        <f t="shared" si="45"/>
        <v/>
      </c>
      <c r="X189" s="38"/>
      <c r="Y189" s="48"/>
      <c r="AB189" s="56">
        <f t="shared" si="46"/>
        <v>1</v>
      </c>
      <c r="AC189" s="52"/>
      <c r="AD189" s="52"/>
      <c r="AE189" s="29" t="str">
        <f>IFERROR(
IF(AND(OR(AC189="C",AC189="c"), VLOOKUP(AF189,[1]Diccionario!B:N,13,0)="C"), "OK",IF(AND(OR(AC189="C",AC189="c"), OR(VLOOKUP(AF189,[1]Diccionario!B:N,13,0)="B", VLOOKUP(AF189,[1]Diccionario!B:N,13,0)="A")), "DEFICIT",IF(
AND(OR(AC189="B", AC189="BPAL"), VLOOKUP(AF189,[1]Diccionario!B:N,13,0)="B"), "OK",IF(AND(OR(AC189="B", AC189="BPAL"), VLOOKUP(AF189,[1]Diccionario!B:N,13,0)="A"), "DEFICIT",IF(AND(OR(AC189="B", AC189="BPAL"), VLOOKUP(AF189,[1]Diccionario!B:N,13,0)="C"), "SOBREOFERTA",IF(AND(AC189="A", VLOOKUP(AF189,[1]Diccionario!B:N,13,0)="A"), "OK",IF(
AND(AC189="A", OR(VLOOKUP(AF189,[1]Diccionario!B:N,13,0)="B", VLOOKUP(AF189,[1]Diccionario!B:N,13,0)="C")), "SOBREOFERTA",""
))))))),"")</f>
        <v/>
      </c>
      <c r="AF189" s="48"/>
      <c r="AG189" s="53"/>
      <c r="AH189" s="54"/>
      <c r="AI189" s="55" t="str">
        <f t="shared" si="47"/>
        <v/>
      </c>
      <c r="AJ189" s="46"/>
      <c r="AK189" s="34" t="e">
        <f>IF(AB189&lt;&gt;"",HLOOKUP(VALUE(TEXT(AH189,"h:mm:ss")),IF($C$6="Laboral",[1]Input!$A$4:$Y$227,IF($C$6="Sábado",[1]Input!$A$231:$Y$452,[1]Input!$A$456:$Y$656)),VLOOKUP($C$4,[1]Input!$AG$2:$AI$99,3,0)+IF(AD$5="Ida",0,1),1),"")</f>
        <v>#N/A</v>
      </c>
      <c r="AL189" s="34" t="str">
        <f>IF(AB190&lt;&gt;AB189,AVERAGEIF(AB$9:AB189,AB189,AK$9:AK189),"")</f>
        <v/>
      </c>
      <c r="AM189" s="35" t="str">
        <f>IFERROR(IF(AB190&lt;&gt;AB189,AVERAGEIF(AB$9:AB189,AB189,AT$9:AT189),""),"")</f>
        <v/>
      </c>
      <c r="AN189" s="35" t="str">
        <f>IFERROR(IF(AB190&lt;&gt;AB189,AVERAGEIF(AB$9:AB189,AB189,AU$9:AU189),""),"")</f>
        <v/>
      </c>
      <c r="AO189" s="35" t="str" cm="1">
        <f t="array" ref="AO189">IFERROR(IF(AB190&lt;&gt;AB189,_xlfn.STDEV.P(IF(AB$9:AB189=AB189,AU$9:AU189)),""),"")</f>
        <v/>
      </c>
      <c r="AP189" s="35" t="str" cm="1">
        <f t="array" ref="AP189">IFERROR(IF(AB190&lt;&gt;AB189,_xlfn.STDEV.P(IF(AB$9:AB189=AB189,AT$9:AT189)),""),"")</f>
        <v/>
      </c>
      <c r="AQ189" s="36" t="str">
        <f t="shared" si="38"/>
        <v/>
      </c>
      <c r="AR189" s="36" t="str">
        <f t="shared" si="39"/>
        <v/>
      </c>
      <c r="AS189" s="36" t="str">
        <f t="shared" si="48"/>
        <v/>
      </c>
      <c r="AT189" s="37" t="str">
        <f t="shared" si="40"/>
        <v/>
      </c>
      <c r="AU189" s="37" t="str">
        <f t="shared" si="41"/>
        <v/>
      </c>
      <c r="AV189" s="54"/>
      <c r="AW189" s="46"/>
      <c r="AX189" s="39" t="str" cm="1">
        <f t="array" ref="AX189">IF(AH189&lt;&gt;"",IF(AND(AX187:AX188&lt;&gt;"IE",AQ189&lt;&gt;0,AS189&lt;&gt;""),IF(IFERROR((AQ189/AS189),0) &lt;=1,IFERROR(AQ189/AS189,""),1),""),"")</f>
        <v/>
      </c>
      <c r="AY189" s="46"/>
      <c r="AZ189" s="57"/>
    </row>
    <row r="190" spans="1:52" ht="15.5" x14ac:dyDescent="0.35">
      <c r="A190" s="51">
        <f t="shared" si="49"/>
        <v>1</v>
      </c>
      <c r="B190" s="52"/>
      <c r="C190" s="52"/>
      <c r="D190" s="29" t="str">
        <f>IFERROR(
IF(AND(OR(Planilla!B190="C",Planilla!B190="c"), VLOOKUP(E190,[1]Diccionario!B:N,13,0)="C"), "OK",IF(AND(OR(Planilla!B190="C",Planilla!B190="c"), OR(VLOOKUP(E190,[1]Diccionario!B:N,13,0)="B", VLOOKUP(E190,[1]Diccionario!B:N,13,0)="A")), "DEFICIT",IF(
AND(OR(Planilla!B190="B", Planilla!B190="BPAL"), VLOOKUP(E190,[1]Diccionario!B:N,13,0)="B"), "OK",IF(AND(OR(Planilla!B190="B", Planilla!B190="BPAL"), VLOOKUP(E190,[1]Diccionario!B:N,13,0)="A"), "DEFICIT",IF(AND(OR(Planilla!B190="B", Planilla!B190="BPAL"), VLOOKUP(E190,[1]Diccionario!B:N,13,0)="C"), "SOBREOFERTA",IF(AND(Planilla!B190="A", VLOOKUP(E190,[1]Diccionario!B:N,13,0)="A"), "OK",IF(
AND(Planilla!B190="A", OR(VLOOKUP(E190,[1]Diccionario!B:N,13,0)="B", VLOOKUP(E190,[1]Diccionario!B:N,13,0)="C")), "SOBREOFERTA",""
))))))),"")</f>
        <v/>
      </c>
      <c r="E190" s="48"/>
      <c r="F190" s="53"/>
      <c r="G190" s="54"/>
      <c r="H190" s="55" t="str">
        <f t="shared" si="42"/>
        <v/>
      </c>
      <c r="I190" s="35"/>
      <c r="J190" s="34" t="e">
        <f>IF(A190&lt;&gt;"",HLOOKUP(VALUE(TEXT(G190,"h:mm:ss")),IF($C$6="Laboral",[1]Input!$A$4:$Y$227,IF($C$6="Sábado",[1]Input!$A$231:$Y$452,[1]Input!$A$456:$Y$656)),VLOOKUP($C$4,[1]Input!$AG$2:$AI$99,3,0)+IF(C$5="Ida",0,1),1),"")</f>
        <v>#N/A</v>
      </c>
      <c r="K190" s="34" t="str">
        <f>IF(A191&lt;&gt;A190,AVERAGEIF(A$9:A190,A190,J$13:J190),"")</f>
        <v/>
      </c>
      <c r="L190" s="35" t="str">
        <f>IFERROR(IF(A191&lt;&gt;A190,AVERAGEIF(A$9:A190,A190,S$13:S190),""),"")</f>
        <v/>
      </c>
      <c r="M190" s="35" t="str">
        <f>IFERROR(IF(A191&lt;&gt;A190,AVERAGEIF(A$9:A190,A190,T$8:T190),""),"")</f>
        <v/>
      </c>
      <c r="N190" s="35" t="str" cm="1">
        <f t="array" ref="N190">IFERROR(IF(A191&lt;&gt;A190,_xlfn.STDEV.P(IF(A$9:A190=A190,T$7:T190)),""),"")</f>
        <v/>
      </c>
      <c r="O190" s="35" t="str" cm="1">
        <f t="array" ref="O190">IFERROR(IF(A191&lt;&gt;A190,_xlfn.STDEV.P(IF(A$9:A190=A190,S$7:S190)),""),"")</f>
        <v/>
      </c>
      <c r="P190" s="36" t="str">
        <f t="shared" si="35"/>
        <v/>
      </c>
      <c r="Q190" s="36" t="str">
        <f t="shared" si="36"/>
        <v/>
      </c>
      <c r="R190" s="36" t="str">
        <f t="shared" si="43"/>
        <v/>
      </c>
      <c r="S190" s="37" t="str">
        <f t="shared" si="44"/>
        <v/>
      </c>
      <c r="T190" s="37" t="str">
        <f t="shared" si="37"/>
        <v/>
      </c>
      <c r="U190" s="54"/>
      <c r="V190" s="46"/>
      <c r="W190" s="39" t="str">
        <f t="shared" si="45"/>
        <v/>
      </c>
      <c r="X190" s="38"/>
      <c r="Y190" s="48"/>
      <c r="AB190" s="56">
        <f t="shared" si="46"/>
        <v>1</v>
      </c>
      <c r="AC190" s="52"/>
      <c r="AD190" s="52"/>
      <c r="AE190" s="29" t="str">
        <f>IFERROR(
IF(AND(OR(AC190="C",AC190="c"), VLOOKUP(AF190,[1]Diccionario!B:N,13,0)="C"), "OK",IF(AND(OR(AC190="C",AC190="c"), OR(VLOOKUP(AF190,[1]Diccionario!B:N,13,0)="B", VLOOKUP(AF190,[1]Diccionario!B:N,13,0)="A")), "DEFICIT",IF(
AND(OR(AC190="B", AC190="BPAL"), VLOOKUP(AF190,[1]Diccionario!B:N,13,0)="B"), "OK",IF(AND(OR(AC190="B", AC190="BPAL"), VLOOKUP(AF190,[1]Diccionario!B:N,13,0)="A"), "DEFICIT",IF(AND(OR(AC190="B", AC190="BPAL"), VLOOKUP(AF190,[1]Diccionario!B:N,13,0)="C"), "SOBREOFERTA",IF(AND(AC190="A", VLOOKUP(AF190,[1]Diccionario!B:N,13,0)="A"), "OK",IF(
AND(AC190="A", OR(VLOOKUP(AF190,[1]Diccionario!B:N,13,0)="B", VLOOKUP(AF190,[1]Diccionario!B:N,13,0)="C")), "SOBREOFERTA",""
))))))),"")</f>
        <v/>
      </c>
      <c r="AF190" s="48"/>
      <c r="AG190" s="53"/>
      <c r="AH190" s="54"/>
      <c r="AI190" s="55" t="str">
        <f t="shared" si="47"/>
        <v/>
      </c>
      <c r="AJ190" s="46"/>
      <c r="AK190" s="34" t="e">
        <f>IF(AB190&lt;&gt;"",HLOOKUP(VALUE(TEXT(AH190,"h:mm:ss")),IF($C$6="Laboral",[1]Input!$A$4:$Y$227,IF($C$6="Sábado",[1]Input!$A$231:$Y$452,[1]Input!$A$456:$Y$656)),VLOOKUP($C$4,[1]Input!$AG$2:$AI$99,3,0)+IF(AD$5="Ida",0,1),1),"")</f>
        <v>#N/A</v>
      </c>
      <c r="AL190" s="34" t="str">
        <f>IF(AB191&lt;&gt;AB190,AVERAGEIF(AB$9:AB190,AB190,AK$9:AK190),"")</f>
        <v/>
      </c>
      <c r="AM190" s="35" t="str">
        <f>IFERROR(IF(AB191&lt;&gt;AB190,AVERAGEIF(AB$9:AB190,AB190,AT$9:AT190),""),"")</f>
        <v/>
      </c>
      <c r="AN190" s="35" t="str">
        <f>IFERROR(IF(AB191&lt;&gt;AB190,AVERAGEIF(AB$9:AB190,AB190,AU$9:AU190),""),"")</f>
        <v/>
      </c>
      <c r="AO190" s="35" t="str" cm="1">
        <f t="array" ref="AO190">IFERROR(IF(AB191&lt;&gt;AB190,_xlfn.STDEV.P(IF(AB$9:AB190=AB190,AU$9:AU190)),""),"")</f>
        <v/>
      </c>
      <c r="AP190" s="35" t="str" cm="1">
        <f t="array" ref="AP190">IFERROR(IF(AB191&lt;&gt;AB190,_xlfn.STDEV.P(IF(AB$9:AB190=AB190,AT$9:AT190)),""),"")</f>
        <v/>
      </c>
      <c r="AQ190" s="36" t="str">
        <f t="shared" si="38"/>
        <v/>
      </c>
      <c r="AR190" s="36" t="str">
        <f t="shared" si="39"/>
        <v/>
      </c>
      <c r="AS190" s="36" t="str">
        <f t="shared" si="48"/>
        <v/>
      </c>
      <c r="AT190" s="37" t="str">
        <f t="shared" si="40"/>
        <v/>
      </c>
      <c r="AU190" s="37" t="str">
        <f t="shared" si="41"/>
        <v/>
      </c>
      <c r="AV190" s="54"/>
      <c r="AW190" s="46"/>
      <c r="AX190" s="39" t="str" cm="1">
        <f t="array" ref="AX190">IF(AH190&lt;&gt;"",IF(AND(AX188:AX189&lt;&gt;"IE",AQ190&lt;&gt;0,AS190&lt;&gt;""),IF(IFERROR((AQ190/AS190),0) &lt;=1,IFERROR(AQ190/AS190,""),1),""),"")</f>
        <v/>
      </c>
      <c r="AY190" s="46"/>
      <c r="AZ190" s="57"/>
    </row>
    <row r="191" spans="1:52" ht="15.5" x14ac:dyDescent="0.35">
      <c r="A191" s="51">
        <f t="shared" si="49"/>
        <v>1</v>
      </c>
      <c r="B191" s="52"/>
      <c r="C191" s="52"/>
      <c r="D191" s="29" t="str">
        <f>IFERROR(
IF(AND(OR(Planilla!B191="C",Planilla!B191="c"), VLOOKUP(E191,[1]Diccionario!B:N,13,0)="C"), "OK",IF(AND(OR(Planilla!B191="C",Planilla!B191="c"), OR(VLOOKUP(E191,[1]Diccionario!B:N,13,0)="B", VLOOKUP(E191,[1]Diccionario!B:N,13,0)="A")), "DEFICIT",IF(
AND(OR(Planilla!B191="B", Planilla!B191="BPAL"), VLOOKUP(E191,[1]Diccionario!B:N,13,0)="B"), "OK",IF(AND(OR(Planilla!B191="B", Planilla!B191="BPAL"), VLOOKUP(E191,[1]Diccionario!B:N,13,0)="A"), "DEFICIT",IF(AND(OR(Planilla!B191="B", Planilla!B191="BPAL"), VLOOKUP(E191,[1]Diccionario!B:N,13,0)="C"), "SOBREOFERTA",IF(AND(Planilla!B191="A", VLOOKUP(E191,[1]Diccionario!B:N,13,0)="A"), "OK",IF(
AND(Planilla!B191="A", OR(VLOOKUP(E191,[1]Diccionario!B:N,13,0)="B", VLOOKUP(E191,[1]Diccionario!B:N,13,0)="C")), "SOBREOFERTA",""
))))))),"")</f>
        <v/>
      </c>
      <c r="E191" s="48"/>
      <c r="F191" s="53"/>
      <c r="G191" s="54"/>
      <c r="H191" s="55" t="str">
        <f t="shared" si="42"/>
        <v/>
      </c>
      <c r="I191" s="35"/>
      <c r="J191" s="34" t="e">
        <f>IF(A191&lt;&gt;"",HLOOKUP(VALUE(TEXT(G191,"h:mm:ss")),IF($C$6="Laboral",[1]Input!$A$4:$Y$227,IF($C$6="Sábado",[1]Input!$A$231:$Y$452,[1]Input!$A$456:$Y$656)),VLOOKUP($C$4,[1]Input!$AG$2:$AI$99,3,0)+IF(C$5="Ida",0,1),1),"")</f>
        <v>#N/A</v>
      </c>
      <c r="K191" s="34" t="str">
        <f>IF(A192&lt;&gt;A191,AVERAGEIF(A$9:A191,A191,J$13:J191),"")</f>
        <v/>
      </c>
      <c r="L191" s="35" t="str">
        <f>IFERROR(IF(A192&lt;&gt;A191,AVERAGEIF(A$9:A191,A191,S$13:S191),""),"")</f>
        <v/>
      </c>
      <c r="M191" s="35" t="str">
        <f>IFERROR(IF(A192&lt;&gt;A191,AVERAGEIF(A$9:A191,A191,T$8:T191),""),"")</f>
        <v/>
      </c>
      <c r="N191" s="35" t="str" cm="1">
        <f t="array" ref="N191">IFERROR(IF(A192&lt;&gt;A191,_xlfn.STDEV.P(IF(A$9:A191=A191,T$7:T191)),""),"")</f>
        <v/>
      </c>
      <c r="O191" s="35" t="str" cm="1">
        <f t="array" ref="O191">IFERROR(IF(A192&lt;&gt;A191,_xlfn.STDEV.P(IF(A$9:A191=A191,S$7:S191)),""),"")</f>
        <v/>
      </c>
      <c r="P191" s="36" t="str">
        <f t="shared" si="35"/>
        <v/>
      </c>
      <c r="Q191" s="36" t="str">
        <f t="shared" si="36"/>
        <v/>
      </c>
      <c r="R191" s="36" t="str">
        <f t="shared" si="43"/>
        <v/>
      </c>
      <c r="S191" s="37" t="str">
        <f t="shared" si="44"/>
        <v/>
      </c>
      <c r="T191" s="37" t="str">
        <f t="shared" si="37"/>
        <v/>
      </c>
      <c r="U191" s="54"/>
      <c r="V191" s="46"/>
      <c r="W191" s="39" t="str">
        <f t="shared" si="45"/>
        <v/>
      </c>
      <c r="X191" s="38"/>
      <c r="Y191" s="48"/>
      <c r="AB191" s="56">
        <f t="shared" si="46"/>
        <v>1</v>
      </c>
      <c r="AC191" s="52"/>
      <c r="AD191" s="52"/>
      <c r="AE191" s="29" t="str">
        <f>IFERROR(
IF(AND(OR(AC191="C",AC191="c"), VLOOKUP(AF191,[1]Diccionario!B:N,13,0)="C"), "OK",IF(AND(OR(AC191="C",AC191="c"), OR(VLOOKUP(AF191,[1]Diccionario!B:N,13,0)="B", VLOOKUP(AF191,[1]Diccionario!B:N,13,0)="A")), "DEFICIT",IF(
AND(OR(AC191="B", AC191="BPAL"), VLOOKUP(AF191,[1]Diccionario!B:N,13,0)="B"), "OK",IF(AND(OR(AC191="B", AC191="BPAL"), VLOOKUP(AF191,[1]Diccionario!B:N,13,0)="A"), "DEFICIT",IF(AND(OR(AC191="B", AC191="BPAL"), VLOOKUP(AF191,[1]Diccionario!B:N,13,0)="C"), "SOBREOFERTA",IF(AND(AC191="A", VLOOKUP(AF191,[1]Diccionario!B:N,13,0)="A"), "OK",IF(
AND(AC191="A", OR(VLOOKUP(AF191,[1]Diccionario!B:N,13,0)="B", VLOOKUP(AF191,[1]Diccionario!B:N,13,0)="C")), "SOBREOFERTA",""
))))))),"")</f>
        <v/>
      </c>
      <c r="AF191" s="48"/>
      <c r="AG191" s="53"/>
      <c r="AH191" s="54"/>
      <c r="AI191" s="55" t="str">
        <f t="shared" si="47"/>
        <v/>
      </c>
      <c r="AJ191" s="46"/>
      <c r="AK191" s="34" t="e">
        <f>IF(AB191&lt;&gt;"",HLOOKUP(VALUE(TEXT(AH191,"h:mm:ss")),IF($C$6="Laboral",[1]Input!$A$4:$Y$227,IF($C$6="Sábado",[1]Input!$A$231:$Y$452,[1]Input!$A$456:$Y$656)),VLOOKUP($C$4,[1]Input!$AG$2:$AI$99,3,0)+IF(AD$5="Ida",0,1),1),"")</f>
        <v>#N/A</v>
      </c>
      <c r="AL191" s="34" t="str">
        <f>IF(AB192&lt;&gt;AB191,AVERAGEIF(AB$9:AB191,AB191,AK$9:AK191),"")</f>
        <v/>
      </c>
      <c r="AM191" s="35" t="str">
        <f>IFERROR(IF(AB192&lt;&gt;AB191,AVERAGEIF(AB$9:AB191,AB191,AT$9:AT191),""),"")</f>
        <v/>
      </c>
      <c r="AN191" s="35" t="str">
        <f>IFERROR(IF(AB192&lt;&gt;AB191,AVERAGEIF(AB$9:AB191,AB191,AU$9:AU191),""),"")</f>
        <v/>
      </c>
      <c r="AO191" s="35" t="str" cm="1">
        <f t="array" ref="AO191">IFERROR(IF(AB192&lt;&gt;AB191,_xlfn.STDEV.P(IF(AB$9:AB191=AB191,AU$9:AU191)),""),"")</f>
        <v/>
      </c>
      <c r="AP191" s="35" t="str" cm="1">
        <f t="array" ref="AP191">IFERROR(IF(AB192&lt;&gt;AB191,_xlfn.STDEV.P(IF(AB$9:AB191=AB191,AT$9:AT191)),""),"")</f>
        <v/>
      </c>
      <c r="AQ191" s="36" t="str">
        <f t="shared" si="38"/>
        <v/>
      </c>
      <c r="AR191" s="36" t="str">
        <f t="shared" si="39"/>
        <v/>
      </c>
      <c r="AS191" s="36" t="str">
        <f t="shared" si="48"/>
        <v/>
      </c>
      <c r="AT191" s="37" t="str">
        <f t="shared" si="40"/>
        <v/>
      </c>
      <c r="AU191" s="37" t="str">
        <f t="shared" si="41"/>
        <v/>
      </c>
      <c r="AV191" s="54"/>
      <c r="AW191" s="46"/>
      <c r="AX191" s="39" t="str" cm="1">
        <f t="array" ref="AX191">IF(AH191&lt;&gt;"",IF(AND(AX189:AX190&lt;&gt;"IE",AQ191&lt;&gt;0,AS191&lt;&gt;""),IF(IFERROR((AQ191/AS191),0) &lt;=1,IFERROR(AQ191/AS191,""),1),""),"")</f>
        <v/>
      </c>
      <c r="AY191" s="46"/>
      <c r="AZ191" s="57"/>
    </row>
    <row r="192" spans="1:52" ht="15.5" x14ac:dyDescent="0.35">
      <c r="A192" s="51">
        <f t="shared" si="49"/>
        <v>1</v>
      </c>
      <c r="B192" s="52"/>
      <c r="C192" s="52"/>
      <c r="D192" s="29" t="str">
        <f>IFERROR(
IF(AND(OR(Planilla!B192="C",Planilla!B192="c"), VLOOKUP(E192,[1]Diccionario!B:N,13,0)="C"), "OK",IF(AND(OR(Planilla!B192="C",Planilla!B192="c"), OR(VLOOKUP(E192,[1]Diccionario!B:N,13,0)="B", VLOOKUP(E192,[1]Diccionario!B:N,13,0)="A")), "DEFICIT",IF(
AND(OR(Planilla!B192="B", Planilla!B192="BPAL"), VLOOKUP(E192,[1]Diccionario!B:N,13,0)="B"), "OK",IF(AND(OR(Planilla!B192="B", Planilla!B192="BPAL"), VLOOKUP(E192,[1]Diccionario!B:N,13,0)="A"), "DEFICIT",IF(AND(OR(Planilla!B192="B", Planilla!B192="BPAL"), VLOOKUP(E192,[1]Diccionario!B:N,13,0)="C"), "SOBREOFERTA",IF(AND(Planilla!B192="A", VLOOKUP(E192,[1]Diccionario!B:N,13,0)="A"), "OK",IF(
AND(Planilla!B192="A", OR(VLOOKUP(E192,[1]Diccionario!B:N,13,0)="B", VLOOKUP(E192,[1]Diccionario!B:N,13,0)="C")), "SOBREOFERTA",""
))))))),"")</f>
        <v/>
      </c>
      <c r="E192" s="48"/>
      <c r="F192" s="53"/>
      <c r="G192" s="54"/>
      <c r="H192" s="55" t="str">
        <f t="shared" si="42"/>
        <v/>
      </c>
      <c r="I192" s="35"/>
      <c r="J192" s="34" t="e">
        <f>IF(A192&lt;&gt;"",HLOOKUP(VALUE(TEXT(G192,"h:mm:ss")),IF($C$6="Laboral",[1]Input!$A$4:$Y$227,IF($C$6="Sábado",[1]Input!$A$231:$Y$452,[1]Input!$A$456:$Y$656)),VLOOKUP($C$4,[1]Input!$AG$2:$AI$99,3,0)+IF(C$5="Ida",0,1),1),"")</f>
        <v>#N/A</v>
      </c>
      <c r="K192" s="34" t="str">
        <f>IF(A193&lt;&gt;A192,AVERAGEIF(A$9:A192,A192,J$13:J192),"")</f>
        <v/>
      </c>
      <c r="L192" s="35" t="str">
        <f>IFERROR(IF(A193&lt;&gt;A192,AVERAGEIF(A$9:A192,A192,S$13:S192),""),"")</f>
        <v/>
      </c>
      <c r="M192" s="35" t="str">
        <f>IFERROR(IF(A193&lt;&gt;A192,AVERAGEIF(A$9:A192,A192,T$8:T192),""),"")</f>
        <v/>
      </c>
      <c r="N192" s="35" t="str" cm="1">
        <f t="array" ref="N192">IFERROR(IF(A193&lt;&gt;A192,_xlfn.STDEV.P(IF(A$9:A192=A192,T$7:T192)),""),"")</f>
        <v/>
      </c>
      <c r="O192" s="35" t="str" cm="1">
        <f t="array" ref="O192">IFERROR(IF(A193&lt;&gt;A192,_xlfn.STDEV.P(IF(A$9:A192=A192,S$7:S192)),""),"")</f>
        <v/>
      </c>
      <c r="P192" s="36" t="str">
        <f t="shared" si="35"/>
        <v/>
      </c>
      <c r="Q192" s="36" t="str">
        <f t="shared" si="36"/>
        <v/>
      </c>
      <c r="R192" s="36" t="str">
        <f t="shared" si="43"/>
        <v/>
      </c>
      <c r="S192" s="37" t="str">
        <f t="shared" si="44"/>
        <v/>
      </c>
      <c r="T192" s="37" t="str">
        <f t="shared" si="37"/>
        <v/>
      </c>
      <c r="U192" s="54"/>
      <c r="V192" s="46"/>
      <c r="W192" s="39" t="str">
        <f t="shared" si="45"/>
        <v/>
      </c>
      <c r="X192" s="38"/>
      <c r="Y192" s="48"/>
      <c r="AB192" s="56">
        <f t="shared" si="46"/>
        <v>1</v>
      </c>
      <c r="AC192" s="52"/>
      <c r="AD192" s="52"/>
      <c r="AE192" s="29" t="str">
        <f>IFERROR(
IF(AND(OR(AC192="C",AC192="c"), VLOOKUP(AF192,[1]Diccionario!B:N,13,0)="C"), "OK",IF(AND(OR(AC192="C",AC192="c"), OR(VLOOKUP(AF192,[1]Diccionario!B:N,13,0)="B", VLOOKUP(AF192,[1]Diccionario!B:N,13,0)="A")), "DEFICIT",IF(
AND(OR(AC192="B", AC192="BPAL"), VLOOKUP(AF192,[1]Diccionario!B:N,13,0)="B"), "OK",IF(AND(OR(AC192="B", AC192="BPAL"), VLOOKUP(AF192,[1]Diccionario!B:N,13,0)="A"), "DEFICIT",IF(AND(OR(AC192="B", AC192="BPAL"), VLOOKUP(AF192,[1]Diccionario!B:N,13,0)="C"), "SOBREOFERTA",IF(AND(AC192="A", VLOOKUP(AF192,[1]Diccionario!B:N,13,0)="A"), "OK",IF(
AND(AC192="A", OR(VLOOKUP(AF192,[1]Diccionario!B:N,13,0)="B", VLOOKUP(AF192,[1]Diccionario!B:N,13,0)="C")), "SOBREOFERTA",""
))))))),"")</f>
        <v/>
      </c>
      <c r="AF192" s="48"/>
      <c r="AG192" s="53"/>
      <c r="AH192" s="54"/>
      <c r="AI192" s="55" t="str">
        <f t="shared" si="47"/>
        <v/>
      </c>
      <c r="AJ192" s="46"/>
      <c r="AK192" s="34" t="e">
        <f>IF(AB192&lt;&gt;"",HLOOKUP(VALUE(TEXT(AH192,"h:mm:ss")),IF($C$6="Laboral",[1]Input!$A$4:$Y$227,IF($C$6="Sábado",[1]Input!$A$231:$Y$452,[1]Input!$A$456:$Y$656)),VLOOKUP($C$4,[1]Input!$AG$2:$AI$99,3,0)+IF(AD$5="Ida",0,1),1),"")</f>
        <v>#N/A</v>
      </c>
      <c r="AL192" s="34" t="str">
        <f>IF(AB193&lt;&gt;AB192,AVERAGEIF(AB$9:AB192,AB192,AK$9:AK192),"")</f>
        <v/>
      </c>
      <c r="AM192" s="35" t="str">
        <f>IFERROR(IF(AB193&lt;&gt;AB192,AVERAGEIF(AB$9:AB192,AB192,AT$9:AT192),""),"")</f>
        <v/>
      </c>
      <c r="AN192" s="35" t="str">
        <f>IFERROR(IF(AB193&lt;&gt;AB192,AVERAGEIF(AB$9:AB192,AB192,AU$9:AU192),""),"")</f>
        <v/>
      </c>
      <c r="AO192" s="35" t="str" cm="1">
        <f t="array" ref="AO192">IFERROR(IF(AB193&lt;&gt;AB192,_xlfn.STDEV.P(IF(AB$9:AB192=AB192,AU$9:AU192)),""),"")</f>
        <v/>
      </c>
      <c r="AP192" s="35" t="str" cm="1">
        <f t="array" ref="AP192">IFERROR(IF(AB193&lt;&gt;AB192,_xlfn.STDEV.P(IF(AB$9:AB192=AB192,AT$9:AT192)),""),"")</f>
        <v/>
      </c>
      <c r="AQ192" s="36" t="str">
        <f t="shared" si="38"/>
        <v/>
      </c>
      <c r="AR192" s="36" t="str">
        <f t="shared" si="39"/>
        <v/>
      </c>
      <c r="AS192" s="36" t="str">
        <f t="shared" si="48"/>
        <v/>
      </c>
      <c r="AT192" s="37" t="str">
        <f t="shared" si="40"/>
        <v/>
      </c>
      <c r="AU192" s="37" t="str">
        <f t="shared" si="41"/>
        <v/>
      </c>
      <c r="AV192" s="54"/>
      <c r="AW192" s="46"/>
      <c r="AX192" s="39" t="str" cm="1">
        <f t="array" ref="AX192">IF(AH192&lt;&gt;"",IF(AND(AX190:AX191&lt;&gt;"IE",AQ192&lt;&gt;0,AS192&lt;&gt;""),IF(IFERROR((AQ192/AS192),0) &lt;=1,IFERROR(AQ192/AS192,""),1),""),"")</f>
        <v/>
      </c>
      <c r="AY192" s="46"/>
      <c r="AZ192" s="57"/>
    </row>
    <row r="193" spans="1:52" ht="15.5" x14ac:dyDescent="0.35">
      <c r="A193" s="51">
        <f t="shared" si="49"/>
        <v>1</v>
      </c>
      <c r="B193" s="52"/>
      <c r="C193" s="52"/>
      <c r="D193" s="29" t="str">
        <f>IFERROR(
IF(AND(OR(Planilla!B193="C",Planilla!B193="c"), VLOOKUP(E193,[1]Diccionario!B:N,13,0)="C"), "OK",IF(AND(OR(Planilla!B193="C",Planilla!B193="c"), OR(VLOOKUP(E193,[1]Diccionario!B:N,13,0)="B", VLOOKUP(E193,[1]Diccionario!B:N,13,0)="A")), "DEFICIT",IF(
AND(OR(Planilla!B193="B", Planilla!B193="BPAL"), VLOOKUP(E193,[1]Diccionario!B:N,13,0)="B"), "OK",IF(AND(OR(Planilla!B193="B", Planilla!B193="BPAL"), VLOOKUP(E193,[1]Diccionario!B:N,13,0)="A"), "DEFICIT",IF(AND(OR(Planilla!B193="B", Planilla!B193="BPAL"), VLOOKUP(E193,[1]Diccionario!B:N,13,0)="C"), "SOBREOFERTA",IF(AND(Planilla!B193="A", VLOOKUP(E193,[1]Diccionario!B:N,13,0)="A"), "OK",IF(
AND(Planilla!B193="A", OR(VLOOKUP(E193,[1]Diccionario!B:N,13,0)="B", VLOOKUP(E193,[1]Diccionario!B:N,13,0)="C")), "SOBREOFERTA",""
))))))),"")</f>
        <v/>
      </c>
      <c r="E193" s="48"/>
      <c r="F193" s="53"/>
      <c r="G193" s="54"/>
      <c r="H193" s="55" t="str">
        <f t="shared" si="42"/>
        <v/>
      </c>
      <c r="I193" s="35"/>
      <c r="J193" s="34" t="e">
        <f>IF(A193&lt;&gt;"",HLOOKUP(VALUE(TEXT(G193,"h:mm:ss")),IF($C$6="Laboral",[1]Input!$A$4:$Y$227,IF($C$6="Sábado",[1]Input!$A$231:$Y$452,[1]Input!$A$456:$Y$656)),VLOOKUP($C$4,[1]Input!$AG$2:$AI$99,3,0)+IF(C$5="Ida",0,1),1),"")</f>
        <v>#N/A</v>
      </c>
      <c r="K193" s="34" t="str">
        <f>IF(A194&lt;&gt;A193,AVERAGEIF(A$9:A193,A193,J$13:J193),"")</f>
        <v/>
      </c>
      <c r="L193" s="35" t="str">
        <f>IFERROR(IF(A194&lt;&gt;A193,AVERAGEIF(A$9:A193,A193,S$13:S193),""),"")</f>
        <v/>
      </c>
      <c r="M193" s="35" t="str">
        <f>IFERROR(IF(A194&lt;&gt;A193,AVERAGEIF(A$9:A193,A193,T$8:T193),""),"")</f>
        <v/>
      </c>
      <c r="N193" s="35" t="str" cm="1">
        <f t="array" ref="N193">IFERROR(IF(A194&lt;&gt;A193,_xlfn.STDEV.P(IF(A$9:A193=A193,T$7:T193)),""),"")</f>
        <v/>
      </c>
      <c r="O193" s="35" t="str" cm="1">
        <f t="array" ref="O193">IFERROR(IF(A194&lt;&gt;A193,_xlfn.STDEV.P(IF(A$9:A193=A193,S$7:S193)),""),"")</f>
        <v/>
      </c>
      <c r="P193" s="36" t="str">
        <f t="shared" si="35"/>
        <v/>
      </c>
      <c r="Q193" s="36" t="str">
        <f t="shared" si="36"/>
        <v/>
      </c>
      <c r="R193" s="36" t="str">
        <f t="shared" si="43"/>
        <v/>
      </c>
      <c r="S193" s="37" t="str">
        <f t="shared" si="44"/>
        <v/>
      </c>
      <c r="T193" s="37" t="str">
        <f t="shared" si="37"/>
        <v/>
      </c>
      <c r="U193" s="54"/>
      <c r="V193" s="46"/>
      <c r="W193" s="39" t="str">
        <f t="shared" si="45"/>
        <v/>
      </c>
      <c r="X193" s="38"/>
      <c r="Y193" s="48"/>
      <c r="AB193" s="56">
        <f t="shared" si="46"/>
        <v>1</v>
      </c>
      <c r="AC193" s="52"/>
      <c r="AD193" s="52"/>
      <c r="AE193" s="29" t="str">
        <f>IFERROR(
IF(AND(OR(AC193="C",AC193="c"), VLOOKUP(AF193,[1]Diccionario!B:N,13,0)="C"), "OK",IF(AND(OR(AC193="C",AC193="c"), OR(VLOOKUP(AF193,[1]Diccionario!B:N,13,0)="B", VLOOKUP(AF193,[1]Diccionario!B:N,13,0)="A")), "DEFICIT",IF(
AND(OR(AC193="B", AC193="BPAL"), VLOOKUP(AF193,[1]Diccionario!B:N,13,0)="B"), "OK",IF(AND(OR(AC193="B", AC193="BPAL"), VLOOKUP(AF193,[1]Diccionario!B:N,13,0)="A"), "DEFICIT",IF(AND(OR(AC193="B", AC193="BPAL"), VLOOKUP(AF193,[1]Diccionario!B:N,13,0)="C"), "SOBREOFERTA",IF(AND(AC193="A", VLOOKUP(AF193,[1]Diccionario!B:N,13,0)="A"), "OK",IF(
AND(AC193="A", OR(VLOOKUP(AF193,[1]Diccionario!B:N,13,0)="B", VLOOKUP(AF193,[1]Diccionario!B:N,13,0)="C")), "SOBREOFERTA",""
))))))),"")</f>
        <v/>
      </c>
      <c r="AF193" s="48"/>
      <c r="AG193" s="53"/>
      <c r="AH193" s="54"/>
      <c r="AI193" s="55" t="str">
        <f t="shared" si="47"/>
        <v/>
      </c>
      <c r="AJ193" s="46"/>
      <c r="AK193" s="34" t="e">
        <f>IF(AB193&lt;&gt;"",HLOOKUP(VALUE(TEXT(AH193,"h:mm:ss")),IF($C$6="Laboral",[1]Input!$A$4:$Y$227,IF($C$6="Sábado",[1]Input!$A$231:$Y$452,[1]Input!$A$456:$Y$656)),VLOOKUP($C$4,[1]Input!$AG$2:$AI$99,3,0)+IF(AD$5="Ida",0,1),1),"")</f>
        <v>#N/A</v>
      </c>
      <c r="AL193" s="34" t="str">
        <f>IF(AB194&lt;&gt;AB193,AVERAGEIF(AB$9:AB193,AB193,AK$9:AK193),"")</f>
        <v/>
      </c>
      <c r="AM193" s="35" t="str">
        <f>IFERROR(IF(AB194&lt;&gt;AB193,AVERAGEIF(AB$9:AB193,AB193,AT$9:AT193),""),"")</f>
        <v/>
      </c>
      <c r="AN193" s="35" t="str">
        <f>IFERROR(IF(AB194&lt;&gt;AB193,AVERAGEIF(AB$9:AB193,AB193,AU$9:AU193),""),"")</f>
        <v/>
      </c>
      <c r="AO193" s="35" t="str" cm="1">
        <f t="array" ref="AO193">IFERROR(IF(AB194&lt;&gt;AB193,_xlfn.STDEV.P(IF(AB$9:AB193=AB193,AU$9:AU193)),""),"")</f>
        <v/>
      </c>
      <c r="AP193" s="35" t="str" cm="1">
        <f t="array" ref="AP193">IFERROR(IF(AB194&lt;&gt;AB193,_xlfn.STDEV.P(IF(AB$9:AB193=AB193,AT$9:AT193)),""),"")</f>
        <v/>
      </c>
      <c r="AQ193" s="36" t="str">
        <f t="shared" si="38"/>
        <v/>
      </c>
      <c r="AR193" s="36" t="str">
        <f t="shared" si="39"/>
        <v/>
      </c>
      <c r="AS193" s="36" t="str">
        <f t="shared" si="48"/>
        <v/>
      </c>
      <c r="AT193" s="37" t="str">
        <f t="shared" si="40"/>
        <v/>
      </c>
      <c r="AU193" s="37" t="str">
        <f t="shared" si="41"/>
        <v/>
      </c>
      <c r="AV193" s="54"/>
      <c r="AW193" s="46"/>
      <c r="AX193" s="39" t="str" cm="1">
        <f t="array" ref="AX193">IF(AH193&lt;&gt;"",IF(AND(AX191:AX192&lt;&gt;"IE",AQ193&lt;&gt;0,AS193&lt;&gt;""),IF(IFERROR((AQ193/AS193),0) &lt;=1,IFERROR(AQ193/AS193,""),1),""),"")</f>
        <v/>
      </c>
      <c r="AY193" s="46"/>
      <c r="AZ193" s="57"/>
    </row>
    <row r="194" spans="1:52" ht="15.5" x14ac:dyDescent="0.35">
      <c r="A194" s="51">
        <f t="shared" si="49"/>
        <v>1</v>
      </c>
      <c r="B194" s="52"/>
      <c r="C194" s="52"/>
      <c r="D194" s="29" t="str">
        <f>IFERROR(
IF(AND(OR(Planilla!B194="C",Planilla!B194="c"), VLOOKUP(E194,[1]Diccionario!B:N,13,0)="C"), "OK",IF(AND(OR(Planilla!B194="C",Planilla!B194="c"), OR(VLOOKUP(E194,[1]Diccionario!B:N,13,0)="B", VLOOKUP(E194,[1]Diccionario!B:N,13,0)="A")), "DEFICIT",IF(
AND(OR(Planilla!B194="B", Planilla!B194="BPAL"), VLOOKUP(E194,[1]Diccionario!B:N,13,0)="B"), "OK",IF(AND(OR(Planilla!B194="B", Planilla!B194="BPAL"), VLOOKUP(E194,[1]Diccionario!B:N,13,0)="A"), "DEFICIT",IF(AND(OR(Planilla!B194="B", Planilla!B194="BPAL"), VLOOKUP(E194,[1]Diccionario!B:N,13,0)="C"), "SOBREOFERTA",IF(AND(Planilla!B194="A", VLOOKUP(E194,[1]Diccionario!B:N,13,0)="A"), "OK",IF(
AND(Planilla!B194="A", OR(VLOOKUP(E194,[1]Diccionario!B:N,13,0)="B", VLOOKUP(E194,[1]Diccionario!B:N,13,0)="C")), "SOBREOFERTA",""
))))))),"")</f>
        <v/>
      </c>
      <c r="E194" s="48"/>
      <c r="F194" s="53"/>
      <c r="G194" s="54"/>
      <c r="H194" s="55" t="str">
        <f t="shared" si="42"/>
        <v/>
      </c>
      <c r="I194" s="35"/>
      <c r="J194" s="34" t="e">
        <f>IF(A194&lt;&gt;"",HLOOKUP(VALUE(TEXT(G194,"h:mm:ss")),IF($C$6="Laboral",[1]Input!$A$4:$Y$227,IF($C$6="Sábado",[1]Input!$A$231:$Y$452,[1]Input!$A$456:$Y$656)),VLOOKUP($C$4,[1]Input!$AG$2:$AI$99,3,0)+IF(C$5="Ida",0,1),1),"")</f>
        <v>#N/A</v>
      </c>
      <c r="K194" s="34" t="str">
        <f>IF(A195&lt;&gt;A194,AVERAGEIF(A$9:A194,A194,J$13:J194),"")</f>
        <v/>
      </c>
      <c r="L194" s="35" t="str">
        <f>IFERROR(IF(A195&lt;&gt;A194,AVERAGEIF(A$9:A194,A194,S$13:S194),""),"")</f>
        <v/>
      </c>
      <c r="M194" s="35" t="str">
        <f>IFERROR(IF(A195&lt;&gt;A194,AVERAGEIF(A$9:A194,A194,T$8:T194),""),"")</f>
        <v/>
      </c>
      <c r="N194" s="35" t="str" cm="1">
        <f t="array" ref="N194">IFERROR(IF(A195&lt;&gt;A194,_xlfn.STDEV.P(IF(A$9:A194=A194,T$7:T194)),""),"")</f>
        <v/>
      </c>
      <c r="O194" s="35" t="str" cm="1">
        <f t="array" ref="O194">IFERROR(IF(A195&lt;&gt;A194,_xlfn.STDEV.P(IF(A$9:A194=A194,S$7:S194)),""),"")</f>
        <v/>
      </c>
      <c r="P194" s="36" t="str">
        <f t="shared" si="35"/>
        <v/>
      </c>
      <c r="Q194" s="36" t="str">
        <f t="shared" si="36"/>
        <v/>
      </c>
      <c r="R194" s="36" t="str">
        <f t="shared" si="43"/>
        <v/>
      </c>
      <c r="S194" s="37" t="str">
        <f t="shared" si="44"/>
        <v/>
      </c>
      <c r="T194" s="37" t="str">
        <f t="shared" si="37"/>
        <v/>
      </c>
      <c r="U194" s="54"/>
      <c r="V194" s="46"/>
      <c r="W194" s="39" t="str">
        <f t="shared" si="45"/>
        <v/>
      </c>
      <c r="X194" s="38"/>
      <c r="Y194" s="48"/>
      <c r="AB194" s="56">
        <f t="shared" si="46"/>
        <v>1</v>
      </c>
      <c r="AC194" s="52"/>
      <c r="AD194" s="52"/>
      <c r="AE194" s="29" t="str">
        <f>IFERROR(
IF(AND(OR(AC194="C",AC194="c"), VLOOKUP(AF194,[1]Diccionario!B:N,13,0)="C"), "OK",IF(AND(OR(AC194="C",AC194="c"), OR(VLOOKUP(AF194,[1]Diccionario!B:N,13,0)="B", VLOOKUP(AF194,[1]Diccionario!B:N,13,0)="A")), "DEFICIT",IF(
AND(OR(AC194="B", AC194="BPAL"), VLOOKUP(AF194,[1]Diccionario!B:N,13,0)="B"), "OK",IF(AND(OR(AC194="B", AC194="BPAL"), VLOOKUP(AF194,[1]Diccionario!B:N,13,0)="A"), "DEFICIT",IF(AND(OR(AC194="B", AC194="BPAL"), VLOOKUP(AF194,[1]Diccionario!B:N,13,0)="C"), "SOBREOFERTA",IF(AND(AC194="A", VLOOKUP(AF194,[1]Diccionario!B:N,13,0)="A"), "OK",IF(
AND(AC194="A", OR(VLOOKUP(AF194,[1]Diccionario!B:N,13,0)="B", VLOOKUP(AF194,[1]Diccionario!B:N,13,0)="C")), "SOBREOFERTA",""
))))))),"")</f>
        <v/>
      </c>
      <c r="AF194" s="48"/>
      <c r="AG194" s="53"/>
      <c r="AH194" s="54"/>
      <c r="AI194" s="55" t="str">
        <f t="shared" si="47"/>
        <v/>
      </c>
      <c r="AJ194" s="46"/>
      <c r="AK194" s="34" t="e">
        <f>IF(AB194&lt;&gt;"",HLOOKUP(VALUE(TEXT(AH194,"h:mm:ss")),IF($C$6="Laboral",[1]Input!$A$4:$Y$227,IF($C$6="Sábado",[1]Input!$A$231:$Y$452,[1]Input!$A$456:$Y$656)),VLOOKUP($C$4,[1]Input!$AG$2:$AI$99,3,0)+IF(AD$5="Ida",0,1),1),"")</f>
        <v>#N/A</v>
      </c>
      <c r="AL194" s="34" t="str">
        <f>IF(AB195&lt;&gt;AB194,AVERAGEIF(AB$9:AB194,AB194,AK$9:AK194),"")</f>
        <v/>
      </c>
      <c r="AM194" s="35" t="str">
        <f>IFERROR(IF(AB195&lt;&gt;AB194,AVERAGEIF(AB$9:AB194,AB194,AT$9:AT194),""),"")</f>
        <v/>
      </c>
      <c r="AN194" s="35" t="str">
        <f>IFERROR(IF(AB195&lt;&gt;AB194,AVERAGEIF(AB$9:AB194,AB194,AU$9:AU194),""),"")</f>
        <v/>
      </c>
      <c r="AO194" s="35" t="str" cm="1">
        <f t="array" ref="AO194">IFERROR(IF(AB195&lt;&gt;AB194,_xlfn.STDEV.P(IF(AB$9:AB194=AB194,AU$9:AU194)),""),"")</f>
        <v/>
      </c>
      <c r="AP194" s="35" t="str" cm="1">
        <f t="array" ref="AP194">IFERROR(IF(AB195&lt;&gt;AB194,_xlfn.STDEV.P(IF(AB$9:AB194=AB194,AT$9:AT194)),""),"")</f>
        <v/>
      </c>
      <c r="AQ194" s="36" t="str">
        <f t="shared" si="38"/>
        <v/>
      </c>
      <c r="AR194" s="36" t="str">
        <f t="shared" si="39"/>
        <v/>
      </c>
      <c r="AS194" s="36" t="str">
        <f t="shared" si="48"/>
        <v/>
      </c>
      <c r="AT194" s="37" t="str">
        <f t="shared" si="40"/>
        <v/>
      </c>
      <c r="AU194" s="37" t="str">
        <f t="shared" si="41"/>
        <v/>
      </c>
      <c r="AV194" s="54"/>
      <c r="AW194" s="46"/>
      <c r="AX194" s="39" t="str" cm="1">
        <f t="array" ref="AX194">IF(AH194&lt;&gt;"",IF(AND(AX192:AX193&lt;&gt;"IE",AQ194&lt;&gt;0,AS194&lt;&gt;""),IF(IFERROR((AQ194/AS194),0) &lt;=1,IFERROR(AQ194/AS194,""),1),""),"")</f>
        <v/>
      </c>
      <c r="AY194" s="46"/>
      <c r="AZ194" s="57"/>
    </row>
    <row r="195" spans="1:52" ht="15.5" x14ac:dyDescent="0.35">
      <c r="A195" s="51">
        <f t="shared" si="49"/>
        <v>1</v>
      </c>
      <c r="B195" s="52"/>
      <c r="C195" s="52"/>
      <c r="D195" s="29" t="str">
        <f>IFERROR(
IF(AND(OR(Planilla!B195="C",Planilla!B195="c"), VLOOKUP(E195,[1]Diccionario!B:N,13,0)="C"), "OK",IF(AND(OR(Planilla!B195="C",Planilla!B195="c"), OR(VLOOKUP(E195,[1]Diccionario!B:N,13,0)="B", VLOOKUP(E195,[1]Diccionario!B:N,13,0)="A")), "DEFICIT",IF(
AND(OR(Planilla!B195="B", Planilla!B195="BPAL"), VLOOKUP(E195,[1]Diccionario!B:N,13,0)="B"), "OK",IF(AND(OR(Planilla!B195="B", Planilla!B195="BPAL"), VLOOKUP(E195,[1]Diccionario!B:N,13,0)="A"), "DEFICIT",IF(AND(OR(Planilla!B195="B", Planilla!B195="BPAL"), VLOOKUP(E195,[1]Diccionario!B:N,13,0)="C"), "SOBREOFERTA",IF(AND(Planilla!B195="A", VLOOKUP(E195,[1]Diccionario!B:N,13,0)="A"), "OK",IF(
AND(Planilla!B195="A", OR(VLOOKUP(E195,[1]Diccionario!B:N,13,0)="B", VLOOKUP(E195,[1]Diccionario!B:N,13,0)="C")), "SOBREOFERTA",""
))))))),"")</f>
        <v/>
      </c>
      <c r="E195" s="48"/>
      <c r="F195" s="53"/>
      <c r="G195" s="54"/>
      <c r="H195" s="55" t="str">
        <f t="shared" si="42"/>
        <v/>
      </c>
      <c r="I195" s="35"/>
      <c r="J195" s="34" t="e">
        <f>IF(A195&lt;&gt;"",HLOOKUP(VALUE(TEXT(G195,"h:mm:ss")),IF($C$6="Laboral",[1]Input!$A$4:$Y$227,IF($C$6="Sábado",[1]Input!$A$231:$Y$452,[1]Input!$A$456:$Y$656)),VLOOKUP($C$4,[1]Input!$AG$2:$AI$99,3,0)+IF(C$5="Ida",0,1),1),"")</f>
        <v>#N/A</v>
      </c>
      <c r="K195" s="34" t="str">
        <f>IF(A196&lt;&gt;A195,AVERAGEIF(A$9:A195,A195,J$13:J195),"")</f>
        <v/>
      </c>
      <c r="L195" s="35" t="str">
        <f>IFERROR(IF(A196&lt;&gt;A195,AVERAGEIF(A$9:A195,A195,S$13:S195),""),"")</f>
        <v/>
      </c>
      <c r="M195" s="35" t="str">
        <f>IFERROR(IF(A196&lt;&gt;A195,AVERAGEIF(A$9:A195,A195,T$8:T195),""),"")</f>
        <v/>
      </c>
      <c r="N195" s="35" t="str" cm="1">
        <f t="array" ref="N195">IFERROR(IF(A196&lt;&gt;A195,_xlfn.STDEV.P(IF(A$9:A195=A195,T$7:T195)),""),"")</f>
        <v/>
      </c>
      <c r="O195" s="35" t="str" cm="1">
        <f t="array" ref="O195">IFERROR(IF(A196&lt;&gt;A195,_xlfn.STDEV.P(IF(A$9:A195=A195,S$7:S195)),""),"")</f>
        <v/>
      </c>
      <c r="P195" s="36" t="str">
        <f t="shared" si="35"/>
        <v/>
      </c>
      <c r="Q195" s="36" t="str">
        <f t="shared" si="36"/>
        <v/>
      </c>
      <c r="R195" s="36" t="str">
        <f t="shared" si="43"/>
        <v/>
      </c>
      <c r="S195" s="37" t="str">
        <f t="shared" si="44"/>
        <v/>
      </c>
      <c r="T195" s="37" t="str">
        <f t="shared" si="37"/>
        <v/>
      </c>
      <c r="U195" s="54"/>
      <c r="V195" s="46"/>
      <c r="W195" s="39" t="str">
        <f t="shared" si="45"/>
        <v/>
      </c>
      <c r="X195" s="38"/>
      <c r="Y195" s="48"/>
      <c r="AB195" s="56">
        <f t="shared" si="46"/>
        <v>1</v>
      </c>
      <c r="AC195" s="52"/>
      <c r="AD195" s="52"/>
      <c r="AE195" s="29" t="str">
        <f>IFERROR(
IF(AND(OR(AC195="C",AC195="c"), VLOOKUP(AF195,[1]Diccionario!B:N,13,0)="C"), "OK",IF(AND(OR(AC195="C",AC195="c"), OR(VLOOKUP(AF195,[1]Diccionario!B:N,13,0)="B", VLOOKUP(AF195,[1]Diccionario!B:N,13,0)="A")), "DEFICIT",IF(
AND(OR(AC195="B", AC195="BPAL"), VLOOKUP(AF195,[1]Diccionario!B:N,13,0)="B"), "OK",IF(AND(OR(AC195="B", AC195="BPAL"), VLOOKUP(AF195,[1]Diccionario!B:N,13,0)="A"), "DEFICIT",IF(AND(OR(AC195="B", AC195="BPAL"), VLOOKUP(AF195,[1]Diccionario!B:N,13,0)="C"), "SOBREOFERTA",IF(AND(AC195="A", VLOOKUP(AF195,[1]Diccionario!B:N,13,0)="A"), "OK",IF(
AND(AC195="A", OR(VLOOKUP(AF195,[1]Diccionario!B:N,13,0)="B", VLOOKUP(AF195,[1]Diccionario!B:N,13,0)="C")), "SOBREOFERTA",""
))))))),"")</f>
        <v/>
      </c>
      <c r="AF195" s="48"/>
      <c r="AG195" s="53"/>
      <c r="AH195" s="54"/>
      <c r="AI195" s="55" t="str">
        <f t="shared" si="47"/>
        <v/>
      </c>
      <c r="AJ195" s="46"/>
      <c r="AK195" s="34" t="e">
        <f>IF(AB195&lt;&gt;"",HLOOKUP(VALUE(TEXT(AH195,"h:mm:ss")),IF($C$6="Laboral",[1]Input!$A$4:$Y$227,IF($C$6="Sábado",[1]Input!$A$231:$Y$452,[1]Input!$A$456:$Y$656)),VLOOKUP($C$4,[1]Input!$AG$2:$AI$99,3,0)+IF(AD$5="Ida",0,1),1),"")</f>
        <v>#N/A</v>
      </c>
      <c r="AL195" s="34" t="str">
        <f>IF(AB196&lt;&gt;AB195,AVERAGEIF(AB$9:AB195,AB195,AK$9:AK195),"")</f>
        <v/>
      </c>
      <c r="AM195" s="35" t="str">
        <f>IFERROR(IF(AB196&lt;&gt;AB195,AVERAGEIF(AB$9:AB195,AB195,AT$9:AT195),""),"")</f>
        <v/>
      </c>
      <c r="AN195" s="35" t="str">
        <f>IFERROR(IF(AB196&lt;&gt;AB195,AVERAGEIF(AB$9:AB195,AB195,AU$9:AU195),""),"")</f>
        <v/>
      </c>
      <c r="AO195" s="35" t="str" cm="1">
        <f t="array" ref="AO195">IFERROR(IF(AB196&lt;&gt;AB195,_xlfn.STDEV.P(IF(AB$9:AB195=AB195,AU$9:AU195)),""),"")</f>
        <v/>
      </c>
      <c r="AP195" s="35" t="str" cm="1">
        <f t="array" ref="AP195">IFERROR(IF(AB196&lt;&gt;AB195,_xlfn.STDEV.P(IF(AB$9:AB195=AB195,AT$9:AT195)),""),"")</f>
        <v/>
      </c>
      <c r="AQ195" s="36" t="str">
        <f t="shared" si="38"/>
        <v/>
      </c>
      <c r="AR195" s="36" t="str">
        <f t="shared" si="39"/>
        <v/>
      </c>
      <c r="AS195" s="36" t="str">
        <f t="shared" si="48"/>
        <v/>
      </c>
      <c r="AT195" s="37" t="str">
        <f t="shared" si="40"/>
        <v/>
      </c>
      <c r="AU195" s="37" t="str">
        <f t="shared" si="41"/>
        <v/>
      </c>
      <c r="AV195" s="54"/>
      <c r="AW195" s="46"/>
      <c r="AX195" s="39" t="str" cm="1">
        <f t="array" ref="AX195">IF(AH195&lt;&gt;"",IF(AND(AX193:AX194&lt;&gt;"IE",AQ195&lt;&gt;0,AS195&lt;&gt;""),IF(IFERROR((AQ195/AS195),0) &lt;=1,IFERROR(AQ195/AS195,""),1),""),"")</f>
        <v/>
      </c>
      <c r="AY195" s="46"/>
      <c r="AZ195" s="57"/>
    </row>
    <row r="196" spans="1:52" ht="15.5" x14ac:dyDescent="0.35">
      <c r="A196" s="51">
        <f t="shared" si="49"/>
        <v>1</v>
      </c>
      <c r="B196" s="52"/>
      <c r="C196" s="52"/>
      <c r="D196" s="29" t="str">
        <f>IFERROR(
IF(AND(OR(Planilla!B196="C",Planilla!B196="c"), VLOOKUP(E196,[1]Diccionario!B:N,13,0)="C"), "OK",IF(AND(OR(Planilla!B196="C",Planilla!B196="c"), OR(VLOOKUP(E196,[1]Diccionario!B:N,13,0)="B", VLOOKUP(E196,[1]Diccionario!B:N,13,0)="A")), "DEFICIT",IF(
AND(OR(Planilla!B196="B", Planilla!B196="BPAL"), VLOOKUP(E196,[1]Diccionario!B:N,13,0)="B"), "OK",IF(AND(OR(Planilla!B196="B", Planilla!B196="BPAL"), VLOOKUP(E196,[1]Diccionario!B:N,13,0)="A"), "DEFICIT",IF(AND(OR(Planilla!B196="B", Planilla!B196="BPAL"), VLOOKUP(E196,[1]Diccionario!B:N,13,0)="C"), "SOBREOFERTA",IF(AND(Planilla!B196="A", VLOOKUP(E196,[1]Diccionario!B:N,13,0)="A"), "OK",IF(
AND(Planilla!B196="A", OR(VLOOKUP(E196,[1]Diccionario!B:N,13,0)="B", VLOOKUP(E196,[1]Diccionario!B:N,13,0)="C")), "SOBREOFERTA",""
))))))),"")</f>
        <v/>
      </c>
      <c r="E196" s="48"/>
      <c r="F196" s="53"/>
      <c r="G196" s="54"/>
      <c r="H196" s="55" t="str">
        <f t="shared" si="42"/>
        <v/>
      </c>
      <c r="I196" s="35"/>
      <c r="J196" s="34" t="e">
        <f>IF(A196&lt;&gt;"",HLOOKUP(VALUE(TEXT(G196,"h:mm:ss")),IF($C$6="Laboral",[1]Input!$A$4:$Y$227,IF($C$6="Sábado",[1]Input!$A$231:$Y$452,[1]Input!$A$456:$Y$656)),VLOOKUP($C$4,[1]Input!$AG$2:$AI$99,3,0)+IF(C$5="Ida",0,1),1),"")</f>
        <v>#N/A</v>
      </c>
      <c r="K196" s="34" t="str">
        <f>IF(A197&lt;&gt;A196,AVERAGEIF(A$9:A196,A196,J$13:J196),"")</f>
        <v/>
      </c>
      <c r="L196" s="35" t="str">
        <f>IFERROR(IF(A197&lt;&gt;A196,AVERAGEIF(A$9:A196,A196,S$13:S196),""),"")</f>
        <v/>
      </c>
      <c r="M196" s="35" t="str">
        <f>IFERROR(IF(A197&lt;&gt;A196,AVERAGEIF(A$9:A196,A196,T$8:T196),""),"")</f>
        <v/>
      </c>
      <c r="N196" s="35" t="str" cm="1">
        <f t="array" ref="N196">IFERROR(IF(A197&lt;&gt;A196,_xlfn.STDEV.P(IF(A$9:A196=A196,T$7:T196)),""),"")</f>
        <v/>
      </c>
      <c r="O196" s="35" t="str" cm="1">
        <f t="array" ref="O196">IFERROR(IF(A197&lt;&gt;A196,_xlfn.STDEV.P(IF(A$9:A196=A196,S$7:S196)),""),"")</f>
        <v/>
      </c>
      <c r="P196" s="36" t="str">
        <f t="shared" si="35"/>
        <v/>
      </c>
      <c r="Q196" s="36" t="str">
        <f t="shared" si="36"/>
        <v/>
      </c>
      <c r="R196" s="36" t="str">
        <f t="shared" si="43"/>
        <v/>
      </c>
      <c r="S196" s="37" t="str">
        <f t="shared" si="44"/>
        <v/>
      </c>
      <c r="T196" s="37" t="str">
        <f t="shared" si="37"/>
        <v/>
      </c>
      <c r="U196" s="54"/>
      <c r="V196" s="46"/>
      <c r="W196" s="39" t="str">
        <f t="shared" si="45"/>
        <v/>
      </c>
      <c r="X196" s="38"/>
      <c r="Y196" s="48"/>
      <c r="AB196" s="56">
        <f t="shared" si="46"/>
        <v>1</v>
      </c>
      <c r="AC196" s="52"/>
      <c r="AD196" s="52"/>
      <c r="AE196" s="29" t="str">
        <f>IFERROR(
IF(AND(OR(AC196="C",AC196="c"), VLOOKUP(AF196,[1]Diccionario!B:N,13,0)="C"), "OK",IF(AND(OR(AC196="C",AC196="c"), OR(VLOOKUP(AF196,[1]Diccionario!B:N,13,0)="B", VLOOKUP(AF196,[1]Diccionario!B:N,13,0)="A")), "DEFICIT",IF(
AND(OR(AC196="B", AC196="BPAL"), VLOOKUP(AF196,[1]Diccionario!B:N,13,0)="B"), "OK",IF(AND(OR(AC196="B", AC196="BPAL"), VLOOKUP(AF196,[1]Diccionario!B:N,13,0)="A"), "DEFICIT",IF(AND(OR(AC196="B", AC196="BPAL"), VLOOKUP(AF196,[1]Diccionario!B:N,13,0)="C"), "SOBREOFERTA",IF(AND(AC196="A", VLOOKUP(AF196,[1]Diccionario!B:N,13,0)="A"), "OK",IF(
AND(AC196="A", OR(VLOOKUP(AF196,[1]Diccionario!B:N,13,0)="B", VLOOKUP(AF196,[1]Diccionario!B:N,13,0)="C")), "SOBREOFERTA",""
))))))),"")</f>
        <v/>
      </c>
      <c r="AF196" s="48"/>
      <c r="AG196" s="53"/>
      <c r="AH196" s="54"/>
      <c r="AI196" s="55" t="str">
        <f t="shared" si="47"/>
        <v/>
      </c>
      <c r="AJ196" s="46"/>
      <c r="AK196" s="34" t="e">
        <f>IF(AB196&lt;&gt;"",HLOOKUP(VALUE(TEXT(AH196,"h:mm:ss")),IF($C$6="Laboral",[1]Input!$A$4:$Y$227,IF($C$6="Sábado",[1]Input!$A$231:$Y$452,[1]Input!$A$456:$Y$656)),VLOOKUP($C$4,[1]Input!$AG$2:$AI$99,3,0)+IF(AD$5="Ida",0,1),1),"")</f>
        <v>#N/A</v>
      </c>
      <c r="AL196" s="34" t="str">
        <f>IF(AB197&lt;&gt;AB196,AVERAGEIF(AB$9:AB196,AB196,AK$9:AK196),"")</f>
        <v/>
      </c>
      <c r="AM196" s="35" t="str">
        <f>IFERROR(IF(AB197&lt;&gt;AB196,AVERAGEIF(AB$9:AB196,AB196,AT$9:AT196),""),"")</f>
        <v/>
      </c>
      <c r="AN196" s="35" t="str">
        <f>IFERROR(IF(AB197&lt;&gt;AB196,AVERAGEIF(AB$9:AB196,AB196,AU$9:AU196),""),"")</f>
        <v/>
      </c>
      <c r="AO196" s="35" t="str" cm="1">
        <f t="array" ref="AO196">IFERROR(IF(AB197&lt;&gt;AB196,_xlfn.STDEV.P(IF(AB$9:AB196=AB196,AU$9:AU196)),""),"")</f>
        <v/>
      </c>
      <c r="AP196" s="35" t="str" cm="1">
        <f t="array" ref="AP196">IFERROR(IF(AB197&lt;&gt;AB196,_xlfn.STDEV.P(IF(AB$9:AB196=AB196,AT$9:AT196)),""),"")</f>
        <v/>
      </c>
      <c r="AQ196" s="36" t="str">
        <f t="shared" si="38"/>
        <v/>
      </c>
      <c r="AR196" s="36" t="str">
        <f t="shared" si="39"/>
        <v/>
      </c>
      <c r="AS196" s="36" t="str">
        <f t="shared" si="48"/>
        <v/>
      </c>
      <c r="AT196" s="37" t="str">
        <f t="shared" si="40"/>
        <v/>
      </c>
      <c r="AU196" s="37" t="str">
        <f t="shared" si="41"/>
        <v/>
      </c>
      <c r="AV196" s="54"/>
      <c r="AW196" s="46"/>
      <c r="AX196" s="39" t="str" cm="1">
        <f t="array" ref="AX196">IF(AH196&lt;&gt;"",IF(AND(AX194:AX195&lt;&gt;"IE",AQ196&lt;&gt;0,AS196&lt;&gt;""),IF(IFERROR((AQ196/AS196),0) &lt;=1,IFERROR(AQ196/AS196,""),1),""),"")</f>
        <v/>
      </c>
      <c r="AY196" s="46"/>
      <c r="AZ196" s="57"/>
    </row>
    <row r="197" spans="1:52" ht="15.5" x14ac:dyDescent="0.35">
      <c r="A197" s="51">
        <f t="shared" si="49"/>
        <v>1</v>
      </c>
      <c r="B197" s="52"/>
      <c r="C197" s="52"/>
      <c r="D197" s="29" t="str">
        <f>IFERROR(
IF(AND(OR(Planilla!B197="C",Planilla!B197="c"), VLOOKUP(E197,[1]Diccionario!B:N,13,0)="C"), "OK",IF(AND(OR(Planilla!B197="C",Planilla!B197="c"), OR(VLOOKUP(E197,[1]Diccionario!B:N,13,0)="B", VLOOKUP(E197,[1]Diccionario!B:N,13,0)="A")), "DEFICIT",IF(
AND(OR(Planilla!B197="B", Planilla!B197="BPAL"), VLOOKUP(E197,[1]Diccionario!B:N,13,0)="B"), "OK",IF(AND(OR(Planilla!B197="B", Planilla!B197="BPAL"), VLOOKUP(E197,[1]Diccionario!B:N,13,0)="A"), "DEFICIT",IF(AND(OR(Planilla!B197="B", Planilla!B197="BPAL"), VLOOKUP(E197,[1]Diccionario!B:N,13,0)="C"), "SOBREOFERTA",IF(AND(Planilla!B197="A", VLOOKUP(E197,[1]Diccionario!B:N,13,0)="A"), "OK",IF(
AND(Planilla!B197="A", OR(VLOOKUP(E197,[1]Diccionario!B:N,13,0)="B", VLOOKUP(E197,[1]Diccionario!B:N,13,0)="C")), "SOBREOFERTA",""
))))))),"")</f>
        <v/>
      </c>
      <c r="E197" s="48"/>
      <c r="F197" s="53"/>
      <c r="G197" s="54"/>
      <c r="H197" s="55" t="str">
        <f t="shared" si="42"/>
        <v/>
      </c>
      <c r="I197" s="35"/>
      <c r="J197" s="34" t="e">
        <f>IF(A197&lt;&gt;"",HLOOKUP(VALUE(TEXT(G197,"h:mm:ss")),IF($C$6="Laboral",[1]Input!$A$4:$Y$227,IF($C$6="Sábado",[1]Input!$A$231:$Y$452,[1]Input!$A$456:$Y$656)),VLOOKUP($C$4,[1]Input!$AG$2:$AI$99,3,0)+IF(C$5="Ida",0,1),1),"")</f>
        <v>#N/A</v>
      </c>
      <c r="K197" s="34" t="str">
        <f>IF(A198&lt;&gt;A197,AVERAGEIF(A$9:A197,A197,J$13:J197),"")</f>
        <v/>
      </c>
      <c r="L197" s="35" t="str">
        <f>IFERROR(IF(A198&lt;&gt;A197,AVERAGEIF(A$9:A197,A197,S$13:S197),""),"")</f>
        <v/>
      </c>
      <c r="M197" s="35" t="str">
        <f>IFERROR(IF(A198&lt;&gt;A197,AVERAGEIF(A$9:A197,A197,T$8:T197),""),"")</f>
        <v/>
      </c>
      <c r="N197" s="35" t="str" cm="1">
        <f t="array" ref="N197">IFERROR(IF(A198&lt;&gt;A197,_xlfn.STDEV.P(IF(A$9:A197=A197,T$7:T197)),""),"")</f>
        <v/>
      </c>
      <c r="O197" s="35" t="str" cm="1">
        <f t="array" ref="O197">IFERROR(IF(A198&lt;&gt;A197,_xlfn.STDEV.P(IF(A$9:A197=A197,S$7:S197)),""),"")</f>
        <v/>
      </c>
      <c r="P197" s="36" t="str">
        <f t="shared" si="35"/>
        <v/>
      </c>
      <c r="Q197" s="36" t="str">
        <f t="shared" si="36"/>
        <v/>
      </c>
      <c r="R197" s="36" t="str">
        <f t="shared" si="43"/>
        <v/>
      </c>
      <c r="S197" s="37" t="str">
        <f t="shared" si="44"/>
        <v/>
      </c>
      <c r="T197" s="37" t="str">
        <f t="shared" si="37"/>
        <v/>
      </c>
      <c r="U197" s="54"/>
      <c r="V197" s="46"/>
      <c r="W197" s="39" t="str">
        <f t="shared" si="45"/>
        <v/>
      </c>
      <c r="X197" s="38"/>
      <c r="Y197" s="48"/>
      <c r="AB197" s="56">
        <f t="shared" si="46"/>
        <v>1</v>
      </c>
      <c r="AC197" s="52"/>
      <c r="AD197" s="52"/>
      <c r="AE197" s="29" t="str">
        <f>IFERROR(
IF(AND(OR(AC197="C",AC197="c"), VLOOKUP(AF197,[1]Diccionario!B:N,13,0)="C"), "OK",IF(AND(OR(AC197="C",AC197="c"), OR(VLOOKUP(AF197,[1]Diccionario!B:N,13,0)="B", VLOOKUP(AF197,[1]Diccionario!B:N,13,0)="A")), "DEFICIT",IF(
AND(OR(AC197="B", AC197="BPAL"), VLOOKUP(AF197,[1]Diccionario!B:N,13,0)="B"), "OK",IF(AND(OR(AC197="B", AC197="BPAL"), VLOOKUP(AF197,[1]Diccionario!B:N,13,0)="A"), "DEFICIT",IF(AND(OR(AC197="B", AC197="BPAL"), VLOOKUP(AF197,[1]Diccionario!B:N,13,0)="C"), "SOBREOFERTA",IF(AND(AC197="A", VLOOKUP(AF197,[1]Diccionario!B:N,13,0)="A"), "OK",IF(
AND(AC197="A", OR(VLOOKUP(AF197,[1]Diccionario!B:N,13,0)="B", VLOOKUP(AF197,[1]Diccionario!B:N,13,0)="C")), "SOBREOFERTA",""
))))))),"")</f>
        <v/>
      </c>
      <c r="AF197" s="48"/>
      <c r="AG197" s="53"/>
      <c r="AH197" s="54"/>
      <c r="AI197" s="55" t="str">
        <f t="shared" si="47"/>
        <v/>
      </c>
      <c r="AJ197" s="46"/>
      <c r="AK197" s="34" t="e">
        <f>IF(AB197&lt;&gt;"",HLOOKUP(VALUE(TEXT(AH197,"h:mm:ss")),IF($C$6="Laboral",[1]Input!$A$4:$Y$227,IF($C$6="Sábado",[1]Input!$A$231:$Y$452,[1]Input!$A$456:$Y$656)),VLOOKUP($C$4,[1]Input!$AG$2:$AI$99,3,0)+IF(AD$5="Ida",0,1),1),"")</f>
        <v>#N/A</v>
      </c>
      <c r="AL197" s="34" t="str">
        <f>IF(AB198&lt;&gt;AB197,AVERAGEIF(AB$9:AB197,AB197,AK$9:AK197),"")</f>
        <v/>
      </c>
      <c r="AM197" s="35" t="str">
        <f>IFERROR(IF(AB198&lt;&gt;AB197,AVERAGEIF(AB$9:AB197,AB197,AT$9:AT197),""),"")</f>
        <v/>
      </c>
      <c r="AN197" s="35" t="str">
        <f>IFERROR(IF(AB198&lt;&gt;AB197,AVERAGEIF(AB$9:AB197,AB197,AU$9:AU197),""),"")</f>
        <v/>
      </c>
      <c r="AO197" s="35" t="str" cm="1">
        <f t="array" ref="AO197">IFERROR(IF(AB198&lt;&gt;AB197,_xlfn.STDEV.P(IF(AB$9:AB197=AB197,AU$9:AU197)),""),"")</f>
        <v/>
      </c>
      <c r="AP197" s="35" t="str" cm="1">
        <f t="array" ref="AP197">IFERROR(IF(AB198&lt;&gt;AB197,_xlfn.STDEV.P(IF(AB$9:AB197=AB197,AT$9:AT197)),""),"")</f>
        <v/>
      </c>
      <c r="AQ197" s="36" t="str">
        <f t="shared" si="38"/>
        <v/>
      </c>
      <c r="AR197" s="36" t="str">
        <f t="shared" si="39"/>
        <v/>
      </c>
      <c r="AS197" s="36" t="str">
        <f t="shared" si="48"/>
        <v/>
      </c>
      <c r="AT197" s="37" t="str">
        <f t="shared" si="40"/>
        <v/>
      </c>
      <c r="AU197" s="37" t="str">
        <f t="shared" si="41"/>
        <v/>
      </c>
      <c r="AV197" s="54"/>
      <c r="AW197" s="46"/>
      <c r="AX197" s="39" t="str" cm="1">
        <f t="array" ref="AX197">IF(AH197&lt;&gt;"",IF(AND(AX195:AX196&lt;&gt;"IE",AQ197&lt;&gt;0,AS197&lt;&gt;""),IF(IFERROR((AQ197/AS197),0) &lt;=1,IFERROR(AQ197/AS197,""),1),""),"")</f>
        <v/>
      </c>
      <c r="AY197" s="46"/>
      <c r="AZ197" s="57"/>
    </row>
    <row r="198" spans="1:52" ht="15.5" x14ac:dyDescent="0.35">
      <c r="A198" s="51">
        <f t="shared" si="49"/>
        <v>1</v>
      </c>
      <c r="B198" s="52"/>
      <c r="C198" s="52"/>
      <c r="D198" s="29" t="str">
        <f>IFERROR(
IF(AND(OR(Planilla!B198="C",Planilla!B198="c"), VLOOKUP(E198,[1]Diccionario!B:N,13,0)="C"), "OK",IF(AND(OR(Planilla!B198="C",Planilla!B198="c"), OR(VLOOKUP(E198,[1]Diccionario!B:N,13,0)="B", VLOOKUP(E198,[1]Diccionario!B:N,13,0)="A")), "DEFICIT",IF(
AND(OR(Planilla!B198="B", Planilla!B198="BPAL"), VLOOKUP(E198,[1]Diccionario!B:N,13,0)="B"), "OK",IF(AND(OR(Planilla!B198="B", Planilla!B198="BPAL"), VLOOKUP(E198,[1]Diccionario!B:N,13,0)="A"), "DEFICIT",IF(AND(OR(Planilla!B198="B", Planilla!B198="BPAL"), VLOOKUP(E198,[1]Diccionario!B:N,13,0)="C"), "SOBREOFERTA",IF(AND(Planilla!B198="A", VLOOKUP(E198,[1]Diccionario!B:N,13,0)="A"), "OK",IF(
AND(Planilla!B198="A", OR(VLOOKUP(E198,[1]Diccionario!B:N,13,0)="B", VLOOKUP(E198,[1]Diccionario!B:N,13,0)="C")), "SOBREOFERTA",""
))))))),"")</f>
        <v/>
      </c>
      <c r="E198" s="48"/>
      <c r="F198" s="53"/>
      <c r="G198" s="54"/>
      <c r="H198" s="55" t="str">
        <f t="shared" si="42"/>
        <v/>
      </c>
      <c r="I198" s="35"/>
      <c r="J198" s="34" t="e">
        <f>IF(A198&lt;&gt;"",HLOOKUP(VALUE(TEXT(G198,"h:mm:ss")),IF($C$6="Laboral",[1]Input!$A$4:$Y$227,IF($C$6="Sábado",[1]Input!$A$231:$Y$452,[1]Input!$A$456:$Y$656)),VLOOKUP($C$4,[1]Input!$AG$2:$AI$99,3,0)+IF(C$5="Ida",0,1),1),"")</f>
        <v>#N/A</v>
      </c>
      <c r="K198" s="34" t="str">
        <f>IF(A199&lt;&gt;A198,AVERAGEIF(A$9:A198,A198,J$13:J198),"")</f>
        <v/>
      </c>
      <c r="L198" s="35" t="str">
        <f>IFERROR(IF(A199&lt;&gt;A198,AVERAGEIF(A$9:A198,A198,S$13:S198),""),"")</f>
        <v/>
      </c>
      <c r="M198" s="35" t="str">
        <f>IFERROR(IF(A199&lt;&gt;A198,AVERAGEIF(A$9:A198,A198,T$8:T198),""),"")</f>
        <v/>
      </c>
      <c r="N198" s="35" t="str" cm="1">
        <f t="array" ref="N198">IFERROR(IF(A199&lt;&gt;A198,_xlfn.STDEV.P(IF(A$9:A198=A198,T$7:T198)),""),"")</f>
        <v/>
      </c>
      <c r="O198" s="35" t="str" cm="1">
        <f t="array" ref="O198">IFERROR(IF(A199&lt;&gt;A198,_xlfn.STDEV.P(IF(A$9:A198=A198,S$7:S198)),""),"")</f>
        <v/>
      </c>
      <c r="P198" s="36" t="str">
        <f t="shared" si="35"/>
        <v/>
      </c>
      <c r="Q198" s="36" t="str">
        <f t="shared" si="36"/>
        <v/>
      </c>
      <c r="R198" s="36" t="str">
        <f t="shared" si="43"/>
        <v/>
      </c>
      <c r="S198" s="37" t="str">
        <f t="shared" si="44"/>
        <v/>
      </c>
      <c r="T198" s="37" t="str">
        <f t="shared" si="37"/>
        <v/>
      </c>
      <c r="U198" s="54"/>
      <c r="V198" s="46"/>
      <c r="W198" s="39" t="str">
        <f t="shared" si="45"/>
        <v/>
      </c>
      <c r="X198" s="38"/>
      <c r="Y198" s="48"/>
      <c r="AB198" s="56">
        <f t="shared" si="46"/>
        <v>1</v>
      </c>
      <c r="AC198" s="52"/>
      <c r="AD198" s="52"/>
      <c r="AE198" s="29" t="str">
        <f>IFERROR(
IF(AND(OR(AC198="C",AC198="c"), VLOOKUP(AF198,[1]Diccionario!B:N,13,0)="C"), "OK",IF(AND(OR(AC198="C",AC198="c"), OR(VLOOKUP(AF198,[1]Diccionario!B:N,13,0)="B", VLOOKUP(AF198,[1]Diccionario!B:N,13,0)="A")), "DEFICIT",IF(
AND(OR(AC198="B", AC198="BPAL"), VLOOKUP(AF198,[1]Diccionario!B:N,13,0)="B"), "OK",IF(AND(OR(AC198="B", AC198="BPAL"), VLOOKUP(AF198,[1]Diccionario!B:N,13,0)="A"), "DEFICIT",IF(AND(OR(AC198="B", AC198="BPAL"), VLOOKUP(AF198,[1]Diccionario!B:N,13,0)="C"), "SOBREOFERTA",IF(AND(AC198="A", VLOOKUP(AF198,[1]Diccionario!B:N,13,0)="A"), "OK",IF(
AND(AC198="A", OR(VLOOKUP(AF198,[1]Diccionario!B:N,13,0)="B", VLOOKUP(AF198,[1]Diccionario!B:N,13,0)="C")), "SOBREOFERTA",""
))))))),"")</f>
        <v/>
      </c>
      <c r="AF198" s="48"/>
      <c r="AG198" s="53"/>
      <c r="AH198" s="54"/>
      <c r="AI198" s="55" t="str">
        <f t="shared" si="47"/>
        <v/>
      </c>
      <c r="AJ198" s="46"/>
      <c r="AK198" s="34" t="e">
        <f>IF(AB198&lt;&gt;"",HLOOKUP(VALUE(TEXT(AH198,"h:mm:ss")),IF($C$6="Laboral",[1]Input!$A$4:$Y$227,IF($C$6="Sábado",[1]Input!$A$231:$Y$452,[1]Input!$A$456:$Y$656)),VLOOKUP($C$4,[1]Input!$AG$2:$AI$99,3,0)+IF(AD$5="Ida",0,1),1),"")</f>
        <v>#N/A</v>
      </c>
      <c r="AL198" s="34" t="str">
        <f>IF(AB199&lt;&gt;AB198,AVERAGEIF(AB$9:AB198,AB198,AK$9:AK198),"")</f>
        <v/>
      </c>
      <c r="AM198" s="35" t="str">
        <f>IFERROR(IF(AB199&lt;&gt;AB198,AVERAGEIF(AB$9:AB198,AB198,AT$9:AT198),""),"")</f>
        <v/>
      </c>
      <c r="AN198" s="35" t="str">
        <f>IFERROR(IF(AB199&lt;&gt;AB198,AVERAGEIF(AB$9:AB198,AB198,AU$9:AU198),""),"")</f>
        <v/>
      </c>
      <c r="AO198" s="35" t="str" cm="1">
        <f t="array" ref="AO198">IFERROR(IF(AB199&lt;&gt;AB198,_xlfn.STDEV.P(IF(AB$9:AB198=AB198,AU$9:AU198)),""),"")</f>
        <v/>
      </c>
      <c r="AP198" s="35" t="str" cm="1">
        <f t="array" ref="AP198">IFERROR(IF(AB199&lt;&gt;AB198,_xlfn.STDEV.P(IF(AB$9:AB198=AB198,AT$9:AT198)),""),"")</f>
        <v/>
      </c>
      <c r="AQ198" s="36" t="str">
        <f t="shared" si="38"/>
        <v/>
      </c>
      <c r="AR198" s="36" t="str">
        <f t="shared" si="39"/>
        <v/>
      </c>
      <c r="AS198" s="36" t="str">
        <f t="shared" si="48"/>
        <v/>
      </c>
      <c r="AT198" s="37" t="str">
        <f t="shared" si="40"/>
        <v/>
      </c>
      <c r="AU198" s="37" t="str">
        <f t="shared" si="41"/>
        <v/>
      </c>
      <c r="AV198" s="54"/>
      <c r="AW198" s="46"/>
      <c r="AX198" s="39" t="str" cm="1">
        <f t="array" ref="AX198">IF(AH198&lt;&gt;"",IF(AND(AX196:AX197&lt;&gt;"IE",AQ198&lt;&gt;0,AS198&lt;&gt;""),IF(IFERROR((AQ198/AS198),0) &lt;=1,IFERROR(AQ198/AS198,""),1),""),"")</f>
        <v/>
      </c>
      <c r="AY198" s="46"/>
      <c r="AZ198" s="57"/>
    </row>
    <row r="199" spans="1:52" ht="15.5" x14ac:dyDescent="0.35">
      <c r="A199" s="51">
        <f t="shared" si="49"/>
        <v>1</v>
      </c>
      <c r="B199" s="52"/>
      <c r="C199" s="52"/>
      <c r="D199" s="29" t="str">
        <f>IFERROR(
IF(AND(OR(Planilla!B199="C",Planilla!B199="c"), VLOOKUP(E199,[1]Diccionario!B:N,13,0)="C"), "OK",IF(AND(OR(Planilla!B199="C",Planilla!B199="c"), OR(VLOOKUP(E199,[1]Diccionario!B:N,13,0)="B", VLOOKUP(E199,[1]Diccionario!B:N,13,0)="A")), "DEFICIT",IF(
AND(OR(Planilla!B199="B", Planilla!B199="BPAL"), VLOOKUP(E199,[1]Diccionario!B:N,13,0)="B"), "OK",IF(AND(OR(Planilla!B199="B", Planilla!B199="BPAL"), VLOOKUP(E199,[1]Diccionario!B:N,13,0)="A"), "DEFICIT",IF(AND(OR(Planilla!B199="B", Planilla!B199="BPAL"), VLOOKUP(E199,[1]Diccionario!B:N,13,0)="C"), "SOBREOFERTA",IF(AND(Planilla!B199="A", VLOOKUP(E199,[1]Diccionario!B:N,13,0)="A"), "OK",IF(
AND(Planilla!B199="A", OR(VLOOKUP(E199,[1]Diccionario!B:N,13,0)="B", VLOOKUP(E199,[1]Diccionario!B:N,13,0)="C")), "SOBREOFERTA",""
))))))),"")</f>
        <v/>
      </c>
      <c r="E199" s="48"/>
      <c r="F199" s="53"/>
      <c r="G199" s="54"/>
      <c r="H199" s="55" t="str">
        <f t="shared" si="42"/>
        <v/>
      </c>
      <c r="I199" s="35"/>
      <c r="J199" s="34" t="e">
        <f>IF(A199&lt;&gt;"",HLOOKUP(VALUE(TEXT(G199,"h:mm:ss")),IF($C$6="Laboral",[1]Input!$A$4:$Y$227,IF($C$6="Sábado",[1]Input!$A$231:$Y$452,[1]Input!$A$456:$Y$656)),VLOOKUP($C$4,[1]Input!$AG$2:$AI$99,3,0)+IF(C$5="Ida",0,1),1),"")</f>
        <v>#N/A</v>
      </c>
      <c r="K199" s="34" t="str">
        <f>IF(A200&lt;&gt;A199,AVERAGEIF(A$9:A199,A199,J$13:J199),"")</f>
        <v/>
      </c>
      <c r="L199" s="35" t="str">
        <f>IFERROR(IF(A200&lt;&gt;A199,AVERAGEIF(A$9:A199,A199,S$13:S199),""),"")</f>
        <v/>
      </c>
      <c r="M199" s="35" t="str">
        <f>IFERROR(IF(A200&lt;&gt;A199,AVERAGEIF(A$9:A199,A199,T$8:T199),""),"")</f>
        <v/>
      </c>
      <c r="N199" s="35" t="str" cm="1">
        <f t="array" ref="N199">IFERROR(IF(A200&lt;&gt;A199,_xlfn.STDEV.P(IF(A$9:A199=A199,T$7:T199)),""),"")</f>
        <v/>
      </c>
      <c r="O199" s="35" t="str" cm="1">
        <f t="array" ref="O199">IFERROR(IF(A200&lt;&gt;A199,_xlfn.STDEV.P(IF(A$9:A199=A199,S$7:S199)),""),"")</f>
        <v/>
      </c>
      <c r="P199" s="36" t="str">
        <f t="shared" si="35"/>
        <v/>
      </c>
      <c r="Q199" s="36" t="str">
        <f t="shared" si="36"/>
        <v/>
      </c>
      <c r="R199" s="36" t="str">
        <f t="shared" si="43"/>
        <v/>
      </c>
      <c r="S199" s="37" t="str">
        <f t="shared" si="44"/>
        <v/>
      </c>
      <c r="T199" s="37" t="str">
        <f t="shared" si="37"/>
        <v/>
      </c>
      <c r="U199" s="54"/>
      <c r="V199" s="46"/>
      <c r="W199" s="39" t="str">
        <f t="shared" si="45"/>
        <v/>
      </c>
      <c r="X199" s="38"/>
      <c r="Y199" s="48"/>
      <c r="AB199" s="56">
        <f t="shared" si="46"/>
        <v>1</v>
      </c>
      <c r="AC199" s="52"/>
      <c r="AD199" s="52"/>
      <c r="AE199" s="29" t="str">
        <f>IFERROR(
IF(AND(OR(AC199="C",AC199="c"), VLOOKUP(AF199,[1]Diccionario!B:N,13,0)="C"), "OK",IF(AND(OR(AC199="C",AC199="c"), OR(VLOOKUP(AF199,[1]Diccionario!B:N,13,0)="B", VLOOKUP(AF199,[1]Diccionario!B:N,13,0)="A")), "DEFICIT",IF(
AND(OR(AC199="B", AC199="BPAL"), VLOOKUP(AF199,[1]Diccionario!B:N,13,0)="B"), "OK",IF(AND(OR(AC199="B", AC199="BPAL"), VLOOKUP(AF199,[1]Diccionario!B:N,13,0)="A"), "DEFICIT",IF(AND(OR(AC199="B", AC199="BPAL"), VLOOKUP(AF199,[1]Diccionario!B:N,13,0)="C"), "SOBREOFERTA",IF(AND(AC199="A", VLOOKUP(AF199,[1]Diccionario!B:N,13,0)="A"), "OK",IF(
AND(AC199="A", OR(VLOOKUP(AF199,[1]Diccionario!B:N,13,0)="B", VLOOKUP(AF199,[1]Diccionario!B:N,13,0)="C")), "SOBREOFERTA",""
))))))),"")</f>
        <v/>
      </c>
      <c r="AF199" s="48"/>
      <c r="AG199" s="53"/>
      <c r="AH199" s="54"/>
      <c r="AI199" s="55" t="str">
        <f t="shared" si="47"/>
        <v/>
      </c>
      <c r="AJ199" s="46"/>
      <c r="AK199" s="34" t="e">
        <f>IF(AB199&lt;&gt;"",HLOOKUP(VALUE(TEXT(AH199,"h:mm:ss")),IF($C$6="Laboral",[1]Input!$A$4:$Y$227,IF($C$6="Sábado",[1]Input!$A$231:$Y$452,[1]Input!$A$456:$Y$656)),VLOOKUP($C$4,[1]Input!$AG$2:$AI$99,3,0)+IF(AD$5="Ida",0,1),1),"")</f>
        <v>#N/A</v>
      </c>
      <c r="AL199" s="34" t="str">
        <f>IF(AB200&lt;&gt;AB199,AVERAGEIF(AB$9:AB199,AB199,AK$9:AK199),"")</f>
        <v/>
      </c>
      <c r="AM199" s="35" t="str">
        <f>IFERROR(IF(AB200&lt;&gt;AB199,AVERAGEIF(AB$9:AB199,AB199,AT$9:AT199),""),"")</f>
        <v/>
      </c>
      <c r="AN199" s="35" t="str">
        <f>IFERROR(IF(AB200&lt;&gt;AB199,AVERAGEIF(AB$9:AB199,AB199,AU$9:AU199),""),"")</f>
        <v/>
      </c>
      <c r="AO199" s="35" t="str" cm="1">
        <f t="array" ref="AO199">IFERROR(IF(AB200&lt;&gt;AB199,_xlfn.STDEV.P(IF(AB$9:AB199=AB199,AU$9:AU199)),""),"")</f>
        <v/>
      </c>
      <c r="AP199" s="35" t="str" cm="1">
        <f t="array" ref="AP199">IFERROR(IF(AB200&lt;&gt;AB199,_xlfn.STDEV.P(IF(AB$9:AB199=AB199,AT$9:AT199)),""),"")</f>
        <v/>
      </c>
      <c r="AQ199" s="36" t="str">
        <f t="shared" si="38"/>
        <v/>
      </c>
      <c r="AR199" s="36" t="str">
        <f t="shared" si="39"/>
        <v/>
      </c>
      <c r="AS199" s="36" t="str">
        <f t="shared" si="48"/>
        <v/>
      </c>
      <c r="AT199" s="37" t="str">
        <f t="shared" si="40"/>
        <v/>
      </c>
      <c r="AU199" s="37" t="str">
        <f t="shared" si="41"/>
        <v/>
      </c>
      <c r="AV199" s="54"/>
      <c r="AW199" s="46"/>
      <c r="AX199" s="39" t="str" cm="1">
        <f t="array" ref="AX199">IF(AH199&lt;&gt;"",IF(AND(AX197:AX198&lt;&gt;"IE",AQ199&lt;&gt;0,AS199&lt;&gt;""),IF(IFERROR((AQ199/AS199),0) &lt;=1,IFERROR(AQ199/AS199,""),1),""),"")</f>
        <v/>
      </c>
      <c r="AY199" s="46"/>
      <c r="AZ199" s="57"/>
    </row>
    <row r="200" spans="1:52" ht="15.5" x14ac:dyDescent="0.35">
      <c r="A200" s="51">
        <f t="shared" si="49"/>
        <v>1</v>
      </c>
      <c r="B200" s="52"/>
      <c r="C200" s="52"/>
      <c r="D200" s="29" t="str">
        <f>IFERROR(
IF(AND(OR(Planilla!B200="C",Planilla!B200="c"), VLOOKUP(E200,[1]Diccionario!B:N,13,0)="C"), "OK",IF(AND(OR(Planilla!B200="C",Planilla!B200="c"), OR(VLOOKUP(E200,[1]Diccionario!B:N,13,0)="B", VLOOKUP(E200,[1]Diccionario!B:N,13,0)="A")), "DEFICIT",IF(
AND(OR(Planilla!B200="B", Planilla!B200="BPAL"), VLOOKUP(E200,[1]Diccionario!B:N,13,0)="B"), "OK",IF(AND(OR(Planilla!B200="B", Planilla!B200="BPAL"), VLOOKUP(E200,[1]Diccionario!B:N,13,0)="A"), "DEFICIT",IF(AND(OR(Planilla!B200="B", Planilla!B200="BPAL"), VLOOKUP(E200,[1]Diccionario!B:N,13,0)="C"), "SOBREOFERTA",IF(AND(Planilla!B200="A", VLOOKUP(E200,[1]Diccionario!B:N,13,0)="A"), "OK",IF(
AND(Planilla!B200="A", OR(VLOOKUP(E200,[1]Diccionario!B:N,13,0)="B", VLOOKUP(E200,[1]Diccionario!B:N,13,0)="C")), "SOBREOFERTA",""
))))))),"")</f>
        <v/>
      </c>
      <c r="E200" s="48"/>
      <c r="F200" s="53"/>
      <c r="G200" s="54"/>
      <c r="H200" s="55" t="str">
        <f t="shared" si="42"/>
        <v/>
      </c>
      <c r="I200" s="35"/>
      <c r="J200" s="34" t="e">
        <f>IF(A200&lt;&gt;"",HLOOKUP(VALUE(TEXT(G200,"h:mm:ss")),IF($C$6="Laboral",[1]Input!$A$4:$Y$227,IF($C$6="Sábado",[1]Input!$A$231:$Y$452,[1]Input!$A$456:$Y$656)),VLOOKUP($C$4,[1]Input!$AG$2:$AI$99,3,0)+IF(C$5="Ida",0,1),1),"")</f>
        <v>#N/A</v>
      </c>
      <c r="K200" s="34" t="str">
        <f>IF(A201&lt;&gt;A200,AVERAGEIF(A$9:A200,A200,J$13:J200),"")</f>
        <v/>
      </c>
      <c r="L200" s="35" t="str">
        <f>IFERROR(IF(A201&lt;&gt;A200,AVERAGEIF(A$9:A200,A200,S$13:S200),""),"")</f>
        <v/>
      </c>
      <c r="M200" s="35" t="str">
        <f>IFERROR(IF(A201&lt;&gt;A200,AVERAGEIF(A$9:A200,A200,T$8:T200),""),"")</f>
        <v/>
      </c>
      <c r="N200" s="35" t="str" cm="1">
        <f t="array" ref="N200">IFERROR(IF(A201&lt;&gt;A200,_xlfn.STDEV.P(IF(A$9:A200=A200,T$7:T200)),""),"")</f>
        <v/>
      </c>
      <c r="O200" s="35" t="str" cm="1">
        <f t="array" ref="O200">IFERROR(IF(A201&lt;&gt;A200,_xlfn.STDEV.P(IF(A$9:A200=A200,S$7:S200)),""),"")</f>
        <v/>
      </c>
      <c r="P200" s="36" t="str">
        <f t="shared" si="35"/>
        <v/>
      </c>
      <c r="Q200" s="36" t="str">
        <f t="shared" si="36"/>
        <v/>
      </c>
      <c r="R200" s="36" t="str">
        <f t="shared" si="43"/>
        <v/>
      </c>
      <c r="S200" s="37" t="str">
        <f t="shared" si="44"/>
        <v/>
      </c>
      <c r="T200" s="37" t="str">
        <f t="shared" si="37"/>
        <v/>
      </c>
      <c r="U200" s="54"/>
      <c r="V200" s="46"/>
      <c r="W200" s="39" t="str">
        <f t="shared" si="45"/>
        <v/>
      </c>
      <c r="X200" s="38"/>
      <c r="Y200" s="48"/>
      <c r="AB200" s="56">
        <f t="shared" si="46"/>
        <v>1</v>
      </c>
      <c r="AC200" s="52"/>
      <c r="AD200" s="52"/>
      <c r="AE200" s="29" t="str">
        <f>IFERROR(
IF(AND(OR(AC200="C",AC200="c"), VLOOKUP(AF200,[1]Diccionario!B:N,13,0)="C"), "OK",IF(AND(OR(AC200="C",AC200="c"), OR(VLOOKUP(AF200,[1]Diccionario!B:N,13,0)="B", VLOOKUP(AF200,[1]Diccionario!B:N,13,0)="A")), "DEFICIT",IF(
AND(OR(AC200="B", AC200="BPAL"), VLOOKUP(AF200,[1]Diccionario!B:N,13,0)="B"), "OK",IF(AND(OR(AC200="B", AC200="BPAL"), VLOOKUP(AF200,[1]Diccionario!B:N,13,0)="A"), "DEFICIT",IF(AND(OR(AC200="B", AC200="BPAL"), VLOOKUP(AF200,[1]Diccionario!B:N,13,0)="C"), "SOBREOFERTA",IF(AND(AC200="A", VLOOKUP(AF200,[1]Diccionario!B:N,13,0)="A"), "OK",IF(
AND(AC200="A", OR(VLOOKUP(AF200,[1]Diccionario!B:N,13,0)="B", VLOOKUP(AF200,[1]Diccionario!B:N,13,0)="C")), "SOBREOFERTA",""
))))))),"")</f>
        <v/>
      </c>
      <c r="AF200" s="48"/>
      <c r="AG200" s="53"/>
      <c r="AH200" s="54"/>
      <c r="AI200" s="55" t="str">
        <f t="shared" si="47"/>
        <v/>
      </c>
      <c r="AJ200" s="46"/>
      <c r="AK200" s="34" t="e">
        <f>IF(AB200&lt;&gt;"",HLOOKUP(VALUE(TEXT(AH200,"h:mm:ss")),IF($C$6="Laboral",[1]Input!$A$4:$Y$227,IF($C$6="Sábado",[1]Input!$A$231:$Y$452,[1]Input!$A$456:$Y$656)),VLOOKUP($C$4,[1]Input!$AG$2:$AI$99,3,0)+IF(AD$5="Ida",0,1),1),"")</f>
        <v>#N/A</v>
      </c>
      <c r="AL200" s="34" t="str">
        <f>IF(AB201&lt;&gt;AB200,AVERAGEIF(AB$9:AB200,AB200,AK$9:AK200),"")</f>
        <v/>
      </c>
      <c r="AM200" s="35" t="str">
        <f>IFERROR(IF(AB201&lt;&gt;AB200,AVERAGEIF(AB$9:AB200,AB200,AT$9:AT200),""),"")</f>
        <v/>
      </c>
      <c r="AN200" s="35" t="str">
        <f>IFERROR(IF(AB201&lt;&gt;AB200,AVERAGEIF(AB$9:AB200,AB200,AU$9:AU200),""),"")</f>
        <v/>
      </c>
      <c r="AO200" s="35" t="str" cm="1">
        <f t="array" ref="AO200">IFERROR(IF(AB201&lt;&gt;AB200,_xlfn.STDEV.P(IF(AB$9:AB200=AB200,AU$9:AU200)),""),"")</f>
        <v/>
      </c>
      <c r="AP200" s="35" t="str" cm="1">
        <f t="array" ref="AP200">IFERROR(IF(AB201&lt;&gt;AB200,_xlfn.STDEV.P(IF(AB$9:AB200=AB200,AT$9:AT200)),""),"")</f>
        <v/>
      </c>
      <c r="AQ200" s="36" t="str">
        <f t="shared" si="38"/>
        <v/>
      </c>
      <c r="AR200" s="36" t="str">
        <f t="shared" si="39"/>
        <v/>
      </c>
      <c r="AS200" s="36" t="str">
        <f t="shared" si="48"/>
        <v/>
      </c>
      <c r="AT200" s="37" t="str">
        <f t="shared" si="40"/>
        <v/>
      </c>
      <c r="AU200" s="37" t="str">
        <f t="shared" si="41"/>
        <v/>
      </c>
      <c r="AV200" s="54"/>
      <c r="AW200" s="46"/>
      <c r="AX200" s="39" t="str" cm="1">
        <f t="array" ref="AX200">IF(AH200&lt;&gt;"",IF(AND(AX198:AX199&lt;&gt;"IE",AQ200&lt;&gt;0,AS200&lt;&gt;""),IF(IFERROR((AQ200/AS200),0) &lt;=1,IFERROR(AQ200/AS200,""),1),""),"")</f>
        <v/>
      </c>
      <c r="AY200" s="46"/>
      <c r="AZ200" s="57"/>
    </row>
    <row r="201" spans="1:52" ht="15.5" x14ac:dyDescent="0.35">
      <c r="A201" s="51">
        <f t="shared" si="49"/>
        <v>1</v>
      </c>
      <c r="B201" s="52"/>
      <c r="C201" s="52"/>
      <c r="D201" s="29" t="str">
        <f>IFERROR(
IF(AND(OR(Planilla!B201="C",Planilla!B201="c"), VLOOKUP(E201,[1]Diccionario!B:N,13,0)="C"), "OK",IF(AND(OR(Planilla!B201="C",Planilla!B201="c"), OR(VLOOKUP(E201,[1]Diccionario!B:N,13,0)="B", VLOOKUP(E201,[1]Diccionario!B:N,13,0)="A")), "DEFICIT",IF(
AND(OR(Planilla!B201="B", Planilla!B201="BPAL"), VLOOKUP(E201,[1]Diccionario!B:N,13,0)="B"), "OK",IF(AND(OR(Planilla!B201="B", Planilla!B201="BPAL"), VLOOKUP(E201,[1]Diccionario!B:N,13,0)="A"), "DEFICIT",IF(AND(OR(Planilla!B201="B", Planilla!B201="BPAL"), VLOOKUP(E201,[1]Diccionario!B:N,13,0)="C"), "SOBREOFERTA",IF(AND(Planilla!B201="A", VLOOKUP(E201,[1]Diccionario!B:N,13,0)="A"), "OK",IF(
AND(Planilla!B201="A", OR(VLOOKUP(E201,[1]Diccionario!B:N,13,0)="B", VLOOKUP(E201,[1]Diccionario!B:N,13,0)="C")), "SOBREOFERTA",""
))))))),"")</f>
        <v/>
      </c>
      <c r="E201" s="48"/>
      <c r="F201" s="53"/>
      <c r="G201" s="54"/>
      <c r="H201" s="55" t="str">
        <f t="shared" si="42"/>
        <v/>
      </c>
      <c r="I201" s="35"/>
      <c r="J201" s="34" t="e">
        <f>IF(A201&lt;&gt;"",HLOOKUP(VALUE(TEXT(G201,"h:mm:ss")),IF($C$6="Laboral",[1]Input!$A$4:$Y$227,IF($C$6="Sábado",[1]Input!$A$231:$Y$452,[1]Input!$A$456:$Y$656)),VLOOKUP($C$4,[1]Input!$AG$2:$AI$99,3,0)+IF(C$5="Ida",0,1),1),"")</f>
        <v>#N/A</v>
      </c>
      <c r="K201" s="34" t="str">
        <f>IF(A202&lt;&gt;A201,AVERAGEIF(A$9:A201,A201,J$13:J201),"")</f>
        <v/>
      </c>
      <c r="L201" s="35" t="str">
        <f>IFERROR(IF(A202&lt;&gt;A201,AVERAGEIF(A$9:A201,A201,S$13:S201),""),"")</f>
        <v/>
      </c>
      <c r="M201" s="35" t="str">
        <f>IFERROR(IF(A202&lt;&gt;A201,AVERAGEIF(A$9:A201,A201,T$8:T201),""),"")</f>
        <v/>
      </c>
      <c r="N201" s="35" t="str" cm="1">
        <f t="array" ref="N201">IFERROR(IF(A202&lt;&gt;A201,_xlfn.STDEV.P(IF(A$9:A201=A201,T$7:T201)),""),"")</f>
        <v/>
      </c>
      <c r="O201" s="35" t="str" cm="1">
        <f t="array" ref="O201">IFERROR(IF(A202&lt;&gt;A201,_xlfn.STDEV.P(IF(A$9:A201=A201,S$7:S201)),""),"")</f>
        <v/>
      </c>
      <c r="P201" s="36" t="str">
        <f t="shared" si="35"/>
        <v/>
      </c>
      <c r="Q201" s="36" t="str">
        <f t="shared" si="36"/>
        <v/>
      </c>
      <c r="R201" s="36" t="str">
        <f t="shared" si="43"/>
        <v/>
      </c>
      <c r="S201" s="37" t="str">
        <f t="shared" si="44"/>
        <v/>
      </c>
      <c r="T201" s="37" t="str">
        <f t="shared" si="37"/>
        <v/>
      </c>
      <c r="U201" s="54"/>
      <c r="V201" s="46"/>
      <c r="W201" s="39" t="str">
        <f t="shared" si="45"/>
        <v/>
      </c>
      <c r="X201" s="38"/>
      <c r="Y201" s="48"/>
      <c r="AB201" s="56">
        <f t="shared" si="46"/>
        <v>1</v>
      </c>
      <c r="AC201" s="52"/>
      <c r="AD201" s="52"/>
      <c r="AE201" s="29" t="str">
        <f>IFERROR(
IF(AND(OR(AC201="C",AC201="c"), VLOOKUP(AF201,[1]Diccionario!B:N,13,0)="C"), "OK",IF(AND(OR(AC201="C",AC201="c"), OR(VLOOKUP(AF201,[1]Diccionario!B:N,13,0)="B", VLOOKUP(AF201,[1]Diccionario!B:N,13,0)="A")), "DEFICIT",IF(
AND(OR(AC201="B", AC201="BPAL"), VLOOKUP(AF201,[1]Diccionario!B:N,13,0)="B"), "OK",IF(AND(OR(AC201="B", AC201="BPAL"), VLOOKUP(AF201,[1]Diccionario!B:N,13,0)="A"), "DEFICIT",IF(AND(OR(AC201="B", AC201="BPAL"), VLOOKUP(AF201,[1]Diccionario!B:N,13,0)="C"), "SOBREOFERTA",IF(AND(AC201="A", VLOOKUP(AF201,[1]Diccionario!B:N,13,0)="A"), "OK",IF(
AND(AC201="A", OR(VLOOKUP(AF201,[1]Diccionario!B:N,13,0)="B", VLOOKUP(AF201,[1]Diccionario!B:N,13,0)="C")), "SOBREOFERTA",""
))))))),"")</f>
        <v/>
      </c>
      <c r="AF201" s="48"/>
      <c r="AG201" s="53"/>
      <c r="AH201" s="54"/>
      <c r="AI201" s="55" t="str">
        <f t="shared" si="47"/>
        <v/>
      </c>
      <c r="AJ201" s="46"/>
      <c r="AK201" s="34" t="e">
        <f>IF(AB201&lt;&gt;"",HLOOKUP(VALUE(TEXT(AH201,"h:mm:ss")),IF($C$6="Laboral",[1]Input!$A$4:$Y$227,IF($C$6="Sábado",[1]Input!$A$231:$Y$452,[1]Input!$A$456:$Y$656)),VLOOKUP($C$4,[1]Input!$AG$2:$AI$99,3,0)+IF(AD$5="Ida",0,1),1),"")</f>
        <v>#N/A</v>
      </c>
      <c r="AL201" s="34" t="str">
        <f>IF(AB202&lt;&gt;AB201,AVERAGEIF(AB$9:AB201,AB201,AK$9:AK201),"")</f>
        <v/>
      </c>
      <c r="AM201" s="35" t="str">
        <f>IFERROR(IF(AB202&lt;&gt;AB201,AVERAGEIF(AB$9:AB201,AB201,AT$9:AT201),""),"")</f>
        <v/>
      </c>
      <c r="AN201" s="35" t="str">
        <f>IFERROR(IF(AB202&lt;&gt;AB201,AVERAGEIF(AB$9:AB201,AB201,AU$9:AU201),""),"")</f>
        <v/>
      </c>
      <c r="AO201" s="35" t="str" cm="1">
        <f t="array" ref="AO201">IFERROR(IF(AB202&lt;&gt;AB201,_xlfn.STDEV.P(IF(AB$9:AB201=AB201,AU$9:AU201)),""),"")</f>
        <v/>
      </c>
      <c r="AP201" s="35" t="str" cm="1">
        <f t="array" ref="AP201">IFERROR(IF(AB202&lt;&gt;AB201,_xlfn.STDEV.P(IF(AB$9:AB201=AB201,AT$9:AT201)),""),"")</f>
        <v/>
      </c>
      <c r="AQ201" s="36" t="str">
        <f t="shared" si="38"/>
        <v/>
      </c>
      <c r="AR201" s="36" t="str">
        <f t="shared" si="39"/>
        <v/>
      </c>
      <c r="AS201" s="36" t="str">
        <f t="shared" si="48"/>
        <v/>
      </c>
      <c r="AT201" s="37" t="str">
        <f t="shared" si="40"/>
        <v/>
      </c>
      <c r="AU201" s="37" t="str">
        <f t="shared" si="41"/>
        <v/>
      </c>
      <c r="AV201" s="54"/>
      <c r="AW201" s="46"/>
      <c r="AX201" s="39" t="str" cm="1">
        <f t="array" ref="AX201">IF(AH201&lt;&gt;"",IF(AND(AX199:AX200&lt;&gt;"IE",AQ201&lt;&gt;0,AS201&lt;&gt;""),IF(IFERROR((AQ201/AS201),0) &lt;=1,IFERROR(AQ201/AS201,""),1),""),"")</f>
        <v/>
      </c>
      <c r="AY201" s="46"/>
      <c r="AZ201" s="57"/>
    </row>
    <row r="202" spans="1:52" ht="15.5" x14ac:dyDescent="0.35">
      <c r="A202" s="51">
        <f t="shared" si="49"/>
        <v>1</v>
      </c>
      <c r="B202" s="52"/>
      <c r="C202" s="52"/>
      <c r="D202" s="29" t="str">
        <f>IFERROR(
IF(AND(OR(Planilla!B202="C",Planilla!B202="c"), VLOOKUP(E202,[1]Diccionario!B:N,13,0)="C"), "OK",IF(AND(OR(Planilla!B202="C",Planilla!B202="c"), OR(VLOOKUP(E202,[1]Diccionario!B:N,13,0)="B", VLOOKUP(E202,[1]Diccionario!B:N,13,0)="A")), "DEFICIT",IF(
AND(OR(Planilla!B202="B", Planilla!B202="BPAL"), VLOOKUP(E202,[1]Diccionario!B:N,13,0)="B"), "OK",IF(AND(OR(Planilla!B202="B", Planilla!B202="BPAL"), VLOOKUP(E202,[1]Diccionario!B:N,13,0)="A"), "DEFICIT",IF(AND(OR(Planilla!B202="B", Planilla!B202="BPAL"), VLOOKUP(E202,[1]Diccionario!B:N,13,0)="C"), "SOBREOFERTA",IF(AND(Planilla!B202="A", VLOOKUP(E202,[1]Diccionario!B:N,13,0)="A"), "OK",IF(
AND(Planilla!B202="A", OR(VLOOKUP(E202,[1]Diccionario!B:N,13,0)="B", VLOOKUP(E202,[1]Diccionario!B:N,13,0)="C")), "SOBREOFERTA",""
))))))),"")</f>
        <v/>
      </c>
      <c r="E202" s="48"/>
      <c r="F202" s="53"/>
      <c r="G202" s="54"/>
      <c r="H202" s="55" t="str">
        <f t="shared" si="42"/>
        <v/>
      </c>
      <c r="I202" s="35"/>
      <c r="J202" s="34" t="e">
        <f>IF(A202&lt;&gt;"",HLOOKUP(VALUE(TEXT(G202,"h:mm:ss")),IF($C$6="Laboral",[1]Input!$A$4:$Y$227,IF($C$6="Sábado",[1]Input!$A$231:$Y$452,[1]Input!$A$456:$Y$656)),VLOOKUP($C$4,[1]Input!$AG$2:$AI$99,3,0)+IF(C$5="Ida",0,1),1),"")</f>
        <v>#N/A</v>
      </c>
      <c r="K202" s="34" t="str">
        <f>IF(A203&lt;&gt;A202,AVERAGEIF(A$9:A202,A202,J$13:J202),"")</f>
        <v/>
      </c>
      <c r="L202" s="35" t="str">
        <f>IFERROR(IF(A203&lt;&gt;A202,AVERAGEIF(A$9:A202,A202,S$13:S202),""),"")</f>
        <v/>
      </c>
      <c r="M202" s="35" t="str">
        <f>IFERROR(IF(A203&lt;&gt;A202,AVERAGEIF(A$9:A202,A202,T$8:T202),""),"")</f>
        <v/>
      </c>
      <c r="N202" s="35" t="str" cm="1">
        <f t="array" ref="N202">IFERROR(IF(A203&lt;&gt;A202,_xlfn.STDEV.P(IF(A$9:A202=A202,T$7:T202)),""),"")</f>
        <v/>
      </c>
      <c r="O202" s="35" t="str" cm="1">
        <f t="array" ref="O202">IFERROR(IF(A203&lt;&gt;A202,_xlfn.STDEV.P(IF(A$9:A202=A202,S$7:S202)),""),"")</f>
        <v/>
      </c>
      <c r="P202" s="36" t="str">
        <f t="shared" si="35"/>
        <v/>
      </c>
      <c r="Q202" s="36" t="str">
        <f t="shared" si="36"/>
        <v/>
      </c>
      <c r="R202" s="36" t="str">
        <f t="shared" si="43"/>
        <v/>
      </c>
      <c r="S202" s="37" t="str">
        <f t="shared" si="44"/>
        <v/>
      </c>
      <c r="T202" s="37" t="str">
        <f t="shared" si="37"/>
        <v/>
      </c>
      <c r="U202" s="54"/>
      <c r="V202" s="46"/>
      <c r="W202" s="39" t="str">
        <f t="shared" si="45"/>
        <v/>
      </c>
      <c r="X202" s="38"/>
      <c r="Y202" s="48"/>
      <c r="AB202" s="56">
        <f t="shared" si="46"/>
        <v>1</v>
      </c>
      <c r="AC202" s="52"/>
      <c r="AD202" s="52"/>
      <c r="AE202" s="29" t="str">
        <f>IFERROR(
IF(AND(OR(AC202="C",AC202="c"), VLOOKUP(AF202,[1]Diccionario!B:N,13,0)="C"), "OK",IF(AND(OR(AC202="C",AC202="c"), OR(VLOOKUP(AF202,[1]Diccionario!B:N,13,0)="B", VLOOKUP(AF202,[1]Diccionario!B:N,13,0)="A")), "DEFICIT",IF(
AND(OR(AC202="B", AC202="BPAL"), VLOOKUP(AF202,[1]Diccionario!B:N,13,0)="B"), "OK",IF(AND(OR(AC202="B", AC202="BPAL"), VLOOKUP(AF202,[1]Diccionario!B:N,13,0)="A"), "DEFICIT",IF(AND(OR(AC202="B", AC202="BPAL"), VLOOKUP(AF202,[1]Diccionario!B:N,13,0)="C"), "SOBREOFERTA",IF(AND(AC202="A", VLOOKUP(AF202,[1]Diccionario!B:N,13,0)="A"), "OK",IF(
AND(AC202="A", OR(VLOOKUP(AF202,[1]Diccionario!B:N,13,0)="B", VLOOKUP(AF202,[1]Diccionario!B:N,13,0)="C")), "SOBREOFERTA",""
))))))),"")</f>
        <v/>
      </c>
      <c r="AF202" s="48"/>
      <c r="AG202" s="53"/>
      <c r="AH202" s="54"/>
      <c r="AI202" s="55" t="str">
        <f t="shared" si="47"/>
        <v/>
      </c>
      <c r="AJ202" s="46"/>
      <c r="AK202" s="34" t="e">
        <f>IF(AB202&lt;&gt;"",HLOOKUP(VALUE(TEXT(AH202,"h:mm:ss")),IF($C$6="Laboral",[1]Input!$A$4:$Y$227,IF($C$6="Sábado",[1]Input!$A$231:$Y$452,[1]Input!$A$456:$Y$656)),VLOOKUP($C$4,[1]Input!$AG$2:$AI$99,3,0)+IF(AD$5="Ida",0,1),1),"")</f>
        <v>#N/A</v>
      </c>
      <c r="AL202" s="34" t="str">
        <f>IF(AB203&lt;&gt;AB202,AVERAGEIF(AB$9:AB202,AB202,AK$9:AK202),"")</f>
        <v/>
      </c>
      <c r="AM202" s="35" t="str">
        <f>IFERROR(IF(AB203&lt;&gt;AB202,AVERAGEIF(AB$9:AB202,AB202,AT$9:AT202),""),"")</f>
        <v/>
      </c>
      <c r="AN202" s="35" t="str">
        <f>IFERROR(IF(AB203&lt;&gt;AB202,AVERAGEIF(AB$9:AB202,AB202,AU$9:AU202),""),"")</f>
        <v/>
      </c>
      <c r="AO202" s="35" t="str" cm="1">
        <f t="array" ref="AO202">IFERROR(IF(AB203&lt;&gt;AB202,_xlfn.STDEV.P(IF(AB$9:AB202=AB202,AU$9:AU202)),""),"")</f>
        <v/>
      </c>
      <c r="AP202" s="35" t="str" cm="1">
        <f t="array" ref="AP202">IFERROR(IF(AB203&lt;&gt;AB202,_xlfn.STDEV.P(IF(AB$9:AB202=AB202,AT$9:AT202)),""),"")</f>
        <v/>
      </c>
      <c r="AQ202" s="36" t="str">
        <f t="shared" si="38"/>
        <v/>
      </c>
      <c r="AR202" s="36" t="str">
        <f t="shared" si="39"/>
        <v/>
      </c>
      <c r="AS202" s="36" t="str">
        <f t="shared" si="48"/>
        <v/>
      </c>
      <c r="AT202" s="37" t="str">
        <f t="shared" si="40"/>
        <v/>
      </c>
      <c r="AU202" s="37" t="str">
        <f t="shared" si="41"/>
        <v/>
      </c>
      <c r="AV202" s="54"/>
      <c r="AW202" s="46"/>
      <c r="AX202" s="39" t="str" cm="1">
        <f t="array" ref="AX202">IF(AH202&lt;&gt;"",IF(AND(AX200:AX201&lt;&gt;"IE",AQ202&lt;&gt;0,AS202&lt;&gt;""),IF(IFERROR((AQ202/AS202),0) &lt;=1,IFERROR(AQ202/AS202,""),1),""),"")</f>
        <v/>
      </c>
      <c r="AY202" s="46"/>
      <c r="AZ202" s="57"/>
    </row>
    <row r="203" spans="1:52" ht="15.5" x14ac:dyDescent="0.35">
      <c r="A203" s="51">
        <f t="shared" si="49"/>
        <v>1</v>
      </c>
      <c r="B203" s="52"/>
      <c r="C203" s="52"/>
      <c r="D203" s="29" t="str">
        <f>IFERROR(
IF(AND(OR(Planilla!B203="C",Planilla!B203="c"), VLOOKUP(E203,[1]Diccionario!B:N,13,0)="C"), "OK",IF(AND(OR(Planilla!B203="C",Planilla!B203="c"), OR(VLOOKUP(E203,[1]Diccionario!B:N,13,0)="B", VLOOKUP(E203,[1]Diccionario!B:N,13,0)="A")), "DEFICIT",IF(
AND(OR(Planilla!B203="B", Planilla!B203="BPAL"), VLOOKUP(E203,[1]Diccionario!B:N,13,0)="B"), "OK",IF(AND(OR(Planilla!B203="B", Planilla!B203="BPAL"), VLOOKUP(E203,[1]Diccionario!B:N,13,0)="A"), "DEFICIT",IF(AND(OR(Planilla!B203="B", Planilla!B203="BPAL"), VLOOKUP(E203,[1]Diccionario!B:N,13,0)="C"), "SOBREOFERTA",IF(AND(Planilla!B203="A", VLOOKUP(E203,[1]Diccionario!B:N,13,0)="A"), "OK",IF(
AND(Planilla!B203="A", OR(VLOOKUP(E203,[1]Diccionario!B:N,13,0)="B", VLOOKUP(E203,[1]Diccionario!B:N,13,0)="C")), "SOBREOFERTA",""
))))))),"")</f>
        <v/>
      </c>
      <c r="E203" s="48"/>
      <c r="F203" s="53"/>
      <c r="G203" s="54"/>
      <c r="H203" s="55" t="str">
        <f t="shared" si="42"/>
        <v/>
      </c>
      <c r="I203" s="35"/>
      <c r="J203" s="34" t="e">
        <f>IF(A203&lt;&gt;"",HLOOKUP(VALUE(TEXT(G203,"h:mm:ss")),IF($C$6="Laboral",[1]Input!$A$4:$Y$227,IF($C$6="Sábado",[1]Input!$A$231:$Y$452,[1]Input!$A$456:$Y$656)),VLOOKUP($C$4,[1]Input!$AG$2:$AI$99,3,0)+IF(C$5="Ida",0,1),1),"")</f>
        <v>#N/A</v>
      </c>
      <c r="K203" s="34" t="str">
        <f>IF(A204&lt;&gt;A203,AVERAGEIF(A$9:A203,A203,J$13:J203),"")</f>
        <v/>
      </c>
      <c r="L203" s="35" t="str">
        <f>IFERROR(IF(A204&lt;&gt;A203,AVERAGEIF(A$9:A203,A203,S$13:S203),""),"")</f>
        <v/>
      </c>
      <c r="M203" s="35" t="str">
        <f>IFERROR(IF(A204&lt;&gt;A203,AVERAGEIF(A$9:A203,A203,T$8:T203),""),"")</f>
        <v/>
      </c>
      <c r="N203" s="35" t="str" cm="1">
        <f t="array" ref="N203">IFERROR(IF(A204&lt;&gt;A203,_xlfn.STDEV.P(IF(A$9:A203=A203,T$7:T203)),""),"")</f>
        <v/>
      </c>
      <c r="O203" s="35" t="str" cm="1">
        <f t="array" ref="O203">IFERROR(IF(A204&lt;&gt;A203,_xlfn.STDEV.P(IF(A$9:A203=A203,S$7:S203)),""),"")</f>
        <v/>
      </c>
      <c r="P203" s="36" t="str">
        <f t="shared" si="35"/>
        <v/>
      </c>
      <c r="Q203" s="36" t="str">
        <f t="shared" si="36"/>
        <v/>
      </c>
      <c r="R203" s="36" t="str">
        <f t="shared" si="43"/>
        <v/>
      </c>
      <c r="S203" s="37" t="str">
        <f t="shared" si="44"/>
        <v/>
      </c>
      <c r="T203" s="37" t="str">
        <f t="shared" si="37"/>
        <v/>
      </c>
      <c r="U203" s="54"/>
      <c r="V203" s="46"/>
      <c r="W203" s="39" t="str">
        <f t="shared" si="45"/>
        <v/>
      </c>
      <c r="X203" s="38"/>
      <c r="Y203" s="48"/>
      <c r="AB203" s="56">
        <f t="shared" si="46"/>
        <v>1</v>
      </c>
      <c r="AC203" s="52"/>
      <c r="AD203" s="52"/>
      <c r="AE203" s="29" t="str">
        <f>IFERROR(
IF(AND(OR(AC203="C",AC203="c"), VLOOKUP(AF203,[1]Diccionario!B:N,13,0)="C"), "OK",IF(AND(OR(AC203="C",AC203="c"), OR(VLOOKUP(AF203,[1]Diccionario!B:N,13,0)="B", VLOOKUP(AF203,[1]Diccionario!B:N,13,0)="A")), "DEFICIT",IF(
AND(OR(AC203="B", AC203="BPAL"), VLOOKUP(AF203,[1]Diccionario!B:N,13,0)="B"), "OK",IF(AND(OR(AC203="B", AC203="BPAL"), VLOOKUP(AF203,[1]Diccionario!B:N,13,0)="A"), "DEFICIT",IF(AND(OR(AC203="B", AC203="BPAL"), VLOOKUP(AF203,[1]Diccionario!B:N,13,0)="C"), "SOBREOFERTA",IF(AND(AC203="A", VLOOKUP(AF203,[1]Diccionario!B:N,13,0)="A"), "OK",IF(
AND(AC203="A", OR(VLOOKUP(AF203,[1]Diccionario!B:N,13,0)="B", VLOOKUP(AF203,[1]Diccionario!B:N,13,0)="C")), "SOBREOFERTA",""
))))))),"")</f>
        <v/>
      </c>
      <c r="AF203" s="48"/>
      <c r="AG203" s="53"/>
      <c r="AH203" s="54"/>
      <c r="AI203" s="55" t="str">
        <f t="shared" si="47"/>
        <v/>
      </c>
      <c r="AJ203" s="46"/>
      <c r="AK203" s="34" t="e">
        <f>IF(AB203&lt;&gt;"",HLOOKUP(VALUE(TEXT(AH203,"h:mm:ss")),IF($C$6="Laboral",[1]Input!$A$4:$Y$227,IF($C$6="Sábado",[1]Input!$A$231:$Y$452,[1]Input!$A$456:$Y$656)),VLOOKUP($C$4,[1]Input!$AG$2:$AI$99,3,0)+IF(AD$5="Ida",0,1),1),"")</f>
        <v>#N/A</v>
      </c>
      <c r="AL203" s="34" t="str">
        <f>IF(AB204&lt;&gt;AB203,AVERAGEIF(AB$9:AB203,AB203,AK$9:AK203),"")</f>
        <v/>
      </c>
      <c r="AM203" s="35" t="str">
        <f>IFERROR(IF(AB204&lt;&gt;AB203,AVERAGEIF(AB$9:AB203,AB203,AT$9:AT203),""),"")</f>
        <v/>
      </c>
      <c r="AN203" s="35" t="str">
        <f>IFERROR(IF(AB204&lt;&gt;AB203,AVERAGEIF(AB$9:AB203,AB203,AU$9:AU203),""),"")</f>
        <v/>
      </c>
      <c r="AO203" s="35" t="str" cm="1">
        <f t="array" ref="AO203">IFERROR(IF(AB204&lt;&gt;AB203,_xlfn.STDEV.P(IF(AB$9:AB203=AB203,AU$9:AU203)),""),"")</f>
        <v/>
      </c>
      <c r="AP203" s="35" t="str" cm="1">
        <f t="array" ref="AP203">IFERROR(IF(AB204&lt;&gt;AB203,_xlfn.STDEV.P(IF(AB$9:AB203=AB203,AT$9:AT203)),""),"")</f>
        <v/>
      </c>
      <c r="AQ203" s="36" t="str">
        <f t="shared" si="38"/>
        <v/>
      </c>
      <c r="AR203" s="36" t="str">
        <f t="shared" si="39"/>
        <v/>
      </c>
      <c r="AS203" s="36" t="str">
        <f t="shared" si="48"/>
        <v/>
      </c>
      <c r="AT203" s="37" t="str">
        <f t="shared" si="40"/>
        <v/>
      </c>
      <c r="AU203" s="37" t="str">
        <f t="shared" si="41"/>
        <v/>
      </c>
      <c r="AV203" s="54"/>
      <c r="AW203" s="46"/>
      <c r="AX203" s="39" t="str" cm="1">
        <f t="array" ref="AX203">IF(AH203&lt;&gt;"",IF(AND(AX201:AX202&lt;&gt;"IE",AQ203&lt;&gt;0,AS203&lt;&gt;""),IF(IFERROR((AQ203/AS203),0) &lt;=1,IFERROR(AQ203/AS203,""),1),""),"")</f>
        <v/>
      </c>
      <c r="AY203" s="46"/>
      <c r="AZ203" s="57"/>
    </row>
    <row r="204" spans="1:52" ht="15.5" x14ac:dyDescent="0.35">
      <c r="A204" s="51">
        <f t="shared" si="49"/>
        <v>1</v>
      </c>
      <c r="B204" s="52"/>
      <c r="C204" s="52"/>
      <c r="D204" s="29" t="str">
        <f>IFERROR(
IF(AND(OR(Planilla!B204="C",Planilla!B204="c"), VLOOKUP(E204,[1]Diccionario!B:N,13,0)="C"), "OK",IF(AND(OR(Planilla!B204="C",Planilla!B204="c"), OR(VLOOKUP(E204,[1]Diccionario!B:N,13,0)="B", VLOOKUP(E204,[1]Diccionario!B:N,13,0)="A")), "DEFICIT",IF(
AND(OR(Planilla!B204="B", Planilla!B204="BPAL"), VLOOKUP(E204,[1]Diccionario!B:N,13,0)="B"), "OK",IF(AND(OR(Planilla!B204="B", Planilla!B204="BPAL"), VLOOKUP(E204,[1]Diccionario!B:N,13,0)="A"), "DEFICIT",IF(AND(OR(Planilla!B204="B", Planilla!B204="BPAL"), VLOOKUP(E204,[1]Diccionario!B:N,13,0)="C"), "SOBREOFERTA",IF(AND(Planilla!B204="A", VLOOKUP(E204,[1]Diccionario!B:N,13,0)="A"), "OK",IF(
AND(Planilla!B204="A", OR(VLOOKUP(E204,[1]Diccionario!B:N,13,0)="B", VLOOKUP(E204,[1]Diccionario!B:N,13,0)="C")), "SOBREOFERTA",""
))))))),"")</f>
        <v/>
      </c>
      <c r="E204" s="48"/>
      <c r="F204" s="53"/>
      <c r="G204" s="54"/>
      <c r="H204" s="55" t="str">
        <f t="shared" si="42"/>
        <v/>
      </c>
      <c r="I204" s="35"/>
      <c r="J204" s="34" t="e">
        <f>IF(A204&lt;&gt;"",HLOOKUP(VALUE(TEXT(G204,"h:mm:ss")),IF($C$6="Laboral",[1]Input!$A$4:$Y$227,IF($C$6="Sábado",[1]Input!$A$231:$Y$452,[1]Input!$A$456:$Y$656)),VLOOKUP($C$4,[1]Input!$AG$2:$AI$99,3,0)+IF(C$5="Ida",0,1),1),"")</f>
        <v>#N/A</v>
      </c>
      <c r="K204" s="34" t="str">
        <f>IF(A205&lt;&gt;A204,AVERAGEIF(A$9:A204,A204,J$13:J204),"")</f>
        <v/>
      </c>
      <c r="L204" s="35" t="str">
        <f>IFERROR(IF(A205&lt;&gt;A204,AVERAGEIF(A$9:A204,A204,S$13:S204),""),"")</f>
        <v/>
      </c>
      <c r="M204" s="35" t="str">
        <f>IFERROR(IF(A205&lt;&gt;A204,AVERAGEIF(A$9:A204,A204,T$8:T204),""),"")</f>
        <v/>
      </c>
      <c r="N204" s="35" t="str" cm="1">
        <f t="array" ref="N204">IFERROR(IF(A205&lt;&gt;A204,_xlfn.STDEV.P(IF(A$9:A204=A204,T$7:T204)),""),"")</f>
        <v/>
      </c>
      <c r="O204" s="35" t="str" cm="1">
        <f t="array" ref="O204">IFERROR(IF(A205&lt;&gt;A204,_xlfn.STDEV.P(IF(A$9:A204=A204,S$7:S204)),""),"")</f>
        <v/>
      </c>
      <c r="P204" s="36" t="str">
        <f t="shared" si="35"/>
        <v/>
      </c>
      <c r="Q204" s="36" t="str">
        <f t="shared" si="36"/>
        <v/>
      </c>
      <c r="R204" s="36" t="str">
        <f t="shared" si="43"/>
        <v/>
      </c>
      <c r="S204" s="37" t="str">
        <f t="shared" si="44"/>
        <v/>
      </c>
      <c r="T204" s="37" t="str">
        <f t="shared" si="37"/>
        <v/>
      </c>
      <c r="U204" s="54"/>
      <c r="V204" s="46"/>
      <c r="W204" s="39" t="str">
        <f t="shared" si="45"/>
        <v/>
      </c>
      <c r="X204" s="38"/>
      <c r="Y204" s="48"/>
      <c r="AB204" s="56">
        <f t="shared" si="46"/>
        <v>1</v>
      </c>
      <c r="AC204" s="52"/>
      <c r="AD204" s="52"/>
      <c r="AE204" s="29" t="str">
        <f>IFERROR(
IF(AND(OR(AC204="C",AC204="c"), VLOOKUP(AF204,[1]Diccionario!B:N,13,0)="C"), "OK",IF(AND(OR(AC204="C",AC204="c"), OR(VLOOKUP(AF204,[1]Diccionario!B:N,13,0)="B", VLOOKUP(AF204,[1]Diccionario!B:N,13,0)="A")), "DEFICIT",IF(
AND(OR(AC204="B", AC204="BPAL"), VLOOKUP(AF204,[1]Diccionario!B:N,13,0)="B"), "OK",IF(AND(OR(AC204="B", AC204="BPAL"), VLOOKUP(AF204,[1]Diccionario!B:N,13,0)="A"), "DEFICIT",IF(AND(OR(AC204="B", AC204="BPAL"), VLOOKUP(AF204,[1]Diccionario!B:N,13,0)="C"), "SOBREOFERTA",IF(AND(AC204="A", VLOOKUP(AF204,[1]Diccionario!B:N,13,0)="A"), "OK",IF(
AND(AC204="A", OR(VLOOKUP(AF204,[1]Diccionario!B:N,13,0)="B", VLOOKUP(AF204,[1]Diccionario!B:N,13,0)="C")), "SOBREOFERTA",""
))))))),"")</f>
        <v/>
      </c>
      <c r="AF204" s="48"/>
      <c r="AG204" s="53"/>
      <c r="AH204" s="54"/>
      <c r="AI204" s="55" t="str">
        <f t="shared" si="47"/>
        <v/>
      </c>
      <c r="AJ204" s="46"/>
      <c r="AK204" s="34" t="e">
        <f>IF(AB204&lt;&gt;"",HLOOKUP(VALUE(TEXT(AH204,"h:mm:ss")),IF($C$6="Laboral",[1]Input!$A$4:$Y$227,IF($C$6="Sábado",[1]Input!$A$231:$Y$452,[1]Input!$A$456:$Y$656)),VLOOKUP($C$4,[1]Input!$AG$2:$AI$99,3,0)+IF(AD$5="Ida",0,1),1),"")</f>
        <v>#N/A</v>
      </c>
      <c r="AL204" s="34" t="str">
        <f>IF(AB205&lt;&gt;AB204,AVERAGEIF(AB$9:AB204,AB204,AK$9:AK204),"")</f>
        <v/>
      </c>
      <c r="AM204" s="35" t="str">
        <f>IFERROR(IF(AB205&lt;&gt;AB204,AVERAGEIF(AB$9:AB204,AB204,AT$9:AT204),""),"")</f>
        <v/>
      </c>
      <c r="AN204" s="35" t="str">
        <f>IFERROR(IF(AB205&lt;&gt;AB204,AVERAGEIF(AB$9:AB204,AB204,AU$9:AU204),""),"")</f>
        <v/>
      </c>
      <c r="AO204" s="35" t="str" cm="1">
        <f t="array" ref="AO204">IFERROR(IF(AB205&lt;&gt;AB204,_xlfn.STDEV.P(IF(AB$9:AB204=AB204,AU$9:AU204)),""),"")</f>
        <v/>
      </c>
      <c r="AP204" s="35" t="str" cm="1">
        <f t="array" ref="AP204">IFERROR(IF(AB205&lt;&gt;AB204,_xlfn.STDEV.P(IF(AB$9:AB204=AB204,AT$9:AT204)),""),"")</f>
        <v/>
      </c>
      <c r="AQ204" s="36" t="str">
        <f t="shared" si="38"/>
        <v/>
      </c>
      <c r="AR204" s="36" t="str">
        <f t="shared" si="39"/>
        <v/>
      </c>
      <c r="AS204" s="36" t="str">
        <f t="shared" si="48"/>
        <v/>
      </c>
      <c r="AT204" s="37" t="str">
        <f t="shared" si="40"/>
        <v/>
      </c>
      <c r="AU204" s="37" t="str">
        <f t="shared" si="41"/>
        <v/>
      </c>
      <c r="AV204" s="54"/>
      <c r="AW204" s="46"/>
      <c r="AX204" s="39" t="str" cm="1">
        <f t="array" ref="AX204">IF(AH204&lt;&gt;"",IF(AND(AX202:AX203&lt;&gt;"IE",AQ204&lt;&gt;0,AS204&lt;&gt;""),IF(IFERROR((AQ204/AS204),0) &lt;=1,IFERROR(AQ204/AS204,""),1),""),"")</f>
        <v/>
      </c>
      <c r="AY204" s="46"/>
      <c r="AZ204" s="57"/>
    </row>
    <row r="205" spans="1:52" ht="15.5" x14ac:dyDescent="0.35">
      <c r="A205" s="51">
        <f t="shared" si="49"/>
        <v>1</v>
      </c>
      <c r="B205" s="52"/>
      <c r="C205" s="52"/>
      <c r="D205" s="29" t="str">
        <f>IFERROR(
IF(AND(OR(Planilla!B205="C",Planilla!B205="c"), VLOOKUP(E205,[1]Diccionario!B:N,13,0)="C"), "OK",IF(AND(OR(Planilla!B205="C",Planilla!B205="c"), OR(VLOOKUP(E205,[1]Diccionario!B:N,13,0)="B", VLOOKUP(E205,[1]Diccionario!B:N,13,0)="A")), "DEFICIT",IF(
AND(OR(Planilla!B205="B", Planilla!B205="BPAL"), VLOOKUP(E205,[1]Diccionario!B:N,13,0)="B"), "OK",IF(AND(OR(Planilla!B205="B", Planilla!B205="BPAL"), VLOOKUP(E205,[1]Diccionario!B:N,13,0)="A"), "DEFICIT",IF(AND(OR(Planilla!B205="B", Planilla!B205="BPAL"), VLOOKUP(E205,[1]Diccionario!B:N,13,0)="C"), "SOBREOFERTA",IF(AND(Planilla!B205="A", VLOOKUP(E205,[1]Diccionario!B:N,13,0)="A"), "OK",IF(
AND(Planilla!B205="A", OR(VLOOKUP(E205,[1]Diccionario!B:N,13,0)="B", VLOOKUP(E205,[1]Diccionario!B:N,13,0)="C")), "SOBREOFERTA",""
))))))),"")</f>
        <v/>
      </c>
      <c r="E205" s="48"/>
      <c r="F205" s="53"/>
      <c r="G205" s="54"/>
      <c r="H205" s="55" t="str">
        <f t="shared" si="42"/>
        <v/>
      </c>
      <c r="I205" s="35"/>
      <c r="J205" s="34" t="e">
        <f>IF(A205&lt;&gt;"",HLOOKUP(VALUE(TEXT(G205,"h:mm:ss")),IF($C$6="Laboral",[1]Input!$A$4:$Y$227,IF($C$6="Sábado",[1]Input!$A$231:$Y$452,[1]Input!$A$456:$Y$656)),VLOOKUP($C$4,[1]Input!$AG$2:$AI$99,3,0)+IF(C$5="Ida",0,1),1),"")</f>
        <v>#N/A</v>
      </c>
      <c r="K205" s="34" t="str">
        <f>IF(A206&lt;&gt;A205,AVERAGEIF(A$9:A205,A205,J$13:J205),"")</f>
        <v/>
      </c>
      <c r="L205" s="35" t="str">
        <f>IFERROR(IF(A206&lt;&gt;A205,AVERAGEIF(A$9:A205,A205,S$13:S205),""),"")</f>
        <v/>
      </c>
      <c r="M205" s="35" t="str">
        <f>IFERROR(IF(A206&lt;&gt;A205,AVERAGEIF(A$9:A205,A205,T$8:T205),""),"")</f>
        <v/>
      </c>
      <c r="N205" s="35" t="str" cm="1">
        <f t="array" ref="N205">IFERROR(IF(A206&lt;&gt;A205,_xlfn.STDEV.P(IF(A$9:A205=A205,T$7:T205)),""),"")</f>
        <v/>
      </c>
      <c r="O205" s="35" t="str" cm="1">
        <f t="array" ref="O205">IFERROR(IF(A206&lt;&gt;A205,_xlfn.STDEV.P(IF(A$9:A205=A205,S$7:S205)),""),"")</f>
        <v/>
      </c>
      <c r="P205" s="36" t="str">
        <f t="shared" ref="P205:P268" si="50">IFERROR(IF(A205&lt;&gt;A206,MAX((((M205*24*60)/2)*(1+POWER((((N205*24*60) / (M205*24*60) )),2))) + ((M205*24*60 )*-0.1 + (K205*0.015)) +1,(((M205*24*60)/2)*(1+POWER((((N205*24*60) / (M205*24*60 ))),2)))),""),"")</f>
        <v/>
      </c>
      <c r="Q205" s="36" t="str">
        <f t="shared" ref="Q205:Q268" si="51">IF(AND(O205&lt;&gt;"",L205&lt;&gt;""),IF(A205&lt;&gt;A206,((L205*24*60) / 2 ) * (1 + POWER(((O205*24*60) / (L205*24*60)),2)),""),"")</f>
        <v/>
      </c>
      <c r="R205" s="36" t="str">
        <f t="shared" si="43"/>
        <v/>
      </c>
      <c r="S205" s="37" t="str">
        <f t="shared" si="44"/>
        <v/>
      </c>
      <c r="T205" s="37" t="str">
        <f t="shared" ref="T205:T268" si="52">IF(G205&lt;&gt;"H. Sale Real",IF(AND(G206&lt;&gt;"",LEFT(C206,2)&lt;&gt;"NC"),IF(AND(G205&lt;&gt;"",LEFT(C205,2)&lt;&gt;"NC",G205&lt;&gt;"H. Sale Real"),IF(G206-G205&lt;0.208333333333333,G206-G205,""),IF(AND(G204&lt;&gt;"",LEFT(C204,2)&lt;&gt;"NC",G204&lt;&gt;"H. Sale Real"),IF(G206-G204&lt;0.208333333333333,G206-G204,""),IF(AND(G203&lt;&gt;"",LEFT(C203,2)&lt;&gt;"NC",G203&lt;&gt;"H. Sale Real"),IF(G206-G203&lt;0.208333333333333,G206-G203,""),IF(AND(G202&lt;&gt;"",LEFT(C202,2)&lt;&gt;"NC",G202&lt;&gt;"H. Sale Real"),IF(G206-G202&lt;0.208333333333333,G206-G202,""),IF(AND(G201&lt;&gt;"",LEFT(C201,2)&lt;&gt;"NC",G201&lt;&gt;"H. Sale Real"),IF(G206-G201&lt;0.208333333333333,G206-G201,""),""))))),""),"")</f>
        <v/>
      </c>
      <c r="U205" s="54"/>
      <c r="V205" s="46"/>
      <c r="W205" s="39" t="str">
        <f t="shared" si="45"/>
        <v/>
      </c>
      <c r="X205" s="38"/>
      <c r="Y205" s="48"/>
      <c r="AB205" s="56">
        <f t="shared" si="46"/>
        <v>1</v>
      </c>
      <c r="AC205" s="52"/>
      <c r="AD205" s="52"/>
      <c r="AE205" s="29" t="str">
        <f>IFERROR(
IF(AND(OR(AC205="C",AC205="c"), VLOOKUP(AF205,[1]Diccionario!B:N,13,0)="C"), "OK",IF(AND(OR(AC205="C",AC205="c"), OR(VLOOKUP(AF205,[1]Diccionario!B:N,13,0)="B", VLOOKUP(AF205,[1]Diccionario!B:N,13,0)="A")), "DEFICIT",IF(
AND(OR(AC205="B", AC205="BPAL"), VLOOKUP(AF205,[1]Diccionario!B:N,13,0)="B"), "OK",IF(AND(OR(AC205="B", AC205="BPAL"), VLOOKUP(AF205,[1]Diccionario!B:N,13,0)="A"), "DEFICIT",IF(AND(OR(AC205="B", AC205="BPAL"), VLOOKUP(AF205,[1]Diccionario!B:N,13,0)="C"), "SOBREOFERTA",IF(AND(AC205="A", VLOOKUP(AF205,[1]Diccionario!B:N,13,0)="A"), "OK",IF(
AND(AC205="A", OR(VLOOKUP(AF205,[1]Diccionario!B:N,13,0)="B", VLOOKUP(AF205,[1]Diccionario!B:N,13,0)="C")), "SOBREOFERTA",""
))))))),"")</f>
        <v/>
      </c>
      <c r="AF205" s="48"/>
      <c r="AG205" s="53"/>
      <c r="AH205" s="54"/>
      <c r="AI205" s="55" t="str">
        <f t="shared" si="47"/>
        <v/>
      </c>
      <c r="AJ205" s="46"/>
      <c r="AK205" s="34" t="e">
        <f>IF(AB205&lt;&gt;"",HLOOKUP(VALUE(TEXT(AH205,"h:mm:ss")),IF($C$6="Laboral",[1]Input!$A$4:$Y$227,IF($C$6="Sábado",[1]Input!$A$231:$Y$452,[1]Input!$A$456:$Y$656)),VLOOKUP($C$4,[1]Input!$AG$2:$AI$99,3,0)+IF(AD$5="Ida",0,1),1),"")</f>
        <v>#N/A</v>
      </c>
      <c r="AL205" s="34" t="str">
        <f>IF(AB206&lt;&gt;AB205,AVERAGEIF(AB$9:AB205,AB205,AK$9:AK205),"")</f>
        <v/>
      </c>
      <c r="AM205" s="35" t="str">
        <f>IFERROR(IF(AB206&lt;&gt;AB205,AVERAGEIF(AB$9:AB205,AB205,AT$9:AT205),""),"")</f>
        <v/>
      </c>
      <c r="AN205" s="35" t="str">
        <f>IFERROR(IF(AB206&lt;&gt;AB205,AVERAGEIF(AB$9:AB205,AB205,AU$9:AU205),""),"")</f>
        <v/>
      </c>
      <c r="AO205" s="35" t="str" cm="1">
        <f t="array" ref="AO205">IFERROR(IF(AB206&lt;&gt;AB205,_xlfn.STDEV.P(IF(AB$9:AB205=AB205,AU$9:AU205)),""),"")</f>
        <v/>
      </c>
      <c r="AP205" s="35" t="str" cm="1">
        <f t="array" ref="AP205">IFERROR(IF(AB206&lt;&gt;AB205,_xlfn.STDEV.P(IF(AB$9:AB205=AB205,AT$9:AT205)),""),"")</f>
        <v/>
      </c>
      <c r="AQ205" s="36" t="str">
        <f t="shared" ref="AQ205:AQ268" si="53">IFERROR(IF(AB205&lt;&gt;AB206,MAX((((AN205*24*60)/2)*(1+POWER((((AO205*24*60) / (AN205*24*60) )),2))) + ((AN205*24*60 )*-0.1 + (AL205*0.015)) +1,(((AN205*24*60)/2)*(1+POWER((((AO205*24*60) / (AN205*24*60 ))),2)))),""),"")</f>
        <v/>
      </c>
      <c r="AR205" s="36" t="str">
        <f t="shared" ref="AR205:AR268" si="54">IF(AND(AP205&lt;&gt;"",AM205&lt;&gt;""),IF(AB205&lt;&gt;AB206,((AM205*24*60) / 2 ) * (1 + POWER(((AP205*24*60) / (AM205*24*60)),2)),""),"")</f>
        <v/>
      </c>
      <c r="AS205" s="36" t="str">
        <f t="shared" si="48"/>
        <v/>
      </c>
      <c r="AT205" s="37" t="str">
        <f t="shared" ref="AT205:AT268" si="55">IF(AJ205&lt;&gt;"H. Sale Real",IF(AND(AJ206&lt;&gt;"",LEFT(AD206,2)&lt;&gt;"NC"),IF(AND(AJ205&lt;&gt;"",LEFT(AD205,2)&lt;&gt;"NC",AJ205&lt;&gt;"H. Sale Real"),IF(AJ206-AJ205&lt;0.208333333333333,AJ206-AJ205,""),IF(AND(AJ204&lt;&gt;"",LEFT(AD204,2)&lt;&gt;"NC",AJ204&lt;&gt;"H. Sale Real"),IF(AJ206-AJ204&lt;0.208333333333333,AJ206-AJ204,""),IF(AND(AJ203&lt;&gt;"",LEFT(AD203,2)&lt;&gt;"NC",AJ203&lt;&gt;"H. Sale Real"),IF(AJ206-AJ203&lt;0.208333333333333,AJ206-AJ203,""),IF(AND(AJ202&lt;&gt;"",LEFT(AD202,2)&lt;&gt;"NC",AJ202&lt;&gt;"H. Sale Real"),IF(AJ206-AJ202&lt;0.208333333333333,AJ206-AJ202,""),IF(AND(AJ201&lt;&gt;"",LEFT(AD201,2)&lt;&gt;"NC",AJ201&lt;&gt;"H. Sale Real"),IF(AJ206-AJ201&lt;0.208333333333333,AJ206-AJ201,""),""))))),""),"")</f>
        <v/>
      </c>
      <c r="AU205" s="37" t="str">
        <f t="shared" ref="AU205:AU268" si="56">IF(AH205&lt;&gt;"H. Sale Real",IF(AND(AH206&lt;&gt;"",LEFT(AD206,2)&lt;&gt;"NC"),IF(AND(AH205&lt;&gt;"",LEFT(AD205,2)&lt;&gt;"NC",AH205&lt;&gt;"H. Sale Real"),IF(AH206-AH205&lt;0.208333333333333,AH206-AH205,""),IF(AND(AH204&lt;&gt;"",LEFT(AD204,2)&lt;&gt;"NC",AH204&lt;&gt;"H. Sale Real"),IF(AH206-AH204&lt;0.208333333333333,AH206-AH204,""),IF(AND(AH203&lt;&gt;"",LEFT(AD203,2)&lt;&gt;"NC",AH203&lt;&gt;"H. Sale Real"),IF(AH206-AH203&lt;0.208333333333333,AH206-AH203,""),IF(AND(AH202&lt;&gt;"",LEFT(AD202,2)&lt;&gt;"NC",AH202&lt;&gt;"H. Sale Real"),IF(AH206-AH202&lt;0.208333333333333,AH206-AH202,""),IF(AND(AH201&lt;&gt;"",LEFT(AD201,2)&lt;&gt;"NC",AH201&lt;&gt;"H. Sale Real"),IF(AH206-AH201&lt;0.208333333333333,AH206-AH201,""),""))))),""),"")</f>
        <v/>
      </c>
      <c r="AV205" s="54"/>
      <c r="AW205" s="46"/>
      <c r="AX205" s="39" t="str" cm="1">
        <f t="array" ref="AX205">IF(AH205&lt;&gt;"",IF(AND(AX203:AX204&lt;&gt;"IE",AQ205&lt;&gt;0,AS205&lt;&gt;""),IF(IFERROR((AQ205/AS205),0) &lt;=1,IFERROR(AQ205/AS205,""),1),""),"")</f>
        <v/>
      </c>
      <c r="AY205" s="46"/>
      <c r="AZ205" s="57"/>
    </row>
    <row r="206" spans="1:52" ht="15.5" x14ac:dyDescent="0.35">
      <c r="A206" s="51">
        <f t="shared" si="49"/>
        <v>1</v>
      </c>
      <c r="B206" s="52"/>
      <c r="C206" s="52"/>
      <c r="D206" s="29" t="str">
        <f>IFERROR(
IF(AND(OR(Planilla!B206="C",Planilla!B206="c"), VLOOKUP(E206,[1]Diccionario!B:N,13,0)="C"), "OK",IF(AND(OR(Planilla!B206="C",Planilla!B206="c"), OR(VLOOKUP(E206,[1]Diccionario!B:N,13,0)="B", VLOOKUP(E206,[1]Diccionario!B:N,13,0)="A")), "DEFICIT",IF(
AND(OR(Planilla!B206="B", Planilla!B206="BPAL"), VLOOKUP(E206,[1]Diccionario!B:N,13,0)="B"), "OK",IF(AND(OR(Planilla!B206="B", Planilla!B206="BPAL"), VLOOKUP(E206,[1]Diccionario!B:N,13,0)="A"), "DEFICIT",IF(AND(OR(Planilla!B206="B", Planilla!B206="BPAL"), VLOOKUP(E206,[1]Diccionario!B:N,13,0)="C"), "SOBREOFERTA",IF(AND(Planilla!B206="A", VLOOKUP(E206,[1]Diccionario!B:N,13,0)="A"), "OK",IF(
AND(Planilla!B206="A", OR(VLOOKUP(E206,[1]Diccionario!B:N,13,0)="B", VLOOKUP(E206,[1]Diccionario!B:N,13,0)="C")), "SOBREOFERTA",""
))))))),"")</f>
        <v/>
      </c>
      <c r="E206" s="48"/>
      <c r="F206" s="53"/>
      <c r="G206" s="54"/>
      <c r="H206" s="55" t="str">
        <f t="shared" ref="H206:H269" si="57">IF(I206="","",IF(AND((I206-G206)&gt;=TIME(0,0,0),(I206-G206)&lt;TIME(0,3,0)),"OK",IF(AND((I206-G206)&gt;=TIME(0,3,0),(I206-G206)&lt;TIME(0,5,0)),"RETRASO DE 3-5 MIN",IF(AND((I206-G206)&gt;=TIME(0,5,0),(I206-G206)&lt;TIME(0,10,0)),"RETRASO DE 5-10 MIN",IF((I206-G206)&gt;=TIME(0,10,0),"RETRASO &gt;10 MIN",         IF(AND((G206-I206)&gt;=TIME(0,0,0),(G206-I206)&lt;TIME(0,3,0)),"OK",IF((G206-I206)&gt;=TIME(0,3,0),"ADELANTADO")))))))</f>
        <v/>
      </c>
      <c r="I206" s="35"/>
      <c r="J206" s="34" t="e">
        <f>IF(A206&lt;&gt;"",HLOOKUP(VALUE(TEXT(G206,"h:mm:ss")),IF($C$6="Laboral",[1]Input!$A$4:$Y$227,IF($C$6="Sábado",[1]Input!$A$231:$Y$452,[1]Input!$A$456:$Y$656)),VLOOKUP($C$4,[1]Input!$AG$2:$AI$99,3,0)+IF(C$5="Ida",0,1),1),"")</f>
        <v>#N/A</v>
      </c>
      <c r="K206" s="34" t="str">
        <f>IF(A207&lt;&gt;A206,AVERAGEIF(A$9:A206,A206,J$13:J206),"")</f>
        <v/>
      </c>
      <c r="L206" s="35" t="str">
        <f>IFERROR(IF(A207&lt;&gt;A206,AVERAGEIF(A$9:A206,A206,S$13:S206),""),"")</f>
        <v/>
      </c>
      <c r="M206" s="35" t="str">
        <f>IFERROR(IF(A207&lt;&gt;A206,AVERAGEIF(A$9:A206,A206,T$8:T206),""),"")</f>
        <v/>
      </c>
      <c r="N206" s="35" t="str" cm="1">
        <f t="array" ref="N206">IFERROR(IF(A207&lt;&gt;A206,_xlfn.STDEV.P(IF(A$9:A206=A206,T$7:T206)),""),"")</f>
        <v/>
      </c>
      <c r="O206" s="35" t="str" cm="1">
        <f t="array" ref="O206">IFERROR(IF(A207&lt;&gt;A206,_xlfn.STDEV.P(IF(A$9:A206=A206,S$7:S206)),""),"")</f>
        <v/>
      </c>
      <c r="P206" s="36" t="str">
        <f t="shared" si="50"/>
        <v/>
      </c>
      <c r="Q206" s="36" t="str">
        <f t="shared" si="51"/>
        <v/>
      </c>
      <c r="R206" s="36" t="str">
        <f t="shared" ref="R206:R269" si="58">IF(Q206&lt;&gt;"",MAX(P206,Q206),"")</f>
        <v/>
      </c>
      <c r="S206" s="37" t="str">
        <f t="shared" ref="S206:S269" si="59">IF(I206&lt;&gt;"H. Sale Real",IF(AND(I207&lt;&gt;"",LEFT(C207,2)&lt;&gt;"NC"),IF(AND(I206&lt;&gt;"",LEFT(C206,2)&lt;&gt;"NC",I206&lt;&gt;"H. Sale Real"),IF(I207-I206&lt;0.208333333333333,I207-I206,""),IF(AND(I205&lt;&gt;"",LEFT(C205,2)&lt;&gt;"NC",I205&lt;&gt;"H. Sale Real"),IF(I207-I205&lt;0.208333333333333,I207-I205,""),IF(AND(I204&lt;&gt;"",LEFT(C204,2)&lt;&gt;"NC",I204&lt;&gt;"H. Sale Real"),IF(I207-I204&lt;0.208333333333333,I207-I204,""),IF(AND(I203&lt;&gt;"",LEFT(C203,2)&lt;&gt;"NC",I203&lt;&gt;"H. Sale Real"),IF(I207-I203&lt;0.208333333333333,I207-I203,""),IF(AND(I202&lt;&gt;"",LEFT(C202,2)&lt;&gt;"NC",I202&lt;&gt;"H. Sale Real"),IF(I207-I202&lt;0.208333333333333,I207-I202,""),""))))),""),"")</f>
        <v/>
      </c>
      <c r="T206" s="37" t="str">
        <f t="shared" si="52"/>
        <v/>
      </c>
      <c r="U206" s="54"/>
      <c r="V206" s="46"/>
      <c r="W206" s="39" t="str">
        <f t="shared" ref="W206:W269" si="60">IF(G206&lt;&gt;"",IF(AND(W205&lt;&gt;"IE",P206&lt;&gt;0,R206&lt;&gt;""),IF(IFERROR((P206/R206),0) &lt;=1,IFERROR(P206/R206,""),1),""),"")</f>
        <v/>
      </c>
      <c r="X206" s="38"/>
      <c r="Y206" s="48"/>
      <c r="AB206" s="56">
        <f t="shared" ref="AB206:AB269" si="61">HOUR(AH206)+1</f>
        <v>1</v>
      </c>
      <c r="AC206" s="52"/>
      <c r="AD206" s="52"/>
      <c r="AE206" s="29" t="str">
        <f>IFERROR(
IF(AND(OR(AC206="C",AC206="c"), VLOOKUP(AF206,[1]Diccionario!B:N,13,0)="C"), "OK",IF(AND(OR(AC206="C",AC206="c"), OR(VLOOKUP(AF206,[1]Diccionario!B:N,13,0)="B", VLOOKUP(AF206,[1]Diccionario!B:N,13,0)="A")), "DEFICIT",IF(
AND(OR(AC206="B", AC206="BPAL"), VLOOKUP(AF206,[1]Diccionario!B:N,13,0)="B"), "OK",IF(AND(OR(AC206="B", AC206="BPAL"), VLOOKUP(AF206,[1]Diccionario!B:N,13,0)="A"), "DEFICIT",IF(AND(OR(AC206="B", AC206="BPAL"), VLOOKUP(AF206,[1]Diccionario!B:N,13,0)="C"), "SOBREOFERTA",IF(AND(AC206="A", VLOOKUP(AF206,[1]Diccionario!B:N,13,0)="A"), "OK",IF(
AND(AC206="A", OR(VLOOKUP(AF206,[1]Diccionario!B:N,13,0)="B", VLOOKUP(AF206,[1]Diccionario!B:N,13,0)="C")), "SOBREOFERTA",""
))))))),"")</f>
        <v/>
      </c>
      <c r="AF206" s="48"/>
      <c r="AG206" s="53"/>
      <c r="AH206" s="54"/>
      <c r="AI206" s="55" t="str">
        <f t="shared" ref="AI206:AI269" si="62">IF(AJ206="","",IF(AND((AJ206-AH206)&gt;=TIME(0,0,0),(AJ206-AH206)&lt;TIME(0,3,0)),"OK",IF(AND((AJ206-AH206)&gt;=TIME(0,3,0),(AJ206-AH206)&lt;TIME(0,5,0)),"RETRASO DE 3-5 MIN",IF(AND((AJ206-AH206)&gt;=TIME(0,5,0),(AJ206-AH206)&lt;TIME(0,10,0)),"RETRASO DE 5-10 MIN",IF((AJ206-AH206)&gt;=TIME(0,10,0),"RETRASO &gt;10 MIN",         IF(AND((AH206-AJ206)&gt;=TIME(0,0,0),(AH206-AJ206)&lt;TIME(0,3,0)),"OK",IF((AH206-AJ206)&gt;=TIME(0,3,0),"ADELANTADO")))))))</f>
        <v/>
      </c>
      <c r="AJ206" s="46"/>
      <c r="AK206" s="34" t="e">
        <f>IF(AB206&lt;&gt;"",HLOOKUP(VALUE(TEXT(AH206,"h:mm:ss")),IF($C$6="Laboral",[1]Input!$A$4:$Y$227,IF($C$6="Sábado",[1]Input!$A$231:$Y$452,[1]Input!$A$456:$Y$656)),VLOOKUP($C$4,[1]Input!$AG$2:$AI$99,3,0)+IF(AD$5="Ida",0,1),1),"")</f>
        <v>#N/A</v>
      </c>
      <c r="AL206" s="34" t="str">
        <f>IF(AB207&lt;&gt;AB206,AVERAGEIF(AB$9:AB206,AB206,AK$9:AK206),"")</f>
        <v/>
      </c>
      <c r="AM206" s="35" t="str">
        <f>IFERROR(IF(AB207&lt;&gt;AB206,AVERAGEIF(AB$9:AB206,AB206,AT$9:AT206),""),"")</f>
        <v/>
      </c>
      <c r="AN206" s="35" t="str">
        <f>IFERROR(IF(AB207&lt;&gt;AB206,AVERAGEIF(AB$9:AB206,AB206,AU$9:AU206),""),"")</f>
        <v/>
      </c>
      <c r="AO206" s="35" t="str" cm="1">
        <f t="array" ref="AO206">IFERROR(IF(AB207&lt;&gt;AB206,_xlfn.STDEV.P(IF(AB$9:AB206=AB206,AU$9:AU206)),""),"")</f>
        <v/>
      </c>
      <c r="AP206" s="35" t="str" cm="1">
        <f t="array" ref="AP206">IFERROR(IF(AB207&lt;&gt;AB206,_xlfn.STDEV.P(IF(AB$9:AB206=AB206,AT$9:AT206)),""),"")</f>
        <v/>
      </c>
      <c r="AQ206" s="36" t="str">
        <f t="shared" si="53"/>
        <v/>
      </c>
      <c r="AR206" s="36" t="str">
        <f t="shared" si="54"/>
        <v/>
      </c>
      <c r="AS206" s="36" t="str">
        <f t="shared" ref="AS206:AS269" si="63">IF(AR206&lt;&gt;"",MAX(AQ206,AR206),"")</f>
        <v/>
      </c>
      <c r="AT206" s="37" t="str">
        <f t="shared" si="55"/>
        <v/>
      </c>
      <c r="AU206" s="37" t="str">
        <f t="shared" si="56"/>
        <v/>
      </c>
      <c r="AV206" s="54"/>
      <c r="AW206" s="46"/>
      <c r="AX206" s="39" t="str" cm="1">
        <f t="array" ref="AX206">IF(AH206&lt;&gt;"",IF(AND(AX204:AX205&lt;&gt;"IE",AQ206&lt;&gt;0,AS206&lt;&gt;""),IF(IFERROR((AQ206/AS206),0) &lt;=1,IFERROR(AQ206/AS206,""),1),""),"")</f>
        <v/>
      </c>
      <c r="AY206" s="46"/>
      <c r="AZ206" s="57"/>
    </row>
    <row r="207" spans="1:52" ht="15.5" x14ac:dyDescent="0.35">
      <c r="A207" s="51">
        <f t="shared" ref="A207:A270" si="64">HOUR(G207)+1</f>
        <v>1</v>
      </c>
      <c r="B207" s="52"/>
      <c r="C207" s="52"/>
      <c r="D207" s="29" t="str">
        <f>IFERROR(
IF(AND(OR(Planilla!B207="C",Planilla!B207="c"), VLOOKUP(E207,[1]Diccionario!B:N,13,0)="C"), "OK",IF(AND(OR(Planilla!B207="C",Planilla!B207="c"), OR(VLOOKUP(E207,[1]Diccionario!B:N,13,0)="B", VLOOKUP(E207,[1]Diccionario!B:N,13,0)="A")), "DEFICIT",IF(
AND(OR(Planilla!B207="B", Planilla!B207="BPAL"), VLOOKUP(E207,[1]Diccionario!B:N,13,0)="B"), "OK",IF(AND(OR(Planilla!B207="B", Planilla!B207="BPAL"), VLOOKUP(E207,[1]Diccionario!B:N,13,0)="A"), "DEFICIT",IF(AND(OR(Planilla!B207="B", Planilla!B207="BPAL"), VLOOKUP(E207,[1]Diccionario!B:N,13,0)="C"), "SOBREOFERTA",IF(AND(Planilla!B207="A", VLOOKUP(E207,[1]Diccionario!B:N,13,0)="A"), "OK",IF(
AND(Planilla!B207="A", OR(VLOOKUP(E207,[1]Diccionario!B:N,13,0)="B", VLOOKUP(E207,[1]Diccionario!B:N,13,0)="C")), "SOBREOFERTA",""
))))))),"")</f>
        <v/>
      </c>
      <c r="E207" s="48"/>
      <c r="F207" s="53"/>
      <c r="G207" s="54"/>
      <c r="H207" s="55" t="str">
        <f t="shared" si="57"/>
        <v/>
      </c>
      <c r="I207" s="35"/>
      <c r="J207" s="34" t="e">
        <f>IF(A207&lt;&gt;"",HLOOKUP(VALUE(TEXT(G207,"h:mm:ss")),IF($C$6="Laboral",[1]Input!$A$4:$Y$227,IF($C$6="Sábado",[1]Input!$A$231:$Y$452,[1]Input!$A$456:$Y$656)),VLOOKUP($C$4,[1]Input!$AG$2:$AI$99,3,0)+IF(C$5="Ida",0,1),1),"")</f>
        <v>#N/A</v>
      </c>
      <c r="K207" s="34" t="str">
        <f>IF(A208&lt;&gt;A207,AVERAGEIF(A$9:A207,A207,J$13:J207),"")</f>
        <v/>
      </c>
      <c r="L207" s="35" t="str">
        <f>IFERROR(IF(A208&lt;&gt;A207,AVERAGEIF(A$9:A207,A207,S$13:S207),""),"")</f>
        <v/>
      </c>
      <c r="M207" s="35" t="str">
        <f>IFERROR(IF(A208&lt;&gt;A207,AVERAGEIF(A$9:A207,A207,T$8:T207),""),"")</f>
        <v/>
      </c>
      <c r="N207" s="35" t="str" cm="1">
        <f t="array" ref="N207">IFERROR(IF(A208&lt;&gt;A207,_xlfn.STDEV.P(IF(A$9:A207=A207,T$7:T207)),""),"")</f>
        <v/>
      </c>
      <c r="O207" s="35" t="str" cm="1">
        <f t="array" ref="O207">IFERROR(IF(A208&lt;&gt;A207,_xlfn.STDEV.P(IF(A$9:A207=A207,S$7:S207)),""),"")</f>
        <v/>
      </c>
      <c r="P207" s="36" t="str">
        <f t="shared" si="50"/>
        <v/>
      </c>
      <c r="Q207" s="36" t="str">
        <f t="shared" si="51"/>
        <v/>
      </c>
      <c r="R207" s="36" t="str">
        <f t="shared" si="58"/>
        <v/>
      </c>
      <c r="S207" s="37" t="str">
        <f t="shared" si="59"/>
        <v/>
      </c>
      <c r="T207" s="37" t="str">
        <f t="shared" si="52"/>
        <v/>
      </c>
      <c r="U207" s="54"/>
      <c r="V207" s="46"/>
      <c r="W207" s="39" t="str">
        <f t="shared" si="60"/>
        <v/>
      </c>
      <c r="X207" s="38"/>
      <c r="Y207" s="48"/>
      <c r="AB207" s="56">
        <f t="shared" si="61"/>
        <v>1</v>
      </c>
      <c r="AC207" s="52"/>
      <c r="AD207" s="52"/>
      <c r="AE207" s="29" t="str">
        <f>IFERROR(
IF(AND(OR(AC207="C",AC207="c"), VLOOKUP(AF207,[1]Diccionario!B:N,13,0)="C"), "OK",IF(AND(OR(AC207="C",AC207="c"), OR(VLOOKUP(AF207,[1]Diccionario!B:N,13,0)="B", VLOOKUP(AF207,[1]Diccionario!B:N,13,0)="A")), "DEFICIT",IF(
AND(OR(AC207="B", AC207="BPAL"), VLOOKUP(AF207,[1]Diccionario!B:N,13,0)="B"), "OK",IF(AND(OR(AC207="B", AC207="BPAL"), VLOOKUP(AF207,[1]Diccionario!B:N,13,0)="A"), "DEFICIT",IF(AND(OR(AC207="B", AC207="BPAL"), VLOOKUP(AF207,[1]Diccionario!B:N,13,0)="C"), "SOBREOFERTA",IF(AND(AC207="A", VLOOKUP(AF207,[1]Diccionario!B:N,13,0)="A"), "OK",IF(
AND(AC207="A", OR(VLOOKUP(AF207,[1]Diccionario!B:N,13,0)="B", VLOOKUP(AF207,[1]Diccionario!B:N,13,0)="C")), "SOBREOFERTA",""
))))))),"")</f>
        <v/>
      </c>
      <c r="AF207" s="48"/>
      <c r="AG207" s="53"/>
      <c r="AH207" s="54"/>
      <c r="AI207" s="55" t="str">
        <f t="shared" si="62"/>
        <v/>
      </c>
      <c r="AJ207" s="46"/>
      <c r="AK207" s="34" t="e">
        <f>IF(AB207&lt;&gt;"",HLOOKUP(VALUE(TEXT(AH207,"h:mm:ss")),IF($C$6="Laboral",[1]Input!$A$4:$Y$227,IF($C$6="Sábado",[1]Input!$A$231:$Y$452,[1]Input!$A$456:$Y$656)),VLOOKUP($C$4,[1]Input!$AG$2:$AI$99,3,0)+IF(AD$5="Ida",0,1),1),"")</f>
        <v>#N/A</v>
      </c>
      <c r="AL207" s="34" t="str">
        <f>IF(AB208&lt;&gt;AB207,AVERAGEIF(AB$9:AB207,AB207,AK$9:AK207),"")</f>
        <v/>
      </c>
      <c r="AM207" s="35" t="str">
        <f>IFERROR(IF(AB208&lt;&gt;AB207,AVERAGEIF(AB$9:AB207,AB207,AT$9:AT207),""),"")</f>
        <v/>
      </c>
      <c r="AN207" s="35" t="str">
        <f>IFERROR(IF(AB208&lt;&gt;AB207,AVERAGEIF(AB$9:AB207,AB207,AU$9:AU207),""),"")</f>
        <v/>
      </c>
      <c r="AO207" s="35" t="str" cm="1">
        <f t="array" ref="AO207">IFERROR(IF(AB208&lt;&gt;AB207,_xlfn.STDEV.P(IF(AB$9:AB207=AB207,AU$9:AU207)),""),"")</f>
        <v/>
      </c>
      <c r="AP207" s="35" t="str" cm="1">
        <f t="array" ref="AP207">IFERROR(IF(AB208&lt;&gt;AB207,_xlfn.STDEV.P(IF(AB$9:AB207=AB207,AT$9:AT207)),""),"")</f>
        <v/>
      </c>
      <c r="AQ207" s="36" t="str">
        <f t="shared" si="53"/>
        <v/>
      </c>
      <c r="AR207" s="36" t="str">
        <f t="shared" si="54"/>
        <v/>
      </c>
      <c r="AS207" s="36" t="str">
        <f t="shared" si="63"/>
        <v/>
      </c>
      <c r="AT207" s="37" t="str">
        <f t="shared" si="55"/>
        <v/>
      </c>
      <c r="AU207" s="37" t="str">
        <f t="shared" si="56"/>
        <v/>
      </c>
      <c r="AV207" s="54"/>
      <c r="AW207" s="46"/>
      <c r="AX207" s="39" t="str" cm="1">
        <f t="array" ref="AX207">IF(AH207&lt;&gt;"",IF(AND(AX205:AX206&lt;&gt;"IE",AQ207&lt;&gt;0,AS207&lt;&gt;""),IF(IFERROR((AQ207/AS207),0) &lt;=1,IFERROR(AQ207/AS207,""),1),""),"")</f>
        <v/>
      </c>
      <c r="AY207" s="46"/>
      <c r="AZ207" s="57"/>
    </row>
    <row r="208" spans="1:52" ht="15.5" x14ac:dyDescent="0.35">
      <c r="A208" s="51">
        <f t="shared" si="64"/>
        <v>1</v>
      </c>
      <c r="B208" s="52"/>
      <c r="C208" s="52"/>
      <c r="D208" s="29" t="str">
        <f>IFERROR(
IF(AND(OR(Planilla!B208="C",Planilla!B208="c"), VLOOKUP(E208,[1]Diccionario!B:N,13,0)="C"), "OK",IF(AND(OR(Planilla!B208="C",Planilla!B208="c"), OR(VLOOKUP(E208,[1]Diccionario!B:N,13,0)="B", VLOOKUP(E208,[1]Diccionario!B:N,13,0)="A")), "DEFICIT",IF(
AND(OR(Planilla!B208="B", Planilla!B208="BPAL"), VLOOKUP(E208,[1]Diccionario!B:N,13,0)="B"), "OK",IF(AND(OR(Planilla!B208="B", Planilla!B208="BPAL"), VLOOKUP(E208,[1]Diccionario!B:N,13,0)="A"), "DEFICIT",IF(AND(OR(Planilla!B208="B", Planilla!B208="BPAL"), VLOOKUP(E208,[1]Diccionario!B:N,13,0)="C"), "SOBREOFERTA",IF(AND(Planilla!B208="A", VLOOKUP(E208,[1]Diccionario!B:N,13,0)="A"), "OK",IF(
AND(Planilla!B208="A", OR(VLOOKUP(E208,[1]Diccionario!B:N,13,0)="B", VLOOKUP(E208,[1]Diccionario!B:N,13,0)="C")), "SOBREOFERTA",""
))))))),"")</f>
        <v/>
      </c>
      <c r="E208" s="48"/>
      <c r="F208" s="53"/>
      <c r="G208" s="54"/>
      <c r="H208" s="55" t="str">
        <f t="shared" si="57"/>
        <v/>
      </c>
      <c r="I208" s="35"/>
      <c r="J208" s="34" t="e">
        <f>IF(A208&lt;&gt;"",HLOOKUP(VALUE(TEXT(G208,"h:mm:ss")),IF($C$6="Laboral",[1]Input!$A$4:$Y$227,IF($C$6="Sábado",[1]Input!$A$231:$Y$452,[1]Input!$A$456:$Y$656)),VLOOKUP($C$4,[1]Input!$AG$2:$AI$99,3,0)+IF(C$5="Ida",0,1),1),"")</f>
        <v>#N/A</v>
      </c>
      <c r="K208" s="34" t="str">
        <f>IF(A209&lt;&gt;A208,AVERAGEIF(A$9:A208,A208,J$13:J208),"")</f>
        <v/>
      </c>
      <c r="L208" s="35" t="str">
        <f>IFERROR(IF(A209&lt;&gt;A208,AVERAGEIF(A$9:A208,A208,S$13:S208),""),"")</f>
        <v/>
      </c>
      <c r="M208" s="35" t="str">
        <f>IFERROR(IF(A209&lt;&gt;A208,AVERAGEIF(A$9:A208,A208,T$8:T208),""),"")</f>
        <v/>
      </c>
      <c r="N208" s="35" t="str" cm="1">
        <f t="array" ref="N208">IFERROR(IF(A209&lt;&gt;A208,_xlfn.STDEV.P(IF(A$9:A208=A208,T$7:T208)),""),"")</f>
        <v/>
      </c>
      <c r="O208" s="35" t="str" cm="1">
        <f t="array" ref="O208">IFERROR(IF(A209&lt;&gt;A208,_xlfn.STDEV.P(IF(A$9:A208=A208,S$7:S208)),""),"")</f>
        <v/>
      </c>
      <c r="P208" s="36" t="str">
        <f t="shared" si="50"/>
        <v/>
      </c>
      <c r="Q208" s="36" t="str">
        <f t="shared" si="51"/>
        <v/>
      </c>
      <c r="R208" s="36" t="str">
        <f t="shared" si="58"/>
        <v/>
      </c>
      <c r="S208" s="37" t="str">
        <f t="shared" si="59"/>
        <v/>
      </c>
      <c r="T208" s="37" t="str">
        <f t="shared" si="52"/>
        <v/>
      </c>
      <c r="U208" s="54"/>
      <c r="V208" s="46"/>
      <c r="W208" s="39" t="str">
        <f t="shared" si="60"/>
        <v/>
      </c>
      <c r="X208" s="38"/>
      <c r="Y208" s="48"/>
      <c r="AB208" s="56">
        <f t="shared" si="61"/>
        <v>1</v>
      </c>
      <c r="AC208" s="52"/>
      <c r="AD208" s="52"/>
      <c r="AE208" s="29" t="str">
        <f>IFERROR(
IF(AND(OR(AC208="C",AC208="c"), VLOOKUP(AF208,[1]Diccionario!B:N,13,0)="C"), "OK",IF(AND(OR(AC208="C",AC208="c"), OR(VLOOKUP(AF208,[1]Diccionario!B:N,13,0)="B", VLOOKUP(AF208,[1]Diccionario!B:N,13,0)="A")), "DEFICIT",IF(
AND(OR(AC208="B", AC208="BPAL"), VLOOKUP(AF208,[1]Diccionario!B:N,13,0)="B"), "OK",IF(AND(OR(AC208="B", AC208="BPAL"), VLOOKUP(AF208,[1]Diccionario!B:N,13,0)="A"), "DEFICIT",IF(AND(OR(AC208="B", AC208="BPAL"), VLOOKUP(AF208,[1]Diccionario!B:N,13,0)="C"), "SOBREOFERTA",IF(AND(AC208="A", VLOOKUP(AF208,[1]Diccionario!B:N,13,0)="A"), "OK",IF(
AND(AC208="A", OR(VLOOKUP(AF208,[1]Diccionario!B:N,13,0)="B", VLOOKUP(AF208,[1]Diccionario!B:N,13,0)="C")), "SOBREOFERTA",""
))))))),"")</f>
        <v/>
      </c>
      <c r="AF208" s="48"/>
      <c r="AG208" s="53"/>
      <c r="AH208" s="54"/>
      <c r="AI208" s="55" t="str">
        <f t="shared" si="62"/>
        <v/>
      </c>
      <c r="AJ208" s="46"/>
      <c r="AK208" s="34" t="e">
        <f>IF(AB208&lt;&gt;"",HLOOKUP(VALUE(TEXT(AH208,"h:mm:ss")),IF($C$6="Laboral",[1]Input!$A$4:$Y$227,IF($C$6="Sábado",[1]Input!$A$231:$Y$452,[1]Input!$A$456:$Y$656)),VLOOKUP($C$4,[1]Input!$AG$2:$AI$99,3,0)+IF(AD$5="Ida",0,1),1),"")</f>
        <v>#N/A</v>
      </c>
      <c r="AL208" s="34" t="str">
        <f>IF(AB209&lt;&gt;AB208,AVERAGEIF(AB$9:AB208,AB208,AK$9:AK208),"")</f>
        <v/>
      </c>
      <c r="AM208" s="35" t="str">
        <f>IFERROR(IF(AB209&lt;&gt;AB208,AVERAGEIF(AB$9:AB208,AB208,AT$9:AT208),""),"")</f>
        <v/>
      </c>
      <c r="AN208" s="35" t="str">
        <f>IFERROR(IF(AB209&lt;&gt;AB208,AVERAGEIF(AB$9:AB208,AB208,AU$9:AU208),""),"")</f>
        <v/>
      </c>
      <c r="AO208" s="35" t="str" cm="1">
        <f t="array" ref="AO208">IFERROR(IF(AB209&lt;&gt;AB208,_xlfn.STDEV.P(IF(AB$9:AB208=AB208,AU$9:AU208)),""),"")</f>
        <v/>
      </c>
      <c r="AP208" s="35" t="str" cm="1">
        <f t="array" ref="AP208">IFERROR(IF(AB209&lt;&gt;AB208,_xlfn.STDEV.P(IF(AB$9:AB208=AB208,AT$9:AT208)),""),"")</f>
        <v/>
      </c>
      <c r="AQ208" s="36" t="str">
        <f t="shared" si="53"/>
        <v/>
      </c>
      <c r="AR208" s="36" t="str">
        <f t="shared" si="54"/>
        <v/>
      </c>
      <c r="AS208" s="36" t="str">
        <f t="shared" si="63"/>
        <v/>
      </c>
      <c r="AT208" s="37" t="str">
        <f t="shared" si="55"/>
        <v/>
      </c>
      <c r="AU208" s="37" t="str">
        <f t="shared" si="56"/>
        <v/>
      </c>
      <c r="AV208" s="54"/>
      <c r="AW208" s="46"/>
      <c r="AX208" s="39" t="str" cm="1">
        <f t="array" ref="AX208">IF(AH208&lt;&gt;"",IF(AND(AX206:AX207&lt;&gt;"IE",AQ208&lt;&gt;0,AS208&lt;&gt;""),IF(IFERROR((AQ208/AS208),0) &lt;=1,IFERROR(AQ208/AS208,""),1),""),"")</f>
        <v/>
      </c>
      <c r="AY208" s="46"/>
      <c r="AZ208" s="57"/>
    </row>
    <row r="209" spans="1:52" ht="15.5" x14ac:dyDescent="0.35">
      <c r="A209" s="51">
        <f t="shared" si="64"/>
        <v>1</v>
      </c>
      <c r="B209" s="52"/>
      <c r="C209" s="52"/>
      <c r="D209" s="29" t="str">
        <f>IFERROR(
IF(AND(OR(Planilla!B209="C",Planilla!B209="c"), VLOOKUP(E209,[1]Diccionario!B:N,13,0)="C"), "OK",IF(AND(OR(Planilla!B209="C",Planilla!B209="c"), OR(VLOOKUP(E209,[1]Diccionario!B:N,13,0)="B", VLOOKUP(E209,[1]Diccionario!B:N,13,0)="A")), "DEFICIT",IF(
AND(OR(Planilla!B209="B", Planilla!B209="BPAL"), VLOOKUP(E209,[1]Diccionario!B:N,13,0)="B"), "OK",IF(AND(OR(Planilla!B209="B", Planilla!B209="BPAL"), VLOOKUP(E209,[1]Diccionario!B:N,13,0)="A"), "DEFICIT",IF(AND(OR(Planilla!B209="B", Planilla!B209="BPAL"), VLOOKUP(E209,[1]Diccionario!B:N,13,0)="C"), "SOBREOFERTA",IF(AND(Planilla!B209="A", VLOOKUP(E209,[1]Diccionario!B:N,13,0)="A"), "OK",IF(
AND(Planilla!B209="A", OR(VLOOKUP(E209,[1]Diccionario!B:N,13,0)="B", VLOOKUP(E209,[1]Diccionario!B:N,13,0)="C")), "SOBREOFERTA",""
))))))),"")</f>
        <v/>
      </c>
      <c r="E209" s="48"/>
      <c r="F209" s="53"/>
      <c r="G209" s="54"/>
      <c r="H209" s="55" t="str">
        <f t="shared" si="57"/>
        <v/>
      </c>
      <c r="I209" s="35"/>
      <c r="J209" s="34" t="e">
        <f>IF(A209&lt;&gt;"",HLOOKUP(VALUE(TEXT(G209,"h:mm:ss")),IF($C$6="Laboral",[1]Input!$A$4:$Y$227,IF($C$6="Sábado",[1]Input!$A$231:$Y$452,[1]Input!$A$456:$Y$656)),VLOOKUP($C$4,[1]Input!$AG$2:$AI$99,3,0)+IF(C$5="Ida",0,1),1),"")</f>
        <v>#N/A</v>
      </c>
      <c r="K209" s="34" t="str">
        <f>IF(A210&lt;&gt;A209,AVERAGEIF(A$9:A209,A209,J$13:J209),"")</f>
        <v/>
      </c>
      <c r="L209" s="35" t="str">
        <f>IFERROR(IF(A210&lt;&gt;A209,AVERAGEIF(A$9:A209,A209,S$13:S209),""),"")</f>
        <v/>
      </c>
      <c r="M209" s="35" t="str">
        <f>IFERROR(IF(A210&lt;&gt;A209,AVERAGEIF(A$9:A209,A209,T$8:T209),""),"")</f>
        <v/>
      </c>
      <c r="N209" s="35" t="str" cm="1">
        <f t="array" ref="N209">IFERROR(IF(A210&lt;&gt;A209,_xlfn.STDEV.P(IF(A$9:A209=A209,T$7:T209)),""),"")</f>
        <v/>
      </c>
      <c r="O209" s="35" t="str" cm="1">
        <f t="array" ref="O209">IFERROR(IF(A210&lt;&gt;A209,_xlfn.STDEV.P(IF(A$9:A209=A209,S$7:S209)),""),"")</f>
        <v/>
      </c>
      <c r="P209" s="36" t="str">
        <f t="shared" si="50"/>
        <v/>
      </c>
      <c r="Q209" s="36" t="str">
        <f t="shared" si="51"/>
        <v/>
      </c>
      <c r="R209" s="36" t="str">
        <f t="shared" si="58"/>
        <v/>
      </c>
      <c r="S209" s="37" t="str">
        <f t="shared" si="59"/>
        <v/>
      </c>
      <c r="T209" s="37" t="str">
        <f t="shared" si="52"/>
        <v/>
      </c>
      <c r="U209" s="54"/>
      <c r="V209" s="46"/>
      <c r="W209" s="39" t="str">
        <f t="shared" si="60"/>
        <v/>
      </c>
      <c r="X209" s="38"/>
      <c r="Y209" s="48"/>
      <c r="AB209" s="56">
        <f t="shared" si="61"/>
        <v>1</v>
      </c>
      <c r="AC209" s="52"/>
      <c r="AD209" s="52"/>
      <c r="AE209" s="29" t="str">
        <f>IFERROR(
IF(AND(OR(AC209="C",AC209="c"), VLOOKUP(AF209,[1]Diccionario!B:N,13,0)="C"), "OK",IF(AND(OR(AC209="C",AC209="c"), OR(VLOOKUP(AF209,[1]Diccionario!B:N,13,0)="B", VLOOKUP(AF209,[1]Diccionario!B:N,13,0)="A")), "DEFICIT",IF(
AND(OR(AC209="B", AC209="BPAL"), VLOOKUP(AF209,[1]Diccionario!B:N,13,0)="B"), "OK",IF(AND(OR(AC209="B", AC209="BPAL"), VLOOKUP(AF209,[1]Diccionario!B:N,13,0)="A"), "DEFICIT",IF(AND(OR(AC209="B", AC209="BPAL"), VLOOKUP(AF209,[1]Diccionario!B:N,13,0)="C"), "SOBREOFERTA",IF(AND(AC209="A", VLOOKUP(AF209,[1]Diccionario!B:N,13,0)="A"), "OK",IF(
AND(AC209="A", OR(VLOOKUP(AF209,[1]Diccionario!B:N,13,0)="B", VLOOKUP(AF209,[1]Diccionario!B:N,13,0)="C")), "SOBREOFERTA",""
))))))),"")</f>
        <v/>
      </c>
      <c r="AF209" s="48"/>
      <c r="AG209" s="53"/>
      <c r="AH209" s="54"/>
      <c r="AI209" s="55" t="str">
        <f t="shared" si="62"/>
        <v/>
      </c>
      <c r="AJ209" s="46"/>
      <c r="AK209" s="34" t="e">
        <f>IF(AB209&lt;&gt;"",HLOOKUP(VALUE(TEXT(AH209,"h:mm:ss")),IF($C$6="Laboral",[1]Input!$A$4:$Y$227,IF($C$6="Sábado",[1]Input!$A$231:$Y$452,[1]Input!$A$456:$Y$656)),VLOOKUP($C$4,[1]Input!$AG$2:$AI$99,3,0)+IF(AD$5="Ida",0,1),1),"")</f>
        <v>#N/A</v>
      </c>
      <c r="AL209" s="34" t="str">
        <f>IF(AB210&lt;&gt;AB209,AVERAGEIF(AB$9:AB209,AB209,AK$9:AK209),"")</f>
        <v/>
      </c>
      <c r="AM209" s="35" t="str">
        <f>IFERROR(IF(AB210&lt;&gt;AB209,AVERAGEIF(AB$9:AB209,AB209,AT$9:AT209),""),"")</f>
        <v/>
      </c>
      <c r="AN209" s="35" t="str">
        <f>IFERROR(IF(AB210&lt;&gt;AB209,AVERAGEIF(AB$9:AB209,AB209,AU$9:AU209),""),"")</f>
        <v/>
      </c>
      <c r="AO209" s="35" t="str" cm="1">
        <f t="array" ref="AO209">IFERROR(IF(AB210&lt;&gt;AB209,_xlfn.STDEV.P(IF(AB$9:AB209=AB209,AU$9:AU209)),""),"")</f>
        <v/>
      </c>
      <c r="AP209" s="35" t="str" cm="1">
        <f t="array" ref="AP209">IFERROR(IF(AB210&lt;&gt;AB209,_xlfn.STDEV.P(IF(AB$9:AB209=AB209,AT$9:AT209)),""),"")</f>
        <v/>
      </c>
      <c r="AQ209" s="36" t="str">
        <f t="shared" si="53"/>
        <v/>
      </c>
      <c r="AR209" s="36" t="str">
        <f t="shared" si="54"/>
        <v/>
      </c>
      <c r="AS209" s="36" t="str">
        <f t="shared" si="63"/>
        <v/>
      </c>
      <c r="AT209" s="37" t="str">
        <f t="shared" si="55"/>
        <v/>
      </c>
      <c r="AU209" s="37" t="str">
        <f t="shared" si="56"/>
        <v/>
      </c>
      <c r="AV209" s="54"/>
      <c r="AW209" s="46"/>
      <c r="AX209" s="39" t="str" cm="1">
        <f t="array" ref="AX209">IF(AH209&lt;&gt;"",IF(AND(AX207:AX208&lt;&gt;"IE",AQ209&lt;&gt;0,AS209&lt;&gt;""),IF(IFERROR((AQ209/AS209),0) &lt;=1,IFERROR(AQ209/AS209,""),1),""),"")</f>
        <v/>
      </c>
      <c r="AY209" s="46"/>
      <c r="AZ209" s="57"/>
    </row>
    <row r="210" spans="1:52" ht="15.5" x14ac:dyDescent="0.35">
      <c r="A210" s="51">
        <f t="shared" si="64"/>
        <v>1</v>
      </c>
      <c r="B210" s="52"/>
      <c r="C210" s="52"/>
      <c r="D210" s="29" t="str">
        <f>IFERROR(
IF(AND(OR(Planilla!B210="C",Planilla!B210="c"), VLOOKUP(E210,[1]Diccionario!B:N,13,0)="C"), "OK",IF(AND(OR(Planilla!B210="C",Planilla!B210="c"), OR(VLOOKUP(E210,[1]Diccionario!B:N,13,0)="B", VLOOKUP(E210,[1]Diccionario!B:N,13,0)="A")), "DEFICIT",IF(
AND(OR(Planilla!B210="B", Planilla!B210="BPAL"), VLOOKUP(E210,[1]Diccionario!B:N,13,0)="B"), "OK",IF(AND(OR(Planilla!B210="B", Planilla!B210="BPAL"), VLOOKUP(E210,[1]Diccionario!B:N,13,0)="A"), "DEFICIT",IF(AND(OR(Planilla!B210="B", Planilla!B210="BPAL"), VLOOKUP(E210,[1]Diccionario!B:N,13,0)="C"), "SOBREOFERTA",IF(AND(Planilla!B210="A", VLOOKUP(E210,[1]Diccionario!B:N,13,0)="A"), "OK",IF(
AND(Planilla!B210="A", OR(VLOOKUP(E210,[1]Diccionario!B:N,13,0)="B", VLOOKUP(E210,[1]Diccionario!B:N,13,0)="C")), "SOBREOFERTA",""
))))))),"")</f>
        <v/>
      </c>
      <c r="E210" s="48"/>
      <c r="F210" s="53"/>
      <c r="G210" s="54"/>
      <c r="H210" s="55" t="str">
        <f t="shared" si="57"/>
        <v/>
      </c>
      <c r="I210" s="35"/>
      <c r="J210" s="34" t="e">
        <f>IF(A210&lt;&gt;"",HLOOKUP(VALUE(TEXT(G210,"h:mm:ss")),IF($C$6="Laboral",[1]Input!$A$4:$Y$227,IF($C$6="Sábado",[1]Input!$A$231:$Y$452,[1]Input!$A$456:$Y$656)),VLOOKUP($C$4,[1]Input!$AG$2:$AI$99,3,0)+IF(C$5="Ida",0,1),1),"")</f>
        <v>#N/A</v>
      </c>
      <c r="K210" s="34" t="str">
        <f>IF(A211&lt;&gt;A210,AVERAGEIF(A$9:A210,A210,J$13:J210),"")</f>
        <v/>
      </c>
      <c r="L210" s="35" t="str">
        <f>IFERROR(IF(A211&lt;&gt;A210,AVERAGEIF(A$9:A210,A210,S$13:S210),""),"")</f>
        <v/>
      </c>
      <c r="M210" s="35" t="str">
        <f>IFERROR(IF(A211&lt;&gt;A210,AVERAGEIF(A$9:A210,A210,T$8:T210),""),"")</f>
        <v/>
      </c>
      <c r="N210" s="35" t="str" cm="1">
        <f t="array" ref="N210">IFERROR(IF(A211&lt;&gt;A210,_xlfn.STDEV.P(IF(A$9:A210=A210,T$7:T210)),""),"")</f>
        <v/>
      </c>
      <c r="O210" s="35" t="str" cm="1">
        <f t="array" ref="O210">IFERROR(IF(A211&lt;&gt;A210,_xlfn.STDEV.P(IF(A$9:A210=A210,S$7:S210)),""),"")</f>
        <v/>
      </c>
      <c r="P210" s="36" t="str">
        <f t="shared" si="50"/>
        <v/>
      </c>
      <c r="Q210" s="36" t="str">
        <f t="shared" si="51"/>
        <v/>
      </c>
      <c r="R210" s="36" t="str">
        <f t="shared" si="58"/>
        <v/>
      </c>
      <c r="S210" s="37" t="str">
        <f t="shared" si="59"/>
        <v/>
      </c>
      <c r="T210" s="37" t="str">
        <f t="shared" si="52"/>
        <v/>
      </c>
      <c r="U210" s="54"/>
      <c r="V210" s="46"/>
      <c r="W210" s="39" t="str">
        <f t="shared" si="60"/>
        <v/>
      </c>
      <c r="X210" s="38"/>
      <c r="Y210" s="48"/>
      <c r="AB210" s="56">
        <f t="shared" si="61"/>
        <v>1</v>
      </c>
      <c r="AC210" s="52"/>
      <c r="AD210" s="52"/>
      <c r="AE210" s="29" t="str">
        <f>IFERROR(
IF(AND(OR(AC210="C",AC210="c"), VLOOKUP(AF210,[1]Diccionario!B:N,13,0)="C"), "OK",IF(AND(OR(AC210="C",AC210="c"), OR(VLOOKUP(AF210,[1]Diccionario!B:N,13,0)="B", VLOOKUP(AF210,[1]Diccionario!B:N,13,0)="A")), "DEFICIT",IF(
AND(OR(AC210="B", AC210="BPAL"), VLOOKUP(AF210,[1]Diccionario!B:N,13,0)="B"), "OK",IF(AND(OR(AC210="B", AC210="BPAL"), VLOOKUP(AF210,[1]Diccionario!B:N,13,0)="A"), "DEFICIT",IF(AND(OR(AC210="B", AC210="BPAL"), VLOOKUP(AF210,[1]Diccionario!B:N,13,0)="C"), "SOBREOFERTA",IF(AND(AC210="A", VLOOKUP(AF210,[1]Diccionario!B:N,13,0)="A"), "OK",IF(
AND(AC210="A", OR(VLOOKUP(AF210,[1]Diccionario!B:N,13,0)="B", VLOOKUP(AF210,[1]Diccionario!B:N,13,0)="C")), "SOBREOFERTA",""
))))))),"")</f>
        <v/>
      </c>
      <c r="AF210" s="48"/>
      <c r="AG210" s="53"/>
      <c r="AH210" s="54"/>
      <c r="AI210" s="55" t="str">
        <f t="shared" si="62"/>
        <v/>
      </c>
      <c r="AJ210" s="46"/>
      <c r="AK210" s="34" t="e">
        <f>IF(AB210&lt;&gt;"",HLOOKUP(VALUE(TEXT(AH210,"h:mm:ss")),IF($C$6="Laboral",[1]Input!$A$4:$Y$227,IF($C$6="Sábado",[1]Input!$A$231:$Y$452,[1]Input!$A$456:$Y$656)),VLOOKUP($C$4,[1]Input!$AG$2:$AI$99,3,0)+IF(AD$5="Ida",0,1),1),"")</f>
        <v>#N/A</v>
      </c>
      <c r="AL210" s="34" t="str">
        <f>IF(AB211&lt;&gt;AB210,AVERAGEIF(AB$9:AB210,AB210,AK$9:AK210),"")</f>
        <v/>
      </c>
      <c r="AM210" s="35" t="str">
        <f>IFERROR(IF(AB211&lt;&gt;AB210,AVERAGEIF(AB$9:AB210,AB210,AT$9:AT210),""),"")</f>
        <v/>
      </c>
      <c r="AN210" s="35" t="str">
        <f>IFERROR(IF(AB211&lt;&gt;AB210,AVERAGEIF(AB$9:AB210,AB210,AU$9:AU210),""),"")</f>
        <v/>
      </c>
      <c r="AO210" s="35" t="str" cm="1">
        <f t="array" ref="AO210">IFERROR(IF(AB211&lt;&gt;AB210,_xlfn.STDEV.P(IF(AB$9:AB210=AB210,AU$9:AU210)),""),"")</f>
        <v/>
      </c>
      <c r="AP210" s="35" t="str" cm="1">
        <f t="array" ref="AP210">IFERROR(IF(AB211&lt;&gt;AB210,_xlfn.STDEV.P(IF(AB$9:AB210=AB210,AT$9:AT210)),""),"")</f>
        <v/>
      </c>
      <c r="AQ210" s="36" t="str">
        <f t="shared" si="53"/>
        <v/>
      </c>
      <c r="AR210" s="36" t="str">
        <f t="shared" si="54"/>
        <v/>
      </c>
      <c r="AS210" s="36" t="str">
        <f t="shared" si="63"/>
        <v/>
      </c>
      <c r="AT210" s="37" t="str">
        <f t="shared" si="55"/>
        <v/>
      </c>
      <c r="AU210" s="37" t="str">
        <f t="shared" si="56"/>
        <v/>
      </c>
      <c r="AV210" s="54"/>
      <c r="AW210" s="46"/>
      <c r="AX210" s="39" t="str" cm="1">
        <f t="array" ref="AX210">IF(AH210&lt;&gt;"",IF(AND(AX208:AX209&lt;&gt;"IE",AQ210&lt;&gt;0,AS210&lt;&gt;""),IF(IFERROR((AQ210/AS210),0) &lt;=1,IFERROR(AQ210/AS210,""),1),""),"")</f>
        <v/>
      </c>
      <c r="AY210" s="46"/>
      <c r="AZ210" s="57"/>
    </row>
    <row r="211" spans="1:52" ht="15.5" x14ac:dyDescent="0.35">
      <c r="A211" s="51">
        <f t="shared" si="64"/>
        <v>1</v>
      </c>
      <c r="B211" s="52"/>
      <c r="C211" s="52"/>
      <c r="D211" s="29" t="str">
        <f>IFERROR(
IF(AND(OR(Planilla!B211="C",Planilla!B211="c"), VLOOKUP(E211,[1]Diccionario!B:N,13,0)="C"), "OK",IF(AND(OR(Planilla!B211="C",Planilla!B211="c"), OR(VLOOKUP(E211,[1]Diccionario!B:N,13,0)="B", VLOOKUP(E211,[1]Diccionario!B:N,13,0)="A")), "DEFICIT",IF(
AND(OR(Planilla!B211="B", Planilla!B211="BPAL"), VLOOKUP(E211,[1]Diccionario!B:N,13,0)="B"), "OK",IF(AND(OR(Planilla!B211="B", Planilla!B211="BPAL"), VLOOKUP(E211,[1]Diccionario!B:N,13,0)="A"), "DEFICIT",IF(AND(OR(Planilla!B211="B", Planilla!B211="BPAL"), VLOOKUP(E211,[1]Diccionario!B:N,13,0)="C"), "SOBREOFERTA",IF(AND(Planilla!B211="A", VLOOKUP(E211,[1]Diccionario!B:N,13,0)="A"), "OK",IF(
AND(Planilla!B211="A", OR(VLOOKUP(E211,[1]Diccionario!B:N,13,0)="B", VLOOKUP(E211,[1]Diccionario!B:N,13,0)="C")), "SOBREOFERTA",""
))))))),"")</f>
        <v/>
      </c>
      <c r="E211" s="48"/>
      <c r="F211" s="53"/>
      <c r="G211" s="54"/>
      <c r="H211" s="55" t="str">
        <f t="shared" si="57"/>
        <v/>
      </c>
      <c r="I211" s="35"/>
      <c r="J211" s="34" t="e">
        <f>IF(A211&lt;&gt;"",HLOOKUP(VALUE(TEXT(G211,"h:mm:ss")),IF($C$6="Laboral",[1]Input!$A$4:$Y$227,IF($C$6="Sábado",[1]Input!$A$231:$Y$452,[1]Input!$A$456:$Y$656)),VLOOKUP($C$4,[1]Input!$AG$2:$AI$99,3,0)+IF(C$5="Ida",0,1),1),"")</f>
        <v>#N/A</v>
      </c>
      <c r="K211" s="34" t="str">
        <f>IF(A212&lt;&gt;A211,AVERAGEIF(A$9:A211,A211,J$13:J211),"")</f>
        <v/>
      </c>
      <c r="L211" s="35" t="str">
        <f>IFERROR(IF(A212&lt;&gt;A211,AVERAGEIF(A$9:A211,A211,S$13:S211),""),"")</f>
        <v/>
      </c>
      <c r="M211" s="35" t="str">
        <f>IFERROR(IF(A212&lt;&gt;A211,AVERAGEIF(A$9:A211,A211,T$8:T211),""),"")</f>
        <v/>
      </c>
      <c r="N211" s="35" t="str" cm="1">
        <f t="array" ref="N211">IFERROR(IF(A212&lt;&gt;A211,_xlfn.STDEV.P(IF(A$9:A211=A211,T$7:T211)),""),"")</f>
        <v/>
      </c>
      <c r="O211" s="35" t="str" cm="1">
        <f t="array" ref="O211">IFERROR(IF(A212&lt;&gt;A211,_xlfn.STDEV.P(IF(A$9:A211=A211,S$7:S211)),""),"")</f>
        <v/>
      </c>
      <c r="P211" s="36" t="str">
        <f t="shared" si="50"/>
        <v/>
      </c>
      <c r="Q211" s="36" t="str">
        <f t="shared" si="51"/>
        <v/>
      </c>
      <c r="R211" s="36" t="str">
        <f t="shared" si="58"/>
        <v/>
      </c>
      <c r="S211" s="37" t="str">
        <f t="shared" si="59"/>
        <v/>
      </c>
      <c r="T211" s="37" t="str">
        <f t="shared" si="52"/>
        <v/>
      </c>
      <c r="U211" s="54"/>
      <c r="V211" s="46"/>
      <c r="W211" s="39" t="str">
        <f t="shared" si="60"/>
        <v/>
      </c>
      <c r="X211" s="38"/>
      <c r="Y211" s="48"/>
      <c r="AB211" s="56">
        <f t="shared" si="61"/>
        <v>1</v>
      </c>
      <c r="AC211" s="52"/>
      <c r="AD211" s="52"/>
      <c r="AE211" s="29" t="str">
        <f>IFERROR(
IF(AND(OR(AC211="C",AC211="c"), VLOOKUP(AF211,[1]Diccionario!B:N,13,0)="C"), "OK",IF(AND(OR(AC211="C",AC211="c"), OR(VLOOKUP(AF211,[1]Diccionario!B:N,13,0)="B", VLOOKUP(AF211,[1]Diccionario!B:N,13,0)="A")), "DEFICIT",IF(
AND(OR(AC211="B", AC211="BPAL"), VLOOKUP(AF211,[1]Diccionario!B:N,13,0)="B"), "OK",IF(AND(OR(AC211="B", AC211="BPAL"), VLOOKUP(AF211,[1]Diccionario!B:N,13,0)="A"), "DEFICIT",IF(AND(OR(AC211="B", AC211="BPAL"), VLOOKUP(AF211,[1]Diccionario!B:N,13,0)="C"), "SOBREOFERTA",IF(AND(AC211="A", VLOOKUP(AF211,[1]Diccionario!B:N,13,0)="A"), "OK",IF(
AND(AC211="A", OR(VLOOKUP(AF211,[1]Diccionario!B:N,13,0)="B", VLOOKUP(AF211,[1]Diccionario!B:N,13,0)="C")), "SOBREOFERTA",""
))))))),"")</f>
        <v/>
      </c>
      <c r="AF211" s="48"/>
      <c r="AG211" s="53"/>
      <c r="AH211" s="54"/>
      <c r="AI211" s="55" t="str">
        <f t="shared" si="62"/>
        <v/>
      </c>
      <c r="AJ211" s="46"/>
      <c r="AK211" s="34" t="e">
        <f>IF(AB211&lt;&gt;"",HLOOKUP(VALUE(TEXT(AH211,"h:mm:ss")),IF($C$6="Laboral",[1]Input!$A$4:$Y$227,IF($C$6="Sábado",[1]Input!$A$231:$Y$452,[1]Input!$A$456:$Y$656)),VLOOKUP($C$4,[1]Input!$AG$2:$AI$99,3,0)+IF(AD$5="Ida",0,1),1),"")</f>
        <v>#N/A</v>
      </c>
      <c r="AL211" s="34" t="str">
        <f>IF(AB212&lt;&gt;AB211,AVERAGEIF(AB$9:AB211,AB211,AK$9:AK211),"")</f>
        <v/>
      </c>
      <c r="AM211" s="35" t="str">
        <f>IFERROR(IF(AB212&lt;&gt;AB211,AVERAGEIF(AB$9:AB211,AB211,AT$9:AT211),""),"")</f>
        <v/>
      </c>
      <c r="AN211" s="35" t="str">
        <f>IFERROR(IF(AB212&lt;&gt;AB211,AVERAGEIF(AB$9:AB211,AB211,AU$9:AU211),""),"")</f>
        <v/>
      </c>
      <c r="AO211" s="35" t="str" cm="1">
        <f t="array" ref="AO211">IFERROR(IF(AB212&lt;&gt;AB211,_xlfn.STDEV.P(IF(AB$9:AB211=AB211,AU$9:AU211)),""),"")</f>
        <v/>
      </c>
      <c r="AP211" s="35" t="str" cm="1">
        <f t="array" ref="AP211">IFERROR(IF(AB212&lt;&gt;AB211,_xlfn.STDEV.P(IF(AB$9:AB211=AB211,AT$9:AT211)),""),"")</f>
        <v/>
      </c>
      <c r="AQ211" s="36" t="str">
        <f t="shared" si="53"/>
        <v/>
      </c>
      <c r="AR211" s="36" t="str">
        <f t="shared" si="54"/>
        <v/>
      </c>
      <c r="AS211" s="36" t="str">
        <f t="shared" si="63"/>
        <v/>
      </c>
      <c r="AT211" s="37" t="str">
        <f t="shared" si="55"/>
        <v/>
      </c>
      <c r="AU211" s="37" t="str">
        <f t="shared" si="56"/>
        <v/>
      </c>
      <c r="AV211" s="54"/>
      <c r="AW211" s="46"/>
      <c r="AX211" s="39" t="str" cm="1">
        <f t="array" ref="AX211">IF(AH211&lt;&gt;"",IF(AND(AX209:AX210&lt;&gt;"IE",AQ211&lt;&gt;0,AS211&lt;&gt;""),IF(IFERROR((AQ211/AS211),0) &lt;=1,IFERROR(AQ211/AS211,""),1),""),"")</f>
        <v/>
      </c>
      <c r="AY211" s="46"/>
      <c r="AZ211" s="57"/>
    </row>
    <row r="212" spans="1:52" ht="15.5" x14ac:dyDescent="0.35">
      <c r="A212" s="51">
        <f t="shared" si="64"/>
        <v>1</v>
      </c>
      <c r="B212" s="52"/>
      <c r="C212" s="52"/>
      <c r="D212" s="29" t="str">
        <f>IFERROR(
IF(AND(OR(Planilla!B212="C",Planilla!B212="c"), VLOOKUP(E212,[1]Diccionario!B:N,13,0)="C"), "OK",IF(AND(OR(Planilla!B212="C",Planilla!B212="c"), OR(VLOOKUP(E212,[1]Diccionario!B:N,13,0)="B", VLOOKUP(E212,[1]Diccionario!B:N,13,0)="A")), "DEFICIT",IF(
AND(OR(Planilla!B212="B", Planilla!B212="BPAL"), VLOOKUP(E212,[1]Diccionario!B:N,13,0)="B"), "OK",IF(AND(OR(Planilla!B212="B", Planilla!B212="BPAL"), VLOOKUP(E212,[1]Diccionario!B:N,13,0)="A"), "DEFICIT",IF(AND(OR(Planilla!B212="B", Planilla!B212="BPAL"), VLOOKUP(E212,[1]Diccionario!B:N,13,0)="C"), "SOBREOFERTA",IF(AND(Planilla!B212="A", VLOOKUP(E212,[1]Diccionario!B:N,13,0)="A"), "OK",IF(
AND(Planilla!B212="A", OR(VLOOKUP(E212,[1]Diccionario!B:N,13,0)="B", VLOOKUP(E212,[1]Diccionario!B:N,13,0)="C")), "SOBREOFERTA",""
))))))),"")</f>
        <v/>
      </c>
      <c r="E212" s="48"/>
      <c r="F212" s="53"/>
      <c r="G212" s="54"/>
      <c r="H212" s="55" t="str">
        <f t="shared" si="57"/>
        <v/>
      </c>
      <c r="I212" s="35"/>
      <c r="J212" s="34" t="e">
        <f>IF(A212&lt;&gt;"",HLOOKUP(VALUE(TEXT(G212,"h:mm:ss")),IF($C$6="Laboral",[1]Input!$A$4:$Y$227,IF($C$6="Sábado",[1]Input!$A$231:$Y$452,[1]Input!$A$456:$Y$656)),VLOOKUP($C$4,[1]Input!$AG$2:$AI$99,3,0)+IF(C$5="Ida",0,1),1),"")</f>
        <v>#N/A</v>
      </c>
      <c r="K212" s="34" t="str">
        <f>IF(A213&lt;&gt;A212,AVERAGEIF(A$9:A212,A212,J$13:J212),"")</f>
        <v/>
      </c>
      <c r="L212" s="35" t="str">
        <f>IFERROR(IF(A213&lt;&gt;A212,AVERAGEIF(A$9:A212,A212,S$13:S212),""),"")</f>
        <v/>
      </c>
      <c r="M212" s="35" t="str">
        <f>IFERROR(IF(A213&lt;&gt;A212,AVERAGEIF(A$9:A212,A212,T$8:T212),""),"")</f>
        <v/>
      </c>
      <c r="N212" s="35" t="str" cm="1">
        <f t="array" ref="N212">IFERROR(IF(A213&lt;&gt;A212,_xlfn.STDEV.P(IF(A$9:A212=A212,T$7:T212)),""),"")</f>
        <v/>
      </c>
      <c r="O212" s="35" t="str" cm="1">
        <f t="array" ref="O212">IFERROR(IF(A213&lt;&gt;A212,_xlfn.STDEV.P(IF(A$9:A212=A212,S$7:S212)),""),"")</f>
        <v/>
      </c>
      <c r="P212" s="36" t="str">
        <f t="shared" si="50"/>
        <v/>
      </c>
      <c r="Q212" s="36" t="str">
        <f t="shared" si="51"/>
        <v/>
      </c>
      <c r="R212" s="36" t="str">
        <f t="shared" si="58"/>
        <v/>
      </c>
      <c r="S212" s="37" t="str">
        <f t="shared" si="59"/>
        <v/>
      </c>
      <c r="T212" s="37" t="str">
        <f t="shared" si="52"/>
        <v/>
      </c>
      <c r="U212" s="54"/>
      <c r="V212" s="46"/>
      <c r="W212" s="39" t="str">
        <f t="shared" si="60"/>
        <v/>
      </c>
      <c r="X212" s="38"/>
      <c r="Y212" s="48"/>
      <c r="AB212" s="56">
        <f t="shared" si="61"/>
        <v>1</v>
      </c>
      <c r="AC212" s="52"/>
      <c r="AD212" s="52"/>
      <c r="AE212" s="29" t="str">
        <f>IFERROR(
IF(AND(OR(AC212="C",AC212="c"), VLOOKUP(AF212,[1]Diccionario!B:N,13,0)="C"), "OK",IF(AND(OR(AC212="C",AC212="c"), OR(VLOOKUP(AF212,[1]Diccionario!B:N,13,0)="B", VLOOKUP(AF212,[1]Diccionario!B:N,13,0)="A")), "DEFICIT",IF(
AND(OR(AC212="B", AC212="BPAL"), VLOOKUP(AF212,[1]Diccionario!B:N,13,0)="B"), "OK",IF(AND(OR(AC212="B", AC212="BPAL"), VLOOKUP(AF212,[1]Diccionario!B:N,13,0)="A"), "DEFICIT",IF(AND(OR(AC212="B", AC212="BPAL"), VLOOKUP(AF212,[1]Diccionario!B:N,13,0)="C"), "SOBREOFERTA",IF(AND(AC212="A", VLOOKUP(AF212,[1]Diccionario!B:N,13,0)="A"), "OK",IF(
AND(AC212="A", OR(VLOOKUP(AF212,[1]Diccionario!B:N,13,0)="B", VLOOKUP(AF212,[1]Diccionario!B:N,13,0)="C")), "SOBREOFERTA",""
))))))),"")</f>
        <v/>
      </c>
      <c r="AF212" s="48"/>
      <c r="AG212" s="53"/>
      <c r="AH212" s="54"/>
      <c r="AI212" s="55" t="str">
        <f t="shared" si="62"/>
        <v/>
      </c>
      <c r="AJ212" s="46"/>
      <c r="AK212" s="34" t="e">
        <f>IF(AB212&lt;&gt;"",HLOOKUP(VALUE(TEXT(AH212,"h:mm:ss")),IF($C$6="Laboral",[1]Input!$A$4:$Y$227,IF($C$6="Sábado",[1]Input!$A$231:$Y$452,[1]Input!$A$456:$Y$656)),VLOOKUP($C$4,[1]Input!$AG$2:$AI$99,3,0)+IF(AD$5="Ida",0,1),1),"")</f>
        <v>#N/A</v>
      </c>
      <c r="AL212" s="34" t="str">
        <f>IF(AB213&lt;&gt;AB212,AVERAGEIF(AB$9:AB212,AB212,AK$9:AK212),"")</f>
        <v/>
      </c>
      <c r="AM212" s="35" t="str">
        <f>IFERROR(IF(AB213&lt;&gt;AB212,AVERAGEIF(AB$9:AB212,AB212,AT$9:AT212),""),"")</f>
        <v/>
      </c>
      <c r="AN212" s="35" t="str">
        <f>IFERROR(IF(AB213&lt;&gt;AB212,AVERAGEIF(AB$9:AB212,AB212,AU$9:AU212),""),"")</f>
        <v/>
      </c>
      <c r="AO212" s="35" t="str" cm="1">
        <f t="array" ref="AO212">IFERROR(IF(AB213&lt;&gt;AB212,_xlfn.STDEV.P(IF(AB$9:AB212=AB212,AU$9:AU212)),""),"")</f>
        <v/>
      </c>
      <c r="AP212" s="35" t="str" cm="1">
        <f t="array" ref="AP212">IFERROR(IF(AB213&lt;&gt;AB212,_xlfn.STDEV.P(IF(AB$9:AB212=AB212,AT$9:AT212)),""),"")</f>
        <v/>
      </c>
      <c r="AQ212" s="36" t="str">
        <f t="shared" si="53"/>
        <v/>
      </c>
      <c r="AR212" s="36" t="str">
        <f t="shared" si="54"/>
        <v/>
      </c>
      <c r="AS212" s="36" t="str">
        <f t="shared" si="63"/>
        <v/>
      </c>
      <c r="AT212" s="37" t="str">
        <f t="shared" si="55"/>
        <v/>
      </c>
      <c r="AU212" s="37" t="str">
        <f t="shared" si="56"/>
        <v/>
      </c>
      <c r="AV212" s="54"/>
      <c r="AW212" s="46"/>
      <c r="AX212" s="39" t="str" cm="1">
        <f t="array" ref="AX212">IF(AH212&lt;&gt;"",IF(AND(AX210:AX211&lt;&gt;"IE",AQ212&lt;&gt;0,AS212&lt;&gt;""),IF(IFERROR((AQ212/AS212),0) &lt;=1,IFERROR(AQ212/AS212,""),1),""),"")</f>
        <v/>
      </c>
      <c r="AY212" s="46"/>
      <c r="AZ212" s="57"/>
    </row>
    <row r="213" spans="1:52" ht="15.5" x14ac:dyDescent="0.35">
      <c r="A213" s="51">
        <f t="shared" si="64"/>
        <v>1</v>
      </c>
      <c r="B213" s="52"/>
      <c r="C213" s="52"/>
      <c r="D213" s="29" t="str">
        <f>IFERROR(
IF(AND(OR(Planilla!B213="C",Planilla!B213="c"), VLOOKUP(E213,[1]Diccionario!B:N,13,0)="C"), "OK",IF(AND(OR(Planilla!B213="C",Planilla!B213="c"), OR(VLOOKUP(E213,[1]Diccionario!B:N,13,0)="B", VLOOKUP(E213,[1]Diccionario!B:N,13,0)="A")), "DEFICIT",IF(
AND(OR(Planilla!B213="B", Planilla!B213="BPAL"), VLOOKUP(E213,[1]Diccionario!B:N,13,0)="B"), "OK",IF(AND(OR(Planilla!B213="B", Planilla!B213="BPAL"), VLOOKUP(E213,[1]Diccionario!B:N,13,0)="A"), "DEFICIT",IF(AND(OR(Planilla!B213="B", Planilla!B213="BPAL"), VLOOKUP(E213,[1]Diccionario!B:N,13,0)="C"), "SOBREOFERTA",IF(AND(Planilla!B213="A", VLOOKUP(E213,[1]Diccionario!B:N,13,0)="A"), "OK",IF(
AND(Planilla!B213="A", OR(VLOOKUP(E213,[1]Diccionario!B:N,13,0)="B", VLOOKUP(E213,[1]Diccionario!B:N,13,0)="C")), "SOBREOFERTA",""
))))))),"")</f>
        <v/>
      </c>
      <c r="E213" s="48"/>
      <c r="F213" s="53"/>
      <c r="G213" s="54"/>
      <c r="H213" s="55" t="str">
        <f t="shared" si="57"/>
        <v/>
      </c>
      <c r="I213" s="35"/>
      <c r="J213" s="34" t="e">
        <f>IF(A213&lt;&gt;"",HLOOKUP(VALUE(TEXT(G213,"h:mm:ss")),IF($C$6="Laboral",[1]Input!$A$4:$Y$227,IF($C$6="Sábado",[1]Input!$A$231:$Y$452,[1]Input!$A$456:$Y$656)),VLOOKUP($C$4,[1]Input!$AG$2:$AI$99,3,0)+IF(C$5="Ida",0,1),1),"")</f>
        <v>#N/A</v>
      </c>
      <c r="K213" s="34" t="str">
        <f>IF(A214&lt;&gt;A213,AVERAGEIF(A$9:A213,A213,J$13:J213),"")</f>
        <v/>
      </c>
      <c r="L213" s="35" t="str">
        <f>IFERROR(IF(A214&lt;&gt;A213,AVERAGEIF(A$9:A213,A213,S$13:S213),""),"")</f>
        <v/>
      </c>
      <c r="M213" s="35" t="str">
        <f>IFERROR(IF(A214&lt;&gt;A213,AVERAGEIF(A$9:A213,A213,T$8:T213),""),"")</f>
        <v/>
      </c>
      <c r="N213" s="35" t="str" cm="1">
        <f t="array" ref="N213">IFERROR(IF(A214&lt;&gt;A213,_xlfn.STDEV.P(IF(A$9:A213=A213,T$7:T213)),""),"")</f>
        <v/>
      </c>
      <c r="O213" s="35" t="str" cm="1">
        <f t="array" ref="O213">IFERROR(IF(A214&lt;&gt;A213,_xlfn.STDEV.P(IF(A$9:A213=A213,S$7:S213)),""),"")</f>
        <v/>
      </c>
      <c r="P213" s="36" t="str">
        <f t="shared" si="50"/>
        <v/>
      </c>
      <c r="Q213" s="36" t="str">
        <f t="shared" si="51"/>
        <v/>
      </c>
      <c r="R213" s="36" t="str">
        <f t="shared" si="58"/>
        <v/>
      </c>
      <c r="S213" s="37" t="str">
        <f t="shared" si="59"/>
        <v/>
      </c>
      <c r="T213" s="37" t="str">
        <f t="shared" si="52"/>
        <v/>
      </c>
      <c r="U213" s="54"/>
      <c r="V213" s="46"/>
      <c r="W213" s="39" t="str">
        <f t="shared" si="60"/>
        <v/>
      </c>
      <c r="X213" s="38"/>
      <c r="Y213" s="48"/>
      <c r="AB213" s="56">
        <f t="shared" si="61"/>
        <v>1</v>
      </c>
      <c r="AC213" s="52"/>
      <c r="AD213" s="52"/>
      <c r="AE213" s="29" t="str">
        <f>IFERROR(
IF(AND(OR(AC213="C",AC213="c"), VLOOKUP(AF213,[1]Diccionario!B:N,13,0)="C"), "OK",IF(AND(OR(AC213="C",AC213="c"), OR(VLOOKUP(AF213,[1]Diccionario!B:N,13,0)="B", VLOOKUP(AF213,[1]Diccionario!B:N,13,0)="A")), "DEFICIT",IF(
AND(OR(AC213="B", AC213="BPAL"), VLOOKUP(AF213,[1]Diccionario!B:N,13,0)="B"), "OK",IF(AND(OR(AC213="B", AC213="BPAL"), VLOOKUP(AF213,[1]Diccionario!B:N,13,0)="A"), "DEFICIT",IF(AND(OR(AC213="B", AC213="BPAL"), VLOOKUP(AF213,[1]Diccionario!B:N,13,0)="C"), "SOBREOFERTA",IF(AND(AC213="A", VLOOKUP(AF213,[1]Diccionario!B:N,13,0)="A"), "OK",IF(
AND(AC213="A", OR(VLOOKUP(AF213,[1]Diccionario!B:N,13,0)="B", VLOOKUP(AF213,[1]Diccionario!B:N,13,0)="C")), "SOBREOFERTA",""
))))))),"")</f>
        <v/>
      </c>
      <c r="AF213" s="48"/>
      <c r="AG213" s="53"/>
      <c r="AH213" s="54"/>
      <c r="AI213" s="55" t="str">
        <f t="shared" si="62"/>
        <v/>
      </c>
      <c r="AJ213" s="46"/>
      <c r="AK213" s="34" t="e">
        <f>IF(AB213&lt;&gt;"",HLOOKUP(VALUE(TEXT(AH213,"h:mm:ss")),IF($C$6="Laboral",[1]Input!$A$4:$Y$227,IF($C$6="Sábado",[1]Input!$A$231:$Y$452,[1]Input!$A$456:$Y$656)),VLOOKUP($C$4,[1]Input!$AG$2:$AI$99,3,0)+IF(AD$5="Ida",0,1),1),"")</f>
        <v>#N/A</v>
      </c>
      <c r="AL213" s="34" t="str">
        <f>IF(AB214&lt;&gt;AB213,AVERAGEIF(AB$9:AB213,AB213,AK$9:AK213),"")</f>
        <v/>
      </c>
      <c r="AM213" s="35" t="str">
        <f>IFERROR(IF(AB214&lt;&gt;AB213,AVERAGEIF(AB$9:AB213,AB213,AT$9:AT213),""),"")</f>
        <v/>
      </c>
      <c r="AN213" s="35" t="str">
        <f>IFERROR(IF(AB214&lt;&gt;AB213,AVERAGEIF(AB$9:AB213,AB213,AU$9:AU213),""),"")</f>
        <v/>
      </c>
      <c r="AO213" s="35" t="str" cm="1">
        <f t="array" ref="AO213">IFERROR(IF(AB214&lt;&gt;AB213,_xlfn.STDEV.P(IF(AB$9:AB213=AB213,AU$9:AU213)),""),"")</f>
        <v/>
      </c>
      <c r="AP213" s="35" t="str" cm="1">
        <f t="array" ref="AP213">IFERROR(IF(AB214&lt;&gt;AB213,_xlfn.STDEV.P(IF(AB$9:AB213=AB213,AT$9:AT213)),""),"")</f>
        <v/>
      </c>
      <c r="AQ213" s="36" t="str">
        <f t="shared" si="53"/>
        <v/>
      </c>
      <c r="AR213" s="36" t="str">
        <f t="shared" si="54"/>
        <v/>
      </c>
      <c r="AS213" s="36" t="str">
        <f t="shared" si="63"/>
        <v/>
      </c>
      <c r="AT213" s="37" t="str">
        <f t="shared" si="55"/>
        <v/>
      </c>
      <c r="AU213" s="37" t="str">
        <f t="shared" si="56"/>
        <v/>
      </c>
      <c r="AV213" s="54"/>
      <c r="AW213" s="46"/>
      <c r="AX213" s="39" t="str" cm="1">
        <f t="array" ref="AX213">IF(AH213&lt;&gt;"",IF(AND(AX211:AX212&lt;&gt;"IE",AQ213&lt;&gt;0,AS213&lt;&gt;""),IF(IFERROR((AQ213/AS213),0) &lt;=1,IFERROR(AQ213/AS213,""),1),""),"")</f>
        <v/>
      </c>
      <c r="AY213" s="46"/>
      <c r="AZ213" s="57"/>
    </row>
    <row r="214" spans="1:52" ht="15.5" x14ac:dyDescent="0.35">
      <c r="A214" s="51">
        <f t="shared" si="64"/>
        <v>1</v>
      </c>
      <c r="B214" s="52"/>
      <c r="C214" s="52"/>
      <c r="D214" s="29" t="str">
        <f>IFERROR(
IF(AND(OR(Planilla!B214="C",Planilla!B214="c"), VLOOKUP(E214,[1]Diccionario!B:N,13,0)="C"), "OK",IF(AND(OR(Planilla!B214="C",Planilla!B214="c"), OR(VLOOKUP(E214,[1]Diccionario!B:N,13,0)="B", VLOOKUP(E214,[1]Diccionario!B:N,13,0)="A")), "DEFICIT",IF(
AND(OR(Planilla!B214="B", Planilla!B214="BPAL"), VLOOKUP(E214,[1]Diccionario!B:N,13,0)="B"), "OK",IF(AND(OR(Planilla!B214="B", Planilla!B214="BPAL"), VLOOKUP(E214,[1]Diccionario!B:N,13,0)="A"), "DEFICIT",IF(AND(OR(Planilla!B214="B", Planilla!B214="BPAL"), VLOOKUP(E214,[1]Diccionario!B:N,13,0)="C"), "SOBREOFERTA",IF(AND(Planilla!B214="A", VLOOKUP(E214,[1]Diccionario!B:N,13,0)="A"), "OK",IF(
AND(Planilla!B214="A", OR(VLOOKUP(E214,[1]Diccionario!B:N,13,0)="B", VLOOKUP(E214,[1]Diccionario!B:N,13,0)="C")), "SOBREOFERTA",""
))))))),"")</f>
        <v/>
      </c>
      <c r="E214" s="48"/>
      <c r="F214" s="53"/>
      <c r="G214" s="54"/>
      <c r="H214" s="55" t="str">
        <f t="shared" si="57"/>
        <v/>
      </c>
      <c r="I214" s="35"/>
      <c r="J214" s="34" t="e">
        <f>IF(A214&lt;&gt;"",HLOOKUP(VALUE(TEXT(G214,"h:mm:ss")),IF($C$6="Laboral",[1]Input!$A$4:$Y$227,IF($C$6="Sábado",[1]Input!$A$231:$Y$452,[1]Input!$A$456:$Y$656)),VLOOKUP($C$4,[1]Input!$AG$2:$AI$99,3,0)+IF(C$5="Ida",0,1),1),"")</f>
        <v>#N/A</v>
      </c>
      <c r="K214" s="34" t="str">
        <f>IF(A215&lt;&gt;A214,AVERAGEIF(A$9:A214,A214,J$13:J214),"")</f>
        <v/>
      </c>
      <c r="L214" s="35" t="str">
        <f>IFERROR(IF(A215&lt;&gt;A214,AVERAGEIF(A$9:A214,A214,S$13:S214),""),"")</f>
        <v/>
      </c>
      <c r="M214" s="35" t="str">
        <f>IFERROR(IF(A215&lt;&gt;A214,AVERAGEIF(A$9:A214,A214,T$8:T214),""),"")</f>
        <v/>
      </c>
      <c r="N214" s="35" t="str" cm="1">
        <f t="array" ref="N214">IFERROR(IF(A215&lt;&gt;A214,_xlfn.STDEV.P(IF(A$9:A214=A214,T$7:T214)),""),"")</f>
        <v/>
      </c>
      <c r="O214" s="35" t="str" cm="1">
        <f t="array" ref="O214">IFERROR(IF(A215&lt;&gt;A214,_xlfn.STDEV.P(IF(A$9:A214=A214,S$7:S214)),""),"")</f>
        <v/>
      </c>
      <c r="P214" s="36" t="str">
        <f t="shared" si="50"/>
        <v/>
      </c>
      <c r="Q214" s="36" t="str">
        <f t="shared" si="51"/>
        <v/>
      </c>
      <c r="R214" s="36" t="str">
        <f t="shared" si="58"/>
        <v/>
      </c>
      <c r="S214" s="37" t="str">
        <f t="shared" si="59"/>
        <v/>
      </c>
      <c r="T214" s="37" t="str">
        <f t="shared" si="52"/>
        <v/>
      </c>
      <c r="U214" s="54"/>
      <c r="V214" s="46"/>
      <c r="W214" s="39" t="str">
        <f t="shared" si="60"/>
        <v/>
      </c>
      <c r="X214" s="38"/>
      <c r="Y214" s="48"/>
      <c r="AB214" s="56">
        <f t="shared" si="61"/>
        <v>1</v>
      </c>
      <c r="AC214" s="52"/>
      <c r="AD214" s="52"/>
      <c r="AE214" s="29" t="str">
        <f>IFERROR(
IF(AND(OR(AC214="C",AC214="c"), VLOOKUP(AF214,[1]Diccionario!B:N,13,0)="C"), "OK",IF(AND(OR(AC214="C",AC214="c"), OR(VLOOKUP(AF214,[1]Diccionario!B:N,13,0)="B", VLOOKUP(AF214,[1]Diccionario!B:N,13,0)="A")), "DEFICIT",IF(
AND(OR(AC214="B", AC214="BPAL"), VLOOKUP(AF214,[1]Diccionario!B:N,13,0)="B"), "OK",IF(AND(OR(AC214="B", AC214="BPAL"), VLOOKUP(AF214,[1]Diccionario!B:N,13,0)="A"), "DEFICIT",IF(AND(OR(AC214="B", AC214="BPAL"), VLOOKUP(AF214,[1]Diccionario!B:N,13,0)="C"), "SOBREOFERTA",IF(AND(AC214="A", VLOOKUP(AF214,[1]Diccionario!B:N,13,0)="A"), "OK",IF(
AND(AC214="A", OR(VLOOKUP(AF214,[1]Diccionario!B:N,13,0)="B", VLOOKUP(AF214,[1]Diccionario!B:N,13,0)="C")), "SOBREOFERTA",""
))))))),"")</f>
        <v/>
      </c>
      <c r="AF214" s="48"/>
      <c r="AG214" s="53"/>
      <c r="AH214" s="54"/>
      <c r="AI214" s="55" t="str">
        <f t="shared" si="62"/>
        <v/>
      </c>
      <c r="AJ214" s="46"/>
      <c r="AK214" s="34" t="e">
        <f>IF(AB214&lt;&gt;"",HLOOKUP(VALUE(TEXT(AH214,"h:mm:ss")),IF($C$6="Laboral",[1]Input!$A$4:$Y$227,IF($C$6="Sábado",[1]Input!$A$231:$Y$452,[1]Input!$A$456:$Y$656)),VLOOKUP($C$4,[1]Input!$AG$2:$AI$99,3,0)+IF(AD$5="Ida",0,1),1),"")</f>
        <v>#N/A</v>
      </c>
      <c r="AL214" s="34" t="str">
        <f>IF(AB215&lt;&gt;AB214,AVERAGEIF(AB$9:AB214,AB214,AK$9:AK214),"")</f>
        <v/>
      </c>
      <c r="AM214" s="35" t="str">
        <f>IFERROR(IF(AB215&lt;&gt;AB214,AVERAGEIF(AB$9:AB214,AB214,AT$9:AT214),""),"")</f>
        <v/>
      </c>
      <c r="AN214" s="35" t="str">
        <f>IFERROR(IF(AB215&lt;&gt;AB214,AVERAGEIF(AB$9:AB214,AB214,AU$9:AU214),""),"")</f>
        <v/>
      </c>
      <c r="AO214" s="35" t="str" cm="1">
        <f t="array" ref="AO214">IFERROR(IF(AB215&lt;&gt;AB214,_xlfn.STDEV.P(IF(AB$9:AB214=AB214,AU$9:AU214)),""),"")</f>
        <v/>
      </c>
      <c r="AP214" s="35" t="str" cm="1">
        <f t="array" ref="AP214">IFERROR(IF(AB215&lt;&gt;AB214,_xlfn.STDEV.P(IF(AB$9:AB214=AB214,AT$9:AT214)),""),"")</f>
        <v/>
      </c>
      <c r="AQ214" s="36" t="str">
        <f t="shared" si="53"/>
        <v/>
      </c>
      <c r="AR214" s="36" t="str">
        <f t="shared" si="54"/>
        <v/>
      </c>
      <c r="AS214" s="36" t="str">
        <f t="shared" si="63"/>
        <v/>
      </c>
      <c r="AT214" s="37" t="str">
        <f t="shared" si="55"/>
        <v/>
      </c>
      <c r="AU214" s="37" t="str">
        <f t="shared" si="56"/>
        <v/>
      </c>
      <c r="AV214" s="54"/>
      <c r="AW214" s="46"/>
      <c r="AX214" s="39" t="str" cm="1">
        <f t="array" ref="AX214">IF(AH214&lt;&gt;"",IF(AND(AX212:AX213&lt;&gt;"IE",AQ214&lt;&gt;0,AS214&lt;&gt;""),IF(IFERROR((AQ214/AS214),0) &lt;=1,IFERROR(AQ214/AS214,""),1),""),"")</f>
        <v/>
      </c>
      <c r="AY214" s="46"/>
      <c r="AZ214" s="57"/>
    </row>
    <row r="215" spans="1:52" ht="15.5" x14ac:dyDescent="0.35">
      <c r="A215" s="51">
        <f t="shared" si="64"/>
        <v>1</v>
      </c>
      <c r="B215" s="52"/>
      <c r="C215" s="52"/>
      <c r="D215" s="29" t="str">
        <f>IFERROR(
IF(AND(OR(Planilla!B215="C",Planilla!B215="c"), VLOOKUP(E215,[1]Diccionario!B:N,13,0)="C"), "OK",IF(AND(OR(Planilla!B215="C",Planilla!B215="c"), OR(VLOOKUP(E215,[1]Diccionario!B:N,13,0)="B", VLOOKUP(E215,[1]Diccionario!B:N,13,0)="A")), "DEFICIT",IF(
AND(OR(Planilla!B215="B", Planilla!B215="BPAL"), VLOOKUP(E215,[1]Diccionario!B:N,13,0)="B"), "OK",IF(AND(OR(Planilla!B215="B", Planilla!B215="BPAL"), VLOOKUP(E215,[1]Diccionario!B:N,13,0)="A"), "DEFICIT",IF(AND(OR(Planilla!B215="B", Planilla!B215="BPAL"), VLOOKUP(E215,[1]Diccionario!B:N,13,0)="C"), "SOBREOFERTA",IF(AND(Planilla!B215="A", VLOOKUP(E215,[1]Diccionario!B:N,13,0)="A"), "OK",IF(
AND(Planilla!B215="A", OR(VLOOKUP(E215,[1]Diccionario!B:N,13,0)="B", VLOOKUP(E215,[1]Diccionario!B:N,13,0)="C")), "SOBREOFERTA",""
))))))),"")</f>
        <v/>
      </c>
      <c r="E215" s="48"/>
      <c r="F215" s="53"/>
      <c r="G215" s="54"/>
      <c r="H215" s="55" t="str">
        <f t="shared" si="57"/>
        <v/>
      </c>
      <c r="I215" s="35"/>
      <c r="J215" s="34" t="e">
        <f>IF(A215&lt;&gt;"",HLOOKUP(VALUE(TEXT(G215,"h:mm:ss")),IF($C$6="Laboral",[1]Input!$A$4:$Y$227,IF($C$6="Sábado",[1]Input!$A$231:$Y$452,[1]Input!$A$456:$Y$656)),VLOOKUP($C$4,[1]Input!$AG$2:$AI$99,3,0)+IF(C$5="Ida",0,1),1),"")</f>
        <v>#N/A</v>
      </c>
      <c r="K215" s="34" t="str">
        <f>IF(A216&lt;&gt;A215,AVERAGEIF(A$9:A215,A215,J$13:J215),"")</f>
        <v/>
      </c>
      <c r="L215" s="35" t="str">
        <f>IFERROR(IF(A216&lt;&gt;A215,AVERAGEIF(A$9:A215,A215,S$13:S215),""),"")</f>
        <v/>
      </c>
      <c r="M215" s="35" t="str">
        <f>IFERROR(IF(A216&lt;&gt;A215,AVERAGEIF(A$9:A215,A215,T$8:T215),""),"")</f>
        <v/>
      </c>
      <c r="N215" s="35" t="str" cm="1">
        <f t="array" ref="N215">IFERROR(IF(A216&lt;&gt;A215,_xlfn.STDEV.P(IF(A$9:A215=A215,T$7:T215)),""),"")</f>
        <v/>
      </c>
      <c r="O215" s="35" t="str" cm="1">
        <f t="array" ref="O215">IFERROR(IF(A216&lt;&gt;A215,_xlfn.STDEV.P(IF(A$9:A215=A215,S$7:S215)),""),"")</f>
        <v/>
      </c>
      <c r="P215" s="36" t="str">
        <f t="shared" si="50"/>
        <v/>
      </c>
      <c r="Q215" s="36" t="str">
        <f t="shared" si="51"/>
        <v/>
      </c>
      <c r="R215" s="36" t="str">
        <f t="shared" si="58"/>
        <v/>
      </c>
      <c r="S215" s="37" t="str">
        <f t="shared" si="59"/>
        <v/>
      </c>
      <c r="T215" s="37" t="str">
        <f t="shared" si="52"/>
        <v/>
      </c>
      <c r="U215" s="54"/>
      <c r="V215" s="46"/>
      <c r="W215" s="39" t="str">
        <f t="shared" si="60"/>
        <v/>
      </c>
      <c r="X215" s="38"/>
      <c r="Y215" s="48"/>
      <c r="AB215" s="56">
        <f t="shared" si="61"/>
        <v>1</v>
      </c>
      <c r="AC215" s="52"/>
      <c r="AD215" s="52"/>
      <c r="AE215" s="29" t="str">
        <f>IFERROR(
IF(AND(OR(AC215="C",AC215="c"), VLOOKUP(AF215,[1]Diccionario!B:N,13,0)="C"), "OK",IF(AND(OR(AC215="C",AC215="c"), OR(VLOOKUP(AF215,[1]Diccionario!B:N,13,0)="B", VLOOKUP(AF215,[1]Diccionario!B:N,13,0)="A")), "DEFICIT",IF(
AND(OR(AC215="B", AC215="BPAL"), VLOOKUP(AF215,[1]Diccionario!B:N,13,0)="B"), "OK",IF(AND(OR(AC215="B", AC215="BPAL"), VLOOKUP(AF215,[1]Diccionario!B:N,13,0)="A"), "DEFICIT",IF(AND(OR(AC215="B", AC215="BPAL"), VLOOKUP(AF215,[1]Diccionario!B:N,13,0)="C"), "SOBREOFERTA",IF(AND(AC215="A", VLOOKUP(AF215,[1]Diccionario!B:N,13,0)="A"), "OK",IF(
AND(AC215="A", OR(VLOOKUP(AF215,[1]Diccionario!B:N,13,0)="B", VLOOKUP(AF215,[1]Diccionario!B:N,13,0)="C")), "SOBREOFERTA",""
))))))),"")</f>
        <v/>
      </c>
      <c r="AF215" s="48"/>
      <c r="AG215" s="53"/>
      <c r="AH215" s="54"/>
      <c r="AI215" s="55" t="str">
        <f t="shared" si="62"/>
        <v/>
      </c>
      <c r="AJ215" s="46"/>
      <c r="AK215" s="34" t="e">
        <f>IF(AB215&lt;&gt;"",HLOOKUP(VALUE(TEXT(AH215,"h:mm:ss")),IF($C$6="Laboral",[1]Input!$A$4:$Y$227,IF($C$6="Sábado",[1]Input!$A$231:$Y$452,[1]Input!$A$456:$Y$656)),VLOOKUP($C$4,[1]Input!$AG$2:$AI$99,3,0)+IF(AD$5="Ida",0,1),1),"")</f>
        <v>#N/A</v>
      </c>
      <c r="AL215" s="34" t="str">
        <f>IF(AB216&lt;&gt;AB215,AVERAGEIF(AB$9:AB215,AB215,AK$9:AK215),"")</f>
        <v/>
      </c>
      <c r="AM215" s="35" t="str">
        <f>IFERROR(IF(AB216&lt;&gt;AB215,AVERAGEIF(AB$9:AB215,AB215,AT$9:AT215),""),"")</f>
        <v/>
      </c>
      <c r="AN215" s="35" t="str">
        <f>IFERROR(IF(AB216&lt;&gt;AB215,AVERAGEIF(AB$9:AB215,AB215,AU$9:AU215),""),"")</f>
        <v/>
      </c>
      <c r="AO215" s="35" t="str" cm="1">
        <f t="array" ref="AO215">IFERROR(IF(AB216&lt;&gt;AB215,_xlfn.STDEV.P(IF(AB$9:AB215=AB215,AU$9:AU215)),""),"")</f>
        <v/>
      </c>
      <c r="AP215" s="35" t="str" cm="1">
        <f t="array" ref="AP215">IFERROR(IF(AB216&lt;&gt;AB215,_xlfn.STDEV.P(IF(AB$9:AB215=AB215,AT$9:AT215)),""),"")</f>
        <v/>
      </c>
      <c r="AQ215" s="36" t="str">
        <f t="shared" si="53"/>
        <v/>
      </c>
      <c r="AR215" s="36" t="str">
        <f t="shared" si="54"/>
        <v/>
      </c>
      <c r="AS215" s="36" t="str">
        <f t="shared" si="63"/>
        <v/>
      </c>
      <c r="AT215" s="37" t="str">
        <f t="shared" si="55"/>
        <v/>
      </c>
      <c r="AU215" s="37" t="str">
        <f t="shared" si="56"/>
        <v/>
      </c>
      <c r="AV215" s="54"/>
      <c r="AW215" s="46"/>
      <c r="AX215" s="39" t="str" cm="1">
        <f t="array" ref="AX215">IF(AH215&lt;&gt;"",IF(AND(AX213:AX214&lt;&gt;"IE",AQ215&lt;&gt;0,AS215&lt;&gt;""),IF(IFERROR((AQ215/AS215),0) &lt;=1,IFERROR(AQ215/AS215,""),1),""),"")</f>
        <v/>
      </c>
      <c r="AY215" s="46"/>
      <c r="AZ215" s="57"/>
    </row>
    <row r="216" spans="1:52" ht="15.5" x14ac:dyDescent="0.35">
      <c r="A216" s="51">
        <f t="shared" si="64"/>
        <v>1</v>
      </c>
      <c r="B216" s="52"/>
      <c r="C216" s="52"/>
      <c r="D216" s="29" t="str">
        <f>IFERROR(
IF(AND(OR(Planilla!B216="C",Planilla!B216="c"), VLOOKUP(E216,[1]Diccionario!B:N,13,0)="C"), "OK",IF(AND(OR(Planilla!B216="C",Planilla!B216="c"), OR(VLOOKUP(E216,[1]Diccionario!B:N,13,0)="B", VLOOKUP(E216,[1]Diccionario!B:N,13,0)="A")), "DEFICIT",IF(
AND(OR(Planilla!B216="B", Planilla!B216="BPAL"), VLOOKUP(E216,[1]Diccionario!B:N,13,0)="B"), "OK",IF(AND(OR(Planilla!B216="B", Planilla!B216="BPAL"), VLOOKUP(E216,[1]Diccionario!B:N,13,0)="A"), "DEFICIT",IF(AND(OR(Planilla!B216="B", Planilla!B216="BPAL"), VLOOKUP(E216,[1]Diccionario!B:N,13,0)="C"), "SOBREOFERTA",IF(AND(Planilla!B216="A", VLOOKUP(E216,[1]Diccionario!B:N,13,0)="A"), "OK",IF(
AND(Planilla!B216="A", OR(VLOOKUP(E216,[1]Diccionario!B:N,13,0)="B", VLOOKUP(E216,[1]Diccionario!B:N,13,0)="C")), "SOBREOFERTA",""
))))))),"")</f>
        <v/>
      </c>
      <c r="E216" s="48"/>
      <c r="F216" s="53"/>
      <c r="G216" s="54"/>
      <c r="H216" s="55" t="str">
        <f t="shared" si="57"/>
        <v/>
      </c>
      <c r="I216" s="35"/>
      <c r="J216" s="34" t="e">
        <f>IF(A216&lt;&gt;"",HLOOKUP(VALUE(TEXT(G216,"h:mm:ss")),IF($C$6="Laboral",[1]Input!$A$4:$Y$227,IF($C$6="Sábado",[1]Input!$A$231:$Y$452,[1]Input!$A$456:$Y$656)),VLOOKUP($C$4,[1]Input!$AG$2:$AI$99,3,0)+IF(C$5="Ida",0,1),1),"")</f>
        <v>#N/A</v>
      </c>
      <c r="K216" s="34" t="str">
        <f>IF(A217&lt;&gt;A216,AVERAGEIF(A$9:A216,A216,J$13:J216),"")</f>
        <v/>
      </c>
      <c r="L216" s="35" t="str">
        <f>IFERROR(IF(A217&lt;&gt;A216,AVERAGEIF(A$9:A216,A216,S$13:S216),""),"")</f>
        <v/>
      </c>
      <c r="M216" s="35" t="str">
        <f>IFERROR(IF(A217&lt;&gt;A216,AVERAGEIF(A$9:A216,A216,T$8:T216),""),"")</f>
        <v/>
      </c>
      <c r="N216" s="35" t="str" cm="1">
        <f t="array" ref="N216">IFERROR(IF(A217&lt;&gt;A216,_xlfn.STDEV.P(IF(A$9:A216=A216,T$7:T216)),""),"")</f>
        <v/>
      </c>
      <c r="O216" s="35" t="str" cm="1">
        <f t="array" ref="O216">IFERROR(IF(A217&lt;&gt;A216,_xlfn.STDEV.P(IF(A$9:A216=A216,S$7:S216)),""),"")</f>
        <v/>
      </c>
      <c r="P216" s="36" t="str">
        <f t="shared" si="50"/>
        <v/>
      </c>
      <c r="Q216" s="36" t="str">
        <f t="shared" si="51"/>
        <v/>
      </c>
      <c r="R216" s="36" t="str">
        <f t="shared" si="58"/>
        <v/>
      </c>
      <c r="S216" s="37" t="str">
        <f t="shared" si="59"/>
        <v/>
      </c>
      <c r="T216" s="37" t="str">
        <f t="shared" si="52"/>
        <v/>
      </c>
      <c r="U216" s="54"/>
      <c r="V216" s="46"/>
      <c r="W216" s="39" t="str">
        <f t="shared" si="60"/>
        <v/>
      </c>
      <c r="X216" s="38"/>
      <c r="Y216" s="48"/>
      <c r="AB216" s="56">
        <f t="shared" si="61"/>
        <v>1</v>
      </c>
      <c r="AC216" s="52"/>
      <c r="AD216" s="52"/>
      <c r="AE216" s="29" t="str">
        <f>IFERROR(
IF(AND(OR(AC216="C",AC216="c"), VLOOKUP(AF216,[1]Diccionario!B:N,13,0)="C"), "OK",IF(AND(OR(AC216="C",AC216="c"), OR(VLOOKUP(AF216,[1]Diccionario!B:N,13,0)="B", VLOOKUP(AF216,[1]Diccionario!B:N,13,0)="A")), "DEFICIT",IF(
AND(OR(AC216="B", AC216="BPAL"), VLOOKUP(AF216,[1]Diccionario!B:N,13,0)="B"), "OK",IF(AND(OR(AC216="B", AC216="BPAL"), VLOOKUP(AF216,[1]Diccionario!B:N,13,0)="A"), "DEFICIT",IF(AND(OR(AC216="B", AC216="BPAL"), VLOOKUP(AF216,[1]Diccionario!B:N,13,0)="C"), "SOBREOFERTA",IF(AND(AC216="A", VLOOKUP(AF216,[1]Diccionario!B:N,13,0)="A"), "OK",IF(
AND(AC216="A", OR(VLOOKUP(AF216,[1]Diccionario!B:N,13,0)="B", VLOOKUP(AF216,[1]Diccionario!B:N,13,0)="C")), "SOBREOFERTA",""
))))))),"")</f>
        <v/>
      </c>
      <c r="AF216" s="48"/>
      <c r="AG216" s="53"/>
      <c r="AH216" s="54"/>
      <c r="AI216" s="55" t="str">
        <f t="shared" si="62"/>
        <v/>
      </c>
      <c r="AJ216" s="46"/>
      <c r="AK216" s="34" t="e">
        <f>IF(AB216&lt;&gt;"",HLOOKUP(VALUE(TEXT(AH216,"h:mm:ss")),IF($C$6="Laboral",[1]Input!$A$4:$Y$227,IF($C$6="Sábado",[1]Input!$A$231:$Y$452,[1]Input!$A$456:$Y$656)),VLOOKUP($C$4,[1]Input!$AG$2:$AI$99,3,0)+IF(AD$5="Ida",0,1),1),"")</f>
        <v>#N/A</v>
      </c>
      <c r="AL216" s="34" t="str">
        <f>IF(AB217&lt;&gt;AB216,AVERAGEIF(AB$9:AB216,AB216,AK$9:AK216),"")</f>
        <v/>
      </c>
      <c r="AM216" s="35" t="str">
        <f>IFERROR(IF(AB217&lt;&gt;AB216,AVERAGEIF(AB$9:AB216,AB216,AT$9:AT216),""),"")</f>
        <v/>
      </c>
      <c r="AN216" s="35" t="str">
        <f>IFERROR(IF(AB217&lt;&gt;AB216,AVERAGEIF(AB$9:AB216,AB216,AU$9:AU216),""),"")</f>
        <v/>
      </c>
      <c r="AO216" s="35" t="str" cm="1">
        <f t="array" ref="AO216">IFERROR(IF(AB217&lt;&gt;AB216,_xlfn.STDEV.P(IF(AB$9:AB216=AB216,AU$9:AU216)),""),"")</f>
        <v/>
      </c>
      <c r="AP216" s="35" t="str" cm="1">
        <f t="array" ref="AP216">IFERROR(IF(AB217&lt;&gt;AB216,_xlfn.STDEV.P(IF(AB$9:AB216=AB216,AT$9:AT216)),""),"")</f>
        <v/>
      </c>
      <c r="AQ216" s="36" t="str">
        <f t="shared" si="53"/>
        <v/>
      </c>
      <c r="AR216" s="36" t="str">
        <f t="shared" si="54"/>
        <v/>
      </c>
      <c r="AS216" s="36" t="str">
        <f t="shared" si="63"/>
        <v/>
      </c>
      <c r="AT216" s="37" t="str">
        <f t="shared" si="55"/>
        <v/>
      </c>
      <c r="AU216" s="37" t="str">
        <f t="shared" si="56"/>
        <v/>
      </c>
      <c r="AV216" s="54"/>
      <c r="AW216" s="46"/>
      <c r="AX216" s="39" t="str" cm="1">
        <f t="array" ref="AX216">IF(AH216&lt;&gt;"",IF(AND(AX214:AX215&lt;&gt;"IE",AQ216&lt;&gt;0,AS216&lt;&gt;""),IF(IFERROR((AQ216/AS216),0) &lt;=1,IFERROR(AQ216/AS216,""),1),""),"")</f>
        <v/>
      </c>
      <c r="AY216" s="46"/>
      <c r="AZ216" s="57"/>
    </row>
    <row r="217" spans="1:52" ht="15.5" x14ac:dyDescent="0.35">
      <c r="A217" s="51">
        <f t="shared" si="64"/>
        <v>1</v>
      </c>
      <c r="B217" s="52"/>
      <c r="C217" s="52"/>
      <c r="D217" s="29" t="str">
        <f>IFERROR(
IF(AND(OR(Planilla!B217="C",Planilla!B217="c"), VLOOKUP(E217,[1]Diccionario!B:N,13,0)="C"), "OK",IF(AND(OR(Planilla!B217="C",Planilla!B217="c"), OR(VLOOKUP(E217,[1]Diccionario!B:N,13,0)="B", VLOOKUP(E217,[1]Diccionario!B:N,13,0)="A")), "DEFICIT",IF(
AND(OR(Planilla!B217="B", Planilla!B217="BPAL"), VLOOKUP(E217,[1]Diccionario!B:N,13,0)="B"), "OK",IF(AND(OR(Planilla!B217="B", Planilla!B217="BPAL"), VLOOKUP(E217,[1]Diccionario!B:N,13,0)="A"), "DEFICIT",IF(AND(OR(Planilla!B217="B", Planilla!B217="BPAL"), VLOOKUP(E217,[1]Diccionario!B:N,13,0)="C"), "SOBREOFERTA",IF(AND(Planilla!B217="A", VLOOKUP(E217,[1]Diccionario!B:N,13,0)="A"), "OK",IF(
AND(Planilla!B217="A", OR(VLOOKUP(E217,[1]Diccionario!B:N,13,0)="B", VLOOKUP(E217,[1]Diccionario!B:N,13,0)="C")), "SOBREOFERTA",""
))))))),"")</f>
        <v/>
      </c>
      <c r="E217" s="48"/>
      <c r="F217" s="53"/>
      <c r="G217" s="54"/>
      <c r="H217" s="55" t="str">
        <f t="shared" si="57"/>
        <v/>
      </c>
      <c r="I217" s="35"/>
      <c r="J217" s="34" t="e">
        <f>IF(A217&lt;&gt;"",HLOOKUP(VALUE(TEXT(G217,"h:mm:ss")),IF($C$6="Laboral",[1]Input!$A$4:$Y$227,IF($C$6="Sábado",[1]Input!$A$231:$Y$452,[1]Input!$A$456:$Y$656)),VLOOKUP($C$4,[1]Input!$AG$2:$AI$99,3,0)+IF(C$5="Ida",0,1),1),"")</f>
        <v>#N/A</v>
      </c>
      <c r="K217" s="34" t="str">
        <f>IF(A218&lt;&gt;A217,AVERAGEIF(A$9:A217,A217,J$13:J217),"")</f>
        <v/>
      </c>
      <c r="L217" s="35" t="str">
        <f>IFERROR(IF(A218&lt;&gt;A217,AVERAGEIF(A$9:A217,A217,S$13:S217),""),"")</f>
        <v/>
      </c>
      <c r="M217" s="35" t="str">
        <f>IFERROR(IF(A218&lt;&gt;A217,AVERAGEIF(A$9:A217,A217,T$8:T217),""),"")</f>
        <v/>
      </c>
      <c r="N217" s="35" t="str" cm="1">
        <f t="array" ref="N217">IFERROR(IF(A218&lt;&gt;A217,_xlfn.STDEV.P(IF(A$9:A217=A217,T$7:T217)),""),"")</f>
        <v/>
      </c>
      <c r="O217" s="35" t="str" cm="1">
        <f t="array" ref="O217">IFERROR(IF(A218&lt;&gt;A217,_xlfn.STDEV.P(IF(A$9:A217=A217,S$7:S217)),""),"")</f>
        <v/>
      </c>
      <c r="P217" s="36" t="str">
        <f t="shared" si="50"/>
        <v/>
      </c>
      <c r="Q217" s="36" t="str">
        <f t="shared" si="51"/>
        <v/>
      </c>
      <c r="R217" s="36" t="str">
        <f t="shared" si="58"/>
        <v/>
      </c>
      <c r="S217" s="37" t="str">
        <f t="shared" si="59"/>
        <v/>
      </c>
      <c r="T217" s="37" t="str">
        <f t="shared" si="52"/>
        <v/>
      </c>
      <c r="U217" s="54"/>
      <c r="V217" s="46"/>
      <c r="W217" s="39" t="str">
        <f t="shared" si="60"/>
        <v/>
      </c>
      <c r="X217" s="38"/>
      <c r="Y217" s="48"/>
      <c r="AB217" s="56">
        <f t="shared" si="61"/>
        <v>1</v>
      </c>
      <c r="AC217" s="52"/>
      <c r="AD217" s="52"/>
      <c r="AE217" s="29" t="str">
        <f>IFERROR(
IF(AND(OR(AC217="C",AC217="c"), VLOOKUP(AF217,[1]Diccionario!B:N,13,0)="C"), "OK",IF(AND(OR(AC217="C",AC217="c"), OR(VLOOKUP(AF217,[1]Diccionario!B:N,13,0)="B", VLOOKUP(AF217,[1]Diccionario!B:N,13,0)="A")), "DEFICIT",IF(
AND(OR(AC217="B", AC217="BPAL"), VLOOKUP(AF217,[1]Diccionario!B:N,13,0)="B"), "OK",IF(AND(OR(AC217="B", AC217="BPAL"), VLOOKUP(AF217,[1]Diccionario!B:N,13,0)="A"), "DEFICIT",IF(AND(OR(AC217="B", AC217="BPAL"), VLOOKUP(AF217,[1]Diccionario!B:N,13,0)="C"), "SOBREOFERTA",IF(AND(AC217="A", VLOOKUP(AF217,[1]Diccionario!B:N,13,0)="A"), "OK",IF(
AND(AC217="A", OR(VLOOKUP(AF217,[1]Diccionario!B:N,13,0)="B", VLOOKUP(AF217,[1]Diccionario!B:N,13,0)="C")), "SOBREOFERTA",""
))))))),"")</f>
        <v/>
      </c>
      <c r="AF217" s="48"/>
      <c r="AG217" s="53"/>
      <c r="AH217" s="54"/>
      <c r="AI217" s="55" t="str">
        <f t="shared" si="62"/>
        <v/>
      </c>
      <c r="AJ217" s="46"/>
      <c r="AK217" s="34" t="e">
        <f>IF(AB217&lt;&gt;"",HLOOKUP(VALUE(TEXT(AH217,"h:mm:ss")),IF($C$6="Laboral",[1]Input!$A$4:$Y$227,IF($C$6="Sábado",[1]Input!$A$231:$Y$452,[1]Input!$A$456:$Y$656)),VLOOKUP($C$4,[1]Input!$AG$2:$AI$99,3,0)+IF(AD$5="Ida",0,1),1),"")</f>
        <v>#N/A</v>
      </c>
      <c r="AL217" s="34" t="str">
        <f>IF(AB218&lt;&gt;AB217,AVERAGEIF(AB$9:AB217,AB217,AK$9:AK217),"")</f>
        <v/>
      </c>
      <c r="AM217" s="35" t="str">
        <f>IFERROR(IF(AB218&lt;&gt;AB217,AVERAGEIF(AB$9:AB217,AB217,AT$9:AT217),""),"")</f>
        <v/>
      </c>
      <c r="AN217" s="35" t="str">
        <f>IFERROR(IF(AB218&lt;&gt;AB217,AVERAGEIF(AB$9:AB217,AB217,AU$9:AU217),""),"")</f>
        <v/>
      </c>
      <c r="AO217" s="35" t="str" cm="1">
        <f t="array" ref="AO217">IFERROR(IF(AB218&lt;&gt;AB217,_xlfn.STDEV.P(IF(AB$9:AB217=AB217,AU$9:AU217)),""),"")</f>
        <v/>
      </c>
      <c r="AP217" s="35" t="str" cm="1">
        <f t="array" ref="AP217">IFERROR(IF(AB218&lt;&gt;AB217,_xlfn.STDEV.P(IF(AB$9:AB217=AB217,AT$9:AT217)),""),"")</f>
        <v/>
      </c>
      <c r="AQ217" s="36" t="str">
        <f t="shared" si="53"/>
        <v/>
      </c>
      <c r="AR217" s="36" t="str">
        <f t="shared" si="54"/>
        <v/>
      </c>
      <c r="AS217" s="36" t="str">
        <f t="shared" si="63"/>
        <v/>
      </c>
      <c r="AT217" s="37" t="str">
        <f t="shared" si="55"/>
        <v/>
      </c>
      <c r="AU217" s="37" t="str">
        <f t="shared" si="56"/>
        <v/>
      </c>
      <c r="AV217" s="54"/>
      <c r="AW217" s="46"/>
      <c r="AX217" s="39" t="str" cm="1">
        <f t="array" ref="AX217">IF(AH217&lt;&gt;"",IF(AND(AX215:AX216&lt;&gt;"IE",AQ217&lt;&gt;0,AS217&lt;&gt;""),IF(IFERROR((AQ217/AS217),0) &lt;=1,IFERROR(AQ217/AS217,""),1),""),"")</f>
        <v/>
      </c>
      <c r="AY217" s="46"/>
      <c r="AZ217" s="57"/>
    </row>
    <row r="218" spans="1:52" ht="15.5" x14ac:dyDescent="0.35">
      <c r="A218" s="51">
        <f t="shared" si="64"/>
        <v>1</v>
      </c>
      <c r="B218" s="52"/>
      <c r="C218" s="52"/>
      <c r="D218" s="29" t="str">
        <f>IFERROR(
IF(AND(OR(Planilla!B218="C",Planilla!B218="c"), VLOOKUP(E218,[1]Diccionario!B:N,13,0)="C"), "OK",IF(AND(OR(Planilla!B218="C",Planilla!B218="c"), OR(VLOOKUP(E218,[1]Diccionario!B:N,13,0)="B", VLOOKUP(E218,[1]Diccionario!B:N,13,0)="A")), "DEFICIT",IF(
AND(OR(Planilla!B218="B", Planilla!B218="BPAL"), VLOOKUP(E218,[1]Diccionario!B:N,13,0)="B"), "OK",IF(AND(OR(Planilla!B218="B", Planilla!B218="BPAL"), VLOOKUP(E218,[1]Diccionario!B:N,13,0)="A"), "DEFICIT",IF(AND(OR(Planilla!B218="B", Planilla!B218="BPAL"), VLOOKUP(E218,[1]Diccionario!B:N,13,0)="C"), "SOBREOFERTA",IF(AND(Planilla!B218="A", VLOOKUP(E218,[1]Diccionario!B:N,13,0)="A"), "OK",IF(
AND(Planilla!B218="A", OR(VLOOKUP(E218,[1]Diccionario!B:N,13,0)="B", VLOOKUP(E218,[1]Diccionario!B:N,13,0)="C")), "SOBREOFERTA",""
))))))),"")</f>
        <v/>
      </c>
      <c r="E218" s="48"/>
      <c r="F218" s="53"/>
      <c r="G218" s="54"/>
      <c r="H218" s="55" t="str">
        <f t="shared" si="57"/>
        <v/>
      </c>
      <c r="I218" s="35"/>
      <c r="J218" s="34" t="e">
        <f>IF(A218&lt;&gt;"",HLOOKUP(VALUE(TEXT(G218,"h:mm:ss")),IF($C$6="Laboral",[1]Input!$A$4:$Y$227,IF($C$6="Sábado",[1]Input!$A$231:$Y$452,[1]Input!$A$456:$Y$656)),VLOOKUP($C$4,[1]Input!$AG$2:$AI$99,3,0)+IF(C$5="Ida",0,1),1),"")</f>
        <v>#N/A</v>
      </c>
      <c r="K218" s="34" t="str">
        <f>IF(A219&lt;&gt;A218,AVERAGEIF(A$9:A218,A218,J$13:J218),"")</f>
        <v/>
      </c>
      <c r="L218" s="35" t="str">
        <f>IFERROR(IF(A219&lt;&gt;A218,AVERAGEIF(A$9:A218,A218,S$13:S218),""),"")</f>
        <v/>
      </c>
      <c r="M218" s="35" t="str">
        <f>IFERROR(IF(A219&lt;&gt;A218,AVERAGEIF(A$9:A218,A218,T$8:T218),""),"")</f>
        <v/>
      </c>
      <c r="N218" s="35" t="str" cm="1">
        <f t="array" ref="N218">IFERROR(IF(A219&lt;&gt;A218,_xlfn.STDEV.P(IF(A$9:A218=A218,T$7:T218)),""),"")</f>
        <v/>
      </c>
      <c r="O218" s="35" t="str" cm="1">
        <f t="array" ref="O218">IFERROR(IF(A219&lt;&gt;A218,_xlfn.STDEV.P(IF(A$9:A218=A218,S$7:S218)),""),"")</f>
        <v/>
      </c>
      <c r="P218" s="36" t="str">
        <f t="shared" si="50"/>
        <v/>
      </c>
      <c r="Q218" s="36" t="str">
        <f t="shared" si="51"/>
        <v/>
      </c>
      <c r="R218" s="36" t="str">
        <f t="shared" si="58"/>
        <v/>
      </c>
      <c r="S218" s="37" t="str">
        <f t="shared" si="59"/>
        <v/>
      </c>
      <c r="T218" s="37" t="str">
        <f t="shared" si="52"/>
        <v/>
      </c>
      <c r="U218" s="54"/>
      <c r="V218" s="46"/>
      <c r="W218" s="39" t="str">
        <f t="shared" si="60"/>
        <v/>
      </c>
      <c r="X218" s="38"/>
      <c r="Y218" s="48"/>
      <c r="AB218" s="56">
        <f t="shared" si="61"/>
        <v>1</v>
      </c>
      <c r="AC218" s="52"/>
      <c r="AD218" s="52"/>
      <c r="AE218" s="29" t="str">
        <f>IFERROR(
IF(AND(OR(AC218="C",AC218="c"), VLOOKUP(AF218,[1]Diccionario!B:N,13,0)="C"), "OK",IF(AND(OR(AC218="C",AC218="c"), OR(VLOOKUP(AF218,[1]Diccionario!B:N,13,0)="B", VLOOKUP(AF218,[1]Diccionario!B:N,13,0)="A")), "DEFICIT",IF(
AND(OR(AC218="B", AC218="BPAL"), VLOOKUP(AF218,[1]Diccionario!B:N,13,0)="B"), "OK",IF(AND(OR(AC218="B", AC218="BPAL"), VLOOKUP(AF218,[1]Diccionario!B:N,13,0)="A"), "DEFICIT",IF(AND(OR(AC218="B", AC218="BPAL"), VLOOKUP(AF218,[1]Diccionario!B:N,13,0)="C"), "SOBREOFERTA",IF(AND(AC218="A", VLOOKUP(AF218,[1]Diccionario!B:N,13,0)="A"), "OK",IF(
AND(AC218="A", OR(VLOOKUP(AF218,[1]Diccionario!B:N,13,0)="B", VLOOKUP(AF218,[1]Diccionario!B:N,13,0)="C")), "SOBREOFERTA",""
))))))),"")</f>
        <v/>
      </c>
      <c r="AF218" s="48"/>
      <c r="AG218" s="53"/>
      <c r="AH218" s="54"/>
      <c r="AI218" s="55" t="str">
        <f t="shared" si="62"/>
        <v/>
      </c>
      <c r="AJ218" s="46"/>
      <c r="AK218" s="34" t="e">
        <f>IF(AB218&lt;&gt;"",HLOOKUP(VALUE(TEXT(AH218,"h:mm:ss")),IF($C$6="Laboral",[1]Input!$A$4:$Y$227,IF($C$6="Sábado",[1]Input!$A$231:$Y$452,[1]Input!$A$456:$Y$656)),VLOOKUP($C$4,[1]Input!$AG$2:$AI$99,3,0)+IF(AD$5="Ida",0,1),1),"")</f>
        <v>#N/A</v>
      </c>
      <c r="AL218" s="34" t="str">
        <f>IF(AB219&lt;&gt;AB218,AVERAGEIF(AB$9:AB218,AB218,AK$9:AK218),"")</f>
        <v/>
      </c>
      <c r="AM218" s="35" t="str">
        <f>IFERROR(IF(AB219&lt;&gt;AB218,AVERAGEIF(AB$9:AB218,AB218,AT$9:AT218),""),"")</f>
        <v/>
      </c>
      <c r="AN218" s="35" t="str">
        <f>IFERROR(IF(AB219&lt;&gt;AB218,AVERAGEIF(AB$9:AB218,AB218,AU$9:AU218),""),"")</f>
        <v/>
      </c>
      <c r="AO218" s="35" t="str" cm="1">
        <f t="array" ref="AO218">IFERROR(IF(AB219&lt;&gt;AB218,_xlfn.STDEV.P(IF(AB$9:AB218=AB218,AU$9:AU218)),""),"")</f>
        <v/>
      </c>
      <c r="AP218" s="35" t="str" cm="1">
        <f t="array" ref="AP218">IFERROR(IF(AB219&lt;&gt;AB218,_xlfn.STDEV.P(IF(AB$9:AB218=AB218,AT$9:AT218)),""),"")</f>
        <v/>
      </c>
      <c r="AQ218" s="36" t="str">
        <f t="shared" si="53"/>
        <v/>
      </c>
      <c r="AR218" s="36" t="str">
        <f t="shared" si="54"/>
        <v/>
      </c>
      <c r="AS218" s="36" t="str">
        <f t="shared" si="63"/>
        <v/>
      </c>
      <c r="AT218" s="37" t="str">
        <f t="shared" si="55"/>
        <v/>
      </c>
      <c r="AU218" s="37" t="str">
        <f t="shared" si="56"/>
        <v/>
      </c>
      <c r="AV218" s="54"/>
      <c r="AW218" s="46"/>
      <c r="AX218" s="39" t="str" cm="1">
        <f t="array" ref="AX218">IF(AH218&lt;&gt;"",IF(AND(AX216:AX217&lt;&gt;"IE",AQ218&lt;&gt;0,AS218&lt;&gt;""),IF(IFERROR((AQ218/AS218),0) &lt;=1,IFERROR(AQ218/AS218,""),1),""),"")</f>
        <v/>
      </c>
      <c r="AY218" s="46"/>
      <c r="AZ218" s="57"/>
    </row>
    <row r="219" spans="1:52" ht="15.5" x14ac:dyDescent="0.35">
      <c r="A219" s="51">
        <f t="shared" si="64"/>
        <v>1</v>
      </c>
      <c r="B219" s="52"/>
      <c r="C219" s="52"/>
      <c r="D219" s="29" t="str">
        <f>IFERROR(
IF(AND(OR(Planilla!B219="C",Planilla!B219="c"), VLOOKUP(E219,[1]Diccionario!B:N,13,0)="C"), "OK",IF(AND(OR(Planilla!B219="C",Planilla!B219="c"), OR(VLOOKUP(E219,[1]Diccionario!B:N,13,0)="B", VLOOKUP(E219,[1]Diccionario!B:N,13,0)="A")), "DEFICIT",IF(
AND(OR(Planilla!B219="B", Planilla!B219="BPAL"), VLOOKUP(E219,[1]Diccionario!B:N,13,0)="B"), "OK",IF(AND(OR(Planilla!B219="B", Planilla!B219="BPAL"), VLOOKUP(E219,[1]Diccionario!B:N,13,0)="A"), "DEFICIT",IF(AND(OR(Planilla!B219="B", Planilla!B219="BPAL"), VLOOKUP(E219,[1]Diccionario!B:N,13,0)="C"), "SOBREOFERTA",IF(AND(Planilla!B219="A", VLOOKUP(E219,[1]Diccionario!B:N,13,0)="A"), "OK",IF(
AND(Planilla!B219="A", OR(VLOOKUP(E219,[1]Diccionario!B:N,13,0)="B", VLOOKUP(E219,[1]Diccionario!B:N,13,0)="C")), "SOBREOFERTA",""
))))))),"")</f>
        <v/>
      </c>
      <c r="E219" s="48"/>
      <c r="F219" s="53"/>
      <c r="G219" s="54"/>
      <c r="H219" s="55" t="str">
        <f t="shared" si="57"/>
        <v/>
      </c>
      <c r="I219" s="35"/>
      <c r="J219" s="34" t="e">
        <f>IF(A219&lt;&gt;"",HLOOKUP(VALUE(TEXT(G219,"h:mm:ss")),IF($C$6="Laboral",[1]Input!$A$4:$Y$227,IF($C$6="Sábado",[1]Input!$A$231:$Y$452,[1]Input!$A$456:$Y$656)),VLOOKUP($C$4,[1]Input!$AG$2:$AI$99,3,0)+IF(C$5="Ida",0,1),1),"")</f>
        <v>#N/A</v>
      </c>
      <c r="K219" s="34" t="str">
        <f>IF(A220&lt;&gt;A219,AVERAGEIF(A$9:A219,A219,J$13:J219),"")</f>
        <v/>
      </c>
      <c r="L219" s="35" t="str">
        <f>IFERROR(IF(A220&lt;&gt;A219,AVERAGEIF(A$9:A219,A219,S$13:S219),""),"")</f>
        <v/>
      </c>
      <c r="M219" s="35" t="str">
        <f>IFERROR(IF(A220&lt;&gt;A219,AVERAGEIF(A$9:A219,A219,T$8:T219),""),"")</f>
        <v/>
      </c>
      <c r="N219" s="35" t="str" cm="1">
        <f t="array" ref="N219">IFERROR(IF(A220&lt;&gt;A219,_xlfn.STDEV.P(IF(A$9:A219=A219,T$7:T219)),""),"")</f>
        <v/>
      </c>
      <c r="O219" s="35" t="str" cm="1">
        <f t="array" ref="O219">IFERROR(IF(A220&lt;&gt;A219,_xlfn.STDEV.P(IF(A$9:A219=A219,S$7:S219)),""),"")</f>
        <v/>
      </c>
      <c r="P219" s="36" t="str">
        <f t="shared" si="50"/>
        <v/>
      </c>
      <c r="Q219" s="36" t="str">
        <f t="shared" si="51"/>
        <v/>
      </c>
      <c r="R219" s="36" t="str">
        <f t="shared" si="58"/>
        <v/>
      </c>
      <c r="S219" s="37" t="str">
        <f t="shared" si="59"/>
        <v/>
      </c>
      <c r="T219" s="37" t="str">
        <f t="shared" si="52"/>
        <v/>
      </c>
      <c r="U219" s="54"/>
      <c r="V219" s="46"/>
      <c r="W219" s="39" t="str">
        <f t="shared" si="60"/>
        <v/>
      </c>
      <c r="X219" s="38"/>
      <c r="Y219" s="48"/>
      <c r="AB219" s="56">
        <f t="shared" si="61"/>
        <v>1</v>
      </c>
      <c r="AC219" s="52"/>
      <c r="AD219" s="52"/>
      <c r="AE219" s="29" t="str">
        <f>IFERROR(
IF(AND(OR(AC219="C",AC219="c"), VLOOKUP(AF219,[1]Diccionario!B:N,13,0)="C"), "OK",IF(AND(OR(AC219="C",AC219="c"), OR(VLOOKUP(AF219,[1]Diccionario!B:N,13,0)="B", VLOOKUP(AF219,[1]Diccionario!B:N,13,0)="A")), "DEFICIT",IF(
AND(OR(AC219="B", AC219="BPAL"), VLOOKUP(AF219,[1]Diccionario!B:N,13,0)="B"), "OK",IF(AND(OR(AC219="B", AC219="BPAL"), VLOOKUP(AF219,[1]Diccionario!B:N,13,0)="A"), "DEFICIT",IF(AND(OR(AC219="B", AC219="BPAL"), VLOOKUP(AF219,[1]Diccionario!B:N,13,0)="C"), "SOBREOFERTA",IF(AND(AC219="A", VLOOKUP(AF219,[1]Diccionario!B:N,13,0)="A"), "OK",IF(
AND(AC219="A", OR(VLOOKUP(AF219,[1]Diccionario!B:N,13,0)="B", VLOOKUP(AF219,[1]Diccionario!B:N,13,0)="C")), "SOBREOFERTA",""
))))))),"")</f>
        <v/>
      </c>
      <c r="AF219" s="48"/>
      <c r="AG219" s="53"/>
      <c r="AH219" s="54"/>
      <c r="AI219" s="55" t="str">
        <f t="shared" si="62"/>
        <v/>
      </c>
      <c r="AJ219" s="46"/>
      <c r="AK219" s="34" t="e">
        <f>IF(AB219&lt;&gt;"",HLOOKUP(VALUE(TEXT(AH219,"h:mm:ss")),IF($C$6="Laboral",[1]Input!$A$4:$Y$227,IF($C$6="Sábado",[1]Input!$A$231:$Y$452,[1]Input!$A$456:$Y$656)),VLOOKUP($C$4,[1]Input!$AG$2:$AI$99,3,0)+IF(AD$5="Ida",0,1),1),"")</f>
        <v>#N/A</v>
      </c>
      <c r="AL219" s="34" t="str">
        <f>IF(AB220&lt;&gt;AB219,AVERAGEIF(AB$9:AB219,AB219,AK$9:AK219),"")</f>
        <v/>
      </c>
      <c r="AM219" s="35" t="str">
        <f>IFERROR(IF(AB220&lt;&gt;AB219,AVERAGEIF(AB$9:AB219,AB219,AT$9:AT219),""),"")</f>
        <v/>
      </c>
      <c r="AN219" s="35" t="str">
        <f>IFERROR(IF(AB220&lt;&gt;AB219,AVERAGEIF(AB$9:AB219,AB219,AU$9:AU219),""),"")</f>
        <v/>
      </c>
      <c r="AO219" s="35" t="str" cm="1">
        <f t="array" ref="AO219">IFERROR(IF(AB220&lt;&gt;AB219,_xlfn.STDEV.P(IF(AB$9:AB219=AB219,AU$9:AU219)),""),"")</f>
        <v/>
      </c>
      <c r="AP219" s="35" t="str" cm="1">
        <f t="array" ref="AP219">IFERROR(IF(AB220&lt;&gt;AB219,_xlfn.STDEV.P(IF(AB$9:AB219=AB219,AT$9:AT219)),""),"")</f>
        <v/>
      </c>
      <c r="AQ219" s="36" t="str">
        <f t="shared" si="53"/>
        <v/>
      </c>
      <c r="AR219" s="36" t="str">
        <f t="shared" si="54"/>
        <v/>
      </c>
      <c r="AS219" s="36" t="str">
        <f t="shared" si="63"/>
        <v/>
      </c>
      <c r="AT219" s="37" t="str">
        <f t="shared" si="55"/>
        <v/>
      </c>
      <c r="AU219" s="37" t="str">
        <f t="shared" si="56"/>
        <v/>
      </c>
      <c r="AV219" s="54"/>
      <c r="AW219" s="46"/>
      <c r="AX219" s="39" t="str" cm="1">
        <f t="array" ref="AX219">IF(AH219&lt;&gt;"",IF(AND(AX217:AX218&lt;&gt;"IE",AQ219&lt;&gt;0,AS219&lt;&gt;""),IF(IFERROR((AQ219/AS219),0) &lt;=1,IFERROR(AQ219/AS219,""),1),""),"")</f>
        <v/>
      </c>
      <c r="AY219" s="46"/>
      <c r="AZ219" s="57"/>
    </row>
    <row r="220" spans="1:52" ht="15.5" x14ac:dyDescent="0.35">
      <c r="A220" s="51">
        <f t="shared" si="64"/>
        <v>1</v>
      </c>
      <c r="B220" s="52"/>
      <c r="C220" s="52"/>
      <c r="D220" s="29" t="str">
        <f>IFERROR(
IF(AND(OR(Planilla!B220="C",Planilla!B220="c"), VLOOKUP(E220,[1]Diccionario!B:N,13,0)="C"), "OK",IF(AND(OR(Planilla!B220="C",Planilla!B220="c"), OR(VLOOKUP(E220,[1]Diccionario!B:N,13,0)="B", VLOOKUP(E220,[1]Diccionario!B:N,13,0)="A")), "DEFICIT",IF(
AND(OR(Planilla!B220="B", Planilla!B220="BPAL"), VLOOKUP(E220,[1]Diccionario!B:N,13,0)="B"), "OK",IF(AND(OR(Planilla!B220="B", Planilla!B220="BPAL"), VLOOKUP(E220,[1]Diccionario!B:N,13,0)="A"), "DEFICIT",IF(AND(OR(Planilla!B220="B", Planilla!B220="BPAL"), VLOOKUP(E220,[1]Diccionario!B:N,13,0)="C"), "SOBREOFERTA",IF(AND(Planilla!B220="A", VLOOKUP(E220,[1]Diccionario!B:N,13,0)="A"), "OK",IF(
AND(Planilla!B220="A", OR(VLOOKUP(E220,[1]Diccionario!B:N,13,0)="B", VLOOKUP(E220,[1]Diccionario!B:N,13,0)="C")), "SOBREOFERTA",""
))))))),"")</f>
        <v/>
      </c>
      <c r="E220" s="48"/>
      <c r="F220" s="53"/>
      <c r="G220" s="54"/>
      <c r="H220" s="55" t="str">
        <f t="shared" si="57"/>
        <v/>
      </c>
      <c r="I220" s="35"/>
      <c r="J220" s="34" t="e">
        <f>IF(A220&lt;&gt;"",HLOOKUP(VALUE(TEXT(G220,"h:mm:ss")),IF($C$6="Laboral",[1]Input!$A$4:$Y$227,IF($C$6="Sábado",[1]Input!$A$231:$Y$452,[1]Input!$A$456:$Y$656)),VLOOKUP($C$4,[1]Input!$AG$2:$AI$99,3,0)+IF(C$5="Ida",0,1),1),"")</f>
        <v>#N/A</v>
      </c>
      <c r="K220" s="34" t="str">
        <f>IF(A221&lt;&gt;A220,AVERAGEIF(A$9:A220,A220,J$13:J220),"")</f>
        <v/>
      </c>
      <c r="L220" s="35" t="str">
        <f>IFERROR(IF(A221&lt;&gt;A220,AVERAGEIF(A$9:A220,A220,S$13:S220),""),"")</f>
        <v/>
      </c>
      <c r="M220" s="35" t="str">
        <f>IFERROR(IF(A221&lt;&gt;A220,AVERAGEIF(A$9:A220,A220,T$8:T220),""),"")</f>
        <v/>
      </c>
      <c r="N220" s="35" t="str" cm="1">
        <f t="array" ref="N220">IFERROR(IF(A221&lt;&gt;A220,_xlfn.STDEV.P(IF(A$9:A220=A220,T$7:T220)),""),"")</f>
        <v/>
      </c>
      <c r="O220" s="35" t="str" cm="1">
        <f t="array" ref="O220">IFERROR(IF(A221&lt;&gt;A220,_xlfn.STDEV.P(IF(A$9:A220=A220,S$7:S220)),""),"")</f>
        <v/>
      </c>
      <c r="P220" s="36" t="str">
        <f t="shared" si="50"/>
        <v/>
      </c>
      <c r="Q220" s="36" t="str">
        <f t="shared" si="51"/>
        <v/>
      </c>
      <c r="R220" s="36" t="str">
        <f t="shared" si="58"/>
        <v/>
      </c>
      <c r="S220" s="37" t="str">
        <f t="shared" si="59"/>
        <v/>
      </c>
      <c r="T220" s="37" t="str">
        <f t="shared" si="52"/>
        <v/>
      </c>
      <c r="U220" s="54"/>
      <c r="V220" s="46"/>
      <c r="W220" s="39" t="str">
        <f t="shared" si="60"/>
        <v/>
      </c>
      <c r="X220" s="38"/>
      <c r="Y220" s="48"/>
      <c r="AB220" s="56">
        <f t="shared" si="61"/>
        <v>1</v>
      </c>
      <c r="AC220" s="52"/>
      <c r="AD220" s="52"/>
      <c r="AE220" s="29" t="str">
        <f>IFERROR(
IF(AND(OR(AC220="C",AC220="c"), VLOOKUP(AF220,[1]Diccionario!B:N,13,0)="C"), "OK",IF(AND(OR(AC220="C",AC220="c"), OR(VLOOKUP(AF220,[1]Diccionario!B:N,13,0)="B", VLOOKUP(AF220,[1]Diccionario!B:N,13,0)="A")), "DEFICIT",IF(
AND(OR(AC220="B", AC220="BPAL"), VLOOKUP(AF220,[1]Diccionario!B:N,13,0)="B"), "OK",IF(AND(OR(AC220="B", AC220="BPAL"), VLOOKUP(AF220,[1]Diccionario!B:N,13,0)="A"), "DEFICIT",IF(AND(OR(AC220="B", AC220="BPAL"), VLOOKUP(AF220,[1]Diccionario!B:N,13,0)="C"), "SOBREOFERTA",IF(AND(AC220="A", VLOOKUP(AF220,[1]Diccionario!B:N,13,0)="A"), "OK",IF(
AND(AC220="A", OR(VLOOKUP(AF220,[1]Diccionario!B:N,13,0)="B", VLOOKUP(AF220,[1]Diccionario!B:N,13,0)="C")), "SOBREOFERTA",""
))))))),"")</f>
        <v/>
      </c>
      <c r="AF220" s="48"/>
      <c r="AG220" s="53"/>
      <c r="AH220" s="54"/>
      <c r="AI220" s="55" t="str">
        <f t="shared" si="62"/>
        <v/>
      </c>
      <c r="AJ220" s="46"/>
      <c r="AK220" s="34" t="e">
        <f>IF(AB220&lt;&gt;"",HLOOKUP(VALUE(TEXT(AH220,"h:mm:ss")),IF($C$6="Laboral",[1]Input!$A$4:$Y$227,IF($C$6="Sábado",[1]Input!$A$231:$Y$452,[1]Input!$A$456:$Y$656)),VLOOKUP($C$4,[1]Input!$AG$2:$AI$99,3,0)+IF(AD$5="Ida",0,1),1),"")</f>
        <v>#N/A</v>
      </c>
      <c r="AL220" s="34" t="str">
        <f>IF(AB221&lt;&gt;AB220,AVERAGEIF(AB$9:AB220,AB220,AK$9:AK220),"")</f>
        <v/>
      </c>
      <c r="AM220" s="35" t="str">
        <f>IFERROR(IF(AB221&lt;&gt;AB220,AVERAGEIF(AB$9:AB220,AB220,AT$9:AT220),""),"")</f>
        <v/>
      </c>
      <c r="AN220" s="35" t="str">
        <f>IFERROR(IF(AB221&lt;&gt;AB220,AVERAGEIF(AB$9:AB220,AB220,AU$9:AU220),""),"")</f>
        <v/>
      </c>
      <c r="AO220" s="35" t="str" cm="1">
        <f t="array" ref="AO220">IFERROR(IF(AB221&lt;&gt;AB220,_xlfn.STDEV.P(IF(AB$9:AB220=AB220,AU$9:AU220)),""),"")</f>
        <v/>
      </c>
      <c r="AP220" s="35" t="str" cm="1">
        <f t="array" ref="AP220">IFERROR(IF(AB221&lt;&gt;AB220,_xlfn.STDEV.P(IF(AB$9:AB220=AB220,AT$9:AT220)),""),"")</f>
        <v/>
      </c>
      <c r="AQ220" s="36" t="str">
        <f t="shared" si="53"/>
        <v/>
      </c>
      <c r="AR220" s="36" t="str">
        <f t="shared" si="54"/>
        <v/>
      </c>
      <c r="AS220" s="36" t="str">
        <f t="shared" si="63"/>
        <v/>
      </c>
      <c r="AT220" s="37" t="str">
        <f t="shared" si="55"/>
        <v/>
      </c>
      <c r="AU220" s="37" t="str">
        <f t="shared" si="56"/>
        <v/>
      </c>
      <c r="AV220" s="54"/>
      <c r="AW220" s="46"/>
      <c r="AX220" s="39" t="str" cm="1">
        <f t="array" ref="AX220">IF(AH220&lt;&gt;"",IF(AND(AX218:AX219&lt;&gt;"IE",AQ220&lt;&gt;0,AS220&lt;&gt;""),IF(IFERROR((AQ220/AS220),0) &lt;=1,IFERROR(AQ220/AS220,""),1),""),"")</f>
        <v/>
      </c>
      <c r="AY220" s="46"/>
      <c r="AZ220" s="57"/>
    </row>
    <row r="221" spans="1:52" ht="15.5" x14ac:dyDescent="0.35">
      <c r="A221" s="51">
        <f t="shared" si="64"/>
        <v>1</v>
      </c>
      <c r="B221" s="52"/>
      <c r="C221" s="52"/>
      <c r="D221" s="29" t="str">
        <f>IFERROR(
IF(AND(OR(Planilla!B221="C",Planilla!B221="c"), VLOOKUP(E221,[1]Diccionario!B:N,13,0)="C"), "OK",IF(AND(OR(Planilla!B221="C",Planilla!B221="c"), OR(VLOOKUP(E221,[1]Diccionario!B:N,13,0)="B", VLOOKUP(E221,[1]Diccionario!B:N,13,0)="A")), "DEFICIT",IF(
AND(OR(Planilla!B221="B", Planilla!B221="BPAL"), VLOOKUP(E221,[1]Diccionario!B:N,13,0)="B"), "OK",IF(AND(OR(Planilla!B221="B", Planilla!B221="BPAL"), VLOOKUP(E221,[1]Diccionario!B:N,13,0)="A"), "DEFICIT",IF(AND(OR(Planilla!B221="B", Planilla!B221="BPAL"), VLOOKUP(E221,[1]Diccionario!B:N,13,0)="C"), "SOBREOFERTA",IF(AND(Planilla!B221="A", VLOOKUP(E221,[1]Diccionario!B:N,13,0)="A"), "OK",IF(
AND(Planilla!B221="A", OR(VLOOKUP(E221,[1]Diccionario!B:N,13,0)="B", VLOOKUP(E221,[1]Diccionario!B:N,13,0)="C")), "SOBREOFERTA",""
))))))),"")</f>
        <v/>
      </c>
      <c r="E221" s="48"/>
      <c r="F221" s="53"/>
      <c r="G221" s="54"/>
      <c r="H221" s="55" t="str">
        <f t="shared" si="57"/>
        <v/>
      </c>
      <c r="I221" s="35"/>
      <c r="J221" s="34" t="e">
        <f>IF(A221&lt;&gt;"",HLOOKUP(VALUE(TEXT(G221,"h:mm:ss")),IF($C$6="Laboral",[1]Input!$A$4:$Y$227,IF($C$6="Sábado",[1]Input!$A$231:$Y$452,[1]Input!$A$456:$Y$656)),VLOOKUP($C$4,[1]Input!$AG$2:$AI$99,3,0)+IF(C$5="Ida",0,1),1),"")</f>
        <v>#N/A</v>
      </c>
      <c r="K221" s="34" t="str">
        <f>IF(A222&lt;&gt;A221,AVERAGEIF(A$9:A221,A221,J$13:J221),"")</f>
        <v/>
      </c>
      <c r="L221" s="35" t="str">
        <f>IFERROR(IF(A222&lt;&gt;A221,AVERAGEIF(A$9:A221,A221,S$13:S221),""),"")</f>
        <v/>
      </c>
      <c r="M221" s="35" t="str">
        <f>IFERROR(IF(A222&lt;&gt;A221,AVERAGEIF(A$9:A221,A221,T$8:T221),""),"")</f>
        <v/>
      </c>
      <c r="N221" s="35" t="str" cm="1">
        <f t="array" ref="N221">IFERROR(IF(A222&lt;&gt;A221,_xlfn.STDEV.P(IF(A$9:A221=A221,T$7:T221)),""),"")</f>
        <v/>
      </c>
      <c r="O221" s="35" t="str" cm="1">
        <f t="array" ref="O221">IFERROR(IF(A222&lt;&gt;A221,_xlfn.STDEV.P(IF(A$9:A221=A221,S$7:S221)),""),"")</f>
        <v/>
      </c>
      <c r="P221" s="36" t="str">
        <f t="shared" si="50"/>
        <v/>
      </c>
      <c r="Q221" s="36" t="str">
        <f t="shared" si="51"/>
        <v/>
      </c>
      <c r="R221" s="36" t="str">
        <f t="shared" si="58"/>
        <v/>
      </c>
      <c r="S221" s="37" t="str">
        <f t="shared" si="59"/>
        <v/>
      </c>
      <c r="T221" s="37" t="str">
        <f t="shared" si="52"/>
        <v/>
      </c>
      <c r="U221" s="54"/>
      <c r="V221" s="46"/>
      <c r="W221" s="39" t="str">
        <f t="shared" si="60"/>
        <v/>
      </c>
      <c r="X221" s="38"/>
      <c r="Y221" s="48"/>
      <c r="AB221" s="56">
        <f t="shared" si="61"/>
        <v>1</v>
      </c>
      <c r="AC221" s="52"/>
      <c r="AD221" s="52"/>
      <c r="AE221" s="29" t="str">
        <f>IFERROR(
IF(AND(OR(AC221="C",AC221="c"), VLOOKUP(AF221,[1]Diccionario!B:N,13,0)="C"), "OK",IF(AND(OR(AC221="C",AC221="c"), OR(VLOOKUP(AF221,[1]Diccionario!B:N,13,0)="B", VLOOKUP(AF221,[1]Diccionario!B:N,13,0)="A")), "DEFICIT",IF(
AND(OR(AC221="B", AC221="BPAL"), VLOOKUP(AF221,[1]Diccionario!B:N,13,0)="B"), "OK",IF(AND(OR(AC221="B", AC221="BPAL"), VLOOKUP(AF221,[1]Diccionario!B:N,13,0)="A"), "DEFICIT",IF(AND(OR(AC221="B", AC221="BPAL"), VLOOKUP(AF221,[1]Diccionario!B:N,13,0)="C"), "SOBREOFERTA",IF(AND(AC221="A", VLOOKUP(AF221,[1]Diccionario!B:N,13,0)="A"), "OK",IF(
AND(AC221="A", OR(VLOOKUP(AF221,[1]Diccionario!B:N,13,0)="B", VLOOKUP(AF221,[1]Diccionario!B:N,13,0)="C")), "SOBREOFERTA",""
))))))),"")</f>
        <v/>
      </c>
      <c r="AF221" s="48"/>
      <c r="AG221" s="53"/>
      <c r="AH221" s="54"/>
      <c r="AI221" s="55" t="str">
        <f t="shared" si="62"/>
        <v/>
      </c>
      <c r="AJ221" s="46"/>
      <c r="AK221" s="34" t="e">
        <f>IF(AB221&lt;&gt;"",HLOOKUP(VALUE(TEXT(AH221,"h:mm:ss")),IF($C$6="Laboral",[1]Input!$A$4:$Y$227,IF($C$6="Sábado",[1]Input!$A$231:$Y$452,[1]Input!$A$456:$Y$656)),VLOOKUP($C$4,[1]Input!$AG$2:$AI$99,3,0)+IF(AD$5="Ida",0,1),1),"")</f>
        <v>#N/A</v>
      </c>
      <c r="AL221" s="34" t="str">
        <f>IF(AB222&lt;&gt;AB221,AVERAGEIF(AB$9:AB221,AB221,AK$9:AK221),"")</f>
        <v/>
      </c>
      <c r="AM221" s="35" t="str">
        <f>IFERROR(IF(AB222&lt;&gt;AB221,AVERAGEIF(AB$9:AB221,AB221,AT$9:AT221),""),"")</f>
        <v/>
      </c>
      <c r="AN221" s="35" t="str">
        <f>IFERROR(IF(AB222&lt;&gt;AB221,AVERAGEIF(AB$9:AB221,AB221,AU$9:AU221),""),"")</f>
        <v/>
      </c>
      <c r="AO221" s="35" t="str" cm="1">
        <f t="array" ref="AO221">IFERROR(IF(AB222&lt;&gt;AB221,_xlfn.STDEV.P(IF(AB$9:AB221=AB221,AU$9:AU221)),""),"")</f>
        <v/>
      </c>
      <c r="AP221" s="35" t="str" cm="1">
        <f t="array" ref="AP221">IFERROR(IF(AB222&lt;&gt;AB221,_xlfn.STDEV.P(IF(AB$9:AB221=AB221,AT$9:AT221)),""),"")</f>
        <v/>
      </c>
      <c r="AQ221" s="36" t="str">
        <f t="shared" si="53"/>
        <v/>
      </c>
      <c r="AR221" s="36" t="str">
        <f t="shared" si="54"/>
        <v/>
      </c>
      <c r="AS221" s="36" t="str">
        <f t="shared" si="63"/>
        <v/>
      </c>
      <c r="AT221" s="37" t="str">
        <f t="shared" si="55"/>
        <v/>
      </c>
      <c r="AU221" s="37" t="str">
        <f t="shared" si="56"/>
        <v/>
      </c>
      <c r="AV221" s="54"/>
      <c r="AW221" s="46"/>
      <c r="AX221" s="39" t="str" cm="1">
        <f t="array" ref="AX221">IF(AH221&lt;&gt;"",IF(AND(AX219:AX220&lt;&gt;"IE",AQ221&lt;&gt;0,AS221&lt;&gt;""),IF(IFERROR((AQ221/AS221),0) &lt;=1,IFERROR(AQ221/AS221,""),1),""),"")</f>
        <v/>
      </c>
      <c r="AY221" s="46"/>
      <c r="AZ221" s="57"/>
    </row>
    <row r="222" spans="1:52" ht="15.5" x14ac:dyDescent="0.35">
      <c r="A222" s="51">
        <f t="shared" si="64"/>
        <v>1</v>
      </c>
      <c r="B222" s="52"/>
      <c r="C222" s="52"/>
      <c r="D222" s="29" t="str">
        <f>IFERROR(
IF(AND(OR(Planilla!B222="C",Planilla!B222="c"), VLOOKUP(E222,[1]Diccionario!B:N,13,0)="C"), "OK",IF(AND(OR(Planilla!B222="C",Planilla!B222="c"), OR(VLOOKUP(E222,[1]Diccionario!B:N,13,0)="B", VLOOKUP(E222,[1]Diccionario!B:N,13,0)="A")), "DEFICIT",IF(
AND(OR(Planilla!B222="B", Planilla!B222="BPAL"), VLOOKUP(E222,[1]Diccionario!B:N,13,0)="B"), "OK",IF(AND(OR(Planilla!B222="B", Planilla!B222="BPAL"), VLOOKUP(E222,[1]Diccionario!B:N,13,0)="A"), "DEFICIT",IF(AND(OR(Planilla!B222="B", Planilla!B222="BPAL"), VLOOKUP(E222,[1]Diccionario!B:N,13,0)="C"), "SOBREOFERTA",IF(AND(Planilla!B222="A", VLOOKUP(E222,[1]Diccionario!B:N,13,0)="A"), "OK",IF(
AND(Planilla!B222="A", OR(VLOOKUP(E222,[1]Diccionario!B:N,13,0)="B", VLOOKUP(E222,[1]Diccionario!B:N,13,0)="C")), "SOBREOFERTA",""
))))))),"")</f>
        <v/>
      </c>
      <c r="E222" s="48"/>
      <c r="F222" s="53"/>
      <c r="G222" s="54"/>
      <c r="H222" s="55" t="str">
        <f t="shared" si="57"/>
        <v/>
      </c>
      <c r="I222" s="35"/>
      <c r="J222" s="34" t="e">
        <f>IF(A222&lt;&gt;"",HLOOKUP(VALUE(TEXT(G222,"h:mm:ss")),IF($C$6="Laboral",[1]Input!$A$4:$Y$227,IF($C$6="Sábado",[1]Input!$A$231:$Y$452,[1]Input!$A$456:$Y$656)),VLOOKUP($C$4,[1]Input!$AG$2:$AI$99,3,0)+IF(C$5="Ida",0,1),1),"")</f>
        <v>#N/A</v>
      </c>
      <c r="K222" s="34" t="str">
        <f>IF(A223&lt;&gt;A222,AVERAGEIF(A$9:A222,A222,J$13:J222),"")</f>
        <v/>
      </c>
      <c r="L222" s="35" t="str">
        <f>IFERROR(IF(A223&lt;&gt;A222,AVERAGEIF(A$9:A222,A222,S$13:S222),""),"")</f>
        <v/>
      </c>
      <c r="M222" s="35" t="str">
        <f>IFERROR(IF(A223&lt;&gt;A222,AVERAGEIF(A$9:A222,A222,T$8:T222),""),"")</f>
        <v/>
      </c>
      <c r="N222" s="35" t="str" cm="1">
        <f t="array" ref="N222">IFERROR(IF(A223&lt;&gt;A222,_xlfn.STDEV.P(IF(A$9:A222=A222,T$7:T222)),""),"")</f>
        <v/>
      </c>
      <c r="O222" s="35" t="str" cm="1">
        <f t="array" ref="O222">IFERROR(IF(A223&lt;&gt;A222,_xlfn.STDEV.P(IF(A$9:A222=A222,S$7:S222)),""),"")</f>
        <v/>
      </c>
      <c r="P222" s="36" t="str">
        <f t="shared" si="50"/>
        <v/>
      </c>
      <c r="Q222" s="36" t="str">
        <f t="shared" si="51"/>
        <v/>
      </c>
      <c r="R222" s="36" t="str">
        <f t="shared" si="58"/>
        <v/>
      </c>
      <c r="S222" s="37" t="str">
        <f t="shared" si="59"/>
        <v/>
      </c>
      <c r="T222" s="37" t="str">
        <f t="shared" si="52"/>
        <v/>
      </c>
      <c r="U222" s="54"/>
      <c r="V222" s="46"/>
      <c r="W222" s="39" t="str">
        <f t="shared" si="60"/>
        <v/>
      </c>
      <c r="X222" s="38"/>
      <c r="Y222" s="48"/>
      <c r="AB222" s="56">
        <f t="shared" si="61"/>
        <v>1</v>
      </c>
      <c r="AC222" s="52"/>
      <c r="AD222" s="52"/>
      <c r="AE222" s="29" t="str">
        <f>IFERROR(
IF(AND(OR(AC222="C",AC222="c"), VLOOKUP(AF222,[1]Diccionario!B:N,13,0)="C"), "OK",IF(AND(OR(AC222="C",AC222="c"), OR(VLOOKUP(AF222,[1]Diccionario!B:N,13,0)="B", VLOOKUP(AF222,[1]Diccionario!B:N,13,0)="A")), "DEFICIT",IF(
AND(OR(AC222="B", AC222="BPAL"), VLOOKUP(AF222,[1]Diccionario!B:N,13,0)="B"), "OK",IF(AND(OR(AC222="B", AC222="BPAL"), VLOOKUP(AF222,[1]Diccionario!B:N,13,0)="A"), "DEFICIT",IF(AND(OR(AC222="B", AC222="BPAL"), VLOOKUP(AF222,[1]Diccionario!B:N,13,0)="C"), "SOBREOFERTA",IF(AND(AC222="A", VLOOKUP(AF222,[1]Diccionario!B:N,13,0)="A"), "OK",IF(
AND(AC222="A", OR(VLOOKUP(AF222,[1]Diccionario!B:N,13,0)="B", VLOOKUP(AF222,[1]Diccionario!B:N,13,0)="C")), "SOBREOFERTA",""
))))))),"")</f>
        <v/>
      </c>
      <c r="AF222" s="48"/>
      <c r="AG222" s="53"/>
      <c r="AH222" s="54"/>
      <c r="AI222" s="55" t="str">
        <f t="shared" si="62"/>
        <v/>
      </c>
      <c r="AJ222" s="46"/>
      <c r="AK222" s="34" t="e">
        <f>IF(AB222&lt;&gt;"",HLOOKUP(VALUE(TEXT(AH222,"h:mm:ss")),IF($C$6="Laboral",[1]Input!$A$4:$Y$227,IF($C$6="Sábado",[1]Input!$A$231:$Y$452,[1]Input!$A$456:$Y$656)),VLOOKUP($C$4,[1]Input!$AG$2:$AI$99,3,0)+IF(AD$5="Ida",0,1),1),"")</f>
        <v>#N/A</v>
      </c>
      <c r="AL222" s="34" t="str">
        <f>IF(AB223&lt;&gt;AB222,AVERAGEIF(AB$9:AB222,AB222,AK$9:AK222),"")</f>
        <v/>
      </c>
      <c r="AM222" s="35" t="str">
        <f>IFERROR(IF(AB223&lt;&gt;AB222,AVERAGEIF(AB$9:AB222,AB222,AT$9:AT222),""),"")</f>
        <v/>
      </c>
      <c r="AN222" s="35" t="str">
        <f>IFERROR(IF(AB223&lt;&gt;AB222,AVERAGEIF(AB$9:AB222,AB222,AU$9:AU222),""),"")</f>
        <v/>
      </c>
      <c r="AO222" s="35" t="str" cm="1">
        <f t="array" ref="AO222">IFERROR(IF(AB223&lt;&gt;AB222,_xlfn.STDEV.P(IF(AB$9:AB222=AB222,AU$9:AU222)),""),"")</f>
        <v/>
      </c>
      <c r="AP222" s="35" t="str" cm="1">
        <f t="array" ref="AP222">IFERROR(IF(AB223&lt;&gt;AB222,_xlfn.STDEV.P(IF(AB$9:AB222=AB222,AT$9:AT222)),""),"")</f>
        <v/>
      </c>
      <c r="AQ222" s="36" t="str">
        <f t="shared" si="53"/>
        <v/>
      </c>
      <c r="AR222" s="36" t="str">
        <f t="shared" si="54"/>
        <v/>
      </c>
      <c r="AS222" s="36" t="str">
        <f t="shared" si="63"/>
        <v/>
      </c>
      <c r="AT222" s="37" t="str">
        <f t="shared" si="55"/>
        <v/>
      </c>
      <c r="AU222" s="37" t="str">
        <f t="shared" si="56"/>
        <v/>
      </c>
      <c r="AV222" s="54"/>
      <c r="AW222" s="46"/>
      <c r="AX222" s="39" t="str" cm="1">
        <f t="array" ref="AX222">IF(AH222&lt;&gt;"",IF(AND(AX220:AX221&lt;&gt;"IE",AQ222&lt;&gt;0,AS222&lt;&gt;""),IF(IFERROR((AQ222/AS222),0) &lt;=1,IFERROR(AQ222/AS222,""),1),""),"")</f>
        <v/>
      </c>
      <c r="AY222" s="46"/>
      <c r="AZ222" s="57"/>
    </row>
    <row r="223" spans="1:52" ht="15.5" x14ac:dyDescent="0.35">
      <c r="A223" s="51">
        <f t="shared" si="64"/>
        <v>1</v>
      </c>
      <c r="B223" s="52"/>
      <c r="C223" s="52"/>
      <c r="D223" s="29" t="str">
        <f>IFERROR(
IF(AND(OR(Planilla!B223="C",Planilla!B223="c"), VLOOKUP(E223,[1]Diccionario!B:N,13,0)="C"), "OK",IF(AND(OR(Planilla!B223="C",Planilla!B223="c"), OR(VLOOKUP(E223,[1]Diccionario!B:N,13,0)="B", VLOOKUP(E223,[1]Diccionario!B:N,13,0)="A")), "DEFICIT",IF(
AND(OR(Planilla!B223="B", Planilla!B223="BPAL"), VLOOKUP(E223,[1]Diccionario!B:N,13,0)="B"), "OK",IF(AND(OR(Planilla!B223="B", Planilla!B223="BPAL"), VLOOKUP(E223,[1]Diccionario!B:N,13,0)="A"), "DEFICIT",IF(AND(OR(Planilla!B223="B", Planilla!B223="BPAL"), VLOOKUP(E223,[1]Diccionario!B:N,13,0)="C"), "SOBREOFERTA",IF(AND(Planilla!B223="A", VLOOKUP(E223,[1]Diccionario!B:N,13,0)="A"), "OK",IF(
AND(Planilla!B223="A", OR(VLOOKUP(E223,[1]Diccionario!B:N,13,0)="B", VLOOKUP(E223,[1]Diccionario!B:N,13,0)="C")), "SOBREOFERTA",""
))))))),"")</f>
        <v/>
      </c>
      <c r="E223" s="48"/>
      <c r="F223" s="53"/>
      <c r="G223" s="54"/>
      <c r="H223" s="55" t="str">
        <f t="shared" si="57"/>
        <v/>
      </c>
      <c r="I223" s="35"/>
      <c r="J223" s="34" t="e">
        <f>IF(A223&lt;&gt;"",HLOOKUP(VALUE(TEXT(G223,"h:mm:ss")),IF($C$6="Laboral",[1]Input!$A$4:$Y$227,IF($C$6="Sábado",[1]Input!$A$231:$Y$452,[1]Input!$A$456:$Y$656)),VLOOKUP($C$4,[1]Input!$AG$2:$AI$99,3,0)+IF(C$5="Ida",0,1),1),"")</f>
        <v>#N/A</v>
      </c>
      <c r="K223" s="34" t="str">
        <f>IF(A224&lt;&gt;A223,AVERAGEIF(A$9:A223,A223,J$13:J223),"")</f>
        <v/>
      </c>
      <c r="L223" s="35" t="str">
        <f>IFERROR(IF(A224&lt;&gt;A223,AVERAGEIF(A$9:A223,A223,S$13:S223),""),"")</f>
        <v/>
      </c>
      <c r="M223" s="35" t="str">
        <f>IFERROR(IF(A224&lt;&gt;A223,AVERAGEIF(A$9:A223,A223,T$8:T223),""),"")</f>
        <v/>
      </c>
      <c r="N223" s="35" t="str" cm="1">
        <f t="array" ref="N223">IFERROR(IF(A224&lt;&gt;A223,_xlfn.STDEV.P(IF(A$9:A223=A223,T$7:T223)),""),"")</f>
        <v/>
      </c>
      <c r="O223" s="35" t="str" cm="1">
        <f t="array" ref="O223">IFERROR(IF(A224&lt;&gt;A223,_xlfn.STDEV.P(IF(A$9:A223=A223,S$7:S223)),""),"")</f>
        <v/>
      </c>
      <c r="P223" s="36" t="str">
        <f t="shared" si="50"/>
        <v/>
      </c>
      <c r="Q223" s="36" t="str">
        <f t="shared" si="51"/>
        <v/>
      </c>
      <c r="R223" s="36" t="str">
        <f t="shared" si="58"/>
        <v/>
      </c>
      <c r="S223" s="37" t="str">
        <f t="shared" si="59"/>
        <v/>
      </c>
      <c r="T223" s="37" t="str">
        <f t="shared" si="52"/>
        <v/>
      </c>
      <c r="U223" s="54"/>
      <c r="V223" s="46"/>
      <c r="W223" s="39" t="str">
        <f t="shared" si="60"/>
        <v/>
      </c>
      <c r="X223" s="38"/>
      <c r="Y223" s="48"/>
      <c r="AB223" s="56">
        <f t="shared" si="61"/>
        <v>1</v>
      </c>
      <c r="AC223" s="52"/>
      <c r="AD223" s="52"/>
      <c r="AE223" s="29" t="str">
        <f>IFERROR(
IF(AND(OR(AC223="C",AC223="c"), VLOOKUP(AF223,[1]Diccionario!B:N,13,0)="C"), "OK",IF(AND(OR(AC223="C",AC223="c"), OR(VLOOKUP(AF223,[1]Diccionario!B:N,13,0)="B", VLOOKUP(AF223,[1]Diccionario!B:N,13,0)="A")), "DEFICIT",IF(
AND(OR(AC223="B", AC223="BPAL"), VLOOKUP(AF223,[1]Diccionario!B:N,13,0)="B"), "OK",IF(AND(OR(AC223="B", AC223="BPAL"), VLOOKUP(AF223,[1]Diccionario!B:N,13,0)="A"), "DEFICIT",IF(AND(OR(AC223="B", AC223="BPAL"), VLOOKUP(AF223,[1]Diccionario!B:N,13,0)="C"), "SOBREOFERTA",IF(AND(AC223="A", VLOOKUP(AF223,[1]Diccionario!B:N,13,0)="A"), "OK",IF(
AND(AC223="A", OR(VLOOKUP(AF223,[1]Diccionario!B:N,13,0)="B", VLOOKUP(AF223,[1]Diccionario!B:N,13,0)="C")), "SOBREOFERTA",""
))))))),"")</f>
        <v/>
      </c>
      <c r="AF223" s="48"/>
      <c r="AG223" s="53"/>
      <c r="AH223" s="54"/>
      <c r="AI223" s="55" t="str">
        <f t="shared" si="62"/>
        <v/>
      </c>
      <c r="AJ223" s="46"/>
      <c r="AK223" s="34" t="e">
        <f>IF(AB223&lt;&gt;"",HLOOKUP(VALUE(TEXT(AH223,"h:mm:ss")),IF($C$6="Laboral",[1]Input!$A$4:$Y$227,IF($C$6="Sábado",[1]Input!$A$231:$Y$452,[1]Input!$A$456:$Y$656)),VLOOKUP($C$4,[1]Input!$AG$2:$AI$99,3,0)+IF(AD$5="Ida",0,1),1),"")</f>
        <v>#N/A</v>
      </c>
      <c r="AL223" s="34" t="str">
        <f>IF(AB224&lt;&gt;AB223,AVERAGEIF(AB$9:AB223,AB223,AK$9:AK223),"")</f>
        <v/>
      </c>
      <c r="AM223" s="35" t="str">
        <f>IFERROR(IF(AB224&lt;&gt;AB223,AVERAGEIF(AB$9:AB223,AB223,AT$9:AT223),""),"")</f>
        <v/>
      </c>
      <c r="AN223" s="35" t="str">
        <f>IFERROR(IF(AB224&lt;&gt;AB223,AVERAGEIF(AB$9:AB223,AB223,AU$9:AU223),""),"")</f>
        <v/>
      </c>
      <c r="AO223" s="35" t="str" cm="1">
        <f t="array" ref="AO223">IFERROR(IF(AB224&lt;&gt;AB223,_xlfn.STDEV.P(IF(AB$9:AB223=AB223,AU$9:AU223)),""),"")</f>
        <v/>
      </c>
      <c r="AP223" s="35" t="str" cm="1">
        <f t="array" ref="AP223">IFERROR(IF(AB224&lt;&gt;AB223,_xlfn.STDEV.P(IF(AB$9:AB223=AB223,AT$9:AT223)),""),"")</f>
        <v/>
      </c>
      <c r="AQ223" s="36" t="str">
        <f t="shared" si="53"/>
        <v/>
      </c>
      <c r="AR223" s="36" t="str">
        <f t="shared" si="54"/>
        <v/>
      </c>
      <c r="AS223" s="36" t="str">
        <f t="shared" si="63"/>
        <v/>
      </c>
      <c r="AT223" s="37" t="str">
        <f t="shared" si="55"/>
        <v/>
      </c>
      <c r="AU223" s="37" t="str">
        <f t="shared" si="56"/>
        <v/>
      </c>
      <c r="AV223" s="54"/>
      <c r="AW223" s="46"/>
      <c r="AX223" s="39" t="str" cm="1">
        <f t="array" ref="AX223">IF(AH223&lt;&gt;"",IF(AND(AX221:AX222&lt;&gt;"IE",AQ223&lt;&gt;0,AS223&lt;&gt;""),IF(IFERROR((AQ223/AS223),0) &lt;=1,IFERROR(AQ223/AS223,""),1),""),"")</f>
        <v/>
      </c>
      <c r="AY223" s="46"/>
      <c r="AZ223" s="57"/>
    </row>
    <row r="224" spans="1:52" ht="15.5" x14ac:dyDescent="0.35">
      <c r="A224" s="51">
        <f t="shared" si="64"/>
        <v>1</v>
      </c>
      <c r="B224" s="52"/>
      <c r="C224" s="52"/>
      <c r="D224" s="29" t="str">
        <f>IFERROR(
IF(AND(OR(Planilla!B224="C",Planilla!B224="c"), VLOOKUP(E224,[1]Diccionario!B:N,13,0)="C"), "OK",IF(AND(OR(Planilla!B224="C",Planilla!B224="c"), OR(VLOOKUP(E224,[1]Diccionario!B:N,13,0)="B", VLOOKUP(E224,[1]Diccionario!B:N,13,0)="A")), "DEFICIT",IF(
AND(OR(Planilla!B224="B", Planilla!B224="BPAL"), VLOOKUP(E224,[1]Diccionario!B:N,13,0)="B"), "OK",IF(AND(OR(Planilla!B224="B", Planilla!B224="BPAL"), VLOOKUP(E224,[1]Diccionario!B:N,13,0)="A"), "DEFICIT",IF(AND(OR(Planilla!B224="B", Planilla!B224="BPAL"), VLOOKUP(E224,[1]Diccionario!B:N,13,0)="C"), "SOBREOFERTA",IF(AND(Planilla!B224="A", VLOOKUP(E224,[1]Diccionario!B:N,13,0)="A"), "OK",IF(
AND(Planilla!B224="A", OR(VLOOKUP(E224,[1]Diccionario!B:N,13,0)="B", VLOOKUP(E224,[1]Diccionario!B:N,13,0)="C")), "SOBREOFERTA",""
))))))),"")</f>
        <v/>
      </c>
      <c r="E224" s="48"/>
      <c r="F224" s="53"/>
      <c r="G224" s="54"/>
      <c r="H224" s="55" t="str">
        <f t="shared" si="57"/>
        <v/>
      </c>
      <c r="I224" s="35"/>
      <c r="J224" s="34" t="e">
        <f>IF(A224&lt;&gt;"",HLOOKUP(VALUE(TEXT(G224,"h:mm:ss")),IF($C$6="Laboral",[1]Input!$A$4:$Y$227,IF($C$6="Sábado",[1]Input!$A$231:$Y$452,[1]Input!$A$456:$Y$656)),VLOOKUP($C$4,[1]Input!$AG$2:$AI$99,3,0)+IF(C$5="Ida",0,1),1),"")</f>
        <v>#N/A</v>
      </c>
      <c r="K224" s="34" t="str">
        <f>IF(A225&lt;&gt;A224,AVERAGEIF(A$9:A224,A224,J$13:J224),"")</f>
        <v/>
      </c>
      <c r="L224" s="35" t="str">
        <f>IFERROR(IF(A225&lt;&gt;A224,AVERAGEIF(A$9:A224,A224,S$13:S224),""),"")</f>
        <v/>
      </c>
      <c r="M224" s="35" t="str">
        <f>IFERROR(IF(A225&lt;&gt;A224,AVERAGEIF(A$9:A224,A224,T$8:T224),""),"")</f>
        <v/>
      </c>
      <c r="N224" s="35" t="str" cm="1">
        <f t="array" ref="N224">IFERROR(IF(A225&lt;&gt;A224,_xlfn.STDEV.P(IF(A$9:A224=A224,T$7:T224)),""),"")</f>
        <v/>
      </c>
      <c r="O224" s="35" t="str" cm="1">
        <f t="array" ref="O224">IFERROR(IF(A225&lt;&gt;A224,_xlfn.STDEV.P(IF(A$9:A224=A224,S$7:S224)),""),"")</f>
        <v/>
      </c>
      <c r="P224" s="36" t="str">
        <f t="shared" si="50"/>
        <v/>
      </c>
      <c r="Q224" s="36" t="str">
        <f t="shared" si="51"/>
        <v/>
      </c>
      <c r="R224" s="36" t="str">
        <f t="shared" si="58"/>
        <v/>
      </c>
      <c r="S224" s="37" t="str">
        <f t="shared" si="59"/>
        <v/>
      </c>
      <c r="T224" s="37" t="str">
        <f t="shared" si="52"/>
        <v/>
      </c>
      <c r="U224" s="54"/>
      <c r="V224" s="46"/>
      <c r="W224" s="39" t="str">
        <f t="shared" si="60"/>
        <v/>
      </c>
      <c r="X224" s="38"/>
      <c r="Y224" s="48"/>
      <c r="AB224" s="56">
        <f t="shared" si="61"/>
        <v>1</v>
      </c>
      <c r="AC224" s="52"/>
      <c r="AD224" s="52"/>
      <c r="AE224" s="29" t="str">
        <f>IFERROR(
IF(AND(OR(AC224="C",AC224="c"), VLOOKUP(AF224,[1]Diccionario!B:N,13,0)="C"), "OK",IF(AND(OR(AC224="C",AC224="c"), OR(VLOOKUP(AF224,[1]Diccionario!B:N,13,0)="B", VLOOKUP(AF224,[1]Diccionario!B:N,13,0)="A")), "DEFICIT",IF(
AND(OR(AC224="B", AC224="BPAL"), VLOOKUP(AF224,[1]Diccionario!B:N,13,0)="B"), "OK",IF(AND(OR(AC224="B", AC224="BPAL"), VLOOKUP(AF224,[1]Diccionario!B:N,13,0)="A"), "DEFICIT",IF(AND(OR(AC224="B", AC224="BPAL"), VLOOKUP(AF224,[1]Diccionario!B:N,13,0)="C"), "SOBREOFERTA",IF(AND(AC224="A", VLOOKUP(AF224,[1]Diccionario!B:N,13,0)="A"), "OK",IF(
AND(AC224="A", OR(VLOOKUP(AF224,[1]Diccionario!B:N,13,0)="B", VLOOKUP(AF224,[1]Diccionario!B:N,13,0)="C")), "SOBREOFERTA",""
))))))),"")</f>
        <v/>
      </c>
      <c r="AF224" s="48"/>
      <c r="AG224" s="53"/>
      <c r="AH224" s="54"/>
      <c r="AI224" s="55" t="str">
        <f t="shared" si="62"/>
        <v/>
      </c>
      <c r="AJ224" s="46"/>
      <c r="AK224" s="34" t="e">
        <f>IF(AB224&lt;&gt;"",HLOOKUP(VALUE(TEXT(AH224,"h:mm:ss")),IF($C$6="Laboral",[1]Input!$A$4:$Y$227,IF($C$6="Sábado",[1]Input!$A$231:$Y$452,[1]Input!$A$456:$Y$656)),VLOOKUP($C$4,[1]Input!$AG$2:$AI$99,3,0)+IF(AD$5="Ida",0,1),1),"")</f>
        <v>#N/A</v>
      </c>
      <c r="AL224" s="34" t="str">
        <f>IF(AB225&lt;&gt;AB224,AVERAGEIF(AB$9:AB224,AB224,AK$9:AK224),"")</f>
        <v/>
      </c>
      <c r="AM224" s="35" t="str">
        <f>IFERROR(IF(AB225&lt;&gt;AB224,AVERAGEIF(AB$9:AB224,AB224,AT$9:AT224),""),"")</f>
        <v/>
      </c>
      <c r="AN224" s="35" t="str">
        <f>IFERROR(IF(AB225&lt;&gt;AB224,AVERAGEIF(AB$9:AB224,AB224,AU$9:AU224),""),"")</f>
        <v/>
      </c>
      <c r="AO224" s="35" t="str" cm="1">
        <f t="array" ref="AO224">IFERROR(IF(AB225&lt;&gt;AB224,_xlfn.STDEV.P(IF(AB$9:AB224=AB224,AU$9:AU224)),""),"")</f>
        <v/>
      </c>
      <c r="AP224" s="35" t="str" cm="1">
        <f t="array" ref="AP224">IFERROR(IF(AB225&lt;&gt;AB224,_xlfn.STDEV.P(IF(AB$9:AB224=AB224,AT$9:AT224)),""),"")</f>
        <v/>
      </c>
      <c r="AQ224" s="36" t="str">
        <f t="shared" si="53"/>
        <v/>
      </c>
      <c r="AR224" s="36" t="str">
        <f t="shared" si="54"/>
        <v/>
      </c>
      <c r="AS224" s="36" t="str">
        <f t="shared" si="63"/>
        <v/>
      </c>
      <c r="AT224" s="37" t="str">
        <f t="shared" si="55"/>
        <v/>
      </c>
      <c r="AU224" s="37" t="str">
        <f t="shared" si="56"/>
        <v/>
      </c>
      <c r="AV224" s="54"/>
      <c r="AW224" s="46"/>
      <c r="AX224" s="39" t="str" cm="1">
        <f t="array" ref="AX224">IF(AH224&lt;&gt;"",IF(AND(AX222:AX223&lt;&gt;"IE",AQ224&lt;&gt;0,AS224&lt;&gt;""),IF(IFERROR((AQ224/AS224),0) &lt;=1,IFERROR(AQ224/AS224,""),1),""),"")</f>
        <v/>
      </c>
      <c r="AY224" s="46"/>
      <c r="AZ224" s="57"/>
    </row>
    <row r="225" spans="1:52" ht="15.5" x14ac:dyDescent="0.35">
      <c r="A225" s="51">
        <f t="shared" si="64"/>
        <v>1</v>
      </c>
      <c r="B225" s="52"/>
      <c r="C225" s="52"/>
      <c r="D225" s="29" t="str">
        <f>IFERROR(
IF(AND(OR(Planilla!B225="C",Planilla!B225="c"), VLOOKUP(E225,[1]Diccionario!B:N,13,0)="C"), "OK",IF(AND(OR(Planilla!B225="C",Planilla!B225="c"), OR(VLOOKUP(E225,[1]Diccionario!B:N,13,0)="B", VLOOKUP(E225,[1]Diccionario!B:N,13,0)="A")), "DEFICIT",IF(
AND(OR(Planilla!B225="B", Planilla!B225="BPAL"), VLOOKUP(E225,[1]Diccionario!B:N,13,0)="B"), "OK",IF(AND(OR(Planilla!B225="B", Planilla!B225="BPAL"), VLOOKUP(E225,[1]Diccionario!B:N,13,0)="A"), "DEFICIT",IF(AND(OR(Planilla!B225="B", Planilla!B225="BPAL"), VLOOKUP(E225,[1]Diccionario!B:N,13,0)="C"), "SOBREOFERTA",IF(AND(Planilla!B225="A", VLOOKUP(E225,[1]Diccionario!B:N,13,0)="A"), "OK",IF(
AND(Planilla!B225="A", OR(VLOOKUP(E225,[1]Diccionario!B:N,13,0)="B", VLOOKUP(E225,[1]Diccionario!B:N,13,0)="C")), "SOBREOFERTA",""
))))))),"")</f>
        <v/>
      </c>
      <c r="E225" s="48"/>
      <c r="F225" s="53"/>
      <c r="G225" s="54"/>
      <c r="H225" s="55" t="str">
        <f t="shared" si="57"/>
        <v/>
      </c>
      <c r="I225" s="35"/>
      <c r="J225" s="34" t="e">
        <f>IF(A225&lt;&gt;"",HLOOKUP(VALUE(TEXT(G225,"h:mm:ss")),IF($C$6="Laboral",[1]Input!$A$4:$Y$227,IF($C$6="Sábado",[1]Input!$A$231:$Y$452,[1]Input!$A$456:$Y$656)),VLOOKUP($C$4,[1]Input!$AG$2:$AI$99,3,0)+IF(C$5="Ida",0,1),1),"")</f>
        <v>#N/A</v>
      </c>
      <c r="K225" s="34" t="str">
        <f>IF(A226&lt;&gt;A225,AVERAGEIF(A$9:A225,A225,J$13:J225),"")</f>
        <v/>
      </c>
      <c r="L225" s="35" t="str">
        <f>IFERROR(IF(A226&lt;&gt;A225,AVERAGEIF(A$9:A225,A225,S$13:S225),""),"")</f>
        <v/>
      </c>
      <c r="M225" s="35" t="str">
        <f>IFERROR(IF(A226&lt;&gt;A225,AVERAGEIF(A$9:A225,A225,T$8:T225),""),"")</f>
        <v/>
      </c>
      <c r="N225" s="35" t="str" cm="1">
        <f t="array" ref="N225">IFERROR(IF(A226&lt;&gt;A225,_xlfn.STDEV.P(IF(A$9:A225=A225,T$7:T225)),""),"")</f>
        <v/>
      </c>
      <c r="O225" s="35" t="str" cm="1">
        <f t="array" ref="O225">IFERROR(IF(A226&lt;&gt;A225,_xlfn.STDEV.P(IF(A$9:A225=A225,S$7:S225)),""),"")</f>
        <v/>
      </c>
      <c r="P225" s="36" t="str">
        <f t="shared" si="50"/>
        <v/>
      </c>
      <c r="Q225" s="36" t="str">
        <f t="shared" si="51"/>
        <v/>
      </c>
      <c r="R225" s="36" t="str">
        <f t="shared" si="58"/>
        <v/>
      </c>
      <c r="S225" s="37" t="str">
        <f t="shared" si="59"/>
        <v/>
      </c>
      <c r="T225" s="37" t="str">
        <f t="shared" si="52"/>
        <v/>
      </c>
      <c r="U225" s="54"/>
      <c r="V225" s="46"/>
      <c r="W225" s="39" t="str">
        <f t="shared" si="60"/>
        <v/>
      </c>
      <c r="X225" s="38"/>
      <c r="Y225" s="48"/>
      <c r="AB225" s="56">
        <f t="shared" si="61"/>
        <v>1</v>
      </c>
      <c r="AC225" s="52"/>
      <c r="AD225" s="52"/>
      <c r="AE225" s="29" t="str">
        <f>IFERROR(
IF(AND(OR(AC225="C",AC225="c"), VLOOKUP(AF225,[1]Diccionario!B:N,13,0)="C"), "OK",IF(AND(OR(AC225="C",AC225="c"), OR(VLOOKUP(AF225,[1]Diccionario!B:N,13,0)="B", VLOOKUP(AF225,[1]Diccionario!B:N,13,0)="A")), "DEFICIT",IF(
AND(OR(AC225="B", AC225="BPAL"), VLOOKUP(AF225,[1]Diccionario!B:N,13,0)="B"), "OK",IF(AND(OR(AC225="B", AC225="BPAL"), VLOOKUP(AF225,[1]Diccionario!B:N,13,0)="A"), "DEFICIT",IF(AND(OR(AC225="B", AC225="BPAL"), VLOOKUP(AF225,[1]Diccionario!B:N,13,0)="C"), "SOBREOFERTA",IF(AND(AC225="A", VLOOKUP(AF225,[1]Diccionario!B:N,13,0)="A"), "OK",IF(
AND(AC225="A", OR(VLOOKUP(AF225,[1]Diccionario!B:N,13,0)="B", VLOOKUP(AF225,[1]Diccionario!B:N,13,0)="C")), "SOBREOFERTA",""
))))))),"")</f>
        <v/>
      </c>
      <c r="AF225" s="48"/>
      <c r="AG225" s="53"/>
      <c r="AH225" s="54"/>
      <c r="AI225" s="55" t="str">
        <f t="shared" si="62"/>
        <v/>
      </c>
      <c r="AJ225" s="46"/>
      <c r="AK225" s="34" t="e">
        <f>IF(AB225&lt;&gt;"",HLOOKUP(VALUE(TEXT(AH225,"h:mm:ss")),IF($C$6="Laboral",[1]Input!$A$4:$Y$227,IF($C$6="Sábado",[1]Input!$A$231:$Y$452,[1]Input!$A$456:$Y$656)),VLOOKUP($C$4,[1]Input!$AG$2:$AI$99,3,0)+IF(AD$5="Ida",0,1),1),"")</f>
        <v>#N/A</v>
      </c>
      <c r="AL225" s="34" t="str">
        <f>IF(AB226&lt;&gt;AB225,AVERAGEIF(AB$9:AB225,AB225,AK$9:AK225),"")</f>
        <v/>
      </c>
      <c r="AM225" s="35" t="str">
        <f>IFERROR(IF(AB226&lt;&gt;AB225,AVERAGEIF(AB$9:AB225,AB225,AT$9:AT225),""),"")</f>
        <v/>
      </c>
      <c r="AN225" s="35" t="str">
        <f>IFERROR(IF(AB226&lt;&gt;AB225,AVERAGEIF(AB$9:AB225,AB225,AU$9:AU225),""),"")</f>
        <v/>
      </c>
      <c r="AO225" s="35" t="str" cm="1">
        <f t="array" ref="AO225">IFERROR(IF(AB226&lt;&gt;AB225,_xlfn.STDEV.P(IF(AB$9:AB225=AB225,AU$9:AU225)),""),"")</f>
        <v/>
      </c>
      <c r="AP225" s="35" t="str" cm="1">
        <f t="array" ref="AP225">IFERROR(IF(AB226&lt;&gt;AB225,_xlfn.STDEV.P(IF(AB$9:AB225=AB225,AT$9:AT225)),""),"")</f>
        <v/>
      </c>
      <c r="AQ225" s="36" t="str">
        <f t="shared" si="53"/>
        <v/>
      </c>
      <c r="AR225" s="36" t="str">
        <f t="shared" si="54"/>
        <v/>
      </c>
      <c r="AS225" s="36" t="str">
        <f t="shared" si="63"/>
        <v/>
      </c>
      <c r="AT225" s="37" t="str">
        <f t="shared" si="55"/>
        <v/>
      </c>
      <c r="AU225" s="37" t="str">
        <f t="shared" si="56"/>
        <v/>
      </c>
      <c r="AV225" s="54"/>
      <c r="AW225" s="46"/>
      <c r="AX225" s="39" t="str" cm="1">
        <f t="array" ref="AX225">IF(AH225&lt;&gt;"",IF(AND(AX223:AX224&lt;&gt;"IE",AQ225&lt;&gt;0,AS225&lt;&gt;""),IF(IFERROR((AQ225/AS225),0) &lt;=1,IFERROR(AQ225/AS225,""),1),""),"")</f>
        <v/>
      </c>
      <c r="AY225" s="46"/>
      <c r="AZ225" s="57"/>
    </row>
    <row r="226" spans="1:52" ht="15.5" x14ac:dyDescent="0.35">
      <c r="A226" s="51">
        <f t="shared" si="64"/>
        <v>1</v>
      </c>
      <c r="B226" s="52"/>
      <c r="C226" s="52"/>
      <c r="D226" s="29" t="str">
        <f>IFERROR(
IF(AND(OR(Planilla!B226="C",Planilla!B226="c"), VLOOKUP(E226,[1]Diccionario!B:N,13,0)="C"), "OK",IF(AND(OR(Planilla!B226="C",Planilla!B226="c"), OR(VLOOKUP(E226,[1]Diccionario!B:N,13,0)="B", VLOOKUP(E226,[1]Diccionario!B:N,13,0)="A")), "DEFICIT",IF(
AND(OR(Planilla!B226="B", Planilla!B226="BPAL"), VLOOKUP(E226,[1]Diccionario!B:N,13,0)="B"), "OK",IF(AND(OR(Planilla!B226="B", Planilla!B226="BPAL"), VLOOKUP(E226,[1]Diccionario!B:N,13,0)="A"), "DEFICIT",IF(AND(OR(Planilla!B226="B", Planilla!B226="BPAL"), VLOOKUP(E226,[1]Diccionario!B:N,13,0)="C"), "SOBREOFERTA",IF(AND(Planilla!B226="A", VLOOKUP(E226,[1]Diccionario!B:N,13,0)="A"), "OK",IF(
AND(Planilla!B226="A", OR(VLOOKUP(E226,[1]Diccionario!B:N,13,0)="B", VLOOKUP(E226,[1]Diccionario!B:N,13,0)="C")), "SOBREOFERTA",""
))))))),"")</f>
        <v/>
      </c>
      <c r="E226" s="48"/>
      <c r="F226" s="53"/>
      <c r="G226" s="54"/>
      <c r="H226" s="55" t="str">
        <f t="shared" si="57"/>
        <v/>
      </c>
      <c r="I226" s="35"/>
      <c r="J226" s="34" t="e">
        <f>IF(A226&lt;&gt;"",HLOOKUP(VALUE(TEXT(G226,"h:mm:ss")),IF($C$6="Laboral",[1]Input!$A$4:$Y$227,IF($C$6="Sábado",[1]Input!$A$231:$Y$452,[1]Input!$A$456:$Y$656)),VLOOKUP($C$4,[1]Input!$AG$2:$AI$99,3,0)+IF(C$5="Ida",0,1),1),"")</f>
        <v>#N/A</v>
      </c>
      <c r="K226" s="34" t="str">
        <f>IF(A227&lt;&gt;A226,AVERAGEIF(A$9:A226,A226,J$13:J226),"")</f>
        <v/>
      </c>
      <c r="L226" s="35" t="str">
        <f>IFERROR(IF(A227&lt;&gt;A226,AVERAGEIF(A$9:A226,A226,S$13:S226),""),"")</f>
        <v/>
      </c>
      <c r="M226" s="35" t="str">
        <f>IFERROR(IF(A227&lt;&gt;A226,AVERAGEIF(A$9:A226,A226,T$8:T226),""),"")</f>
        <v/>
      </c>
      <c r="N226" s="35" t="str" cm="1">
        <f t="array" ref="N226">IFERROR(IF(A227&lt;&gt;A226,_xlfn.STDEV.P(IF(A$9:A226=A226,T$7:T226)),""),"")</f>
        <v/>
      </c>
      <c r="O226" s="35" t="str" cm="1">
        <f t="array" ref="O226">IFERROR(IF(A227&lt;&gt;A226,_xlfn.STDEV.P(IF(A$9:A226=A226,S$7:S226)),""),"")</f>
        <v/>
      </c>
      <c r="P226" s="36" t="str">
        <f t="shared" si="50"/>
        <v/>
      </c>
      <c r="Q226" s="36" t="str">
        <f t="shared" si="51"/>
        <v/>
      </c>
      <c r="R226" s="36" t="str">
        <f t="shared" si="58"/>
        <v/>
      </c>
      <c r="S226" s="37" t="str">
        <f t="shared" si="59"/>
        <v/>
      </c>
      <c r="T226" s="37" t="str">
        <f t="shared" si="52"/>
        <v/>
      </c>
      <c r="U226" s="54"/>
      <c r="V226" s="46"/>
      <c r="W226" s="39" t="str">
        <f t="shared" si="60"/>
        <v/>
      </c>
      <c r="X226" s="38"/>
      <c r="Y226" s="48"/>
      <c r="AB226" s="56">
        <f t="shared" si="61"/>
        <v>1</v>
      </c>
      <c r="AC226" s="52"/>
      <c r="AD226" s="52"/>
      <c r="AE226" s="29" t="str">
        <f>IFERROR(
IF(AND(OR(AC226="C",AC226="c"), VLOOKUP(AF226,[1]Diccionario!B:N,13,0)="C"), "OK",IF(AND(OR(AC226="C",AC226="c"), OR(VLOOKUP(AF226,[1]Diccionario!B:N,13,0)="B", VLOOKUP(AF226,[1]Diccionario!B:N,13,0)="A")), "DEFICIT",IF(
AND(OR(AC226="B", AC226="BPAL"), VLOOKUP(AF226,[1]Diccionario!B:N,13,0)="B"), "OK",IF(AND(OR(AC226="B", AC226="BPAL"), VLOOKUP(AF226,[1]Diccionario!B:N,13,0)="A"), "DEFICIT",IF(AND(OR(AC226="B", AC226="BPAL"), VLOOKUP(AF226,[1]Diccionario!B:N,13,0)="C"), "SOBREOFERTA",IF(AND(AC226="A", VLOOKUP(AF226,[1]Diccionario!B:N,13,0)="A"), "OK",IF(
AND(AC226="A", OR(VLOOKUP(AF226,[1]Diccionario!B:N,13,0)="B", VLOOKUP(AF226,[1]Diccionario!B:N,13,0)="C")), "SOBREOFERTA",""
))))))),"")</f>
        <v/>
      </c>
      <c r="AF226" s="48"/>
      <c r="AG226" s="53"/>
      <c r="AH226" s="54"/>
      <c r="AI226" s="55" t="str">
        <f t="shared" si="62"/>
        <v/>
      </c>
      <c r="AJ226" s="46"/>
      <c r="AK226" s="34" t="e">
        <f>IF(AB226&lt;&gt;"",HLOOKUP(VALUE(TEXT(AH226,"h:mm:ss")),IF($C$6="Laboral",[1]Input!$A$4:$Y$227,IF($C$6="Sábado",[1]Input!$A$231:$Y$452,[1]Input!$A$456:$Y$656)),VLOOKUP($C$4,[1]Input!$AG$2:$AI$99,3,0)+IF(AD$5="Ida",0,1),1),"")</f>
        <v>#N/A</v>
      </c>
      <c r="AL226" s="34" t="str">
        <f>IF(AB227&lt;&gt;AB226,AVERAGEIF(AB$9:AB226,AB226,AK$9:AK226),"")</f>
        <v/>
      </c>
      <c r="AM226" s="35" t="str">
        <f>IFERROR(IF(AB227&lt;&gt;AB226,AVERAGEIF(AB$9:AB226,AB226,AT$9:AT226),""),"")</f>
        <v/>
      </c>
      <c r="AN226" s="35" t="str">
        <f>IFERROR(IF(AB227&lt;&gt;AB226,AVERAGEIF(AB$9:AB226,AB226,AU$9:AU226),""),"")</f>
        <v/>
      </c>
      <c r="AO226" s="35" t="str" cm="1">
        <f t="array" ref="AO226">IFERROR(IF(AB227&lt;&gt;AB226,_xlfn.STDEV.P(IF(AB$9:AB226=AB226,AU$9:AU226)),""),"")</f>
        <v/>
      </c>
      <c r="AP226" s="35" t="str" cm="1">
        <f t="array" ref="AP226">IFERROR(IF(AB227&lt;&gt;AB226,_xlfn.STDEV.P(IF(AB$9:AB226=AB226,AT$9:AT226)),""),"")</f>
        <v/>
      </c>
      <c r="AQ226" s="36" t="str">
        <f t="shared" si="53"/>
        <v/>
      </c>
      <c r="AR226" s="36" t="str">
        <f t="shared" si="54"/>
        <v/>
      </c>
      <c r="AS226" s="36" t="str">
        <f t="shared" si="63"/>
        <v/>
      </c>
      <c r="AT226" s="37" t="str">
        <f t="shared" si="55"/>
        <v/>
      </c>
      <c r="AU226" s="37" t="str">
        <f t="shared" si="56"/>
        <v/>
      </c>
      <c r="AV226" s="54"/>
      <c r="AW226" s="46"/>
      <c r="AX226" s="39" t="str" cm="1">
        <f t="array" ref="AX226">IF(AH226&lt;&gt;"",IF(AND(AX224:AX225&lt;&gt;"IE",AQ226&lt;&gt;0,AS226&lt;&gt;""),IF(IFERROR((AQ226/AS226),0) &lt;=1,IFERROR(AQ226/AS226,""),1),""),"")</f>
        <v/>
      </c>
      <c r="AY226" s="46"/>
      <c r="AZ226" s="57"/>
    </row>
    <row r="227" spans="1:52" ht="15.5" x14ac:dyDescent="0.35">
      <c r="A227" s="51">
        <f t="shared" si="64"/>
        <v>1</v>
      </c>
      <c r="B227" s="52"/>
      <c r="C227" s="52"/>
      <c r="D227" s="29" t="str">
        <f>IFERROR(
IF(AND(OR(Planilla!B227="C",Planilla!B227="c"), VLOOKUP(E227,[1]Diccionario!B:N,13,0)="C"), "OK",IF(AND(OR(Planilla!B227="C",Planilla!B227="c"), OR(VLOOKUP(E227,[1]Diccionario!B:N,13,0)="B", VLOOKUP(E227,[1]Diccionario!B:N,13,0)="A")), "DEFICIT",IF(
AND(OR(Planilla!B227="B", Planilla!B227="BPAL"), VLOOKUP(E227,[1]Diccionario!B:N,13,0)="B"), "OK",IF(AND(OR(Planilla!B227="B", Planilla!B227="BPAL"), VLOOKUP(E227,[1]Diccionario!B:N,13,0)="A"), "DEFICIT",IF(AND(OR(Planilla!B227="B", Planilla!B227="BPAL"), VLOOKUP(E227,[1]Diccionario!B:N,13,0)="C"), "SOBREOFERTA",IF(AND(Planilla!B227="A", VLOOKUP(E227,[1]Diccionario!B:N,13,0)="A"), "OK",IF(
AND(Planilla!B227="A", OR(VLOOKUP(E227,[1]Diccionario!B:N,13,0)="B", VLOOKUP(E227,[1]Diccionario!B:N,13,0)="C")), "SOBREOFERTA",""
))))))),"")</f>
        <v/>
      </c>
      <c r="E227" s="48"/>
      <c r="F227" s="53"/>
      <c r="G227" s="54"/>
      <c r="H227" s="55" t="str">
        <f t="shared" si="57"/>
        <v/>
      </c>
      <c r="I227" s="35"/>
      <c r="J227" s="34" t="e">
        <f>IF(A227&lt;&gt;"",HLOOKUP(VALUE(TEXT(G227,"h:mm:ss")),IF($C$6="Laboral",[1]Input!$A$4:$Y$227,IF($C$6="Sábado",[1]Input!$A$231:$Y$452,[1]Input!$A$456:$Y$656)),VLOOKUP($C$4,[1]Input!$AG$2:$AI$99,3,0)+IF(C$5="Ida",0,1),1),"")</f>
        <v>#N/A</v>
      </c>
      <c r="K227" s="34" t="str">
        <f>IF(A228&lt;&gt;A227,AVERAGEIF(A$9:A227,A227,J$13:J227),"")</f>
        <v/>
      </c>
      <c r="L227" s="35" t="str">
        <f>IFERROR(IF(A228&lt;&gt;A227,AVERAGEIF(A$9:A227,A227,S$13:S227),""),"")</f>
        <v/>
      </c>
      <c r="M227" s="35" t="str">
        <f>IFERROR(IF(A228&lt;&gt;A227,AVERAGEIF(A$9:A227,A227,T$8:T227),""),"")</f>
        <v/>
      </c>
      <c r="N227" s="35" t="str" cm="1">
        <f t="array" ref="N227">IFERROR(IF(A228&lt;&gt;A227,_xlfn.STDEV.P(IF(A$9:A227=A227,T$7:T227)),""),"")</f>
        <v/>
      </c>
      <c r="O227" s="35" t="str" cm="1">
        <f t="array" ref="O227">IFERROR(IF(A228&lt;&gt;A227,_xlfn.STDEV.P(IF(A$9:A227=A227,S$7:S227)),""),"")</f>
        <v/>
      </c>
      <c r="P227" s="36" t="str">
        <f t="shared" si="50"/>
        <v/>
      </c>
      <c r="Q227" s="36" t="str">
        <f t="shared" si="51"/>
        <v/>
      </c>
      <c r="R227" s="36" t="str">
        <f t="shared" si="58"/>
        <v/>
      </c>
      <c r="S227" s="37" t="str">
        <f t="shared" si="59"/>
        <v/>
      </c>
      <c r="T227" s="37" t="str">
        <f t="shared" si="52"/>
        <v/>
      </c>
      <c r="U227" s="54"/>
      <c r="V227" s="46"/>
      <c r="W227" s="39" t="str">
        <f t="shared" si="60"/>
        <v/>
      </c>
      <c r="X227" s="38"/>
      <c r="Y227" s="48"/>
      <c r="AB227" s="56">
        <f t="shared" si="61"/>
        <v>1</v>
      </c>
      <c r="AC227" s="52"/>
      <c r="AD227" s="52"/>
      <c r="AE227" s="29" t="str">
        <f>IFERROR(
IF(AND(OR(AC227="C",AC227="c"), VLOOKUP(AF227,[1]Diccionario!B:N,13,0)="C"), "OK",IF(AND(OR(AC227="C",AC227="c"), OR(VLOOKUP(AF227,[1]Diccionario!B:N,13,0)="B", VLOOKUP(AF227,[1]Diccionario!B:N,13,0)="A")), "DEFICIT",IF(
AND(OR(AC227="B", AC227="BPAL"), VLOOKUP(AF227,[1]Diccionario!B:N,13,0)="B"), "OK",IF(AND(OR(AC227="B", AC227="BPAL"), VLOOKUP(AF227,[1]Diccionario!B:N,13,0)="A"), "DEFICIT",IF(AND(OR(AC227="B", AC227="BPAL"), VLOOKUP(AF227,[1]Diccionario!B:N,13,0)="C"), "SOBREOFERTA",IF(AND(AC227="A", VLOOKUP(AF227,[1]Diccionario!B:N,13,0)="A"), "OK",IF(
AND(AC227="A", OR(VLOOKUP(AF227,[1]Diccionario!B:N,13,0)="B", VLOOKUP(AF227,[1]Diccionario!B:N,13,0)="C")), "SOBREOFERTA",""
))))))),"")</f>
        <v/>
      </c>
      <c r="AF227" s="48"/>
      <c r="AG227" s="53"/>
      <c r="AH227" s="54"/>
      <c r="AI227" s="55" t="str">
        <f t="shared" si="62"/>
        <v/>
      </c>
      <c r="AJ227" s="46"/>
      <c r="AK227" s="34" t="e">
        <f>IF(AB227&lt;&gt;"",HLOOKUP(VALUE(TEXT(AH227,"h:mm:ss")),IF($C$6="Laboral",[1]Input!$A$4:$Y$227,IF($C$6="Sábado",[1]Input!$A$231:$Y$452,[1]Input!$A$456:$Y$656)),VLOOKUP($C$4,[1]Input!$AG$2:$AI$99,3,0)+IF(AD$5="Ida",0,1),1),"")</f>
        <v>#N/A</v>
      </c>
      <c r="AL227" s="34" t="str">
        <f>IF(AB228&lt;&gt;AB227,AVERAGEIF(AB$9:AB227,AB227,AK$9:AK227),"")</f>
        <v/>
      </c>
      <c r="AM227" s="35" t="str">
        <f>IFERROR(IF(AB228&lt;&gt;AB227,AVERAGEIF(AB$9:AB227,AB227,AT$9:AT227),""),"")</f>
        <v/>
      </c>
      <c r="AN227" s="35" t="str">
        <f>IFERROR(IF(AB228&lt;&gt;AB227,AVERAGEIF(AB$9:AB227,AB227,AU$9:AU227),""),"")</f>
        <v/>
      </c>
      <c r="AO227" s="35" t="str" cm="1">
        <f t="array" ref="AO227">IFERROR(IF(AB228&lt;&gt;AB227,_xlfn.STDEV.P(IF(AB$9:AB227=AB227,AU$9:AU227)),""),"")</f>
        <v/>
      </c>
      <c r="AP227" s="35" t="str" cm="1">
        <f t="array" ref="AP227">IFERROR(IF(AB228&lt;&gt;AB227,_xlfn.STDEV.P(IF(AB$9:AB227=AB227,AT$9:AT227)),""),"")</f>
        <v/>
      </c>
      <c r="AQ227" s="36" t="str">
        <f t="shared" si="53"/>
        <v/>
      </c>
      <c r="AR227" s="36" t="str">
        <f t="shared" si="54"/>
        <v/>
      </c>
      <c r="AS227" s="36" t="str">
        <f t="shared" si="63"/>
        <v/>
      </c>
      <c r="AT227" s="37" t="str">
        <f t="shared" si="55"/>
        <v/>
      </c>
      <c r="AU227" s="37" t="str">
        <f t="shared" si="56"/>
        <v/>
      </c>
      <c r="AV227" s="54"/>
      <c r="AW227" s="46"/>
      <c r="AX227" s="39" t="str" cm="1">
        <f t="array" ref="AX227">IF(AH227&lt;&gt;"",IF(AND(AX225:AX226&lt;&gt;"IE",AQ227&lt;&gt;0,AS227&lt;&gt;""),IF(IFERROR((AQ227/AS227),0) &lt;=1,IFERROR(AQ227/AS227,""),1),""),"")</f>
        <v/>
      </c>
      <c r="AY227" s="46"/>
      <c r="AZ227" s="57"/>
    </row>
    <row r="228" spans="1:52" ht="15.5" x14ac:dyDescent="0.35">
      <c r="A228" s="51">
        <f t="shared" si="64"/>
        <v>1</v>
      </c>
      <c r="B228" s="52"/>
      <c r="C228" s="52"/>
      <c r="D228" s="29" t="str">
        <f>IFERROR(
IF(AND(OR(Planilla!B228="C",Planilla!B228="c"), VLOOKUP(E228,[1]Diccionario!B:N,13,0)="C"), "OK",IF(AND(OR(Planilla!B228="C",Planilla!B228="c"), OR(VLOOKUP(E228,[1]Diccionario!B:N,13,0)="B", VLOOKUP(E228,[1]Diccionario!B:N,13,0)="A")), "DEFICIT",IF(
AND(OR(Planilla!B228="B", Planilla!B228="BPAL"), VLOOKUP(E228,[1]Diccionario!B:N,13,0)="B"), "OK",IF(AND(OR(Planilla!B228="B", Planilla!B228="BPAL"), VLOOKUP(E228,[1]Diccionario!B:N,13,0)="A"), "DEFICIT",IF(AND(OR(Planilla!B228="B", Planilla!B228="BPAL"), VLOOKUP(E228,[1]Diccionario!B:N,13,0)="C"), "SOBREOFERTA",IF(AND(Planilla!B228="A", VLOOKUP(E228,[1]Diccionario!B:N,13,0)="A"), "OK",IF(
AND(Planilla!B228="A", OR(VLOOKUP(E228,[1]Diccionario!B:N,13,0)="B", VLOOKUP(E228,[1]Diccionario!B:N,13,0)="C")), "SOBREOFERTA",""
))))))),"")</f>
        <v/>
      </c>
      <c r="E228" s="48"/>
      <c r="F228" s="53"/>
      <c r="G228" s="54"/>
      <c r="H228" s="55" t="str">
        <f t="shared" si="57"/>
        <v/>
      </c>
      <c r="I228" s="35"/>
      <c r="J228" s="34" t="e">
        <f>IF(A228&lt;&gt;"",HLOOKUP(VALUE(TEXT(G228,"h:mm:ss")),IF($C$6="Laboral",[1]Input!$A$4:$Y$227,IF($C$6="Sábado",[1]Input!$A$231:$Y$452,[1]Input!$A$456:$Y$656)),VLOOKUP($C$4,[1]Input!$AG$2:$AI$99,3,0)+IF(C$5="Ida",0,1),1),"")</f>
        <v>#N/A</v>
      </c>
      <c r="K228" s="34" t="str">
        <f>IF(A229&lt;&gt;A228,AVERAGEIF(A$9:A228,A228,J$13:J228),"")</f>
        <v/>
      </c>
      <c r="L228" s="35" t="str">
        <f>IFERROR(IF(A229&lt;&gt;A228,AVERAGEIF(A$9:A228,A228,S$13:S228),""),"")</f>
        <v/>
      </c>
      <c r="M228" s="35" t="str">
        <f>IFERROR(IF(A229&lt;&gt;A228,AVERAGEIF(A$9:A228,A228,T$8:T228),""),"")</f>
        <v/>
      </c>
      <c r="N228" s="35" t="str" cm="1">
        <f t="array" ref="N228">IFERROR(IF(A229&lt;&gt;A228,_xlfn.STDEV.P(IF(A$9:A228=A228,T$7:T228)),""),"")</f>
        <v/>
      </c>
      <c r="O228" s="35" t="str" cm="1">
        <f t="array" ref="O228">IFERROR(IF(A229&lt;&gt;A228,_xlfn.STDEV.P(IF(A$9:A228=A228,S$7:S228)),""),"")</f>
        <v/>
      </c>
      <c r="P228" s="36" t="str">
        <f t="shared" si="50"/>
        <v/>
      </c>
      <c r="Q228" s="36" t="str">
        <f t="shared" si="51"/>
        <v/>
      </c>
      <c r="R228" s="36" t="str">
        <f t="shared" si="58"/>
        <v/>
      </c>
      <c r="S228" s="37" t="str">
        <f t="shared" si="59"/>
        <v/>
      </c>
      <c r="T228" s="37" t="str">
        <f t="shared" si="52"/>
        <v/>
      </c>
      <c r="U228" s="54"/>
      <c r="V228" s="46"/>
      <c r="W228" s="39" t="str">
        <f t="shared" si="60"/>
        <v/>
      </c>
      <c r="X228" s="38"/>
      <c r="Y228" s="48"/>
      <c r="AB228" s="56">
        <f t="shared" si="61"/>
        <v>1</v>
      </c>
      <c r="AC228" s="52"/>
      <c r="AD228" s="52"/>
      <c r="AE228" s="29" t="str">
        <f>IFERROR(
IF(AND(OR(AC228="C",AC228="c"), VLOOKUP(AF228,[1]Diccionario!B:N,13,0)="C"), "OK",IF(AND(OR(AC228="C",AC228="c"), OR(VLOOKUP(AF228,[1]Diccionario!B:N,13,0)="B", VLOOKUP(AF228,[1]Diccionario!B:N,13,0)="A")), "DEFICIT",IF(
AND(OR(AC228="B", AC228="BPAL"), VLOOKUP(AF228,[1]Diccionario!B:N,13,0)="B"), "OK",IF(AND(OR(AC228="B", AC228="BPAL"), VLOOKUP(AF228,[1]Diccionario!B:N,13,0)="A"), "DEFICIT",IF(AND(OR(AC228="B", AC228="BPAL"), VLOOKUP(AF228,[1]Diccionario!B:N,13,0)="C"), "SOBREOFERTA",IF(AND(AC228="A", VLOOKUP(AF228,[1]Diccionario!B:N,13,0)="A"), "OK",IF(
AND(AC228="A", OR(VLOOKUP(AF228,[1]Diccionario!B:N,13,0)="B", VLOOKUP(AF228,[1]Diccionario!B:N,13,0)="C")), "SOBREOFERTA",""
))))))),"")</f>
        <v/>
      </c>
      <c r="AF228" s="48"/>
      <c r="AG228" s="53"/>
      <c r="AH228" s="54"/>
      <c r="AI228" s="55" t="str">
        <f t="shared" si="62"/>
        <v/>
      </c>
      <c r="AJ228" s="46"/>
      <c r="AK228" s="34" t="e">
        <f>IF(AB228&lt;&gt;"",HLOOKUP(VALUE(TEXT(AH228,"h:mm:ss")),IF($C$6="Laboral",[1]Input!$A$4:$Y$227,IF($C$6="Sábado",[1]Input!$A$231:$Y$452,[1]Input!$A$456:$Y$656)),VLOOKUP($C$4,[1]Input!$AG$2:$AI$99,3,0)+IF(AD$5="Ida",0,1),1),"")</f>
        <v>#N/A</v>
      </c>
      <c r="AL228" s="34" t="str">
        <f>IF(AB229&lt;&gt;AB228,AVERAGEIF(AB$9:AB228,AB228,AK$9:AK228),"")</f>
        <v/>
      </c>
      <c r="AM228" s="35" t="str">
        <f>IFERROR(IF(AB229&lt;&gt;AB228,AVERAGEIF(AB$9:AB228,AB228,AT$9:AT228),""),"")</f>
        <v/>
      </c>
      <c r="AN228" s="35" t="str">
        <f>IFERROR(IF(AB229&lt;&gt;AB228,AVERAGEIF(AB$9:AB228,AB228,AU$9:AU228),""),"")</f>
        <v/>
      </c>
      <c r="AO228" s="35" t="str" cm="1">
        <f t="array" ref="AO228">IFERROR(IF(AB229&lt;&gt;AB228,_xlfn.STDEV.P(IF(AB$9:AB228=AB228,AU$9:AU228)),""),"")</f>
        <v/>
      </c>
      <c r="AP228" s="35" t="str" cm="1">
        <f t="array" ref="AP228">IFERROR(IF(AB229&lt;&gt;AB228,_xlfn.STDEV.P(IF(AB$9:AB228=AB228,AT$9:AT228)),""),"")</f>
        <v/>
      </c>
      <c r="AQ228" s="36" t="str">
        <f t="shared" si="53"/>
        <v/>
      </c>
      <c r="AR228" s="36" t="str">
        <f t="shared" si="54"/>
        <v/>
      </c>
      <c r="AS228" s="36" t="str">
        <f t="shared" si="63"/>
        <v/>
      </c>
      <c r="AT228" s="37" t="str">
        <f t="shared" si="55"/>
        <v/>
      </c>
      <c r="AU228" s="37" t="str">
        <f t="shared" si="56"/>
        <v/>
      </c>
      <c r="AV228" s="54"/>
      <c r="AW228" s="46"/>
      <c r="AX228" s="39" t="str" cm="1">
        <f t="array" ref="AX228">IF(AH228&lt;&gt;"",IF(AND(AX226:AX227&lt;&gt;"IE",AQ228&lt;&gt;0,AS228&lt;&gt;""),IF(IFERROR((AQ228/AS228),0) &lt;=1,IFERROR(AQ228/AS228,""),1),""),"")</f>
        <v/>
      </c>
      <c r="AY228" s="46"/>
      <c r="AZ228" s="57"/>
    </row>
    <row r="229" spans="1:52" ht="15.5" x14ac:dyDescent="0.35">
      <c r="A229" s="51">
        <f t="shared" si="64"/>
        <v>1</v>
      </c>
      <c r="B229" s="52"/>
      <c r="C229" s="52"/>
      <c r="D229" s="29" t="str">
        <f>IFERROR(
IF(AND(OR(Planilla!B229="C",Planilla!B229="c"), VLOOKUP(E229,[1]Diccionario!B:N,13,0)="C"), "OK",IF(AND(OR(Planilla!B229="C",Planilla!B229="c"), OR(VLOOKUP(E229,[1]Diccionario!B:N,13,0)="B", VLOOKUP(E229,[1]Diccionario!B:N,13,0)="A")), "DEFICIT",IF(
AND(OR(Planilla!B229="B", Planilla!B229="BPAL"), VLOOKUP(E229,[1]Diccionario!B:N,13,0)="B"), "OK",IF(AND(OR(Planilla!B229="B", Planilla!B229="BPAL"), VLOOKUP(E229,[1]Diccionario!B:N,13,0)="A"), "DEFICIT",IF(AND(OR(Planilla!B229="B", Planilla!B229="BPAL"), VLOOKUP(E229,[1]Diccionario!B:N,13,0)="C"), "SOBREOFERTA",IF(AND(Planilla!B229="A", VLOOKUP(E229,[1]Diccionario!B:N,13,0)="A"), "OK",IF(
AND(Planilla!B229="A", OR(VLOOKUP(E229,[1]Diccionario!B:N,13,0)="B", VLOOKUP(E229,[1]Diccionario!B:N,13,0)="C")), "SOBREOFERTA",""
))))))),"")</f>
        <v/>
      </c>
      <c r="E229" s="48"/>
      <c r="F229" s="53"/>
      <c r="G229" s="54"/>
      <c r="H229" s="55" t="str">
        <f t="shared" si="57"/>
        <v/>
      </c>
      <c r="I229" s="35"/>
      <c r="J229" s="34" t="e">
        <f>IF(A229&lt;&gt;"",HLOOKUP(VALUE(TEXT(G229,"h:mm:ss")),IF($C$6="Laboral",[1]Input!$A$4:$Y$227,IF($C$6="Sábado",[1]Input!$A$231:$Y$452,[1]Input!$A$456:$Y$656)),VLOOKUP($C$4,[1]Input!$AG$2:$AI$99,3,0)+IF(C$5="Ida",0,1),1),"")</f>
        <v>#N/A</v>
      </c>
      <c r="K229" s="34" t="str">
        <f>IF(A230&lt;&gt;A229,AVERAGEIF(A$9:A229,A229,J$13:J229),"")</f>
        <v/>
      </c>
      <c r="L229" s="35" t="str">
        <f>IFERROR(IF(A230&lt;&gt;A229,AVERAGEIF(A$9:A229,A229,S$13:S229),""),"")</f>
        <v/>
      </c>
      <c r="M229" s="35" t="str">
        <f>IFERROR(IF(A230&lt;&gt;A229,AVERAGEIF(A$9:A229,A229,T$8:T229),""),"")</f>
        <v/>
      </c>
      <c r="N229" s="35" t="str" cm="1">
        <f t="array" ref="N229">IFERROR(IF(A230&lt;&gt;A229,_xlfn.STDEV.P(IF(A$9:A229=A229,T$7:T229)),""),"")</f>
        <v/>
      </c>
      <c r="O229" s="35" t="str" cm="1">
        <f t="array" ref="O229">IFERROR(IF(A230&lt;&gt;A229,_xlfn.STDEV.P(IF(A$9:A229=A229,S$7:S229)),""),"")</f>
        <v/>
      </c>
      <c r="P229" s="36" t="str">
        <f t="shared" si="50"/>
        <v/>
      </c>
      <c r="Q229" s="36" t="str">
        <f t="shared" si="51"/>
        <v/>
      </c>
      <c r="R229" s="36" t="str">
        <f t="shared" si="58"/>
        <v/>
      </c>
      <c r="S229" s="37" t="str">
        <f t="shared" si="59"/>
        <v/>
      </c>
      <c r="T229" s="37" t="str">
        <f t="shared" si="52"/>
        <v/>
      </c>
      <c r="U229" s="54"/>
      <c r="V229" s="46"/>
      <c r="W229" s="39" t="str">
        <f t="shared" si="60"/>
        <v/>
      </c>
      <c r="X229" s="38"/>
      <c r="Y229" s="48"/>
      <c r="AB229" s="56">
        <f t="shared" si="61"/>
        <v>1</v>
      </c>
      <c r="AC229" s="52"/>
      <c r="AD229" s="52"/>
      <c r="AE229" s="29" t="str">
        <f>IFERROR(
IF(AND(OR(AC229="C",AC229="c"), VLOOKUP(AF229,[1]Diccionario!B:N,13,0)="C"), "OK",IF(AND(OR(AC229="C",AC229="c"), OR(VLOOKUP(AF229,[1]Diccionario!B:N,13,0)="B", VLOOKUP(AF229,[1]Diccionario!B:N,13,0)="A")), "DEFICIT",IF(
AND(OR(AC229="B", AC229="BPAL"), VLOOKUP(AF229,[1]Diccionario!B:N,13,0)="B"), "OK",IF(AND(OR(AC229="B", AC229="BPAL"), VLOOKUP(AF229,[1]Diccionario!B:N,13,0)="A"), "DEFICIT",IF(AND(OR(AC229="B", AC229="BPAL"), VLOOKUP(AF229,[1]Diccionario!B:N,13,0)="C"), "SOBREOFERTA",IF(AND(AC229="A", VLOOKUP(AF229,[1]Diccionario!B:N,13,0)="A"), "OK",IF(
AND(AC229="A", OR(VLOOKUP(AF229,[1]Diccionario!B:N,13,0)="B", VLOOKUP(AF229,[1]Diccionario!B:N,13,0)="C")), "SOBREOFERTA",""
))))))),"")</f>
        <v/>
      </c>
      <c r="AF229" s="48"/>
      <c r="AG229" s="53"/>
      <c r="AH229" s="54"/>
      <c r="AI229" s="55" t="str">
        <f t="shared" si="62"/>
        <v/>
      </c>
      <c r="AJ229" s="46"/>
      <c r="AK229" s="34" t="e">
        <f>IF(AB229&lt;&gt;"",HLOOKUP(VALUE(TEXT(AH229,"h:mm:ss")),IF($C$6="Laboral",[1]Input!$A$4:$Y$227,IF($C$6="Sábado",[1]Input!$A$231:$Y$452,[1]Input!$A$456:$Y$656)),VLOOKUP($C$4,[1]Input!$AG$2:$AI$99,3,0)+IF(AD$5="Ida",0,1),1),"")</f>
        <v>#N/A</v>
      </c>
      <c r="AL229" s="34" t="str">
        <f>IF(AB230&lt;&gt;AB229,AVERAGEIF(AB$9:AB229,AB229,AK$9:AK229),"")</f>
        <v/>
      </c>
      <c r="AM229" s="35" t="str">
        <f>IFERROR(IF(AB230&lt;&gt;AB229,AVERAGEIF(AB$9:AB229,AB229,AT$9:AT229),""),"")</f>
        <v/>
      </c>
      <c r="AN229" s="35" t="str">
        <f>IFERROR(IF(AB230&lt;&gt;AB229,AVERAGEIF(AB$9:AB229,AB229,AU$9:AU229),""),"")</f>
        <v/>
      </c>
      <c r="AO229" s="35" t="str" cm="1">
        <f t="array" ref="AO229">IFERROR(IF(AB230&lt;&gt;AB229,_xlfn.STDEV.P(IF(AB$9:AB229=AB229,AU$9:AU229)),""),"")</f>
        <v/>
      </c>
      <c r="AP229" s="35" t="str" cm="1">
        <f t="array" ref="AP229">IFERROR(IF(AB230&lt;&gt;AB229,_xlfn.STDEV.P(IF(AB$9:AB229=AB229,AT$9:AT229)),""),"")</f>
        <v/>
      </c>
      <c r="AQ229" s="36" t="str">
        <f t="shared" si="53"/>
        <v/>
      </c>
      <c r="AR229" s="36" t="str">
        <f t="shared" si="54"/>
        <v/>
      </c>
      <c r="AS229" s="36" t="str">
        <f t="shared" si="63"/>
        <v/>
      </c>
      <c r="AT229" s="37" t="str">
        <f t="shared" si="55"/>
        <v/>
      </c>
      <c r="AU229" s="37" t="str">
        <f t="shared" si="56"/>
        <v/>
      </c>
      <c r="AV229" s="54"/>
      <c r="AW229" s="46"/>
      <c r="AX229" s="39" t="str" cm="1">
        <f t="array" ref="AX229">IF(AH229&lt;&gt;"",IF(AND(AX227:AX228&lt;&gt;"IE",AQ229&lt;&gt;0,AS229&lt;&gt;""),IF(IFERROR((AQ229/AS229),0) &lt;=1,IFERROR(AQ229/AS229,""),1),""),"")</f>
        <v/>
      </c>
      <c r="AY229" s="46"/>
      <c r="AZ229" s="57"/>
    </row>
    <row r="230" spans="1:52" ht="15.5" x14ac:dyDescent="0.35">
      <c r="A230" s="51">
        <f t="shared" si="64"/>
        <v>1</v>
      </c>
      <c r="B230" s="52"/>
      <c r="C230" s="52"/>
      <c r="D230" s="29" t="str">
        <f>IFERROR(
IF(AND(OR(Planilla!B230="C",Planilla!B230="c"), VLOOKUP(E230,[1]Diccionario!B:N,13,0)="C"), "OK",IF(AND(OR(Planilla!B230="C",Planilla!B230="c"), OR(VLOOKUP(E230,[1]Diccionario!B:N,13,0)="B", VLOOKUP(E230,[1]Diccionario!B:N,13,0)="A")), "DEFICIT",IF(
AND(OR(Planilla!B230="B", Planilla!B230="BPAL"), VLOOKUP(E230,[1]Diccionario!B:N,13,0)="B"), "OK",IF(AND(OR(Planilla!B230="B", Planilla!B230="BPAL"), VLOOKUP(E230,[1]Diccionario!B:N,13,0)="A"), "DEFICIT",IF(AND(OR(Planilla!B230="B", Planilla!B230="BPAL"), VLOOKUP(E230,[1]Diccionario!B:N,13,0)="C"), "SOBREOFERTA",IF(AND(Planilla!B230="A", VLOOKUP(E230,[1]Diccionario!B:N,13,0)="A"), "OK",IF(
AND(Planilla!B230="A", OR(VLOOKUP(E230,[1]Diccionario!B:N,13,0)="B", VLOOKUP(E230,[1]Diccionario!B:N,13,0)="C")), "SOBREOFERTA",""
))))))),"")</f>
        <v/>
      </c>
      <c r="E230" s="48"/>
      <c r="F230" s="53"/>
      <c r="G230" s="54"/>
      <c r="H230" s="55" t="str">
        <f t="shared" si="57"/>
        <v/>
      </c>
      <c r="I230" s="35"/>
      <c r="J230" s="34" t="e">
        <f>IF(A230&lt;&gt;"",HLOOKUP(VALUE(TEXT(G230,"h:mm:ss")),IF($C$6="Laboral",[1]Input!$A$4:$Y$227,IF($C$6="Sábado",[1]Input!$A$231:$Y$452,[1]Input!$A$456:$Y$656)),VLOOKUP($C$4,[1]Input!$AG$2:$AI$99,3,0)+IF(C$5="Ida",0,1),1),"")</f>
        <v>#N/A</v>
      </c>
      <c r="K230" s="34" t="str">
        <f>IF(A231&lt;&gt;A230,AVERAGEIF(A$9:A230,A230,J$13:J230),"")</f>
        <v/>
      </c>
      <c r="L230" s="35" t="str">
        <f>IFERROR(IF(A231&lt;&gt;A230,AVERAGEIF(A$9:A230,A230,S$13:S230),""),"")</f>
        <v/>
      </c>
      <c r="M230" s="35" t="str">
        <f>IFERROR(IF(A231&lt;&gt;A230,AVERAGEIF(A$9:A230,A230,T$8:T230),""),"")</f>
        <v/>
      </c>
      <c r="N230" s="35" t="str" cm="1">
        <f t="array" ref="N230">IFERROR(IF(A231&lt;&gt;A230,_xlfn.STDEV.P(IF(A$9:A230=A230,T$7:T230)),""),"")</f>
        <v/>
      </c>
      <c r="O230" s="35" t="str" cm="1">
        <f t="array" ref="O230">IFERROR(IF(A231&lt;&gt;A230,_xlfn.STDEV.P(IF(A$9:A230=A230,S$7:S230)),""),"")</f>
        <v/>
      </c>
      <c r="P230" s="36" t="str">
        <f t="shared" si="50"/>
        <v/>
      </c>
      <c r="Q230" s="36" t="str">
        <f t="shared" si="51"/>
        <v/>
      </c>
      <c r="R230" s="36" t="str">
        <f t="shared" si="58"/>
        <v/>
      </c>
      <c r="S230" s="37" t="str">
        <f t="shared" si="59"/>
        <v/>
      </c>
      <c r="T230" s="37" t="str">
        <f t="shared" si="52"/>
        <v/>
      </c>
      <c r="U230" s="54"/>
      <c r="V230" s="46"/>
      <c r="W230" s="39" t="str">
        <f t="shared" si="60"/>
        <v/>
      </c>
      <c r="X230" s="38"/>
      <c r="Y230" s="48"/>
      <c r="AB230" s="56">
        <f t="shared" si="61"/>
        <v>1</v>
      </c>
      <c r="AC230" s="52"/>
      <c r="AD230" s="52"/>
      <c r="AE230" s="29" t="str">
        <f>IFERROR(
IF(AND(OR(AC230="C",AC230="c"), VLOOKUP(AF230,[1]Diccionario!B:N,13,0)="C"), "OK",IF(AND(OR(AC230="C",AC230="c"), OR(VLOOKUP(AF230,[1]Diccionario!B:N,13,0)="B", VLOOKUP(AF230,[1]Diccionario!B:N,13,0)="A")), "DEFICIT",IF(
AND(OR(AC230="B", AC230="BPAL"), VLOOKUP(AF230,[1]Diccionario!B:N,13,0)="B"), "OK",IF(AND(OR(AC230="B", AC230="BPAL"), VLOOKUP(AF230,[1]Diccionario!B:N,13,0)="A"), "DEFICIT",IF(AND(OR(AC230="B", AC230="BPAL"), VLOOKUP(AF230,[1]Diccionario!B:N,13,0)="C"), "SOBREOFERTA",IF(AND(AC230="A", VLOOKUP(AF230,[1]Diccionario!B:N,13,0)="A"), "OK",IF(
AND(AC230="A", OR(VLOOKUP(AF230,[1]Diccionario!B:N,13,0)="B", VLOOKUP(AF230,[1]Diccionario!B:N,13,0)="C")), "SOBREOFERTA",""
))))))),"")</f>
        <v/>
      </c>
      <c r="AF230" s="48"/>
      <c r="AG230" s="53"/>
      <c r="AH230" s="54"/>
      <c r="AI230" s="55" t="str">
        <f t="shared" si="62"/>
        <v/>
      </c>
      <c r="AJ230" s="46"/>
      <c r="AK230" s="34" t="e">
        <f>IF(AB230&lt;&gt;"",HLOOKUP(VALUE(TEXT(AH230,"h:mm:ss")),IF($C$6="Laboral",[1]Input!$A$4:$Y$227,IF($C$6="Sábado",[1]Input!$A$231:$Y$452,[1]Input!$A$456:$Y$656)),VLOOKUP($C$4,[1]Input!$AG$2:$AI$99,3,0)+IF(AD$5="Ida",0,1),1),"")</f>
        <v>#N/A</v>
      </c>
      <c r="AL230" s="34" t="str">
        <f>IF(AB231&lt;&gt;AB230,AVERAGEIF(AB$9:AB230,AB230,AK$9:AK230),"")</f>
        <v/>
      </c>
      <c r="AM230" s="35" t="str">
        <f>IFERROR(IF(AB231&lt;&gt;AB230,AVERAGEIF(AB$9:AB230,AB230,AT$9:AT230),""),"")</f>
        <v/>
      </c>
      <c r="AN230" s="35" t="str">
        <f>IFERROR(IF(AB231&lt;&gt;AB230,AVERAGEIF(AB$9:AB230,AB230,AU$9:AU230),""),"")</f>
        <v/>
      </c>
      <c r="AO230" s="35" t="str" cm="1">
        <f t="array" ref="AO230">IFERROR(IF(AB231&lt;&gt;AB230,_xlfn.STDEV.P(IF(AB$9:AB230=AB230,AU$9:AU230)),""),"")</f>
        <v/>
      </c>
      <c r="AP230" s="35" t="str" cm="1">
        <f t="array" ref="AP230">IFERROR(IF(AB231&lt;&gt;AB230,_xlfn.STDEV.P(IF(AB$9:AB230=AB230,AT$9:AT230)),""),"")</f>
        <v/>
      </c>
      <c r="AQ230" s="36" t="str">
        <f t="shared" si="53"/>
        <v/>
      </c>
      <c r="AR230" s="36" t="str">
        <f t="shared" si="54"/>
        <v/>
      </c>
      <c r="AS230" s="36" t="str">
        <f t="shared" si="63"/>
        <v/>
      </c>
      <c r="AT230" s="37" t="str">
        <f t="shared" si="55"/>
        <v/>
      </c>
      <c r="AU230" s="37" t="str">
        <f t="shared" si="56"/>
        <v/>
      </c>
      <c r="AV230" s="54"/>
      <c r="AW230" s="46"/>
      <c r="AX230" s="39" t="str" cm="1">
        <f t="array" ref="AX230">IF(AH230&lt;&gt;"",IF(AND(AX228:AX229&lt;&gt;"IE",AQ230&lt;&gt;0,AS230&lt;&gt;""),IF(IFERROR((AQ230/AS230),0) &lt;=1,IFERROR(AQ230/AS230,""),1),""),"")</f>
        <v/>
      </c>
      <c r="AY230" s="46"/>
      <c r="AZ230" s="57"/>
    </row>
    <row r="231" spans="1:52" ht="15.5" x14ac:dyDescent="0.35">
      <c r="A231" s="51">
        <f t="shared" si="64"/>
        <v>1</v>
      </c>
      <c r="B231" s="52"/>
      <c r="C231" s="52"/>
      <c r="D231" s="29" t="str">
        <f>IFERROR(
IF(AND(OR(Planilla!B231="C",Planilla!B231="c"), VLOOKUP(E231,[1]Diccionario!B:N,13,0)="C"), "OK",IF(AND(OR(Planilla!B231="C",Planilla!B231="c"), OR(VLOOKUP(E231,[1]Diccionario!B:N,13,0)="B", VLOOKUP(E231,[1]Diccionario!B:N,13,0)="A")), "DEFICIT",IF(
AND(OR(Planilla!B231="B", Planilla!B231="BPAL"), VLOOKUP(E231,[1]Diccionario!B:N,13,0)="B"), "OK",IF(AND(OR(Planilla!B231="B", Planilla!B231="BPAL"), VLOOKUP(E231,[1]Diccionario!B:N,13,0)="A"), "DEFICIT",IF(AND(OR(Planilla!B231="B", Planilla!B231="BPAL"), VLOOKUP(E231,[1]Diccionario!B:N,13,0)="C"), "SOBREOFERTA",IF(AND(Planilla!B231="A", VLOOKUP(E231,[1]Diccionario!B:N,13,0)="A"), "OK",IF(
AND(Planilla!B231="A", OR(VLOOKUP(E231,[1]Diccionario!B:N,13,0)="B", VLOOKUP(E231,[1]Diccionario!B:N,13,0)="C")), "SOBREOFERTA",""
))))))),"")</f>
        <v/>
      </c>
      <c r="E231" s="48"/>
      <c r="F231" s="53"/>
      <c r="G231" s="54"/>
      <c r="H231" s="55" t="str">
        <f t="shared" si="57"/>
        <v/>
      </c>
      <c r="I231" s="35"/>
      <c r="J231" s="34" t="e">
        <f>IF(A231&lt;&gt;"",HLOOKUP(VALUE(TEXT(G231,"h:mm:ss")),IF($C$6="Laboral",[1]Input!$A$4:$Y$227,IF($C$6="Sábado",[1]Input!$A$231:$Y$452,[1]Input!$A$456:$Y$656)),VLOOKUP($C$4,[1]Input!$AG$2:$AI$99,3,0)+IF(C$5="Ida",0,1),1),"")</f>
        <v>#N/A</v>
      </c>
      <c r="K231" s="34" t="str">
        <f>IF(A232&lt;&gt;A231,AVERAGEIF(A$9:A231,A231,J$13:J231),"")</f>
        <v/>
      </c>
      <c r="L231" s="35" t="str">
        <f>IFERROR(IF(A232&lt;&gt;A231,AVERAGEIF(A$9:A231,A231,S$13:S231),""),"")</f>
        <v/>
      </c>
      <c r="M231" s="35" t="str">
        <f>IFERROR(IF(A232&lt;&gt;A231,AVERAGEIF(A$9:A231,A231,T$8:T231),""),"")</f>
        <v/>
      </c>
      <c r="N231" s="35" t="str" cm="1">
        <f t="array" ref="N231">IFERROR(IF(A232&lt;&gt;A231,_xlfn.STDEV.P(IF(A$9:A231=A231,T$7:T231)),""),"")</f>
        <v/>
      </c>
      <c r="O231" s="35" t="str" cm="1">
        <f t="array" ref="O231">IFERROR(IF(A232&lt;&gt;A231,_xlfn.STDEV.P(IF(A$9:A231=A231,S$7:S231)),""),"")</f>
        <v/>
      </c>
      <c r="P231" s="36" t="str">
        <f t="shared" si="50"/>
        <v/>
      </c>
      <c r="Q231" s="36" t="str">
        <f t="shared" si="51"/>
        <v/>
      </c>
      <c r="R231" s="36" t="str">
        <f t="shared" si="58"/>
        <v/>
      </c>
      <c r="S231" s="37" t="str">
        <f t="shared" si="59"/>
        <v/>
      </c>
      <c r="T231" s="37" t="str">
        <f t="shared" si="52"/>
        <v/>
      </c>
      <c r="U231" s="54"/>
      <c r="V231" s="46"/>
      <c r="W231" s="39" t="str">
        <f t="shared" si="60"/>
        <v/>
      </c>
      <c r="X231" s="38"/>
      <c r="Y231" s="48"/>
      <c r="AB231" s="56">
        <f t="shared" si="61"/>
        <v>1</v>
      </c>
      <c r="AC231" s="52"/>
      <c r="AD231" s="52"/>
      <c r="AE231" s="29" t="str">
        <f>IFERROR(
IF(AND(OR(AC231="C",AC231="c"), VLOOKUP(AF231,[1]Diccionario!B:N,13,0)="C"), "OK",IF(AND(OR(AC231="C",AC231="c"), OR(VLOOKUP(AF231,[1]Diccionario!B:N,13,0)="B", VLOOKUP(AF231,[1]Diccionario!B:N,13,0)="A")), "DEFICIT",IF(
AND(OR(AC231="B", AC231="BPAL"), VLOOKUP(AF231,[1]Diccionario!B:N,13,0)="B"), "OK",IF(AND(OR(AC231="B", AC231="BPAL"), VLOOKUP(AF231,[1]Diccionario!B:N,13,0)="A"), "DEFICIT",IF(AND(OR(AC231="B", AC231="BPAL"), VLOOKUP(AF231,[1]Diccionario!B:N,13,0)="C"), "SOBREOFERTA",IF(AND(AC231="A", VLOOKUP(AF231,[1]Diccionario!B:N,13,0)="A"), "OK",IF(
AND(AC231="A", OR(VLOOKUP(AF231,[1]Diccionario!B:N,13,0)="B", VLOOKUP(AF231,[1]Diccionario!B:N,13,0)="C")), "SOBREOFERTA",""
))))))),"")</f>
        <v/>
      </c>
      <c r="AF231" s="48"/>
      <c r="AG231" s="53"/>
      <c r="AH231" s="54"/>
      <c r="AI231" s="55" t="str">
        <f t="shared" si="62"/>
        <v/>
      </c>
      <c r="AJ231" s="46"/>
      <c r="AK231" s="34" t="e">
        <f>IF(AB231&lt;&gt;"",HLOOKUP(VALUE(TEXT(AH231,"h:mm:ss")),IF($C$6="Laboral",[1]Input!$A$4:$Y$227,IF($C$6="Sábado",[1]Input!$A$231:$Y$452,[1]Input!$A$456:$Y$656)),VLOOKUP($C$4,[1]Input!$AG$2:$AI$99,3,0)+IF(AD$5="Ida",0,1),1),"")</f>
        <v>#N/A</v>
      </c>
      <c r="AL231" s="34" t="str">
        <f>IF(AB232&lt;&gt;AB231,AVERAGEIF(AB$9:AB231,AB231,AK$9:AK231),"")</f>
        <v/>
      </c>
      <c r="AM231" s="35" t="str">
        <f>IFERROR(IF(AB232&lt;&gt;AB231,AVERAGEIF(AB$9:AB231,AB231,AT$9:AT231),""),"")</f>
        <v/>
      </c>
      <c r="AN231" s="35" t="str">
        <f>IFERROR(IF(AB232&lt;&gt;AB231,AVERAGEIF(AB$9:AB231,AB231,AU$9:AU231),""),"")</f>
        <v/>
      </c>
      <c r="AO231" s="35" t="str" cm="1">
        <f t="array" ref="AO231">IFERROR(IF(AB232&lt;&gt;AB231,_xlfn.STDEV.P(IF(AB$9:AB231=AB231,AU$9:AU231)),""),"")</f>
        <v/>
      </c>
      <c r="AP231" s="35" t="str" cm="1">
        <f t="array" ref="AP231">IFERROR(IF(AB232&lt;&gt;AB231,_xlfn.STDEV.P(IF(AB$9:AB231=AB231,AT$9:AT231)),""),"")</f>
        <v/>
      </c>
      <c r="AQ231" s="36" t="str">
        <f t="shared" si="53"/>
        <v/>
      </c>
      <c r="AR231" s="36" t="str">
        <f t="shared" si="54"/>
        <v/>
      </c>
      <c r="AS231" s="36" t="str">
        <f t="shared" si="63"/>
        <v/>
      </c>
      <c r="AT231" s="37" t="str">
        <f t="shared" si="55"/>
        <v/>
      </c>
      <c r="AU231" s="37" t="str">
        <f t="shared" si="56"/>
        <v/>
      </c>
      <c r="AV231" s="54"/>
      <c r="AW231" s="46"/>
      <c r="AX231" s="39" t="str" cm="1">
        <f t="array" ref="AX231">IF(AH231&lt;&gt;"",IF(AND(AX229:AX230&lt;&gt;"IE",AQ231&lt;&gt;0,AS231&lt;&gt;""),IF(IFERROR((AQ231/AS231),0) &lt;=1,IFERROR(AQ231/AS231,""),1),""),"")</f>
        <v/>
      </c>
      <c r="AY231" s="46"/>
      <c r="AZ231" s="57"/>
    </row>
    <row r="232" spans="1:52" ht="15.5" x14ac:dyDescent="0.35">
      <c r="A232" s="51">
        <f t="shared" si="64"/>
        <v>1</v>
      </c>
      <c r="B232" s="52"/>
      <c r="C232" s="52"/>
      <c r="D232" s="29" t="str">
        <f>IFERROR(
IF(AND(OR(Planilla!B232="C",Planilla!B232="c"), VLOOKUP(E232,[1]Diccionario!B:N,13,0)="C"), "OK",IF(AND(OR(Planilla!B232="C",Planilla!B232="c"), OR(VLOOKUP(E232,[1]Diccionario!B:N,13,0)="B", VLOOKUP(E232,[1]Diccionario!B:N,13,0)="A")), "DEFICIT",IF(
AND(OR(Planilla!B232="B", Planilla!B232="BPAL"), VLOOKUP(E232,[1]Diccionario!B:N,13,0)="B"), "OK",IF(AND(OR(Planilla!B232="B", Planilla!B232="BPAL"), VLOOKUP(E232,[1]Diccionario!B:N,13,0)="A"), "DEFICIT",IF(AND(OR(Planilla!B232="B", Planilla!B232="BPAL"), VLOOKUP(E232,[1]Diccionario!B:N,13,0)="C"), "SOBREOFERTA",IF(AND(Planilla!B232="A", VLOOKUP(E232,[1]Diccionario!B:N,13,0)="A"), "OK",IF(
AND(Planilla!B232="A", OR(VLOOKUP(E232,[1]Diccionario!B:N,13,0)="B", VLOOKUP(E232,[1]Diccionario!B:N,13,0)="C")), "SOBREOFERTA",""
))))))),"")</f>
        <v/>
      </c>
      <c r="E232" s="48"/>
      <c r="F232" s="53"/>
      <c r="G232" s="54"/>
      <c r="H232" s="55" t="str">
        <f t="shared" si="57"/>
        <v/>
      </c>
      <c r="I232" s="35"/>
      <c r="J232" s="34" t="e">
        <f>IF(A232&lt;&gt;"",HLOOKUP(VALUE(TEXT(G232,"h:mm:ss")),IF($C$6="Laboral",[1]Input!$A$4:$Y$227,IF($C$6="Sábado",[1]Input!$A$231:$Y$452,[1]Input!$A$456:$Y$656)),VLOOKUP($C$4,[1]Input!$AG$2:$AI$99,3,0)+IF(C$5="Ida",0,1),1),"")</f>
        <v>#N/A</v>
      </c>
      <c r="K232" s="34" t="str">
        <f>IF(A233&lt;&gt;A232,AVERAGEIF(A$9:A232,A232,J$13:J232),"")</f>
        <v/>
      </c>
      <c r="L232" s="35" t="str">
        <f>IFERROR(IF(A233&lt;&gt;A232,AVERAGEIF(A$9:A232,A232,S$13:S232),""),"")</f>
        <v/>
      </c>
      <c r="M232" s="35" t="str">
        <f>IFERROR(IF(A233&lt;&gt;A232,AVERAGEIF(A$9:A232,A232,T$8:T232),""),"")</f>
        <v/>
      </c>
      <c r="N232" s="35" t="str" cm="1">
        <f t="array" ref="N232">IFERROR(IF(A233&lt;&gt;A232,_xlfn.STDEV.P(IF(A$9:A232=A232,T$7:T232)),""),"")</f>
        <v/>
      </c>
      <c r="O232" s="35" t="str" cm="1">
        <f t="array" ref="O232">IFERROR(IF(A233&lt;&gt;A232,_xlfn.STDEV.P(IF(A$9:A232=A232,S$7:S232)),""),"")</f>
        <v/>
      </c>
      <c r="P232" s="36" t="str">
        <f t="shared" si="50"/>
        <v/>
      </c>
      <c r="Q232" s="36" t="str">
        <f t="shared" si="51"/>
        <v/>
      </c>
      <c r="R232" s="36" t="str">
        <f t="shared" si="58"/>
        <v/>
      </c>
      <c r="S232" s="37" t="str">
        <f t="shared" si="59"/>
        <v/>
      </c>
      <c r="T232" s="37" t="str">
        <f t="shared" si="52"/>
        <v/>
      </c>
      <c r="U232" s="54"/>
      <c r="V232" s="46"/>
      <c r="W232" s="39" t="str">
        <f t="shared" si="60"/>
        <v/>
      </c>
      <c r="X232" s="38"/>
      <c r="Y232" s="48"/>
      <c r="AB232" s="56">
        <f t="shared" si="61"/>
        <v>1</v>
      </c>
      <c r="AC232" s="52"/>
      <c r="AD232" s="52"/>
      <c r="AE232" s="29" t="str">
        <f>IFERROR(
IF(AND(OR(AC232="C",AC232="c"), VLOOKUP(AF232,[1]Diccionario!B:N,13,0)="C"), "OK",IF(AND(OR(AC232="C",AC232="c"), OR(VLOOKUP(AF232,[1]Diccionario!B:N,13,0)="B", VLOOKUP(AF232,[1]Diccionario!B:N,13,0)="A")), "DEFICIT",IF(
AND(OR(AC232="B", AC232="BPAL"), VLOOKUP(AF232,[1]Diccionario!B:N,13,0)="B"), "OK",IF(AND(OR(AC232="B", AC232="BPAL"), VLOOKUP(AF232,[1]Diccionario!B:N,13,0)="A"), "DEFICIT",IF(AND(OR(AC232="B", AC232="BPAL"), VLOOKUP(AF232,[1]Diccionario!B:N,13,0)="C"), "SOBREOFERTA",IF(AND(AC232="A", VLOOKUP(AF232,[1]Diccionario!B:N,13,0)="A"), "OK",IF(
AND(AC232="A", OR(VLOOKUP(AF232,[1]Diccionario!B:N,13,0)="B", VLOOKUP(AF232,[1]Diccionario!B:N,13,0)="C")), "SOBREOFERTA",""
))))))),"")</f>
        <v/>
      </c>
      <c r="AF232" s="48"/>
      <c r="AG232" s="53"/>
      <c r="AH232" s="54"/>
      <c r="AI232" s="55" t="str">
        <f t="shared" si="62"/>
        <v/>
      </c>
      <c r="AJ232" s="46"/>
      <c r="AK232" s="34" t="e">
        <f>IF(AB232&lt;&gt;"",HLOOKUP(VALUE(TEXT(AH232,"h:mm:ss")),IF($C$6="Laboral",[1]Input!$A$4:$Y$227,IF($C$6="Sábado",[1]Input!$A$231:$Y$452,[1]Input!$A$456:$Y$656)),VLOOKUP($C$4,[1]Input!$AG$2:$AI$99,3,0)+IF(AD$5="Ida",0,1),1),"")</f>
        <v>#N/A</v>
      </c>
      <c r="AL232" s="34" t="str">
        <f>IF(AB233&lt;&gt;AB232,AVERAGEIF(AB$9:AB232,AB232,AK$9:AK232),"")</f>
        <v/>
      </c>
      <c r="AM232" s="35" t="str">
        <f>IFERROR(IF(AB233&lt;&gt;AB232,AVERAGEIF(AB$9:AB232,AB232,AT$9:AT232),""),"")</f>
        <v/>
      </c>
      <c r="AN232" s="35" t="str">
        <f>IFERROR(IF(AB233&lt;&gt;AB232,AVERAGEIF(AB$9:AB232,AB232,AU$9:AU232),""),"")</f>
        <v/>
      </c>
      <c r="AO232" s="35" t="str" cm="1">
        <f t="array" ref="AO232">IFERROR(IF(AB233&lt;&gt;AB232,_xlfn.STDEV.P(IF(AB$9:AB232=AB232,AU$9:AU232)),""),"")</f>
        <v/>
      </c>
      <c r="AP232" s="35" t="str" cm="1">
        <f t="array" ref="AP232">IFERROR(IF(AB233&lt;&gt;AB232,_xlfn.STDEV.P(IF(AB$9:AB232=AB232,AT$9:AT232)),""),"")</f>
        <v/>
      </c>
      <c r="AQ232" s="36" t="str">
        <f t="shared" si="53"/>
        <v/>
      </c>
      <c r="AR232" s="36" t="str">
        <f t="shared" si="54"/>
        <v/>
      </c>
      <c r="AS232" s="36" t="str">
        <f t="shared" si="63"/>
        <v/>
      </c>
      <c r="AT232" s="37" t="str">
        <f t="shared" si="55"/>
        <v/>
      </c>
      <c r="AU232" s="37" t="str">
        <f t="shared" si="56"/>
        <v/>
      </c>
      <c r="AV232" s="54"/>
      <c r="AW232" s="46"/>
      <c r="AX232" s="39" t="str" cm="1">
        <f t="array" ref="AX232">IF(AH232&lt;&gt;"",IF(AND(AX230:AX231&lt;&gt;"IE",AQ232&lt;&gt;0,AS232&lt;&gt;""),IF(IFERROR((AQ232/AS232),0) &lt;=1,IFERROR(AQ232/AS232,""),1),""),"")</f>
        <v/>
      </c>
      <c r="AY232" s="46"/>
      <c r="AZ232" s="57"/>
    </row>
    <row r="233" spans="1:52" ht="15.5" x14ac:dyDescent="0.35">
      <c r="A233" s="51">
        <f t="shared" si="64"/>
        <v>1</v>
      </c>
      <c r="B233" s="52"/>
      <c r="C233" s="52"/>
      <c r="D233" s="29" t="str">
        <f>IFERROR(
IF(AND(OR(Planilla!B233="C",Planilla!B233="c"), VLOOKUP(E233,[1]Diccionario!B:N,13,0)="C"), "OK",IF(AND(OR(Planilla!B233="C",Planilla!B233="c"), OR(VLOOKUP(E233,[1]Diccionario!B:N,13,0)="B", VLOOKUP(E233,[1]Diccionario!B:N,13,0)="A")), "DEFICIT",IF(
AND(OR(Planilla!B233="B", Planilla!B233="BPAL"), VLOOKUP(E233,[1]Diccionario!B:N,13,0)="B"), "OK",IF(AND(OR(Planilla!B233="B", Planilla!B233="BPAL"), VLOOKUP(E233,[1]Diccionario!B:N,13,0)="A"), "DEFICIT",IF(AND(OR(Planilla!B233="B", Planilla!B233="BPAL"), VLOOKUP(E233,[1]Diccionario!B:N,13,0)="C"), "SOBREOFERTA",IF(AND(Planilla!B233="A", VLOOKUP(E233,[1]Diccionario!B:N,13,0)="A"), "OK",IF(
AND(Planilla!B233="A", OR(VLOOKUP(E233,[1]Diccionario!B:N,13,0)="B", VLOOKUP(E233,[1]Diccionario!B:N,13,0)="C")), "SOBREOFERTA",""
))))))),"")</f>
        <v/>
      </c>
      <c r="E233" s="48"/>
      <c r="F233" s="53"/>
      <c r="G233" s="54"/>
      <c r="H233" s="55" t="str">
        <f t="shared" si="57"/>
        <v/>
      </c>
      <c r="I233" s="35"/>
      <c r="J233" s="34" t="e">
        <f>IF(A233&lt;&gt;"",HLOOKUP(VALUE(TEXT(G233,"h:mm:ss")),IF($C$6="Laboral",[1]Input!$A$4:$Y$227,IF($C$6="Sábado",[1]Input!$A$231:$Y$452,[1]Input!$A$456:$Y$656)),VLOOKUP($C$4,[1]Input!$AG$2:$AI$99,3,0)+IF(C$5="Ida",0,1),1),"")</f>
        <v>#N/A</v>
      </c>
      <c r="K233" s="34" t="str">
        <f>IF(A234&lt;&gt;A233,AVERAGEIF(A$9:A233,A233,J$13:J233),"")</f>
        <v/>
      </c>
      <c r="L233" s="35" t="str">
        <f>IFERROR(IF(A234&lt;&gt;A233,AVERAGEIF(A$9:A233,A233,S$13:S233),""),"")</f>
        <v/>
      </c>
      <c r="M233" s="35" t="str">
        <f>IFERROR(IF(A234&lt;&gt;A233,AVERAGEIF(A$9:A233,A233,T$8:T233),""),"")</f>
        <v/>
      </c>
      <c r="N233" s="35" t="str" cm="1">
        <f t="array" ref="N233">IFERROR(IF(A234&lt;&gt;A233,_xlfn.STDEV.P(IF(A$9:A233=A233,T$7:T233)),""),"")</f>
        <v/>
      </c>
      <c r="O233" s="35" t="str" cm="1">
        <f t="array" ref="O233">IFERROR(IF(A234&lt;&gt;A233,_xlfn.STDEV.P(IF(A$9:A233=A233,S$7:S233)),""),"")</f>
        <v/>
      </c>
      <c r="P233" s="36" t="str">
        <f t="shared" si="50"/>
        <v/>
      </c>
      <c r="Q233" s="36" t="str">
        <f t="shared" si="51"/>
        <v/>
      </c>
      <c r="R233" s="36" t="str">
        <f t="shared" si="58"/>
        <v/>
      </c>
      <c r="S233" s="37" t="str">
        <f t="shared" si="59"/>
        <v/>
      </c>
      <c r="T233" s="37" t="str">
        <f t="shared" si="52"/>
        <v/>
      </c>
      <c r="U233" s="54"/>
      <c r="V233" s="46"/>
      <c r="W233" s="39" t="str">
        <f t="shared" si="60"/>
        <v/>
      </c>
      <c r="X233" s="38"/>
      <c r="Y233" s="48"/>
      <c r="AB233" s="56">
        <f t="shared" si="61"/>
        <v>1</v>
      </c>
      <c r="AC233" s="52"/>
      <c r="AD233" s="52"/>
      <c r="AE233" s="29" t="str">
        <f>IFERROR(
IF(AND(OR(AC233="C",AC233="c"), VLOOKUP(AF233,[1]Diccionario!B:N,13,0)="C"), "OK",IF(AND(OR(AC233="C",AC233="c"), OR(VLOOKUP(AF233,[1]Diccionario!B:N,13,0)="B", VLOOKUP(AF233,[1]Diccionario!B:N,13,0)="A")), "DEFICIT",IF(
AND(OR(AC233="B", AC233="BPAL"), VLOOKUP(AF233,[1]Diccionario!B:N,13,0)="B"), "OK",IF(AND(OR(AC233="B", AC233="BPAL"), VLOOKUP(AF233,[1]Diccionario!B:N,13,0)="A"), "DEFICIT",IF(AND(OR(AC233="B", AC233="BPAL"), VLOOKUP(AF233,[1]Diccionario!B:N,13,0)="C"), "SOBREOFERTA",IF(AND(AC233="A", VLOOKUP(AF233,[1]Diccionario!B:N,13,0)="A"), "OK",IF(
AND(AC233="A", OR(VLOOKUP(AF233,[1]Diccionario!B:N,13,0)="B", VLOOKUP(AF233,[1]Diccionario!B:N,13,0)="C")), "SOBREOFERTA",""
))))))),"")</f>
        <v/>
      </c>
      <c r="AF233" s="48"/>
      <c r="AG233" s="53"/>
      <c r="AH233" s="54"/>
      <c r="AI233" s="55" t="str">
        <f t="shared" si="62"/>
        <v/>
      </c>
      <c r="AJ233" s="46"/>
      <c r="AK233" s="34" t="e">
        <f>IF(AB233&lt;&gt;"",HLOOKUP(VALUE(TEXT(AH233,"h:mm:ss")),IF($C$6="Laboral",[1]Input!$A$4:$Y$227,IF($C$6="Sábado",[1]Input!$A$231:$Y$452,[1]Input!$A$456:$Y$656)),VLOOKUP($C$4,[1]Input!$AG$2:$AI$99,3,0)+IF(AD$5="Ida",0,1),1),"")</f>
        <v>#N/A</v>
      </c>
      <c r="AL233" s="34" t="str">
        <f>IF(AB234&lt;&gt;AB233,AVERAGEIF(AB$9:AB233,AB233,AK$9:AK233),"")</f>
        <v/>
      </c>
      <c r="AM233" s="35" t="str">
        <f>IFERROR(IF(AB234&lt;&gt;AB233,AVERAGEIF(AB$9:AB233,AB233,AT$9:AT233),""),"")</f>
        <v/>
      </c>
      <c r="AN233" s="35" t="str">
        <f>IFERROR(IF(AB234&lt;&gt;AB233,AVERAGEIF(AB$9:AB233,AB233,AU$9:AU233),""),"")</f>
        <v/>
      </c>
      <c r="AO233" s="35" t="str" cm="1">
        <f t="array" ref="AO233">IFERROR(IF(AB234&lt;&gt;AB233,_xlfn.STDEV.P(IF(AB$9:AB233=AB233,AU$9:AU233)),""),"")</f>
        <v/>
      </c>
      <c r="AP233" s="35" t="str" cm="1">
        <f t="array" ref="AP233">IFERROR(IF(AB234&lt;&gt;AB233,_xlfn.STDEV.P(IF(AB$9:AB233=AB233,AT$9:AT233)),""),"")</f>
        <v/>
      </c>
      <c r="AQ233" s="36" t="str">
        <f t="shared" si="53"/>
        <v/>
      </c>
      <c r="AR233" s="36" t="str">
        <f t="shared" si="54"/>
        <v/>
      </c>
      <c r="AS233" s="36" t="str">
        <f t="shared" si="63"/>
        <v/>
      </c>
      <c r="AT233" s="37" t="str">
        <f t="shared" si="55"/>
        <v/>
      </c>
      <c r="AU233" s="37" t="str">
        <f t="shared" si="56"/>
        <v/>
      </c>
      <c r="AV233" s="54"/>
      <c r="AW233" s="46"/>
      <c r="AX233" s="39" t="str" cm="1">
        <f t="array" ref="AX233">IF(AH233&lt;&gt;"",IF(AND(AX231:AX232&lt;&gt;"IE",AQ233&lt;&gt;0,AS233&lt;&gt;""),IF(IFERROR((AQ233/AS233),0) &lt;=1,IFERROR(AQ233/AS233,""),1),""),"")</f>
        <v/>
      </c>
      <c r="AY233" s="46"/>
      <c r="AZ233" s="57"/>
    </row>
    <row r="234" spans="1:52" ht="15.5" x14ac:dyDescent="0.35">
      <c r="A234" s="51">
        <f t="shared" si="64"/>
        <v>1</v>
      </c>
      <c r="B234" s="52"/>
      <c r="C234" s="52"/>
      <c r="D234" s="29" t="str">
        <f>IFERROR(
IF(AND(OR(Planilla!B234="C",Planilla!B234="c"), VLOOKUP(E234,[1]Diccionario!B:N,13,0)="C"), "OK",IF(AND(OR(Planilla!B234="C",Planilla!B234="c"), OR(VLOOKUP(E234,[1]Diccionario!B:N,13,0)="B", VLOOKUP(E234,[1]Diccionario!B:N,13,0)="A")), "DEFICIT",IF(
AND(OR(Planilla!B234="B", Planilla!B234="BPAL"), VLOOKUP(E234,[1]Diccionario!B:N,13,0)="B"), "OK",IF(AND(OR(Planilla!B234="B", Planilla!B234="BPAL"), VLOOKUP(E234,[1]Diccionario!B:N,13,0)="A"), "DEFICIT",IF(AND(OR(Planilla!B234="B", Planilla!B234="BPAL"), VLOOKUP(E234,[1]Diccionario!B:N,13,0)="C"), "SOBREOFERTA",IF(AND(Planilla!B234="A", VLOOKUP(E234,[1]Diccionario!B:N,13,0)="A"), "OK",IF(
AND(Planilla!B234="A", OR(VLOOKUP(E234,[1]Diccionario!B:N,13,0)="B", VLOOKUP(E234,[1]Diccionario!B:N,13,0)="C")), "SOBREOFERTA",""
))))))),"")</f>
        <v/>
      </c>
      <c r="E234" s="48"/>
      <c r="F234" s="53"/>
      <c r="G234" s="54"/>
      <c r="H234" s="55" t="str">
        <f t="shared" si="57"/>
        <v/>
      </c>
      <c r="I234" s="35"/>
      <c r="J234" s="34" t="e">
        <f>IF(A234&lt;&gt;"",HLOOKUP(VALUE(TEXT(G234,"h:mm:ss")),IF($C$6="Laboral",[1]Input!$A$4:$Y$227,IF($C$6="Sábado",[1]Input!$A$231:$Y$452,[1]Input!$A$456:$Y$656)),VLOOKUP($C$4,[1]Input!$AG$2:$AI$99,3,0)+IF(C$5="Ida",0,1),1),"")</f>
        <v>#N/A</v>
      </c>
      <c r="K234" s="34" t="str">
        <f>IF(A235&lt;&gt;A234,AVERAGEIF(A$9:A234,A234,J$13:J234),"")</f>
        <v/>
      </c>
      <c r="L234" s="35" t="str">
        <f>IFERROR(IF(A235&lt;&gt;A234,AVERAGEIF(A$9:A234,A234,S$13:S234),""),"")</f>
        <v/>
      </c>
      <c r="M234" s="35" t="str">
        <f>IFERROR(IF(A235&lt;&gt;A234,AVERAGEIF(A$9:A234,A234,T$8:T234),""),"")</f>
        <v/>
      </c>
      <c r="N234" s="35" t="str" cm="1">
        <f t="array" ref="N234">IFERROR(IF(A235&lt;&gt;A234,_xlfn.STDEV.P(IF(A$9:A234=A234,T$7:T234)),""),"")</f>
        <v/>
      </c>
      <c r="O234" s="35" t="str" cm="1">
        <f t="array" ref="O234">IFERROR(IF(A235&lt;&gt;A234,_xlfn.STDEV.P(IF(A$9:A234=A234,S$7:S234)),""),"")</f>
        <v/>
      </c>
      <c r="P234" s="36" t="str">
        <f t="shared" si="50"/>
        <v/>
      </c>
      <c r="Q234" s="36" t="str">
        <f t="shared" si="51"/>
        <v/>
      </c>
      <c r="R234" s="36" t="str">
        <f t="shared" si="58"/>
        <v/>
      </c>
      <c r="S234" s="37" t="str">
        <f t="shared" si="59"/>
        <v/>
      </c>
      <c r="T234" s="37" t="str">
        <f t="shared" si="52"/>
        <v/>
      </c>
      <c r="U234" s="54"/>
      <c r="V234" s="46"/>
      <c r="W234" s="39" t="str">
        <f t="shared" si="60"/>
        <v/>
      </c>
      <c r="X234" s="38"/>
      <c r="Y234" s="48"/>
      <c r="AB234" s="56">
        <f t="shared" si="61"/>
        <v>1</v>
      </c>
      <c r="AC234" s="52"/>
      <c r="AD234" s="52"/>
      <c r="AE234" s="29" t="str">
        <f>IFERROR(
IF(AND(OR(AC234="C",AC234="c"), VLOOKUP(AF234,[1]Diccionario!B:N,13,0)="C"), "OK",IF(AND(OR(AC234="C",AC234="c"), OR(VLOOKUP(AF234,[1]Diccionario!B:N,13,0)="B", VLOOKUP(AF234,[1]Diccionario!B:N,13,0)="A")), "DEFICIT",IF(
AND(OR(AC234="B", AC234="BPAL"), VLOOKUP(AF234,[1]Diccionario!B:N,13,0)="B"), "OK",IF(AND(OR(AC234="B", AC234="BPAL"), VLOOKUP(AF234,[1]Diccionario!B:N,13,0)="A"), "DEFICIT",IF(AND(OR(AC234="B", AC234="BPAL"), VLOOKUP(AF234,[1]Diccionario!B:N,13,0)="C"), "SOBREOFERTA",IF(AND(AC234="A", VLOOKUP(AF234,[1]Diccionario!B:N,13,0)="A"), "OK",IF(
AND(AC234="A", OR(VLOOKUP(AF234,[1]Diccionario!B:N,13,0)="B", VLOOKUP(AF234,[1]Diccionario!B:N,13,0)="C")), "SOBREOFERTA",""
))))))),"")</f>
        <v/>
      </c>
      <c r="AF234" s="48"/>
      <c r="AG234" s="53"/>
      <c r="AH234" s="54"/>
      <c r="AI234" s="55" t="str">
        <f t="shared" si="62"/>
        <v/>
      </c>
      <c r="AJ234" s="46"/>
      <c r="AK234" s="34" t="e">
        <f>IF(AB234&lt;&gt;"",HLOOKUP(VALUE(TEXT(AH234,"h:mm:ss")),IF($C$6="Laboral",[1]Input!$A$4:$Y$227,IF($C$6="Sábado",[1]Input!$A$231:$Y$452,[1]Input!$A$456:$Y$656)),VLOOKUP($C$4,[1]Input!$AG$2:$AI$99,3,0)+IF(AD$5="Ida",0,1),1),"")</f>
        <v>#N/A</v>
      </c>
      <c r="AL234" s="34" t="str">
        <f>IF(AB235&lt;&gt;AB234,AVERAGEIF(AB$9:AB234,AB234,AK$9:AK234),"")</f>
        <v/>
      </c>
      <c r="AM234" s="35" t="str">
        <f>IFERROR(IF(AB235&lt;&gt;AB234,AVERAGEIF(AB$9:AB234,AB234,AT$9:AT234),""),"")</f>
        <v/>
      </c>
      <c r="AN234" s="35" t="str">
        <f>IFERROR(IF(AB235&lt;&gt;AB234,AVERAGEIF(AB$9:AB234,AB234,AU$9:AU234),""),"")</f>
        <v/>
      </c>
      <c r="AO234" s="35" t="str" cm="1">
        <f t="array" ref="AO234">IFERROR(IF(AB235&lt;&gt;AB234,_xlfn.STDEV.P(IF(AB$9:AB234=AB234,AU$9:AU234)),""),"")</f>
        <v/>
      </c>
      <c r="AP234" s="35" t="str" cm="1">
        <f t="array" ref="AP234">IFERROR(IF(AB235&lt;&gt;AB234,_xlfn.STDEV.P(IF(AB$9:AB234=AB234,AT$9:AT234)),""),"")</f>
        <v/>
      </c>
      <c r="AQ234" s="36" t="str">
        <f t="shared" si="53"/>
        <v/>
      </c>
      <c r="AR234" s="36" t="str">
        <f t="shared" si="54"/>
        <v/>
      </c>
      <c r="AS234" s="36" t="str">
        <f t="shared" si="63"/>
        <v/>
      </c>
      <c r="AT234" s="37" t="str">
        <f t="shared" si="55"/>
        <v/>
      </c>
      <c r="AU234" s="37" t="str">
        <f t="shared" si="56"/>
        <v/>
      </c>
      <c r="AV234" s="54"/>
      <c r="AW234" s="46"/>
      <c r="AX234" s="39" t="str" cm="1">
        <f t="array" ref="AX234">IF(AH234&lt;&gt;"",IF(AND(AX232:AX233&lt;&gt;"IE",AQ234&lt;&gt;0,AS234&lt;&gt;""),IF(IFERROR((AQ234/AS234),0) &lt;=1,IFERROR(AQ234/AS234,""),1),""),"")</f>
        <v/>
      </c>
      <c r="AY234" s="46"/>
      <c r="AZ234" s="57"/>
    </row>
    <row r="235" spans="1:52" ht="15.5" x14ac:dyDescent="0.35">
      <c r="A235" s="51">
        <f t="shared" si="64"/>
        <v>1</v>
      </c>
      <c r="B235" s="52"/>
      <c r="C235" s="52"/>
      <c r="D235" s="29" t="str">
        <f>IFERROR(
IF(AND(OR(Planilla!B235="C",Planilla!B235="c"), VLOOKUP(E235,[1]Diccionario!B:N,13,0)="C"), "OK",IF(AND(OR(Planilla!B235="C",Planilla!B235="c"), OR(VLOOKUP(E235,[1]Diccionario!B:N,13,0)="B", VLOOKUP(E235,[1]Diccionario!B:N,13,0)="A")), "DEFICIT",IF(
AND(OR(Planilla!B235="B", Planilla!B235="BPAL"), VLOOKUP(E235,[1]Diccionario!B:N,13,0)="B"), "OK",IF(AND(OR(Planilla!B235="B", Planilla!B235="BPAL"), VLOOKUP(E235,[1]Diccionario!B:N,13,0)="A"), "DEFICIT",IF(AND(OR(Planilla!B235="B", Planilla!B235="BPAL"), VLOOKUP(E235,[1]Diccionario!B:N,13,0)="C"), "SOBREOFERTA",IF(AND(Planilla!B235="A", VLOOKUP(E235,[1]Diccionario!B:N,13,0)="A"), "OK",IF(
AND(Planilla!B235="A", OR(VLOOKUP(E235,[1]Diccionario!B:N,13,0)="B", VLOOKUP(E235,[1]Diccionario!B:N,13,0)="C")), "SOBREOFERTA",""
))))))),"")</f>
        <v/>
      </c>
      <c r="E235" s="48"/>
      <c r="F235" s="53"/>
      <c r="G235" s="54"/>
      <c r="H235" s="55" t="str">
        <f t="shared" si="57"/>
        <v/>
      </c>
      <c r="I235" s="35"/>
      <c r="J235" s="34" t="e">
        <f>IF(A235&lt;&gt;"",HLOOKUP(VALUE(TEXT(G235,"h:mm:ss")),IF($C$6="Laboral",[1]Input!$A$4:$Y$227,IF($C$6="Sábado",[1]Input!$A$231:$Y$452,[1]Input!$A$456:$Y$656)),VLOOKUP($C$4,[1]Input!$AG$2:$AI$99,3,0)+IF(C$5="Ida",0,1),1),"")</f>
        <v>#N/A</v>
      </c>
      <c r="K235" s="34" t="str">
        <f>IF(A236&lt;&gt;A235,AVERAGEIF(A$9:A235,A235,J$13:J235),"")</f>
        <v/>
      </c>
      <c r="L235" s="35" t="str">
        <f>IFERROR(IF(A236&lt;&gt;A235,AVERAGEIF(A$9:A235,A235,S$13:S235),""),"")</f>
        <v/>
      </c>
      <c r="M235" s="35" t="str">
        <f>IFERROR(IF(A236&lt;&gt;A235,AVERAGEIF(A$9:A235,A235,T$8:T235),""),"")</f>
        <v/>
      </c>
      <c r="N235" s="35" t="str" cm="1">
        <f t="array" ref="N235">IFERROR(IF(A236&lt;&gt;A235,_xlfn.STDEV.P(IF(A$9:A235=A235,T$7:T235)),""),"")</f>
        <v/>
      </c>
      <c r="O235" s="35" t="str" cm="1">
        <f t="array" ref="O235">IFERROR(IF(A236&lt;&gt;A235,_xlfn.STDEV.P(IF(A$9:A235=A235,S$7:S235)),""),"")</f>
        <v/>
      </c>
      <c r="P235" s="36" t="str">
        <f t="shared" si="50"/>
        <v/>
      </c>
      <c r="Q235" s="36" t="str">
        <f t="shared" si="51"/>
        <v/>
      </c>
      <c r="R235" s="36" t="str">
        <f t="shared" si="58"/>
        <v/>
      </c>
      <c r="S235" s="37" t="str">
        <f t="shared" si="59"/>
        <v/>
      </c>
      <c r="T235" s="37" t="str">
        <f t="shared" si="52"/>
        <v/>
      </c>
      <c r="U235" s="54"/>
      <c r="V235" s="46"/>
      <c r="W235" s="39" t="str">
        <f t="shared" si="60"/>
        <v/>
      </c>
      <c r="X235" s="38"/>
      <c r="Y235" s="48"/>
      <c r="AB235" s="56">
        <f t="shared" si="61"/>
        <v>1</v>
      </c>
      <c r="AC235" s="52"/>
      <c r="AD235" s="52"/>
      <c r="AE235" s="29" t="str">
        <f>IFERROR(
IF(AND(OR(AC235="C",AC235="c"), VLOOKUP(AF235,[1]Diccionario!B:N,13,0)="C"), "OK",IF(AND(OR(AC235="C",AC235="c"), OR(VLOOKUP(AF235,[1]Diccionario!B:N,13,0)="B", VLOOKUP(AF235,[1]Diccionario!B:N,13,0)="A")), "DEFICIT",IF(
AND(OR(AC235="B", AC235="BPAL"), VLOOKUP(AF235,[1]Diccionario!B:N,13,0)="B"), "OK",IF(AND(OR(AC235="B", AC235="BPAL"), VLOOKUP(AF235,[1]Diccionario!B:N,13,0)="A"), "DEFICIT",IF(AND(OR(AC235="B", AC235="BPAL"), VLOOKUP(AF235,[1]Diccionario!B:N,13,0)="C"), "SOBREOFERTA",IF(AND(AC235="A", VLOOKUP(AF235,[1]Diccionario!B:N,13,0)="A"), "OK",IF(
AND(AC235="A", OR(VLOOKUP(AF235,[1]Diccionario!B:N,13,0)="B", VLOOKUP(AF235,[1]Diccionario!B:N,13,0)="C")), "SOBREOFERTA",""
))))))),"")</f>
        <v/>
      </c>
      <c r="AF235" s="48"/>
      <c r="AG235" s="53"/>
      <c r="AH235" s="54"/>
      <c r="AI235" s="55" t="str">
        <f t="shared" si="62"/>
        <v/>
      </c>
      <c r="AJ235" s="46"/>
      <c r="AK235" s="34" t="e">
        <f>IF(AB235&lt;&gt;"",HLOOKUP(VALUE(TEXT(AH235,"h:mm:ss")),IF($C$6="Laboral",[1]Input!$A$4:$Y$227,IF($C$6="Sábado",[1]Input!$A$231:$Y$452,[1]Input!$A$456:$Y$656)),VLOOKUP($C$4,[1]Input!$AG$2:$AI$99,3,0)+IF(AD$5="Ida",0,1),1),"")</f>
        <v>#N/A</v>
      </c>
      <c r="AL235" s="34" t="str">
        <f>IF(AB236&lt;&gt;AB235,AVERAGEIF(AB$9:AB235,AB235,AK$9:AK235),"")</f>
        <v/>
      </c>
      <c r="AM235" s="35" t="str">
        <f>IFERROR(IF(AB236&lt;&gt;AB235,AVERAGEIF(AB$9:AB235,AB235,AT$9:AT235),""),"")</f>
        <v/>
      </c>
      <c r="AN235" s="35" t="str">
        <f>IFERROR(IF(AB236&lt;&gt;AB235,AVERAGEIF(AB$9:AB235,AB235,AU$9:AU235),""),"")</f>
        <v/>
      </c>
      <c r="AO235" s="35" t="str" cm="1">
        <f t="array" ref="AO235">IFERROR(IF(AB236&lt;&gt;AB235,_xlfn.STDEV.P(IF(AB$9:AB235=AB235,AU$9:AU235)),""),"")</f>
        <v/>
      </c>
      <c r="AP235" s="35" t="str" cm="1">
        <f t="array" ref="AP235">IFERROR(IF(AB236&lt;&gt;AB235,_xlfn.STDEV.P(IF(AB$9:AB235=AB235,AT$9:AT235)),""),"")</f>
        <v/>
      </c>
      <c r="AQ235" s="36" t="str">
        <f t="shared" si="53"/>
        <v/>
      </c>
      <c r="AR235" s="36" t="str">
        <f t="shared" si="54"/>
        <v/>
      </c>
      <c r="AS235" s="36" t="str">
        <f t="shared" si="63"/>
        <v/>
      </c>
      <c r="AT235" s="37" t="str">
        <f t="shared" si="55"/>
        <v/>
      </c>
      <c r="AU235" s="37" t="str">
        <f t="shared" si="56"/>
        <v/>
      </c>
      <c r="AV235" s="54"/>
      <c r="AW235" s="46"/>
      <c r="AX235" s="39" t="str" cm="1">
        <f t="array" ref="AX235">IF(AH235&lt;&gt;"",IF(AND(AX233:AX234&lt;&gt;"IE",AQ235&lt;&gt;0,AS235&lt;&gt;""),IF(IFERROR((AQ235/AS235),0) &lt;=1,IFERROR(AQ235/AS235,""),1),""),"")</f>
        <v/>
      </c>
      <c r="AY235" s="46"/>
      <c r="AZ235" s="57"/>
    </row>
    <row r="236" spans="1:52" ht="15.5" x14ac:dyDescent="0.35">
      <c r="A236" s="51">
        <f t="shared" si="64"/>
        <v>1</v>
      </c>
      <c r="B236" s="52"/>
      <c r="C236" s="52"/>
      <c r="D236" s="29" t="str">
        <f>IFERROR(
IF(AND(OR(Planilla!B236="C",Planilla!B236="c"), VLOOKUP(E236,[1]Diccionario!B:N,13,0)="C"), "OK",IF(AND(OR(Planilla!B236="C",Planilla!B236="c"), OR(VLOOKUP(E236,[1]Diccionario!B:N,13,0)="B", VLOOKUP(E236,[1]Diccionario!B:N,13,0)="A")), "DEFICIT",IF(
AND(OR(Planilla!B236="B", Planilla!B236="BPAL"), VLOOKUP(E236,[1]Diccionario!B:N,13,0)="B"), "OK",IF(AND(OR(Planilla!B236="B", Planilla!B236="BPAL"), VLOOKUP(E236,[1]Diccionario!B:N,13,0)="A"), "DEFICIT",IF(AND(OR(Planilla!B236="B", Planilla!B236="BPAL"), VLOOKUP(E236,[1]Diccionario!B:N,13,0)="C"), "SOBREOFERTA",IF(AND(Planilla!B236="A", VLOOKUP(E236,[1]Diccionario!B:N,13,0)="A"), "OK",IF(
AND(Planilla!B236="A", OR(VLOOKUP(E236,[1]Diccionario!B:N,13,0)="B", VLOOKUP(E236,[1]Diccionario!B:N,13,0)="C")), "SOBREOFERTA",""
))))))),"")</f>
        <v/>
      </c>
      <c r="E236" s="48"/>
      <c r="F236" s="53"/>
      <c r="G236" s="54"/>
      <c r="H236" s="55" t="str">
        <f t="shared" si="57"/>
        <v/>
      </c>
      <c r="I236" s="35"/>
      <c r="J236" s="34" t="e">
        <f>IF(A236&lt;&gt;"",HLOOKUP(VALUE(TEXT(G236,"h:mm:ss")),IF($C$6="Laboral",[1]Input!$A$4:$Y$227,IF($C$6="Sábado",[1]Input!$A$231:$Y$452,[1]Input!$A$456:$Y$656)),VLOOKUP($C$4,[1]Input!$AG$2:$AI$99,3,0)+IF(C$5="Ida",0,1),1),"")</f>
        <v>#N/A</v>
      </c>
      <c r="K236" s="34" t="str">
        <f>IF(A237&lt;&gt;A236,AVERAGEIF(A$9:A236,A236,J$13:J236),"")</f>
        <v/>
      </c>
      <c r="L236" s="35" t="str">
        <f>IFERROR(IF(A237&lt;&gt;A236,AVERAGEIF(A$9:A236,A236,S$13:S236),""),"")</f>
        <v/>
      </c>
      <c r="M236" s="35" t="str">
        <f>IFERROR(IF(A237&lt;&gt;A236,AVERAGEIF(A$9:A236,A236,T$8:T236),""),"")</f>
        <v/>
      </c>
      <c r="N236" s="35" t="str" cm="1">
        <f t="array" ref="N236">IFERROR(IF(A237&lt;&gt;A236,_xlfn.STDEV.P(IF(A$9:A236=A236,T$7:T236)),""),"")</f>
        <v/>
      </c>
      <c r="O236" s="35" t="str" cm="1">
        <f t="array" ref="O236">IFERROR(IF(A237&lt;&gt;A236,_xlfn.STDEV.P(IF(A$9:A236=A236,S$7:S236)),""),"")</f>
        <v/>
      </c>
      <c r="P236" s="36" t="str">
        <f t="shared" si="50"/>
        <v/>
      </c>
      <c r="Q236" s="36" t="str">
        <f t="shared" si="51"/>
        <v/>
      </c>
      <c r="R236" s="36" t="str">
        <f t="shared" si="58"/>
        <v/>
      </c>
      <c r="S236" s="37" t="str">
        <f t="shared" si="59"/>
        <v/>
      </c>
      <c r="T236" s="37" t="str">
        <f t="shared" si="52"/>
        <v/>
      </c>
      <c r="U236" s="54"/>
      <c r="V236" s="46"/>
      <c r="W236" s="39" t="str">
        <f t="shared" si="60"/>
        <v/>
      </c>
      <c r="X236" s="38"/>
      <c r="Y236" s="48"/>
      <c r="AB236" s="56">
        <f t="shared" si="61"/>
        <v>1</v>
      </c>
      <c r="AC236" s="52"/>
      <c r="AD236" s="52"/>
      <c r="AE236" s="29" t="str">
        <f>IFERROR(
IF(AND(OR(AC236="C",AC236="c"), VLOOKUP(AF236,[1]Diccionario!B:N,13,0)="C"), "OK",IF(AND(OR(AC236="C",AC236="c"), OR(VLOOKUP(AF236,[1]Diccionario!B:N,13,0)="B", VLOOKUP(AF236,[1]Diccionario!B:N,13,0)="A")), "DEFICIT",IF(
AND(OR(AC236="B", AC236="BPAL"), VLOOKUP(AF236,[1]Diccionario!B:N,13,0)="B"), "OK",IF(AND(OR(AC236="B", AC236="BPAL"), VLOOKUP(AF236,[1]Diccionario!B:N,13,0)="A"), "DEFICIT",IF(AND(OR(AC236="B", AC236="BPAL"), VLOOKUP(AF236,[1]Diccionario!B:N,13,0)="C"), "SOBREOFERTA",IF(AND(AC236="A", VLOOKUP(AF236,[1]Diccionario!B:N,13,0)="A"), "OK",IF(
AND(AC236="A", OR(VLOOKUP(AF236,[1]Diccionario!B:N,13,0)="B", VLOOKUP(AF236,[1]Diccionario!B:N,13,0)="C")), "SOBREOFERTA",""
))))))),"")</f>
        <v/>
      </c>
      <c r="AF236" s="48"/>
      <c r="AG236" s="53"/>
      <c r="AH236" s="54"/>
      <c r="AI236" s="55" t="str">
        <f t="shared" si="62"/>
        <v/>
      </c>
      <c r="AJ236" s="46"/>
      <c r="AK236" s="34" t="e">
        <f>IF(AB236&lt;&gt;"",HLOOKUP(VALUE(TEXT(AH236,"h:mm:ss")),IF($C$6="Laboral",[1]Input!$A$4:$Y$227,IF($C$6="Sábado",[1]Input!$A$231:$Y$452,[1]Input!$A$456:$Y$656)),VLOOKUP($C$4,[1]Input!$AG$2:$AI$99,3,0)+IF(AD$5="Ida",0,1),1),"")</f>
        <v>#N/A</v>
      </c>
      <c r="AL236" s="34" t="str">
        <f>IF(AB237&lt;&gt;AB236,AVERAGEIF(AB$9:AB236,AB236,AK$9:AK236),"")</f>
        <v/>
      </c>
      <c r="AM236" s="35" t="str">
        <f>IFERROR(IF(AB237&lt;&gt;AB236,AVERAGEIF(AB$9:AB236,AB236,AT$9:AT236),""),"")</f>
        <v/>
      </c>
      <c r="AN236" s="35" t="str">
        <f>IFERROR(IF(AB237&lt;&gt;AB236,AVERAGEIF(AB$9:AB236,AB236,AU$9:AU236),""),"")</f>
        <v/>
      </c>
      <c r="AO236" s="35" t="str" cm="1">
        <f t="array" ref="AO236">IFERROR(IF(AB237&lt;&gt;AB236,_xlfn.STDEV.P(IF(AB$9:AB236=AB236,AU$9:AU236)),""),"")</f>
        <v/>
      </c>
      <c r="AP236" s="35" t="str" cm="1">
        <f t="array" ref="AP236">IFERROR(IF(AB237&lt;&gt;AB236,_xlfn.STDEV.P(IF(AB$9:AB236=AB236,AT$9:AT236)),""),"")</f>
        <v/>
      </c>
      <c r="AQ236" s="36" t="str">
        <f t="shared" si="53"/>
        <v/>
      </c>
      <c r="AR236" s="36" t="str">
        <f t="shared" si="54"/>
        <v/>
      </c>
      <c r="AS236" s="36" t="str">
        <f t="shared" si="63"/>
        <v/>
      </c>
      <c r="AT236" s="37" t="str">
        <f t="shared" si="55"/>
        <v/>
      </c>
      <c r="AU236" s="37" t="str">
        <f t="shared" si="56"/>
        <v/>
      </c>
      <c r="AV236" s="54"/>
      <c r="AW236" s="46"/>
      <c r="AX236" s="39" t="str" cm="1">
        <f t="array" ref="AX236">IF(AH236&lt;&gt;"",IF(AND(AX234:AX235&lt;&gt;"IE",AQ236&lt;&gt;0,AS236&lt;&gt;""),IF(IFERROR((AQ236/AS236),0) &lt;=1,IFERROR(AQ236/AS236,""),1),""),"")</f>
        <v/>
      </c>
      <c r="AY236" s="46"/>
      <c r="AZ236" s="57"/>
    </row>
    <row r="237" spans="1:52" ht="15.5" x14ac:dyDescent="0.35">
      <c r="A237" s="51">
        <f t="shared" si="64"/>
        <v>1</v>
      </c>
      <c r="B237" s="52"/>
      <c r="C237" s="52"/>
      <c r="D237" s="29" t="str">
        <f>IFERROR(
IF(AND(OR(Planilla!B237="C",Planilla!B237="c"), VLOOKUP(E237,[1]Diccionario!B:N,13,0)="C"), "OK",IF(AND(OR(Planilla!B237="C",Planilla!B237="c"), OR(VLOOKUP(E237,[1]Diccionario!B:N,13,0)="B", VLOOKUP(E237,[1]Diccionario!B:N,13,0)="A")), "DEFICIT",IF(
AND(OR(Planilla!B237="B", Planilla!B237="BPAL"), VLOOKUP(E237,[1]Diccionario!B:N,13,0)="B"), "OK",IF(AND(OR(Planilla!B237="B", Planilla!B237="BPAL"), VLOOKUP(E237,[1]Diccionario!B:N,13,0)="A"), "DEFICIT",IF(AND(OR(Planilla!B237="B", Planilla!B237="BPAL"), VLOOKUP(E237,[1]Diccionario!B:N,13,0)="C"), "SOBREOFERTA",IF(AND(Planilla!B237="A", VLOOKUP(E237,[1]Diccionario!B:N,13,0)="A"), "OK",IF(
AND(Planilla!B237="A", OR(VLOOKUP(E237,[1]Diccionario!B:N,13,0)="B", VLOOKUP(E237,[1]Diccionario!B:N,13,0)="C")), "SOBREOFERTA",""
))))))),"")</f>
        <v/>
      </c>
      <c r="E237" s="48"/>
      <c r="F237" s="53"/>
      <c r="G237" s="54"/>
      <c r="H237" s="55" t="str">
        <f t="shared" si="57"/>
        <v/>
      </c>
      <c r="I237" s="35"/>
      <c r="J237" s="34" t="e">
        <f>IF(A237&lt;&gt;"",HLOOKUP(VALUE(TEXT(G237,"h:mm:ss")),IF($C$6="Laboral",[1]Input!$A$4:$Y$227,IF($C$6="Sábado",[1]Input!$A$231:$Y$452,[1]Input!$A$456:$Y$656)),VLOOKUP($C$4,[1]Input!$AG$2:$AI$99,3,0)+IF(C$5="Ida",0,1),1),"")</f>
        <v>#N/A</v>
      </c>
      <c r="K237" s="34" t="str">
        <f>IF(A238&lt;&gt;A237,AVERAGEIF(A$9:A237,A237,J$13:J237),"")</f>
        <v/>
      </c>
      <c r="L237" s="35" t="str">
        <f>IFERROR(IF(A238&lt;&gt;A237,AVERAGEIF(A$9:A237,A237,S$13:S237),""),"")</f>
        <v/>
      </c>
      <c r="M237" s="35" t="str">
        <f>IFERROR(IF(A238&lt;&gt;A237,AVERAGEIF(A$9:A237,A237,T$8:T237),""),"")</f>
        <v/>
      </c>
      <c r="N237" s="35" t="str" cm="1">
        <f t="array" ref="N237">IFERROR(IF(A238&lt;&gt;A237,_xlfn.STDEV.P(IF(A$9:A237=A237,T$7:T237)),""),"")</f>
        <v/>
      </c>
      <c r="O237" s="35" t="str" cm="1">
        <f t="array" ref="O237">IFERROR(IF(A238&lt;&gt;A237,_xlfn.STDEV.P(IF(A$9:A237=A237,S$7:S237)),""),"")</f>
        <v/>
      </c>
      <c r="P237" s="36" t="str">
        <f t="shared" si="50"/>
        <v/>
      </c>
      <c r="Q237" s="36" t="str">
        <f t="shared" si="51"/>
        <v/>
      </c>
      <c r="R237" s="36" t="str">
        <f t="shared" si="58"/>
        <v/>
      </c>
      <c r="S237" s="37" t="str">
        <f t="shared" si="59"/>
        <v/>
      </c>
      <c r="T237" s="37" t="str">
        <f t="shared" si="52"/>
        <v/>
      </c>
      <c r="U237" s="54"/>
      <c r="V237" s="46"/>
      <c r="W237" s="39" t="str">
        <f t="shared" si="60"/>
        <v/>
      </c>
      <c r="X237" s="38"/>
      <c r="Y237" s="48"/>
      <c r="AB237" s="56">
        <f t="shared" si="61"/>
        <v>1</v>
      </c>
      <c r="AC237" s="52"/>
      <c r="AD237" s="52"/>
      <c r="AE237" s="29" t="str">
        <f>IFERROR(
IF(AND(OR(AC237="C",AC237="c"), VLOOKUP(AF237,[1]Diccionario!B:N,13,0)="C"), "OK",IF(AND(OR(AC237="C",AC237="c"), OR(VLOOKUP(AF237,[1]Diccionario!B:N,13,0)="B", VLOOKUP(AF237,[1]Diccionario!B:N,13,0)="A")), "DEFICIT",IF(
AND(OR(AC237="B", AC237="BPAL"), VLOOKUP(AF237,[1]Diccionario!B:N,13,0)="B"), "OK",IF(AND(OR(AC237="B", AC237="BPAL"), VLOOKUP(AF237,[1]Diccionario!B:N,13,0)="A"), "DEFICIT",IF(AND(OR(AC237="B", AC237="BPAL"), VLOOKUP(AF237,[1]Diccionario!B:N,13,0)="C"), "SOBREOFERTA",IF(AND(AC237="A", VLOOKUP(AF237,[1]Diccionario!B:N,13,0)="A"), "OK",IF(
AND(AC237="A", OR(VLOOKUP(AF237,[1]Diccionario!B:N,13,0)="B", VLOOKUP(AF237,[1]Diccionario!B:N,13,0)="C")), "SOBREOFERTA",""
))))))),"")</f>
        <v/>
      </c>
      <c r="AF237" s="48"/>
      <c r="AG237" s="53"/>
      <c r="AH237" s="54"/>
      <c r="AI237" s="55" t="str">
        <f t="shared" si="62"/>
        <v/>
      </c>
      <c r="AJ237" s="46"/>
      <c r="AK237" s="34" t="e">
        <f>IF(AB237&lt;&gt;"",HLOOKUP(VALUE(TEXT(AH237,"h:mm:ss")),IF($C$6="Laboral",[1]Input!$A$4:$Y$227,IF($C$6="Sábado",[1]Input!$A$231:$Y$452,[1]Input!$A$456:$Y$656)),VLOOKUP($C$4,[1]Input!$AG$2:$AI$99,3,0)+IF(AD$5="Ida",0,1),1),"")</f>
        <v>#N/A</v>
      </c>
      <c r="AL237" s="34" t="str">
        <f>IF(AB238&lt;&gt;AB237,AVERAGEIF(AB$9:AB237,AB237,AK$9:AK237),"")</f>
        <v/>
      </c>
      <c r="AM237" s="35" t="str">
        <f>IFERROR(IF(AB238&lt;&gt;AB237,AVERAGEIF(AB$9:AB237,AB237,AT$9:AT237),""),"")</f>
        <v/>
      </c>
      <c r="AN237" s="35" t="str">
        <f>IFERROR(IF(AB238&lt;&gt;AB237,AVERAGEIF(AB$9:AB237,AB237,AU$9:AU237),""),"")</f>
        <v/>
      </c>
      <c r="AO237" s="35" t="str" cm="1">
        <f t="array" ref="AO237">IFERROR(IF(AB238&lt;&gt;AB237,_xlfn.STDEV.P(IF(AB$9:AB237=AB237,AU$9:AU237)),""),"")</f>
        <v/>
      </c>
      <c r="AP237" s="35" t="str" cm="1">
        <f t="array" ref="AP237">IFERROR(IF(AB238&lt;&gt;AB237,_xlfn.STDEV.P(IF(AB$9:AB237=AB237,AT$9:AT237)),""),"")</f>
        <v/>
      </c>
      <c r="AQ237" s="36" t="str">
        <f t="shared" si="53"/>
        <v/>
      </c>
      <c r="AR237" s="36" t="str">
        <f t="shared" si="54"/>
        <v/>
      </c>
      <c r="AS237" s="36" t="str">
        <f t="shared" si="63"/>
        <v/>
      </c>
      <c r="AT237" s="37" t="str">
        <f t="shared" si="55"/>
        <v/>
      </c>
      <c r="AU237" s="37" t="str">
        <f t="shared" si="56"/>
        <v/>
      </c>
      <c r="AV237" s="54"/>
      <c r="AW237" s="46"/>
      <c r="AX237" s="39" t="str" cm="1">
        <f t="array" ref="AX237">IF(AH237&lt;&gt;"",IF(AND(AX235:AX236&lt;&gt;"IE",AQ237&lt;&gt;0,AS237&lt;&gt;""),IF(IFERROR((AQ237/AS237),0) &lt;=1,IFERROR(AQ237/AS237,""),1),""),"")</f>
        <v/>
      </c>
      <c r="AY237" s="46"/>
      <c r="AZ237" s="57"/>
    </row>
    <row r="238" spans="1:52" ht="15.5" x14ac:dyDescent="0.35">
      <c r="A238" s="51">
        <f t="shared" si="64"/>
        <v>1</v>
      </c>
      <c r="B238" s="52"/>
      <c r="C238" s="52"/>
      <c r="D238" s="29" t="str">
        <f>IFERROR(
IF(AND(OR(Planilla!B238="C",Planilla!B238="c"), VLOOKUP(E238,[1]Diccionario!B:N,13,0)="C"), "OK",IF(AND(OR(Planilla!B238="C",Planilla!B238="c"), OR(VLOOKUP(E238,[1]Diccionario!B:N,13,0)="B", VLOOKUP(E238,[1]Diccionario!B:N,13,0)="A")), "DEFICIT",IF(
AND(OR(Planilla!B238="B", Planilla!B238="BPAL"), VLOOKUP(E238,[1]Diccionario!B:N,13,0)="B"), "OK",IF(AND(OR(Planilla!B238="B", Planilla!B238="BPAL"), VLOOKUP(E238,[1]Diccionario!B:N,13,0)="A"), "DEFICIT",IF(AND(OR(Planilla!B238="B", Planilla!B238="BPAL"), VLOOKUP(E238,[1]Diccionario!B:N,13,0)="C"), "SOBREOFERTA",IF(AND(Planilla!B238="A", VLOOKUP(E238,[1]Diccionario!B:N,13,0)="A"), "OK",IF(
AND(Planilla!B238="A", OR(VLOOKUP(E238,[1]Diccionario!B:N,13,0)="B", VLOOKUP(E238,[1]Diccionario!B:N,13,0)="C")), "SOBREOFERTA",""
))))))),"")</f>
        <v/>
      </c>
      <c r="E238" s="48"/>
      <c r="F238" s="53"/>
      <c r="G238" s="54"/>
      <c r="H238" s="55" t="str">
        <f t="shared" si="57"/>
        <v/>
      </c>
      <c r="I238" s="35"/>
      <c r="J238" s="34" t="e">
        <f>IF(A238&lt;&gt;"",HLOOKUP(VALUE(TEXT(G238,"h:mm:ss")),IF($C$6="Laboral",[1]Input!$A$4:$Y$227,IF($C$6="Sábado",[1]Input!$A$231:$Y$452,[1]Input!$A$456:$Y$656)),VLOOKUP($C$4,[1]Input!$AG$2:$AI$99,3,0)+IF(C$5="Ida",0,1),1),"")</f>
        <v>#N/A</v>
      </c>
      <c r="K238" s="34" t="str">
        <f>IF(A239&lt;&gt;A238,AVERAGEIF(A$9:A238,A238,J$13:J238),"")</f>
        <v/>
      </c>
      <c r="L238" s="35" t="str">
        <f>IFERROR(IF(A239&lt;&gt;A238,AVERAGEIF(A$9:A238,A238,S$13:S238),""),"")</f>
        <v/>
      </c>
      <c r="M238" s="35" t="str">
        <f>IFERROR(IF(A239&lt;&gt;A238,AVERAGEIF(A$9:A238,A238,T$8:T238),""),"")</f>
        <v/>
      </c>
      <c r="N238" s="35" t="str" cm="1">
        <f t="array" ref="N238">IFERROR(IF(A239&lt;&gt;A238,_xlfn.STDEV.P(IF(A$9:A238=A238,T$7:T238)),""),"")</f>
        <v/>
      </c>
      <c r="O238" s="35" t="str" cm="1">
        <f t="array" ref="O238">IFERROR(IF(A239&lt;&gt;A238,_xlfn.STDEV.P(IF(A$9:A238=A238,S$7:S238)),""),"")</f>
        <v/>
      </c>
      <c r="P238" s="36" t="str">
        <f t="shared" si="50"/>
        <v/>
      </c>
      <c r="Q238" s="36" t="str">
        <f t="shared" si="51"/>
        <v/>
      </c>
      <c r="R238" s="36" t="str">
        <f t="shared" si="58"/>
        <v/>
      </c>
      <c r="S238" s="37" t="str">
        <f t="shared" si="59"/>
        <v/>
      </c>
      <c r="T238" s="37" t="str">
        <f t="shared" si="52"/>
        <v/>
      </c>
      <c r="U238" s="54"/>
      <c r="V238" s="46"/>
      <c r="W238" s="39" t="str">
        <f t="shared" si="60"/>
        <v/>
      </c>
      <c r="X238" s="38"/>
      <c r="Y238" s="48"/>
      <c r="AB238" s="56">
        <f t="shared" si="61"/>
        <v>1</v>
      </c>
      <c r="AC238" s="52"/>
      <c r="AD238" s="52"/>
      <c r="AE238" s="29" t="str">
        <f>IFERROR(
IF(AND(OR(AC238="C",AC238="c"), VLOOKUP(AF238,[1]Diccionario!B:N,13,0)="C"), "OK",IF(AND(OR(AC238="C",AC238="c"), OR(VLOOKUP(AF238,[1]Diccionario!B:N,13,0)="B", VLOOKUP(AF238,[1]Diccionario!B:N,13,0)="A")), "DEFICIT",IF(
AND(OR(AC238="B", AC238="BPAL"), VLOOKUP(AF238,[1]Diccionario!B:N,13,0)="B"), "OK",IF(AND(OR(AC238="B", AC238="BPAL"), VLOOKUP(AF238,[1]Diccionario!B:N,13,0)="A"), "DEFICIT",IF(AND(OR(AC238="B", AC238="BPAL"), VLOOKUP(AF238,[1]Diccionario!B:N,13,0)="C"), "SOBREOFERTA",IF(AND(AC238="A", VLOOKUP(AF238,[1]Diccionario!B:N,13,0)="A"), "OK",IF(
AND(AC238="A", OR(VLOOKUP(AF238,[1]Diccionario!B:N,13,0)="B", VLOOKUP(AF238,[1]Diccionario!B:N,13,0)="C")), "SOBREOFERTA",""
))))))),"")</f>
        <v/>
      </c>
      <c r="AF238" s="48"/>
      <c r="AG238" s="53"/>
      <c r="AH238" s="54"/>
      <c r="AI238" s="55" t="str">
        <f t="shared" si="62"/>
        <v/>
      </c>
      <c r="AJ238" s="46"/>
      <c r="AK238" s="34" t="e">
        <f>IF(AB238&lt;&gt;"",HLOOKUP(VALUE(TEXT(AH238,"h:mm:ss")),IF($C$6="Laboral",[1]Input!$A$4:$Y$227,IF($C$6="Sábado",[1]Input!$A$231:$Y$452,[1]Input!$A$456:$Y$656)),VLOOKUP($C$4,[1]Input!$AG$2:$AI$99,3,0)+IF(AD$5="Ida",0,1),1),"")</f>
        <v>#N/A</v>
      </c>
      <c r="AL238" s="34" t="str">
        <f>IF(AB239&lt;&gt;AB238,AVERAGEIF(AB$9:AB238,AB238,AK$9:AK238),"")</f>
        <v/>
      </c>
      <c r="AM238" s="35" t="str">
        <f>IFERROR(IF(AB239&lt;&gt;AB238,AVERAGEIF(AB$9:AB238,AB238,AT$9:AT238),""),"")</f>
        <v/>
      </c>
      <c r="AN238" s="35" t="str">
        <f>IFERROR(IF(AB239&lt;&gt;AB238,AVERAGEIF(AB$9:AB238,AB238,AU$9:AU238),""),"")</f>
        <v/>
      </c>
      <c r="AO238" s="35" t="str" cm="1">
        <f t="array" ref="AO238">IFERROR(IF(AB239&lt;&gt;AB238,_xlfn.STDEV.P(IF(AB$9:AB238=AB238,AU$9:AU238)),""),"")</f>
        <v/>
      </c>
      <c r="AP238" s="35" t="str" cm="1">
        <f t="array" ref="AP238">IFERROR(IF(AB239&lt;&gt;AB238,_xlfn.STDEV.P(IF(AB$9:AB238=AB238,AT$9:AT238)),""),"")</f>
        <v/>
      </c>
      <c r="AQ238" s="36" t="str">
        <f t="shared" si="53"/>
        <v/>
      </c>
      <c r="AR238" s="36" t="str">
        <f t="shared" si="54"/>
        <v/>
      </c>
      <c r="AS238" s="36" t="str">
        <f t="shared" si="63"/>
        <v/>
      </c>
      <c r="AT238" s="37" t="str">
        <f t="shared" si="55"/>
        <v/>
      </c>
      <c r="AU238" s="37" t="str">
        <f t="shared" si="56"/>
        <v/>
      </c>
      <c r="AV238" s="54"/>
      <c r="AW238" s="46"/>
      <c r="AX238" s="39" t="str" cm="1">
        <f t="array" ref="AX238">IF(AH238&lt;&gt;"",IF(AND(AX236:AX237&lt;&gt;"IE",AQ238&lt;&gt;0,AS238&lt;&gt;""),IF(IFERROR((AQ238/AS238),0) &lt;=1,IFERROR(AQ238/AS238,""),1),""),"")</f>
        <v/>
      </c>
      <c r="AY238" s="46"/>
      <c r="AZ238" s="57"/>
    </row>
    <row r="239" spans="1:52" ht="15.5" x14ac:dyDescent="0.35">
      <c r="A239" s="51">
        <f t="shared" si="64"/>
        <v>1</v>
      </c>
      <c r="B239" s="52"/>
      <c r="C239" s="52"/>
      <c r="D239" s="29" t="str">
        <f>IFERROR(
IF(AND(OR(Planilla!B239="C",Planilla!B239="c"), VLOOKUP(E239,[1]Diccionario!B:N,13,0)="C"), "OK",IF(AND(OR(Planilla!B239="C",Planilla!B239="c"), OR(VLOOKUP(E239,[1]Diccionario!B:N,13,0)="B", VLOOKUP(E239,[1]Diccionario!B:N,13,0)="A")), "DEFICIT",IF(
AND(OR(Planilla!B239="B", Planilla!B239="BPAL"), VLOOKUP(E239,[1]Diccionario!B:N,13,0)="B"), "OK",IF(AND(OR(Planilla!B239="B", Planilla!B239="BPAL"), VLOOKUP(E239,[1]Diccionario!B:N,13,0)="A"), "DEFICIT",IF(AND(OR(Planilla!B239="B", Planilla!B239="BPAL"), VLOOKUP(E239,[1]Diccionario!B:N,13,0)="C"), "SOBREOFERTA",IF(AND(Planilla!B239="A", VLOOKUP(E239,[1]Diccionario!B:N,13,0)="A"), "OK",IF(
AND(Planilla!B239="A", OR(VLOOKUP(E239,[1]Diccionario!B:N,13,0)="B", VLOOKUP(E239,[1]Diccionario!B:N,13,0)="C")), "SOBREOFERTA",""
))))))),"")</f>
        <v/>
      </c>
      <c r="E239" s="48"/>
      <c r="F239" s="53"/>
      <c r="G239" s="54"/>
      <c r="H239" s="55" t="str">
        <f t="shared" si="57"/>
        <v/>
      </c>
      <c r="I239" s="35"/>
      <c r="J239" s="34" t="e">
        <f>IF(A239&lt;&gt;"",HLOOKUP(VALUE(TEXT(G239,"h:mm:ss")),IF($C$6="Laboral",[1]Input!$A$4:$Y$227,IF($C$6="Sábado",[1]Input!$A$231:$Y$452,[1]Input!$A$456:$Y$656)),VLOOKUP($C$4,[1]Input!$AG$2:$AI$99,3,0)+IF(C$5="Ida",0,1),1),"")</f>
        <v>#N/A</v>
      </c>
      <c r="K239" s="34" t="str">
        <f>IF(A240&lt;&gt;A239,AVERAGEIF(A$9:A239,A239,J$13:J239),"")</f>
        <v/>
      </c>
      <c r="L239" s="35" t="str">
        <f>IFERROR(IF(A240&lt;&gt;A239,AVERAGEIF(A$9:A239,A239,S$13:S239),""),"")</f>
        <v/>
      </c>
      <c r="M239" s="35" t="str">
        <f>IFERROR(IF(A240&lt;&gt;A239,AVERAGEIF(A$9:A239,A239,T$8:T239),""),"")</f>
        <v/>
      </c>
      <c r="N239" s="35" t="str" cm="1">
        <f t="array" ref="N239">IFERROR(IF(A240&lt;&gt;A239,_xlfn.STDEV.P(IF(A$9:A239=A239,T$7:T239)),""),"")</f>
        <v/>
      </c>
      <c r="O239" s="35" t="str" cm="1">
        <f t="array" ref="O239">IFERROR(IF(A240&lt;&gt;A239,_xlfn.STDEV.P(IF(A$9:A239=A239,S$7:S239)),""),"")</f>
        <v/>
      </c>
      <c r="P239" s="36" t="str">
        <f t="shared" si="50"/>
        <v/>
      </c>
      <c r="Q239" s="36" t="str">
        <f t="shared" si="51"/>
        <v/>
      </c>
      <c r="R239" s="36" t="str">
        <f t="shared" si="58"/>
        <v/>
      </c>
      <c r="S239" s="37" t="str">
        <f t="shared" si="59"/>
        <v/>
      </c>
      <c r="T239" s="37" t="str">
        <f t="shared" si="52"/>
        <v/>
      </c>
      <c r="U239" s="54"/>
      <c r="V239" s="46"/>
      <c r="W239" s="39" t="str">
        <f t="shared" si="60"/>
        <v/>
      </c>
      <c r="X239" s="38"/>
      <c r="Y239" s="48"/>
      <c r="AB239" s="56">
        <f t="shared" si="61"/>
        <v>1</v>
      </c>
      <c r="AC239" s="52"/>
      <c r="AD239" s="52"/>
      <c r="AE239" s="29" t="str">
        <f>IFERROR(
IF(AND(OR(AC239="C",AC239="c"), VLOOKUP(AF239,[1]Diccionario!B:N,13,0)="C"), "OK",IF(AND(OR(AC239="C",AC239="c"), OR(VLOOKUP(AF239,[1]Diccionario!B:N,13,0)="B", VLOOKUP(AF239,[1]Diccionario!B:N,13,0)="A")), "DEFICIT",IF(
AND(OR(AC239="B", AC239="BPAL"), VLOOKUP(AF239,[1]Diccionario!B:N,13,0)="B"), "OK",IF(AND(OR(AC239="B", AC239="BPAL"), VLOOKUP(AF239,[1]Diccionario!B:N,13,0)="A"), "DEFICIT",IF(AND(OR(AC239="B", AC239="BPAL"), VLOOKUP(AF239,[1]Diccionario!B:N,13,0)="C"), "SOBREOFERTA",IF(AND(AC239="A", VLOOKUP(AF239,[1]Diccionario!B:N,13,0)="A"), "OK",IF(
AND(AC239="A", OR(VLOOKUP(AF239,[1]Diccionario!B:N,13,0)="B", VLOOKUP(AF239,[1]Diccionario!B:N,13,0)="C")), "SOBREOFERTA",""
))))))),"")</f>
        <v/>
      </c>
      <c r="AF239" s="48"/>
      <c r="AG239" s="53"/>
      <c r="AH239" s="54"/>
      <c r="AI239" s="55" t="str">
        <f t="shared" si="62"/>
        <v/>
      </c>
      <c r="AJ239" s="46"/>
      <c r="AK239" s="34" t="e">
        <f>IF(AB239&lt;&gt;"",HLOOKUP(VALUE(TEXT(AH239,"h:mm:ss")),IF($C$6="Laboral",[1]Input!$A$4:$Y$227,IF($C$6="Sábado",[1]Input!$A$231:$Y$452,[1]Input!$A$456:$Y$656)),VLOOKUP($C$4,[1]Input!$AG$2:$AI$99,3,0)+IF(AD$5="Ida",0,1),1),"")</f>
        <v>#N/A</v>
      </c>
      <c r="AL239" s="34" t="str">
        <f>IF(AB240&lt;&gt;AB239,AVERAGEIF(AB$9:AB239,AB239,AK$9:AK239),"")</f>
        <v/>
      </c>
      <c r="AM239" s="35" t="str">
        <f>IFERROR(IF(AB240&lt;&gt;AB239,AVERAGEIF(AB$9:AB239,AB239,AT$9:AT239),""),"")</f>
        <v/>
      </c>
      <c r="AN239" s="35" t="str">
        <f>IFERROR(IF(AB240&lt;&gt;AB239,AVERAGEIF(AB$9:AB239,AB239,AU$9:AU239),""),"")</f>
        <v/>
      </c>
      <c r="AO239" s="35" t="str" cm="1">
        <f t="array" ref="AO239">IFERROR(IF(AB240&lt;&gt;AB239,_xlfn.STDEV.P(IF(AB$9:AB239=AB239,AU$9:AU239)),""),"")</f>
        <v/>
      </c>
      <c r="AP239" s="35" t="str" cm="1">
        <f t="array" ref="AP239">IFERROR(IF(AB240&lt;&gt;AB239,_xlfn.STDEV.P(IF(AB$9:AB239=AB239,AT$9:AT239)),""),"")</f>
        <v/>
      </c>
      <c r="AQ239" s="36" t="str">
        <f t="shared" si="53"/>
        <v/>
      </c>
      <c r="AR239" s="36" t="str">
        <f t="shared" si="54"/>
        <v/>
      </c>
      <c r="AS239" s="36" t="str">
        <f t="shared" si="63"/>
        <v/>
      </c>
      <c r="AT239" s="37" t="str">
        <f t="shared" si="55"/>
        <v/>
      </c>
      <c r="AU239" s="37" t="str">
        <f t="shared" si="56"/>
        <v/>
      </c>
      <c r="AV239" s="54"/>
      <c r="AW239" s="46"/>
      <c r="AX239" s="39" t="str" cm="1">
        <f t="array" ref="AX239">IF(AH239&lt;&gt;"",IF(AND(AX237:AX238&lt;&gt;"IE",AQ239&lt;&gt;0,AS239&lt;&gt;""),IF(IFERROR((AQ239/AS239),0) &lt;=1,IFERROR(AQ239/AS239,""),1),""),"")</f>
        <v/>
      </c>
      <c r="AY239" s="46"/>
      <c r="AZ239" s="57"/>
    </row>
    <row r="240" spans="1:52" ht="15.5" x14ac:dyDescent="0.35">
      <c r="A240" s="51">
        <f t="shared" si="64"/>
        <v>1</v>
      </c>
      <c r="B240" s="52"/>
      <c r="C240" s="52"/>
      <c r="D240" s="29" t="str">
        <f>IFERROR(
IF(AND(OR(Planilla!B240="C",Planilla!B240="c"), VLOOKUP(E240,[1]Diccionario!B:N,13,0)="C"), "OK",IF(AND(OR(Planilla!B240="C",Planilla!B240="c"), OR(VLOOKUP(E240,[1]Diccionario!B:N,13,0)="B", VLOOKUP(E240,[1]Diccionario!B:N,13,0)="A")), "DEFICIT",IF(
AND(OR(Planilla!B240="B", Planilla!B240="BPAL"), VLOOKUP(E240,[1]Diccionario!B:N,13,0)="B"), "OK",IF(AND(OR(Planilla!B240="B", Planilla!B240="BPAL"), VLOOKUP(E240,[1]Diccionario!B:N,13,0)="A"), "DEFICIT",IF(AND(OR(Planilla!B240="B", Planilla!B240="BPAL"), VLOOKUP(E240,[1]Diccionario!B:N,13,0)="C"), "SOBREOFERTA",IF(AND(Planilla!B240="A", VLOOKUP(E240,[1]Diccionario!B:N,13,0)="A"), "OK",IF(
AND(Planilla!B240="A", OR(VLOOKUP(E240,[1]Diccionario!B:N,13,0)="B", VLOOKUP(E240,[1]Diccionario!B:N,13,0)="C")), "SOBREOFERTA",""
))))))),"")</f>
        <v/>
      </c>
      <c r="E240" s="48"/>
      <c r="F240" s="53"/>
      <c r="G240" s="54"/>
      <c r="H240" s="55" t="str">
        <f t="shared" si="57"/>
        <v/>
      </c>
      <c r="I240" s="35"/>
      <c r="J240" s="34" t="e">
        <f>IF(A240&lt;&gt;"",HLOOKUP(VALUE(TEXT(G240,"h:mm:ss")),IF($C$6="Laboral",[1]Input!$A$4:$Y$227,IF($C$6="Sábado",[1]Input!$A$231:$Y$452,[1]Input!$A$456:$Y$656)),VLOOKUP($C$4,[1]Input!$AG$2:$AI$99,3,0)+IF(C$5="Ida",0,1),1),"")</f>
        <v>#N/A</v>
      </c>
      <c r="K240" s="34" t="str">
        <f>IF(A241&lt;&gt;A240,AVERAGEIF(A$9:A240,A240,J$13:J240),"")</f>
        <v/>
      </c>
      <c r="L240" s="35" t="str">
        <f>IFERROR(IF(A241&lt;&gt;A240,AVERAGEIF(A$9:A240,A240,S$13:S240),""),"")</f>
        <v/>
      </c>
      <c r="M240" s="35" t="str">
        <f>IFERROR(IF(A241&lt;&gt;A240,AVERAGEIF(A$9:A240,A240,T$8:T240),""),"")</f>
        <v/>
      </c>
      <c r="N240" s="35" t="str" cm="1">
        <f t="array" ref="N240">IFERROR(IF(A241&lt;&gt;A240,_xlfn.STDEV.P(IF(A$9:A240=A240,T$7:T240)),""),"")</f>
        <v/>
      </c>
      <c r="O240" s="35" t="str" cm="1">
        <f t="array" ref="O240">IFERROR(IF(A241&lt;&gt;A240,_xlfn.STDEV.P(IF(A$9:A240=A240,S$7:S240)),""),"")</f>
        <v/>
      </c>
      <c r="P240" s="36" t="str">
        <f t="shared" si="50"/>
        <v/>
      </c>
      <c r="Q240" s="36" t="str">
        <f t="shared" si="51"/>
        <v/>
      </c>
      <c r="R240" s="36" t="str">
        <f t="shared" si="58"/>
        <v/>
      </c>
      <c r="S240" s="37" t="str">
        <f t="shared" si="59"/>
        <v/>
      </c>
      <c r="T240" s="37" t="str">
        <f t="shared" si="52"/>
        <v/>
      </c>
      <c r="U240" s="54"/>
      <c r="V240" s="46"/>
      <c r="W240" s="39" t="str">
        <f t="shared" si="60"/>
        <v/>
      </c>
      <c r="X240" s="38"/>
      <c r="Y240" s="48"/>
      <c r="AB240" s="56">
        <f t="shared" si="61"/>
        <v>1</v>
      </c>
      <c r="AC240" s="52"/>
      <c r="AD240" s="52"/>
      <c r="AE240" s="29" t="str">
        <f>IFERROR(
IF(AND(OR(AC240="C",AC240="c"), VLOOKUP(AF240,[1]Diccionario!B:N,13,0)="C"), "OK",IF(AND(OR(AC240="C",AC240="c"), OR(VLOOKUP(AF240,[1]Diccionario!B:N,13,0)="B", VLOOKUP(AF240,[1]Diccionario!B:N,13,0)="A")), "DEFICIT",IF(
AND(OR(AC240="B", AC240="BPAL"), VLOOKUP(AF240,[1]Diccionario!B:N,13,0)="B"), "OK",IF(AND(OR(AC240="B", AC240="BPAL"), VLOOKUP(AF240,[1]Diccionario!B:N,13,0)="A"), "DEFICIT",IF(AND(OR(AC240="B", AC240="BPAL"), VLOOKUP(AF240,[1]Diccionario!B:N,13,0)="C"), "SOBREOFERTA",IF(AND(AC240="A", VLOOKUP(AF240,[1]Diccionario!B:N,13,0)="A"), "OK",IF(
AND(AC240="A", OR(VLOOKUP(AF240,[1]Diccionario!B:N,13,0)="B", VLOOKUP(AF240,[1]Diccionario!B:N,13,0)="C")), "SOBREOFERTA",""
))))))),"")</f>
        <v/>
      </c>
      <c r="AF240" s="48"/>
      <c r="AG240" s="53"/>
      <c r="AH240" s="54"/>
      <c r="AI240" s="55" t="str">
        <f t="shared" si="62"/>
        <v/>
      </c>
      <c r="AJ240" s="46"/>
      <c r="AK240" s="34" t="e">
        <f>IF(AB240&lt;&gt;"",HLOOKUP(VALUE(TEXT(AH240,"h:mm:ss")),IF($C$6="Laboral",[1]Input!$A$4:$Y$227,IF($C$6="Sábado",[1]Input!$A$231:$Y$452,[1]Input!$A$456:$Y$656)),VLOOKUP($C$4,[1]Input!$AG$2:$AI$99,3,0)+IF(AD$5="Ida",0,1),1),"")</f>
        <v>#N/A</v>
      </c>
      <c r="AL240" s="34" t="str">
        <f>IF(AB241&lt;&gt;AB240,AVERAGEIF(AB$9:AB240,AB240,AK$9:AK240),"")</f>
        <v/>
      </c>
      <c r="AM240" s="35" t="str">
        <f>IFERROR(IF(AB241&lt;&gt;AB240,AVERAGEIF(AB$9:AB240,AB240,AT$9:AT240),""),"")</f>
        <v/>
      </c>
      <c r="AN240" s="35" t="str">
        <f>IFERROR(IF(AB241&lt;&gt;AB240,AVERAGEIF(AB$9:AB240,AB240,AU$9:AU240),""),"")</f>
        <v/>
      </c>
      <c r="AO240" s="35" t="str" cm="1">
        <f t="array" ref="AO240">IFERROR(IF(AB241&lt;&gt;AB240,_xlfn.STDEV.P(IF(AB$9:AB240=AB240,AU$9:AU240)),""),"")</f>
        <v/>
      </c>
      <c r="AP240" s="35" t="str" cm="1">
        <f t="array" ref="AP240">IFERROR(IF(AB241&lt;&gt;AB240,_xlfn.STDEV.P(IF(AB$9:AB240=AB240,AT$9:AT240)),""),"")</f>
        <v/>
      </c>
      <c r="AQ240" s="36" t="str">
        <f t="shared" si="53"/>
        <v/>
      </c>
      <c r="AR240" s="36" t="str">
        <f t="shared" si="54"/>
        <v/>
      </c>
      <c r="AS240" s="36" t="str">
        <f t="shared" si="63"/>
        <v/>
      </c>
      <c r="AT240" s="37" t="str">
        <f t="shared" si="55"/>
        <v/>
      </c>
      <c r="AU240" s="37" t="str">
        <f t="shared" si="56"/>
        <v/>
      </c>
      <c r="AV240" s="54"/>
      <c r="AW240" s="46"/>
      <c r="AX240" s="39" t="str" cm="1">
        <f t="array" ref="AX240">IF(AH240&lt;&gt;"",IF(AND(AX238:AX239&lt;&gt;"IE",AQ240&lt;&gt;0,AS240&lt;&gt;""),IF(IFERROR((AQ240/AS240),0) &lt;=1,IFERROR(AQ240/AS240,""),1),""),"")</f>
        <v/>
      </c>
      <c r="AY240" s="46"/>
      <c r="AZ240" s="57"/>
    </row>
    <row r="241" spans="1:52" ht="15.5" x14ac:dyDescent="0.35">
      <c r="A241" s="51">
        <f t="shared" si="64"/>
        <v>1</v>
      </c>
      <c r="B241" s="52"/>
      <c r="C241" s="52"/>
      <c r="D241" s="29" t="str">
        <f>IFERROR(
IF(AND(OR(Planilla!B241="C",Planilla!B241="c"), VLOOKUP(E241,[1]Diccionario!B:N,13,0)="C"), "OK",IF(AND(OR(Planilla!B241="C",Planilla!B241="c"), OR(VLOOKUP(E241,[1]Diccionario!B:N,13,0)="B", VLOOKUP(E241,[1]Diccionario!B:N,13,0)="A")), "DEFICIT",IF(
AND(OR(Planilla!B241="B", Planilla!B241="BPAL"), VLOOKUP(E241,[1]Diccionario!B:N,13,0)="B"), "OK",IF(AND(OR(Planilla!B241="B", Planilla!B241="BPAL"), VLOOKUP(E241,[1]Diccionario!B:N,13,0)="A"), "DEFICIT",IF(AND(OR(Planilla!B241="B", Planilla!B241="BPAL"), VLOOKUP(E241,[1]Diccionario!B:N,13,0)="C"), "SOBREOFERTA",IF(AND(Planilla!B241="A", VLOOKUP(E241,[1]Diccionario!B:N,13,0)="A"), "OK",IF(
AND(Planilla!B241="A", OR(VLOOKUP(E241,[1]Diccionario!B:N,13,0)="B", VLOOKUP(E241,[1]Diccionario!B:N,13,0)="C")), "SOBREOFERTA",""
))))))),"")</f>
        <v/>
      </c>
      <c r="E241" s="48"/>
      <c r="F241" s="53"/>
      <c r="G241" s="54"/>
      <c r="H241" s="55" t="str">
        <f t="shared" si="57"/>
        <v/>
      </c>
      <c r="I241" s="35"/>
      <c r="J241" s="34" t="e">
        <f>IF(A241&lt;&gt;"",HLOOKUP(VALUE(TEXT(G241,"h:mm:ss")),IF($C$6="Laboral",[1]Input!$A$4:$Y$227,IF($C$6="Sábado",[1]Input!$A$231:$Y$452,[1]Input!$A$456:$Y$656)),VLOOKUP($C$4,[1]Input!$AG$2:$AI$99,3,0)+IF(C$5="Ida",0,1),1),"")</f>
        <v>#N/A</v>
      </c>
      <c r="K241" s="34" t="str">
        <f>IF(A242&lt;&gt;A241,AVERAGEIF(A$9:A241,A241,J$13:J241),"")</f>
        <v/>
      </c>
      <c r="L241" s="35" t="str">
        <f>IFERROR(IF(A242&lt;&gt;A241,AVERAGEIF(A$9:A241,A241,S$13:S241),""),"")</f>
        <v/>
      </c>
      <c r="M241" s="35" t="str">
        <f>IFERROR(IF(A242&lt;&gt;A241,AVERAGEIF(A$9:A241,A241,T$8:T241),""),"")</f>
        <v/>
      </c>
      <c r="N241" s="35" t="str" cm="1">
        <f t="array" ref="N241">IFERROR(IF(A242&lt;&gt;A241,_xlfn.STDEV.P(IF(A$9:A241=A241,T$7:T241)),""),"")</f>
        <v/>
      </c>
      <c r="O241" s="35" t="str" cm="1">
        <f t="array" ref="O241">IFERROR(IF(A242&lt;&gt;A241,_xlfn.STDEV.P(IF(A$9:A241=A241,S$7:S241)),""),"")</f>
        <v/>
      </c>
      <c r="P241" s="36" t="str">
        <f t="shared" si="50"/>
        <v/>
      </c>
      <c r="Q241" s="36" t="str">
        <f t="shared" si="51"/>
        <v/>
      </c>
      <c r="R241" s="36" t="str">
        <f t="shared" si="58"/>
        <v/>
      </c>
      <c r="S241" s="37" t="str">
        <f t="shared" si="59"/>
        <v/>
      </c>
      <c r="T241" s="37" t="str">
        <f t="shared" si="52"/>
        <v/>
      </c>
      <c r="U241" s="54"/>
      <c r="V241" s="46"/>
      <c r="W241" s="39" t="str">
        <f t="shared" si="60"/>
        <v/>
      </c>
      <c r="X241" s="38"/>
      <c r="Y241" s="48"/>
      <c r="AB241" s="56">
        <f t="shared" si="61"/>
        <v>1</v>
      </c>
      <c r="AC241" s="52"/>
      <c r="AD241" s="52"/>
      <c r="AE241" s="29" t="str">
        <f>IFERROR(
IF(AND(OR(AC241="C",AC241="c"), VLOOKUP(AF241,[1]Diccionario!B:N,13,0)="C"), "OK",IF(AND(OR(AC241="C",AC241="c"), OR(VLOOKUP(AF241,[1]Diccionario!B:N,13,0)="B", VLOOKUP(AF241,[1]Diccionario!B:N,13,0)="A")), "DEFICIT",IF(
AND(OR(AC241="B", AC241="BPAL"), VLOOKUP(AF241,[1]Diccionario!B:N,13,0)="B"), "OK",IF(AND(OR(AC241="B", AC241="BPAL"), VLOOKUP(AF241,[1]Diccionario!B:N,13,0)="A"), "DEFICIT",IF(AND(OR(AC241="B", AC241="BPAL"), VLOOKUP(AF241,[1]Diccionario!B:N,13,0)="C"), "SOBREOFERTA",IF(AND(AC241="A", VLOOKUP(AF241,[1]Diccionario!B:N,13,0)="A"), "OK",IF(
AND(AC241="A", OR(VLOOKUP(AF241,[1]Diccionario!B:N,13,0)="B", VLOOKUP(AF241,[1]Diccionario!B:N,13,0)="C")), "SOBREOFERTA",""
))))))),"")</f>
        <v/>
      </c>
      <c r="AF241" s="48"/>
      <c r="AG241" s="53"/>
      <c r="AH241" s="54"/>
      <c r="AI241" s="55" t="str">
        <f t="shared" si="62"/>
        <v/>
      </c>
      <c r="AJ241" s="46"/>
      <c r="AK241" s="34" t="e">
        <f>IF(AB241&lt;&gt;"",HLOOKUP(VALUE(TEXT(AH241,"h:mm:ss")),IF($C$6="Laboral",[1]Input!$A$4:$Y$227,IF($C$6="Sábado",[1]Input!$A$231:$Y$452,[1]Input!$A$456:$Y$656)),VLOOKUP($C$4,[1]Input!$AG$2:$AI$99,3,0)+IF(AD$5="Ida",0,1),1),"")</f>
        <v>#N/A</v>
      </c>
      <c r="AL241" s="34" t="str">
        <f>IF(AB242&lt;&gt;AB241,AVERAGEIF(AB$9:AB241,AB241,AK$9:AK241),"")</f>
        <v/>
      </c>
      <c r="AM241" s="35" t="str">
        <f>IFERROR(IF(AB242&lt;&gt;AB241,AVERAGEIF(AB$9:AB241,AB241,AT$9:AT241),""),"")</f>
        <v/>
      </c>
      <c r="AN241" s="35" t="str">
        <f>IFERROR(IF(AB242&lt;&gt;AB241,AVERAGEIF(AB$9:AB241,AB241,AU$9:AU241),""),"")</f>
        <v/>
      </c>
      <c r="AO241" s="35" t="str" cm="1">
        <f t="array" ref="AO241">IFERROR(IF(AB242&lt;&gt;AB241,_xlfn.STDEV.P(IF(AB$9:AB241=AB241,AU$9:AU241)),""),"")</f>
        <v/>
      </c>
      <c r="AP241" s="35" t="str" cm="1">
        <f t="array" ref="AP241">IFERROR(IF(AB242&lt;&gt;AB241,_xlfn.STDEV.P(IF(AB$9:AB241=AB241,AT$9:AT241)),""),"")</f>
        <v/>
      </c>
      <c r="AQ241" s="36" t="str">
        <f t="shared" si="53"/>
        <v/>
      </c>
      <c r="AR241" s="36" t="str">
        <f t="shared" si="54"/>
        <v/>
      </c>
      <c r="AS241" s="36" t="str">
        <f t="shared" si="63"/>
        <v/>
      </c>
      <c r="AT241" s="37" t="str">
        <f t="shared" si="55"/>
        <v/>
      </c>
      <c r="AU241" s="37" t="str">
        <f t="shared" si="56"/>
        <v/>
      </c>
      <c r="AV241" s="54"/>
      <c r="AW241" s="46"/>
      <c r="AX241" s="39" t="str" cm="1">
        <f t="array" ref="AX241">IF(AH241&lt;&gt;"",IF(AND(AX239:AX240&lt;&gt;"IE",AQ241&lt;&gt;0,AS241&lt;&gt;""),IF(IFERROR((AQ241/AS241),0) &lt;=1,IFERROR(AQ241/AS241,""),1),""),"")</f>
        <v/>
      </c>
      <c r="AY241" s="46"/>
      <c r="AZ241" s="57"/>
    </row>
    <row r="242" spans="1:52" ht="15.5" x14ac:dyDescent="0.35">
      <c r="A242" s="51">
        <f t="shared" si="64"/>
        <v>1</v>
      </c>
      <c r="B242" s="52"/>
      <c r="C242" s="52"/>
      <c r="D242" s="29" t="str">
        <f>IFERROR(
IF(AND(OR(Planilla!B242="C",Planilla!B242="c"), VLOOKUP(E242,[1]Diccionario!B:N,13,0)="C"), "OK",IF(AND(OR(Planilla!B242="C",Planilla!B242="c"), OR(VLOOKUP(E242,[1]Diccionario!B:N,13,0)="B", VLOOKUP(E242,[1]Diccionario!B:N,13,0)="A")), "DEFICIT",IF(
AND(OR(Planilla!B242="B", Planilla!B242="BPAL"), VLOOKUP(E242,[1]Diccionario!B:N,13,0)="B"), "OK",IF(AND(OR(Planilla!B242="B", Planilla!B242="BPAL"), VLOOKUP(E242,[1]Diccionario!B:N,13,0)="A"), "DEFICIT",IF(AND(OR(Planilla!B242="B", Planilla!B242="BPAL"), VLOOKUP(E242,[1]Diccionario!B:N,13,0)="C"), "SOBREOFERTA",IF(AND(Planilla!B242="A", VLOOKUP(E242,[1]Diccionario!B:N,13,0)="A"), "OK",IF(
AND(Planilla!B242="A", OR(VLOOKUP(E242,[1]Diccionario!B:N,13,0)="B", VLOOKUP(E242,[1]Diccionario!B:N,13,0)="C")), "SOBREOFERTA",""
))))))),"")</f>
        <v/>
      </c>
      <c r="E242" s="48"/>
      <c r="F242" s="53"/>
      <c r="G242" s="54"/>
      <c r="H242" s="55" t="str">
        <f t="shared" si="57"/>
        <v/>
      </c>
      <c r="I242" s="35"/>
      <c r="J242" s="34" t="e">
        <f>IF(A242&lt;&gt;"",HLOOKUP(VALUE(TEXT(G242,"h:mm:ss")),IF($C$6="Laboral",[1]Input!$A$4:$Y$227,IF($C$6="Sábado",[1]Input!$A$231:$Y$452,[1]Input!$A$456:$Y$656)),VLOOKUP($C$4,[1]Input!$AG$2:$AI$99,3,0)+IF(C$5="Ida",0,1),1),"")</f>
        <v>#N/A</v>
      </c>
      <c r="K242" s="34" t="str">
        <f>IF(A243&lt;&gt;A242,AVERAGEIF(A$9:A242,A242,J$13:J242),"")</f>
        <v/>
      </c>
      <c r="L242" s="35" t="str">
        <f>IFERROR(IF(A243&lt;&gt;A242,AVERAGEIF(A$9:A242,A242,S$13:S242),""),"")</f>
        <v/>
      </c>
      <c r="M242" s="35" t="str">
        <f>IFERROR(IF(A243&lt;&gt;A242,AVERAGEIF(A$9:A242,A242,T$8:T242),""),"")</f>
        <v/>
      </c>
      <c r="N242" s="35" t="str" cm="1">
        <f t="array" ref="N242">IFERROR(IF(A243&lt;&gt;A242,_xlfn.STDEV.P(IF(A$9:A242=A242,T$7:T242)),""),"")</f>
        <v/>
      </c>
      <c r="O242" s="35" t="str" cm="1">
        <f t="array" ref="O242">IFERROR(IF(A243&lt;&gt;A242,_xlfn.STDEV.P(IF(A$9:A242=A242,S$7:S242)),""),"")</f>
        <v/>
      </c>
      <c r="P242" s="36" t="str">
        <f t="shared" si="50"/>
        <v/>
      </c>
      <c r="Q242" s="36" t="str">
        <f t="shared" si="51"/>
        <v/>
      </c>
      <c r="R242" s="36" t="str">
        <f t="shared" si="58"/>
        <v/>
      </c>
      <c r="S242" s="37" t="str">
        <f t="shared" si="59"/>
        <v/>
      </c>
      <c r="T242" s="37" t="str">
        <f t="shared" si="52"/>
        <v/>
      </c>
      <c r="U242" s="54"/>
      <c r="V242" s="46"/>
      <c r="W242" s="39" t="str">
        <f t="shared" si="60"/>
        <v/>
      </c>
      <c r="X242" s="38"/>
      <c r="Y242" s="48"/>
      <c r="AB242" s="56">
        <f t="shared" si="61"/>
        <v>1</v>
      </c>
      <c r="AC242" s="52"/>
      <c r="AD242" s="52"/>
      <c r="AE242" s="29" t="str">
        <f>IFERROR(
IF(AND(OR(AC242="C",AC242="c"), VLOOKUP(AF242,[1]Diccionario!B:N,13,0)="C"), "OK",IF(AND(OR(AC242="C",AC242="c"), OR(VLOOKUP(AF242,[1]Diccionario!B:N,13,0)="B", VLOOKUP(AF242,[1]Diccionario!B:N,13,0)="A")), "DEFICIT",IF(
AND(OR(AC242="B", AC242="BPAL"), VLOOKUP(AF242,[1]Diccionario!B:N,13,0)="B"), "OK",IF(AND(OR(AC242="B", AC242="BPAL"), VLOOKUP(AF242,[1]Diccionario!B:N,13,0)="A"), "DEFICIT",IF(AND(OR(AC242="B", AC242="BPAL"), VLOOKUP(AF242,[1]Diccionario!B:N,13,0)="C"), "SOBREOFERTA",IF(AND(AC242="A", VLOOKUP(AF242,[1]Diccionario!B:N,13,0)="A"), "OK",IF(
AND(AC242="A", OR(VLOOKUP(AF242,[1]Diccionario!B:N,13,0)="B", VLOOKUP(AF242,[1]Diccionario!B:N,13,0)="C")), "SOBREOFERTA",""
))))))),"")</f>
        <v/>
      </c>
      <c r="AF242" s="48"/>
      <c r="AG242" s="53"/>
      <c r="AH242" s="54"/>
      <c r="AI242" s="55" t="str">
        <f t="shared" si="62"/>
        <v/>
      </c>
      <c r="AJ242" s="46"/>
      <c r="AK242" s="34" t="e">
        <f>IF(AB242&lt;&gt;"",HLOOKUP(VALUE(TEXT(AH242,"h:mm:ss")),IF($C$6="Laboral",[1]Input!$A$4:$Y$227,IF($C$6="Sábado",[1]Input!$A$231:$Y$452,[1]Input!$A$456:$Y$656)),VLOOKUP($C$4,[1]Input!$AG$2:$AI$99,3,0)+IF(AD$5="Ida",0,1),1),"")</f>
        <v>#N/A</v>
      </c>
      <c r="AL242" s="34" t="str">
        <f>IF(AB243&lt;&gt;AB242,AVERAGEIF(AB$9:AB242,AB242,AK$9:AK242),"")</f>
        <v/>
      </c>
      <c r="AM242" s="35" t="str">
        <f>IFERROR(IF(AB243&lt;&gt;AB242,AVERAGEIF(AB$9:AB242,AB242,AT$9:AT242),""),"")</f>
        <v/>
      </c>
      <c r="AN242" s="35" t="str">
        <f>IFERROR(IF(AB243&lt;&gt;AB242,AVERAGEIF(AB$9:AB242,AB242,AU$9:AU242),""),"")</f>
        <v/>
      </c>
      <c r="AO242" s="35" t="str" cm="1">
        <f t="array" ref="AO242">IFERROR(IF(AB243&lt;&gt;AB242,_xlfn.STDEV.P(IF(AB$9:AB242=AB242,AU$9:AU242)),""),"")</f>
        <v/>
      </c>
      <c r="AP242" s="35" t="str" cm="1">
        <f t="array" ref="AP242">IFERROR(IF(AB243&lt;&gt;AB242,_xlfn.STDEV.P(IF(AB$9:AB242=AB242,AT$9:AT242)),""),"")</f>
        <v/>
      </c>
      <c r="AQ242" s="36" t="str">
        <f t="shared" si="53"/>
        <v/>
      </c>
      <c r="AR242" s="36" t="str">
        <f t="shared" si="54"/>
        <v/>
      </c>
      <c r="AS242" s="36" t="str">
        <f t="shared" si="63"/>
        <v/>
      </c>
      <c r="AT242" s="37" t="str">
        <f t="shared" si="55"/>
        <v/>
      </c>
      <c r="AU242" s="37" t="str">
        <f t="shared" si="56"/>
        <v/>
      </c>
      <c r="AV242" s="54"/>
      <c r="AW242" s="46"/>
      <c r="AX242" s="39" t="str" cm="1">
        <f t="array" ref="AX242">IF(AH242&lt;&gt;"",IF(AND(AX240:AX241&lt;&gt;"IE",AQ242&lt;&gt;0,AS242&lt;&gt;""),IF(IFERROR((AQ242/AS242),0) &lt;=1,IFERROR(AQ242/AS242,""),1),""),"")</f>
        <v/>
      </c>
      <c r="AY242" s="46"/>
      <c r="AZ242" s="57"/>
    </row>
    <row r="243" spans="1:52" ht="15.5" x14ac:dyDescent="0.35">
      <c r="A243" s="51">
        <f t="shared" si="64"/>
        <v>1</v>
      </c>
      <c r="B243" s="52"/>
      <c r="C243" s="52"/>
      <c r="D243" s="29" t="str">
        <f>IFERROR(
IF(AND(OR(Planilla!B243="C",Planilla!B243="c"), VLOOKUP(E243,[1]Diccionario!B:N,13,0)="C"), "OK",IF(AND(OR(Planilla!B243="C",Planilla!B243="c"), OR(VLOOKUP(E243,[1]Diccionario!B:N,13,0)="B", VLOOKUP(E243,[1]Diccionario!B:N,13,0)="A")), "DEFICIT",IF(
AND(OR(Planilla!B243="B", Planilla!B243="BPAL"), VLOOKUP(E243,[1]Diccionario!B:N,13,0)="B"), "OK",IF(AND(OR(Planilla!B243="B", Planilla!B243="BPAL"), VLOOKUP(E243,[1]Diccionario!B:N,13,0)="A"), "DEFICIT",IF(AND(OR(Planilla!B243="B", Planilla!B243="BPAL"), VLOOKUP(E243,[1]Diccionario!B:N,13,0)="C"), "SOBREOFERTA",IF(AND(Planilla!B243="A", VLOOKUP(E243,[1]Diccionario!B:N,13,0)="A"), "OK",IF(
AND(Planilla!B243="A", OR(VLOOKUP(E243,[1]Diccionario!B:N,13,0)="B", VLOOKUP(E243,[1]Diccionario!B:N,13,0)="C")), "SOBREOFERTA",""
))))))),"")</f>
        <v/>
      </c>
      <c r="E243" s="48"/>
      <c r="F243" s="53"/>
      <c r="G243" s="54"/>
      <c r="H243" s="55" t="str">
        <f t="shared" si="57"/>
        <v/>
      </c>
      <c r="I243" s="35"/>
      <c r="J243" s="34" t="e">
        <f>IF(A243&lt;&gt;"",HLOOKUP(VALUE(TEXT(G243,"h:mm:ss")),IF($C$6="Laboral",[1]Input!$A$4:$Y$227,IF($C$6="Sábado",[1]Input!$A$231:$Y$452,[1]Input!$A$456:$Y$656)),VLOOKUP($C$4,[1]Input!$AG$2:$AI$99,3,0)+IF(C$5="Ida",0,1),1),"")</f>
        <v>#N/A</v>
      </c>
      <c r="K243" s="34" t="str">
        <f>IF(A244&lt;&gt;A243,AVERAGEIF(A$9:A243,A243,J$13:J243),"")</f>
        <v/>
      </c>
      <c r="L243" s="35" t="str">
        <f>IFERROR(IF(A244&lt;&gt;A243,AVERAGEIF(A$9:A243,A243,S$13:S243),""),"")</f>
        <v/>
      </c>
      <c r="M243" s="35" t="str">
        <f>IFERROR(IF(A244&lt;&gt;A243,AVERAGEIF(A$9:A243,A243,T$8:T243),""),"")</f>
        <v/>
      </c>
      <c r="N243" s="35" t="str" cm="1">
        <f t="array" ref="N243">IFERROR(IF(A244&lt;&gt;A243,_xlfn.STDEV.P(IF(A$9:A243=A243,T$7:T243)),""),"")</f>
        <v/>
      </c>
      <c r="O243" s="35" t="str" cm="1">
        <f t="array" ref="O243">IFERROR(IF(A244&lt;&gt;A243,_xlfn.STDEV.P(IF(A$9:A243=A243,S$7:S243)),""),"")</f>
        <v/>
      </c>
      <c r="P243" s="36" t="str">
        <f t="shared" si="50"/>
        <v/>
      </c>
      <c r="Q243" s="36" t="str">
        <f t="shared" si="51"/>
        <v/>
      </c>
      <c r="R243" s="36" t="str">
        <f t="shared" si="58"/>
        <v/>
      </c>
      <c r="S243" s="37" t="str">
        <f t="shared" si="59"/>
        <v/>
      </c>
      <c r="T243" s="37" t="str">
        <f t="shared" si="52"/>
        <v/>
      </c>
      <c r="U243" s="54"/>
      <c r="V243" s="46"/>
      <c r="W243" s="39" t="str">
        <f t="shared" si="60"/>
        <v/>
      </c>
      <c r="X243" s="38"/>
      <c r="Y243" s="48"/>
      <c r="AB243" s="56">
        <f t="shared" si="61"/>
        <v>1</v>
      </c>
      <c r="AC243" s="52"/>
      <c r="AD243" s="52"/>
      <c r="AE243" s="29" t="str">
        <f>IFERROR(
IF(AND(OR(AC243="C",AC243="c"), VLOOKUP(AF243,[1]Diccionario!B:N,13,0)="C"), "OK",IF(AND(OR(AC243="C",AC243="c"), OR(VLOOKUP(AF243,[1]Diccionario!B:N,13,0)="B", VLOOKUP(AF243,[1]Diccionario!B:N,13,0)="A")), "DEFICIT",IF(
AND(OR(AC243="B", AC243="BPAL"), VLOOKUP(AF243,[1]Diccionario!B:N,13,0)="B"), "OK",IF(AND(OR(AC243="B", AC243="BPAL"), VLOOKUP(AF243,[1]Diccionario!B:N,13,0)="A"), "DEFICIT",IF(AND(OR(AC243="B", AC243="BPAL"), VLOOKUP(AF243,[1]Diccionario!B:N,13,0)="C"), "SOBREOFERTA",IF(AND(AC243="A", VLOOKUP(AF243,[1]Diccionario!B:N,13,0)="A"), "OK",IF(
AND(AC243="A", OR(VLOOKUP(AF243,[1]Diccionario!B:N,13,0)="B", VLOOKUP(AF243,[1]Diccionario!B:N,13,0)="C")), "SOBREOFERTA",""
))))))),"")</f>
        <v/>
      </c>
      <c r="AF243" s="48"/>
      <c r="AG243" s="53"/>
      <c r="AH243" s="54"/>
      <c r="AI243" s="55" t="str">
        <f t="shared" si="62"/>
        <v/>
      </c>
      <c r="AJ243" s="46"/>
      <c r="AK243" s="34" t="e">
        <f>IF(AB243&lt;&gt;"",HLOOKUP(VALUE(TEXT(AH243,"h:mm:ss")),IF($C$6="Laboral",[1]Input!$A$4:$Y$227,IF($C$6="Sábado",[1]Input!$A$231:$Y$452,[1]Input!$A$456:$Y$656)),VLOOKUP($C$4,[1]Input!$AG$2:$AI$99,3,0)+IF(AD$5="Ida",0,1),1),"")</f>
        <v>#N/A</v>
      </c>
      <c r="AL243" s="34" t="str">
        <f>IF(AB244&lt;&gt;AB243,AVERAGEIF(AB$9:AB243,AB243,AK$9:AK243),"")</f>
        <v/>
      </c>
      <c r="AM243" s="35" t="str">
        <f>IFERROR(IF(AB244&lt;&gt;AB243,AVERAGEIF(AB$9:AB243,AB243,AT$9:AT243),""),"")</f>
        <v/>
      </c>
      <c r="AN243" s="35" t="str">
        <f>IFERROR(IF(AB244&lt;&gt;AB243,AVERAGEIF(AB$9:AB243,AB243,AU$9:AU243),""),"")</f>
        <v/>
      </c>
      <c r="AO243" s="35" t="str" cm="1">
        <f t="array" ref="AO243">IFERROR(IF(AB244&lt;&gt;AB243,_xlfn.STDEV.P(IF(AB$9:AB243=AB243,AU$9:AU243)),""),"")</f>
        <v/>
      </c>
      <c r="AP243" s="35" t="str" cm="1">
        <f t="array" ref="AP243">IFERROR(IF(AB244&lt;&gt;AB243,_xlfn.STDEV.P(IF(AB$9:AB243=AB243,AT$9:AT243)),""),"")</f>
        <v/>
      </c>
      <c r="AQ243" s="36" t="str">
        <f t="shared" si="53"/>
        <v/>
      </c>
      <c r="AR243" s="36" t="str">
        <f t="shared" si="54"/>
        <v/>
      </c>
      <c r="AS243" s="36" t="str">
        <f t="shared" si="63"/>
        <v/>
      </c>
      <c r="AT243" s="37" t="str">
        <f t="shared" si="55"/>
        <v/>
      </c>
      <c r="AU243" s="37" t="str">
        <f t="shared" si="56"/>
        <v/>
      </c>
      <c r="AV243" s="54"/>
      <c r="AW243" s="46"/>
      <c r="AX243" s="39" t="str" cm="1">
        <f t="array" ref="AX243">IF(AH243&lt;&gt;"",IF(AND(AX241:AX242&lt;&gt;"IE",AQ243&lt;&gt;0,AS243&lt;&gt;""),IF(IFERROR((AQ243/AS243),0) &lt;=1,IFERROR(AQ243/AS243,""),1),""),"")</f>
        <v/>
      </c>
      <c r="AY243" s="46"/>
      <c r="AZ243" s="57"/>
    </row>
    <row r="244" spans="1:52" ht="15.5" x14ac:dyDescent="0.35">
      <c r="A244" s="51">
        <f t="shared" si="64"/>
        <v>1</v>
      </c>
      <c r="B244" s="52"/>
      <c r="C244" s="52"/>
      <c r="D244" s="29" t="str">
        <f>IFERROR(
IF(AND(OR(Planilla!B244="C",Planilla!B244="c"), VLOOKUP(E244,[1]Diccionario!B:N,13,0)="C"), "OK",IF(AND(OR(Planilla!B244="C",Planilla!B244="c"), OR(VLOOKUP(E244,[1]Diccionario!B:N,13,0)="B", VLOOKUP(E244,[1]Diccionario!B:N,13,0)="A")), "DEFICIT",IF(
AND(OR(Planilla!B244="B", Planilla!B244="BPAL"), VLOOKUP(E244,[1]Diccionario!B:N,13,0)="B"), "OK",IF(AND(OR(Planilla!B244="B", Planilla!B244="BPAL"), VLOOKUP(E244,[1]Diccionario!B:N,13,0)="A"), "DEFICIT",IF(AND(OR(Planilla!B244="B", Planilla!B244="BPAL"), VLOOKUP(E244,[1]Diccionario!B:N,13,0)="C"), "SOBREOFERTA",IF(AND(Planilla!B244="A", VLOOKUP(E244,[1]Diccionario!B:N,13,0)="A"), "OK",IF(
AND(Planilla!B244="A", OR(VLOOKUP(E244,[1]Diccionario!B:N,13,0)="B", VLOOKUP(E244,[1]Diccionario!B:N,13,0)="C")), "SOBREOFERTA",""
))))))),"")</f>
        <v/>
      </c>
      <c r="E244" s="48"/>
      <c r="F244" s="53"/>
      <c r="G244" s="54"/>
      <c r="H244" s="55" t="str">
        <f t="shared" si="57"/>
        <v/>
      </c>
      <c r="I244" s="35"/>
      <c r="J244" s="34" t="e">
        <f>IF(A244&lt;&gt;"",HLOOKUP(VALUE(TEXT(G244,"h:mm:ss")),IF($C$6="Laboral",[1]Input!$A$4:$Y$227,IF($C$6="Sábado",[1]Input!$A$231:$Y$452,[1]Input!$A$456:$Y$656)),VLOOKUP($C$4,[1]Input!$AG$2:$AI$99,3,0)+IF(C$5="Ida",0,1),1),"")</f>
        <v>#N/A</v>
      </c>
      <c r="K244" s="34" t="str">
        <f>IF(A245&lt;&gt;A244,AVERAGEIF(A$9:A244,A244,J$13:J244),"")</f>
        <v/>
      </c>
      <c r="L244" s="35" t="str">
        <f>IFERROR(IF(A245&lt;&gt;A244,AVERAGEIF(A$9:A244,A244,S$13:S244),""),"")</f>
        <v/>
      </c>
      <c r="M244" s="35" t="str">
        <f>IFERROR(IF(A245&lt;&gt;A244,AVERAGEIF(A$9:A244,A244,T$8:T244),""),"")</f>
        <v/>
      </c>
      <c r="N244" s="35" t="str" cm="1">
        <f t="array" ref="N244">IFERROR(IF(A245&lt;&gt;A244,_xlfn.STDEV.P(IF(A$9:A244=A244,T$7:T244)),""),"")</f>
        <v/>
      </c>
      <c r="O244" s="35" t="str" cm="1">
        <f t="array" ref="O244">IFERROR(IF(A245&lt;&gt;A244,_xlfn.STDEV.P(IF(A$9:A244=A244,S$7:S244)),""),"")</f>
        <v/>
      </c>
      <c r="P244" s="36" t="str">
        <f t="shared" si="50"/>
        <v/>
      </c>
      <c r="Q244" s="36" t="str">
        <f t="shared" si="51"/>
        <v/>
      </c>
      <c r="R244" s="36" t="str">
        <f t="shared" si="58"/>
        <v/>
      </c>
      <c r="S244" s="37" t="str">
        <f t="shared" si="59"/>
        <v/>
      </c>
      <c r="T244" s="37" t="str">
        <f t="shared" si="52"/>
        <v/>
      </c>
      <c r="U244" s="54"/>
      <c r="V244" s="46"/>
      <c r="W244" s="39" t="str">
        <f t="shared" si="60"/>
        <v/>
      </c>
      <c r="X244" s="38"/>
      <c r="Y244" s="48"/>
      <c r="AB244" s="56">
        <f t="shared" si="61"/>
        <v>1</v>
      </c>
      <c r="AC244" s="52"/>
      <c r="AD244" s="52"/>
      <c r="AE244" s="29" t="str">
        <f>IFERROR(
IF(AND(OR(AC244="C",AC244="c"), VLOOKUP(AF244,[1]Diccionario!B:N,13,0)="C"), "OK",IF(AND(OR(AC244="C",AC244="c"), OR(VLOOKUP(AF244,[1]Diccionario!B:N,13,0)="B", VLOOKUP(AF244,[1]Diccionario!B:N,13,0)="A")), "DEFICIT",IF(
AND(OR(AC244="B", AC244="BPAL"), VLOOKUP(AF244,[1]Diccionario!B:N,13,0)="B"), "OK",IF(AND(OR(AC244="B", AC244="BPAL"), VLOOKUP(AF244,[1]Diccionario!B:N,13,0)="A"), "DEFICIT",IF(AND(OR(AC244="B", AC244="BPAL"), VLOOKUP(AF244,[1]Diccionario!B:N,13,0)="C"), "SOBREOFERTA",IF(AND(AC244="A", VLOOKUP(AF244,[1]Diccionario!B:N,13,0)="A"), "OK",IF(
AND(AC244="A", OR(VLOOKUP(AF244,[1]Diccionario!B:N,13,0)="B", VLOOKUP(AF244,[1]Diccionario!B:N,13,0)="C")), "SOBREOFERTA",""
))))))),"")</f>
        <v/>
      </c>
      <c r="AF244" s="48"/>
      <c r="AG244" s="53"/>
      <c r="AH244" s="54"/>
      <c r="AI244" s="55" t="str">
        <f t="shared" si="62"/>
        <v/>
      </c>
      <c r="AJ244" s="46"/>
      <c r="AK244" s="34" t="e">
        <f>IF(AB244&lt;&gt;"",HLOOKUP(VALUE(TEXT(AH244,"h:mm:ss")),IF($C$6="Laboral",[1]Input!$A$4:$Y$227,IF($C$6="Sábado",[1]Input!$A$231:$Y$452,[1]Input!$A$456:$Y$656)),VLOOKUP($C$4,[1]Input!$AG$2:$AI$99,3,0)+IF(AD$5="Ida",0,1),1),"")</f>
        <v>#N/A</v>
      </c>
      <c r="AL244" s="34" t="str">
        <f>IF(AB245&lt;&gt;AB244,AVERAGEIF(AB$9:AB244,AB244,AK$9:AK244),"")</f>
        <v/>
      </c>
      <c r="AM244" s="35" t="str">
        <f>IFERROR(IF(AB245&lt;&gt;AB244,AVERAGEIF(AB$9:AB244,AB244,AT$9:AT244),""),"")</f>
        <v/>
      </c>
      <c r="AN244" s="35" t="str">
        <f>IFERROR(IF(AB245&lt;&gt;AB244,AVERAGEIF(AB$9:AB244,AB244,AU$9:AU244),""),"")</f>
        <v/>
      </c>
      <c r="AO244" s="35" t="str" cm="1">
        <f t="array" ref="AO244">IFERROR(IF(AB245&lt;&gt;AB244,_xlfn.STDEV.P(IF(AB$9:AB244=AB244,AU$9:AU244)),""),"")</f>
        <v/>
      </c>
      <c r="AP244" s="35" t="str" cm="1">
        <f t="array" ref="AP244">IFERROR(IF(AB245&lt;&gt;AB244,_xlfn.STDEV.P(IF(AB$9:AB244=AB244,AT$9:AT244)),""),"")</f>
        <v/>
      </c>
      <c r="AQ244" s="36" t="str">
        <f t="shared" si="53"/>
        <v/>
      </c>
      <c r="AR244" s="36" t="str">
        <f t="shared" si="54"/>
        <v/>
      </c>
      <c r="AS244" s="36" t="str">
        <f t="shared" si="63"/>
        <v/>
      </c>
      <c r="AT244" s="37" t="str">
        <f t="shared" si="55"/>
        <v/>
      </c>
      <c r="AU244" s="37" t="str">
        <f t="shared" si="56"/>
        <v/>
      </c>
      <c r="AV244" s="54"/>
      <c r="AW244" s="46"/>
      <c r="AX244" s="39" t="str" cm="1">
        <f t="array" ref="AX244">IF(AH244&lt;&gt;"",IF(AND(AX242:AX243&lt;&gt;"IE",AQ244&lt;&gt;0,AS244&lt;&gt;""),IF(IFERROR((AQ244/AS244),0) &lt;=1,IFERROR(AQ244/AS244,""),1),""),"")</f>
        <v/>
      </c>
      <c r="AY244" s="46"/>
      <c r="AZ244" s="57"/>
    </row>
    <row r="245" spans="1:52" ht="15.5" x14ac:dyDescent="0.35">
      <c r="A245" s="51">
        <f t="shared" si="64"/>
        <v>1</v>
      </c>
      <c r="B245" s="52"/>
      <c r="C245" s="52"/>
      <c r="D245" s="29" t="str">
        <f>IFERROR(
IF(AND(OR(Planilla!B245="C",Planilla!B245="c"), VLOOKUP(E245,[1]Diccionario!B:N,13,0)="C"), "OK",IF(AND(OR(Planilla!B245="C",Planilla!B245="c"), OR(VLOOKUP(E245,[1]Diccionario!B:N,13,0)="B", VLOOKUP(E245,[1]Diccionario!B:N,13,0)="A")), "DEFICIT",IF(
AND(OR(Planilla!B245="B", Planilla!B245="BPAL"), VLOOKUP(E245,[1]Diccionario!B:N,13,0)="B"), "OK",IF(AND(OR(Planilla!B245="B", Planilla!B245="BPAL"), VLOOKUP(E245,[1]Diccionario!B:N,13,0)="A"), "DEFICIT",IF(AND(OR(Planilla!B245="B", Planilla!B245="BPAL"), VLOOKUP(E245,[1]Diccionario!B:N,13,0)="C"), "SOBREOFERTA",IF(AND(Planilla!B245="A", VLOOKUP(E245,[1]Diccionario!B:N,13,0)="A"), "OK",IF(
AND(Planilla!B245="A", OR(VLOOKUP(E245,[1]Diccionario!B:N,13,0)="B", VLOOKUP(E245,[1]Diccionario!B:N,13,0)="C")), "SOBREOFERTA",""
))))))),"")</f>
        <v/>
      </c>
      <c r="E245" s="48"/>
      <c r="F245" s="53"/>
      <c r="G245" s="54"/>
      <c r="H245" s="55" t="str">
        <f t="shared" si="57"/>
        <v/>
      </c>
      <c r="I245" s="35"/>
      <c r="J245" s="34" t="e">
        <f>IF(A245&lt;&gt;"",HLOOKUP(VALUE(TEXT(G245,"h:mm:ss")),IF($C$6="Laboral",[1]Input!$A$4:$Y$227,IF($C$6="Sábado",[1]Input!$A$231:$Y$452,[1]Input!$A$456:$Y$656)),VLOOKUP($C$4,[1]Input!$AG$2:$AI$99,3,0)+IF(C$5="Ida",0,1),1),"")</f>
        <v>#N/A</v>
      </c>
      <c r="K245" s="34" t="str">
        <f>IF(A246&lt;&gt;A245,AVERAGEIF(A$9:A245,A245,J$13:J245),"")</f>
        <v/>
      </c>
      <c r="L245" s="35" t="str">
        <f>IFERROR(IF(A246&lt;&gt;A245,AVERAGEIF(A$9:A245,A245,S$13:S245),""),"")</f>
        <v/>
      </c>
      <c r="M245" s="35" t="str">
        <f>IFERROR(IF(A246&lt;&gt;A245,AVERAGEIF(A$9:A245,A245,T$8:T245),""),"")</f>
        <v/>
      </c>
      <c r="N245" s="35" t="str" cm="1">
        <f t="array" ref="N245">IFERROR(IF(A246&lt;&gt;A245,_xlfn.STDEV.P(IF(A$9:A245=A245,T$7:T245)),""),"")</f>
        <v/>
      </c>
      <c r="O245" s="35" t="str" cm="1">
        <f t="array" ref="O245">IFERROR(IF(A246&lt;&gt;A245,_xlfn.STDEV.P(IF(A$9:A245=A245,S$7:S245)),""),"")</f>
        <v/>
      </c>
      <c r="P245" s="36" t="str">
        <f t="shared" si="50"/>
        <v/>
      </c>
      <c r="Q245" s="36" t="str">
        <f t="shared" si="51"/>
        <v/>
      </c>
      <c r="R245" s="36" t="str">
        <f t="shared" si="58"/>
        <v/>
      </c>
      <c r="S245" s="37" t="str">
        <f t="shared" si="59"/>
        <v/>
      </c>
      <c r="T245" s="37" t="str">
        <f t="shared" si="52"/>
        <v/>
      </c>
      <c r="U245" s="54"/>
      <c r="V245" s="46"/>
      <c r="W245" s="39" t="str">
        <f t="shared" si="60"/>
        <v/>
      </c>
      <c r="X245" s="38"/>
      <c r="Y245" s="48"/>
      <c r="AB245" s="56">
        <f t="shared" si="61"/>
        <v>1</v>
      </c>
      <c r="AC245" s="52"/>
      <c r="AD245" s="52"/>
      <c r="AE245" s="29" t="str">
        <f>IFERROR(
IF(AND(OR(AC245="C",AC245="c"), VLOOKUP(AF245,[1]Diccionario!B:N,13,0)="C"), "OK",IF(AND(OR(AC245="C",AC245="c"), OR(VLOOKUP(AF245,[1]Diccionario!B:N,13,0)="B", VLOOKUP(AF245,[1]Diccionario!B:N,13,0)="A")), "DEFICIT",IF(
AND(OR(AC245="B", AC245="BPAL"), VLOOKUP(AF245,[1]Diccionario!B:N,13,0)="B"), "OK",IF(AND(OR(AC245="B", AC245="BPAL"), VLOOKUP(AF245,[1]Diccionario!B:N,13,0)="A"), "DEFICIT",IF(AND(OR(AC245="B", AC245="BPAL"), VLOOKUP(AF245,[1]Diccionario!B:N,13,0)="C"), "SOBREOFERTA",IF(AND(AC245="A", VLOOKUP(AF245,[1]Diccionario!B:N,13,0)="A"), "OK",IF(
AND(AC245="A", OR(VLOOKUP(AF245,[1]Diccionario!B:N,13,0)="B", VLOOKUP(AF245,[1]Diccionario!B:N,13,0)="C")), "SOBREOFERTA",""
))))))),"")</f>
        <v/>
      </c>
      <c r="AF245" s="48"/>
      <c r="AG245" s="53"/>
      <c r="AH245" s="54"/>
      <c r="AI245" s="55" t="str">
        <f t="shared" si="62"/>
        <v/>
      </c>
      <c r="AJ245" s="46"/>
      <c r="AK245" s="34" t="e">
        <f>IF(AB245&lt;&gt;"",HLOOKUP(VALUE(TEXT(AH245,"h:mm:ss")),IF($C$6="Laboral",[1]Input!$A$4:$Y$227,IF($C$6="Sábado",[1]Input!$A$231:$Y$452,[1]Input!$A$456:$Y$656)),VLOOKUP($C$4,[1]Input!$AG$2:$AI$99,3,0)+IF(AD$5="Ida",0,1),1),"")</f>
        <v>#N/A</v>
      </c>
      <c r="AL245" s="34" t="str">
        <f>IF(AB246&lt;&gt;AB245,AVERAGEIF(AB$9:AB245,AB245,AK$9:AK245),"")</f>
        <v/>
      </c>
      <c r="AM245" s="35" t="str">
        <f>IFERROR(IF(AB246&lt;&gt;AB245,AVERAGEIF(AB$9:AB245,AB245,AT$9:AT245),""),"")</f>
        <v/>
      </c>
      <c r="AN245" s="35" t="str">
        <f>IFERROR(IF(AB246&lt;&gt;AB245,AVERAGEIF(AB$9:AB245,AB245,AU$9:AU245),""),"")</f>
        <v/>
      </c>
      <c r="AO245" s="35" t="str" cm="1">
        <f t="array" ref="AO245">IFERROR(IF(AB246&lt;&gt;AB245,_xlfn.STDEV.P(IF(AB$9:AB245=AB245,AU$9:AU245)),""),"")</f>
        <v/>
      </c>
      <c r="AP245" s="35" t="str" cm="1">
        <f t="array" ref="AP245">IFERROR(IF(AB246&lt;&gt;AB245,_xlfn.STDEV.P(IF(AB$9:AB245=AB245,AT$9:AT245)),""),"")</f>
        <v/>
      </c>
      <c r="AQ245" s="36" t="str">
        <f t="shared" si="53"/>
        <v/>
      </c>
      <c r="AR245" s="36" t="str">
        <f t="shared" si="54"/>
        <v/>
      </c>
      <c r="AS245" s="36" t="str">
        <f t="shared" si="63"/>
        <v/>
      </c>
      <c r="AT245" s="37" t="str">
        <f t="shared" si="55"/>
        <v/>
      </c>
      <c r="AU245" s="37" t="str">
        <f t="shared" si="56"/>
        <v/>
      </c>
      <c r="AV245" s="54"/>
      <c r="AW245" s="46"/>
      <c r="AX245" s="39" t="str" cm="1">
        <f t="array" ref="AX245">IF(AH245&lt;&gt;"",IF(AND(AX243:AX244&lt;&gt;"IE",AQ245&lt;&gt;0,AS245&lt;&gt;""),IF(IFERROR((AQ245/AS245),0) &lt;=1,IFERROR(AQ245/AS245,""),1),""),"")</f>
        <v/>
      </c>
      <c r="AY245" s="46"/>
      <c r="AZ245" s="57"/>
    </row>
    <row r="246" spans="1:52" ht="15.5" x14ac:dyDescent="0.35">
      <c r="A246" s="51">
        <f t="shared" si="64"/>
        <v>1</v>
      </c>
      <c r="B246" s="52"/>
      <c r="C246" s="52"/>
      <c r="D246" s="29" t="str">
        <f>IFERROR(
IF(AND(OR(Planilla!B246="C",Planilla!B246="c"), VLOOKUP(E246,[1]Diccionario!B:N,13,0)="C"), "OK",IF(AND(OR(Planilla!B246="C",Planilla!B246="c"), OR(VLOOKUP(E246,[1]Diccionario!B:N,13,0)="B", VLOOKUP(E246,[1]Diccionario!B:N,13,0)="A")), "DEFICIT",IF(
AND(OR(Planilla!B246="B", Planilla!B246="BPAL"), VLOOKUP(E246,[1]Diccionario!B:N,13,0)="B"), "OK",IF(AND(OR(Planilla!B246="B", Planilla!B246="BPAL"), VLOOKUP(E246,[1]Diccionario!B:N,13,0)="A"), "DEFICIT",IF(AND(OR(Planilla!B246="B", Planilla!B246="BPAL"), VLOOKUP(E246,[1]Diccionario!B:N,13,0)="C"), "SOBREOFERTA",IF(AND(Planilla!B246="A", VLOOKUP(E246,[1]Diccionario!B:N,13,0)="A"), "OK",IF(
AND(Planilla!B246="A", OR(VLOOKUP(E246,[1]Diccionario!B:N,13,0)="B", VLOOKUP(E246,[1]Diccionario!B:N,13,0)="C")), "SOBREOFERTA",""
))))))),"")</f>
        <v/>
      </c>
      <c r="E246" s="48"/>
      <c r="F246" s="53"/>
      <c r="G246" s="54"/>
      <c r="H246" s="55" t="str">
        <f t="shared" si="57"/>
        <v/>
      </c>
      <c r="I246" s="35"/>
      <c r="J246" s="34" t="e">
        <f>IF(A246&lt;&gt;"",HLOOKUP(VALUE(TEXT(G246,"h:mm:ss")),IF($C$6="Laboral",[1]Input!$A$4:$Y$227,IF($C$6="Sábado",[1]Input!$A$231:$Y$452,[1]Input!$A$456:$Y$656)),VLOOKUP($C$4,[1]Input!$AG$2:$AI$99,3,0)+IF(C$5="Ida",0,1),1),"")</f>
        <v>#N/A</v>
      </c>
      <c r="K246" s="34" t="str">
        <f>IF(A247&lt;&gt;A246,AVERAGEIF(A$9:A246,A246,J$13:J246),"")</f>
        <v/>
      </c>
      <c r="L246" s="35" t="str">
        <f>IFERROR(IF(A247&lt;&gt;A246,AVERAGEIF(A$9:A246,A246,S$13:S246),""),"")</f>
        <v/>
      </c>
      <c r="M246" s="35" t="str">
        <f>IFERROR(IF(A247&lt;&gt;A246,AVERAGEIF(A$9:A246,A246,T$8:T246),""),"")</f>
        <v/>
      </c>
      <c r="N246" s="35" t="str" cm="1">
        <f t="array" ref="N246">IFERROR(IF(A247&lt;&gt;A246,_xlfn.STDEV.P(IF(A$9:A246=A246,T$7:T246)),""),"")</f>
        <v/>
      </c>
      <c r="O246" s="35" t="str" cm="1">
        <f t="array" ref="O246">IFERROR(IF(A247&lt;&gt;A246,_xlfn.STDEV.P(IF(A$9:A246=A246,S$7:S246)),""),"")</f>
        <v/>
      </c>
      <c r="P246" s="36" t="str">
        <f t="shared" si="50"/>
        <v/>
      </c>
      <c r="Q246" s="36" t="str">
        <f t="shared" si="51"/>
        <v/>
      </c>
      <c r="R246" s="36" t="str">
        <f t="shared" si="58"/>
        <v/>
      </c>
      <c r="S246" s="37" t="str">
        <f t="shared" si="59"/>
        <v/>
      </c>
      <c r="T246" s="37" t="str">
        <f t="shared" si="52"/>
        <v/>
      </c>
      <c r="U246" s="54"/>
      <c r="V246" s="46"/>
      <c r="W246" s="39" t="str">
        <f t="shared" si="60"/>
        <v/>
      </c>
      <c r="X246" s="38"/>
      <c r="Y246" s="48"/>
      <c r="AB246" s="56">
        <f t="shared" si="61"/>
        <v>1</v>
      </c>
      <c r="AC246" s="52"/>
      <c r="AD246" s="52"/>
      <c r="AE246" s="29" t="str">
        <f>IFERROR(
IF(AND(OR(AC246="C",AC246="c"), VLOOKUP(AF246,[1]Diccionario!B:N,13,0)="C"), "OK",IF(AND(OR(AC246="C",AC246="c"), OR(VLOOKUP(AF246,[1]Diccionario!B:N,13,0)="B", VLOOKUP(AF246,[1]Diccionario!B:N,13,0)="A")), "DEFICIT",IF(
AND(OR(AC246="B", AC246="BPAL"), VLOOKUP(AF246,[1]Diccionario!B:N,13,0)="B"), "OK",IF(AND(OR(AC246="B", AC246="BPAL"), VLOOKUP(AF246,[1]Diccionario!B:N,13,0)="A"), "DEFICIT",IF(AND(OR(AC246="B", AC246="BPAL"), VLOOKUP(AF246,[1]Diccionario!B:N,13,0)="C"), "SOBREOFERTA",IF(AND(AC246="A", VLOOKUP(AF246,[1]Diccionario!B:N,13,0)="A"), "OK",IF(
AND(AC246="A", OR(VLOOKUP(AF246,[1]Diccionario!B:N,13,0)="B", VLOOKUP(AF246,[1]Diccionario!B:N,13,0)="C")), "SOBREOFERTA",""
))))))),"")</f>
        <v/>
      </c>
      <c r="AF246" s="48"/>
      <c r="AG246" s="53"/>
      <c r="AH246" s="54"/>
      <c r="AI246" s="55" t="str">
        <f t="shared" si="62"/>
        <v/>
      </c>
      <c r="AJ246" s="46"/>
      <c r="AK246" s="34" t="e">
        <f>IF(AB246&lt;&gt;"",HLOOKUP(VALUE(TEXT(AH246,"h:mm:ss")),IF($C$6="Laboral",[1]Input!$A$4:$Y$227,IF($C$6="Sábado",[1]Input!$A$231:$Y$452,[1]Input!$A$456:$Y$656)),VLOOKUP($C$4,[1]Input!$AG$2:$AI$99,3,0)+IF(AD$5="Ida",0,1),1),"")</f>
        <v>#N/A</v>
      </c>
      <c r="AL246" s="34" t="str">
        <f>IF(AB247&lt;&gt;AB246,AVERAGEIF(AB$9:AB246,AB246,AK$9:AK246),"")</f>
        <v/>
      </c>
      <c r="AM246" s="35" t="str">
        <f>IFERROR(IF(AB247&lt;&gt;AB246,AVERAGEIF(AB$9:AB246,AB246,AT$9:AT246),""),"")</f>
        <v/>
      </c>
      <c r="AN246" s="35" t="str">
        <f>IFERROR(IF(AB247&lt;&gt;AB246,AVERAGEIF(AB$9:AB246,AB246,AU$9:AU246),""),"")</f>
        <v/>
      </c>
      <c r="AO246" s="35" t="str" cm="1">
        <f t="array" ref="AO246">IFERROR(IF(AB247&lt;&gt;AB246,_xlfn.STDEV.P(IF(AB$9:AB246=AB246,AU$9:AU246)),""),"")</f>
        <v/>
      </c>
      <c r="AP246" s="35" t="str" cm="1">
        <f t="array" ref="AP246">IFERROR(IF(AB247&lt;&gt;AB246,_xlfn.STDEV.P(IF(AB$9:AB246=AB246,AT$9:AT246)),""),"")</f>
        <v/>
      </c>
      <c r="AQ246" s="36" t="str">
        <f t="shared" si="53"/>
        <v/>
      </c>
      <c r="AR246" s="36" t="str">
        <f t="shared" si="54"/>
        <v/>
      </c>
      <c r="AS246" s="36" t="str">
        <f t="shared" si="63"/>
        <v/>
      </c>
      <c r="AT246" s="37" t="str">
        <f t="shared" si="55"/>
        <v/>
      </c>
      <c r="AU246" s="37" t="str">
        <f t="shared" si="56"/>
        <v/>
      </c>
      <c r="AV246" s="54"/>
      <c r="AW246" s="46"/>
      <c r="AX246" s="39" t="str" cm="1">
        <f t="array" ref="AX246">IF(AH246&lt;&gt;"",IF(AND(AX244:AX245&lt;&gt;"IE",AQ246&lt;&gt;0,AS246&lt;&gt;""),IF(IFERROR((AQ246/AS246),0) &lt;=1,IFERROR(AQ246/AS246,""),1),""),"")</f>
        <v/>
      </c>
      <c r="AY246" s="46"/>
      <c r="AZ246" s="57"/>
    </row>
    <row r="247" spans="1:52" ht="15.5" x14ac:dyDescent="0.35">
      <c r="A247" s="51">
        <f t="shared" si="64"/>
        <v>1</v>
      </c>
      <c r="B247" s="52"/>
      <c r="C247" s="52"/>
      <c r="D247" s="29" t="str">
        <f>IFERROR(
IF(AND(OR(Planilla!B247="C",Planilla!B247="c"), VLOOKUP(E247,[1]Diccionario!B:N,13,0)="C"), "OK",IF(AND(OR(Planilla!B247="C",Planilla!B247="c"), OR(VLOOKUP(E247,[1]Diccionario!B:N,13,0)="B", VLOOKUP(E247,[1]Diccionario!B:N,13,0)="A")), "DEFICIT",IF(
AND(OR(Planilla!B247="B", Planilla!B247="BPAL"), VLOOKUP(E247,[1]Diccionario!B:N,13,0)="B"), "OK",IF(AND(OR(Planilla!B247="B", Planilla!B247="BPAL"), VLOOKUP(E247,[1]Diccionario!B:N,13,0)="A"), "DEFICIT",IF(AND(OR(Planilla!B247="B", Planilla!B247="BPAL"), VLOOKUP(E247,[1]Diccionario!B:N,13,0)="C"), "SOBREOFERTA",IF(AND(Planilla!B247="A", VLOOKUP(E247,[1]Diccionario!B:N,13,0)="A"), "OK",IF(
AND(Planilla!B247="A", OR(VLOOKUP(E247,[1]Diccionario!B:N,13,0)="B", VLOOKUP(E247,[1]Diccionario!B:N,13,0)="C")), "SOBREOFERTA",""
))))))),"")</f>
        <v/>
      </c>
      <c r="E247" s="48"/>
      <c r="F247" s="53"/>
      <c r="G247" s="54"/>
      <c r="H247" s="55" t="str">
        <f t="shared" si="57"/>
        <v/>
      </c>
      <c r="I247" s="35"/>
      <c r="J247" s="34" t="e">
        <f>IF(A247&lt;&gt;"",HLOOKUP(VALUE(TEXT(G247,"h:mm:ss")),IF($C$6="Laboral",[1]Input!$A$4:$Y$227,IF($C$6="Sábado",[1]Input!$A$231:$Y$452,[1]Input!$A$456:$Y$656)),VLOOKUP($C$4,[1]Input!$AG$2:$AI$99,3,0)+IF(C$5="Ida",0,1),1),"")</f>
        <v>#N/A</v>
      </c>
      <c r="K247" s="34" t="str">
        <f>IF(A248&lt;&gt;A247,AVERAGEIF(A$9:A247,A247,J$13:J247),"")</f>
        <v/>
      </c>
      <c r="L247" s="35" t="str">
        <f>IFERROR(IF(A248&lt;&gt;A247,AVERAGEIF(A$9:A247,A247,S$13:S247),""),"")</f>
        <v/>
      </c>
      <c r="M247" s="35" t="str">
        <f>IFERROR(IF(A248&lt;&gt;A247,AVERAGEIF(A$9:A247,A247,T$8:T247),""),"")</f>
        <v/>
      </c>
      <c r="N247" s="35" t="str" cm="1">
        <f t="array" ref="N247">IFERROR(IF(A248&lt;&gt;A247,_xlfn.STDEV.P(IF(A$9:A247=A247,T$7:T247)),""),"")</f>
        <v/>
      </c>
      <c r="O247" s="35" t="str" cm="1">
        <f t="array" ref="O247">IFERROR(IF(A248&lt;&gt;A247,_xlfn.STDEV.P(IF(A$9:A247=A247,S$7:S247)),""),"")</f>
        <v/>
      </c>
      <c r="P247" s="36" t="str">
        <f t="shared" si="50"/>
        <v/>
      </c>
      <c r="Q247" s="36" t="str">
        <f t="shared" si="51"/>
        <v/>
      </c>
      <c r="R247" s="36" t="str">
        <f t="shared" si="58"/>
        <v/>
      </c>
      <c r="S247" s="37" t="str">
        <f t="shared" si="59"/>
        <v/>
      </c>
      <c r="T247" s="37" t="str">
        <f t="shared" si="52"/>
        <v/>
      </c>
      <c r="U247" s="54"/>
      <c r="V247" s="46"/>
      <c r="W247" s="39" t="str">
        <f t="shared" si="60"/>
        <v/>
      </c>
      <c r="X247" s="38"/>
      <c r="Y247" s="48"/>
      <c r="AB247" s="56">
        <f t="shared" si="61"/>
        <v>1</v>
      </c>
      <c r="AC247" s="52"/>
      <c r="AD247" s="52"/>
      <c r="AE247" s="29" t="str">
        <f>IFERROR(
IF(AND(OR(AC247="C",AC247="c"), VLOOKUP(AF247,[1]Diccionario!B:N,13,0)="C"), "OK",IF(AND(OR(AC247="C",AC247="c"), OR(VLOOKUP(AF247,[1]Diccionario!B:N,13,0)="B", VLOOKUP(AF247,[1]Diccionario!B:N,13,0)="A")), "DEFICIT",IF(
AND(OR(AC247="B", AC247="BPAL"), VLOOKUP(AF247,[1]Diccionario!B:N,13,0)="B"), "OK",IF(AND(OR(AC247="B", AC247="BPAL"), VLOOKUP(AF247,[1]Diccionario!B:N,13,0)="A"), "DEFICIT",IF(AND(OR(AC247="B", AC247="BPAL"), VLOOKUP(AF247,[1]Diccionario!B:N,13,0)="C"), "SOBREOFERTA",IF(AND(AC247="A", VLOOKUP(AF247,[1]Diccionario!B:N,13,0)="A"), "OK",IF(
AND(AC247="A", OR(VLOOKUP(AF247,[1]Diccionario!B:N,13,0)="B", VLOOKUP(AF247,[1]Diccionario!B:N,13,0)="C")), "SOBREOFERTA",""
))))))),"")</f>
        <v/>
      </c>
      <c r="AF247" s="48"/>
      <c r="AG247" s="53"/>
      <c r="AH247" s="54"/>
      <c r="AI247" s="55" t="str">
        <f t="shared" si="62"/>
        <v/>
      </c>
      <c r="AJ247" s="46"/>
      <c r="AK247" s="34" t="e">
        <f>IF(AB247&lt;&gt;"",HLOOKUP(VALUE(TEXT(AH247,"h:mm:ss")),IF($C$6="Laboral",[1]Input!$A$4:$Y$227,IF($C$6="Sábado",[1]Input!$A$231:$Y$452,[1]Input!$A$456:$Y$656)),VLOOKUP($C$4,[1]Input!$AG$2:$AI$99,3,0)+IF(AD$5="Ida",0,1),1),"")</f>
        <v>#N/A</v>
      </c>
      <c r="AL247" s="34" t="str">
        <f>IF(AB248&lt;&gt;AB247,AVERAGEIF(AB$9:AB247,AB247,AK$9:AK247),"")</f>
        <v/>
      </c>
      <c r="AM247" s="35" t="str">
        <f>IFERROR(IF(AB248&lt;&gt;AB247,AVERAGEIF(AB$9:AB247,AB247,AT$9:AT247),""),"")</f>
        <v/>
      </c>
      <c r="AN247" s="35" t="str">
        <f>IFERROR(IF(AB248&lt;&gt;AB247,AVERAGEIF(AB$9:AB247,AB247,AU$9:AU247),""),"")</f>
        <v/>
      </c>
      <c r="AO247" s="35" t="str" cm="1">
        <f t="array" ref="AO247">IFERROR(IF(AB248&lt;&gt;AB247,_xlfn.STDEV.P(IF(AB$9:AB247=AB247,AU$9:AU247)),""),"")</f>
        <v/>
      </c>
      <c r="AP247" s="35" t="str" cm="1">
        <f t="array" ref="AP247">IFERROR(IF(AB248&lt;&gt;AB247,_xlfn.STDEV.P(IF(AB$9:AB247=AB247,AT$9:AT247)),""),"")</f>
        <v/>
      </c>
      <c r="AQ247" s="36" t="str">
        <f t="shared" si="53"/>
        <v/>
      </c>
      <c r="AR247" s="36" t="str">
        <f t="shared" si="54"/>
        <v/>
      </c>
      <c r="AS247" s="36" t="str">
        <f t="shared" si="63"/>
        <v/>
      </c>
      <c r="AT247" s="37" t="str">
        <f t="shared" si="55"/>
        <v/>
      </c>
      <c r="AU247" s="37" t="str">
        <f t="shared" si="56"/>
        <v/>
      </c>
      <c r="AV247" s="54"/>
      <c r="AW247" s="46"/>
      <c r="AX247" s="39" t="str" cm="1">
        <f t="array" ref="AX247">IF(AH247&lt;&gt;"",IF(AND(AX245:AX246&lt;&gt;"IE",AQ247&lt;&gt;0,AS247&lt;&gt;""),IF(IFERROR((AQ247/AS247),0) &lt;=1,IFERROR(AQ247/AS247,""),1),""),"")</f>
        <v/>
      </c>
      <c r="AY247" s="46"/>
      <c r="AZ247" s="57"/>
    </row>
    <row r="248" spans="1:52" ht="15.5" x14ac:dyDescent="0.35">
      <c r="A248" s="51">
        <f t="shared" si="64"/>
        <v>1</v>
      </c>
      <c r="B248" s="52"/>
      <c r="C248" s="52"/>
      <c r="D248" s="29" t="str">
        <f>IFERROR(
IF(AND(OR(Planilla!B248="C",Planilla!B248="c"), VLOOKUP(E248,[1]Diccionario!B:N,13,0)="C"), "OK",IF(AND(OR(Planilla!B248="C",Planilla!B248="c"), OR(VLOOKUP(E248,[1]Diccionario!B:N,13,0)="B", VLOOKUP(E248,[1]Diccionario!B:N,13,0)="A")), "DEFICIT",IF(
AND(OR(Planilla!B248="B", Planilla!B248="BPAL"), VLOOKUP(E248,[1]Diccionario!B:N,13,0)="B"), "OK",IF(AND(OR(Planilla!B248="B", Planilla!B248="BPAL"), VLOOKUP(E248,[1]Diccionario!B:N,13,0)="A"), "DEFICIT",IF(AND(OR(Planilla!B248="B", Planilla!B248="BPAL"), VLOOKUP(E248,[1]Diccionario!B:N,13,0)="C"), "SOBREOFERTA",IF(AND(Planilla!B248="A", VLOOKUP(E248,[1]Diccionario!B:N,13,0)="A"), "OK",IF(
AND(Planilla!B248="A", OR(VLOOKUP(E248,[1]Diccionario!B:N,13,0)="B", VLOOKUP(E248,[1]Diccionario!B:N,13,0)="C")), "SOBREOFERTA",""
))))))),"")</f>
        <v/>
      </c>
      <c r="E248" s="48"/>
      <c r="F248" s="53"/>
      <c r="G248" s="54"/>
      <c r="H248" s="55" t="str">
        <f t="shared" si="57"/>
        <v/>
      </c>
      <c r="I248" s="35"/>
      <c r="J248" s="34" t="e">
        <f>IF(A248&lt;&gt;"",HLOOKUP(VALUE(TEXT(G248,"h:mm:ss")),IF($C$6="Laboral",[1]Input!$A$4:$Y$227,IF($C$6="Sábado",[1]Input!$A$231:$Y$452,[1]Input!$A$456:$Y$656)),VLOOKUP($C$4,[1]Input!$AG$2:$AI$99,3,0)+IF(C$5="Ida",0,1),1),"")</f>
        <v>#N/A</v>
      </c>
      <c r="K248" s="34" t="str">
        <f>IF(A249&lt;&gt;A248,AVERAGEIF(A$9:A248,A248,J$13:J248),"")</f>
        <v/>
      </c>
      <c r="L248" s="35" t="str">
        <f>IFERROR(IF(A249&lt;&gt;A248,AVERAGEIF(A$9:A248,A248,S$13:S248),""),"")</f>
        <v/>
      </c>
      <c r="M248" s="35" t="str">
        <f>IFERROR(IF(A249&lt;&gt;A248,AVERAGEIF(A$9:A248,A248,T$8:T248),""),"")</f>
        <v/>
      </c>
      <c r="N248" s="35" t="str" cm="1">
        <f t="array" ref="N248">IFERROR(IF(A249&lt;&gt;A248,_xlfn.STDEV.P(IF(A$9:A248=A248,T$7:T248)),""),"")</f>
        <v/>
      </c>
      <c r="O248" s="35" t="str" cm="1">
        <f t="array" ref="O248">IFERROR(IF(A249&lt;&gt;A248,_xlfn.STDEV.P(IF(A$9:A248=A248,S$7:S248)),""),"")</f>
        <v/>
      </c>
      <c r="P248" s="36" t="str">
        <f t="shared" si="50"/>
        <v/>
      </c>
      <c r="Q248" s="36" t="str">
        <f t="shared" si="51"/>
        <v/>
      </c>
      <c r="R248" s="36" t="str">
        <f t="shared" si="58"/>
        <v/>
      </c>
      <c r="S248" s="37" t="str">
        <f t="shared" si="59"/>
        <v/>
      </c>
      <c r="T248" s="37" t="str">
        <f t="shared" si="52"/>
        <v/>
      </c>
      <c r="U248" s="54"/>
      <c r="V248" s="46"/>
      <c r="W248" s="39" t="str">
        <f t="shared" si="60"/>
        <v/>
      </c>
      <c r="X248" s="38"/>
      <c r="Y248" s="48"/>
      <c r="AB248" s="56">
        <f t="shared" si="61"/>
        <v>1</v>
      </c>
      <c r="AC248" s="52"/>
      <c r="AD248" s="52"/>
      <c r="AE248" s="29" t="str">
        <f>IFERROR(
IF(AND(OR(AC248="C",AC248="c"), VLOOKUP(AF248,[1]Diccionario!B:N,13,0)="C"), "OK",IF(AND(OR(AC248="C",AC248="c"), OR(VLOOKUP(AF248,[1]Diccionario!B:N,13,0)="B", VLOOKUP(AF248,[1]Diccionario!B:N,13,0)="A")), "DEFICIT",IF(
AND(OR(AC248="B", AC248="BPAL"), VLOOKUP(AF248,[1]Diccionario!B:N,13,0)="B"), "OK",IF(AND(OR(AC248="B", AC248="BPAL"), VLOOKUP(AF248,[1]Diccionario!B:N,13,0)="A"), "DEFICIT",IF(AND(OR(AC248="B", AC248="BPAL"), VLOOKUP(AF248,[1]Diccionario!B:N,13,0)="C"), "SOBREOFERTA",IF(AND(AC248="A", VLOOKUP(AF248,[1]Diccionario!B:N,13,0)="A"), "OK",IF(
AND(AC248="A", OR(VLOOKUP(AF248,[1]Diccionario!B:N,13,0)="B", VLOOKUP(AF248,[1]Diccionario!B:N,13,0)="C")), "SOBREOFERTA",""
))))))),"")</f>
        <v/>
      </c>
      <c r="AF248" s="48"/>
      <c r="AG248" s="53"/>
      <c r="AH248" s="54"/>
      <c r="AI248" s="55" t="str">
        <f t="shared" si="62"/>
        <v/>
      </c>
      <c r="AJ248" s="46"/>
      <c r="AK248" s="34" t="e">
        <f>IF(AB248&lt;&gt;"",HLOOKUP(VALUE(TEXT(AH248,"h:mm:ss")),IF($C$6="Laboral",[1]Input!$A$4:$Y$227,IF($C$6="Sábado",[1]Input!$A$231:$Y$452,[1]Input!$A$456:$Y$656)),VLOOKUP($C$4,[1]Input!$AG$2:$AI$99,3,0)+IF(AD$5="Ida",0,1),1),"")</f>
        <v>#N/A</v>
      </c>
      <c r="AL248" s="34" t="str">
        <f>IF(AB249&lt;&gt;AB248,AVERAGEIF(AB$9:AB248,AB248,AK$9:AK248),"")</f>
        <v/>
      </c>
      <c r="AM248" s="35" t="str">
        <f>IFERROR(IF(AB249&lt;&gt;AB248,AVERAGEIF(AB$9:AB248,AB248,AT$9:AT248),""),"")</f>
        <v/>
      </c>
      <c r="AN248" s="35" t="str">
        <f>IFERROR(IF(AB249&lt;&gt;AB248,AVERAGEIF(AB$9:AB248,AB248,AU$9:AU248),""),"")</f>
        <v/>
      </c>
      <c r="AO248" s="35" t="str" cm="1">
        <f t="array" ref="AO248">IFERROR(IF(AB249&lt;&gt;AB248,_xlfn.STDEV.P(IF(AB$9:AB248=AB248,AU$9:AU248)),""),"")</f>
        <v/>
      </c>
      <c r="AP248" s="35" t="str" cm="1">
        <f t="array" ref="AP248">IFERROR(IF(AB249&lt;&gt;AB248,_xlfn.STDEV.P(IF(AB$9:AB248=AB248,AT$9:AT248)),""),"")</f>
        <v/>
      </c>
      <c r="AQ248" s="36" t="str">
        <f t="shared" si="53"/>
        <v/>
      </c>
      <c r="AR248" s="36" t="str">
        <f t="shared" si="54"/>
        <v/>
      </c>
      <c r="AS248" s="36" t="str">
        <f t="shared" si="63"/>
        <v/>
      </c>
      <c r="AT248" s="37" t="str">
        <f t="shared" si="55"/>
        <v/>
      </c>
      <c r="AU248" s="37" t="str">
        <f t="shared" si="56"/>
        <v/>
      </c>
      <c r="AV248" s="54"/>
      <c r="AW248" s="46"/>
      <c r="AX248" s="39" t="str" cm="1">
        <f t="array" ref="AX248">IF(AH248&lt;&gt;"",IF(AND(AX246:AX247&lt;&gt;"IE",AQ248&lt;&gt;0,AS248&lt;&gt;""),IF(IFERROR((AQ248/AS248),0) &lt;=1,IFERROR(AQ248/AS248,""),1),""),"")</f>
        <v/>
      </c>
      <c r="AY248" s="46"/>
      <c r="AZ248" s="57"/>
    </row>
    <row r="249" spans="1:52" ht="15.5" x14ac:dyDescent="0.35">
      <c r="A249" s="51">
        <f t="shared" si="64"/>
        <v>1</v>
      </c>
      <c r="B249" s="52"/>
      <c r="C249" s="52"/>
      <c r="D249" s="29" t="str">
        <f>IFERROR(
IF(AND(OR(Planilla!B249="C",Planilla!B249="c"), VLOOKUP(E249,[1]Diccionario!B:N,13,0)="C"), "OK",IF(AND(OR(Planilla!B249="C",Planilla!B249="c"), OR(VLOOKUP(E249,[1]Diccionario!B:N,13,0)="B", VLOOKUP(E249,[1]Diccionario!B:N,13,0)="A")), "DEFICIT",IF(
AND(OR(Planilla!B249="B", Planilla!B249="BPAL"), VLOOKUP(E249,[1]Diccionario!B:N,13,0)="B"), "OK",IF(AND(OR(Planilla!B249="B", Planilla!B249="BPAL"), VLOOKUP(E249,[1]Diccionario!B:N,13,0)="A"), "DEFICIT",IF(AND(OR(Planilla!B249="B", Planilla!B249="BPAL"), VLOOKUP(E249,[1]Diccionario!B:N,13,0)="C"), "SOBREOFERTA",IF(AND(Planilla!B249="A", VLOOKUP(E249,[1]Diccionario!B:N,13,0)="A"), "OK",IF(
AND(Planilla!B249="A", OR(VLOOKUP(E249,[1]Diccionario!B:N,13,0)="B", VLOOKUP(E249,[1]Diccionario!B:N,13,0)="C")), "SOBREOFERTA",""
))))))),"")</f>
        <v/>
      </c>
      <c r="E249" s="48"/>
      <c r="F249" s="53"/>
      <c r="G249" s="54"/>
      <c r="H249" s="55" t="str">
        <f t="shared" si="57"/>
        <v/>
      </c>
      <c r="I249" s="35"/>
      <c r="J249" s="34" t="e">
        <f>IF(A249&lt;&gt;"",HLOOKUP(VALUE(TEXT(G249,"h:mm:ss")),IF($C$6="Laboral",[1]Input!$A$4:$Y$227,IF($C$6="Sábado",[1]Input!$A$231:$Y$452,[1]Input!$A$456:$Y$656)),VLOOKUP($C$4,[1]Input!$AG$2:$AI$99,3,0)+IF(C$5="Ida",0,1),1),"")</f>
        <v>#N/A</v>
      </c>
      <c r="K249" s="34" t="str">
        <f>IF(A250&lt;&gt;A249,AVERAGEIF(A$9:A249,A249,J$13:J249),"")</f>
        <v/>
      </c>
      <c r="L249" s="35" t="str">
        <f>IFERROR(IF(A250&lt;&gt;A249,AVERAGEIF(A$9:A249,A249,S$13:S249),""),"")</f>
        <v/>
      </c>
      <c r="M249" s="35" t="str">
        <f>IFERROR(IF(A250&lt;&gt;A249,AVERAGEIF(A$9:A249,A249,T$8:T249),""),"")</f>
        <v/>
      </c>
      <c r="N249" s="35" t="str" cm="1">
        <f t="array" ref="N249">IFERROR(IF(A250&lt;&gt;A249,_xlfn.STDEV.P(IF(A$9:A249=A249,T$7:T249)),""),"")</f>
        <v/>
      </c>
      <c r="O249" s="35" t="str" cm="1">
        <f t="array" ref="O249">IFERROR(IF(A250&lt;&gt;A249,_xlfn.STDEV.P(IF(A$9:A249=A249,S$7:S249)),""),"")</f>
        <v/>
      </c>
      <c r="P249" s="36" t="str">
        <f t="shared" si="50"/>
        <v/>
      </c>
      <c r="Q249" s="36" t="str">
        <f t="shared" si="51"/>
        <v/>
      </c>
      <c r="R249" s="36" t="str">
        <f t="shared" si="58"/>
        <v/>
      </c>
      <c r="S249" s="37" t="str">
        <f t="shared" si="59"/>
        <v/>
      </c>
      <c r="T249" s="37" t="str">
        <f t="shared" si="52"/>
        <v/>
      </c>
      <c r="U249" s="54"/>
      <c r="V249" s="46"/>
      <c r="W249" s="39" t="str">
        <f t="shared" si="60"/>
        <v/>
      </c>
      <c r="X249" s="38"/>
      <c r="Y249" s="48"/>
      <c r="AB249" s="56">
        <f t="shared" si="61"/>
        <v>1</v>
      </c>
      <c r="AC249" s="52"/>
      <c r="AD249" s="52"/>
      <c r="AE249" s="29" t="str">
        <f>IFERROR(
IF(AND(OR(AC249="C",AC249="c"), VLOOKUP(AF249,[1]Diccionario!B:N,13,0)="C"), "OK",IF(AND(OR(AC249="C",AC249="c"), OR(VLOOKUP(AF249,[1]Diccionario!B:N,13,0)="B", VLOOKUP(AF249,[1]Diccionario!B:N,13,0)="A")), "DEFICIT",IF(
AND(OR(AC249="B", AC249="BPAL"), VLOOKUP(AF249,[1]Diccionario!B:N,13,0)="B"), "OK",IF(AND(OR(AC249="B", AC249="BPAL"), VLOOKUP(AF249,[1]Diccionario!B:N,13,0)="A"), "DEFICIT",IF(AND(OR(AC249="B", AC249="BPAL"), VLOOKUP(AF249,[1]Diccionario!B:N,13,0)="C"), "SOBREOFERTA",IF(AND(AC249="A", VLOOKUP(AF249,[1]Diccionario!B:N,13,0)="A"), "OK",IF(
AND(AC249="A", OR(VLOOKUP(AF249,[1]Diccionario!B:N,13,0)="B", VLOOKUP(AF249,[1]Diccionario!B:N,13,0)="C")), "SOBREOFERTA",""
))))))),"")</f>
        <v/>
      </c>
      <c r="AF249" s="48"/>
      <c r="AG249" s="53"/>
      <c r="AH249" s="54"/>
      <c r="AI249" s="55" t="str">
        <f t="shared" si="62"/>
        <v/>
      </c>
      <c r="AJ249" s="46"/>
      <c r="AK249" s="34" t="e">
        <f>IF(AB249&lt;&gt;"",HLOOKUP(VALUE(TEXT(AH249,"h:mm:ss")),IF($C$6="Laboral",[1]Input!$A$4:$Y$227,IF($C$6="Sábado",[1]Input!$A$231:$Y$452,[1]Input!$A$456:$Y$656)),VLOOKUP($C$4,[1]Input!$AG$2:$AI$99,3,0)+IF(AD$5="Ida",0,1),1),"")</f>
        <v>#N/A</v>
      </c>
      <c r="AL249" s="34" t="str">
        <f>IF(AB250&lt;&gt;AB249,AVERAGEIF(AB$9:AB249,AB249,AK$9:AK249),"")</f>
        <v/>
      </c>
      <c r="AM249" s="35" t="str">
        <f>IFERROR(IF(AB250&lt;&gt;AB249,AVERAGEIF(AB$9:AB249,AB249,AT$9:AT249),""),"")</f>
        <v/>
      </c>
      <c r="AN249" s="35" t="str">
        <f>IFERROR(IF(AB250&lt;&gt;AB249,AVERAGEIF(AB$9:AB249,AB249,AU$9:AU249),""),"")</f>
        <v/>
      </c>
      <c r="AO249" s="35" t="str" cm="1">
        <f t="array" ref="AO249">IFERROR(IF(AB250&lt;&gt;AB249,_xlfn.STDEV.P(IF(AB$9:AB249=AB249,AU$9:AU249)),""),"")</f>
        <v/>
      </c>
      <c r="AP249" s="35" t="str" cm="1">
        <f t="array" ref="AP249">IFERROR(IF(AB250&lt;&gt;AB249,_xlfn.STDEV.P(IF(AB$9:AB249=AB249,AT$9:AT249)),""),"")</f>
        <v/>
      </c>
      <c r="AQ249" s="36" t="str">
        <f t="shared" si="53"/>
        <v/>
      </c>
      <c r="AR249" s="36" t="str">
        <f t="shared" si="54"/>
        <v/>
      </c>
      <c r="AS249" s="36" t="str">
        <f t="shared" si="63"/>
        <v/>
      </c>
      <c r="AT249" s="37" t="str">
        <f t="shared" si="55"/>
        <v/>
      </c>
      <c r="AU249" s="37" t="str">
        <f t="shared" si="56"/>
        <v/>
      </c>
      <c r="AV249" s="54"/>
      <c r="AW249" s="46"/>
      <c r="AX249" s="39" t="str" cm="1">
        <f t="array" ref="AX249">IF(AH249&lt;&gt;"",IF(AND(AX247:AX248&lt;&gt;"IE",AQ249&lt;&gt;0,AS249&lt;&gt;""),IF(IFERROR((AQ249/AS249),0) &lt;=1,IFERROR(AQ249/AS249,""),1),""),"")</f>
        <v/>
      </c>
      <c r="AY249" s="46"/>
      <c r="AZ249" s="57"/>
    </row>
    <row r="250" spans="1:52" ht="15.5" x14ac:dyDescent="0.35">
      <c r="A250" s="51">
        <f t="shared" si="64"/>
        <v>1</v>
      </c>
      <c r="B250" s="52"/>
      <c r="C250" s="52"/>
      <c r="D250" s="29" t="str">
        <f>IFERROR(
IF(AND(OR(Planilla!B250="C",Planilla!B250="c"), VLOOKUP(E250,[1]Diccionario!B:N,13,0)="C"), "OK",IF(AND(OR(Planilla!B250="C",Planilla!B250="c"), OR(VLOOKUP(E250,[1]Diccionario!B:N,13,0)="B", VLOOKUP(E250,[1]Diccionario!B:N,13,0)="A")), "DEFICIT",IF(
AND(OR(Planilla!B250="B", Planilla!B250="BPAL"), VLOOKUP(E250,[1]Diccionario!B:N,13,0)="B"), "OK",IF(AND(OR(Planilla!B250="B", Planilla!B250="BPAL"), VLOOKUP(E250,[1]Diccionario!B:N,13,0)="A"), "DEFICIT",IF(AND(OR(Planilla!B250="B", Planilla!B250="BPAL"), VLOOKUP(E250,[1]Diccionario!B:N,13,0)="C"), "SOBREOFERTA",IF(AND(Planilla!B250="A", VLOOKUP(E250,[1]Diccionario!B:N,13,0)="A"), "OK",IF(
AND(Planilla!B250="A", OR(VLOOKUP(E250,[1]Diccionario!B:N,13,0)="B", VLOOKUP(E250,[1]Diccionario!B:N,13,0)="C")), "SOBREOFERTA",""
))))))),"")</f>
        <v/>
      </c>
      <c r="E250" s="48"/>
      <c r="F250" s="53"/>
      <c r="G250" s="54"/>
      <c r="H250" s="55" t="str">
        <f t="shared" si="57"/>
        <v/>
      </c>
      <c r="I250" s="35"/>
      <c r="J250" s="34" t="e">
        <f>IF(A250&lt;&gt;"",HLOOKUP(VALUE(TEXT(G250,"h:mm:ss")),IF($C$6="Laboral",[1]Input!$A$4:$Y$227,IF($C$6="Sábado",[1]Input!$A$231:$Y$452,[1]Input!$A$456:$Y$656)),VLOOKUP($C$4,[1]Input!$AG$2:$AI$99,3,0)+IF(C$5="Ida",0,1),1),"")</f>
        <v>#N/A</v>
      </c>
      <c r="K250" s="34" t="str">
        <f>IF(A251&lt;&gt;A250,AVERAGEIF(A$9:A250,A250,J$13:J250),"")</f>
        <v/>
      </c>
      <c r="L250" s="35" t="str">
        <f>IFERROR(IF(A251&lt;&gt;A250,AVERAGEIF(A$9:A250,A250,S$13:S250),""),"")</f>
        <v/>
      </c>
      <c r="M250" s="35" t="str">
        <f>IFERROR(IF(A251&lt;&gt;A250,AVERAGEIF(A$9:A250,A250,T$8:T250),""),"")</f>
        <v/>
      </c>
      <c r="N250" s="35" t="str" cm="1">
        <f t="array" ref="N250">IFERROR(IF(A251&lt;&gt;A250,_xlfn.STDEV.P(IF(A$9:A250=A250,T$7:T250)),""),"")</f>
        <v/>
      </c>
      <c r="O250" s="35" t="str" cm="1">
        <f t="array" ref="O250">IFERROR(IF(A251&lt;&gt;A250,_xlfn.STDEV.P(IF(A$9:A250=A250,S$7:S250)),""),"")</f>
        <v/>
      </c>
      <c r="P250" s="36" t="str">
        <f t="shared" si="50"/>
        <v/>
      </c>
      <c r="Q250" s="36" t="str">
        <f t="shared" si="51"/>
        <v/>
      </c>
      <c r="R250" s="36" t="str">
        <f t="shared" si="58"/>
        <v/>
      </c>
      <c r="S250" s="37" t="str">
        <f t="shared" si="59"/>
        <v/>
      </c>
      <c r="T250" s="37" t="str">
        <f t="shared" si="52"/>
        <v/>
      </c>
      <c r="U250" s="54"/>
      <c r="V250" s="46"/>
      <c r="W250" s="39" t="str">
        <f t="shared" si="60"/>
        <v/>
      </c>
      <c r="X250" s="38"/>
      <c r="Y250" s="48"/>
      <c r="AB250" s="56">
        <f t="shared" si="61"/>
        <v>1</v>
      </c>
      <c r="AC250" s="52"/>
      <c r="AD250" s="52"/>
      <c r="AE250" s="29" t="str">
        <f>IFERROR(
IF(AND(OR(AC250="C",AC250="c"), VLOOKUP(AF250,[1]Diccionario!B:N,13,0)="C"), "OK",IF(AND(OR(AC250="C",AC250="c"), OR(VLOOKUP(AF250,[1]Diccionario!B:N,13,0)="B", VLOOKUP(AF250,[1]Diccionario!B:N,13,0)="A")), "DEFICIT",IF(
AND(OR(AC250="B", AC250="BPAL"), VLOOKUP(AF250,[1]Diccionario!B:N,13,0)="B"), "OK",IF(AND(OR(AC250="B", AC250="BPAL"), VLOOKUP(AF250,[1]Diccionario!B:N,13,0)="A"), "DEFICIT",IF(AND(OR(AC250="B", AC250="BPAL"), VLOOKUP(AF250,[1]Diccionario!B:N,13,0)="C"), "SOBREOFERTA",IF(AND(AC250="A", VLOOKUP(AF250,[1]Diccionario!B:N,13,0)="A"), "OK",IF(
AND(AC250="A", OR(VLOOKUP(AF250,[1]Diccionario!B:N,13,0)="B", VLOOKUP(AF250,[1]Diccionario!B:N,13,0)="C")), "SOBREOFERTA",""
))))))),"")</f>
        <v/>
      </c>
      <c r="AF250" s="48"/>
      <c r="AG250" s="53"/>
      <c r="AH250" s="54"/>
      <c r="AI250" s="55" t="str">
        <f t="shared" si="62"/>
        <v/>
      </c>
      <c r="AJ250" s="46"/>
      <c r="AK250" s="34" t="e">
        <f>IF(AB250&lt;&gt;"",HLOOKUP(VALUE(TEXT(AH250,"h:mm:ss")),IF($C$6="Laboral",[1]Input!$A$4:$Y$227,IF($C$6="Sábado",[1]Input!$A$231:$Y$452,[1]Input!$A$456:$Y$656)),VLOOKUP($C$4,[1]Input!$AG$2:$AI$99,3,0)+IF(AD$5="Ida",0,1),1),"")</f>
        <v>#N/A</v>
      </c>
      <c r="AL250" s="34" t="str">
        <f>IF(AB251&lt;&gt;AB250,AVERAGEIF(AB$9:AB250,AB250,AK$9:AK250),"")</f>
        <v/>
      </c>
      <c r="AM250" s="35" t="str">
        <f>IFERROR(IF(AB251&lt;&gt;AB250,AVERAGEIF(AB$9:AB250,AB250,AT$9:AT250),""),"")</f>
        <v/>
      </c>
      <c r="AN250" s="35" t="str">
        <f>IFERROR(IF(AB251&lt;&gt;AB250,AVERAGEIF(AB$9:AB250,AB250,AU$9:AU250),""),"")</f>
        <v/>
      </c>
      <c r="AO250" s="35" t="str" cm="1">
        <f t="array" ref="AO250">IFERROR(IF(AB251&lt;&gt;AB250,_xlfn.STDEV.P(IF(AB$9:AB250=AB250,AU$9:AU250)),""),"")</f>
        <v/>
      </c>
      <c r="AP250" s="35" t="str" cm="1">
        <f t="array" ref="AP250">IFERROR(IF(AB251&lt;&gt;AB250,_xlfn.STDEV.P(IF(AB$9:AB250=AB250,AT$9:AT250)),""),"")</f>
        <v/>
      </c>
      <c r="AQ250" s="36" t="str">
        <f t="shared" si="53"/>
        <v/>
      </c>
      <c r="AR250" s="36" t="str">
        <f t="shared" si="54"/>
        <v/>
      </c>
      <c r="AS250" s="36" t="str">
        <f t="shared" si="63"/>
        <v/>
      </c>
      <c r="AT250" s="37" t="str">
        <f t="shared" si="55"/>
        <v/>
      </c>
      <c r="AU250" s="37" t="str">
        <f t="shared" si="56"/>
        <v/>
      </c>
      <c r="AV250" s="54"/>
      <c r="AW250" s="46"/>
      <c r="AX250" s="39" t="str" cm="1">
        <f t="array" ref="AX250">IF(AH250&lt;&gt;"",IF(AND(AX248:AX249&lt;&gt;"IE",AQ250&lt;&gt;0,AS250&lt;&gt;""),IF(IFERROR((AQ250/AS250),0) &lt;=1,IFERROR(AQ250/AS250,""),1),""),"")</f>
        <v/>
      </c>
      <c r="AY250" s="46"/>
      <c r="AZ250" s="57"/>
    </row>
    <row r="251" spans="1:52" ht="15.5" x14ac:dyDescent="0.35">
      <c r="A251" s="51">
        <f t="shared" si="64"/>
        <v>1</v>
      </c>
      <c r="B251" s="52"/>
      <c r="C251" s="52"/>
      <c r="D251" s="29" t="str">
        <f>IFERROR(
IF(AND(OR(Planilla!B251="C",Planilla!B251="c"), VLOOKUP(E251,[1]Diccionario!B:N,13,0)="C"), "OK",IF(AND(OR(Planilla!B251="C",Planilla!B251="c"), OR(VLOOKUP(E251,[1]Diccionario!B:N,13,0)="B", VLOOKUP(E251,[1]Diccionario!B:N,13,0)="A")), "DEFICIT",IF(
AND(OR(Planilla!B251="B", Planilla!B251="BPAL"), VLOOKUP(E251,[1]Diccionario!B:N,13,0)="B"), "OK",IF(AND(OR(Planilla!B251="B", Planilla!B251="BPAL"), VLOOKUP(E251,[1]Diccionario!B:N,13,0)="A"), "DEFICIT",IF(AND(OR(Planilla!B251="B", Planilla!B251="BPAL"), VLOOKUP(E251,[1]Diccionario!B:N,13,0)="C"), "SOBREOFERTA",IF(AND(Planilla!B251="A", VLOOKUP(E251,[1]Diccionario!B:N,13,0)="A"), "OK",IF(
AND(Planilla!B251="A", OR(VLOOKUP(E251,[1]Diccionario!B:N,13,0)="B", VLOOKUP(E251,[1]Diccionario!B:N,13,0)="C")), "SOBREOFERTA",""
))))))),"")</f>
        <v/>
      </c>
      <c r="E251" s="48"/>
      <c r="F251" s="53"/>
      <c r="G251" s="54"/>
      <c r="H251" s="55" t="str">
        <f t="shared" si="57"/>
        <v/>
      </c>
      <c r="I251" s="35"/>
      <c r="J251" s="34" t="e">
        <f>IF(A251&lt;&gt;"",HLOOKUP(VALUE(TEXT(G251,"h:mm:ss")),IF($C$6="Laboral",[1]Input!$A$4:$Y$227,IF($C$6="Sábado",[1]Input!$A$231:$Y$452,[1]Input!$A$456:$Y$656)),VLOOKUP($C$4,[1]Input!$AG$2:$AI$99,3,0)+IF(C$5="Ida",0,1),1),"")</f>
        <v>#N/A</v>
      </c>
      <c r="K251" s="34" t="str">
        <f>IF(A252&lt;&gt;A251,AVERAGEIF(A$9:A251,A251,J$13:J251),"")</f>
        <v/>
      </c>
      <c r="L251" s="35" t="str">
        <f>IFERROR(IF(A252&lt;&gt;A251,AVERAGEIF(A$9:A251,A251,S$13:S251),""),"")</f>
        <v/>
      </c>
      <c r="M251" s="35" t="str">
        <f>IFERROR(IF(A252&lt;&gt;A251,AVERAGEIF(A$9:A251,A251,T$8:T251),""),"")</f>
        <v/>
      </c>
      <c r="N251" s="35" t="str" cm="1">
        <f t="array" ref="N251">IFERROR(IF(A252&lt;&gt;A251,_xlfn.STDEV.P(IF(A$9:A251=A251,T$7:T251)),""),"")</f>
        <v/>
      </c>
      <c r="O251" s="35" t="str" cm="1">
        <f t="array" ref="O251">IFERROR(IF(A252&lt;&gt;A251,_xlfn.STDEV.P(IF(A$9:A251=A251,S$7:S251)),""),"")</f>
        <v/>
      </c>
      <c r="P251" s="36" t="str">
        <f t="shared" si="50"/>
        <v/>
      </c>
      <c r="Q251" s="36" t="str">
        <f t="shared" si="51"/>
        <v/>
      </c>
      <c r="R251" s="36" t="str">
        <f t="shared" si="58"/>
        <v/>
      </c>
      <c r="S251" s="37" t="str">
        <f t="shared" si="59"/>
        <v/>
      </c>
      <c r="T251" s="37" t="str">
        <f t="shared" si="52"/>
        <v/>
      </c>
      <c r="U251" s="54"/>
      <c r="V251" s="46"/>
      <c r="W251" s="39" t="str">
        <f t="shared" si="60"/>
        <v/>
      </c>
      <c r="X251" s="38"/>
      <c r="Y251" s="48"/>
      <c r="AB251" s="56">
        <f t="shared" si="61"/>
        <v>1</v>
      </c>
      <c r="AC251" s="52"/>
      <c r="AD251" s="52"/>
      <c r="AE251" s="29" t="str">
        <f>IFERROR(
IF(AND(OR(AC251="C",AC251="c"), VLOOKUP(AF251,[1]Diccionario!B:N,13,0)="C"), "OK",IF(AND(OR(AC251="C",AC251="c"), OR(VLOOKUP(AF251,[1]Diccionario!B:N,13,0)="B", VLOOKUP(AF251,[1]Diccionario!B:N,13,0)="A")), "DEFICIT",IF(
AND(OR(AC251="B", AC251="BPAL"), VLOOKUP(AF251,[1]Diccionario!B:N,13,0)="B"), "OK",IF(AND(OR(AC251="B", AC251="BPAL"), VLOOKUP(AF251,[1]Diccionario!B:N,13,0)="A"), "DEFICIT",IF(AND(OR(AC251="B", AC251="BPAL"), VLOOKUP(AF251,[1]Diccionario!B:N,13,0)="C"), "SOBREOFERTA",IF(AND(AC251="A", VLOOKUP(AF251,[1]Diccionario!B:N,13,0)="A"), "OK",IF(
AND(AC251="A", OR(VLOOKUP(AF251,[1]Diccionario!B:N,13,0)="B", VLOOKUP(AF251,[1]Diccionario!B:N,13,0)="C")), "SOBREOFERTA",""
))))))),"")</f>
        <v/>
      </c>
      <c r="AF251" s="48"/>
      <c r="AG251" s="53"/>
      <c r="AH251" s="54"/>
      <c r="AI251" s="55" t="str">
        <f t="shared" si="62"/>
        <v/>
      </c>
      <c r="AJ251" s="46"/>
      <c r="AK251" s="34" t="e">
        <f>IF(AB251&lt;&gt;"",HLOOKUP(VALUE(TEXT(AH251,"h:mm:ss")),IF($C$6="Laboral",[1]Input!$A$4:$Y$227,IF($C$6="Sábado",[1]Input!$A$231:$Y$452,[1]Input!$A$456:$Y$656)),VLOOKUP($C$4,[1]Input!$AG$2:$AI$99,3,0)+IF(AD$5="Ida",0,1),1),"")</f>
        <v>#N/A</v>
      </c>
      <c r="AL251" s="34" t="str">
        <f>IF(AB252&lt;&gt;AB251,AVERAGEIF(AB$9:AB251,AB251,AK$9:AK251),"")</f>
        <v/>
      </c>
      <c r="AM251" s="35" t="str">
        <f>IFERROR(IF(AB252&lt;&gt;AB251,AVERAGEIF(AB$9:AB251,AB251,AT$9:AT251),""),"")</f>
        <v/>
      </c>
      <c r="AN251" s="35" t="str">
        <f>IFERROR(IF(AB252&lt;&gt;AB251,AVERAGEIF(AB$9:AB251,AB251,AU$9:AU251),""),"")</f>
        <v/>
      </c>
      <c r="AO251" s="35" t="str" cm="1">
        <f t="array" ref="AO251">IFERROR(IF(AB252&lt;&gt;AB251,_xlfn.STDEV.P(IF(AB$9:AB251=AB251,AU$9:AU251)),""),"")</f>
        <v/>
      </c>
      <c r="AP251" s="35" t="str" cm="1">
        <f t="array" ref="AP251">IFERROR(IF(AB252&lt;&gt;AB251,_xlfn.STDEV.P(IF(AB$9:AB251=AB251,AT$9:AT251)),""),"")</f>
        <v/>
      </c>
      <c r="AQ251" s="36" t="str">
        <f t="shared" si="53"/>
        <v/>
      </c>
      <c r="AR251" s="36" t="str">
        <f t="shared" si="54"/>
        <v/>
      </c>
      <c r="AS251" s="36" t="str">
        <f t="shared" si="63"/>
        <v/>
      </c>
      <c r="AT251" s="37" t="str">
        <f t="shared" si="55"/>
        <v/>
      </c>
      <c r="AU251" s="37" t="str">
        <f t="shared" si="56"/>
        <v/>
      </c>
      <c r="AV251" s="54"/>
      <c r="AW251" s="46"/>
      <c r="AX251" s="39" t="str" cm="1">
        <f t="array" ref="AX251">IF(AH251&lt;&gt;"",IF(AND(AX249:AX250&lt;&gt;"IE",AQ251&lt;&gt;0,AS251&lt;&gt;""),IF(IFERROR((AQ251/AS251),0) &lt;=1,IFERROR(AQ251/AS251,""),1),""),"")</f>
        <v/>
      </c>
      <c r="AY251" s="46"/>
      <c r="AZ251" s="57"/>
    </row>
    <row r="252" spans="1:52" ht="15.5" x14ac:dyDescent="0.35">
      <c r="A252" s="51">
        <f t="shared" si="64"/>
        <v>1</v>
      </c>
      <c r="B252" s="52"/>
      <c r="C252" s="52"/>
      <c r="D252" s="29" t="str">
        <f>IFERROR(
IF(AND(OR(Planilla!B252="C",Planilla!B252="c"), VLOOKUP(E252,[1]Diccionario!B:N,13,0)="C"), "OK",IF(AND(OR(Planilla!B252="C",Planilla!B252="c"), OR(VLOOKUP(E252,[1]Diccionario!B:N,13,0)="B", VLOOKUP(E252,[1]Diccionario!B:N,13,0)="A")), "DEFICIT",IF(
AND(OR(Planilla!B252="B", Planilla!B252="BPAL"), VLOOKUP(E252,[1]Diccionario!B:N,13,0)="B"), "OK",IF(AND(OR(Planilla!B252="B", Planilla!B252="BPAL"), VLOOKUP(E252,[1]Diccionario!B:N,13,0)="A"), "DEFICIT",IF(AND(OR(Planilla!B252="B", Planilla!B252="BPAL"), VLOOKUP(E252,[1]Diccionario!B:N,13,0)="C"), "SOBREOFERTA",IF(AND(Planilla!B252="A", VLOOKUP(E252,[1]Diccionario!B:N,13,0)="A"), "OK",IF(
AND(Planilla!B252="A", OR(VLOOKUP(E252,[1]Diccionario!B:N,13,0)="B", VLOOKUP(E252,[1]Diccionario!B:N,13,0)="C")), "SOBREOFERTA",""
))))))),"")</f>
        <v/>
      </c>
      <c r="E252" s="48"/>
      <c r="F252" s="53"/>
      <c r="G252" s="54"/>
      <c r="H252" s="55" t="str">
        <f t="shared" si="57"/>
        <v/>
      </c>
      <c r="I252" s="35"/>
      <c r="J252" s="34" t="e">
        <f>IF(A252&lt;&gt;"",HLOOKUP(VALUE(TEXT(G252,"h:mm:ss")),IF($C$6="Laboral",[1]Input!$A$4:$Y$227,IF($C$6="Sábado",[1]Input!$A$231:$Y$452,[1]Input!$A$456:$Y$656)),VLOOKUP($C$4,[1]Input!$AG$2:$AI$99,3,0)+IF(C$5="Ida",0,1),1),"")</f>
        <v>#N/A</v>
      </c>
      <c r="K252" s="34" t="str">
        <f>IF(A253&lt;&gt;A252,AVERAGEIF(A$9:A252,A252,J$13:J252),"")</f>
        <v/>
      </c>
      <c r="L252" s="35" t="str">
        <f>IFERROR(IF(A253&lt;&gt;A252,AVERAGEIF(A$9:A252,A252,S$13:S252),""),"")</f>
        <v/>
      </c>
      <c r="M252" s="35" t="str">
        <f>IFERROR(IF(A253&lt;&gt;A252,AVERAGEIF(A$9:A252,A252,T$8:T252),""),"")</f>
        <v/>
      </c>
      <c r="N252" s="35" t="str" cm="1">
        <f t="array" ref="N252">IFERROR(IF(A253&lt;&gt;A252,_xlfn.STDEV.P(IF(A$9:A252=A252,T$7:T252)),""),"")</f>
        <v/>
      </c>
      <c r="O252" s="35" t="str" cm="1">
        <f t="array" ref="O252">IFERROR(IF(A253&lt;&gt;A252,_xlfn.STDEV.P(IF(A$9:A252=A252,S$7:S252)),""),"")</f>
        <v/>
      </c>
      <c r="P252" s="36" t="str">
        <f t="shared" si="50"/>
        <v/>
      </c>
      <c r="Q252" s="36" t="str">
        <f t="shared" si="51"/>
        <v/>
      </c>
      <c r="R252" s="36" t="str">
        <f t="shared" si="58"/>
        <v/>
      </c>
      <c r="S252" s="37" t="str">
        <f t="shared" si="59"/>
        <v/>
      </c>
      <c r="T252" s="37" t="str">
        <f t="shared" si="52"/>
        <v/>
      </c>
      <c r="U252" s="54"/>
      <c r="V252" s="46"/>
      <c r="W252" s="39" t="str">
        <f t="shared" si="60"/>
        <v/>
      </c>
      <c r="X252" s="38"/>
      <c r="Y252" s="48"/>
      <c r="AB252" s="56">
        <f t="shared" si="61"/>
        <v>1</v>
      </c>
      <c r="AC252" s="52"/>
      <c r="AD252" s="52"/>
      <c r="AE252" s="29" t="str">
        <f>IFERROR(
IF(AND(OR(AC252="C",AC252="c"), VLOOKUP(AF252,[1]Diccionario!B:N,13,0)="C"), "OK",IF(AND(OR(AC252="C",AC252="c"), OR(VLOOKUP(AF252,[1]Diccionario!B:N,13,0)="B", VLOOKUP(AF252,[1]Diccionario!B:N,13,0)="A")), "DEFICIT",IF(
AND(OR(AC252="B", AC252="BPAL"), VLOOKUP(AF252,[1]Diccionario!B:N,13,0)="B"), "OK",IF(AND(OR(AC252="B", AC252="BPAL"), VLOOKUP(AF252,[1]Diccionario!B:N,13,0)="A"), "DEFICIT",IF(AND(OR(AC252="B", AC252="BPAL"), VLOOKUP(AF252,[1]Diccionario!B:N,13,0)="C"), "SOBREOFERTA",IF(AND(AC252="A", VLOOKUP(AF252,[1]Diccionario!B:N,13,0)="A"), "OK",IF(
AND(AC252="A", OR(VLOOKUP(AF252,[1]Diccionario!B:N,13,0)="B", VLOOKUP(AF252,[1]Diccionario!B:N,13,0)="C")), "SOBREOFERTA",""
))))))),"")</f>
        <v/>
      </c>
      <c r="AF252" s="48"/>
      <c r="AG252" s="53"/>
      <c r="AH252" s="54"/>
      <c r="AI252" s="55" t="str">
        <f t="shared" si="62"/>
        <v/>
      </c>
      <c r="AJ252" s="46"/>
      <c r="AK252" s="34" t="e">
        <f>IF(AB252&lt;&gt;"",HLOOKUP(VALUE(TEXT(AH252,"h:mm:ss")),IF($C$6="Laboral",[1]Input!$A$4:$Y$227,IF($C$6="Sábado",[1]Input!$A$231:$Y$452,[1]Input!$A$456:$Y$656)),VLOOKUP($C$4,[1]Input!$AG$2:$AI$99,3,0)+IF(AD$5="Ida",0,1),1),"")</f>
        <v>#N/A</v>
      </c>
      <c r="AL252" s="34" t="str">
        <f>IF(AB253&lt;&gt;AB252,AVERAGEIF(AB$9:AB252,AB252,AK$9:AK252),"")</f>
        <v/>
      </c>
      <c r="AM252" s="35" t="str">
        <f>IFERROR(IF(AB253&lt;&gt;AB252,AVERAGEIF(AB$9:AB252,AB252,AT$9:AT252),""),"")</f>
        <v/>
      </c>
      <c r="AN252" s="35" t="str">
        <f>IFERROR(IF(AB253&lt;&gt;AB252,AVERAGEIF(AB$9:AB252,AB252,AU$9:AU252),""),"")</f>
        <v/>
      </c>
      <c r="AO252" s="35" t="str" cm="1">
        <f t="array" ref="AO252">IFERROR(IF(AB253&lt;&gt;AB252,_xlfn.STDEV.P(IF(AB$9:AB252=AB252,AU$9:AU252)),""),"")</f>
        <v/>
      </c>
      <c r="AP252" s="35" t="str" cm="1">
        <f t="array" ref="AP252">IFERROR(IF(AB253&lt;&gt;AB252,_xlfn.STDEV.P(IF(AB$9:AB252=AB252,AT$9:AT252)),""),"")</f>
        <v/>
      </c>
      <c r="AQ252" s="36" t="str">
        <f t="shared" si="53"/>
        <v/>
      </c>
      <c r="AR252" s="36" t="str">
        <f t="shared" si="54"/>
        <v/>
      </c>
      <c r="AS252" s="36" t="str">
        <f t="shared" si="63"/>
        <v/>
      </c>
      <c r="AT252" s="37" t="str">
        <f t="shared" si="55"/>
        <v/>
      </c>
      <c r="AU252" s="37" t="str">
        <f t="shared" si="56"/>
        <v/>
      </c>
      <c r="AV252" s="54"/>
      <c r="AW252" s="46"/>
      <c r="AX252" s="39" t="str" cm="1">
        <f t="array" ref="AX252">IF(AH252&lt;&gt;"",IF(AND(AX250:AX251&lt;&gt;"IE",AQ252&lt;&gt;0,AS252&lt;&gt;""),IF(IFERROR((AQ252/AS252),0) &lt;=1,IFERROR(AQ252/AS252,""),1),""),"")</f>
        <v/>
      </c>
      <c r="AY252" s="46"/>
      <c r="AZ252" s="57"/>
    </row>
    <row r="253" spans="1:52" ht="15.5" x14ac:dyDescent="0.35">
      <c r="A253" s="51">
        <f t="shared" si="64"/>
        <v>1</v>
      </c>
      <c r="B253" s="52"/>
      <c r="C253" s="52"/>
      <c r="D253" s="29" t="str">
        <f>IFERROR(
IF(AND(OR(Planilla!B253="C",Planilla!B253="c"), VLOOKUP(E253,[1]Diccionario!B:N,13,0)="C"), "OK",IF(AND(OR(Planilla!B253="C",Planilla!B253="c"), OR(VLOOKUP(E253,[1]Diccionario!B:N,13,0)="B", VLOOKUP(E253,[1]Diccionario!B:N,13,0)="A")), "DEFICIT",IF(
AND(OR(Planilla!B253="B", Planilla!B253="BPAL"), VLOOKUP(E253,[1]Diccionario!B:N,13,0)="B"), "OK",IF(AND(OR(Planilla!B253="B", Planilla!B253="BPAL"), VLOOKUP(E253,[1]Diccionario!B:N,13,0)="A"), "DEFICIT",IF(AND(OR(Planilla!B253="B", Planilla!B253="BPAL"), VLOOKUP(E253,[1]Diccionario!B:N,13,0)="C"), "SOBREOFERTA",IF(AND(Planilla!B253="A", VLOOKUP(E253,[1]Diccionario!B:N,13,0)="A"), "OK",IF(
AND(Planilla!B253="A", OR(VLOOKUP(E253,[1]Diccionario!B:N,13,0)="B", VLOOKUP(E253,[1]Diccionario!B:N,13,0)="C")), "SOBREOFERTA",""
))))))),"")</f>
        <v/>
      </c>
      <c r="E253" s="48"/>
      <c r="F253" s="53"/>
      <c r="G253" s="54"/>
      <c r="H253" s="55" t="str">
        <f t="shared" si="57"/>
        <v/>
      </c>
      <c r="I253" s="35"/>
      <c r="J253" s="34" t="e">
        <f>IF(A253&lt;&gt;"",HLOOKUP(VALUE(TEXT(G253,"h:mm:ss")),IF($C$6="Laboral",[1]Input!$A$4:$Y$227,IF($C$6="Sábado",[1]Input!$A$231:$Y$452,[1]Input!$A$456:$Y$656)),VLOOKUP($C$4,[1]Input!$AG$2:$AI$99,3,0)+IF(C$5="Ida",0,1),1),"")</f>
        <v>#N/A</v>
      </c>
      <c r="K253" s="34" t="str">
        <f>IF(A254&lt;&gt;A253,AVERAGEIF(A$9:A253,A253,J$13:J253),"")</f>
        <v/>
      </c>
      <c r="L253" s="35" t="str">
        <f>IFERROR(IF(A254&lt;&gt;A253,AVERAGEIF(A$9:A253,A253,S$13:S253),""),"")</f>
        <v/>
      </c>
      <c r="M253" s="35" t="str">
        <f>IFERROR(IF(A254&lt;&gt;A253,AVERAGEIF(A$9:A253,A253,T$8:T253),""),"")</f>
        <v/>
      </c>
      <c r="N253" s="35" t="str" cm="1">
        <f t="array" ref="N253">IFERROR(IF(A254&lt;&gt;A253,_xlfn.STDEV.P(IF(A$9:A253=A253,T$7:T253)),""),"")</f>
        <v/>
      </c>
      <c r="O253" s="35" t="str" cm="1">
        <f t="array" ref="O253">IFERROR(IF(A254&lt;&gt;A253,_xlfn.STDEV.P(IF(A$9:A253=A253,S$7:S253)),""),"")</f>
        <v/>
      </c>
      <c r="P253" s="36" t="str">
        <f t="shared" si="50"/>
        <v/>
      </c>
      <c r="Q253" s="36" t="str">
        <f t="shared" si="51"/>
        <v/>
      </c>
      <c r="R253" s="36" t="str">
        <f t="shared" si="58"/>
        <v/>
      </c>
      <c r="S253" s="37" t="str">
        <f t="shared" si="59"/>
        <v/>
      </c>
      <c r="T253" s="37" t="str">
        <f t="shared" si="52"/>
        <v/>
      </c>
      <c r="U253" s="54"/>
      <c r="V253" s="46"/>
      <c r="W253" s="39" t="str">
        <f t="shared" si="60"/>
        <v/>
      </c>
      <c r="X253" s="38"/>
      <c r="Y253" s="48"/>
      <c r="AB253" s="56">
        <f t="shared" si="61"/>
        <v>1</v>
      </c>
      <c r="AC253" s="52"/>
      <c r="AD253" s="52"/>
      <c r="AE253" s="29" t="str">
        <f>IFERROR(
IF(AND(OR(AC253="C",AC253="c"), VLOOKUP(AF253,[1]Diccionario!B:N,13,0)="C"), "OK",IF(AND(OR(AC253="C",AC253="c"), OR(VLOOKUP(AF253,[1]Diccionario!B:N,13,0)="B", VLOOKUP(AF253,[1]Diccionario!B:N,13,0)="A")), "DEFICIT",IF(
AND(OR(AC253="B", AC253="BPAL"), VLOOKUP(AF253,[1]Diccionario!B:N,13,0)="B"), "OK",IF(AND(OR(AC253="B", AC253="BPAL"), VLOOKUP(AF253,[1]Diccionario!B:N,13,0)="A"), "DEFICIT",IF(AND(OR(AC253="B", AC253="BPAL"), VLOOKUP(AF253,[1]Diccionario!B:N,13,0)="C"), "SOBREOFERTA",IF(AND(AC253="A", VLOOKUP(AF253,[1]Diccionario!B:N,13,0)="A"), "OK",IF(
AND(AC253="A", OR(VLOOKUP(AF253,[1]Diccionario!B:N,13,0)="B", VLOOKUP(AF253,[1]Diccionario!B:N,13,0)="C")), "SOBREOFERTA",""
))))))),"")</f>
        <v/>
      </c>
      <c r="AF253" s="48"/>
      <c r="AG253" s="53"/>
      <c r="AH253" s="54"/>
      <c r="AI253" s="55" t="str">
        <f t="shared" si="62"/>
        <v/>
      </c>
      <c r="AJ253" s="46"/>
      <c r="AK253" s="34" t="e">
        <f>IF(AB253&lt;&gt;"",HLOOKUP(VALUE(TEXT(AH253,"h:mm:ss")),IF($C$6="Laboral",[1]Input!$A$4:$Y$227,IF($C$6="Sábado",[1]Input!$A$231:$Y$452,[1]Input!$A$456:$Y$656)),VLOOKUP($C$4,[1]Input!$AG$2:$AI$99,3,0)+IF(AD$5="Ida",0,1),1),"")</f>
        <v>#N/A</v>
      </c>
      <c r="AL253" s="34" t="str">
        <f>IF(AB254&lt;&gt;AB253,AVERAGEIF(AB$9:AB253,AB253,AK$9:AK253),"")</f>
        <v/>
      </c>
      <c r="AM253" s="35" t="str">
        <f>IFERROR(IF(AB254&lt;&gt;AB253,AVERAGEIF(AB$9:AB253,AB253,AT$9:AT253),""),"")</f>
        <v/>
      </c>
      <c r="AN253" s="35" t="str">
        <f>IFERROR(IF(AB254&lt;&gt;AB253,AVERAGEIF(AB$9:AB253,AB253,AU$9:AU253),""),"")</f>
        <v/>
      </c>
      <c r="AO253" s="35" t="str" cm="1">
        <f t="array" ref="AO253">IFERROR(IF(AB254&lt;&gt;AB253,_xlfn.STDEV.P(IF(AB$9:AB253=AB253,AU$9:AU253)),""),"")</f>
        <v/>
      </c>
      <c r="AP253" s="35" t="str" cm="1">
        <f t="array" ref="AP253">IFERROR(IF(AB254&lt;&gt;AB253,_xlfn.STDEV.P(IF(AB$9:AB253=AB253,AT$9:AT253)),""),"")</f>
        <v/>
      </c>
      <c r="AQ253" s="36" t="str">
        <f t="shared" si="53"/>
        <v/>
      </c>
      <c r="AR253" s="36" t="str">
        <f t="shared" si="54"/>
        <v/>
      </c>
      <c r="AS253" s="36" t="str">
        <f t="shared" si="63"/>
        <v/>
      </c>
      <c r="AT253" s="37" t="str">
        <f t="shared" si="55"/>
        <v/>
      </c>
      <c r="AU253" s="37" t="str">
        <f t="shared" si="56"/>
        <v/>
      </c>
      <c r="AV253" s="54"/>
      <c r="AW253" s="46"/>
      <c r="AX253" s="39" t="str" cm="1">
        <f t="array" ref="AX253">IF(AH253&lt;&gt;"",IF(AND(AX251:AX252&lt;&gt;"IE",AQ253&lt;&gt;0,AS253&lt;&gt;""),IF(IFERROR((AQ253/AS253),0) &lt;=1,IFERROR(AQ253/AS253,""),1),""),"")</f>
        <v/>
      </c>
      <c r="AY253" s="46"/>
      <c r="AZ253" s="57"/>
    </row>
    <row r="254" spans="1:52" ht="15.5" x14ac:dyDescent="0.35">
      <c r="A254" s="51">
        <f t="shared" si="64"/>
        <v>1</v>
      </c>
      <c r="B254" s="52"/>
      <c r="C254" s="52"/>
      <c r="D254" s="29" t="str">
        <f>IFERROR(
IF(AND(OR(Planilla!B254="C",Planilla!B254="c"), VLOOKUP(E254,[1]Diccionario!B:N,13,0)="C"), "OK",IF(AND(OR(Planilla!B254="C",Planilla!B254="c"), OR(VLOOKUP(E254,[1]Diccionario!B:N,13,0)="B", VLOOKUP(E254,[1]Diccionario!B:N,13,0)="A")), "DEFICIT",IF(
AND(OR(Planilla!B254="B", Planilla!B254="BPAL"), VLOOKUP(E254,[1]Diccionario!B:N,13,0)="B"), "OK",IF(AND(OR(Planilla!B254="B", Planilla!B254="BPAL"), VLOOKUP(E254,[1]Diccionario!B:N,13,0)="A"), "DEFICIT",IF(AND(OR(Planilla!B254="B", Planilla!B254="BPAL"), VLOOKUP(E254,[1]Diccionario!B:N,13,0)="C"), "SOBREOFERTA",IF(AND(Planilla!B254="A", VLOOKUP(E254,[1]Diccionario!B:N,13,0)="A"), "OK",IF(
AND(Planilla!B254="A", OR(VLOOKUP(E254,[1]Diccionario!B:N,13,0)="B", VLOOKUP(E254,[1]Diccionario!B:N,13,0)="C")), "SOBREOFERTA",""
))))))),"")</f>
        <v/>
      </c>
      <c r="E254" s="48"/>
      <c r="F254" s="53"/>
      <c r="G254" s="54"/>
      <c r="H254" s="55" t="str">
        <f t="shared" si="57"/>
        <v/>
      </c>
      <c r="I254" s="35"/>
      <c r="J254" s="34" t="e">
        <f>IF(A254&lt;&gt;"",HLOOKUP(VALUE(TEXT(G254,"h:mm:ss")),IF($C$6="Laboral",[1]Input!$A$4:$Y$227,IF($C$6="Sábado",[1]Input!$A$231:$Y$452,[1]Input!$A$456:$Y$656)),VLOOKUP($C$4,[1]Input!$AG$2:$AI$99,3,0)+IF(C$5="Ida",0,1),1),"")</f>
        <v>#N/A</v>
      </c>
      <c r="K254" s="34" t="str">
        <f>IF(A255&lt;&gt;A254,AVERAGEIF(A$9:A254,A254,J$13:J254),"")</f>
        <v/>
      </c>
      <c r="L254" s="35" t="str">
        <f>IFERROR(IF(A255&lt;&gt;A254,AVERAGEIF(A$9:A254,A254,S$13:S254),""),"")</f>
        <v/>
      </c>
      <c r="M254" s="35" t="str">
        <f>IFERROR(IF(A255&lt;&gt;A254,AVERAGEIF(A$9:A254,A254,T$8:T254),""),"")</f>
        <v/>
      </c>
      <c r="N254" s="35" t="str" cm="1">
        <f t="array" ref="N254">IFERROR(IF(A255&lt;&gt;A254,_xlfn.STDEV.P(IF(A$9:A254=A254,T$7:T254)),""),"")</f>
        <v/>
      </c>
      <c r="O254" s="35" t="str" cm="1">
        <f t="array" ref="O254">IFERROR(IF(A255&lt;&gt;A254,_xlfn.STDEV.P(IF(A$9:A254=A254,S$7:S254)),""),"")</f>
        <v/>
      </c>
      <c r="P254" s="36" t="str">
        <f t="shared" si="50"/>
        <v/>
      </c>
      <c r="Q254" s="36" t="str">
        <f t="shared" si="51"/>
        <v/>
      </c>
      <c r="R254" s="36" t="str">
        <f t="shared" si="58"/>
        <v/>
      </c>
      <c r="S254" s="37" t="str">
        <f t="shared" si="59"/>
        <v/>
      </c>
      <c r="T254" s="37" t="str">
        <f t="shared" si="52"/>
        <v/>
      </c>
      <c r="U254" s="54"/>
      <c r="V254" s="46"/>
      <c r="W254" s="39" t="str">
        <f t="shared" si="60"/>
        <v/>
      </c>
      <c r="X254" s="38"/>
      <c r="Y254" s="48"/>
      <c r="AB254" s="56">
        <f t="shared" si="61"/>
        <v>1</v>
      </c>
      <c r="AC254" s="52"/>
      <c r="AD254" s="52"/>
      <c r="AE254" s="29" t="str">
        <f>IFERROR(
IF(AND(OR(AC254="C",AC254="c"), VLOOKUP(AF254,[1]Diccionario!B:N,13,0)="C"), "OK",IF(AND(OR(AC254="C",AC254="c"), OR(VLOOKUP(AF254,[1]Diccionario!B:N,13,0)="B", VLOOKUP(AF254,[1]Diccionario!B:N,13,0)="A")), "DEFICIT",IF(
AND(OR(AC254="B", AC254="BPAL"), VLOOKUP(AF254,[1]Diccionario!B:N,13,0)="B"), "OK",IF(AND(OR(AC254="B", AC254="BPAL"), VLOOKUP(AF254,[1]Diccionario!B:N,13,0)="A"), "DEFICIT",IF(AND(OR(AC254="B", AC254="BPAL"), VLOOKUP(AF254,[1]Diccionario!B:N,13,0)="C"), "SOBREOFERTA",IF(AND(AC254="A", VLOOKUP(AF254,[1]Diccionario!B:N,13,0)="A"), "OK",IF(
AND(AC254="A", OR(VLOOKUP(AF254,[1]Diccionario!B:N,13,0)="B", VLOOKUP(AF254,[1]Diccionario!B:N,13,0)="C")), "SOBREOFERTA",""
))))))),"")</f>
        <v/>
      </c>
      <c r="AF254" s="48"/>
      <c r="AG254" s="53"/>
      <c r="AH254" s="54"/>
      <c r="AI254" s="55" t="str">
        <f t="shared" si="62"/>
        <v/>
      </c>
      <c r="AJ254" s="46"/>
      <c r="AK254" s="34" t="e">
        <f>IF(AB254&lt;&gt;"",HLOOKUP(VALUE(TEXT(AH254,"h:mm:ss")),IF($C$6="Laboral",[1]Input!$A$4:$Y$227,IF($C$6="Sábado",[1]Input!$A$231:$Y$452,[1]Input!$A$456:$Y$656)),VLOOKUP($C$4,[1]Input!$AG$2:$AI$99,3,0)+IF(AD$5="Ida",0,1),1),"")</f>
        <v>#N/A</v>
      </c>
      <c r="AL254" s="34" t="str">
        <f>IF(AB255&lt;&gt;AB254,AVERAGEIF(AB$9:AB254,AB254,AK$9:AK254),"")</f>
        <v/>
      </c>
      <c r="AM254" s="35" t="str">
        <f>IFERROR(IF(AB255&lt;&gt;AB254,AVERAGEIF(AB$9:AB254,AB254,AT$9:AT254),""),"")</f>
        <v/>
      </c>
      <c r="AN254" s="35" t="str">
        <f>IFERROR(IF(AB255&lt;&gt;AB254,AVERAGEIF(AB$9:AB254,AB254,AU$9:AU254),""),"")</f>
        <v/>
      </c>
      <c r="AO254" s="35" t="str" cm="1">
        <f t="array" ref="AO254">IFERROR(IF(AB255&lt;&gt;AB254,_xlfn.STDEV.P(IF(AB$9:AB254=AB254,AU$9:AU254)),""),"")</f>
        <v/>
      </c>
      <c r="AP254" s="35" t="str" cm="1">
        <f t="array" ref="AP254">IFERROR(IF(AB255&lt;&gt;AB254,_xlfn.STDEV.P(IF(AB$9:AB254=AB254,AT$9:AT254)),""),"")</f>
        <v/>
      </c>
      <c r="AQ254" s="36" t="str">
        <f t="shared" si="53"/>
        <v/>
      </c>
      <c r="AR254" s="36" t="str">
        <f t="shared" si="54"/>
        <v/>
      </c>
      <c r="AS254" s="36" t="str">
        <f t="shared" si="63"/>
        <v/>
      </c>
      <c r="AT254" s="37" t="str">
        <f t="shared" si="55"/>
        <v/>
      </c>
      <c r="AU254" s="37" t="str">
        <f t="shared" si="56"/>
        <v/>
      </c>
      <c r="AV254" s="54"/>
      <c r="AW254" s="46"/>
      <c r="AX254" s="39" t="str" cm="1">
        <f t="array" ref="AX254">IF(AH254&lt;&gt;"",IF(AND(AX252:AX253&lt;&gt;"IE",AQ254&lt;&gt;0,AS254&lt;&gt;""),IF(IFERROR((AQ254/AS254),0) &lt;=1,IFERROR(AQ254/AS254,""),1),""),"")</f>
        <v/>
      </c>
      <c r="AY254" s="46"/>
      <c r="AZ254" s="57"/>
    </row>
    <row r="255" spans="1:52" ht="15.5" x14ac:dyDescent="0.35">
      <c r="A255" s="51">
        <f t="shared" si="64"/>
        <v>1</v>
      </c>
      <c r="B255" s="52"/>
      <c r="C255" s="52"/>
      <c r="D255" s="29" t="str">
        <f>IFERROR(
IF(AND(OR(Planilla!B255="C",Planilla!B255="c"), VLOOKUP(E255,[1]Diccionario!B:N,13,0)="C"), "OK",IF(AND(OR(Planilla!B255="C",Planilla!B255="c"), OR(VLOOKUP(E255,[1]Diccionario!B:N,13,0)="B", VLOOKUP(E255,[1]Diccionario!B:N,13,0)="A")), "DEFICIT",IF(
AND(OR(Planilla!B255="B", Planilla!B255="BPAL"), VLOOKUP(E255,[1]Diccionario!B:N,13,0)="B"), "OK",IF(AND(OR(Planilla!B255="B", Planilla!B255="BPAL"), VLOOKUP(E255,[1]Diccionario!B:N,13,0)="A"), "DEFICIT",IF(AND(OR(Planilla!B255="B", Planilla!B255="BPAL"), VLOOKUP(E255,[1]Diccionario!B:N,13,0)="C"), "SOBREOFERTA",IF(AND(Planilla!B255="A", VLOOKUP(E255,[1]Diccionario!B:N,13,0)="A"), "OK",IF(
AND(Planilla!B255="A", OR(VLOOKUP(E255,[1]Diccionario!B:N,13,0)="B", VLOOKUP(E255,[1]Diccionario!B:N,13,0)="C")), "SOBREOFERTA",""
))))))),"")</f>
        <v/>
      </c>
      <c r="E255" s="48"/>
      <c r="F255" s="53"/>
      <c r="G255" s="54"/>
      <c r="H255" s="55" t="str">
        <f t="shared" si="57"/>
        <v/>
      </c>
      <c r="I255" s="35"/>
      <c r="J255" s="34" t="e">
        <f>IF(A255&lt;&gt;"",HLOOKUP(VALUE(TEXT(G255,"h:mm:ss")),IF($C$6="Laboral",[1]Input!$A$4:$Y$227,IF($C$6="Sábado",[1]Input!$A$231:$Y$452,[1]Input!$A$456:$Y$656)),VLOOKUP($C$4,[1]Input!$AG$2:$AI$99,3,0)+IF(C$5="Ida",0,1),1),"")</f>
        <v>#N/A</v>
      </c>
      <c r="K255" s="34" t="str">
        <f>IF(A256&lt;&gt;A255,AVERAGEIF(A$9:A255,A255,J$13:J255),"")</f>
        <v/>
      </c>
      <c r="L255" s="35" t="str">
        <f>IFERROR(IF(A256&lt;&gt;A255,AVERAGEIF(A$9:A255,A255,S$13:S255),""),"")</f>
        <v/>
      </c>
      <c r="M255" s="35" t="str">
        <f>IFERROR(IF(A256&lt;&gt;A255,AVERAGEIF(A$9:A255,A255,T$8:T255),""),"")</f>
        <v/>
      </c>
      <c r="N255" s="35" t="str" cm="1">
        <f t="array" ref="N255">IFERROR(IF(A256&lt;&gt;A255,_xlfn.STDEV.P(IF(A$9:A255=A255,T$7:T255)),""),"")</f>
        <v/>
      </c>
      <c r="O255" s="35" t="str" cm="1">
        <f t="array" ref="O255">IFERROR(IF(A256&lt;&gt;A255,_xlfn.STDEV.P(IF(A$9:A255=A255,S$7:S255)),""),"")</f>
        <v/>
      </c>
      <c r="P255" s="36" t="str">
        <f t="shared" si="50"/>
        <v/>
      </c>
      <c r="Q255" s="36" t="str">
        <f t="shared" si="51"/>
        <v/>
      </c>
      <c r="R255" s="36" t="str">
        <f t="shared" si="58"/>
        <v/>
      </c>
      <c r="S255" s="37" t="str">
        <f t="shared" si="59"/>
        <v/>
      </c>
      <c r="T255" s="37" t="str">
        <f t="shared" si="52"/>
        <v/>
      </c>
      <c r="U255" s="54"/>
      <c r="V255" s="46"/>
      <c r="W255" s="39" t="str">
        <f t="shared" si="60"/>
        <v/>
      </c>
      <c r="X255" s="38"/>
      <c r="Y255" s="48"/>
      <c r="AB255" s="56">
        <f t="shared" si="61"/>
        <v>1</v>
      </c>
      <c r="AC255" s="52"/>
      <c r="AD255" s="52"/>
      <c r="AE255" s="29" t="str">
        <f>IFERROR(
IF(AND(OR(AC255="C",AC255="c"), VLOOKUP(AF255,[1]Diccionario!B:N,13,0)="C"), "OK",IF(AND(OR(AC255="C",AC255="c"), OR(VLOOKUP(AF255,[1]Diccionario!B:N,13,0)="B", VLOOKUP(AF255,[1]Diccionario!B:N,13,0)="A")), "DEFICIT",IF(
AND(OR(AC255="B", AC255="BPAL"), VLOOKUP(AF255,[1]Diccionario!B:N,13,0)="B"), "OK",IF(AND(OR(AC255="B", AC255="BPAL"), VLOOKUP(AF255,[1]Diccionario!B:N,13,0)="A"), "DEFICIT",IF(AND(OR(AC255="B", AC255="BPAL"), VLOOKUP(AF255,[1]Diccionario!B:N,13,0)="C"), "SOBREOFERTA",IF(AND(AC255="A", VLOOKUP(AF255,[1]Diccionario!B:N,13,0)="A"), "OK",IF(
AND(AC255="A", OR(VLOOKUP(AF255,[1]Diccionario!B:N,13,0)="B", VLOOKUP(AF255,[1]Diccionario!B:N,13,0)="C")), "SOBREOFERTA",""
))))))),"")</f>
        <v/>
      </c>
      <c r="AF255" s="48"/>
      <c r="AG255" s="53"/>
      <c r="AH255" s="54"/>
      <c r="AI255" s="55" t="str">
        <f t="shared" si="62"/>
        <v/>
      </c>
      <c r="AJ255" s="46"/>
      <c r="AK255" s="34" t="e">
        <f>IF(AB255&lt;&gt;"",HLOOKUP(VALUE(TEXT(AH255,"h:mm:ss")),IF($C$6="Laboral",[1]Input!$A$4:$Y$227,IF($C$6="Sábado",[1]Input!$A$231:$Y$452,[1]Input!$A$456:$Y$656)),VLOOKUP($C$4,[1]Input!$AG$2:$AI$99,3,0)+IF(AD$5="Ida",0,1),1),"")</f>
        <v>#N/A</v>
      </c>
      <c r="AL255" s="34" t="str">
        <f>IF(AB256&lt;&gt;AB255,AVERAGEIF(AB$9:AB255,AB255,AK$9:AK255),"")</f>
        <v/>
      </c>
      <c r="AM255" s="35" t="str">
        <f>IFERROR(IF(AB256&lt;&gt;AB255,AVERAGEIF(AB$9:AB255,AB255,AT$9:AT255),""),"")</f>
        <v/>
      </c>
      <c r="AN255" s="35" t="str">
        <f>IFERROR(IF(AB256&lt;&gt;AB255,AVERAGEIF(AB$9:AB255,AB255,AU$9:AU255),""),"")</f>
        <v/>
      </c>
      <c r="AO255" s="35" t="str" cm="1">
        <f t="array" ref="AO255">IFERROR(IF(AB256&lt;&gt;AB255,_xlfn.STDEV.P(IF(AB$9:AB255=AB255,AU$9:AU255)),""),"")</f>
        <v/>
      </c>
      <c r="AP255" s="35" t="str" cm="1">
        <f t="array" ref="AP255">IFERROR(IF(AB256&lt;&gt;AB255,_xlfn.STDEV.P(IF(AB$9:AB255=AB255,AT$9:AT255)),""),"")</f>
        <v/>
      </c>
      <c r="AQ255" s="36" t="str">
        <f t="shared" si="53"/>
        <v/>
      </c>
      <c r="AR255" s="36" t="str">
        <f t="shared" si="54"/>
        <v/>
      </c>
      <c r="AS255" s="36" t="str">
        <f t="shared" si="63"/>
        <v/>
      </c>
      <c r="AT255" s="37" t="str">
        <f t="shared" si="55"/>
        <v/>
      </c>
      <c r="AU255" s="37" t="str">
        <f t="shared" si="56"/>
        <v/>
      </c>
      <c r="AV255" s="54"/>
      <c r="AW255" s="46"/>
      <c r="AX255" s="39" t="str" cm="1">
        <f t="array" ref="AX255">IF(AH255&lt;&gt;"",IF(AND(AX253:AX254&lt;&gt;"IE",AQ255&lt;&gt;0,AS255&lt;&gt;""),IF(IFERROR((AQ255/AS255),0) &lt;=1,IFERROR(AQ255/AS255,""),1),""),"")</f>
        <v/>
      </c>
      <c r="AY255" s="46"/>
      <c r="AZ255" s="57"/>
    </row>
    <row r="256" spans="1:52" ht="15.5" x14ac:dyDescent="0.35">
      <c r="A256" s="51">
        <f t="shared" si="64"/>
        <v>1</v>
      </c>
      <c r="B256" s="52"/>
      <c r="C256" s="52"/>
      <c r="D256" s="29" t="str">
        <f>IFERROR(
IF(AND(OR(Planilla!B256="C",Planilla!B256="c"), VLOOKUP(E256,[1]Diccionario!B:N,13,0)="C"), "OK",IF(AND(OR(Planilla!B256="C",Planilla!B256="c"), OR(VLOOKUP(E256,[1]Diccionario!B:N,13,0)="B", VLOOKUP(E256,[1]Diccionario!B:N,13,0)="A")), "DEFICIT",IF(
AND(OR(Planilla!B256="B", Planilla!B256="BPAL"), VLOOKUP(E256,[1]Diccionario!B:N,13,0)="B"), "OK",IF(AND(OR(Planilla!B256="B", Planilla!B256="BPAL"), VLOOKUP(E256,[1]Diccionario!B:N,13,0)="A"), "DEFICIT",IF(AND(OR(Planilla!B256="B", Planilla!B256="BPAL"), VLOOKUP(E256,[1]Diccionario!B:N,13,0)="C"), "SOBREOFERTA",IF(AND(Planilla!B256="A", VLOOKUP(E256,[1]Diccionario!B:N,13,0)="A"), "OK",IF(
AND(Planilla!B256="A", OR(VLOOKUP(E256,[1]Diccionario!B:N,13,0)="B", VLOOKUP(E256,[1]Diccionario!B:N,13,0)="C")), "SOBREOFERTA",""
))))))),"")</f>
        <v/>
      </c>
      <c r="E256" s="48"/>
      <c r="F256" s="53"/>
      <c r="G256" s="54"/>
      <c r="H256" s="55" t="str">
        <f t="shared" si="57"/>
        <v/>
      </c>
      <c r="I256" s="35"/>
      <c r="J256" s="34" t="e">
        <f>IF(A256&lt;&gt;"",HLOOKUP(VALUE(TEXT(G256,"h:mm:ss")),IF($C$6="Laboral",[1]Input!$A$4:$Y$227,IF($C$6="Sábado",[1]Input!$A$231:$Y$452,[1]Input!$A$456:$Y$656)),VLOOKUP($C$4,[1]Input!$AG$2:$AI$99,3,0)+IF(C$5="Ida",0,1),1),"")</f>
        <v>#N/A</v>
      </c>
      <c r="K256" s="34" t="str">
        <f>IF(A257&lt;&gt;A256,AVERAGEIF(A$9:A256,A256,J$13:J256),"")</f>
        <v/>
      </c>
      <c r="L256" s="35" t="str">
        <f>IFERROR(IF(A257&lt;&gt;A256,AVERAGEIF(A$9:A256,A256,S$13:S256),""),"")</f>
        <v/>
      </c>
      <c r="M256" s="35" t="str">
        <f>IFERROR(IF(A257&lt;&gt;A256,AVERAGEIF(A$9:A256,A256,T$8:T256),""),"")</f>
        <v/>
      </c>
      <c r="N256" s="35" t="str" cm="1">
        <f t="array" ref="N256">IFERROR(IF(A257&lt;&gt;A256,_xlfn.STDEV.P(IF(A$9:A256=A256,T$7:T256)),""),"")</f>
        <v/>
      </c>
      <c r="O256" s="35" t="str" cm="1">
        <f t="array" ref="O256">IFERROR(IF(A257&lt;&gt;A256,_xlfn.STDEV.P(IF(A$9:A256=A256,S$7:S256)),""),"")</f>
        <v/>
      </c>
      <c r="P256" s="36" t="str">
        <f t="shared" si="50"/>
        <v/>
      </c>
      <c r="Q256" s="36" t="str">
        <f t="shared" si="51"/>
        <v/>
      </c>
      <c r="R256" s="36" t="str">
        <f t="shared" si="58"/>
        <v/>
      </c>
      <c r="S256" s="37" t="str">
        <f t="shared" si="59"/>
        <v/>
      </c>
      <c r="T256" s="37" t="str">
        <f t="shared" si="52"/>
        <v/>
      </c>
      <c r="U256" s="54"/>
      <c r="V256" s="46"/>
      <c r="W256" s="39" t="str">
        <f t="shared" si="60"/>
        <v/>
      </c>
      <c r="X256" s="38"/>
      <c r="Y256" s="48"/>
      <c r="AB256" s="56">
        <f t="shared" si="61"/>
        <v>1</v>
      </c>
      <c r="AC256" s="52"/>
      <c r="AD256" s="52"/>
      <c r="AE256" s="29" t="str">
        <f>IFERROR(
IF(AND(OR(AC256="C",AC256="c"), VLOOKUP(AF256,[1]Diccionario!B:N,13,0)="C"), "OK",IF(AND(OR(AC256="C",AC256="c"), OR(VLOOKUP(AF256,[1]Diccionario!B:N,13,0)="B", VLOOKUP(AF256,[1]Diccionario!B:N,13,0)="A")), "DEFICIT",IF(
AND(OR(AC256="B", AC256="BPAL"), VLOOKUP(AF256,[1]Diccionario!B:N,13,0)="B"), "OK",IF(AND(OR(AC256="B", AC256="BPAL"), VLOOKUP(AF256,[1]Diccionario!B:N,13,0)="A"), "DEFICIT",IF(AND(OR(AC256="B", AC256="BPAL"), VLOOKUP(AF256,[1]Diccionario!B:N,13,0)="C"), "SOBREOFERTA",IF(AND(AC256="A", VLOOKUP(AF256,[1]Diccionario!B:N,13,0)="A"), "OK",IF(
AND(AC256="A", OR(VLOOKUP(AF256,[1]Diccionario!B:N,13,0)="B", VLOOKUP(AF256,[1]Diccionario!B:N,13,0)="C")), "SOBREOFERTA",""
))))))),"")</f>
        <v/>
      </c>
      <c r="AF256" s="48"/>
      <c r="AG256" s="53"/>
      <c r="AH256" s="54"/>
      <c r="AI256" s="55" t="str">
        <f t="shared" si="62"/>
        <v/>
      </c>
      <c r="AJ256" s="46"/>
      <c r="AK256" s="34" t="e">
        <f>IF(AB256&lt;&gt;"",HLOOKUP(VALUE(TEXT(AH256,"h:mm:ss")),IF($C$6="Laboral",[1]Input!$A$4:$Y$227,IF($C$6="Sábado",[1]Input!$A$231:$Y$452,[1]Input!$A$456:$Y$656)),VLOOKUP($C$4,[1]Input!$AG$2:$AI$99,3,0)+IF(AD$5="Ida",0,1),1),"")</f>
        <v>#N/A</v>
      </c>
      <c r="AL256" s="34" t="str">
        <f>IF(AB257&lt;&gt;AB256,AVERAGEIF(AB$9:AB256,AB256,AK$9:AK256),"")</f>
        <v/>
      </c>
      <c r="AM256" s="35" t="str">
        <f>IFERROR(IF(AB257&lt;&gt;AB256,AVERAGEIF(AB$9:AB256,AB256,AT$9:AT256),""),"")</f>
        <v/>
      </c>
      <c r="AN256" s="35" t="str">
        <f>IFERROR(IF(AB257&lt;&gt;AB256,AVERAGEIF(AB$9:AB256,AB256,AU$9:AU256),""),"")</f>
        <v/>
      </c>
      <c r="AO256" s="35" t="str" cm="1">
        <f t="array" ref="AO256">IFERROR(IF(AB257&lt;&gt;AB256,_xlfn.STDEV.P(IF(AB$9:AB256=AB256,AU$9:AU256)),""),"")</f>
        <v/>
      </c>
      <c r="AP256" s="35" t="str" cm="1">
        <f t="array" ref="AP256">IFERROR(IF(AB257&lt;&gt;AB256,_xlfn.STDEV.P(IF(AB$9:AB256=AB256,AT$9:AT256)),""),"")</f>
        <v/>
      </c>
      <c r="AQ256" s="36" t="str">
        <f t="shared" si="53"/>
        <v/>
      </c>
      <c r="AR256" s="36" t="str">
        <f t="shared" si="54"/>
        <v/>
      </c>
      <c r="AS256" s="36" t="str">
        <f t="shared" si="63"/>
        <v/>
      </c>
      <c r="AT256" s="37" t="str">
        <f t="shared" si="55"/>
        <v/>
      </c>
      <c r="AU256" s="37" t="str">
        <f t="shared" si="56"/>
        <v/>
      </c>
      <c r="AV256" s="54"/>
      <c r="AW256" s="46"/>
      <c r="AX256" s="39" t="str" cm="1">
        <f t="array" ref="AX256">IF(AH256&lt;&gt;"",IF(AND(AX254:AX255&lt;&gt;"IE",AQ256&lt;&gt;0,AS256&lt;&gt;""),IF(IFERROR((AQ256/AS256),0) &lt;=1,IFERROR(AQ256/AS256,""),1),""),"")</f>
        <v/>
      </c>
      <c r="AY256" s="46"/>
      <c r="AZ256" s="57"/>
    </row>
    <row r="257" spans="1:52" ht="15.5" x14ac:dyDescent="0.35">
      <c r="A257" s="51">
        <f t="shared" si="64"/>
        <v>1</v>
      </c>
      <c r="B257" s="52"/>
      <c r="C257" s="52"/>
      <c r="D257" s="29" t="str">
        <f>IFERROR(
IF(AND(OR(Planilla!B257="C",Planilla!B257="c"), VLOOKUP(E257,[1]Diccionario!B:N,13,0)="C"), "OK",IF(AND(OR(Planilla!B257="C",Planilla!B257="c"), OR(VLOOKUP(E257,[1]Diccionario!B:N,13,0)="B", VLOOKUP(E257,[1]Diccionario!B:N,13,0)="A")), "DEFICIT",IF(
AND(OR(Planilla!B257="B", Planilla!B257="BPAL"), VLOOKUP(E257,[1]Diccionario!B:N,13,0)="B"), "OK",IF(AND(OR(Planilla!B257="B", Planilla!B257="BPAL"), VLOOKUP(E257,[1]Diccionario!B:N,13,0)="A"), "DEFICIT",IF(AND(OR(Planilla!B257="B", Planilla!B257="BPAL"), VLOOKUP(E257,[1]Diccionario!B:N,13,0)="C"), "SOBREOFERTA",IF(AND(Planilla!B257="A", VLOOKUP(E257,[1]Diccionario!B:N,13,0)="A"), "OK",IF(
AND(Planilla!B257="A", OR(VLOOKUP(E257,[1]Diccionario!B:N,13,0)="B", VLOOKUP(E257,[1]Diccionario!B:N,13,0)="C")), "SOBREOFERTA",""
))))))),"")</f>
        <v/>
      </c>
      <c r="E257" s="48"/>
      <c r="F257" s="53"/>
      <c r="G257" s="54"/>
      <c r="H257" s="55" t="str">
        <f t="shared" si="57"/>
        <v/>
      </c>
      <c r="I257" s="35"/>
      <c r="J257" s="34" t="e">
        <f>IF(A257&lt;&gt;"",HLOOKUP(VALUE(TEXT(G257,"h:mm:ss")),IF($C$6="Laboral",[1]Input!$A$4:$Y$227,IF($C$6="Sábado",[1]Input!$A$231:$Y$452,[1]Input!$A$456:$Y$656)),VLOOKUP($C$4,[1]Input!$AG$2:$AI$99,3,0)+IF(C$5="Ida",0,1),1),"")</f>
        <v>#N/A</v>
      </c>
      <c r="K257" s="34" t="str">
        <f>IF(A258&lt;&gt;A257,AVERAGEIF(A$9:A257,A257,J$13:J257),"")</f>
        <v/>
      </c>
      <c r="L257" s="35" t="str">
        <f>IFERROR(IF(A258&lt;&gt;A257,AVERAGEIF(A$9:A257,A257,S$13:S257),""),"")</f>
        <v/>
      </c>
      <c r="M257" s="35" t="str">
        <f>IFERROR(IF(A258&lt;&gt;A257,AVERAGEIF(A$9:A257,A257,T$8:T257),""),"")</f>
        <v/>
      </c>
      <c r="N257" s="35" t="str" cm="1">
        <f t="array" ref="N257">IFERROR(IF(A258&lt;&gt;A257,_xlfn.STDEV.P(IF(A$9:A257=A257,T$7:T257)),""),"")</f>
        <v/>
      </c>
      <c r="O257" s="35" t="str" cm="1">
        <f t="array" ref="O257">IFERROR(IF(A258&lt;&gt;A257,_xlfn.STDEV.P(IF(A$9:A257=A257,S$7:S257)),""),"")</f>
        <v/>
      </c>
      <c r="P257" s="36" t="str">
        <f t="shared" si="50"/>
        <v/>
      </c>
      <c r="Q257" s="36" t="str">
        <f t="shared" si="51"/>
        <v/>
      </c>
      <c r="R257" s="36" t="str">
        <f t="shared" si="58"/>
        <v/>
      </c>
      <c r="S257" s="37" t="str">
        <f t="shared" si="59"/>
        <v/>
      </c>
      <c r="T257" s="37" t="str">
        <f t="shared" si="52"/>
        <v/>
      </c>
      <c r="U257" s="54"/>
      <c r="V257" s="46"/>
      <c r="W257" s="39" t="str">
        <f t="shared" si="60"/>
        <v/>
      </c>
      <c r="X257" s="38"/>
      <c r="Y257" s="48"/>
      <c r="AB257" s="56">
        <f t="shared" si="61"/>
        <v>1</v>
      </c>
      <c r="AC257" s="52"/>
      <c r="AD257" s="52"/>
      <c r="AE257" s="29" t="str">
        <f>IFERROR(
IF(AND(OR(AC257="C",AC257="c"), VLOOKUP(AF257,[1]Diccionario!B:N,13,0)="C"), "OK",IF(AND(OR(AC257="C",AC257="c"), OR(VLOOKUP(AF257,[1]Diccionario!B:N,13,0)="B", VLOOKUP(AF257,[1]Diccionario!B:N,13,0)="A")), "DEFICIT",IF(
AND(OR(AC257="B", AC257="BPAL"), VLOOKUP(AF257,[1]Diccionario!B:N,13,0)="B"), "OK",IF(AND(OR(AC257="B", AC257="BPAL"), VLOOKUP(AF257,[1]Diccionario!B:N,13,0)="A"), "DEFICIT",IF(AND(OR(AC257="B", AC257="BPAL"), VLOOKUP(AF257,[1]Diccionario!B:N,13,0)="C"), "SOBREOFERTA",IF(AND(AC257="A", VLOOKUP(AF257,[1]Diccionario!B:N,13,0)="A"), "OK",IF(
AND(AC257="A", OR(VLOOKUP(AF257,[1]Diccionario!B:N,13,0)="B", VLOOKUP(AF257,[1]Diccionario!B:N,13,0)="C")), "SOBREOFERTA",""
))))))),"")</f>
        <v/>
      </c>
      <c r="AF257" s="48"/>
      <c r="AG257" s="53"/>
      <c r="AH257" s="54"/>
      <c r="AI257" s="55" t="str">
        <f t="shared" si="62"/>
        <v/>
      </c>
      <c r="AJ257" s="46"/>
      <c r="AK257" s="34" t="e">
        <f>IF(AB257&lt;&gt;"",HLOOKUP(VALUE(TEXT(AH257,"h:mm:ss")),IF($C$6="Laboral",[1]Input!$A$4:$Y$227,IF($C$6="Sábado",[1]Input!$A$231:$Y$452,[1]Input!$A$456:$Y$656)),VLOOKUP($C$4,[1]Input!$AG$2:$AI$99,3,0)+IF(AD$5="Ida",0,1),1),"")</f>
        <v>#N/A</v>
      </c>
      <c r="AL257" s="34" t="str">
        <f>IF(AB258&lt;&gt;AB257,AVERAGEIF(AB$9:AB257,AB257,AK$9:AK257),"")</f>
        <v/>
      </c>
      <c r="AM257" s="35" t="str">
        <f>IFERROR(IF(AB258&lt;&gt;AB257,AVERAGEIF(AB$9:AB257,AB257,AT$9:AT257),""),"")</f>
        <v/>
      </c>
      <c r="AN257" s="35" t="str">
        <f>IFERROR(IF(AB258&lt;&gt;AB257,AVERAGEIF(AB$9:AB257,AB257,AU$9:AU257),""),"")</f>
        <v/>
      </c>
      <c r="AO257" s="35" t="str" cm="1">
        <f t="array" ref="AO257">IFERROR(IF(AB258&lt;&gt;AB257,_xlfn.STDEV.P(IF(AB$9:AB257=AB257,AU$9:AU257)),""),"")</f>
        <v/>
      </c>
      <c r="AP257" s="35" t="str" cm="1">
        <f t="array" ref="AP257">IFERROR(IF(AB258&lt;&gt;AB257,_xlfn.STDEV.P(IF(AB$9:AB257=AB257,AT$9:AT257)),""),"")</f>
        <v/>
      </c>
      <c r="AQ257" s="36" t="str">
        <f t="shared" si="53"/>
        <v/>
      </c>
      <c r="AR257" s="36" t="str">
        <f t="shared" si="54"/>
        <v/>
      </c>
      <c r="AS257" s="36" t="str">
        <f t="shared" si="63"/>
        <v/>
      </c>
      <c r="AT257" s="37" t="str">
        <f t="shared" si="55"/>
        <v/>
      </c>
      <c r="AU257" s="37" t="str">
        <f t="shared" si="56"/>
        <v/>
      </c>
      <c r="AV257" s="54"/>
      <c r="AW257" s="46"/>
      <c r="AX257" s="39" t="str" cm="1">
        <f t="array" ref="AX257">IF(AH257&lt;&gt;"",IF(AND(AX255:AX256&lt;&gt;"IE",AQ257&lt;&gt;0,AS257&lt;&gt;""),IF(IFERROR((AQ257/AS257),0) &lt;=1,IFERROR(AQ257/AS257,""),1),""),"")</f>
        <v/>
      </c>
      <c r="AY257" s="46"/>
      <c r="AZ257" s="57"/>
    </row>
    <row r="258" spans="1:52" ht="15.5" x14ac:dyDescent="0.35">
      <c r="A258" s="51">
        <f t="shared" si="64"/>
        <v>1</v>
      </c>
      <c r="B258" s="52"/>
      <c r="C258" s="52"/>
      <c r="D258" s="29" t="str">
        <f>IFERROR(
IF(AND(OR(Planilla!B258="C",Planilla!B258="c"), VLOOKUP(E258,[1]Diccionario!B:N,13,0)="C"), "OK",IF(AND(OR(Planilla!B258="C",Planilla!B258="c"), OR(VLOOKUP(E258,[1]Diccionario!B:N,13,0)="B", VLOOKUP(E258,[1]Diccionario!B:N,13,0)="A")), "DEFICIT",IF(
AND(OR(Planilla!B258="B", Planilla!B258="BPAL"), VLOOKUP(E258,[1]Diccionario!B:N,13,0)="B"), "OK",IF(AND(OR(Planilla!B258="B", Planilla!B258="BPAL"), VLOOKUP(E258,[1]Diccionario!B:N,13,0)="A"), "DEFICIT",IF(AND(OR(Planilla!B258="B", Planilla!B258="BPAL"), VLOOKUP(E258,[1]Diccionario!B:N,13,0)="C"), "SOBREOFERTA",IF(AND(Planilla!B258="A", VLOOKUP(E258,[1]Diccionario!B:N,13,0)="A"), "OK",IF(
AND(Planilla!B258="A", OR(VLOOKUP(E258,[1]Diccionario!B:N,13,0)="B", VLOOKUP(E258,[1]Diccionario!B:N,13,0)="C")), "SOBREOFERTA",""
))))))),"")</f>
        <v/>
      </c>
      <c r="E258" s="48"/>
      <c r="F258" s="53"/>
      <c r="G258" s="54"/>
      <c r="H258" s="55" t="str">
        <f t="shared" si="57"/>
        <v/>
      </c>
      <c r="I258" s="35"/>
      <c r="J258" s="34" t="e">
        <f>IF(A258&lt;&gt;"",HLOOKUP(VALUE(TEXT(G258,"h:mm:ss")),IF($C$6="Laboral",[1]Input!$A$4:$Y$227,IF($C$6="Sábado",[1]Input!$A$231:$Y$452,[1]Input!$A$456:$Y$656)),VLOOKUP($C$4,[1]Input!$AG$2:$AI$99,3,0)+IF(C$5="Ida",0,1),1),"")</f>
        <v>#N/A</v>
      </c>
      <c r="K258" s="34" t="str">
        <f>IF(A259&lt;&gt;A258,AVERAGEIF(A$9:A258,A258,J$13:J258),"")</f>
        <v/>
      </c>
      <c r="L258" s="35" t="str">
        <f>IFERROR(IF(A259&lt;&gt;A258,AVERAGEIF(A$9:A258,A258,S$13:S258),""),"")</f>
        <v/>
      </c>
      <c r="M258" s="35" t="str">
        <f>IFERROR(IF(A259&lt;&gt;A258,AVERAGEIF(A$9:A258,A258,T$8:T258),""),"")</f>
        <v/>
      </c>
      <c r="N258" s="35" t="str" cm="1">
        <f t="array" ref="N258">IFERROR(IF(A259&lt;&gt;A258,_xlfn.STDEV.P(IF(A$9:A258=A258,T$7:T258)),""),"")</f>
        <v/>
      </c>
      <c r="O258" s="35" t="str" cm="1">
        <f t="array" ref="O258">IFERROR(IF(A259&lt;&gt;A258,_xlfn.STDEV.P(IF(A$9:A258=A258,S$7:S258)),""),"")</f>
        <v/>
      </c>
      <c r="P258" s="36" t="str">
        <f t="shared" si="50"/>
        <v/>
      </c>
      <c r="Q258" s="36" t="str">
        <f t="shared" si="51"/>
        <v/>
      </c>
      <c r="R258" s="36" t="str">
        <f t="shared" si="58"/>
        <v/>
      </c>
      <c r="S258" s="37" t="str">
        <f t="shared" si="59"/>
        <v/>
      </c>
      <c r="T258" s="37" t="str">
        <f t="shared" si="52"/>
        <v/>
      </c>
      <c r="U258" s="54"/>
      <c r="V258" s="46"/>
      <c r="W258" s="39" t="str">
        <f t="shared" si="60"/>
        <v/>
      </c>
      <c r="X258" s="38"/>
      <c r="Y258" s="48"/>
      <c r="AB258" s="56">
        <f t="shared" si="61"/>
        <v>1</v>
      </c>
      <c r="AC258" s="52"/>
      <c r="AD258" s="52"/>
      <c r="AE258" s="29" t="str">
        <f>IFERROR(
IF(AND(OR(AC258="C",AC258="c"), VLOOKUP(AF258,[1]Diccionario!B:N,13,0)="C"), "OK",IF(AND(OR(AC258="C",AC258="c"), OR(VLOOKUP(AF258,[1]Diccionario!B:N,13,0)="B", VLOOKUP(AF258,[1]Diccionario!B:N,13,0)="A")), "DEFICIT",IF(
AND(OR(AC258="B", AC258="BPAL"), VLOOKUP(AF258,[1]Diccionario!B:N,13,0)="B"), "OK",IF(AND(OR(AC258="B", AC258="BPAL"), VLOOKUP(AF258,[1]Diccionario!B:N,13,0)="A"), "DEFICIT",IF(AND(OR(AC258="B", AC258="BPAL"), VLOOKUP(AF258,[1]Diccionario!B:N,13,0)="C"), "SOBREOFERTA",IF(AND(AC258="A", VLOOKUP(AF258,[1]Diccionario!B:N,13,0)="A"), "OK",IF(
AND(AC258="A", OR(VLOOKUP(AF258,[1]Diccionario!B:N,13,0)="B", VLOOKUP(AF258,[1]Diccionario!B:N,13,0)="C")), "SOBREOFERTA",""
))))))),"")</f>
        <v/>
      </c>
      <c r="AF258" s="48"/>
      <c r="AG258" s="53"/>
      <c r="AH258" s="54"/>
      <c r="AI258" s="55" t="str">
        <f t="shared" si="62"/>
        <v/>
      </c>
      <c r="AJ258" s="46"/>
      <c r="AK258" s="34" t="e">
        <f>IF(AB258&lt;&gt;"",HLOOKUP(VALUE(TEXT(AH258,"h:mm:ss")),IF($C$6="Laboral",[1]Input!$A$4:$Y$227,IF($C$6="Sábado",[1]Input!$A$231:$Y$452,[1]Input!$A$456:$Y$656)),VLOOKUP($C$4,[1]Input!$AG$2:$AI$99,3,0)+IF(AD$5="Ida",0,1),1),"")</f>
        <v>#N/A</v>
      </c>
      <c r="AL258" s="34" t="str">
        <f>IF(AB259&lt;&gt;AB258,AVERAGEIF(AB$9:AB258,AB258,AK$9:AK258),"")</f>
        <v/>
      </c>
      <c r="AM258" s="35" t="str">
        <f>IFERROR(IF(AB259&lt;&gt;AB258,AVERAGEIF(AB$9:AB258,AB258,AT$9:AT258),""),"")</f>
        <v/>
      </c>
      <c r="AN258" s="35" t="str">
        <f>IFERROR(IF(AB259&lt;&gt;AB258,AVERAGEIF(AB$9:AB258,AB258,AU$9:AU258),""),"")</f>
        <v/>
      </c>
      <c r="AO258" s="35" t="str" cm="1">
        <f t="array" ref="AO258">IFERROR(IF(AB259&lt;&gt;AB258,_xlfn.STDEV.P(IF(AB$9:AB258=AB258,AU$9:AU258)),""),"")</f>
        <v/>
      </c>
      <c r="AP258" s="35" t="str" cm="1">
        <f t="array" ref="AP258">IFERROR(IF(AB259&lt;&gt;AB258,_xlfn.STDEV.P(IF(AB$9:AB258=AB258,AT$9:AT258)),""),"")</f>
        <v/>
      </c>
      <c r="AQ258" s="36" t="str">
        <f t="shared" si="53"/>
        <v/>
      </c>
      <c r="AR258" s="36" t="str">
        <f t="shared" si="54"/>
        <v/>
      </c>
      <c r="AS258" s="36" t="str">
        <f t="shared" si="63"/>
        <v/>
      </c>
      <c r="AT258" s="37" t="str">
        <f t="shared" si="55"/>
        <v/>
      </c>
      <c r="AU258" s="37" t="str">
        <f t="shared" si="56"/>
        <v/>
      </c>
      <c r="AV258" s="54"/>
      <c r="AW258" s="46"/>
      <c r="AX258" s="39" t="str" cm="1">
        <f t="array" ref="AX258">IF(AH258&lt;&gt;"",IF(AND(AX256:AX257&lt;&gt;"IE",AQ258&lt;&gt;0,AS258&lt;&gt;""),IF(IFERROR((AQ258/AS258),0) &lt;=1,IFERROR(AQ258/AS258,""),1),""),"")</f>
        <v/>
      </c>
      <c r="AY258" s="46"/>
      <c r="AZ258" s="57"/>
    </row>
    <row r="259" spans="1:52" ht="15.5" x14ac:dyDescent="0.35">
      <c r="A259" s="51">
        <f t="shared" si="64"/>
        <v>1</v>
      </c>
      <c r="B259" s="52"/>
      <c r="C259" s="52"/>
      <c r="D259" s="29" t="str">
        <f>IFERROR(
IF(AND(OR(Planilla!B259="C",Planilla!B259="c"), VLOOKUP(E259,[1]Diccionario!B:N,13,0)="C"), "OK",IF(AND(OR(Planilla!B259="C",Planilla!B259="c"), OR(VLOOKUP(E259,[1]Diccionario!B:N,13,0)="B", VLOOKUP(E259,[1]Diccionario!B:N,13,0)="A")), "DEFICIT",IF(
AND(OR(Planilla!B259="B", Planilla!B259="BPAL"), VLOOKUP(E259,[1]Diccionario!B:N,13,0)="B"), "OK",IF(AND(OR(Planilla!B259="B", Planilla!B259="BPAL"), VLOOKUP(E259,[1]Diccionario!B:N,13,0)="A"), "DEFICIT",IF(AND(OR(Planilla!B259="B", Planilla!B259="BPAL"), VLOOKUP(E259,[1]Diccionario!B:N,13,0)="C"), "SOBREOFERTA",IF(AND(Planilla!B259="A", VLOOKUP(E259,[1]Diccionario!B:N,13,0)="A"), "OK",IF(
AND(Planilla!B259="A", OR(VLOOKUP(E259,[1]Diccionario!B:N,13,0)="B", VLOOKUP(E259,[1]Diccionario!B:N,13,0)="C")), "SOBREOFERTA",""
))))))),"")</f>
        <v/>
      </c>
      <c r="E259" s="48"/>
      <c r="F259" s="53"/>
      <c r="G259" s="54"/>
      <c r="H259" s="55" t="str">
        <f t="shared" si="57"/>
        <v/>
      </c>
      <c r="I259" s="35"/>
      <c r="J259" s="34" t="e">
        <f>IF(A259&lt;&gt;"",HLOOKUP(VALUE(TEXT(G259,"h:mm:ss")),IF($C$6="Laboral",[1]Input!$A$4:$Y$227,IF($C$6="Sábado",[1]Input!$A$231:$Y$452,[1]Input!$A$456:$Y$656)),VLOOKUP($C$4,[1]Input!$AG$2:$AI$99,3,0)+IF(C$5="Ida",0,1),1),"")</f>
        <v>#N/A</v>
      </c>
      <c r="K259" s="34" t="str">
        <f>IF(A260&lt;&gt;A259,AVERAGEIF(A$9:A259,A259,J$13:J259),"")</f>
        <v/>
      </c>
      <c r="L259" s="35" t="str">
        <f>IFERROR(IF(A260&lt;&gt;A259,AVERAGEIF(A$9:A259,A259,S$13:S259),""),"")</f>
        <v/>
      </c>
      <c r="M259" s="35" t="str">
        <f>IFERROR(IF(A260&lt;&gt;A259,AVERAGEIF(A$9:A259,A259,T$8:T259),""),"")</f>
        <v/>
      </c>
      <c r="N259" s="35" t="str" cm="1">
        <f t="array" ref="N259">IFERROR(IF(A260&lt;&gt;A259,_xlfn.STDEV.P(IF(A$9:A259=A259,T$7:T259)),""),"")</f>
        <v/>
      </c>
      <c r="O259" s="35" t="str" cm="1">
        <f t="array" ref="O259">IFERROR(IF(A260&lt;&gt;A259,_xlfn.STDEV.P(IF(A$9:A259=A259,S$7:S259)),""),"")</f>
        <v/>
      </c>
      <c r="P259" s="36" t="str">
        <f t="shared" si="50"/>
        <v/>
      </c>
      <c r="Q259" s="36" t="str">
        <f t="shared" si="51"/>
        <v/>
      </c>
      <c r="R259" s="36" t="str">
        <f t="shared" si="58"/>
        <v/>
      </c>
      <c r="S259" s="37" t="str">
        <f t="shared" si="59"/>
        <v/>
      </c>
      <c r="T259" s="37" t="str">
        <f t="shared" si="52"/>
        <v/>
      </c>
      <c r="U259" s="54"/>
      <c r="V259" s="46"/>
      <c r="W259" s="39" t="str">
        <f t="shared" si="60"/>
        <v/>
      </c>
      <c r="X259" s="38"/>
      <c r="Y259" s="48"/>
      <c r="AB259" s="56">
        <f t="shared" si="61"/>
        <v>1</v>
      </c>
      <c r="AC259" s="52"/>
      <c r="AD259" s="52"/>
      <c r="AE259" s="29" t="str">
        <f>IFERROR(
IF(AND(OR(AC259="C",AC259="c"), VLOOKUP(AF259,[1]Diccionario!B:N,13,0)="C"), "OK",IF(AND(OR(AC259="C",AC259="c"), OR(VLOOKUP(AF259,[1]Diccionario!B:N,13,0)="B", VLOOKUP(AF259,[1]Diccionario!B:N,13,0)="A")), "DEFICIT",IF(
AND(OR(AC259="B", AC259="BPAL"), VLOOKUP(AF259,[1]Diccionario!B:N,13,0)="B"), "OK",IF(AND(OR(AC259="B", AC259="BPAL"), VLOOKUP(AF259,[1]Diccionario!B:N,13,0)="A"), "DEFICIT",IF(AND(OR(AC259="B", AC259="BPAL"), VLOOKUP(AF259,[1]Diccionario!B:N,13,0)="C"), "SOBREOFERTA",IF(AND(AC259="A", VLOOKUP(AF259,[1]Diccionario!B:N,13,0)="A"), "OK",IF(
AND(AC259="A", OR(VLOOKUP(AF259,[1]Diccionario!B:N,13,0)="B", VLOOKUP(AF259,[1]Diccionario!B:N,13,0)="C")), "SOBREOFERTA",""
))))))),"")</f>
        <v/>
      </c>
      <c r="AF259" s="48"/>
      <c r="AG259" s="53"/>
      <c r="AH259" s="54"/>
      <c r="AI259" s="55" t="str">
        <f t="shared" si="62"/>
        <v/>
      </c>
      <c r="AJ259" s="46"/>
      <c r="AK259" s="34" t="e">
        <f>IF(AB259&lt;&gt;"",HLOOKUP(VALUE(TEXT(AH259,"h:mm:ss")),IF($C$6="Laboral",[1]Input!$A$4:$Y$227,IF($C$6="Sábado",[1]Input!$A$231:$Y$452,[1]Input!$A$456:$Y$656)),VLOOKUP($C$4,[1]Input!$AG$2:$AI$99,3,0)+IF(AD$5="Ida",0,1),1),"")</f>
        <v>#N/A</v>
      </c>
      <c r="AL259" s="34" t="str">
        <f>IF(AB260&lt;&gt;AB259,AVERAGEIF(AB$9:AB259,AB259,AK$9:AK259),"")</f>
        <v/>
      </c>
      <c r="AM259" s="35" t="str">
        <f>IFERROR(IF(AB260&lt;&gt;AB259,AVERAGEIF(AB$9:AB259,AB259,AT$9:AT259),""),"")</f>
        <v/>
      </c>
      <c r="AN259" s="35" t="str">
        <f>IFERROR(IF(AB260&lt;&gt;AB259,AVERAGEIF(AB$9:AB259,AB259,AU$9:AU259),""),"")</f>
        <v/>
      </c>
      <c r="AO259" s="35" t="str" cm="1">
        <f t="array" ref="AO259">IFERROR(IF(AB260&lt;&gt;AB259,_xlfn.STDEV.P(IF(AB$9:AB259=AB259,AU$9:AU259)),""),"")</f>
        <v/>
      </c>
      <c r="AP259" s="35" t="str" cm="1">
        <f t="array" ref="AP259">IFERROR(IF(AB260&lt;&gt;AB259,_xlfn.STDEV.P(IF(AB$9:AB259=AB259,AT$9:AT259)),""),"")</f>
        <v/>
      </c>
      <c r="AQ259" s="36" t="str">
        <f t="shared" si="53"/>
        <v/>
      </c>
      <c r="AR259" s="36" t="str">
        <f t="shared" si="54"/>
        <v/>
      </c>
      <c r="AS259" s="36" t="str">
        <f t="shared" si="63"/>
        <v/>
      </c>
      <c r="AT259" s="37" t="str">
        <f t="shared" si="55"/>
        <v/>
      </c>
      <c r="AU259" s="37" t="str">
        <f t="shared" si="56"/>
        <v/>
      </c>
      <c r="AV259" s="54"/>
      <c r="AW259" s="46"/>
      <c r="AX259" s="39" t="str" cm="1">
        <f t="array" ref="AX259">IF(AH259&lt;&gt;"",IF(AND(AX257:AX258&lt;&gt;"IE",AQ259&lt;&gt;0,AS259&lt;&gt;""),IF(IFERROR((AQ259/AS259),0) &lt;=1,IFERROR(AQ259/AS259,""),1),""),"")</f>
        <v/>
      </c>
      <c r="AY259" s="46"/>
      <c r="AZ259" s="57"/>
    </row>
    <row r="260" spans="1:52" ht="15.5" x14ac:dyDescent="0.35">
      <c r="A260" s="51">
        <f t="shared" si="64"/>
        <v>1</v>
      </c>
      <c r="B260" s="52"/>
      <c r="C260" s="52"/>
      <c r="D260" s="29" t="str">
        <f>IFERROR(
IF(AND(OR(Planilla!B260="C",Planilla!B260="c"), VLOOKUP(E260,[1]Diccionario!B:N,13,0)="C"), "OK",IF(AND(OR(Planilla!B260="C",Planilla!B260="c"), OR(VLOOKUP(E260,[1]Diccionario!B:N,13,0)="B", VLOOKUP(E260,[1]Diccionario!B:N,13,0)="A")), "DEFICIT",IF(
AND(OR(Planilla!B260="B", Planilla!B260="BPAL"), VLOOKUP(E260,[1]Diccionario!B:N,13,0)="B"), "OK",IF(AND(OR(Planilla!B260="B", Planilla!B260="BPAL"), VLOOKUP(E260,[1]Diccionario!B:N,13,0)="A"), "DEFICIT",IF(AND(OR(Planilla!B260="B", Planilla!B260="BPAL"), VLOOKUP(E260,[1]Diccionario!B:N,13,0)="C"), "SOBREOFERTA",IF(AND(Planilla!B260="A", VLOOKUP(E260,[1]Diccionario!B:N,13,0)="A"), "OK",IF(
AND(Planilla!B260="A", OR(VLOOKUP(E260,[1]Diccionario!B:N,13,0)="B", VLOOKUP(E260,[1]Diccionario!B:N,13,0)="C")), "SOBREOFERTA",""
))))))),"")</f>
        <v/>
      </c>
      <c r="E260" s="48"/>
      <c r="F260" s="53"/>
      <c r="G260" s="54"/>
      <c r="H260" s="55" t="str">
        <f t="shared" si="57"/>
        <v/>
      </c>
      <c r="I260" s="35"/>
      <c r="J260" s="34" t="e">
        <f>IF(A260&lt;&gt;"",HLOOKUP(VALUE(TEXT(G260,"h:mm:ss")),IF($C$6="Laboral",[1]Input!$A$4:$Y$227,IF($C$6="Sábado",[1]Input!$A$231:$Y$452,[1]Input!$A$456:$Y$656)),VLOOKUP($C$4,[1]Input!$AG$2:$AI$99,3,0)+IF(C$5="Ida",0,1),1),"")</f>
        <v>#N/A</v>
      </c>
      <c r="K260" s="34" t="str">
        <f>IF(A261&lt;&gt;A260,AVERAGEIF(A$9:A260,A260,J$13:J260),"")</f>
        <v/>
      </c>
      <c r="L260" s="35" t="str">
        <f>IFERROR(IF(A261&lt;&gt;A260,AVERAGEIF(A$9:A260,A260,S$13:S260),""),"")</f>
        <v/>
      </c>
      <c r="M260" s="35" t="str">
        <f>IFERROR(IF(A261&lt;&gt;A260,AVERAGEIF(A$9:A260,A260,T$8:T260),""),"")</f>
        <v/>
      </c>
      <c r="N260" s="35" t="str" cm="1">
        <f t="array" ref="N260">IFERROR(IF(A261&lt;&gt;A260,_xlfn.STDEV.P(IF(A$9:A260=A260,T$7:T260)),""),"")</f>
        <v/>
      </c>
      <c r="O260" s="35" t="str" cm="1">
        <f t="array" ref="O260">IFERROR(IF(A261&lt;&gt;A260,_xlfn.STDEV.P(IF(A$9:A260=A260,S$7:S260)),""),"")</f>
        <v/>
      </c>
      <c r="P260" s="36" t="str">
        <f t="shared" si="50"/>
        <v/>
      </c>
      <c r="Q260" s="36" t="str">
        <f t="shared" si="51"/>
        <v/>
      </c>
      <c r="R260" s="36" t="str">
        <f t="shared" si="58"/>
        <v/>
      </c>
      <c r="S260" s="37" t="str">
        <f t="shared" si="59"/>
        <v/>
      </c>
      <c r="T260" s="37" t="str">
        <f t="shared" si="52"/>
        <v/>
      </c>
      <c r="U260" s="54"/>
      <c r="V260" s="46"/>
      <c r="W260" s="39" t="str">
        <f t="shared" si="60"/>
        <v/>
      </c>
      <c r="X260" s="38"/>
      <c r="Y260" s="48"/>
      <c r="AB260" s="56">
        <f t="shared" si="61"/>
        <v>1</v>
      </c>
      <c r="AC260" s="52"/>
      <c r="AD260" s="52"/>
      <c r="AE260" s="29" t="str">
        <f>IFERROR(
IF(AND(OR(AC260="C",AC260="c"), VLOOKUP(AF260,[1]Diccionario!B:N,13,0)="C"), "OK",IF(AND(OR(AC260="C",AC260="c"), OR(VLOOKUP(AF260,[1]Diccionario!B:N,13,0)="B", VLOOKUP(AF260,[1]Diccionario!B:N,13,0)="A")), "DEFICIT",IF(
AND(OR(AC260="B", AC260="BPAL"), VLOOKUP(AF260,[1]Diccionario!B:N,13,0)="B"), "OK",IF(AND(OR(AC260="B", AC260="BPAL"), VLOOKUP(AF260,[1]Diccionario!B:N,13,0)="A"), "DEFICIT",IF(AND(OR(AC260="B", AC260="BPAL"), VLOOKUP(AF260,[1]Diccionario!B:N,13,0)="C"), "SOBREOFERTA",IF(AND(AC260="A", VLOOKUP(AF260,[1]Diccionario!B:N,13,0)="A"), "OK",IF(
AND(AC260="A", OR(VLOOKUP(AF260,[1]Diccionario!B:N,13,0)="B", VLOOKUP(AF260,[1]Diccionario!B:N,13,0)="C")), "SOBREOFERTA",""
))))))),"")</f>
        <v/>
      </c>
      <c r="AF260" s="48"/>
      <c r="AG260" s="53"/>
      <c r="AH260" s="54"/>
      <c r="AI260" s="55" t="str">
        <f t="shared" si="62"/>
        <v/>
      </c>
      <c r="AJ260" s="46"/>
      <c r="AK260" s="34" t="e">
        <f>IF(AB260&lt;&gt;"",HLOOKUP(VALUE(TEXT(AH260,"h:mm:ss")),IF($C$6="Laboral",[1]Input!$A$4:$Y$227,IF($C$6="Sábado",[1]Input!$A$231:$Y$452,[1]Input!$A$456:$Y$656)),VLOOKUP($C$4,[1]Input!$AG$2:$AI$99,3,0)+IF(AD$5="Ida",0,1),1),"")</f>
        <v>#N/A</v>
      </c>
      <c r="AL260" s="34" t="str">
        <f>IF(AB261&lt;&gt;AB260,AVERAGEIF(AB$9:AB260,AB260,AK$9:AK260),"")</f>
        <v/>
      </c>
      <c r="AM260" s="35" t="str">
        <f>IFERROR(IF(AB261&lt;&gt;AB260,AVERAGEIF(AB$9:AB260,AB260,AT$9:AT260),""),"")</f>
        <v/>
      </c>
      <c r="AN260" s="35" t="str">
        <f>IFERROR(IF(AB261&lt;&gt;AB260,AVERAGEIF(AB$9:AB260,AB260,AU$9:AU260),""),"")</f>
        <v/>
      </c>
      <c r="AO260" s="35" t="str" cm="1">
        <f t="array" ref="AO260">IFERROR(IF(AB261&lt;&gt;AB260,_xlfn.STDEV.P(IF(AB$9:AB260=AB260,AU$9:AU260)),""),"")</f>
        <v/>
      </c>
      <c r="AP260" s="35" t="str" cm="1">
        <f t="array" ref="AP260">IFERROR(IF(AB261&lt;&gt;AB260,_xlfn.STDEV.P(IF(AB$9:AB260=AB260,AT$9:AT260)),""),"")</f>
        <v/>
      </c>
      <c r="AQ260" s="36" t="str">
        <f t="shared" si="53"/>
        <v/>
      </c>
      <c r="AR260" s="36" t="str">
        <f t="shared" si="54"/>
        <v/>
      </c>
      <c r="AS260" s="36" t="str">
        <f t="shared" si="63"/>
        <v/>
      </c>
      <c r="AT260" s="37" t="str">
        <f t="shared" si="55"/>
        <v/>
      </c>
      <c r="AU260" s="37" t="str">
        <f t="shared" si="56"/>
        <v/>
      </c>
      <c r="AV260" s="54"/>
      <c r="AW260" s="46"/>
      <c r="AX260" s="39" t="str" cm="1">
        <f t="array" ref="AX260">IF(AH260&lt;&gt;"",IF(AND(AX258:AX259&lt;&gt;"IE",AQ260&lt;&gt;0,AS260&lt;&gt;""),IF(IFERROR((AQ260/AS260),0) &lt;=1,IFERROR(AQ260/AS260,""),1),""),"")</f>
        <v/>
      </c>
      <c r="AY260" s="46"/>
      <c r="AZ260" s="57"/>
    </row>
    <row r="261" spans="1:52" ht="15.5" x14ac:dyDescent="0.35">
      <c r="A261" s="51">
        <f t="shared" si="64"/>
        <v>1</v>
      </c>
      <c r="B261" s="52"/>
      <c r="C261" s="52"/>
      <c r="D261" s="29" t="str">
        <f>IFERROR(
IF(AND(OR(Planilla!B261="C",Planilla!B261="c"), VLOOKUP(E261,[1]Diccionario!B:N,13,0)="C"), "OK",IF(AND(OR(Planilla!B261="C",Planilla!B261="c"), OR(VLOOKUP(E261,[1]Diccionario!B:N,13,0)="B", VLOOKUP(E261,[1]Diccionario!B:N,13,0)="A")), "DEFICIT",IF(
AND(OR(Planilla!B261="B", Planilla!B261="BPAL"), VLOOKUP(E261,[1]Diccionario!B:N,13,0)="B"), "OK",IF(AND(OR(Planilla!B261="B", Planilla!B261="BPAL"), VLOOKUP(E261,[1]Diccionario!B:N,13,0)="A"), "DEFICIT",IF(AND(OR(Planilla!B261="B", Planilla!B261="BPAL"), VLOOKUP(E261,[1]Diccionario!B:N,13,0)="C"), "SOBREOFERTA",IF(AND(Planilla!B261="A", VLOOKUP(E261,[1]Diccionario!B:N,13,0)="A"), "OK",IF(
AND(Planilla!B261="A", OR(VLOOKUP(E261,[1]Diccionario!B:N,13,0)="B", VLOOKUP(E261,[1]Diccionario!B:N,13,0)="C")), "SOBREOFERTA",""
))))))),"")</f>
        <v/>
      </c>
      <c r="E261" s="48"/>
      <c r="F261" s="53"/>
      <c r="G261" s="54"/>
      <c r="H261" s="55" t="str">
        <f t="shared" si="57"/>
        <v/>
      </c>
      <c r="I261" s="35"/>
      <c r="J261" s="34" t="e">
        <f>IF(A261&lt;&gt;"",HLOOKUP(VALUE(TEXT(G261,"h:mm:ss")),IF($C$6="Laboral",[1]Input!$A$4:$Y$227,IF($C$6="Sábado",[1]Input!$A$231:$Y$452,[1]Input!$A$456:$Y$656)),VLOOKUP($C$4,[1]Input!$AG$2:$AI$99,3,0)+IF(C$5="Ida",0,1),1),"")</f>
        <v>#N/A</v>
      </c>
      <c r="K261" s="34" t="str">
        <f>IF(A262&lt;&gt;A261,AVERAGEIF(A$9:A261,A261,J$13:J261),"")</f>
        <v/>
      </c>
      <c r="L261" s="35" t="str">
        <f>IFERROR(IF(A262&lt;&gt;A261,AVERAGEIF(A$9:A261,A261,S$13:S261),""),"")</f>
        <v/>
      </c>
      <c r="M261" s="35" t="str">
        <f>IFERROR(IF(A262&lt;&gt;A261,AVERAGEIF(A$9:A261,A261,T$8:T261),""),"")</f>
        <v/>
      </c>
      <c r="N261" s="35" t="str" cm="1">
        <f t="array" ref="N261">IFERROR(IF(A262&lt;&gt;A261,_xlfn.STDEV.P(IF(A$9:A261=A261,T$7:T261)),""),"")</f>
        <v/>
      </c>
      <c r="O261" s="35" t="str" cm="1">
        <f t="array" ref="O261">IFERROR(IF(A262&lt;&gt;A261,_xlfn.STDEV.P(IF(A$9:A261=A261,S$7:S261)),""),"")</f>
        <v/>
      </c>
      <c r="P261" s="36" t="str">
        <f t="shared" si="50"/>
        <v/>
      </c>
      <c r="Q261" s="36" t="str">
        <f t="shared" si="51"/>
        <v/>
      </c>
      <c r="R261" s="36" t="str">
        <f t="shared" si="58"/>
        <v/>
      </c>
      <c r="S261" s="37" t="str">
        <f t="shared" si="59"/>
        <v/>
      </c>
      <c r="T261" s="37" t="str">
        <f t="shared" si="52"/>
        <v/>
      </c>
      <c r="U261" s="54"/>
      <c r="V261" s="46"/>
      <c r="W261" s="39" t="str">
        <f t="shared" si="60"/>
        <v/>
      </c>
      <c r="X261" s="38"/>
      <c r="Y261" s="48"/>
      <c r="AB261" s="56">
        <f t="shared" si="61"/>
        <v>1</v>
      </c>
      <c r="AC261" s="52"/>
      <c r="AD261" s="52"/>
      <c r="AE261" s="29" t="str">
        <f>IFERROR(
IF(AND(OR(AC261="C",AC261="c"), VLOOKUP(AF261,[1]Diccionario!B:N,13,0)="C"), "OK",IF(AND(OR(AC261="C",AC261="c"), OR(VLOOKUP(AF261,[1]Diccionario!B:N,13,0)="B", VLOOKUP(AF261,[1]Diccionario!B:N,13,0)="A")), "DEFICIT",IF(
AND(OR(AC261="B", AC261="BPAL"), VLOOKUP(AF261,[1]Diccionario!B:N,13,0)="B"), "OK",IF(AND(OR(AC261="B", AC261="BPAL"), VLOOKUP(AF261,[1]Diccionario!B:N,13,0)="A"), "DEFICIT",IF(AND(OR(AC261="B", AC261="BPAL"), VLOOKUP(AF261,[1]Diccionario!B:N,13,0)="C"), "SOBREOFERTA",IF(AND(AC261="A", VLOOKUP(AF261,[1]Diccionario!B:N,13,0)="A"), "OK",IF(
AND(AC261="A", OR(VLOOKUP(AF261,[1]Diccionario!B:N,13,0)="B", VLOOKUP(AF261,[1]Diccionario!B:N,13,0)="C")), "SOBREOFERTA",""
))))))),"")</f>
        <v/>
      </c>
      <c r="AF261" s="48"/>
      <c r="AG261" s="53"/>
      <c r="AH261" s="54"/>
      <c r="AI261" s="55" t="str">
        <f t="shared" si="62"/>
        <v/>
      </c>
      <c r="AJ261" s="46"/>
      <c r="AK261" s="34" t="e">
        <f>IF(AB261&lt;&gt;"",HLOOKUP(VALUE(TEXT(AH261,"h:mm:ss")),IF($C$6="Laboral",[1]Input!$A$4:$Y$227,IF($C$6="Sábado",[1]Input!$A$231:$Y$452,[1]Input!$A$456:$Y$656)),VLOOKUP($C$4,[1]Input!$AG$2:$AI$99,3,0)+IF(AD$5="Ida",0,1),1),"")</f>
        <v>#N/A</v>
      </c>
      <c r="AL261" s="34" t="str">
        <f>IF(AB262&lt;&gt;AB261,AVERAGEIF(AB$9:AB261,AB261,AK$9:AK261),"")</f>
        <v/>
      </c>
      <c r="AM261" s="35" t="str">
        <f>IFERROR(IF(AB262&lt;&gt;AB261,AVERAGEIF(AB$9:AB261,AB261,AT$9:AT261),""),"")</f>
        <v/>
      </c>
      <c r="AN261" s="35" t="str">
        <f>IFERROR(IF(AB262&lt;&gt;AB261,AVERAGEIF(AB$9:AB261,AB261,AU$9:AU261),""),"")</f>
        <v/>
      </c>
      <c r="AO261" s="35" t="str" cm="1">
        <f t="array" ref="AO261">IFERROR(IF(AB262&lt;&gt;AB261,_xlfn.STDEV.P(IF(AB$9:AB261=AB261,AU$9:AU261)),""),"")</f>
        <v/>
      </c>
      <c r="AP261" s="35" t="str" cm="1">
        <f t="array" ref="AP261">IFERROR(IF(AB262&lt;&gt;AB261,_xlfn.STDEV.P(IF(AB$9:AB261=AB261,AT$9:AT261)),""),"")</f>
        <v/>
      </c>
      <c r="AQ261" s="36" t="str">
        <f t="shared" si="53"/>
        <v/>
      </c>
      <c r="AR261" s="36" t="str">
        <f t="shared" si="54"/>
        <v/>
      </c>
      <c r="AS261" s="36" t="str">
        <f t="shared" si="63"/>
        <v/>
      </c>
      <c r="AT261" s="37" t="str">
        <f t="shared" si="55"/>
        <v/>
      </c>
      <c r="AU261" s="37" t="str">
        <f t="shared" si="56"/>
        <v/>
      </c>
      <c r="AV261" s="54"/>
      <c r="AW261" s="46"/>
      <c r="AX261" s="39" t="str" cm="1">
        <f t="array" ref="AX261">IF(AH261&lt;&gt;"",IF(AND(AX259:AX260&lt;&gt;"IE",AQ261&lt;&gt;0,AS261&lt;&gt;""),IF(IFERROR((AQ261/AS261),0) &lt;=1,IFERROR(AQ261/AS261,""),1),""),"")</f>
        <v/>
      </c>
      <c r="AY261" s="46"/>
      <c r="AZ261" s="57"/>
    </row>
    <row r="262" spans="1:52" ht="15.5" x14ac:dyDescent="0.35">
      <c r="A262" s="51">
        <f t="shared" si="64"/>
        <v>1</v>
      </c>
      <c r="B262" s="52"/>
      <c r="C262" s="52"/>
      <c r="D262" s="29" t="str">
        <f>IFERROR(
IF(AND(OR(Planilla!B262="C",Planilla!B262="c"), VLOOKUP(E262,[1]Diccionario!B:N,13,0)="C"), "OK",IF(AND(OR(Planilla!B262="C",Planilla!B262="c"), OR(VLOOKUP(E262,[1]Diccionario!B:N,13,0)="B", VLOOKUP(E262,[1]Diccionario!B:N,13,0)="A")), "DEFICIT",IF(
AND(OR(Planilla!B262="B", Planilla!B262="BPAL"), VLOOKUP(E262,[1]Diccionario!B:N,13,0)="B"), "OK",IF(AND(OR(Planilla!B262="B", Planilla!B262="BPAL"), VLOOKUP(E262,[1]Diccionario!B:N,13,0)="A"), "DEFICIT",IF(AND(OR(Planilla!B262="B", Planilla!B262="BPAL"), VLOOKUP(E262,[1]Diccionario!B:N,13,0)="C"), "SOBREOFERTA",IF(AND(Planilla!B262="A", VLOOKUP(E262,[1]Diccionario!B:N,13,0)="A"), "OK",IF(
AND(Planilla!B262="A", OR(VLOOKUP(E262,[1]Diccionario!B:N,13,0)="B", VLOOKUP(E262,[1]Diccionario!B:N,13,0)="C")), "SOBREOFERTA",""
))))))),"")</f>
        <v/>
      </c>
      <c r="E262" s="48"/>
      <c r="F262" s="53"/>
      <c r="G262" s="54"/>
      <c r="H262" s="55" t="str">
        <f t="shared" si="57"/>
        <v/>
      </c>
      <c r="I262" s="35"/>
      <c r="J262" s="34" t="e">
        <f>IF(A262&lt;&gt;"",HLOOKUP(VALUE(TEXT(G262,"h:mm:ss")),IF($C$6="Laboral",[1]Input!$A$4:$Y$227,IF($C$6="Sábado",[1]Input!$A$231:$Y$452,[1]Input!$A$456:$Y$656)),VLOOKUP($C$4,[1]Input!$AG$2:$AI$99,3,0)+IF(C$5="Ida",0,1),1),"")</f>
        <v>#N/A</v>
      </c>
      <c r="K262" s="34" t="str">
        <f>IF(A263&lt;&gt;A262,AVERAGEIF(A$9:A262,A262,J$13:J262),"")</f>
        <v/>
      </c>
      <c r="L262" s="35" t="str">
        <f>IFERROR(IF(A263&lt;&gt;A262,AVERAGEIF(A$9:A262,A262,S$13:S262),""),"")</f>
        <v/>
      </c>
      <c r="M262" s="35" t="str">
        <f>IFERROR(IF(A263&lt;&gt;A262,AVERAGEIF(A$9:A262,A262,T$8:T262),""),"")</f>
        <v/>
      </c>
      <c r="N262" s="35" t="str" cm="1">
        <f t="array" ref="N262">IFERROR(IF(A263&lt;&gt;A262,_xlfn.STDEV.P(IF(A$9:A262=A262,T$7:T262)),""),"")</f>
        <v/>
      </c>
      <c r="O262" s="35" t="str" cm="1">
        <f t="array" ref="O262">IFERROR(IF(A263&lt;&gt;A262,_xlfn.STDEV.P(IF(A$9:A262=A262,S$7:S262)),""),"")</f>
        <v/>
      </c>
      <c r="P262" s="36" t="str">
        <f t="shared" si="50"/>
        <v/>
      </c>
      <c r="Q262" s="36" t="str">
        <f t="shared" si="51"/>
        <v/>
      </c>
      <c r="R262" s="36" t="str">
        <f t="shared" si="58"/>
        <v/>
      </c>
      <c r="S262" s="37" t="str">
        <f t="shared" si="59"/>
        <v/>
      </c>
      <c r="T262" s="37" t="str">
        <f t="shared" si="52"/>
        <v/>
      </c>
      <c r="U262" s="54"/>
      <c r="V262" s="46"/>
      <c r="W262" s="39" t="str">
        <f t="shared" si="60"/>
        <v/>
      </c>
      <c r="X262" s="38"/>
      <c r="Y262" s="48"/>
      <c r="AB262" s="56">
        <f t="shared" si="61"/>
        <v>1</v>
      </c>
      <c r="AC262" s="52"/>
      <c r="AD262" s="52"/>
      <c r="AE262" s="29" t="str">
        <f>IFERROR(
IF(AND(OR(AC262="C",AC262="c"), VLOOKUP(AF262,[1]Diccionario!B:N,13,0)="C"), "OK",IF(AND(OR(AC262="C",AC262="c"), OR(VLOOKUP(AF262,[1]Diccionario!B:N,13,0)="B", VLOOKUP(AF262,[1]Diccionario!B:N,13,0)="A")), "DEFICIT",IF(
AND(OR(AC262="B", AC262="BPAL"), VLOOKUP(AF262,[1]Diccionario!B:N,13,0)="B"), "OK",IF(AND(OR(AC262="B", AC262="BPAL"), VLOOKUP(AF262,[1]Diccionario!B:N,13,0)="A"), "DEFICIT",IF(AND(OR(AC262="B", AC262="BPAL"), VLOOKUP(AF262,[1]Diccionario!B:N,13,0)="C"), "SOBREOFERTA",IF(AND(AC262="A", VLOOKUP(AF262,[1]Diccionario!B:N,13,0)="A"), "OK",IF(
AND(AC262="A", OR(VLOOKUP(AF262,[1]Diccionario!B:N,13,0)="B", VLOOKUP(AF262,[1]Diccionario!B:N,13,0)="C")), "SOBREOFERTA",""
))))))),"")</f>
        <v/>
      </c>
      <c r="AF262" s="48"/>
      <c r="AG262" s="53"/>
      <c r="AH262" s="54"/>
      <c r="AI262" s="55" t="str">
        <f t="shared" si="62"/>
        <v/>
      </c>
      <c r="AJ262" s="46"/>
      <c r="AK262" s="34" t="e">
        <f>IF(AB262&lt;&gt;"",HLOOKUP(VALUE(TEXT(AH262,"h:mm:ss")),IF($C$6="Laboral",[1]Input!$A$4:$Y$227,IF($C$6="Sábado",[1]Input!$A$231:$Y$452,[1]Input!$A$456:$Y$656)),VLOOKUP($C$4,[1]Input!$AG$2:$AI$99,3,0)+IF(AD$5="Ida",0,1),1),"")</f>
        <v>#N/A</v>
      </c>
      <c r="AL262" s="34" t="str">
        <f>IF(AB263&lt;&gt;AB262,AVERAGEIF(AB$9:AB262,AB262,AK$9:AK262),"")</f>
        <v/>
      </c>
      <c r="AM262" s="35" t="str">
        <f>IFERROR(IF(AB263&lt;&gt;AB262,AVERAGEIF(AB$9:AB262,AB262,AT$9:AT262),""),"")</f>
        <v/>
      </c>
      <c r="AN262" s="35" t="str">
        <f>IFERROR(IF(AB263&lt;&gt;AB262,AVERAGEIF(AB$9:AB262,AB262,AU$9:AU262),""),"")</f>
        <v/>
      </c>
      <c r="AO262" s="35" t="str" cm="1">
        <f t="array" ref="AO262">IFERROR(IF(AB263&lt;&gt;AB262,_xlfn.STDEV.P(IF(AB$9:AB262=AB262,AU$9:AU262)),""),"")</f>
        <v/>
      </c>
      <c r="AP262" s="35" t="str" cm="1">
        <f t="array" ref="AP262">IFERROR(IF(AB263&lt;&gt;AB262,_xlfn.STDEV.P(IF(AB$9:AB262=AB262,AT$9:AT262)),""),"")</f>
        <v/>
      </c>
      <c r="AQ262" s="36" t="str">
        <f t="shared" si="53"/>
        <v/>
      </c>
      <c r="AR262" s="36" t="str">
        <f t="shared" si="54"/>
        <v/>
      </c>
      <c r="AS262" s="36" t="str">
        <f t="shared" si="63"/>
        <v/>
      </c>
      <c r="AT262" s="37" t="str">
        <f t="shared" si="55"/>
        <v/>
      </c>
      <c r="AU262" s="37" t="str">
        <f t="shared" si="56"/>
        <v/>
      </c>
      <c r="AV262" s="54"/>
      <c r="AW262" s="46"/>
      <c r="AX262" s="39" t="str" cm="1">
        <f t="array" ref="AX262">IF(AH262&lt;&gt;"",IF(AND(AX260:AX261&lt;&gt;"IE",AQ262&lt;&gt;0,AS262&lt;&gt;""),IF(IFERROR((AQ262/AS262),0) &lt;=1,IFERROR(AQ262/AS262,""),1),""),"")</f>
        <v/>
      </c>
      <c r="AY262" s="46"/>
      <c r="AZ262" s="57"/>
    </row>
    <row r="263" spans="1:52" ht="15.5" x14ac:dyDescent="0.35">
      <c r="A263" s="51">
        <f t="shared" si="64"/>
        <v>1</v>
      </c>
      <c r="B263" s="52"/>
      <c r="C263" s="52"/>
      <c r="D263" s="29" t="str">
        <f>IFERROR(
IF(AND(OR(Planilla!B263="C",Planilla!B263="c"), VLOOKUP(E263,[1]Diccionario!B:N,13,0)="C"), "OK",IF(AND(OR(Planilla!B263="C",Planilla!B263="c"), OR(VLOOKUP(E263,[1]Diccionario!B:N,13,0)="B", VLOOKUP(E263,[1]Diccionario!B:N,13,0)="A")), "DEFICIT",IF(
AND(OR(Planilla!B263="B", Planilla!B263="BPAL"), VLOOKUP(E263,[1]Diccionario!B:N,13,0)="B"), "OK",IF(AND(OR(Planilla!B263="B", Planilla!B263="BPAL"), VLOOKUP(E263,[1]Diccionario!B:N,13,0)="A"), "DEFICIT",IF(AND(OR(Planilla!B263="B", Planilla!B263="BPAL"), VLOOKUP(E263,[1]Diccionario!B:N,13,0)="C"), "SOBREOFERTA",IF(AND(Planilla!B263="A", VLOOKUP(E263,[1]Diccionario!B:N,13,0)="A"), "OK",IF(
AND(Planilla!B263="A", OR(VLOOKUP(E263,[1]Diccionario!B:N,13,0)="B", VLOOKUP(E263,[1]Diccionario!B:N,13,0)="C")), "SOBREOFERTA",""
))))))),"")</f>
        <v/>
      </c>
      <c r="E263" s="48"/>
      <c r="F263" s="53"/>
      <c r="G263" s="54"/>
      <c r="H263" s="55" t="str">
        <f t="shared" si="57"/>
        <v/>
      </c>
      <c r="I263" s="35"/>
      <c r="J263" s="34" t="e">
        <f>IF(A263&lt;&gt;"",HLOOKUP(VALUE(TEXT(G263,"h:mm:ss")),IF($C$6="Laboral",[1]Input!$A$4:$Y$227,IF($C$6="Sábado",[1]Input!$A$231:$Y$452,[1]Input!$A$456:$Y$656)),VLOOKUP($C$4,[1]Input!$AG$2:$AI$99,3,0)+IF(C$5="Ida",0,1),1),"")</f>
        <v>#N/A</v>
      </c>
      <c r="K263" s="34" t="str">
        <f>IF(A264&lt;&gt;A263,AVERAGEIF(A$9:A263,A263,J$13:J263),"")</f>
        <v/>
      </c>
      <c r="L263" s="35" t="str">
        <f>IFERROR(IF(A264&lt;&gt;A263,AVERAGEIF(A$9:A263,A263,S$13:S263),""),"")</f>
        <v/>
      </c>
      <c r="M263" s="35" t="str">
        <f>IFERROR(IF(A264&lt;&gt;A263,AVERAGEIF(A$9:A263,A263,T$8:T263),""),"")</f>
        <v/>
      </c>
      <c r="N263" s="35" t="str" cm="1">
        <f t="array" ref="N263">IFERROR(IF(A264&lt;&gt;A263,_xlfn.STDEV.P(IF(A$9:A263=A263,T$7:T263)),""),"")</f>
        <v/>
      </c>
      <c r="O263" s="35" t="str" cm="1">
        <f t="array" ref="O263">IFERROR(IF(A264&lt;&gt;A263,_xlfn.STDEV.P(IF(A$9:A263=A263,S$7:S263)),""),"")</f>
        <v/>
      </c>
      <c r="P263" s="36" t="str">
        <f t="shared" si="50"/>
        <v/>
      </c>
      <c r="Q263" s="36" t="str">
        <f t="shared" si="51"/>
        <v/>
      </c>
      <c r="R263" s="36" t="str">
        <f t="shared" si="58"/>
        <v/>
      </c>
      <c r="S263" s="37" t="str">
        <f t="shared" si="59"/>
        <v/>
      </c>
      <c r="T263" s="37" t="str">
        <f t="shared" si="52"/>
        <v/>
      </c>
      <c r="U263" s="54"/>
      <c r="V263" s="46"/>
      <c r="W263" s="39" t="str">
        <f t="shared" si="60"/>
        <v/>
      </c>
      <c r="X263" s="38"/>
      <c r="Y263" s="48"/>
      <c r="AB263" s="56">
        <f t="shared" si="61"/>
        <v>1</v>
      </c>
      <c r="AC263" s="52"/>
      <c r="AD263" s="52"/>
      <c r="AE263" s="29" t="str">
        <f>IFERROR(
IF(AND(OR(AC263="C",AC263="c"), VLOOKUP(AF263,[1]Diccionario!B:N,13,0)="C"), "OK",IF(AND(OR(AC263="C",AC263="c"), OR(VLOOKUP(AF263,[1]Diccionario!B:N,13,0)="B", VLOOKUP(AF263,[1]Diccionario!B:N,13,0)="A")), "DEFICIT",IF(
AND(OR(AC263="B", AC263="BPAL"), VLOOKUP(AF263,[1]Diccionario!B:N,13,0)="B"), "OK",IF(AND(OR(AC263="B", AC263="BPAL"), VLOOKUP(AF263,[1]Diccionario!B:N,13,0)="A"), "DEFICIT",IF(AND(OR(AC263="B", AC263="BPAL"), VLOOKUP(AF263,[1]Diccionario!B:N,13,0)="C"), "SOBREOFERTA",IF(AND(AC263="A", VLOOKUP(AF263,[1]Diccionario!B:N,13,0)="A"), "OK",IF(
AND(AC263="A", OR(VLOOKUP(AF263,[1]Diccionario!B:N,13,0)="B", VLOOKUP(AF263,[1]Diccionario!B:N,13,0)="C")), "SOBREOFERTA",""
))))))),"")</f>
        <v/>
      </c>
      <c r="AF263" s="48"/>
      <c r="AG263" s="53"/>
      <c r="AH263" s="54"/>
      <c r="AI263" s="55" t="str">
        <f t="shared" si="62"/>
        <v/>
      </c>
      <c r="AJ263" s="46"/>
      <c r="AK263" s="34" t="e">
        <f>IF(AB263&lt;&gt;"",HLOOKUP(VALUE(TEXT(AH263,"h:mm:ss")),IF($C$6="Laboral",[1]Input!$A$4:$Y$227,IF($C$6="Sábado",[1]Input!$A$231:$Y$452,[1]Input!$A$456:$Y$656)),VLOOKUP($C$4,[1]Input!$AG$2:$AI$99,3,0)+IF(AD$5="Ida",0,1),1),"")</f>
        <v>#N/A</v>
      </c>
      <c r="AL263" s="34" t="str">
        <f>IF(AB264&lt;&gt;AB263,AVERAGEIF(AB$9:AB263,AB263,AK$9:AK263),"")</f>
        <v/>
      </c>
      <c r="AM263" s="35" t="str">
        <f>IFERROR(IF(AB264&lt;&gt;AB263,AVERAGEIF(AB$9:AB263,AB263,AT$9:AT263),""),"")</f>
        <v/>
      </c>
      <c r="AN263" s="35" t="str">
        <f>IFERROR(IF(AB264&lt;&gt;AB263,AVERAGEIF(AB$9:AB263,AB263,AU$9:AU263),""),"")</f>
        <v/>
      </c>
      <c r="AO263" s="35" t="str" cm="1">
        <f t="array" ref="AO263">IFERROR(IF(AB264&lt;&gt;AB263,_xlfn.STDEV.P(IF(AB$9:AB263=AB263,AU$9:AU263)),""),"")</f>
        <v/>
      </c>
      <c r="AP263" s="35" t="str" cm="1">
        <f t="array" ref="AP263">IFERROR(IF(AB264&lt;&gt;AB263,_xlfn.STDEV.P(IF(AB$9:AB263=AB263,AT$9:AT263)),""),"")</f>
        <v/>
      </c>
      <c r="AQ263" s="36" t="str">
        <f t="shared" si="53"/>
        <v/>
      </c>
      <c r="AR263" s="36" t="str">
        <f t="shared" si="54"/>
        <v/>
      </c>
      <c r="AS263" s="36" t="str">
        <f t="shared" si="63"/>
        <v/>
      </c>
      <c r="AT263" s="37" t="str">
        <f t="shared" si="55"/>
        <v/>
      </c>
      <c r="AU263" s="37" t="str">
        <f t="shared" si="56"/>
        <v/>
      </c>
      <c r="AV263" s="54"/>
      <c r="AW263" s="46"/>
      <c r="AX263" s="39" t="str" cm="1">
        <f t="array" ref="AX263">IF(AH263&lt;&gt;"",IF(AND(AX261:AX262&lt;&gt;"IE",AQ263&lt;&gt;0,AS263&lt;&gt;""),IF(IFERROR((AQ263/AS263),0) &lt;=1,IFERROR(AQ263/AS263,""),1),""),"")</f>
        <v/>
      </c>
      <c r="AY263" s="46"/>
      <c r="AZ263" s="57"/>
    </row>
    <row r="264" spans="1:52" ht="15.5" x14ac:dyDescent="0.35">
      <c r="A264" s="51">
        <f t="shared" si="64"/>
        <v>1</v>
      </c>
      <c r="B264" s="52"/>
      <c r="C264" s="52"/>
      <c r="D264" s="29" t="str">
        <f>IFERROR(
IF(AND(OR(Planilla!B264="C",Planilla!B264="c"), VLOOKUP(E264,[1]Diccionario!B:N,13,0)="C"), "OK",IF(AND(OR(Planilla!B264="C",Planilla!B264="c"), OR(VLOOKUP(E264,[1]Diccionario!B:N,13,0)="B", VLOOKUP(E264,[1]Diccionario!B:N,13,0)="A")), "DEFICIT",IF(
AND(OR(Planilla!B264="B", Planilla!B264="BPAL"), VLOOKUP(E264,[1]Diccionario!B:N,13,0)="B"), "OK",IF(AND(OR(Planilla!B264="B", Planilla!B264="BPAL"), VLOOKUP(E264,[1]Diccionario!B:N,13,0)="A"), "DEFICIT",IF(AND(OR(Planilla!B264="B", Planilla!B264="BPAL"), VLOOKUP(E264,[1]Diccionario!B:N,13,0)="C"), "SOBREOFERTA",IF(AND(Planilla!B264="A", VLOOKUP(E264,[1]Diccionario!B:N,13,0)="A"), "OK",IF(
AND(Planilla!B264="A", OR(VLOOKUP(E264,[1]Diccionario!B:N,13,0)="B", VLOOKUP(E264,[1]Diccionario!B:N,13,0)="C")), "SOBREOFERTA",""
))))))),"")</f>
        <v/>
      </c>
      <c r="E264" s="48"/>
      <c r="F264" s="53"/>
      <c r="G264" s="54"/>
      <c r="H264" s="55" t="str">
        <f t="shared" si="57"/>
        <v/>
      </c>
      <c r="I264" s="35"/>
      <c r="J264" s="34" t="e">
        <f>IF(A264&lt;&gt;"",HLOOKUP(VALUE(TEXT(G264,"h:mm:ss")),IF($C$6="Laboral",[1]Input!$A$4:$Y$227,IF($C$6="Sábado",[1]Input!$A$231:$Y$452,[1]Input!$A$456:$Y$656)),VLOOKUP($C$4,[1]Input!$AG$2:$AI$99,3,0)+IF(C$5="Ida",0,1),1),"")</f>
        <v>#N/A</v>
      </c>
      <c r="K264" s="34" t="str">
        <f>IF(A265&lt;&gt;A264,AVERAGEIF(A$9:A264,A264,J$13:J264),"")</f>
        <v/>
      </c>
      <c r="L264" s="35" t="str">
        <f>IFERROR(IF(A265&lt;&gt;A264,AVERAGEIF(A$9:A264,A264,S$13:S264),""),"")</f>
        <v/>
      </c>
      <c r="M264" s="35" t="str">
        <f>IFERROR(IF(A265&lt;&gt;A264,AVERAGEIF(A$9:A264,A264,T$8:T264),""),"")</f>
        <v/>
      </c>
      <c r="N264" s="35" t="str" cm="1">
        <f t="array" ref="N264">IFERROR(IF(A265&lt;&gt;A264,_xlfn.STDEV.P(IF(A$9:A264=A264,T$7:T264)),""),"")</f>
        <v/>
      </c>
      <c r="O264" s="35" t="str" cm="1">
        <f t="array" ref="O264">IFERROR(IF(A265&lt;&gt;A264,_xlfn.STDEV.P(IF(A$9:A264=A264,S$7:S264)),""),"")</f>
        <v/>
      </c>
      <c r="P264" s="36" t="str">
        <f t="shared" si="50"/>
        <v/>
      </c>
      <c r="Q264" s="36" t="str">
        <f t="shared" si="51"/>
        <v/>
      </c>
      <c r="R264" s="36" t="str">
        <f t="shared" si="58"/>
        <v/>
      </c>
      <c r="S264" s="37" t="str">
        <f t="shared" si="59"/>
        <v/>
      </c>
      <c r="T264" s="37" t="str">
        <f t="shared" si="52"/>
        <v/>
      </c>
      <c r="U264" s="54"/>
      <c r="V264" s="46"/>
      <c r="W264" s="39" t="str">
        <f t="shared" si="60"/>
        <v/>
      </c>
      <c r="X264" s="38"/>
      <c r="Y264" s="48"/>
      <c r="AB264" s="56">
        <f t="shared" si="61"/>
        <v>1</v>
      </c>
      <c r="AC264" s="52"/>
      <c r="AD264" s="52"/>
      <c r="AE264" s="29" t="str">
        <f>IFERROR(
IF(AND(OR(AC264="C",AC264="c"), VLOOKUP(AF264,[1]Diccionario!B:N,13,0)="C"), "OK",IF(AND(OR(AC264="C",AC264="c"), OR(VLOOKUP(AF264,[1]Diccionario!B:N,13,0)="B", VLOOKUP(AF264,[1]Diccionario!B:N,13,0)="A")), "DEFICIT",IF(
AND(OR(AC264="B", AC264="BPAL"), VLOOKUP(AF264,[1]Diccionario!B:N,13,0)="B"), "OK",IF(AND(OR(AC264="B", AC264="BPAL"), VLOOKUP(AF264,[1]Diccionario!B:N,13,0)="A"), "DEFICIT",IF(AND(OR(AC264="B", AC264="BPAL"), VLOOKUP(AF264,[1]Diccionario!B:N,13,0)="C"), "SOBREOFERTA",IF(AND(AC264="A", VLOOKUP(AF264,[1]Diccionario!B:N,13,0)="A"), "OK",IF(
AND(AC264="A", OR(VLOOKUP(AF264,[1]Diccionario!B:N,13,0)="B", VLOOKUP(AF264,[1]Diccionario!B:N,13,0)="C")), "SOBREOFERTA",""
))))))),"")</f>
        <v/>
      </c>
      <c r="AF264" s="48"/>
      <c r="AG264" s="53"/>
      <c r="AH264" s="54"/>
      <c r="AI264" s="55" t="str">
        <f t="shared" si="62"/>
        <v/>
      </c>
      <c r="AJ264" s="46"/>
      <c r="AK264" s="34" t="e">
        <f>IF(AB264&lt;&gt;"",HLOOKUP(VALUE(TEXT(AH264,"h:mm:ss")),IF($C$6="Laboral",[1]Input!$A$4:$Y$227,IF($C$6="Sábado",[1]Input!$A$231:$Y$452,[1]Input!$A$456:$Y$656)),VLOOKUP($C$4,[1]Input!$AG$2:$AI$99,3,0)+IF(AD$5="Ida",0,1),1),"")</f>
        <v>#N/A</v>
      </c>
      <c r="AL264" s="34" t="str">
        <f>IF(AB265&lt;&gt;AB264,AVERAGEIF(AB$9:AB264,AB264,AK$9:AK264),"")</f>
        <v/>
      </c>
      <c r="AM264" s="35" t="str">
        <f>IFERROR(IF(AB265&lt;&gt;AB264,AVERAGEIF(AB$9:AB264,AB264,AT$9:AT264),""),"")</f>
        <v/>
      </c>
      <c r="AN264" s="35" t="str">
        <f>IFERROR(IF(AB265&lt;&gt;AB264,AVERAGEIF(AB$9:AB264,AB264,AU$9:AU264),""),"")</f>
        <v/>
      </c>
      <c r="AO264" s="35" t="str" cm="1">
        <f t="array" ref="AO264">IFERROR(IF(AB265&lt;&gt;AB264,_xlfn.STDEV.P(IF(AB$9:AB264=AB264,AU$9:AU264)),""),"")</f>
        <v/>
      </c>
      <c r="AP264" s="35" t="str" cm="1">
        <f t="array" ref="AP264">IFERROR(IF(AB265&lt;&gt;AB264,_xlfn.STDEV.P(IF(AB$9:AB264=AB264,AT$9:AT264)),""),"")</f>
        <v/>
      </c>
      <c r="AQ264" s="36" t="str">
        <f t="shared" si="53"/>
        <v/>
      </c>
      <c r="AR264" s="36" t="str">
        <f t="shared" si="54"/>
        <v/>
      </c>
      <c r="AS264" s="36" t="str">
        <f t="shared" si="63"/>
        <v/>
      </c>
      <c r="AT264" s="37" t="str">
        <f t="shared" si="55"/>
        <v/>
      </c>
      <c r="AU264" s="37" t="str">
        <f t="shared" si="56"/>
        <v/>
      </c>
      <c r="AV264" s="54"/>
      <c r="AW264" s="46"/>
      <c r="AX264" s="39" t="str" cm="1">
        <f t="array" ref="AX264">IF(AH264&lt;&gt;"",IF(AND(AX262:AX263&lt;&gt;"IE",AQ264&lt;&gt;0,AS264&lt;&gt;""),IF(IFERROR((AQ264/AS264),0) &lt;=1,IFERROR(AQ264/AS264,""),1),""),"")</f>
        <v/>
      </c>
      <c r="AY264" s="46"/>
      <c r="AZ264" s="57"/>
    </row>
    <row r="265" spans="1:52" ht="15.5" x14ac:dyDescent="0.35">
      <c r="A265" s="51">
        <f t="shared" si="64"/>
        <v>1</v>
      </c>
      <c r="B265" s="52"/>
      <c r="C265" s="52"/>
      <c r="D265" s="29" t="str">
        <f>IFERROR(
IF(AND(OR(Planilla!B265="C",Planilla!B265="c"), VLOOKUP(E265,[1]Diccionario!B:N,13,0)="C"), "OK",IF(AND(OR(Planilla!B265="C",Planilla!B265="c"), OR(VLOOKUP(E265,[1]Diccionario!B:N,13,0)="B", VLOOKUP(E265,[1]Diccionario!B:N,13,0)="A")), "DEFICIT",IF(
AND(OR(Planilla!B265="B", Planilla!B265="BPAL"), VLOOKUP(E265,[1]Diccionario!B:N,13,0)="B"), "OK",IF(AND(OR(Planilla!B265="B", Planilla!B265="BPAL"), VLOOKUP(E265,[1]Diccionario!B:N,13,0)="A"), "DEFICIT",IF(AND(OR(Planilla!B265="B", Planilla!B265="BPAL"), VLOOKUP(E265,[1]Diccionario!B:N,13,0)="C"), "SOBREOFERTA",IF(AND(Planilla!B265="A", VLOOKUP(E265,[1]Diccionario!B:N,13,0)="A"), "OK",IF(
AND(Planilla!B265="A", OR(VLOOKUP(E265,[1]Diccionario!B:N,13,0)="B", VLOOKUP(E265,[1]Diccionario!B:N,13,0)="C")), "SOBREOFERTA",""
))))))),"")</f>
        <v/>
      </c>
      <c r="E265" s="48"/>
      <c r="F265" s="53"/>
      <c r="G265" s="54"/>
      <c r="H265" s="55" t="str">
        <f t="shared" si="57"/>
        <v/>
      </c>
      <c r="I265" s="35"/>
      <c r="J265" s="34" t="e">
        <f>IF(A265&lt;&gt;"",HLOOKUP(VALUE(TEXT(G265,"h:mm:ss")),IF($C$6="Laboral",[1]Input!$A$4:$Y$227,IF($C$6="Sábado",[1]Input!$A$231:$Y$452,[1]Input!$A$456:$Y$656)),VLOOKUP($C$4,[1]Input!$AG$2:$AI$99,3,0)+IF(C$5="Ida",0,1),1),"")</f>
        <v>#N/A</v>
      </c>
      <c r="K265" s="34" t="str">
        <f>IF(A266&lt;&gt;A265,AVERAGEIF(A$9:A265,A265,J$13:J265),"")</f>
        <v/>
      </c>
      <c r="L265" s="35" t="str">
        <f>IFERROR(IF(A266&lt;&gt;A265,AVERAGEIF(A$9:A265,A265,S$13:S265),""),"")</f>
        <v/>
      </c>
      <c r="M265" s="35" t="str">
        <f>IFERROR(IF(A266&lt;&gt;A265,AVERAGEIF(A$9:A265,A265,T$8:T265),""),"")</f>
        <v/>
      </c>
      <c r="N265" s="35" t="str" cm="1">
        <f t="array" ref="N265">IFERROR(IF(A266&lt;&gt;A265,_xlfn.STDEV.P(IF(A$9:A265=A265,T$7:T265)),""),"")</f>
        <v/>
      </c>
      <c r="O265" s="35" t="str" cm="1">
        <f t="array" ref="O265">IFERROR(IF(A266&lt;&gt;A265,_xlfn.STDEV.P(IF(A$9:A265=A265,S$7:S265)),""),"")</f>
        <v/>
      </c>
      <c r="P265" s="36" t="str">
        <f t="shared" si="50"/>
        <v/>
      </c>
      <c r="Q265" s="36" t="str">
        <f t="shared" si="51"/>
        <v/>
      </c>
      <c r="R265" s="36" t="str">
        <f t="shared" si="58"/>
        <v/>
      </c>
      <c r="S265" s="37" t="str">
        <f t="shared" si="59"/>
        <v/>
      </c>
      <c r="T265" s="37" t="str">
        <f t="shared" si="52"/>
        <v/>
      </c>
      <c r="U265" s="54"/>
      <c r="V265" s="46"/>
      <c r="W265" s="39" t="str">
        <f t="shared" si="60"/>
        <v/>
      </c>
      <c r="X265" s="38"/>
      <c r="Y265" s="48"/>
      <c r="AB265" s="56">
        <f t="shared" si="61"/>
        <v>1</v>
      </c>
      <c r="AC265" s="52"/>
      <c r="AD265" s="52"/>
      <c r="AE265" s="29" t="str">
        <f>IFERROR(
IF(AND(OR(AC265="C",AC265="c"), VLOOKUP(AF265,[1]Diccionario!B:N,13,0)="C"), "OK",IF(AND(OR(AC265="C",AC265="c"), OR(VLOOKUP(AF265,[1]Diccionario!B:N,13,0)="B", VLOOKUP(AF265,[1]Diccionario!B:N,13,0)="A")), "DEFICIT",IF(
AND(OR(AC265="B", AC265="BPAL"), VLOOKUP(AF265,[1]Diccionario!B:N,13,0)="B"), "OK",IF(AND(OR(AC265="B", AC265="BPAL"), VLOOKUP(AF265,[1]Diccionario!B:N,13,0)="A"), "DEFICIT",IF(AND(OR(AC265="B", AC265="BPAL"), VLOOKUP(AF265,[1]Diccionario!B:N,13,0)="C"), "SOBREOFERTA",IF(AND(AC265="A", VLOOKUP(AF265,[1]Diccionario!B:N,13,0)="A"), "OK",IF(
AND(AC265="A", OR(VLOOKUP(AF265,[1]Diccionario!B:N,13,0)="B", VLOOKUP(AF265,[1]Diccionario!B:N,13,0)="C")), "SOBREOFERTA",""
))))))),"")</f>
        <v/>
      </c>
      <c r="AF265" s="48"/>
      <c r="AG265" s="53"/>
      <c r="AH265" s="54"/>
      <c r="AI265" s="55" t="str">
        <f t="shared" si="62"/>
        <v/>
      </c>
      <c r="AJ265" s="46"/>
      <c r="AK265" s="34" t="e">
        <f>IF(AB265&lt;&gt;"",HLOOKUP(VALUE(TEXT(AH265,"h:mm:ss")),IF($C$6="Laboral",[1]Input!$A$4:$Y$227,IF($C$6="Sábado",[1]Input!$A$231:$Y$452,[1]Input!$A$456:$Y$656)),VLOOKUP($C$4,[1]Input!$AG$2:$AI$99,3,0)+IF(AD$5="Ida",0,1),1),"")</f>
        <v>#N/A</v>
      </c>
      <c r="AL265" s="34" t="str">
        <f>IF(AB266&lt;&gt;AB265,AVERAGEIF(AB$9:AB265,AB265,AK$9:AK265),"")</f>
        <v/>
      </c>
      <c r="AM265" s="35" t="str">
        <f>IFERROR(IF(AB266&lt;&gt;AB265,AVERAGEIF(AB$9:AB265,AB265,AT$9:AT265),""),"")</f>
        <v/>
      </c>
      <c r="AN265" s="35" t="str">
        <f>IFERROR(IF(AB266&lt;&gt;AB265,AVERAGEIF(AB$9:AB265,AB265,AU$9:AU265),""),"")</f>
        <v/>
      </c>
      <c r="AO265" s="35" t="str" cm="1">
        <f t="array" ref="AO265">IFERROR(IF(AB266&lt;&gt;AB265,_xlfn.STDEV.P(IF(AB$9:AB265=AB265,AU$9:AU265)),""),"")</f>
        <v/>
      </c>
      <c r="AP265" s="35" t="str" cm="1">
        <f t="array" ref="AP265">IFERROR(IF(AB266&lt;&gt;AB265,_xlfn.STDEV.P(IF(AB$9:AB265=AB265,AT$9:AT265)),""),"")</f>
        <v/>
      </c>
      <c r="AQ265" s="36" t="str">
        <f t="shared" si="53"/>
        <v/>
      </c>
      <c r="AR265" s="36" t="str">
        <f t="shared" si="54"/>
        <v/>
      </c>
      <c r="AS265" s="36" t="str">
        <f t="shared" si="63"/>
        <v/>
      </c>
      <c r="AT265" s="37" t="str">
        <f t="shared" si="55"/>
        <v/>
      </c>
      <c r="AU265" s="37" t="str">
        <f t="shared" si="56"/>
        <v/>
      </c>
      <c r="AV265" s="54"/>
      <c r="AW265" s="46"/>
      <c r="AX265" s="39" t="str" cm="1">
        <f t="array" ref="AX265">IF(AH265&lt;&gt;"",IF(AND(AX263:AX264&lt;&gt;"IE",AQ265&lt;&gt;0,AS265&lt;&gt;""),IF(IFERROR((AQ265/AS265),0) &lt;=1,IFERROR(AQ265/AS265,""),1),""),"")</f>
        <v/>
      </c>
      <c r="AY265" s="46"/>
      <c r="AZ265" s="57"/>
    </row>
    <row r="266" spans="1:52" ht="15.5" x14ac:dyDescent="0.35">
      <c r="A266" s="51">
        <f t="shared" si="64"/>
        <v>1</v>
      </c>
      <c r="B266" s="52"/>
      <c r="C266" s="52"/>
      <c r="D266" s="29" t="str">
        <f>IFERROR(
IF(AND(OR(Planilla!B266="C",Planilla!B266="c"), VLOOKUP(E266,[1]Diccionario!B:N,13,0)="C"), "OK",IF(AND(OR(Planilla!B266="C",Planilla!B266="c"), OR(VLOOKUP(E266,[1]Diccionario!B:N,13,0)="B", VLOOKUP(E266,[1]Diccionario!B:N,13,0)="A")), "DEFICIT",IF(
AND(OR(Planilla!B266="B", Planilla!B266="BPAL"), VLOOKUP(E266,[1]Diccionario!B:N,13,0)="B"), "OK",IF(AND(OR(Planilla!B266="B", Planilla!B266="BPAL"), VLOOKUP(E266,[1]Diccionario!B:N,13,0)="A"), "DEFICIT",IF(AND(OR(Planilla!B266="B", Planilla!B266="BPAL"), VLOOKUP(E266,[1]Diccionario!B:N,13,0)="C"), "SOBREOFERTA",IF(AND(Planilla!B266="A", VLOOKUP(E266,[1]Diccionario!B:N,13,0)="A"), "OK",IF(
AND(Planilla!B266="A", OR(VLOOKUP(E266,[1]Diccionario!B:N,13,0)="B", VLOOKUP(E266,[1]Diccionario!B:N,13,0)="C")), "SOBREOFERTA",""
))))))),"")</f>
        <v/>
      </c>
      <c r="E266" s="48"/>
      <c r="F266" s="53"/>
      <c r="G266" s="54"/>
      <c r="H266" s="55" t="str">
        <f t="shared" si="57"/>
        <v/>
      </c>
      <c r="I266" s="35"/>
      <c r="J266" s="34" t="e">
        <f>IF(A266&lt;&gt;"",HLOOKUP(VALUE(TEXT(G266,"h:mm:ss")),IF($C$6="Laboral",[1]Input!$A$4:$Y$227,IF($C$6="Sábado",[1]Input!$A$231:$Y$452,[1]Input!$A$456:$Y$656)),VLOOKUP($C$4,[1]Input!$AG$2:$AI$99,3,0)+IF(C$5="Ida",0,1),1),"")</f>
        <v>#N/A</v>
      </c>
      <c r="K266" s="34" t="str">
        <f>IF(A267&lt;&gt;A266,AVERAGEIF(A$9:A266,A266,J$13:J266),"")</f>
        <v/>
      </c>
      <c r="L266" s="35" t="str">
        <f>IFERROR(IF(A267&lt;&gt;A266,AVERAGEIF(A$9:A266,A266,S$13:S266),""),"")</f>
        <v/>
      </c>
      <c r="M266" s="35" t="str">
        <f>IFERROR(IF(A267&lt;&gt;A266,AVERAGEIF(A$9:A266,A266,T$8:T266),""),"")</f>
        <v/>
      </c>
      <c r="N266" s="35" t="str" cm="1">
        <f t="array" ref="N266">IFERROR(IF(A267&lt;&gt;A266,_xlfn.STDEV.P(IF(A$9:A266=A266,T$7:T266)),""),"")</f>
        <v/>
      </c>
      <c r="O266" s="35" t="str" cm="1">
        <f t="array" ref="O266">IFERROR(IF(A267&lt;&gt;A266,_xlfn.STDEV.P(IF(A$9:A266=A266,S$7:S266)),""),"")</f>
        <v/>
      </c>
      <c r="P266" s="36" t="str">
        <f t="shared" si="50"/>
        <v/>
      </c>
      <c r="Q266" s="36" t="str">
        <f t="shared" si="51"/>
        <v/>
      </c>
      <c r="R266" s="36" t="str">
        <f t="shared" si="58"/>
        <v/>
      </c>
      <c r="S266" s="37" t="str">
        <f t="shared" si="59"/>
        <v/>
      </c>
      <c r="T266" s="37" t="str">
        <f t="shared" si="52"/>
        <v/>
      </c>
      <c r="U266" s="54"/>
      <c r="V266" s="46"/>
      <c r="W266" s="39" t="str">
        <f t="shared" si="60"/>
        <v/>
      </c>
      <c r="X266" s="38"/>
      <c r="Y266" s="48"/>
      <c r="AB266" s="56">
        <f t="shared" si="61"/>
        <v>1</v>
      </c>
      <c r="AC266" s="52"/>
      <c r="AD266" s="52"/>
      <c r="AE266" s="29" t="str">
        <f>IFERROR(
IF(AND(OR(AC266="C",AC266="c"), VLOOKUP(AF266,[1]Diccionario!B:N,13,0)="C"), "OK",IF(AND(OR(AC266="C",AC266="c"), OR(VLOOKUP(AF266,[1]Diccionario!B:N,13,0)="B", VLOOKUP(AF266,[1]Diccionario!B:N,13,0)="A")), "DEFICIT",IF(
AND(OR(AC266="B", AC266="BPAL"), VLOOKUP(AF266,[1]Diccionario!B:N,13,0)="B"), "OK",IF(AND(OR(AC266="B", AC266="BPAL"), VLOOKUP(AF266,[1]Diccionario!B:N,13,0)="A"), "DEFICIT",IF(AND(OR(AC266="B", AC266="BPAL"), VLOOKUP(AF266,[1]Diccionario!B:N,13,0)="C"), "SOBREOFERTA",IF(AND(AC266="A", VLOOKUP(AF266,[1]Diccionario!B:N,13,0)="A"), "OK",IF(
AND(AC266="A", OR(VLOOKUP(AF266,[1]Diccionario!B:N,13,0)="B", VLOOKUP(AF266,[1]Diccionario!B:N,13,0)="C")), "SOBREOFERTA",""
))))))),"")</f>
        <v/>
      </c>
      <c r="AF266" s="48"/>
      <c r="AG266" s="53"/>
      <c r="AH266" s="54"/>
      <c r="AI266" s="55" t="str">
        <f t="shared" si="62"/>
        <v/>
      </c>
      <c r="AJ266" s="46"/>
      <c r="AK266" s="34" t="e">
        <f>IF(AB266&lt;&gt;"",HLOOKUP(VALUE(TEXT(AH266,"h:mm:ss")),IF($C$6="Laboral",[1]Input!$A$4:$Y$227,IF($C$6="Sábado",[1]Input!$A$231:$Y$452,[1]Input!$A$456:$Y$656)),VLOOKUP($C$4,[1]Input!$AG$2:$AI$99,3,0)+IF(AD$5="Ida",0,1),1),"")</f>
        <v>#N/A</v>
      </c>
      <c r="AL266" s="34" t="str">
        <f>IF(AB267&lt;&gt;AB266,AVERAGEIF(AB$9:AB266,AB266,AK$9:AK266),"")</f>
        <v/>
      </c>
      <c r="AM266" s="35" t="str">
        <f>IFERROR(IF(AB267&lt;&gt;AB266,AVERAGEIF(AB$9:AB266,AB266,AT$9:AT266),""),"")</f>
        <v/>
      </c>
      <c r="AN266" s="35" t="str">
        <f>IFERROR(IF(AB267&lt;&gt;AB266,AVERAGEIF(AB$9:AB266,AB266,AU$9:AU266),""),"")</f>
        <v/>
      </c>
      <c r="AO266" s="35" t="str" cm="1">
        <f t="array" ref="AO266">IFERROR(IF(AB267&lt;&gt;AB266,_xlfn.STDEV.P(IF(AB$9:AB266=AB266,AU$9:AU266)),""),"")</f>
        <v/>
      </c>
      <c r="AP266" s="35" t="str" cm="1">
        <f t="array" ref="AP266">IFERROR(IF(AB267&lt;&gt;AB266,_xlfn.STDEV.P(IF(AB$9:AB266=AB266,AT$9:AT266)),""),"")</f>
        <v/>
      </c>
      <c r="AQ266" s="36" t="str">
        <f t="shared" si="53"/>
        <v/>
      </c>
      <c r="AR266" s="36" t="str">
        <f t="shared" si="54"/>
        <v/>
      </c>
      <c r="AS266" s="36" t="str">
        <f t="shared" si="63"/>
        <v/>
      </c>
      <c r="AT266" s="37" t="str">
        <f t="shared" si="55"/>
        <v/>
      </c>
      <c r="AU266" s="37" t="str">
        <f t="shared" si="56"/>
        <v/>
      </c>
      <c r="AV266" s="54"/>
      <c r="AW266" s="46"/>
      <c r="AX266" s="39" t="str" cm="1">
        <f t="array" ref="AX266">IF(AH266&lt;&gt;"",IF(AND(AX264:AX265&lt;&gt;"IE",AQ266&lt;&gt;0,AS266&lt;&gt;""),IF(IFERROR((AQ266/AS266),0) &lt;=1,IFERROR(AQ266/AS266,""),1),""),"")</f>
        <v/>
      </c>
      <c r="AY266" s="46"/>
      <c r="AZ266" s="57"/>
    </row>
    <row r="267" spans="1:52" ht="15.5" x14ac:dyDescent="0.35">
      <c r="A267" s="51">
        <f t="shared" si="64"/>
        <v>1</v>
      </c>
      <c r="B267" s="52"/>
      <c r="C267" s="52"/>
      <c r="D267" s="29" t="str">
        <f>IFERROR(
IF(AND(OR(Planilla!B267="C",Planilla!B267="c"), VLOOKUP(E267,[1]Diccionario!B:N,13,0)="C"), "OK",IF(AND(OR(Planilla!B267="C",Planilla!B267="c"), OR(VLOOKUP(E267,[1]Diccionario!B:N,13,0)="B", VLOOKUP(E267,[1]Diccionario!B:N,13,0)="A")), "DEFICIT",IF(
AND(OR(Planilla!B267="B", Planilla!B267="BPAL"), VLOOKUP(E267,[1]Diccionario!B:N,13,0)="B"), "OK",IF(AND(OR(Planilla!B267="B", Planilla!B267="BPAL"), VLOOKUP(E267,[1]Diccionario!B:N,13,0)="A"), "DEFICIT",IF(AND(OR(Planilla!B267="B", Planilla!B267="BPAL"), VLOOKUP(E267,[1]Diccionario!B:N,13,0)="C"), "SOBREOFERTA",IF(AND(Planilla!B267="A", VLOOKUP(E267,[1]Diccionario!B:N,13,0)="A"), "OK",IF(
AND(Planilla!B267="A", OR(VLOOKUP(E267,[1]Diccionario!B:N,13,0)="B", VLOOKUP(E267,[1]Diccionario!B:N,13,0)="C")), "SOBREOFERTA",""
))))))),"")</f>
        <v/>
      </c>
      <c r="E267" s="48"/>
      <c r="F267" s="53"/>
      <c r="G267" s="54"/>
      <c r="H267" s="55" t="str">
        <f t="shared" si="57"/>
        <v/>
      </c>
      <c r="I267" s="35"/>
      <c r="J267" s="34" t="e">
        <f>IF(A267&lt;&gt;"",HLOOKUP(VALUE(TEXT(G267,"h:mm:ss")),IF($C$6="Laboral",[1]Input!$A$4:$Y$227,IF($C$6="Sábado",[1]Input!$A$231:$Y$452,[1]Input!$A$456:$Y$656)),VLOOKUP($C$4,[1]Input!$AG$2:$AI$99,3,0)+IF(C$5="Ida",0,1),1),"")</f>
        <v>#N/A</v>
      </c>
      <c r="K267" s="34" t="str">
        <f>IF(A268&lt;&gt;A267,AVERAGEIF(A$9:A267,A267,J$13:J267),"")</f>
        <v/>
      </c>
      <c r="L267" s="35" t="str">
        <f>IFERROR(IF(A268&lt;&gt;A267,AVERAGEIF(A$9:A267,A267,S$13:S267),""),"")</f>
        <v/>
      </c>
      <c r="M267" s="35" t="str">
        <f>IFERROR(IF(A268&lt;&gt;A267,AVERAGEIF(A$9:A267,A267,T$8:T267),""),"")</f>
        <v/>
      </c>
      <c r="N267" s="35" t="str" cm="1">
        <f t="array" ref="N267">IFERROR(IF(A268&lt;&gt;A267,_xlfn.STDEV.P(IF(A$9:A267=A267,T$7:T267)),""),"")</f>
        <v/>
      </c>
      <c r="O267" s="35" t="str" cm="1">
        <f t="array" ref="O267">IFERROR(IF(A268&lt;&gt;A267,_xlfn.STDEV.P(IF(A$9:A267=A267,S$7:S267)),""),"")</f>
        <v/>
      </c>
      <c r="P267" s="36" t="str">
        <f t="shared" si="50"/>
        <v/>
      </c>
      <c r="Q267" s="36" t="str">
        <f t="shared" si="51"/>
        <v/>
      </c>
      <c r="R267" s="36" t="str">
        <f t="shared" si="58"/>
        <v/>
      </c>
      <c r="S267" s="37" t="str">
        <f t="shared" si="59"/>
        <v/>
      </c>
      <c r="T267" s="37" t="str">
        <f t="shared" si="52"/>
        <v/>
      </c>
      <c r="U267" s="54"/>
      <c r="V267" s="46"/>
      <c r="W267" s="39" t="str">
        <f t="shared" si="60"/>
        <v/>
      </c>
      <c r="X267" s="38"/>
      <c r="Y267" s="48"/>
      <c r="AB267" s="56">
        <f t="shared" si="61"/>
        <v>1</v>
      </c>
      <c r="AC267" s="52"/>
      <c r="AD267" s="52"/>
      <c r="AE267" s="29" t="str">
        <f>IFERROR(
IF(AND(OR(AC267="C",AC267="c"), VLOOKUP(AF267,[1]Diccionario!B:N,13,0)="C"), "OK",IF(AND(OR(AC267="C",AC267="c"), OR(VLOOKUP(AF267,[1]Diccionario!B:N,13,0)="B", VLOOKUP(AF267,[1]Diccionario!B:N,13,0)="A")), "DEFICIT",IF(
AND(OR(AC267="B", AC267="BPAL"), VLOOKUP(AF267,[1]Diccionario!B:N,13,0)="B"), "OK",IF(AND(OR(AC267="B", AC267="BPAL"), VLOOKUP(AF267,[1]Diccionario!B:N,13,0)="A"), "DEFICIT",IF(AND(OR(AC267="B", AC267="BPAL"), VLOOKUP(AF267,[1]Diccionario!B:N,13,0)="C"), "SOBREOFERTA",IF(AND(AC267="A", VLOOKUP(AF267,[1]Diccionario!B:N,13,0)="A"), "OK",IF(
AND(AC267="A", OR(VLOOKUP(AF267,[1]Diccionario!B:N,13,0)="B", VLOOKUP(AF267,[1]Diccionario!B:N,13,0)="C")), "SOBREOFERTA",""
))))))),"")</f>
        <v/>
      </c>
      <c r="AF267" s="48"/>
      <c r="AG267" s="53"/>
      <c r="AH267" s="54"/>
      <c r="AI267" s="55" t="str">
        <f t="shared" si="62"/>
        <v/>
      </c>
      <c r="AJ267" s="46"/>
      <c r="AK267" s="34" t="e">
        <f>IF(AB267&lt;&gt;"",HLOOKUP(VALUE(TEXT(AH267,"h:mm:ss")),IF($C$6="Laboral",[1]Input!$A$4:$Y$227,IF($C$6="Sábado",[1]Input!$A$231:$Y$452,[1]Input!$A$456:$Y$656)),VLOOKUP($C$4,[1]Input!$AG$2:$AI$99,3,0)+IF(AD$5="Ida",0,1),1),"")</f>
        <v>#N/A</v>
      </c>
      <c r="AL267" s="34" t="str">
        <f>IF(AB268&lt;&gt;AB267,AVERAGEIF(AB$9:AB267,AB267,AK$9:AK267),"")</f>
        <v/>
      </c>
      <c r="AM267" s="35" t="str">
        <f>IFERROR(IF(AB268&lt;&gt;AB267,AVERAGEIF(AB$9:AB267,AB267,AT$9:AT267),""),"")</f>
        <v/>
      </c>
      <c r="AN267" s="35" t="str">
        <f>IFERROR(IF(AB268&lt;&gt;AB267,AVERAGEIF(AB$9:AB267,AB267,AU$9:AU267),""),"")</f>
        <v/>
      </c>
      <c r="AO267" s="35" t="str" cm="1">
        <f t="array" ref="AO267">IFERROR(IF(AB268&lt;&gt;AB267,_xlfn.STDEV.P(IF(AB$9:AB267=AB267,AU$9:AU267)),""),"")</f>
        <v/>
      </c>
      <c r="AP267" s="35" t="str" cm="1">
        <f t="array" ref="AP267">IFERROR(IF(AB268&lt;&gt;AB267,_xlfn.STDEV.P(IF(AB$9:AB267=AB267,AT$9:AT267)),""),"")</f>
        <v/>
      </c>
      <c r="AQ267" s="36" t="str">
        <f t="shared" si="53"/>
        <v/>
      </c>
      <c r="AR267" s="36" t="str">
        <f t="shared" si="54"/>
        <v/>
      </c>
      <c r="AS267" s="36" t="str">
        <f t="shared" si="63"/>
        <v/>
      </c>
      <c r="AT267" s="37" t="str">
        <f t="shared" si="55"/>
        <v/>
      </c>
      <c r="AU267" s="37" t="str">
        <f t="shared" si="56"/>
        <v/>
      </c>
      <c r="AV267" s="54"/>
      <c r="AW267" s="46"/>
      <c r="AX267" s="39" t="str" cm="1">
        <f t="array" ref="AX267">IF(AH267&lt;&gt;"",IF(AND(AX265:AX266&lt;&gt;"IE",AQ267&lt;&gt;0,AS267&lt;&gt;""),IF(IFERROR((AQ267/AS267),0) &lt;=1,IFERROR(AQ267/AS267,""),1),""),"")</f>
        <v/>
      </c>
      <c r="AY267" s="46"/>
      <c r="AZ267" s="57"/>
    </row>
    <row r="268" spans="1:52" ht="15.5" x14ac:dyDescent="0.35">
      <c r="A268" s="51">
        <f t="shared" si="64"/>
        <v>1</v>
      </c>
      <c r="B268" s="52"/>
      <c r="C268" s="52"/>
      <c r="D268" s="29" t="str">
        <f>IFERROR(
IF(AND(OR(Planilla!B268="C",Planilla!B268="c"), VLOOKUP(E268,[1]Diccionario!B:N,13,0)="C"), "OK",IF(AND(OR(Planilla!B268="C",Planilla!B268="c"), OR(VLOOKUP(E268,[1]Diccionario!B:N,13,0)="B", VLOOKUP(E268,[1]Diccionario!B:N,13,0)="A")), "DEFICIT",IF(
AND(OR(Planilla!B268="B", Planilla!B268="BPAL"), VLOOKUP(E268,[1]Diccionario!B:N,13,0)="B"), "OK",IF(AND(OR(Planilla!B268="B", Planilla!B268="BPAL"), VLOOKUP(E268,[1]Diccionario!B:N,13,0)="A"), "DEFICIT",IF(AND(OR(Planilla!B268="B", Planilla!B268="BPAL"), VLOOKUP(E268,[1]Diccionario!B:N,13,0)="C"), "SOBREOFERTA",IF(AND(Planilla!B268="A", VLOOKUP(E268,[1]Diccionario!B:N,13,0)="A"), "OK",IF(
AND(Planilla!B268="A", OR(VLOOKUP(E268,[1]Diccionario!B:N,13,0)="B", VLOOKUP(E268,[1]Diccionario!B:N,13,0)="C")), "SOBREOFERTA",""
))))))),"")</f>
        <v/>
      </c>
      <c r="E268" s="48"/>
      <c r="F268" s="53"/>
      <c r="G268" s="54"/>
      <c r="H268" s="55" t="str">
        <f t="shared" si="57"/>
        <v/>
      </c>
      <c r="I268" s="35"/>
      <c r="J268" s="34" t="e">
        <f>IF(A268&lt;&gt;"",HLOOKUP(VALUE(TEXT(G268,"h:mm:ss")),IF($C$6="Laboral",[1]Input!$A$4:$Y$227,IF($C$6="Sábado",[1]Input!$A$231:$Y$452,[1]Input!$A$456:$Y$656)),VLOOKUP($C$4,[1]Input!$AG$2:$AI$99,3,0)+IF(C$5="Ida",0,1),1),"")</f>
        <v>#N/A</v>
      </c>
      <c r="K268" s="34" t="str">
        <f>IF(A269&lt;&gt;A268,AVERAGEIF(A$9:A268,A268,J$13:J268),"")</f>
        <v/>
      </c>
      <c r="L268" s="35" t="str">
        <f>IFERROR(IF(A269&lt;&gt;A268,AVERAGEIF(A$9:A268,A268,S$13:S268),""),"")</f>
        <v/>
      </c>
      <c r="M268" s="35" t="str">
        <f>IFERROR(IF(A269&lt;&gt;A268,AVERAGEIF(A$9:A268,A268,T$8:T268),""),"")</f>
        <v/>
      </c>
      <c r="N268" s="35" t="str" cm="1">
        <f t="array" ref="N268">IFERROR(IF(A269&lt;&gt;A268,_xlfn.STDEV.P(IF(A$9:A268=A268,T$7:T268)),""),"")</f>
        <v/>
      </c>
      <c r="O268" s="35" t="str" cm="1">
        <f t="array" ref="O268">IFERROR(IF(A269&lt;&gt;A268,_xlfn.STDEV.P(IF(A$9:A268=A268,S$7:S268)),""),"")</f>
        <v/>
      </c>
      <c r="P268" s="36" t="str">
        <f t="shared" si="50"/>
        <v/>
      </c>
      <c r="Q268" s="36" t="str">
        <f t="shared" si="51"/>
        <v/>
      </c>
      <c r="R268" s="36" t="str">
        <f t="shared" si="58"/>
        <v/>
      </c>
      <c r="S268" s="37" t="str">
        <f t="shared" si="59"/>
        <v/>
      </c>
      <c r="T268" s="37" t="str">
        <f t="shared" si="52"/>
        <v/>
      </c>
      <c r="U268" s="54"/>
      <c r="V268" s="46"/>
      <c r="W268" s="39" t="str">
        <f t="shared" si="60"/>
        <v/>
      </c>
      <c r="X268" s="38"/>
      <c r="Y268" s="48"/>
      <c r="AB268" s="56">
        <f t="shared" si="61"/>
        <v>1</v>
      </c>
      <c r="AC268" s="52"/>
      <c r="AD268" s="52"/>
      <c r="AE268" s="29" t="str">
        <f>IFERROR(
IF(AND(OR(AC268="C",AC268="c"), VLOOKUP(AF268,[1]Diccionario!B:N,13,0)="C"), "OK",IF(AND(OR(AC268="C",AC268="c"), OR(VLOOKUP(AF268,[1]Diccionario!B:N,13,0)="B", VLOOKUP(AF268,[1]Diccionario!B:N,13,0)="A")), "DEFICIT",IF(
AND(OR(AC268="B", AC268="BPAL"), VLOOKUP(AF268,[1]Diccionario!B:N,13,0)="B"), "OK",IF(AND(OR(AC268="B", AC268="BPAL"), VLOOKUP(AF268,[1]Diccionario!B:N,13,0)="A"), "DEFICIT",IF(AND(OR(AC268="B", AC268="BPAL"), VLOOKUP(AF268,[1]Diccionario!B:N,13,0)="C"), "SOBREOFERTA",IF(AND(AC268="A", VLOOKUP(AF268,[1]Diccionario!B:N,13,0)="A"), "OK",IF(
AND(AC268="A", OR(VLOOKUP(AF268,[1]Diccionario!B:N,13,0)="B", VLOOKUP(AF268,[1]Diccionario!B:N,13,0)="C")), "SOBREOFERTA",""
))))))),"")</f>
        <v/>
      </c>
      <c r="AF268" s="48"/>
      <c r="AG268" s="53"/>
      <c r="AH268" s="54"/>
      <c r="AI268" s="55" t="str">
        <f t="shared" si="62"/>
        <v/>
      </c>
      <c r="AJ268" s="46"/>
      <c r="AK268" s="34" t="e">
        <f>IF(AB268&lt;&gt;"",HLOOKUP(VALUE(TEXT(AH268,"h:mm:ss")),IF($C$6="Laboral",[1]Input!$A$4:$Y$227,IF($C$6="Sábado",[1]Input!$A$231:$Y$452,[1]Input!$A$456:$Y$656)),VLOOKUP($C$4,[1]Input!$AG$2:$AI$99,3,0)+IF(AD$5="Ida",0,1),1),"")</f>
        <v>#N/A</v>
      </c>
      <c r="AL268" s="34" t="str">
        <f>IF(AB269&lt;&gt;AB268,AVERAGEIF(AB$9:AB268,AB268,AK$9:AK268),"")</f>
        <v/>
      </c>
      <c r="AM268" s="35" t="str">
        <f>IFERROR(IF(AB269&lt;&gt;AB268,AVERAGEIF(AB$9:AB268,AB268,AT$9:AT268),""),"")</f>
        <v/>
      </c>
      <c r="AN268" s="35" t="str">
        <f>IFERROR(IF(AB269&lt;&gt;AB268,AVERAGEIF(AB$9:AB268,AB268,AU$9:AU268),""),"")</f>
        <v/>
      </c>
      <c r="AO268" s="35" t="str" cm="1">
        <f t="array" ref="AO268">IFERROR(IF(AB269&lt;&gt;AB268,_xlfn.STDEV.P(IF(AB$9:AB268=AB268,AU$9:AU268)),""),"")</f>
        <v/>
      </c>
      <c r="AP268" s="35" t="str" cm="1">
        <f t="array" ref="AP268">IFERROR(IF(AB269&lt;&gt;AB268,_xlfn.STDEV.P(IF(AB$9:AB268=AB268,AT$9:AT268)),""),"")</f>
        <v/>
      </c>
      <c r="AQ268" s="36" t="str">
        <f t="shared" si="53"/>
        <v/>
      </c>
      <c r="AR268" s="36" t="str">
        <f t="shared" si="54"/>
        <v/>
      </c>
      <c r="AS268" s="36" t="str">
        <f t="shared" si="63"/>
        <v/>
      </c>
      <c r="AT268" s="37" t="str">
        <f t="shared" si="55"/>
        <v/>
      </c>
      <c r="AU268" s="37" t="str">
        <f t="shared" si="56"/>
        <v/>
      </c>
      <c r="AV268" s="54"/>
      <c r="AW268" s="46"/>
      <c r="AX268" s="39" t="str" cm="1">
        <f t="array" ref="AX268">IF(AH268&lt;&gt;"",IF(AND(AX266:AX267&lt;&gt;"IE",AQ268&lt;&gt;0,AS268&lt;&gt;""),IF(IFERROR((AQ268/AS268),0) &lt;=1,IFERROR(AQ268/AS268,""),1),""),"")</f>
        <v/>
      </c>
      <c r="AY268" s="46"/>
      <c r="AZ268" s="57"/>
    </row>
    <row r="269" spans="1:52" ht="15.5" x14ac:dyDescent="0.35">
      <c r="A269" s="51">
        <f t="shared" si="64"/>
        <v>1</v>
      </c>
      <c r="B269" s="52"/>
      <c r="C269" s="52"/>
      <c r="D269" s="29" t="str">
        <f>IFERROR(
IF(AND(OR(Planilla!B269="C",Planilla!B269="c"), VLOOKUP(E269,[1]Diccionario!B:N,13,0)="C"), "OK",IF(AND(OR(Planilla!B269="C",Planilla!B269="c"), OR(VLOOKUP(E269,[1]Diccionario!B:N,13,0)="B", VLOOKUP(E269,[1]Diccionario!B:N,13,0)="A")), "DEFICIT",IF(
AND(OR(Planilla!B269="B", Planilla!B269="BPAL"), VLOOKUP(E269,[1]Diccionario!B:N,13,0)="B"), "OK",IF(AND(OR(Planilla!B269="B", Planilla!B269="BPAL"), VLOOKUP(E269,[1]Diccionario!B:N,13,0)="A"), "DEFICIT",IF(AND(OR(Planilla!B269="B", Planilla!B269="BPAL"), VLOOKUP(E269,[1]Diccionario!B:N,13,0)="C"), "SOBREOFERTA",IF(AND(Planilla!B269="A", VLOOKUP(E269,[1]Diccionario!B:N,13,0)="A"), "OK",IF(
AND(Planilla!B269="A", OR(VLOOKUP(E269,[1]Diccionario!B:N,13,0)="B", VLOOKUP(E269,[1]Diccionario!B:N,13,0)="C")), "SOBREOFERTA",""
))))))),"")</f>
        <v/>
      </c>
      <c r="E269" s="48"/>
      <c r="F269" s="53"/>
      <c r="G269" s="54"/>
      <c r="H269" s="55" t="str">
        <f t="shared" si="57"/>
        <v/>
      </c>
      <c r="I269" s="35"/>
      <c r="J269" s="34" t="e">
        <f>IF(A269&lt;&gt;"",HLOOKUP(VALUE(TEXT(G269,"h:mm:ss")),IF($C$6="Laboral",[1]Input!$A$4:$Y$227,IF($C$6="Sábado",[1]Input!$A$231:$Y$452,[1]Input!$A$456:$Y$656)),VLOOKUP($C$4,[1]Input!$AG$2:$AI$99,3,0)+IF(C$5="Ida",0,1),1),"")</f>
        <v>#N/A</v>
      </c>
      <c r="K269" s="34" t="str">
        <f>IF(A270&lt;&gt;A269,AVERAGEIF(A$9:A269,A269,J$13:J269),"")</f>
        <v/>
      </c>
      <c r="L269" s="35" t="str">
        <f>IFERROR(IF(A270&lt;&gt;A269,AVERAGEIF(A$9:A269,A269,S$13:S269),""),"")</f>
        <v/>
      </c>
      <c r="M269" s="35" t="str">
        <f>IFERROR(IF(A270&lt;&gt;A269,AVERAGEIF(A$9:A269,A269,T$8:T269),""),"")</f>
        <v/>
      </c>
      <c r="N269" s="35" t="str" cm="1">
        <f t="array" ref="N269">IFERROR(IF(A270&lt;&gt;A269,_xlfn.STDEV.P(IF(A$9:A269=A269,T$7:T269)),""),"")</f>
        <v/>
      </c>
      <c r="O269" s="35" t="str" cm="1">
        <f t="array" ref="O269">IFERROR(IF(A270&lt;&gt;A269,_xlfn.STDEV.P(IF(A$9:A269=A269,S$7:S269)),""),"")</f>
        <v/>
      </c>
      <c r="P269" s="36" t="str">
        <f t="shared" ref="P269:P332" si="65">IFERROR(IF(A269&lt;&gt;A270,MAX((((M269*24*60)/2)*(1+POWER((((N269*24*60) / (M269*24*60) )),2))) + ((M269*24*60 )*-0.1 + (K269*0.015)) +1,(((M269*24*60)/2)*(1+POWER((((N269*24*60) / (M269*24*60 ))),2)))),""),"")</f>
        <v/>
      </c>
      <c r="Q269" s="36" t="str">
        <f t="shared" ref="Q269:Q332" si="66">IF(AND(O269&lt;&gt;"",L269&lt;&gt;""),IF(A269&lt;&gt;A270,((L269*24*60) / 2 ) * (1 + POWER(((O269*24*60) / (L269*24*60)),2)),""),"")</f>
        <v/>
      </c>
      <c r="R269" s="36" t="str">
        <f t="shared" si="58"/>
        <v/>
      </c>
      <c r="S269" s="37" t="str">
        <f t="shared" si="59"/>
        <v/>
      </c>
      <c r="T269" s="37" t="str">
        <f t="shared" ref="T269:T332" si="67">IF(G269&lt;&gt;"H. Sale Real",IF(AND(G270&lt;&gt;"",LEFT(C270,2)&lt;&gt;"NC"),IF(AND(G269&lt;&gt;"",LEFT(C269,2)&lt;&gt;"NC",G269&lt;&gt;"H. Sale Real"),IF(G270-G269&lt;0.208333333333333,G270-G269,""),IF(AND(G268&lt;&gt;"",LEFT(C268,2)&lt;&gt;"NC",G268&lt;&gt;"H. Sale Real"),IF(G270-G268&lt;0.208333333333333,G270-G268,""),IF(AND(G267&lt;&gt;"",LEFT(C267,2)&lt;&gt;"NC",G267&lt;&gt;"H. Sale Real"),IF(G270-G267&lt;0.208333333333333,G270-G267,""),IF(AND(G266&lt;&gt;"",LEFT(C266,2)&lt;&gt;"NC",G266&lt;&gt;"H. Sale Real"),IF(G270-G266&lt;0.208333333333333,G270-G266,""),IF(AND(G265&lt;&gt;"",LEFT(C265,2)&lt;&gt;"NC",G265&lt;&gt;"H. Sale Real"),IF(G270-G265&lt;0.208333333333333,G270-G265,""),""))))),""),"")</f>
        <v/>
      </c>
      <c r="U269" s="54"/>
      <c r="V269" s="46"/>
      <c r="W269" s="39" t="str">
        <f t="shared" si="60"/>
        <v/>
      </c>
      <c r="X269" s="38"/>
      <c r="Y269" s="48"/>
      <c r="AB269" s="56">
        <f t="shared" si="61"/>
        <v>1</v>
      </c>
      <c r="AC269" s="52"/>
      <c r="AD269" s="52"/>
      <c r="AE269" s="29" t="str">
        <f>IFERROR(
IF(AND(OR(AC269="C",AC269="c"), VLOOKUP(AF269,[1]Diccionario!B:N,13,0)="C"), "OK",IF(AND(OR(AC269="C",AC269="c"), OR(VLOOKUP(AF269,[1]Diccionario!B:N,13,0)="B", VLOOKUP(AF269,[1]Diccionario!B:N,13,0)="A")), "DEFICIT",IF(
AND(OR(AC269="B", AC269="BPAL"), VLOOKUP(AF269,[1]Diccionario!B:N,13,0)="B"), "OK",IF(AND(OR(AC269="B", AC269="BPAL"), VLOOKUP(AF269,[1]Diccionario!B:N,13,0)="A"), "DEFICIT",IF(AND(OR(AC269="B", AC269="BPAL"), VLOOKUP(AF269,[1]Diccionario!B:N,13,0)="C"), "SOBREOFERTA",IF(AND(AC269="A", VLOOKUP(AF269,[1]Diccionario!B:N,13,0)="A"), "OK",IF(
AND(AC269="A", OR(VLOOKUP(AF269,[1]Diccionario!B:N,13,0)="B", VLOOKUP(AF269,[1]Diccionario!B:N,13,0)="C")), "SOBREOFERTA",""
))))))),"")</f>
        <v/>
      </c>
      <c r="AF269" s="48"/>
      <c r="AG269" s="53"/>
      <c r="AH269" s="54"/>
      <c r="AI269" s="55" t="str">
        <f t="shared" si="62"/>
        <v/>
      </c>
      <c r="AJ269" s="46"/>
      <c r="AK269" s="34" t="e">
        <f>IF(AB269&lt;&gt;"",HLOOKUP(VALUE(TEXT(AH269,"h:mm:ss")),IF($C$6="Laboral",[1]Input!$A$4:$Y$227,IF($C$6="Sábado",[1]Input!$A$231:$Y$452,[1]Input!$A$456:$Y$656)),VLOOKUP($C$4,[1]Input!$AG$2:$AI$99,3,0)+IF(AD$5="Ida",0,1),1),"")</f>
        <v>#N/A</v>
      </c>
      <c r="AL269" s="34" t="str">
        <f>IF(AB270&lt;&gt;AB269,AVERAGEIF(AB$9:AB269,AB269,AK$9:AK269),"")</f>
        <v/>
      </c>
      <c r="AM269" s="35" t="str">
        <f>IFERROR(IF(AB270&lt;&gt;AB269,AVERAGEIF(AB$9:AB269,AB269,AT$9:AT269),""),"")</f>
        <v/>
      </c>
      <c r="AN269" s="35" t="str">
        <f>IFERROR(IF(AB270&lt;&gt;AB269,AVERAGEIF(AB$9:AB269,AB269,AU$9:AU269),""),"")</f>
        <v/>
      </c>
      <c r="AO269" s="35" t="str" cm="1">
        <f t="array" ref="AO269">IFERROR(IF(AB270&lt;&gt;AB269,_xlfn.STDEV.P(IF(AB$9:AB269=AB269,AU$9:AU269)),""),"")</f>
        <v/>
      </c>
      <c r="AP269" s="35" t="str" cm="1">
        <f t="array" ref="AP269">IFERROR(IF(AB270&lt;&gt;AB269,_xlfn.STDEV.P(IF(AB$9:AB269=AB269,AT$9:AT269)),""),"")</f>
        <v/>
      </c>
      <c r="AQ269" s="36" t="str">
        <f t="shared" ref="AQ269:AQ332" si="68">IFERROR(IF(AB269&lt;&gt;AB270,MAX((((AN269*24*60)/2)*(1+POWER((((AO269*24*60) / (AN269*24*60) )),2))) + ((AN269*24*60 )*-0.1 + (AL269*0.015)) +1,(((AN269*24*60)/2)*(1+POWER((((AO269*24*60) / (AN269*24*60 ))),2)))),""),"")</f>
        <v/>
      </c>
      <c r="AR269" s="36" t="str">
        <f t="shared" ref="AR269:AR332" si="69">IF(AND(AP269&lt;&gt;"",AM269&lt;&gt;""),IF(AB269&lt;&gt;AB270,((AM269*24*60) / 2 ) * (1 + POWER(((AP269*24*60) / (AM269*24*60)),2)),""),"")</f>
        <v/>
      </c>
      <c r="AS269" s="36" t="str">
        <f t="shared" si="63"/>
        <v/>
      </c>
      <c r="AT269" s="37" t="str">
        <f t="shared" ref="AT269:AT332" si="70">IF(AJ269&lt;&gt;"H. Sale Real",IF(AND(AJ270&lt;&gt;"",LEFT(AD270,2)&lt;&gt;"NC"),IF(AND(AJ269&lt;&gt;"",LEFT(AD269,2)&lt;&gt;"NC",AJ269&lt;&gt;"H. Sale Real"),IF(AJ270-AJ269&lt;0.208333333333333,AJ270-AJ269,""),IF(AND(AJ268&lt;&gt;"",LEFT(AD268,2)&lt;&gt;"NC",AJ268&lt;&gt;"H. Sale Real"),IF(AJ270-AJ268&lt;0.208333333333333,AJ270-AJ268,""),IF(AND(AJ267&lt;&gt;"",LEFT(AD267,2)&lt;&gt;"NC",AJ267&lt;&gt;"H. Sale Real"),IF(AJ270-AJ267&lt;0.208333333333333,AJ270-AJ267,""),IF(AND(AJ266&lt;&gt;"",LEFT(AD266,2)&lt;&gt;"NC",AJ266&lt;&gt;"H. Sale Real"),IF(AJ270-AJ266&lt;0.208333333333333,AJ270-AJ266,""),IF(AND(AJ265&lt;&gt;"",LEFT(AD265,2)&lt;&gt;"NC",AJ265&lt;&gt;"H. Sale Real"),IF(AJ270-AJ265&lt;0.208333333333333,AJ270-AJ265,""),""))))),""),"")</f>
        <v/>
      </c>
      <c r="AU269" s="37" t="str">
        <f t="shared" ref="AU269:AU332" si="71">IF(AH269&lt;&gt;"H. Sale Real",IF(AND(AH270&lt;&gt;"",LEFT(AD270,2)&lt;&gt;"NC"),IF(AND(AH269&lt;&gt;"",LEFT(AD269,2)&lt;&gt;"NC",AH269&lt;&gt;"H. Sale Real"),IF(AH270-AH269&lt;0.208333333333333,AH270-AH269,""),IF(AND(AH268&lt;&gt;"",LEFT(AD268,2)&lt;&gt;"NC",AH268&lt;&gt;"H. Sale Real"),IF(AH270-AH268&lt;0.208333333333333,AH270-AH268,""),IF(AND(AH267&lt;&gt;"",LEFT(AD267,2)&lt;&gt;"NC",AH267&lt;&gt;"H. Sale Real"),IF(AH270-AH267&lt;0.208333333333333,AH270-AH267,""),IF(AND(AH266&lt;&gt;"",LEFT(AD266,2)&lt;&gt;"NC",AH266&lt;&gt;"H. Sale Real"),IF(AH270-AH266&lt;0.208333333333333,AH270-AH266,""),IF(AND(AH265&lt;&gt;"",LEFT(AD265,2)&lt;&gt;"NC",AH265&lt;&gt;"H. Sale Real"),IF(AH270-AH265&lt;0.208333333333333,AH270-AH265,""),""))))),""),"")</f>
        <v/>
      </c>
      <c r="AV269" s="54"/>
      <c r="AW269" s="46"/>
      <c r="AX269" s="39" t="str" cm="1">
        <f t="array" ref="AX269">IF(AH269&lt;&gt;"",IF(AND(AX267:AX268&lt;&gt;"IE",AQ269&lt;&gt;0,AS269&lt;&gt;""),IF(IFERROR((AQ269/AS269),0) &lt;=1,IFERROR(AQ269/AS269,""),1),""),"")</f>
        <v/>
      </c>
      <c r="AY269" s="46"/>
      <c r="AZ269" s="57"/>
    </row>
    <row r="270" spans="1:52" ht="15.5" x14ac:dyDescent="0.35">
      <c r="A270" s="51">
        <f t="shared" si="64"/>
        <v>1</v>
      </c>
      <c r="B270" s="52"/>
      <c r="C270" s="52"/>
      <c r="D270" s="29" t="str">
        <f>IFERROR(
IF(AND(OR(Planilla!B270="C",Planilla!B270="c"), VLOOKUP(E270,[1]Diccionario!B:N,13,0)="C"), "OK",IF(AND(OR(Planilla!B270="C",Planilla!B270="c"), OR(VLOOKUP(E270,[1]Diccionario!B:N,13,0)="B", VLOOKUP(E270,[1]Diccionario!B:N,13,0)="A")), "DEFICIT",IF(
AND(OR(Planilla!B270="B", Planilla!B270="BPAL"), VLOOKUP(E270,[1]Diccionario!B:N,13,0)="B"), "OK",IF(AND(OR(Planilla!B270="B", Planilla!B270="BPAL"), VLOOKUP(E270,[1]Diccionario!B:N,13,0)="A"), "DEFICIT",IF(AND(OR(Planilla!B270="B", Planilla!B270="BPAL"), VLOOKUP(E270,[1]Diccionario!B:N,13,0)="C"), "SOBREOFERTA",IF(AND(Planilla!B270="A", VLOOKUP(E270,[1]Diccionario!B:N,13,0)="A"), "OK",IF(
AND(Planilla!B270="A", OR(VLOOKUP(E270,[1]Diccionario!B:N,13,0)="B", VLOOKUP(E270,[1]Diccionario!B:N,13,0)="C")), "SOBREOFERTA",""
))))))),"")</f>
        <v/>
      </c>
      <c r="E270" s="48"/>
      <c r="F270" s="53"/>
      <c r="G270" s="54"/>
      <c r="H270" s="55" t="str">
        <f t="shared" ref="H270:H333" si="72">IF(I270="","",IF(AND((I270-G270)&gt;=TIME(0,0,0),(I270-G270)&lt;TIME(0,3,0)),"OK",IF(AND((I270-G270)&gt;=TIME(0,3,0),(I270-G270)&lt;TIME(0,5,0)),"RETRASO DE 3-5 MIN",IF(AND((I270-G270)&gt;=TIME(0,5,0),(I270-G270)&lt;TIME(0,10,0)),"RETRASO DE 5-10 MIN",IF((I270-G270)&gt;=TIME(0,10,0),"RETRASO &gt;10 MIN",         IF(AND((G270-I270)&gt;=TIME(0,0,0),(G270-I270)&lt;TIME(0,3,0)),"OK",IF((G270-I270)&gt;=TIME(0,3,0),"ADELANTADO")))))))</f>
        <v/>
      </c>
      <c r="I270" s="35"/>
      <c r="J270" s="34" t="e">
        <f>IF(A270&lt;&gt;"",HLOOKUP(VALUE(TEXT(G270,"h:mm:ss")),IF($C$6="Laboral",[1]Input!$A$4:$Y$227,IF($C$6="Sábado",[1]Input!$A$231:$Y$452,[1]Input!$A$456:$Y$656)),VLOOKUP($C$4,[1]Input!$AG$2:$AI$99,3,0)+IF(C$5="Ida",0,1),1),"")</f>
        <v>#N/A</v>
      </c>
      <c r="K270" s="34" t="str">
        <f>IF(A271&lt;&gt;A270,AVERAGEIF(A$9:A270,A270,J$13:J270),"")</f>
        <v/>
      </c>
      <c r="L270" s="35" t="str">
        <f>IFERROR(IF(A271&lt;&gt;A270,AVERAGEIF(A$9:A270,A270,S$13:S270),""),"")</f>
        <v/>
      </c>
      <c r="M270" s="35" t="str">
        <f>IFERROR(IF(A271&lt;&gt;A270,AVERAGEIF(A$9:A270,A270,T$8:T270),""),"")</f>
        <v/>
      </c>
      <c r="N270" s="35" t="str" cm="1">
        <f t="array" ref="N270">IFERROR(IF(A271&lt;&gt;A270,_xlfn.STDEV.P(IF(A$9:A270=A270,T$7:T270)),""),"")</f>
        <v/>
      </c>
      <c r="O270" s="35" t="str" cm="1">
        <f t="array" ref="O270">IFERROR(IF(A271&lt;&gt;A270,_xlfn.STDEV.P(IF(A$9:A270=A270,S$7:S270)),""),"")</f>
        <v/>
      </c>
      <c r="P270" s="36" t="str">
        <f t="shared" si="65"/>
        <v/>
      </c>
      <c r="Q270" s="36" t="str">
        <f t="shared" si="66"/>
        <v/>
      </c>
      <c r="R270" s="36" t="str">
        <f t="shared" ref="R270:R333" si="73">IF(Q270&lt;&gt;"",MAX(P270,Q270),"")</f>
        <v/>
      </c>
      <c r="S270" s="37" t="str">
        <f t="shared" ref="S270:S333" si="74">IF(I270&lt;&gt;"H. Sale Real",IF(AND(I271&lt;&gt;"",LEFT(C271,2)&lt;&gt;"NC"),IF(AND(I270&lt;&gt;"",LEFT(C270,2)&lt;&gt;"NC",I270&lt;&gt;"H. Sale Real"),IF(I271-I270&lt;0.208333333333333,I271-I270,""),IF(AND(I269&lt;&gt;"",LEFT(C269,2)&lt;&gt;"NC",I269&lt;&gt;"H. Sale Real"),IF(I271-I269&lt;0.208333333333333,I271-I269,""),IF(AND(I268&lt;&gt;"",LEFT(C268,2)&lt;&gt;"NC",I268&lt;&gt;"H. Sale Real"),IF(I271-I268&lt;0.208333333333333,I271-I268,""),IF(AND(I267&lt;&gt;"",LEFT(C267,2)&lt;&gt;"NC",I267&lt;&gt;"H. Sale Real"),IF(I271-I267&lt;0.208333333333333,I271-I267,""),IF(AND(I266&lt;&gt;"",LEFT(C266,2)&lt;&gt;"NC",I266&lt;&gt;"H. Sale Real"),IF(I271-I266&lt;0.208333333333333,I271-I266,""),""))))),""),"")</f>
        <v/>
      </c>
      <c r="T270" s="37" t="str">
        <f t="shared" si="67"/>
        <v/>
      </c>
      <c r="U270" s="54"/>
      <c r="V270" s="46"/>
      <c r="W270" s="39" t="str">
        <f t="shared" ref="W270:W333" si="75">IF(G270&lt;&gt;"",IF(AND(W269&lt;&gt;"IE",P270&lt;&gt;0,R270&lt;&gt;""),IF(IFERROR((P270/R270),0) &lt;=1,IFERROR(P270/R270,""),1),""),"")</f>
        <v/>
      </c>
      <c r="X270" s="38"/>
      <c r="Y270" s="48"/>
      <c r="AB270" s="56">
        <f t="shared" ref="AB270:AB333" si="76">HOUR(AH270)+1</f>
        <v>1</v>
      </c>
      <c r="AC270" s="52"/>
      <c r="AD270" s="52"/>
      <c r="AE270" s="29" t="str">
        <f>IFERROR(
IF(AND(OR(AC270="C",AC270="c"), VLOOKUP(AF270,[1]Diccionario!B:N,13,0)="C"), "OK",IF(AND(OR(AC270="C",AC270="c"), OR(VLOOKUP(AF270,[1]Diccionario!B:N,13,0)="B", VLOOKUP(AF270,[1]Diccionario!B:N,13,0)="A")), "DEFICIT",IF(
AND(OR(AC270="B", AC270="BPAL"), VLOOKUP(AF270,[1]Diccionario!B:N,13,0)="B"), "OK",IF(AND(OR(AC270="B", AC270="BPAL"), VLOOKUP(AF270,[1]Diccionario!B:N,13,0)="A"), "DEFICIT",IF(AND(OR(AC270="B", AC270="BPAL"), VLOOKUP(AF270,[1]Diccionario!B:N,13,0)="C"), "SOBREOFERTA",IF(AND(AC270="A", VLOOKUP(AF270,[1]Diccionario!B:N,13,0)="A"), "OK",IF(
AND(AC270="A", OR(VLOOKUP(AF270,[1]Diccionario!B:N,13,0)="B", VLOOKUP(AF270,[1]Diccionario!B:N,13,0)="C")), "SOBREOFERTA",""
))))))),"")</f>
        <v/>
      </c>
      <c r="AF270" s="48"/>
      <c r="AG270" s="53"/>
      <c r="AH270" s="54"/>
      <c r="AI270" s="55" t="str">
        <f t="shared" ref="AI270:AI333" si="77">IF(AJ270="","",IF(AND((AJ270-AH270)&gt;=TIME(0,0,0),(AJ270-AH270)&lt;TIME(0,3,0)),"OK",IF(AND((AJ270-AH270)&gt;=TIME(0,3,0),(AJ270-AH270)&lt;TIME(0,5,0)),"RETRASO DE 3-5 MIN",IF(AND((AJ270-AH270)&gt;=TIME(0,5,0),(AJ270-AH270)&lt;TIME(0,10,0)),"RETRASO DE 5-10 MIN",IF((AJ270-AH270)&gt;=TIME(0,10,0),"RETRASO &gt;10 MIN",         IF(AND((AH270-AJ270)&gt;=TIME(0,0,0),(AH270-AJ270)&lt;TIME(0,3,0)),"OK",IF((AH270-AJ270)&gt;=TIME(0,3,0),"ADELANTADO")))))))</f>
        <v/>
      </c>
      <c r="AJ270" s="46"/>
      <c r="AK270" s="34" t="e">
        <f>IF(AB270&lt;&gt;"",HLOOKUP(VALUE(TEXT(AH270,"h:mm:ss")),IF($C$6="Laboral",[1]Input!$A$4:$Y$227,IF($C$6="Sábado",[1]Input!$A$231:$Y$452,[1]Input!$A$456:$Y$656)),VLOOKUP($C$4,[1]Input!$AG$2:$AI$99,3,0)+IF(AD$5="Ida",0,1),1),"")</f>
        <v>#N/A</v>
      </c>
      <c r="AL270" s="34" t="str">
        <f>IF(AB271&lt;&gt;AB270,AVERAGEIF(AB$9:AB270,AB270,AK$9:AK270),"")</f>
        <v/>
      </c>
      <c r="AM270" s="35" t="str">
        <f>IFERROR(IF(AB271&lt;&gt;AB270,AVERAGEIF(AB$9:AB270,AB270,AT$9:AT270),""),"")</f>
        <v/>
      </c>
      <c r="AN270" s="35" t="str">
        <f>IFERROR(IF(AB271&lt;&gt;AB270,AVERAGEIF(AB$9:AB270,AB270,AU$9:AU270),""),"")</f>
        <v/>
      </c>
      <c r="AO270" s="35" t="str" cm="1">
        <f t="array" ref="AO270">IFERROR(IF(AB271&lt;&gt;AB270,_xlfn.STDEV.P(IF(AB$9:AB270=AB270,AU$9:AU270)),""),"")</f>
        <v/>
      </c>
      <c r="AP270" s="35" t="str" cm="1">
        <f t="array" ref="AP270">IFERROR(IF(AB271&lt;&gt;AB270,_xlfn.STDEV.P(IF(AB$9:AB270=AB270,AT$9:AT270)),""),"")</f>
        <v/>
      </c>
      <c r="AQ270" s="36" t="str">
        <f t="shared" si="68"/>
        <v/>
      </c>
      <c r="AR270" s="36" t="str">
        <f t="shared" si="69"/>
        <v/>
      </c>
      <c r="AS270" s="36" t="str">
        <f t="shared" ref="AS270:AS333" si="78">IF(AR270&lt;&gt;"",MAX(AQ270,AR270),"")</f>
        <v/>
      </c>
      <c r="AT270" s="37" t="str">
        <f t="shared" si="70"/>
        <v/>
      </c>
      <c r="AU270" s="37" t="str">
        <f t="shared" si="71"/>
        <v/>
      </c>
      <c r="AV270" s="54"/>
      <c r="AW270" s="46"/>
      <c r="AX270" s="39" t="str" cm="1">
        <f t="array" ref="AX270">IF(AH270&lt;&gt;"",IF(AND(AX268:AX269&lt;&gt;"IE",AQ270&lt;&gt;0,AS270&lt;&gt;""),IF(IFERROR((AQ270/AS270),0) &lt;=1,IFERROR(AQ270/AS270,""),1),""),"")</f>
        <v/>
      </c>
      <c r="AY270" s="46"/>
      <c r="AZ270" s="57"/>
    </row>
    <row r="271" spans="1:52" ht="15.5" x14ac:dyDescent="0.35">
      <c r="A271" s="51">
        <f t="shared" ref="A271:A334" si="79">HOUR(G271)+1</f>
        <v>1</v>
      </c>
      <c r="B271" s="52"/>
      <c r="C271" s="52"/>
      <c r="D271" s="29" t="str">
        <f>IFERROR(
IF(AND(OR(Planilla!B271="C",Planilla!B271="c"), VLOOKUP(E271,[1]Diccionario!B:N,13,0)="C"), "OK",IF(AND(OR(Planilla!B271="C",Planilla!B271="c"), OR(VLOOKUP(E271,[1]Diccionario!B:N,13,0)="B", VLOOKUP(E271,[1]Diccionario!B:N,13,0)="A")), "DEFICIT",IF(
AND(OR(Planilla!B271="B", Planilla!B271="BPAL"), VLOOKUP(E271,[1]Diccionario!B:N,13,0)="B"), "OK",IF(AND(OR(Planilla!B271="B", Planilla!B271="BPAL"), VLOOKUP(E271,[1]Diccionario!B:N,13,0)="A"), "DEFICIT",IF(AND(OR(Planilla!B271="B", Planilla!B271="BPAL"), VLOOKUP(E271,[1]Diccionario!B:N,13,0)="C"), "SOBREOFERTA",IF(AND(Planilla!B271="A", VLOOKUP(E271,[1]Diccionario!B:N,13,0)="A"), "OK",IF(
AND(Planilla!B271="A", OR(VLOOKUP(E271,[1]Diccionario!B:N,13,0)="B", VLOOKUP(E271,[1]Diccionario!B:N,13,0)="C")), "SOBREOFERTA",""
))))))),"")</f>
        <v/>
      </c>
      <c r="E271" s="48"/>
      <c r="F271" s="53"/>
      <c r="G271" s="54"/>
      <c r="H271" s="55" t="str">
        <f t="shared" si="72"/>
        <v/>
      </c>
      <c r="I271" s="35"/>
      <c r="J271" s="34" t="e">
        <f>IF(A271&lt;&gt;"",HLOOKUP(VALUE(TEXT(G271,"h:mm:ss")),IF($C$6="Laboral",[1]Input!$A$4:$Y$227,IF($C$6="Sábado",[1]Input!$A$231:$Y$452,[1]Input!$A$456:$Y$656)),VLOOKUP($C$4,[1]Input!$AG$2:$AI$99,3,0)+IF(C$5="Ida",0,1),1),"")</f>
        <v>#N/A</v>
      </c>
      <c r="K271" s="34" t="str">
        <f>IF(A272&lt;&gt;A271,AVERAGEIF(A$9:A271,A271,J$13:J271),"")</f>
        <v/>
      </c>
      <c r="L271" s="35" t="str">
        <f>IFERROR(IF(A272&lt;&gt;A271,AVERAGEIF(A$9:A271,A271,S$13:S271),""),"")</f>
        <v/>
      </c>
      <c r="M271" s="35" t="str">
        <f>IFERROR(IF(A272&lt;&gt;A271,AVERAGEIF(A$9:A271,A271,T$8:T271),""),"")</f>
        <v/>
      </c>
      <c r="N271" s="35" t="str" cm="1">
        <f t="array" ref="N271">IFERROR(IF(A272&lt;&gt;A271,_xlfn.STDEV.P(IF(A$9:A271=A271,T$7:T271)),""),"")</f>
        <v/>
      </c>
      <c r="O271" s="35" t="str" cm="1">
        <f t="array" ref="O271">IFERROR(IF(A272&lt;&gt;A271,_xlfn.STDEV.P(IF(A$9:A271=A271,S$7:S271)),""),"")</f>
        <v/>
      </c>
      <c r="P271" s="36" t="str">
        <f t="shared" si="65"/>
        <v/>
      </c>
      <c r="Q271" s="36" t="str">
        <f t="shared" si="66"/>
        <v/>
      </c>
      <c r="R271" s="36" t="str">
        <f t="shared" si="73"/>
        <v/>
      </c>
      <c r="S271" s="37" t="str">
        <f t="shared" si="74"/>
        <v/>
      </c>
      <c r="T271" s="37" t="str">
        <f t="shared" si="67"/>
        <v/>
      </c>
      <c r="U271" s="54"/>
      <c r="V271" s="46"/>
      <c r="W271" s="39" t="str">
        <f t="shared" si="75"/>
        <v/>
      </c>
      <c r="X271" s="38"/>
      <c r="Y271" s="48"/>
      <c r="AB271" s="56">
        <f t="shared" si="76"/>
        <v>1</v>
      </c>
      <c r="AC271" s="52"/>
      <c r="AD271" s="52"/>
      <c r="AE271" s="29" t="str">
        <f>IFERROR(
IF(AND(OR(AC271="C",AC271="c"), VLOOKUP(AF271,[1]Diccionario!B:N,13,0)="C"), "OK",IF(AND(OR(AC271="C",AC271="c"), OR(VLOOKUP(AF271,[1]Diccionario!B:N,13,0)="B", VLOOKUP(AF271,[1]Diccionario!B:N,13,0)="A")), "DEFICIT",IF(
AND(OR(AC271="B", AC271="BPAL"), VLOOKUP(AF271,[1]Diccionario!B:N,13,0)="B"), "OK",IF(AND(OR(AC271="B", AC271="BPAL"), VLOOKUP(AF271,[1]Diccionario!B:N,13,0)="A"), "DEFICIT",IF(AND(OR(AC271="B", AC271="BPAL"), VLOOKUP(AF271,[1]Diccionario!B:N,13,0)="C"), "SOBREOFERTA",IF(AND(AC271="A", VLOOKUP(AF271,[1]Diccionario!B:N,13,0)="A"), "OK",IF(
AND(AC271="A", OR(VLOOKUP(AF271,[1]Diccionario!B:N,13,0)="B", VLOOKUP(AF271,[1]Diccionario!B:N,13,0)="C")), "SOBREOFERTA",""
))))))),"")</f>
        <v/>
      </c>
      <c r="AF271" s="48"/>
      <c r="AG271" s="53"/>
      <c r="AH271" s="54"/>
      <c r="AI271" s="55" t="str">
        <f t="shared" si="77"/>
        <v/>
      </c>
      <c r="AJ271" s="46"/>
      <c r="AK271" s="34" t="e">
        <f>IF(AB271&lt;&gt;"",HLOOKUP(VALUE(TEXT(AH271,"h:mm:ss")),IF($C$6="Laboral",[1]Input!$A$4:$Y$227,IF($C$6="Sábado",[1]Input!$A$231:$Y$452,[1]Input!$A$456:$Y$656)),VLOOKUP($C$4,[1]Input!$AG$2:$AI$99,3,0)+IF(AD$5="Ida",0,1),1),"")</f>
        <v>#N/A</v>
      </c>
      <c r="AL271" s="34" t="str">
        <f>IF(AB272&lt;&gt;AB271,AVERAGEIF(AB$9:AB271,AB271,AK$9:AK271),"")</f>
        <v/>
      </c>
      <c r="AM271" s="35" t="str">
        <f>IFERROR(IF(AB272&lt;&gt;AB271,AVERAGEIF(AB$9:AB271,AB271,AT$9:AT271),""),"")</f>
        <v/>
      </c>
      <c r="AN271" s="35" t="str">
        <f>IFERROR(IF(AB272&lt;&gt;AB271,AVERAGEIF(AB$9:AB271,AB271,AU$9:AU271),""),"")</f>
        <v/>
      </c>
      <c r="AO271" s="35" t="str" cm="1">
        <f t="array" ref="AO271">IFERROR(IF(AB272&lt;&gt;AB271,_xlfn.STDEV.P(IF(AB$9:AB271=AB271,AU$9:AU271)),""),"")</f>
        <v/>
      </c>
      <c r="AP271" s="35" t="str" cm="1">
        <f t="array" ref="AP271">IFERROR(IF(AB272&lt;&gt;AB271,_xlfn.STDEV.P(IF(AB$9:AB271=AB271,AT$9:AT271)),""),"")</f>
        <v/>
      </c>
      <c r="AQ271" s="36" t="str">
        <f t="shared" si="68"/>
        <v/>
      </c>
      <c r="AR271" s="36" t="str">
        <f t="shared" si="69"/>
        <v/>
      </c>
      <c r="AS271" s="36" t="str">
        <f t="shared" si="78"/>
        <v/>
      </c>
      <c r="AT271" s="37" t="str">
        <f t="shared" si="70"/>
        <v/>
      </c>
      <c r="AU271" s="37" t="str">
        <f t="shared" si="71"/>
        <v/>
      </c>
      <c r="AV271" s="54"/>
      <c r="AW271" s="46"/>
      <c r="AX271" s="39" t="str" cm="1">
        <f t="array" ref="AX271">IF(AH271&lt;&gt;"",IF(AND(AX269:AX270&lt;&gt;"IE",AQ271&lt;&gt;0,AS271&lt;&gt;""),IF(IFERROR((AQ271/AS271),0) &lt;=1,IFERROR(AQ271/AS271,""),1),""),"")</f>
        <v/>
      </c>
      <c r="AY271" s="46"/>
      <c r="AZ271" s="57"/>
    </row>
    <row r="272" spans="1:52" ht="15.5" x14ac:dyDescent="0.35">
      <c r="A272" s="51">
        <f t="shared" si="79"/>
        <v>1</v>
      </c>
      <c r="B272" s="52"/>
      <c r="C272" s="52"/>
      <c r="D272" s="29" t="str">
        <f>IFERROR(
IF(AND(OR(Planilla!B272="C",Planilla!B272="c"), VLOOKUP(E272,[1]Diccionario!B:N,13,0)="C"), "OK",IF(AND(OR(Planilla!B272="C",Planilla!B272="c"), OR(VLOOKUP(E272,[1]Diccionario!B:N,13,0)="B", VLOOKUP(E272,[1]Diccionario!B:N,13,0)="A")), "DEFICIT",IF(
AND(OR(Planilla!B272="B", Planilla!B272="BPAL"), VLOOKUP(E272,[1]Diccionario!B:N,13,0)="B"), "OK",IF(AND(OR(Planilla!B272="B", Planilla!B272="BPAL"), VLOOKUP(E272,[1]Diccionario!B:N,13,0)="A"), "DEFICIT",IF(AND(OR(Planilla!B272="B", Planilla!B272="BPAL"), VLOOKUP(E272,[1]Diccionario!B:N,13,0)="C"), "SOBREOFERTA",IF(AND(Planilla!B272="A", VLOOKUP(E272,[1]Diccionario!B:N,13,0)="A"), "OK",IF(
AND(Planilla!B272="A", OR(VLOOKUP(E272,[1]Diccionario!B:N,13,0)="B", VLOOKUP(E272,[1]Diccionario!B:N,13,0)="C")), "SOBREOFERTA",""
))))))),"")</f>
        <v/>
      </c>
      <c r="E272" s="48"/>
      <c r="F272" s="53"/>
      <c r="G272" s="54"/>
      <c r="H272" s="55" t="str">
        <f t="shared" si="72"/>
        <v/>
      </c>
      <c r="I272" s="35"/>
      <c r="J272" s="34" t="e">
        <f>IF(A272&lt;&gt;"",HLOOKUP(VALUE(TEXT(G272,"h:mm:ss")),IF($C$6="Laboral",[1]Input!$A$4:$Y$227,IF($C$6="Sábado",[1]Input!$A$231:$Y$452,[1]Input!$A$456:$Y$656)),VLOOKUP($C$4,[1]Input!$AG$2:$AI$99,3,0)+IF(C$5="Ida",0,1),1),"")</f>
        <v>#N/A</v>
      </c>
      <c r="K272" s="34" t="str">
        <f>IF(A273&lt;&gt;A272,AVERAGEIF(A$9:A272,A272,J$13:J272),"")</f>
        <v/>
      </c>
      <c r="L272" s="35" t="str">
        <f>IFERROR(IF(A273&lt;&gt;A272,AVERAGEIF(A$9:A272,A272,S$13:S272),""),"")</f>
        <v/>
      </c>
      <c r="M272" s="35" t="str">
        <f>IFERROR(IF(A273&lt;&gt;A272,AVERAGEIF(A$9:A272,A272,T$8:T272),""),"")</f>
        <v/>
      </c>
      <c r="N272" s="35" t="str" cm="1">
        <f t="array" ref="N272">IFERROR(IF(A273&lt;&gt;A272,_xlfn.STDEV.P(IF(A$9:A272=A272,T$7:T272)),""),"")</f>
        <v/>
      </c>
      <c r="O272" s="35" t="str" cm="1">
        <f t="array" ref="O272">IFERROR(IF(A273&lt;&gt;A272,_xlfn.STDEV.P(IF(A$9:A272=A272,S$7:S272)),""),"")</f>
        <v/>
      </c>
      <c r="P272" s="36" t="str">
        <f t="shared" si="65"/>
        <v/>
      </c>
      <c r="Q272" s="36" t="str">
        <f t="shared" si="66"/>
        <v/>
      </c>
      <c r="R272" s="36" t="str">
        <f t="shared" si="73"/>
        <v/>
      </c>
      <c r="S272" s="37" t="str">
        <f t="shared" si="74"/>
        <v/>
      </c>
      <c r="T272" s="37" t="str">
        <f t="shared" si="67"/>
        <v/>
      </c>
      <c r="U272" s="54"/>
      <c r="V272" s="46"/>
      <c r="W272" s="39" t="str">
        <f t="shared" si="75"/>
        <v/>
      </c>
      <c r="X272" s="38"/>
      <c r="Y272" s="48"/>
      <c r="AB272" s="56">
        <f t="shared" si="76"/>
        <v>1</v>
      </c>
      <c r="AC272" s="52"/>
      <c r="AD272" s="52"/>
      <c r="AE272" s="29" t="str">
        <f>IFERROR(
IF(AND(OR(AC272="C",AC272="c"), VLOOKUP(AF272,[1]Diccionario!B:N,13,0)="C"), "OK",IF(AND(OR(AC272="C",AC272="c"), OR(VLOOKUP(AF272,[1]Diccionario!B:N,13,0)="B", VLOOKUP(AF272,[1]Diccionario!B:N,13,0)="A")), "DEFICIT",IF(
AND(OR(AC272="B", AC272="BPAL"), VLOOKUP(AF272,[1]Diccionario!B:N,13,0)="B"), "OK",IF(AND(OR(AC272="B", AC272="BPAL"), VLOOKUP(AF272,[1]Diccionario!B:N,13,0)="A"), "DEFICIT",IF(AND(OR(AC272="B", AC272="BPAL"), VLOOKUP(AF272,[1]Diccionario!B:N,13,0)="C"), "SOBREOFERTA",IF(AND(AC272="A", VLOOKUP(AF272,[1]Diccionario!B:N,13,0)="A"), "OK",IF(
AND(AC272="A", OR(VLOOKUP(AF272,[1]Diccionario!B:N,13,0)="B", VLOOKUP(AF272,[1]Diccionario!B:N,13,0)="C")), "SOBREOFERTA",""
))))))),"")</f>
        <v/>
      </c>
      <c r="AF272" s="48"/>
      <c r="AG272" s="53"/>
      <c r="AH272" s="54"/>
      <c r="AI272" s="55" t="str">
        <f t="shared" si="77"/>
        <v/>
      </c>
      <c r="AJ272" s="46"/>
      <c r="AK272" s="34" t="e">
        <f>IF(AB272&lt;&gt;"",HLOOKUP(VALUE(TEXT(AH272,"h:mm:ss")),IF($C$6="Laboral",[1]Input!$A$4:$Y$227,IF($C$6="Sábado",[1]Input!$A$231:$Y$452,[1]Input!$A$456:$Y$656)),VLOOKUP($C$4,[1]Input!$AG$2:$AI$99,3,0)+IF(AD$5="Ida",0,1),1),"")</f>
        <v>#N/A</v>
      </c>
      <c r="AL272" s="34" t="str">
        <f>IF(AB273&lt;&gt;AB272,AVERAGEIF(AB$9:AB272,AB272,AK$9:AK272),"")</f>
        <v/>
      </c>
      <c r="AM272" s="35" t="str">
        <f>IFERROR(IF(AB273&lt;&gt;AB272,AVERAGEIF(AB$9:AB272,AB272,AT$9:AT272),""),"")</f>
        <v/>
      </c>
      <c r="AN272" s="35" t="str">
        <f>IFERROR(IF(AB273&lt;&gt;AB272,AVERAGEIF(AB$9:AB272,AB272,AU$9:AU272),""),"")</f>
        <v/>
      </c>
      <c r="AO272" s="35" t="str" cm="1">
        <f t="array" ref="AO272">IFERROR(IF(AB273&lt;&gt;AB272,_xlfn.STDEV.P(IF(AB$9:AB272=AB272,AU$9:AU272)),""),"")</f>
        <v/>
      </c>
      <c r="AP272" s="35" t="str" cm="1">
        <f t="array" ref="AP272">IFERROR(IF(AB273&lt;&gt;AB272,_xlfn.STDEV.P(IF(AB$9:AB272=AB272,AT$9:AT272)),""),"")</f>
        <v/>
      </c>
      <c r="AQ272" s="36" t="str">
        <f t="shared" si="68"/>
        <v/>
      </c>
      <c r="AR272" s="36" t="str">
        <f t="shared" si="69"/>
        <v/>
      </c>
      <c r="AS272" s="36" t="str">
        <f t="shared" si="78"/>
        <v/>
      </c>
      <c r="AT272" s="37" t="str">
        <f t="shared" si="70"/>
        <v/>
      </c>
      <c r="AU272" s="37" t="str">
        <f t="shared" si="71"/>
        <v/>
      </c>
      <c r="AV272" s="54"/>
      <c r="AW272" s="46"/>
      <c r="AX272" s="39" t="str" cm="1">
        <f t="array" ref="AX272">IF(AH272&lt;&gt;"",IF(AND(AX270:AX271&lt;&gt;"IE",AQ272&lt;&gt;0,AS272&lt;&gt;""),IF(IFERROR((AQ272/AS272),0) &lt;=1,IFERROR(AQ272/AS272,""),1),""),"")</f>
        <v/>
      </c>
      <c r="AY272" s="46"/>
      <c r="AZ272" s="57"/>
    </row>
    <row r="273" spans="1:52" ht="15.5" x14ac:dyDescent="0.35">
      <c r="A273" s="51">
        <f t="shared" si="79"/>
        <v>1</v>
      </c>
      <c r="B273" s="52"/>
      <c r="C273" s="52"/>
      <c r="D273" s="29" t="str">
        <f>IFERROR(
IF(AND(OR(Planilla!B273="C",Planilla!B273="c"), VLOOKUP(E273,[1]Diccionario!B:N,13,0)="C"), "OK",IF(AND(OR(Planilla!B273="C",Planilla!B273="c"), OR(VLOOKUP(E273,[1]Diccionario!B:N,13,0)="B", VLOOKUP(E273,[1]Diccionario!B:N,13,0)="A")), "DEFICIT",IF(
AND(OR(Planilla!B273="B", Planilla!B273="BPAL"), VLOOKUP(E273,[1]Diccionario!B:N,13,0)="B"), "OK",IF(AND(OR(Planilla!B273="B", Planilla!B273="BPAL"), VLOOKUP(E273,[1]Diccionario!B:N,13,0)="A"), "DEFICIT",IF(AND(OR(Planilla!B273="B", Planilla!B273="BPAL"), VLOOKUP(E273,[1]Diccionario!B:N,13,0)="C"), "SOBREOFERTA",IF(AND(Planilla!B273="A", VLOOKUP(E273,[1]Diccionario!B:N,13,0)="A"), "OK",IF(
AND(Planilla!B273="A", OR(VLOOKUP(E273,[1]Diccionario!B:N,13,0)="B", VLOOKUP(E273,[1]Diccionario!B:N,13,0)="C")), "SOBREOFERTA",""
))))))),"")</f>
        <v/>
      </c>
      <c r="E273" s="48"/>
      <c r="F273" s="53"/>
      <c r="G273" s="54"/>
      <c r="H273" s="55" t="str">
        <f t="shared" si="72"/>
        <v/>
      </c>
      <c r="I273" s="35"/>
      <c r="J273" s="34" t="e">
        <f>IF(A273&lt;&gt;"",HLOOKUP(VALUE(TEXT(G273,"h:mm:ss")),IF($C$6="Laboral",[1]Input!$A$4:$Y$227,IF($C$6="Sábado",[1]Input!$A$231:$Y$452,[1]Input!$A$456:$Y$656)),VLOOKUP($C$4,[1]Input!$AG$2:$AI$99,3,0)+IF(C$5="Ida",0,1),1),"")</f>
        <v>#N/A</v>
      </c>
      <c r="K273" s="34" t="str">
        <f>IF(A274&lt;&gt;A273,AVERAGEIF(A$9:A273,A273,J$13:J273),"")</f>
        <v/>
      </c>
      <c r="L273" s="35" t="str">
        <f>IFERROR(IF(A274&lt;&gt;A273,AVERAGEIF(A$9:A273,A273,S$13:S273),""),"")</f>
        <v/>
      </c>
      <c r="M273" s="35" t="str">
        <f>IFERROR(IF(A274&lt;&gt;A273,AVERAGEIF(A$9:A273,A273,T$8:T273),""),"")</f>
        <v/>
      </c>
      <c r="N273" s="35" t="str" cm="1">
        <f t="array" ref="N273">IFERROR(IF(A274&lt;&gt;A273,_xlfn.STDEV.P(IF(A$9:A273=A273,T$7:T273)),""),"")</f>
        <v/>
      </c>
      <c r="O273" s="35" t="str" cm="1">
        <f t="array" ref="O273">IFERROR(IF(A274&lt;&gt;A273,_xlfn.STDEV.P(IF(A$9:A273=A273,S$7:S273)),""),"")</f>
        <v/>
      </c>
      <c r="P273" s="36" t="str">
        <f t="shared" si="65"/>
        <v/>
      </c>
      <c r="Q273" s="36" t="str">
        <f t="shared" si="66"/>
        <v/>
      </c>
      <c r="R273" s="36" t="str">
        <f t="shared" si="73"/>
        <v/>
      </c>
      <c r="S273" s="37" t="str">
        <f t="shared" si="74"/>
        <v/>
      </c>
      <c r="T273" s="37" t="str">
        <f t="shared" si="67"/>
        <v/>
      </c>
      <c r="U273" s="54"/>
      <c r="V273" s="46"/>
      <c r="W273" s="39" t="str">
        <f t="shared" si="75"/>
        <v/>
      </c>
      <c r="X273" s="38"/>
      <c r="Y273" s="48"/>
      <c r="AB273" s="56">
        <f t="shared" si="76"/>
        <v>1</v>
      </c>
      <c r="AC273" s="52"/>
      <c r="AD273" s="52"/>
      <c r="AE273" s="29" t="str">
        <f>IFERROR(
IF(AND(OR(AC273="C",AC273="c"), VLOOKUP(AF273,[1]Diccionario!B:N,13,0)="C"), "OK",IF(AND(OR(AC273="C",AC273="c"), OR(VLOOKUP(AF273,[1]Diccionario!B:N,13,0)="B", VLOOKUP(AF273,[1]Diccionario!B:N,13,0)="A")), "DEFICIT",IF(
AND(OR(AC273="B", AC273="BPAL"), VLOOKUP(AF273,[1]Diccionario!B:N,13,0)="B"), "OK",IF(AND(OR(AC273="B", AC273="BPAL"), VLOOKUP(AF273,[1]Diccionario!B:N,13,0)="A"), "DEFICIT",IF(AND(OR(AC273="B", AC273="BPAL"), VLOOKUP(AF273,[1]Diccionario!B:N,13,0)="C"), "SOBREOFERTA",IF(AND(AC273="A", VLOOKUP(AF273,[1]Diccionario!B:N,13,0)="A"), "OK",IF(
AND(AC273="A", OR(VLOOKUP(AF273,[1]Diccionario!B:N,13,0)="B", VLOOKUP(AF273,[1]Diccionario!B:N,13,0)="C")), "SOBREOFERTA",""
))))))),"")</f>
        <v/>
      </c>
      <c r="AF273" s="48"/>
      <c r="AG273" s="53"/>
      <c r="AH273" s="54"/>
      <c r="AI273" s="55" t="str">
        <f t="shared" si="77"/>
        <v/>
      </c>
      <c r="AJ273" s="46"/>
      <c r="AK273" s="34" t="e">
        <f>IF(AB273&lt;&gt;"",HLOOKUP(VALUE(TEXT(AH273,"h:mm:ss")),IF($C$6="Laboral",[1]Input!$A$4:$Y$227,IF($C$6="Sábado",[1]Input!$A$231:$Y$452,[1]Input!$A$456:$Y$656)),VLOOKUP($C$4,[1]Input!$AG$2:$AI$99,3,0)+IF(AD$5="Ida",0,1),1),"")</f>
        <v>#N/A</v>
      </c>
      <c r="AL273" s="34" t="str">
        <f>IF(AB274&lt;&gt;AB273,AVERAGEIF(AB$9:AB273,AB273,AK$9:AK273),"")</f>
        <v/>
      </c>
      <c r="AM273" s="35" t="str">
        <f>IFERROR(IF(AB274&lt;&gt;AB273,AVERAGEIF(AB$9:AB273,AB273,AT$9:AT273),""),"")</f>
        <v/>
      </c>
      <c r="AN273" s="35" t="str">
        <f>IFERROR(IF(AB274&lt;&gt;AB273,AVERAGEIF(AB$9:AB273,AB273,AU$9:AU273),""),"")</f>
        <v/>
      </c>
      <c r="AO273" s="35" t="str" cm="1">
        <f t="array" ref="AO273">IFERROR(IF(AB274&lt;&gt;AB273,_xlfn.STDEV.P(IF(AB$9:AB273=AB273,AU$9:AU273)),""),"")</f>
        <v/>
      </c>
      <c r="AP273" s="35" t="str" cm="1">
        <f t="array" ref="AP273">IFERROR(IF(AB274&lt;&gt;AB273,_xlfn.STDEV.P(IF(AB$9:AB273=AB273,AT$9:AT273)),""),"")</f>
        <v/>
      </c>
      <c r="AQ273" s="36" t="str">
        <f t="shared" si="68"/>
        <v/>
      </c>
      <c r="AR273" s="36" t="str">
        <f t="shared" si="69"/>
        <v/>
      </c>
      <c r="AS273" s="36" t="str">
        <f t="shared" si="78"/>
        <v/>
      </c>
      <c r="AT273" s="37" t="str">
        <f t="shared" si="70"/>
        <v/>
      </c>
      <c r="AU273" s="37" t="str">
        <f t="shared" si="71"/>
        <v/>
      </c>
      <c r="AV273" s="54"/>
      <c r="AW273" s="46"/>
      <c r="AX273" s="39" t="str" cm="1">
        <f t="array" ref="AX273">IF(AH273&lt;&gt;"",IF(AND(AX271:AX272&lt;&gt;"IE",AQ273&lt;&gt;0,AS273&lt;&gt;""),IF(IFERROR((AQ273/AS273),0) &lt;=1,IFERROR(AQ273/AS273,""),1),""),"")</f>
        <v/>
      </c>
      <c r="AY273" s="46"/>
      <c r="AZ273" s="57"/>
    </row>
    <row r="274" spans="1:52" ht="15.5" x14ac:dyDescent="0.35">
      <c r="A274" s="51">
        <f t="shared" si="79"/>
        <v>1</v>
      </c>
      <c r="B274" s="52"/>
      <c r="C274" s="52"/>
      <c r="D274" s="29" t="str">
        <f>IFERROR(
IF(AND(OR(Planilla!B274="C",Planilla!B274="c"), VLOOKUP(E274,[1]Diccionario!B:N,13,0)="C"), "OK",IF(AND(OR(Planilla!B274="C",Planilla!B274="c"), OR(VLOOKUP(E274,[1]Diccionario!B:N,13,0)="B", VLOOKUP(E274,[1]Diccionario!B:N,13,0)="A")), "DEFICIT",IF(
AND(OR(Planilla!B274="B", Planilla!B274="BPAL"), VLOOKUP(E274,[1]Diccionario!B:N,13,0)="B"), "OK",IF(AND(OR(Planilla!B274="B", Planilla!B274="BPAL"), VLOOKUP(E274,[1]Diccionario!B:N,13,0)="A"), "DEFICIT",IF(AND(OR(Planilla!B274="B", Planilla!B274="BPAL"), VLOOKUP(E274,[1]Diccionario!B:N,13,0)="C"), "SOBREOFERTA",IF(AND(Planilla!B274="A", VLOOKUP(E274,[1]Diccionario!B:N,13,0)="A"), "OK",IF(
AND(Planilla!B274="A", OR(VLOOKUP(E274,[1]Diccionario!B:N,13,0)="B", VLOOKUP(E274,[1]Diccionario!B:N,13,0)="C")), "SOBREOFERTA",""
))))))),"")</f>
        <v/>
      </c>
      <c r="E274" s="48"/>
      <c r="F274" s="53"/>
      <c r="G274" s="54"/>
      <c r="H274" s="55" t="str">
        <f t="shared" si="72"/>
        <v/>
      </c>
      <c r="I274" s="35"/>
      <c r="J274" s="34" t="e">
        <f>IF(A274&lt;&gt;"",HLOOKUP(VALUE(TEXT(G274,"h:mm:ss")),IF($C$6="Laboral",[1]Input!$A$4:$Y$227,IF($C$6="Sábado",[1]Input!$A$231:$Y$452,[1]Input!$A$456:$Y$656)),VLOOKUP($C$4,[1]Input!$AG$2:$AI$99,3,0)+IF(C$5="Ida",0,1),1),"")</f>
        <v>#N/A</v>
      </c>
      <c r="K274" s="34" t="str">
        <f>IF(A275&lt;&gt;A274,AVERAGEIF(A$9:A274,A274,J$13:J274),"")</f>
        <v/>
      </c>
      <c r="L274" s="35" t="str">
        <f>IFERROR(IF(A275&lt;&gt;A274,AVERAGEIF(A$9:A274,A274,S$13:S274),""),"")</f>
        <v/>
      </c>
      <c r="M274" s="35" t="str">
        <f>IFERROR(IF(A275&lt;&gt;A274,AVERAGEIF(A$9:A274,A274,T$8:T274),""),"")</f>
        <v/>
      </c>
      <c r="N274" s="35" t="str" cm="1">
        <f t="array" ref="N274">IFERROR(IF(A275&lt;&gt;A274,_xlfn.STDEV.P(IF(A$9:A274=A274,T$7:T274)),""),"")</f>
        <v/>
      </c>
      <c r="O274" s="35" t="str" cm="1">
        <f t="array" ref="O274">IFERROR(IF(A275&lt;&gt;A274,_xlfn.STDEV.P(IF(A$9:A274=A274,S$7:S274)),""),"")</f>
        <v/>
      </c>
      <c r="P274" s="36" t="str">
        <f t="shared" si="65"/>
        <v/>
      </c>
      <c r="Q274" s="36" t="str">
        <f t="shared" si="66"/>
        <v/>
      </c>
      <c r="R274" s="36" t="str">
        <f t="shared" si="73"/>
        <v/>
      </c>
      <c r="S274" s="37" t="str">
        <f t="shared" si="74"/>
        <v/>
      </c>
      <c r="T274" s="37" t="str">
        <f t="shared" si="67"/>
        <v/>
      </c>
      <c r="U274" s="54"/>
      <c r="V274" s="46"/>
      <c r="W274" s="39" t="str">
        <f t="shared" si="75"/>
        <v/>
      </c>
      <c r="X274" s="38"/>
      <c r="Y274" s="48"/>
      <c r="AB274" s="56">
        <f t="shared" si="76"/>
        <v>1</v>
      </c>
      <c r="AC274" s="52"/>
      <c r="AD274" s="52"/>
      <c r="AE274" s="29" t="str">
        <f>IFERROR(
IF(AND(OR(AC274="C",AC274="c"), VLOOKUP(AF274,[1]Diccionario!B:N,13,0)="C"), "OK",IF(AND(OR(AC274="C",AC274="c"), OR(VLOOKUP(AF274,[1]Diccionario!B:N,13,0)="B", VLOOKUP(AF274,[1]Diccionario!B:N,13,0)="A")), "DEFICIT",IF(
AND(OR(AC274="B", AC274="BPAL"), VLOOKUP(AF274,[1]Diccionario!B:N,13,0)="B"), "OK",IF(AND(OR(AC274="B", AC274="BPAL"), VLOOKUP(AF274,[1]Diccionario!B:N,13,0)="A"), "DEFICIT",IF(AND(OR(AC274="B", AC274="BPAL"), VLOOKUP(AF274,[1]Diccionario!B:N,13,0)="C"), "SOBREOFERTA",IF(AND(AC274="A", VLOOKUP(AF274,[1]Diccionario!B:N,13,0)="A"), "OK",IF(
AND(AC274="A", OR(VLOOKUP(AF274,[1]Diccionario!B:N,13,0)="B", VLOOKUP(AF274,[1]Diccionario!B:N,13,0)="C")), "SOBREOFERTA",""
))))))),"")</f>
        <v/>
      </c>
      <c r="AF274" s="48"/>
      <c r="AG274" s="53"/>
      <c r="AH274" s="54"/>
      <c r="AI274" s="55" t="str">
        <f t="shared" si="77"/>
        <v/>
      </c>
      <c r="AJ274" s="46"/>
      <c r="AK274" s="34" t="e">
        <f>IF(AB274&lt;&gt;"",HLOOKUP(VALUE(TEXT(AH274,"h:mm:ss")),IF($C$6="Laboral",[1]Input!$A$4:$Y$227,IF($C$6="Sábado",[1]Input!$A$231:$Y$452,[1]Input!$A$456:$Y$656)),VLOOKUP($C$4,[1]Input!$AG$2:$AI$99,3,0)+IF(AD$5="Ida",0,1),1),"")</f>
        <v>#N/A</v>
      </c>
      <c r="AL274" s="34" t="str">
        <f>IF(AB275&lt;&gt;AB274,AVERAGEIF(AB$9:AB274,AB274,AK$9:AK274),"")</f>
        <v/>
      </c>
      <c r="AM274" s="35" t="str">
        <f>IFERROR(IF(AB275&lt;&gt;AB274,AVERAGEIF(AB$9:AB274,AB274,AT$9:AT274),""),"")</f>
        <v/>
      </c>
      <c r="AN274" s="35" t="str">
        <f>IFERROR(IF(AB275&lt;&gt;AB274,AVERAGEIF(AB$9:AB274,AB274,AU$9:AU274),""),"")</f>
        <v/>
      </c>
      <c r="AO274" s="35" t="str" cm="1">
        <f t="array" ref="AO274">IFERROR(IF(AB275&lt;&gt;AB274,_xlfn.STDEV.P(IF(AB$9:AB274=AB274,AU$9:AU274)),""),"")</f>
        <v/>
      </c>
      <c r="AP274" s="35" t="str" cm="1">
        <f t="array" ref="AP274">IFERROR(IF(AB275&lt;&gt;AB274,_xlfn.STDEV.P(IF(AB$9:AB274=AB274,AT$9:AT274)),""),"")</f>
        <v/>
      </c>
      <c r="AQ274" s="36" t="str">
        <f t="shared" si="68"/>
        <v/>
      </c>
      <c r="AR274" s="36" t="str">
        <f t="shared" si="69"/>
        <v/>
      </c>
      <c r="AS274" s="36" t="str">
        <f t="shared" si="78"/>
        <v/>
      </c>
      <c r="AT274" s="37" t="str">
        <f t="shared" si="70"/>
        <v/>
      </c>
      <c r="AU274" s="37" t="str">
        <f t="shared" si="71"/>
        <v/>
      </c>
      <c r="AV274" s="54"/>
      <c r="AW274" s="46"/>
      <c r="AX274" s="39" t="str" cm="1">
        <f t="array" ref="AX274">IF(AH274&lt;&gt;"",IF(AND(AX272:AX273&lt;&gt;"IE",AQ274&lt;&gt;0,AS274&lt;&gt;""),IF(IFERROR((AQ274/AS274),0) &lt;=1,IFERROR(AQ274/AS274,""),1),""),"")</f>
        <v/>
      </c>
      <c r="AY274" s="46"/>
      <c r="AZ274" s="57"/>
    </row>
    <row r="275" spans="1:52" ht="15.5" x14ac:dyDescent="0.35">
      <c r="A275" s="51">
        <f t="shared" si="79"/>
        <v>1</v>
      </c>
      <c r="B275" s="52"/>
      <c r="C275" s="52"/>
      <c r="D275" s="29" t="str">
        <f>IFERROR(
IF(AND(OR(Planilla!B275="C",Planilla!B275="c"), VLOOKUP(E275,[1]Diccionario!B:N,13,0)="C"), "OK",IF(AND(OR(Planilla!B275="C",Planilla!B275="c"), OR(VLOOKUP(E275,[1]Diccionario!B:N,13,0)="B", VLOOKUP(E275,[1]Diccionario!B:N,13,0)="A")), "DEFICIT",IF(
AND(OR(Planilla!B275="B", Planilla!B275="BPAL"), VLOOKUP(E275,[1]Diccionario!B:N,13,0)="B"), "OK",IF(AND(OR(Planilla!B275="B", Planilla!B275="BPAL"), VLOOKUP(E275,[1]Diccionario!B:N,13,0)="A"), "DEFICIT",IF(AND(OR(Planilla!B275="B", Planilla!B275="BPAL"), VLOOKUP(E275,[1]Diccionario!B:N,13,0)="C"), "SOBREOFERTA",IF(AND(Planilla!B275="A", VLOOKUP(E275,[1]Diccionario!B:N,13,0)="A"), "OK",IF(
AND(Planilla!B275="A", OR(VLOOKUP(E275,[1]Diccionario!B:N,13,0)="B", VLOOKUP(E275,[1]Diccionario!B:N,13,0)="C")), "SOBREOFERTA",""
))))))),"")</f>
        <v/>
      </c>
      <c r="E275" s="48"/>
      <c r="F275" s="53"/>
      <c r="G275" s="54"/>
      <c r="H275" s="55" t="str">
        <f t="shared" si="72"/>
        <v/>
      </c>
      <c r="I275" s="35"/>
      <c r="J275" s="34" t="e">
        <f>IF(A275&lt;&gt;"",HLOOKUP(VALUE(TEXT(G275,"h:mm:ss")),IF($C$6="Laboral",[1]Input!$A$4:$Y$227,IF($C$6="Sábado",[1]Input!$A$231:$Y$452,[1]Input!$A$456:$Y$656)),VLOOKUP($C$4,[1]Input!$AG$2:$AI$99,3,0)+IF(C$5="Ida",0,1),1),"")</f>
        <v>#N/A</v>
      </c>
      <c r="K275" s="34" t="str">
        <f>IF(A276&lt;&gt;A275,AVERAGEIF(A$9:A275,A275,J$13:J275),"")</f>
        <v/>
      </c>
      <c r="L275" s="35" t="str">
        <f>IFERROR(IF(A276&lt;&gt;A275,AVERAGEIF(A$9:A275,A275,S$13:S275),""),"")</f>
        <v/>
      </c>
      <c r="M275" s="35" t="str">
        <f>IFERROR(IF(A276&lt;&gt;A275,AVERAGEIF(A$9:A275,A275,T$8:T275),""),"")</f>
        <v/>
      </c>
      <c r="N275" s="35" t="str" cm="1">
        <f t="array" ref="N275">IFERROR(IF(A276&lt;&gt;A275,_xlfn.STDEV.P(IF(A$9:A275=A275,T$7:T275)),""),"")</f>
        <v/>
      </c>
      <c r="O275" s="35" t="str" cm="1">
        <f t="array" ref="O275">IFERROR(IF(A276&lt;&gt;A275,_xlfn.STDEV.P(IF(A$9:A275=A275,S$7:S275)),""),"")</f>
        <v/>
      </c>
      <c r="P275" s="36" t="str">
        <f t="shared" si="65"/>
        <v/>
      </c>
      <c r="Q275" s="36" t="str">
        <f t="shared" si="66"/>
        <v/>
      </c>
      <c r="R275" s="36" t="str">
        <f t="shared" si="73"/>
        <v/>
      </c>
      <c r="S275" s="37" t="str">
        <f t="shared" si="74"/>
        <v/>
      </c>
      <c r="T275" s="37" t="str">
        <f t="shared" si="67"/>
        <v/>
      </c>
      <c r="U275" s="54"/>
      <c r="V275" s="46"/>
      <c r="W275" s="39" t="str">
        <f t="shared" si="75"/>
        <v/>
      </c>
      <c r="X275" s="38"/>
      <c r="Y275" s="48"/>
      <c r="AB275" s="56">
        <f t="shared" si="76"/>
        <v>1</v>
      </c>
      <c r="AC275" s="52"/>
      <c r="AD275" s="52"/>
      <c r="AE275" s="29" t="str">
        <f>IFERROR(
IF(AND(OR(AC275="C",AC275="c"), VLOOKUP(AF275,[1]Diccionario!B:N,13,0)="C"), "OK",IF(AND(OR(AC275="C",AC275="c"), OR(VLOOKUP(AF275,[1]Diccionario!B:N,13,0)="B", VLOOKUP(AF275,[1]Diccionario!B:N,13,0)="A")), "DEFICIT",IF(
AND(OR(AC275="B", AC275="BPAL"), VLOOKUP(AF275,[1]Diccionario!B:N,13,0)="B"), "OK",IF(AND(OR(AC275="B", AC275="BPAL"), VLOOKUP(AF275,[1]Diccionario!B:N,13,0)="A"), "DEFICIT",IF(AND(OR(AC275="B", AC275="BPAL"), VLOOKUP(AF275,[1]Diccionario!B:N,13,0)="C"), "SOBREOFERTA",IF(AND(AC275="A", VLOOKUP(AF275,[1]Diccionario!B:N,13,0)="A"), "OK",IF(
AND(AC275="A", OR(VLOOKUP(AF275,[1]Diccionario!B:N,13,0)="B", VLOOKUP(AF275,[1]Diccionario!B:N,13,0)="C")), "SOBREOFERTA",""
))))))),"")</f>
        <v/>
      </c>
      <c r="AF275" s="48"/>
      <c r="AG275" s="53"/>
      <c r="AH275" s="54"/>
      <c r="AI275" s="55" t="str">
        <f t="shared" si="77"/>
        <v/>
      </c>
      <c r="AJ275" s="46"/>
      <c r="AK275" s="34" t="e">
        <f>IF(AB275&lt;&gt;"",HLOOKUP(VALUE(TEXT(AH275,"h:mm:ss")),IF($C$6="Laboral",[1]Input!$A$4:$Y$227,IF($C$6="Sábado",[1]Input!$A$231:$Y$452,[1]Input!$A$456:$Y$656)),VLOOKUP($C$4,[1]Input!$AG$2:$AI$99,3,0)+IF(AD$5="Ida",0,1),1),"")</f>
        <v>#N/A</v>
      </c>
      <c r="AL275" s="34" t="str">
        <f>IF(AB276&lt;&gt;AB275,AVERAGEIF(AB$9:AB275,AB275,AK$9:AK275),"")</f>
        <v/>
      </c>
      <c r="AM275" s="35" t="str">
        <f>IFERROR(IF(AB276&lt;&gt;AB275,AVERAGEIF(AB$9:AB275,AB275,AT$9:AT275),""),"")</f>
        <v/>
      </c>
      <c r="AN275" s="35" t="str">
        <f>IFERROR(IF(AB276&lt;&gt;AB275,AVERAGEIF(AB$9:AB275,AB275,AU$9:AU275),""),"")</f>
        <v/>
      </c>
      <c r="AO275" s="35" t="str" cm="1">
        <f t="array" ref="AO275">IFERROR(IF(AB276&lt;&gt;AB275,_xlfn.STDEV.P(IF(AB$9:AB275=AB275,AU$9:AU275)),""),"")</f>
        <v/>
      </c>
      <c r="AP275" s="35" t="str" cm="1">
        <f t="array" ref="AP275">IFERROR(IF(AB276&lt;&gt;AB275,_xlfn.STDEV.P(IF(AB$9:AB275=AB275,AT$9:AT275)),""),"")</f>
        <v/>
      </c>
      <c r="AQ275" s="36" t="str">
        <f t="shared" si="68"/>
        <v/>
      </c>
      <c r="AR275" s="36" t="str">
        <f t="shared" si="69"/>
        <v/>
      </c>
      <c r="AS275" s="36" t="str">
        <f t="shared" si="78"/>
        <v/>
      </c>
      <c r="AT275" s="37" t="str">
        <f t="shared" si="70"/>
        <v/>
      </c>
      <c r="AU275" s="37" t="str">
        <f t="shared" si="71"/>
        <v/>
      </c>
      <c r="AV275" s="54"/>
      <c r="AW275" s="46"/>
      <c r="AX275" s="39" t="str" cm="1">
        <f t="array" ref="AX275">IF(AH275&lt;&gt;"",IF(AND(AX273:AX274&lt;&gt;"IE",AQ275&lt;&gt;0,AS275&lt;&gt;""),IF(IFERROR((AQ275/AS275),0) &lt;=1,IFERROR(AQ275/AS275,""),1),""),"")</f>
        <v/>
      </c>
      <c r="AY275" s="46"/>
      <c r="AZ275" s="57"/>
    </row>
    <row r="276" spans="1:52" ht="15.5" x14ac:dyDescent="0.35">
      <c r="A276" s="51">
        <f t="shared" si="79"/>
        <v>1</v>
      </c>
      <c r="B276" s="52"/>
      <c r="C276" s="52"/>
      <c r="D276" s="29" t="str">
        <f>IFERROR(
IF(AND(OR(Planilla!B276="C",Planilla!B276="c"), VLOOKUP(E276,[1]Diccionario!B:N,13,0)="C"), "OK",IF(AND(OR(Planilla!B276="C",Planilla!B276="c"), OR(VLOOKUP(E276,[1]Diccionario!B:N,13,0)="B", VLOOKUP(E276,[1]Diccionario!B:N,13,0)="A")), "DEFICIT",IF(
AND(OR(Planilla!B276="B", Planilla!B276="BPAL"), VLOOKUP(E276,[1]Diccionario!B:N,13,0)="B"), "OK",IF(AND(OR(Planilla!B276="B", Planilla!B276="BPAL"), VLOOKUP(E276,[1]Diccionario!B:N,13,0)="A"), "DEFICIT",IF(AND(OR(Planilla!B276="B", Planilla!B276="BPAL"), VLOOKUP(E276,[1]Diccionario!B:N,13,0)="C"), "SOBREOFERTA",IF(AND(Planilla!B276="A", VLOOKUP(E276,[1]Diccionario!B:N,13,0)="A"), "OK",IF(
AND(Planilla!B276="A", OR(VLOOKUP(E276,[1]Diccionario!B:N,13,0)="B", VLOOKUP(E276,[1]Diccionario!B:N,13,0)="C")), "SOBREOFERTA",""
))))))),"")</f>
        <v/>
      </c>
      <c r="E276" s="48"/>
      <c r="F276" s="53"/>
      <c r="G276" s="54"/>
      <c r="H276" s="55" t="str">
        <f t="shared" si="72"/>
        <v/>
      </c>
      <c r="I276" s="35"/>
      <c r="J276" s="34" t="e">
        <f>IF(A276&lt;&gt;"",HLOOKUP(VALUE(TEXT(G276,"h:mm:ss")),IF($C$6="Laboral",[1]Input!$A$4:$Y$227,IF($C$6="Sábado",[1]Input!$A$231:$Y$452,[1]Input!$A$456:$Y$656)),VLOOKUP($C$4,[1]Input!$AG$2:$AI$99,3,0)+IF(C$5="Ida",0,1),1),"")</f>
        <v>#N/A</v>
      </c>
      <c r="K276" s="34" t="str">
        <f>IF(A277&lt;&gt;A276,AVERAGEIF(A$9:A276,A276,J$13:J276),"")</f>
        <v/>
      </c>
      <c r="L276" s="35" t="str">
        <f>IFERROR(IF(A277&lt;&gt;A276,AVERAGEIF(A$9:A276,A276,S$13:S276),""),"")</f>
        <v/>
      </c>
      <c r="M276" s="35" t="str">
        <f>IFERROR(IF(A277&lt;&gt;A276,AVERAGEIF(A$9:A276,A276,T$8:T276),""),"")</f>
        <v/>
      </c>
      <c r="N276" s="35" t="str" cm="1">
        <f t="array" ref="N276">IFERROR(IF(A277&lt;&gt;A276,_xlfn.STDEV.P(IF(A$9:A276=A276,T$7:T276)),""),"")</f>
        <v/>
      </c>
      <c r="O276" s="35" t="str" cm="1">
        <f t="array" ref="O276">IFERROR(IF(A277&lt;&gt;A276,_xlfn.STDEV.P(IF(A$9:A276=A276,S$7:S276)),""),"")</f>
        <v/>
      </c>
      <c r="P276" s="36" t="str">
        <f t="shared" si="65"/>
        <v/>
      </c>
      <c r="Q276" s="36" t="str">
        <f t="shared" si="66"/>
        <v/>
      </c>
      <c r="R276" s="36" t="str">
        <f t="shared" si="73"/>
        <v/>
      </c>
      <c r="S276" s="37" t="str">
        <f t="shared" si="74"/>
        <v/>
      </c>
      <c r="T276" s="37" t="str">
        <f t="shared" si="67"/>
        <v/>
      </c>
      <c r="U276" s="54"/>
      <c r="V276" s="46"/>
      <c r="W276" s="39" t="str">
        <f t="shared" si="75"/>
        <v/>
      </c>
      <c r="X276" s="38"/>
      <c r="Y276" s="48"/>
      <c r="AB276" s="56">
        <f t="shared" si="76"/>
        <v>1</v>
      </c>
      <c r="AC276" s="52"/>
      <c r="AD276" s="52"/>
      <c r="AE276" s="29" t="str">
        <f>IFERROR(
IF(AND(OR(AC276="C",AC276="c"), VLOOKUP(AF276,[1]Diccionario!B:N,13,0)="C"), "OK",IF(AND(OR(AC276="C",AC276="c"), OR(VLOOKUP(AF276,[1]Diccionario!B:N,13,0)="B", VLOOKUP(AF276,[1]Diccionario!B:N,13,0)="A")), "DEFICIT",IF(
AND(OR(AC276="B", AC276="BPAL"), VLOOKUP(AF276,[1]Diccionario!B:N,13,0)="B"), "OK",IF(AND(OR(AC276="B", AC276="BPAL"), VLOOKUP(AF276,[1]Diccionario!B:N,13,0)="A"), "DEFICIT",IF(AND(OR(AC276="B", AC276="BPAL"), VLOOKUP(AF276,[1]Diccionario!B:N,13,0)="C"), "SOBREOFERTA",IF(AND(AC276="A", VLOOKUP(AF276,[1]Diccionario!B:N,13,0)="A"), "OK",IF(
AND(AC276="A", OR(VLOOKUP(AF276,[1]Diccionario!B:N,13,0)="B", VLOOKUP(AF276,[1]Diccionario!B:N,13,0)="C")), "SOBREOFERTA",""
))))))),"")</f>
        <v/>
      </c>
      <c r="AF276" s="48"/>
      <c r="AG276" s="53"/>
      <c r="AH276" s="54"/>
      <c r="AI276" s="55" t="str">
        <f t="shared" si="77"/>
        <v/>
      </c>
      <c r="AJ276" s="46"/>
      <c r="AK276" s="34" t="e">
        <f>IF(AB276&lt;&gt;"",HLOOKUP(VALUE(TEXT(AH276,"h:mm:ss")),IF($C$6="Laboral",[1]Input!$A$4:$Y$227,IF($C$6="Sábado",[1]Input!$A$231:$Y$452,[1]Input!$A$456:$Y$656)),VLOOKUP($C$4,[1]Input!$AG$2:$AI$99,3,0)+IF(AD$5="Ida",0,1),1),"")</f>
        <v>#N/A</v>
      </c>
      <c r="AL276" s="34" t="str">
        <f>IF(AB277&lt;&gt;AB276,AVERAGEIF(AB$9:AB276,AB276,AK$9:AK276),"")</f>
        <v/>
      </c>
      <c r="AM276" s="35" t="str">
        <f>IFERROR(IF(AB277&lt;&gt;AB276,AVERAGEIF(AB$9:AB276,AB276,AT$9:AT276),""),"")</f>
        <v/>
      </c>
      <c r="AN276" s="35" t="str">
        <f>IFERROR(IF(AB277&lt;&gt;AB276,AVERAGEIF(AB$9:AB276,AB276,AU$9:AU276),""),"")</f>
        <v/>
      </c>
      <c r="AO276" s="35" t="str" cm="1">
        <f t="array" ref="AO276">IFERROR(IF(AB277&lt;&gt;AB276,_xlfn.STDEV.P(IF(AB$9:AB276=AB276,AU$9:AU276)),""),"")</f>
        <v/>
      </c>
      <c r="AP276" s="35" t="str" cm="1">
        <f t="array" ref="AP276">IFERROR(IF(AB277&lt;&gt;AB276,_xlfn.STDEV.P(IF(AB$9:AB276=AB276,AT$9:AT276)),""),"")</f>
        <v/>
      </c>
      <c r="AQ276" s="36" t="str">
        <f t="shared" si="68"/>
        <v/>
      </c>
      <c r="AR276" s="36" t="str">
        <f t="shared" si="69"/>
        <v/>
      </c>
      <c r="AS276" s="36" t="str">
        <f t="shared" si="78"/>
        <v/>
      </c>
      <c r="AT276" s="37" t="str">
        <f t="shared" si="70"/>
        <v/>
      </c>
      <c r="AU276" s="37" t="str">
        <f t="shared" si="71"/>
        <v/>
      </c>
      <c r="AV276" s="54"/>
      <c r="AW276" s="46"/>
      <c r="AX276" s="39" t="str" cm="1">
        <f t="array" ref="AX276">IF(AH276&lt;&gt;"",IF(AND(AX274:AX275&lt;&gt;"IE",AQ276&lt;&gt;0,AS276&lt;&gt;""),IF(IFERROR((AQ276/AS276),0) &lt;=1,IFERROR(AQ276/AS276,""),1),""),"")</f>
        <v/>
      </c>
      <c r="AY276" s="46"/>
      <c r="AZ276" s="57"/>
    </row>
    <row r="277" spans="1:52" ht="15.5" x14ac:dyDescent="0.35">
      <c r="A277" s="51">
        <f t="shared" si="79"/>
        <v>1</v>
      </c>
      <c r="B277" s="52"/>
      <c r="C277" s="52"/>
      <c r="D277" s="29" t="str">
        <f>IFERROR(
IF(AND(OR(Planilla!B277="C",Planilla!B277="c"), VLOOKUP(E277,[1]Diccionario!B:N,13,0)="C"), "OK",IF(AND(OR(Planilla!B277="C",Planilla!B277="c"), OR(VLOOKUP(E277,[1]Diccionario!B:N,13,0)="B", VLOOKUP(E277,[1]Diccionario!B:N,13,0)="A")), "DEFICIT",IF(
AND(OR(Planilla!B277="B", Planilla!B277="BPAL"), VLOOKUP(E277,[1]Diccionario!B:N,13,0)="B"), "OK",IF(AND(OR(Planilla!B277="B", Planilla!B277="BPAL"), VLOOKUP(E277,[1]Diccionario!B:N,13,0)="A"), "DEFICIT",IF(AND(OR(Planilla!B277="B", Planilla!B277="BPAL"), VLOOKUP(E277,[1]Diccionario!B:N,13,0)="C"), "SOBREOFERTA",IF(AND(Planilla!B277="A", VLOOKUP(E277,[1]Diccionario!B:N,13,0)="A"), "OK",IF(
AND(Planilla!B277="A", OR(VLOOKUP(E277,[1]Diccionario!B:N,13,0)="B", VLOOKUP(E277,[1]Diccionario!B:N,13,0)="C")), "SOBREOFERTA",""
))))))),"")</f>
        <v/>
      </c>
      <c r="E277" s="48"/>
      <c r="F277" s="53"/>
      <c r="G277" s="54"/>
      <c r="H277" s="55" t="str">
        <f t="shared" si="72"/>
        <v/>
      </c>
      <c r="I277" s="35"/>
      <c r="J277" s="34" t="e">
        <f>IF(A277&lt;&gt;"",HLOOKUP(VALUE(TEXT(G277,"h:mm:ss")),IF($C$6="Laboral",[1]Input!$A$4:$Y$227,IF($C$6="Sábado",[1]Input!$A$231:$Y$452,[1]Input!$A$456:$Y$656)),VLOOKUP($C$4,[1]Input!$AG$2:$AI$99,3,0)+IF(C$5="Ida",0,1),1),"")</f>
        <v>#N/A</v>
      </c>
      <c r="K277" s="34" t="str">
        <f>IF(A278&lt;&gt;A277,AVERAGEIF(A$9:A277,A277,J$13:J277),"")</f>
        <v/>
      </c>
      <c r="L277" s="35" t="str">
        <f>IFERROR(IF(A278&lt;&gt;A277,AVERAGEIF(A$9:A277,A277,S$13:S277),""),"")</f>
        <v/>
      </c>
      <c r="M277" s="35" t="str">
        <f>IFERROR(IF(A278&lt;&gt;A277,AVERAGEIF(A$9:A277,A277,T$8:T277),""),"")</f>
        <v/>
      </c>
      <c r="N277" s="35" t="str" cm="1">
        <f t="array" ref="N277">IFERROR(IF(A278&lt;&gt;A277,_xlfn.STDEV.P(IF(A$9:A277=A277,T$7:T277)),""),"")</f>
        <v/>
      </c>
      <c r="O277" s="35" t="str" cm="1">
        <f t="array" ref="O277">IFERROR(IF(A278&lt;&gt;A277,_xlfn.STDEV.P(IF(A$9:A277=A277,S$7:S277)),""),"")</f>
        <v/>
      </c>
      <c r="P277" s="36" t="str">
        <f t="shared" si="65"/>
        <v/>
      </c>
      <c r="Q277" s="36" t="str">
        <f t="shared" si="66"/>
        <v/>
      </c>
      <c r="R277" s="36" t="str">
        <f t="shared" si="73"/>
        <v/>
      </c>
      <c r="S277" s="37" t="str">
        <f t="shared" si="74"/>
        <v/>
      </c>
      <c r="T277" s="37" t="str">
        <f t="shared" si="67"/>
        <v/>
      </c>
      <c r="U277" s="54"/>
      <c r="V277" s="46"/>
      <c r="W277" s="39" t="str">
        <f t="shared" si="75"/>
        <v/>
      </c>
      <c r="X277" s="38"/>
      <c r="Y277" s="48"/>
      <c r="AB277" s="56">
        <f t="shared" si="76"/>
        <v>1</v>
      </c>
      <c r="AC277" s="52"/>
      <c r="AD277" s="52"/>
      <c r="AE277" s="29" t="str">
        <f>IFERROR(
IF(AND(OR(AC277="C",AC277="c"), VLOOKUP(AF277,[1]Diccionario!B:N,13,0)="C"), "OK",IF(AND(OR(AC277="C",AC277="c"), OR(VLOOKUP(AF277,[1]Diccionario!B:N,13,0)="B", VLOOKUP(AF277,[1]Diccionario!B:N,13,0)="A")), "DEFICIT",IF(
AND(OR(AC277="B", AC277="BPAL"), VLOOKUP(AF277,[1]Diccionario!B:N,13,0)="B"), "OK",IF(AND(OR(AC277="B", AC277="BPAL"), VLOOKUP(AF277,[1]Diccionario!B:N,13,0)="A"), "DEFICIT",IF(AND(OR(AC277="B", AC277="BPAL"), VLOOKUP(AF277,[1]Diccionario!B:N,13,0)="C"), "SOBREOFERTA",IF(AND(AC277="A", VLOOKUP(AF277,[1]Diccionario!B:N,13,0)="A"), "OK",IF(
AND(AC277="A", OR(VLOOKUP(AF277,[1]Diccionario!B:N,13,0)="B", VLOOKUP(AF277,[1]Diccionario!B:N,13,0)="C")), "SOBREOFERTA",""
))))))),"")</f>
        <v/>
      </c>
      <c r="AF277" s="48"/>
      <c r="AG277" s="53"/>
      <c r="AH277" s="54"/>
      <c r="AI277" s="55" t="str">
        <f t="shared" si="77"/>
        <v/>
      </c>
      <c r="AJ277" s="46"/>
      <c r="AK277" s="34" t="e">
        <f>IF(AB277&lt;&gt;"",HLOOKUP(VALUE(TEXT(AH277,"h:mm:ss")),IF($C$6="Laboral",[1]Input!$A$4:$Y$227,IF($C$6="Sábado",[1]Input!$A$231:$Y$452,[1]Input!$A$456:$Y$656)),VLOOKUP($C$4,[1]Input!$AG$2:$AI$99,3,0)+IF(AD$5="Ida",0,1),1),"")</f>
        <v>#N/A</v>
      </c>
      <c r="AL277" s="34" t="str">
        <f>IF(AB278&lt;&gt;AB277,AVERAGEIF(AB$9:AB277,AB277,AK$9:AK277),"")</f>
        <v/>
      </c>
      <c r="AM277" s="35" t="str">
        <f>IFERROR(IF(AB278&lt;&gt;AB277,AVERAGEIF(AB$9:AB277,AB277,AT$9:AT277),""),"")</f>
        <v/>
      </c>
      <c r="AN277" s="35" t="str">
        <f>IFERROR(IF(AB278&lt;&gt;AB277,AVERAGEIF(AB$9:AB277,AB277,AU$9:AU277),""),"")</f>
        <v/>
      </c>
      <c r="AO277" s="35" t="str" cm="1">
        <f t="array" ref="AO277">IFERROR(IF(AB278&lt;&gt;AB277,_xlfn.STDEV.P(IF(AB$9:AB277=AB277,AU$9:AU277)),""),"")</f>
        <v/>
      </c>
      <c r="AP277" s="35" t="str" cm="1">
        <f t="array" ref="AP277">IFERROR(IF(AB278&lt;&gt;AB277,_xlfn.STDEV.P(IF(AB$9:AB277=AB277,AT$9:AT277)),""),"")</f>
        <v/>
      </c>
      <c r="AQ277" s="36" t="str">
        <f t="shared" si="68"/>
        <v/>
      </c>
      <c r="AR277" s="36" t="str">
        <f t="shared" si="69"/>
        <v/>
      </c>
      <c r="AS277" s="36" t="str">
        <f t="shared" si="78"/>
        <v/>
      </c>
      <c r="AT277" s="37" t="str">
        <f t="shared" si="70"/>
        <v/>
      </c>
      <c r="AU277" s="37" t="str">
        <f t="shared" si="71"/>
        <v/>
      </c>
      <c r="AV277" s="54"/>
      <c r="AW277" s="46"/>
      <c r="AX277" s="39" t="str" cm="1">
        <f t="array" ref="AX277">IF(AH277&lt;&gt;"",IF(AND(AX275:AX276&lt;&gt;"IE",AQ277&lt;&gt;0,AS277&lt;&gt;""),IF(IFERROR((AQ277/AS277),0) &lt;=1,IFERROR(AQ277/AS277,""),1),""),"")</f>
        <v/>
      </c>
      <c r="AY277" s="46"/>
      <c r="AZ277" s="57"/>
    </row>
    <row r="278" spans="1:52" ht="15.5" x14ac:dyDescent="0.35">
      <c r="A278" s="51">
        <f t="shared" si="79"/>
        <v>1</v>
      </c>
      <c r="B278" s="52"/>
      <c r="C278" s="52"/>
      <c r="D278" s="29" t="str">
        <f>IFERROR(
IF(AND(OR(Planilla!B278="C",Planilla!B278="c"), VLOOKUP(E278,[1]Diccionario!B:N,13,0)="C"), "OK",IF(AND(OR(Planilla!B278="C",Planilla!B278="c"), OR(VLOOKUP(E278,[1]Diccionario!B:N,13,0)="B", VLOOKUP(E278,[1]Diccionario!B:N,13,0)="A")), "DEFICIT",IF(
AND(OR(Planilla!B278="B", Planilla!B278="BPAL"), VLOOKUP(E278,[1]Diccionario!B:N,13,0)="B"), "OK",IF(AND(OR(Planilla!B278="B", Planilla!B278="BPAL"), VLOOKUP(E278,[1]Diccionario!B:N,13,0)="A"), "DEFICIT",IF(AND(OR(Planilla!B278="B", Planilla!B278="BPAL"), VLOOKUP(E278,[1]Diccionario!B:N,13,0)="C"), "SOBREOFERTA",IF(AND(Planilla!B278="A", VLOOKUP(E278,[1]Diccionario!B:N,13,0)="A"), "OK",IF(
AND(Planilla!B278="A", OR(VLOOKUP(E278,[1]Diccionario!B:N,13,0)="B", VLOOKUP(E278,[1]Diccionario!B:N,13,0)="C")), "SOBREOFERTA",""
))))))),"")</f>
        <v/>
      </c>
      <c r="E278" s="48"/>
      <c r="F278" s="53"/>
      <c r="G278" s="54"/>
      <c r="H278" s="55" t="str">
        <f t="shared" si="72"/>
        <v/>
      </c>
      <c r="I278" s="35"/>
      <c r="J278" s="34" t="e">
        <f>IF(A278&lt;&gt;"",HLOOKUP(VALUE(TEXT(G278,"h:mm:ss")),IF($C$6="Laboral",[1]Input!$A$4:$Y$227,IF($C$6="Sábado",[1]Input!$A$231:$Y$452,[1]Input!$A$456:$Y$656)),VLOOKUP($C$4,[1]Input!$AG$2:$AI$99,3,0)+IF(C$5="Ida",0,1),1),"")</f>
        <v>#N/A</v>
      </c>
      <c r="K278" s="34" t="str">
        <f>IF(A279&lt;&gt;A278,AVERAGEIF(A$9:A278,A278,J$13:J278),"")</f>
        <v/>
      </c>
      <c r="L278" s="35" t="str">
        <f>IFERROR(IF(A279&lt;&gt;A278,AVERAGEIF(A$9:A278,A278,S$13:S278),""),"")</f>
        <v/>
      </c>
      <c r="M278" s="35" t="str">
        <f>IFERROR(IF(A279&lt;&gt;A278,AVERAGEIF(A$9:A278,A278,T$8:T278),""),"")</f>
        <v/>
      </c>
      <c r="N278" s="35" t="str" cm="1">
        <f t="array" ref="N278">IFERROR(IF(A279&lt;&gt;A278,_xlfn.STDEV.P(IF(A$9:A278=A278,T$7:T278)),""),"")</f>
        <v/>
      </c>
      <c r="O278" s="35" t="str" cm="1">
        <f t="array" ref="O278">IFERROR(IF(A279&lt;&gt;A278,_xlfn.STDEV.P(IF(A$9:A278=A278,S$7:S278)),""),"")</f>
        <v/>
      </c>
      <c r="P278" s="36" t="str">
        <f t="shared" si="65"/>
        <v/>
      </c>
      <c r="Q278" s="36" t="str">
        <f t="shared" si="66"/>
        <v/>
      </c>
      <c r="R278" s="36" t="str">
        <f t="shared" si="73"/>
        <v/>
      </c>
      <c r="S278" s="37" t="str">
        <f t="shared" si="74"/>
        <v/>
      </c>
      <c r="T278" s="37" t="str">
        <f t="shared" si="67"/>
        <v/>
      </c>
      <c r="U278" s="54"/>
      <c r="V278" s="46"/>
      <c r="W278" s="39" t="str">
        <f t="shared" si="75"/>
        <v/>
      </c>
      <c r="X278" s="38"/>
      <c r="Y278" s="48"/>
      <c r="AB278" s="56">
        <f t="shared" si="76"/>
        <v>1</v>
      </c>
      <c r="AC278" s="52"/>
      <c r="AD278" s="52"/>
      <c r="AE278" s="29" t="str">
        <f>IFERROR(
IF(AND(OR(AC278="C",AC278="c"), VLOOKUP(AF278,[1]Diccionario!B:N,13,0)="C"), "OK",IF(AND(OR(AC278="C",AC278="c"), OR(VLOOKUP(AF278,[1]Diccionario!B:N,13,0)="B", VLOOKUP(AF278,[1]Diccionario!B:N,13,0)="A")), "DEFICIT",IF(
AND(OR(AC278="B", AC278="BPAL"), VLOOKUP(AF278,[1]Diccionario!B:N,13,0)="B"), "OK",IF(AND(OR(AC278="B", AC278="BPAL"), VLOOKUP(AF278,[1]Diccionario!B:N,13,0)="A"), "DEFICIT",IF(AND(OR(AC278="B", AC278="BPAL"), VLOOKUP(AF278,[1]Diccionario!B:N,13,0)="C"), "SOBREOFERTA",IF(AND(AC278="A", VLOOKUP(AF278,[1]Diccionario!B:N,13,0)="A"), "OK",IF(
AND(AC278="A", OR(VLOOKUP(AF278,[1]Diccionario!B:N,13,0)="B", VLOOKUP(AF278,[1]Diccionario!B:N,13,0)="C")), "SOBREOFERTA",""
))))))),"")</f>
        <v/>
      </c>
      <c r="AF278" s="48"/>
      <c r="AG278" s="53"/>
      <c r="AH278" s="54"/>
      <c r="AI278" s="55" t="str">
        <f t="shared" si="77"/>
        <v/>
      </c>
      <c r="AJ278" s="46"/>
      <c r="AK278" s="34" t="e">
        <f>IF(AB278&lt;&gt;"",HLOOKUP(VALUE(TEXT(AH278,"h:mm:ss")),IF($C$6="Laboral",[1]Input!$A$4:$Y$227,IF($C$6="Sábado",[1]Input!$A$231:$Y$452,[1]Input!$A$456:$Y$656)),VLOOKUP($C$4,[1]Input!$AG$2:$AI$99,3,0)+IF(AD$5="Ida",0,1),1),"")</f>
        <v>#N/A</v>
      </c>
      <c r="AL278" s="34" t="str">
        <f>IF(AB279&lt;&gt;AB278,AVERAGEIF(AB$9:AB278,AB278,AK$9:AK278),"")</f>
        <v/>
      </c>
      <c r="AM278" s="35" t="str">
        <f>IFERROR(IF(AB279&lt;&gt;AB278,AVERAGEIF(AB$9:AB278,AB278,AT$9:AT278),""),"")</f>
        <v/>
      </c>
      <c r="AN278" s="35" t="str">
        <f>IFERROR(IF(AB279&lt;&gt;AB278,AVERAGEIF(AB$9:AB278,AB278,AU$9:AU278),""),"")</f>
        <v/>
      </c>
      <c r="AO278" s="35" t="str" cm="1">
        <f t="array" ref="AO278">IFERROR(IF(AB279&lt;&gt;AB278,_xlfn.STDEV.P(IF(AB$9:AB278=AB278,AU$9:AU278)),""),"")</f>
        <v/>
      </c>
      <c r="AP278" s="35" t="str" cm="1">
        <f t="array" ref="AP278">IFERROR(IF(AB279&lt;&gt;AB278,_xlfn.STDEV.P(IF(AB$9:AB278=AB278,AT$9:AT278)),""),"")</f>
        <v/>
      </c>
      <c r="AQ278" s="36" t="str">
        <f t="shared" si="68"/>
        <v/>
      </c>
      <c r="AR278" s="36" t="str">
        <f t="shared" si="69"/>
        <v/>
      </c>
      <c r="AS278" s="36" t="str">
        <f t="shared" si="78"/>
        <v/>
      </c>
      <c r="AT278" s="37" t="str">
        <f t="shared" si="70"/>
        <v/>
      </c>
      <c r="AU278" s="37" t="str">
        <f t="shared" si="71"/>
        <v/>
      </c>
      <c r="AV278" s="54"/>
      <c r="AW278" s="46"/>
      <c r="AX278" s="39" t="str" cm="1">
        <f t="array" ref="AX278">IF(AH278&lt;&gt;"",IF(AND(AX276:AX277&lt;&gt;"IE",AQ278&lt;&gt;0,AS278&lt;&gt;""),IF(IFERROR((AQ278/AS278),0) &lt;=1,IFERROR(AQ278/AS278,""),1),""),"")</f>
        <v/>
      </c>
      <c r="AY278" s="46"/>
      <c r="AZ278" s="57"/>
    </row>
    <row r="279" spans="1:52" ht="15.5" x14ac:dyDescent="0.35">
      <c r="A279" s="51">
        <f t="shared" si="79"/>
        <v>1</v>
      </c>
      <c r="B279" s="52"/>
      <c r="C279" s="52"/>
      <c r="D279" s="29" t="str">
        <f>IFERROR(
IF(AND(OR(Planilla!B279="C",Planilla!B279="c"), VLOOKUP(E279,[1]Diccionario!B:N,13,0)="C"), "OK",IF(AND(OR(Planilla!B279="C",Planilla!B279="c"), OR(VLOOKUP(E279,[1]Diccionario!B:N,13,0)="B", VLOOKUP(E279,[1]Diccionario!B:N,13,0)="A")), "DEFICIT",IF(
AND(OR(Planilla!B279="B", Planilla!B279="BPAL"), VLOOKUP(E279,[1]Diccionario!B:N,13,0)="B"), "OK",IF(AND(OR(Planilla!B279="B", Planilla!B279="BPAL"), VLOOKUP(E279,[1]Diccionario!B:N,13,0)="A"), "DEFICIT",IF(AND(OR(Planilla!B279="B", Planilla!B279="BPAL"), VLOOKUP(E279,[1]Diccionario!B:N,13,0)="C"), "SOBREOFERTA",IF(AND(Planilla!B279="A", VLOOKUP(E279,[1]Diccionario!B:N,13,0)="A"), "OK",IF(
AND(Planilla!B279="A", OR(VLOOKUP(E279,[1]Diccionario!B:N,13,0)="B", VLOOKUP(E279,[1]Diccionario!B:N,13,0)="C")), "SOBREOFERTA",""
))))))),"")</f>
        <v/>
      </c>
      <c r="E279" s="48"/>
      <c r="F279" s="53"/>
      <c r="G279" s="54"/>
      <c r="H279" s="55" t="str">
        <f t="shared" si="72"/>
        <v/>
      </c>
      <c r="I279" s="35"/>
      <c r="J279" s="34" t="e">
        <f>IF(A279&lt;&gt;"",HLOOKUP(VALUE(TEXT(G279,"h:mm:ss")),IF($C$6="Laboral",[1]Input!$A$4:$Y$227,IF($C$6="Sábado",[1]Input!$A$231:$Y$452,[1]Input!$A$456:$Y$656)),VLOOKUP($C$4,[1]Input!$AG$2:$AI$99,3,0)+IF(C$5="Ida",0,1),1),"")</f>
        <v>#N/A</v>
      </c>
      <c r="K279" s="34" t="str">
        <f>IF(A280&lt;&gt;A279,AVERAGEIF(A$9:A279,A279,J$13:J279),"")</f>
        <v/>
      </c>
      <c r="L279" s="35" t="str">
        <f>IFERROR(IF(A280&lt;&gt;A279,AVERAGEIF(A$9:A279,A279,S$13:S279),""),"")</f>
        <v/>
      </c>
      <c r="M279" s="35" t="str">
        <f>IFERROR(IF(A280&lt;&gt;A279,AVERAGEIF(A$9:A279,A279,T$8:T279),""),"")</f>
        <v/>
      </c>
      <c r="N279" s="35" t="str" cm="1">
        <f t="array" ref="N279">IFERROR(IF(A280&lt;&gt;A279,_xlfn.STDEV.P(IF(A$9:A279=A279,T$7:T279)),""),"")</f>
        <v/>
      </c>
      <c r="O279" s="35" t="str" cm="1">
        <f t="array" ref="O279">IFERROR(IF(A280&lt;&gt;A279,_xlfn.STDEV.P(IF(A$9:A279=A279,S$7:S279)),""),"")</f>
        <v/>
      </c>
      <c r="P279" s="36" t="str">
        <f t="shared" si="65"/>
        <v/>
      </c>
      <c r="Q279" s="36" t="str">
        <f t="shared" si="66"/>
        <v/>
      </c>
      <c r="R279" s="36" t="str">
        <f t="shared" si="73"/>
        <v/>
      </c>
      <c r="S279" s="37" t="str">
        <f t="shared" si="74"/>
        <v/>
      </c>
      <c r="T279" s="37" t="str">
        <f t="shared" si="67"/>
        <v/>
      </c>
      <c r="U279" s="54"/>
      <c r="V279" s="46"/>
      <c r="W279" s="39" t="str">
        <f t="shared" si="75"/>
        <v/>
      </c>
      <c r="X279" s="38"/>
      <c r="Y279" s="48"/>
      <c r="AB279" s="56">
        <f t="shared" si="76"/>
        <v>1</v>
      </c>
      <c r="AC279" s="52"/>
      <c r="AD279" s="52"/>
      <c r="AE279" s="29" t="str">
        <f>IFERROR(
IF(AND(OR(AC279="C",AC279="c"), VLOOKUP(AF279,[1]Diccionario!B:N,13,0)="C"), "OK",IF(AND(OR(AC279="C",AC279="c"), OR(VLOOKUP(AF279,[1]Diccionario!B:N,13,0)="B", VLOOKUP(AF279,[1]Diccionario!B:N,13,0)="A")), "DEFICIT",IF(
AND(OR(AC279="B", AC279="BPAL"), VLOOKUP(AF279,[1]Diccionario!B:N,13,0)="B"), "OK",IF(AND(OR(AC279="B", AC279="BPAL"), VLOOKUP(AF279,[1]Diccionario!B:N,13,0)="A"), "DEFICIT",IF(AND(OR(AC279="B", AC279="BPAL"), VLOOKUP(AF279,[1]Diccionario!B:N,13,0)="C"), "SOBREOFERTA",IF(AND(AC279="A", VLOOKUP(AF279,[1]Diccionario!B:N,13,0)="A"), "OK",IF(
AND(AC279="A", OR(VLOOKUP(AF279,[1]Diccionario!B:N,13,0)="B", VLOOKUP(AF279,[1]Diccionario!B:N,13,0)="C")), "SOBREOFERTA",""
))))))),"")</f>
        <v/>
      </c>
      <c r="AF279" s="48"/>
      <c r="AG279" s="53"/>
      <c r="AH279" s="54"/>
      <c r="AI279" s="55" t="str">
        <f t="shared" si="77"/>
        <v/>
      </c>
      <c r="AJ279" s="46"/>
      <c r="AK279" s="34" t="e">
        <f>IF(AB279&lt;&gt;"",HLOOKUP(VALUE(TEXT(AH279,"h:mm:ss")),IF($C$6="Laboral",[1]Input!$A$4:$Y$227,IF($C$6="Sábado",[1]Input!$A$231:$Y$452,[1]Input!$A$456:$Y$656)),VLOOKUP($C$4,[1]Input!$AG$2:$AI$99,3,0)+IF(AD$5="Ida",0,1),1),"")</f>
        <v>#N/A</v>
      </c>
      <c r="AL279" s="34" t="str">
        <f>IF(AB280&lt;&gt;AB279,AVERAGEIF(AB$9:AB279,AB279,AK$9:AK279),"")</f>
        <v/>
      </c>
      <c r="AM279" s="35" t="str">
        <f>IFERROR(IF(AB280&lt;&gt;AB279,AVERAGEIF(AB$9:AB279,AB279,AT$9:AT279),""),"")</f>
        <v/>
      </c>
      <c r="AN279" s="35" t="str">
        <f>IFERROR(IF(AB280&lt;&gt;AB279,AVERAGEIF(AB$9:AB279,AB279,AU$9:AU279),""),"")</f>
        <v/>
      </c>
      <c r="AO279" s="35" t="str" cm="1">
        <f t="array" ref="AO279">IFERROR(IF(AB280&lt;&gt;AB279,_xlfn.STDEV.P(IF(AB$9:AB279=AB279,AU$9:AU279)),""),"")</f>
        <v/>
      </c>
      <c r="AP279" s="35" t="str" cm="1">
        <f t="array" ref="AP279">IFERROR(IF(AB280&lt;&gt;AB279,_xlfn.STDEV.P(IF(AB$9:AB279=AB279,AT$9:AT279)),""),"")</f>
        <v/>
      </c>
      <c r="AQ279" s="36" t="str">
        <f t="shared" si="68"/>
        <v/>
      </c>
      <c r="AR279" s="36" t="str">
        <f t="shared" si="69"/>
        <v/>
      </c>
      <c r="AS279" s="36" t="str">
        <f t="shared" si="78"/>
        <v/>
      </c>
      <c r="AT279" s="37" t="str">
        <f t="shared" si="70"/>
        <v/>
      </c>
      <c r="AU279" s="37" t="str">
        <f t="shared" si="71"/>
        <v/>
      </c>
      <c r="AV279" s="54"/>
      <c r="AW279" s="46"/>
      <c r="AX279" s="39" t="str" cm="1">
        <f t="array" ref="AX279">IF(AH279&lt;&gt;"",IF(AND(AX277:AX278&lt;&gt;"IE",AQ279&lt;&gt;0,AS279&lt;&gt;""),IF(IFERROR((AQ279/AS279),0) &lt;=1,IFERROR(AQ279/AS279,""),1),""),"")</f>
        <v/>
      </c>
      <c r="AY279" s="46"/>
      <c r="AZ279" s="57"/>
    </row>
    <row r="280" spans="1:52" ht="15.5" x14ac:dyDescent="0.35">
      <c r="A280" s="51">
        <f t="shared" si="79"/>
        <v>1</v>
      </c>
      <c r="B280" s="52"/>
      <c r="C280" s="52"/>
      <c r="D280" s="29" t="str">
        <f>IFERROR(
IF(AND(OR(Planilla!B280="C",Planilla!B280="c"), VLOOKUP(E280,[1]Diccionario!B:N,13,0)="C"), "OK",IF(AND(OR(Planilla!B280="C",Planilla!B280="c"), OR(VLOOKUP(E280,[1]Diccionario!B:N,13,0)="B", VLOOKUP(E280,[1]Diccionario!B:N,13,0)="A")), "DEFICIT",IF(
AND(OR(Planilla!B280="B", Planilla!B280="BPAL"), VLOOKUP(E280,[1]Diccionario!B:N,13,0)="B"), "OK",IF(AND(OR(Planilla!B280="B", Planilla!B280="BPAL"), VLOOKUP(E280,[1]Diccionario!B:N,13,0)="A"), "DEFICIT",IF(AND(OR(Planilla!B280="B", Planilla!B280="BPAL"), VLOOKUP(E280,[1]Diccionario!B:N,13,0)="C"), "SOBREOFERTA",IF(AND(Planilla!B280="A", VLOOKUP(E280,[1]Diccionario!B:N,13,0)="A"), "OK",IF(
AND(Planilla!B280="A", OR(VLOOKUP(E280,[1]Diccionario!B:N,13,0)="B", VLOOKUP(E280,[1]Diccionario!B:N,13,0)="C")), "SOBREOFERTA",""
))))))),"")</f>
        <v/>
      </c>
      <c r="E280" s="48"/>
      <c r="F280" s="53"/>
      <c r="G280" s="54"/>
      <c r="H280" s="55" t="str">
        <f t="shared" si="72"/>
        <v/>
      </c>
      <c r="I280" s="35"/>
      <c r="J280" s="34" t="e">
        <f>IF(A280&lt;&gt;"",HLOOKUP(VALUE(TEXT(G280,"h:mm:ss")),IF($C$6="Laboral",[1]Input!$A$4:$Y$227,IF($C$6="Sábado",[1]Input!$A$231:$Y$452,[1]Input!$A$456:$Y$656)),VLOOKUP($C$4,[1]Input!$AG$2:$AI$99,3,0)+IF(C$5="Ida",0,1),1),"")</f>
        <v>#N/A</v>
      </c>
      <c r="K280" s="34" t="str">
        <f>IF(A281&lt;&gt;A280,AVERAGEIF(A$9:A280,A280,J$13:J280),"")</f>
        <v/>
      </c>
      <c r="L280" s="35" t="str">
        <f>IFERROR(IF(A281&lt;&gt;A280,AVERAGEIF(A$9:A280,A280,S$13:S280),""),"")</f>
        <v/>
      </c>
      <c r="M280" s="35" t="str">
        <f>IFERROR(IF(A281&lt;&gt;A280,AVERAGEIF(A$9:A280,A280,T$8:T280),""),"")</f>
        <v/>
      </c>
      <c r="N280" s="35" t="str" cm="1">
        <f t="array" ref="N280">IFERROR(IF(A281&lt;&gt;A280,_xlfn.STDEV.P(IF(A$9:A280=A280,T$7:T280)),""),"")</f>
        <v/>
      </c>
      <c r="O280" s="35" t="str" cm="1">
        <f t="array" ref="O280">IFERROR(IF(A281&lt;&gt;A280,_xlfn.STDEV.P(IF(A$9:A280=A280,S$7:S280)),""),"")</f>
        <v/>
      </c>
      <c r="P280" s="36" t="str">
        <f t="shared" si="65"/>
        <v/>
      </c>
      <c r="Q280" s="36" t="str">
        <f t="shared" si="66"/>
        <v/>
      </c>
      <c r="R280" s="36" t="str">
        <f t="shared" si="73"/>
        <v/>
      </c>
      <c r="S280" s="37" t="str">
        <f t="shared" si="74"/>
        <v/>
      </c>
      <c r="T280" s="37" t="str">
        <f t="shared" si="67"/>
        <v/>
      </c>
      <c r="U280" s="54"/>
      <c r="V280" s="46"/>
      <c r="W280" s="39" t="str">
        <f t="shared" si="75"/>
        <v/>
      </c>
      <c r="X280" s="38"/>
      <c r="Y280" s="48"/>
      <c r="AB280" s="56">
        <f t="shared" si="76"/>
        <v>1</v>
      </c>
      <c r="AC280" s="52"/>
      <c r="AD280" s="52"/>
      <c r="AE280" s="29" t="str">
        <f>IFERROR(
IF(AND(OR(AC280="C",AC280="c"), VLOOKUP(AF280,[1]Diccionario!B:N,13,0)="C"), "OK",IF(AND(OR(AC280="C",AC280="c"), OR(VLOOKUP(AF280,[1]Diccionario!B:N,13,0)="B", VLOOKUP(AF280,[1]Diccionario!B:N,13,0)="A")), "DEFICIT",IF(
AND(OR(AC280="B", AC280="BPAL"), VLOOKUP(AF280,[1]Diccionario!B:N,13,0)="B"), "OK",IF(AND(OR(AC280="B", AC280="BPAL"), VLOOKUP(AF280,[1]Diccionario!B:N,13,0)="A"), "DEFICIT",IF(AND(OR(AC280="B", AC280="BPAL"), VLOOKUP(AF280,[1]Diccionario!B:N,13,0)="C"), "SOBREOFERTA",IF(AND(AC280="A", VLOOKUP(AF280,[1]Diccionario!B:N,13,0)="A"), "OK",IF(
AND(AC280="A", OR(VLOOKUP(AF280,[1]Diccionario!B:N,13,0)="B", VLOOKUP(AF280,[1]Diccionario!B:N,13,0)="C")), "SOBREOFERTA",""
))))))),"")</f>
        <v/>
      </c>
      <c r="AF280" s="48"/>
      <c r="AG280" s="53"/>
      <c r="AH280" s="54"/>
      <c r="AI280" s="55" t="str">
        <f t="shared" si="77"/>
        <v/>
      </c>
      <c r="AJ280" s="46"/>
      <c r="AK280" s="34" t="e">
        <f>IF(AB280&lt;&gt;"",HLOOKUP(VALUE(TEXT(AH280,"h:mm:ss")),IF($C$6="Laboral",[1]Input!$A$4:$Y$227,IF($C$6="Sábado",[1]Input!$A$231:$Y$452,[1]Input!$A$456:$Y$656)),VLOOKUP($C$4,[1]Input!$AG$2:$AI$99,3,0)+IF(AD$5="Ida",0,1),1),"")</f>
        <v>#N/A</v>
      </c>
      <c r="AL280" s="34" t="str">
        <f>IF(AB281&lt;&gt;AB280,AVERAGEIF(AB$9:AB280,AB280,AK$9:AK280),"")</f>
        <v/>
      </c>
      <c r="AM280" s="35" t="str">
        <f>IFERROR(IF(AB281&lt;&gt;AB280,AVERAGEIF(AB$9:AB280,AB280,AT$9:AT280),""),"")</f>
        <v/>
      </c>
      <c r="AN280" s="35" t="str">
        <f>IFERROR(IF(AB281&lt;&gt;AB280,AVERAGEIF(AB$9:AB280,AB280,AU$9:AU280),""),"")</f>
        <v/>
      </c>
      <c r="AO280" s="35" t="str" cm="1">
        <f t="array" ref="AO280">IFERROR(IF(AB281&lt;&gt;AB280,_xlfn.STDEV.P(IF(AB$9:AB280=AB280,AU$9:AU280)),""),"")</f>
        <v/>
      </c>
      <c r="AP280" s="35" t="str" cm="1">
        <f t="array" ref="AP280">IFERROR(IF(AB281&lt;&gt;AB280,_xlfn.STDEV.P(IF(AB$9:AB280=AB280,AT$9:AT280)),""),"")</f>
        <v/>
      </c>
      <c r="AQ280" s="36" t="str">
        <f t="shared" si="68"/>
        <v/>
      </c>
      <c r="AR280" s="36" t="str">
        <f t="shared" si="69"/>
        <v/>
      </c>
      <c r="AS280" s="36" t="str">
        <f t="shared" si="78"/>
        <v/>
      </c>
      <c r="AT280" s="37" t="str">
        <f t="shared" si="70"/>
        <v/>
      </c>
      <c r="AU280" s="37" t="str">
        <f t="shared" si="71"/>
        <v/>
      </c>
      <c r="AV280" s="54"/>
      <c r="AW280" s="46"/>
      <c r="AX280" s="39" t="str" cm="1">
        <f t="array" ref="AX280">IF(AH280&lt;&gt;"",IF(AND(AX278:AX279&lt;&gt;"IE",AQ280&lt;&gt;0,AS280&lt;&gt;""),IF(IFERROR((AQ280/AS280),0) &lt;=1,IFERROR(AQ280/AS280,""),1),""),"")</f>
        <v/>
      </c>
      <c r="AY280" s="46"/>
      <c r="AZ280" s="57"/>
    </row>
    <row r="281" spans="1:52" ht="15.5" x14ac:dyDescent="0.35">
      <c r="A281" s="51">
        <f t="shared" si="79"/>
        <v>1</v>
      </c>
      <c r="B281" s="52"/>
      <c r="C281" s="52"/>
      <c r="D281" s="29" t="str">
        <f>IFERROR(
IF(AND(OR(Planilla!B281="C",Planilla!B281="c"), VLOOKUP(E281,[1]Diccionario!B:N,13,0)="C"), "OK",IF(AND(OR(Planilla!B281="C",Planilla!B281="c"), OR(VLOOKUP(E281,[1]Diccionario!B:N,13,0)="B", VLOOKUP(E281,[1]Diccionario!B:N,13,0)="A")), "DEFICIT",IF(
AND(OR(Planilla!B281="B", Planilla!B281="BPAL"), VLOOKUP(E281,[1]Diccionario!B:N,13,0)="B"), "OK",IF(AND(OR(Planilla!B281="B", Planilla!B281="BPAL"), VLOOKUP(E281,[1]Diccionario!B:N,13,0)="A"), "DEFICIT",IF(AND(OR(Planilla!B281="B", Planilla!B281="BPAL"), VLOOKUP(E281,[1]Diccionario!B:N,13,0)="C"), "SOBREOFERTA",IF(AND(Planilla!B281="A", VLOOKUP(E281,[1]Diccionario!B:N,13,0)="A"), "OK",IF(
AND(Planilla!B281="A", OR(VLOOKUP(E281,[1]Diccionario!B:N,13,0)="B", VLOOKUP(E281,[1]Diccionario!B:N,13,0)="C")), "SOBREOFERTA",""
))))))),"")</f>
        <v/>
      </c>
      <c r="E281" s="48"/>
      <c r="F281" s="53"/>
      <c r="G281" s="54"/>
      <c r="H281" s="55" t="str">
        <f t="shared" si="72"/>
        <v/>
      </c>
      <c r="I281" s="35"/>
      <c r="J281" s="34" t="e">
        <f>IF(A281&lt;&gt;"",HLOOKUP(VALUE(TEXT(G281,"h:mm:ss")),IF($C$6="Laboral",[1]Input!$A$4:$Y$227,IF($C$6="Sábado",[1]Input!$A$231:$Y$452,[1]Input!$A$456:$Y$656)),VLOOKUP($C$4,[1]Input!$AG$2:$AI$99,3,0)+IF(C$5="Ida",0,1),1),"")</f>
        <v>#N/A</v>
      </c>
      <c r="K281" s="34" t="str">
        <f>IF(A282&lt;&gt;A281,AVERAGEIF(A$9:A281,A281,J$13:J281),"")</f>
        <v/>
      </c>
      <c r="L281" s="35" t="str">
        <f>IFERROR(IF(A282&lt;&gt;A281,AVERAGEIF(A$9:A281,A281,S$13:S281),""),"")</f>
        <v/>
      </c>
      <c r="M281" s="35" t="str">
        <f>IFERROR(IF(A282&lt;&gt;A281,AVERAGEIF(A$9:A281,A281,T$8:T281),""),"")</f>
        <v/>
      </c>
      <c r="N281" s="35" t="str" cm="1">
        <f t="array" ref="N281">IFERROR(IF(A282&lt;&gt;A281,_xlfn.STDEV.P(IF(A$9:A281=A281,T$7:T281)),""),"")</f>
        <v/>
      </c>
      <c r="O281" s="35" t="str" cm="1">
        <f t="array" ref="O281">IFERROR(IF(A282&lt;&gt;A281,_xlfn.STDEV.P(IF(A$9:A281=A281,S$7:S281)),""),"")</f>
        <v/>
      </c>
      <c r="P281" s="36" t="str">
        <f t="shared" si="65"/>
        <v/>
      </c>
      <c r="Q281" s="36" t="str">
        <f t="shared" si="66"/>
        <v/>
      </c>
      <c r="R281" s="36" t="str">
        <f t="shared" si="73"/>
        <v/>
      </c>
      <c r="S281" s="37" t="str">
        <f t="shared" si="74"/>
        <v/>
      </c>
      <c r="T281" s="37" t="str">
        <f t="shared" si="67"/>
        <v/>
      </c>
      <c r="U281" s="54"/>
      <c r="V281" s="46"/>
      <c r="W281" s="39" t="str">
        <f t="shared" si="75"/>
        <v/>
      </c>
      <c r="X281" s="38"/>
      <c r="Y281" s="48"/>
      <c r="AB281" s="56">
        <f t="shared" si="76"/>
        <v>1</v>
      </c>
      <c r="AC281" s="52"/>
      <c r="AD281" s="52"/>
      <c r="AE281" s="29" t="str">
        <f>IFERROR(
IF(AND(OR(AC281="C",AC281="c"), VLOOKUP(AF281,[1]Diccionario!B:N,13,0)="C"), "OK",IF(AND(OR(AC281="C",AC281="c"), OR(VLOOKUP(AF281,[1]Diccionario!B:N,13,0)="B", VLOOKUP(AF281,[1]Diccionario!B:N,13,0)="A")), "DEFICIT",IF(
AND(OR(AC281="B", AC281="BPAL"), VLOOKUP(AF281,[1]Diccionario!B:N,13,0)="B"), "OK",IF(AND(OR(AC281="B", AC281="BPAL"), VLOOKUP(AF281,[1]Diccionario!B:N,13,0)="A"), "DEFICIT",IF(AND(OR(AC281="B", AC281="BPAL"), VLOOKUP(AF281,[1]Diccionario!B:N,13,0)="C"), "SOBREOFERTA",IF(AND(AC281="A", VLOOKUP(AF281,[1]Diccionario!B:N,13,0)="A"), "OK",IF(
AND(AC281="A", OR(VLOOKUP(AF281,[1]Diccionario!B:N,13,0)="B", VLOOKUP(AF281,[1]Diccionario!B:N,13,0)="C")), "SOBREOFERTA",""
))))))),"")</f>
        <v/>
      </c>
      <c r="AF281" s="48"/>
      <c r="AG281" s="53"/>
      <c r="AH281" s="54"/>
      <c r="AI281" s="55" t="str">
        <f t="shared" si="77"/>
        <v/>
      </c>
      <c r="AJ281" s="46"/>
      <c r="AK281" s="34" t="e">
        <f>IF(AB281&lt;&gt;"",HLOOKUP(VALUE(TEXT(AH281,"h:mm:ss")),IF($C$6="Laboral",[1]Input!$A$4:$Y$227,IF($C$6="Sábado",[1]Input!$A$231:$Y$452,[1]Input!$A$456:$Y$656)),VLOOKUP($C$4,[1]Input!$AG$2:$AI$99,3,0)+IF(AD$5="Ida",0,1),1),"")</f>
        <v>#N/A</v>
      </c>
      <c r="AL281" s="34" t="str">
        <f>IF(AB282&lt;&gt;AB281,AVERAGEIF(AB$9:AB281,AB281,AK$9:AK281),"")</f>
        <v/>
      </c>
      <c r="AM281" s="35" t="str">
        <f>IFERROR(IF(AB282&lt;&gt;AB281,AVERAGEIF(AB$9:AB281,AB281,AT$9:AT281),""),"")</f>
        <v/>
      </c>
      <c r="AN281" s="35" t="str">
        <f>IFERROR(IF(AB282&lt;&gt;AB281,AVERAGEIF(AB$9:AB281,AB281,AU$9:AU281),""),"")</f>
        <v/>
      </c>
      <c r="AO281" s="35" t="str" cm="1">
        <f t="array" ref="AO281">IFERROR(IF(AB282&lt;&gt;AB281,_xlfn.STDEV.P(IF(AB$9:AB281=AB281,AU$9:AU281)),""),"")</f>
        <v/>
      </c>
      <c r="AP281" s="35" t="str" cm="1">
        <f t="array" ref="AP281">IFERROR(IF(AB282&lt;&gt;AB281,_xlfn.STDEV.P(IF(AB$9:AB281=AB281,AT$9:AT281)),""),"")</f>
        <v/>
      </c>
      <c r="AQ281" s="36" t="str">
        <f t="shared" si="68"/>
        <v/>
      </c>
      <c r="AR281" s="36" t="str">
        <f t="shared" si="69"/>
        <v/>
      </c>
      <c r="AS281" s="36" t="str">
        <f t="shared" si="78"/>
        <v/>
      </c>
      <c r="AT281" s="37" t="str">
        <f t="shared" si="70"/>
        <v/>
      </c>
      <c r="AU281" s="37" t="str">
        <f t="shared" si="71"/>
        <v/>
      </c>
      <c r="AV281" s="54"/>
      <c r="AW281" s="46"/>
      <c r="AX281" s="39" t="str" cm="1">
        <f t="array" ref="AX281">IF(AH281&lt;&gt;"",IF(AND(AX279:AX280&lt;&gt;"IE",AQ281&lt;&gt;0,AS281&lt;&gt;""),IF(IFERROR((AQ281/AS281),0) &lt;=1,IFERROR(AQ281/AS281,""),1),""),"")</f>
        <v/>
      </c>
      <c r="AY281" s="46"/>
      <c r="AZ281" s="57"/>
    </row>
    <row r="282" spans="1:52" ht="15.5" x14ac:dyDescent="0.35">
      <c r="A282" s="51">
        <f t="shared" si="79"/>
        <v>1</v>
      </c>
      <c r="B282" s="52"/>
      <c r="C282" s="52"/>
      <c r="D282" s="29" t="str">
        <f>IFERROR(
IF(AND(OR(Planilla!B282="C",Planilla!B282="c"), VLOOKUP(E282,[1]Diccionario!B:N,13,0)="C"), "OK",IF(AND(OR(Planilla!B282="C",Planilla!B282="c"), OR(VLOOKUP(E282,[1]Diccionario!B:N,13,0)="B", VLOOKUP(E282,[1]Diccionario!B:N,13,0)="A")), "DEFICIT",IF(
AND(OR(Planilla!B282="B", Planilla!B282="BPAL"), VLOOKUP(E282,[1]Diccionario!B:N,13,0)="B"), "OK",IF(AND(OR(Planilla!B282="B", Planilla!B282="BPAL"), VLOOKUP(E282,[1]Diccionario!B:N,13,0)="A"), "DEFICIT",IF(AND(OR(Planilla!B282="B", Planilla!B282="BPAL"), VLOOKUP(E282,[1]Diccionario!B:N,13,0)="C"), "SOBREOFERTA",IF(AND(Planilla!B282="A", VLOOKUP(E282,[1]Diccionario!B:N,13,0)="A"), "OK",IF(
AND(Planilla!B282="A", OR(VLOOKUP(E282,[1]Diccionario!B:N,13,0)="B", VLOOKUP(E282,[1]Diccionario!B:N,13,0)="C")), "SOBREOFERTA",""
))))))),"")</f>
        <v/>
      </c>
      <c r="E282" s="48"/>
      <c r="F282" s="53"/>
      <c r="G282" s="54"/>
      <c r="H282" s="55" t="str">
        <f t="shared" si="72"/>
        <v/>
      </c>
      <c r="I282" s="35"/>
      <c r="J282" s="34" t="e">
        <f>IF(A282&lt;&gt;"",HLOOKUP(VALUE(TEXT(G282,"h:mm:ss")),IF($C$6="Laboral",[1]Input!$A$4:$Y$227,IF($C$6="Sábado",[1]Input!$A$231:$Y$452,[1]Input!$A$456:$Y$656)),VLOOKUP($C$4,[1]Input!$AG$2:$AI$99,3,0)+IF(C$5="Ida",0,1),1),"")</f>
        <v>#N/A</v>
      </c>
      <c r="K282" s="34" t="str">
        <f>IF(A283&lt;&gt;A282,AVERAGEIF(A$9:A282,A282,J$13:J282),"")</f>
        <v/>
      </c>
      <c r="L282" s="35" t="str">
        <f>IFERROR(IF(A283&lt;&gt;A282,AVERAGEIF(A$9:A282,A282,S$13:S282),""),"")</f>
        <v/>
      </c>
      <c r="M282" s="35" t="str">
        <f>IFERROR(IF(A283&lt;&gt;A282,AVERAGEIF(A$9:A282,A282,T$8:T282),""),"")</f>
        <v/>
      </c>
      <c r="N282" s="35" t="str" cm="1">
        <f t="array" ref="N282">IFERROR(IF(A283&lt;&gt;A282,_xlfn.STDEV.P(IF(A$9:A282=A282,T$7:T282)),""),"")</f>
        <v/>
      </c>
      <c r="O282" s="35" t="str" cm="1">
        <f t="array" ref="O282">IFERROR(IF(A283&lt;&gt;A282,_xlfn.STDEV.P(IF(A$9:A282=A282,S$7:S282)),""),"")</f>
        <v/>
      </c>
      <c r="P282" s="36" t="str">
        <f t="shared" si="65"/>
        <v/>
      </c>
      <c r="Q282" s="36" t="str">
        <f t="shared" si="66"/>
        <v/>
      </c>
      <c r="R282" s="36" t="str">
        <f t="shared" si="73"/>
        <v/>
      </c>
      <c r="S282" s="37" t="str">
        <f t="shared" si="74"/>
        <v/>
      </c>
      <c r="T282" s="37" t="str">
        <f t="shared" si="67"/>
        <v/>
      </c>
      <c r="U282" s="54"/>
      <c r="V282" s="46"/>
      <c r="W282" s="39" t="str">
        <f t="shared" si="75"/>
        <v/>
      </c>
      <c r="X282" s="38"/>
      <c r="Y282" s="48"/>
      <c r="AB282" s="56">
        <f t="shared" si="76"/>
        <v>1</v>
      </c>
      <c r="AC282" s="52"/>
      <c r="AD282" s="52"/>
      <c r="AE282" s="29" t="str">
        <f>IFERROR(
IF(AND(OR(AC282="C",AC282="c"), VLOOKUP(AF282,[1]Diccionario!B:N,13,0)="C"), "OK",IF(AND(OR(AC282="C",AC282="c"), OR(VLOOKUP(AF282,[1]Diccionario!B:N,13,0)="B", VLOOKUP(AF282,[1]Diccionario!B:N,13,0)="A")), "DEFICIT",IF(
AND(OR(AC282="B", AC282="BPAL"), VLOOKUP(AF282,[1]Diccionario!B:N,13,0)="B"), "OK",IF(AND(OR(AC282="B", AC282="BPAL"), VLOOKUP(AF282,[1]Diccionario!B:N,13,0)="A"), "DEFICIT",IF(AND(OR(AC282="B", AC282="BPAL"), VLOOKUP(AF282,[1]Diccionario!B:N,13,0)="C"), "SOBREOFERTA",IF(AND(AC282="A", VLOOKUP(AF282,[1]Diccionario!B:N,13,0)="A"), "OK",IF(
AND(AC282="A", OR(VLOOKUP(AF282,[1]Diccionario!B:N,13,0)="B", VLOOKUP(AF282,[1]Diccionario!B:N,13,0)="C")), "SOBREOFERTA",""
))))))),"")</f>
        <v/>
      </c>
      <c r="AF282" s="48"/>
      <c r="AG282" s="53"/>
      <c r="AH282" s="54"/>
      <c r="AI282" s="55" t="str">
        <f t="shared" si="77"/>
        <v/>
      </c>
      <c r="AJ282" s="46"/>
      <c r="AK282" s="34" t="e">
        <f>IF(AB282&lt;&gt;"",HLOOKUP(VALUE(TEXT(AH282,"h:mm:ss")),IF($C$6="Laboral",[1]Input!$A$4:$Y$227,IF($C$6="Sábado",[1]Input!$A$231:$Y$452,[1]Input!$A$456:$Y$656)),VLOOKUP($C$4,[1]Input!$AG$2:$AI$99,3,0)+IF(AD$5="Ida",0,1),1),"")</f>
        <v>#N/A</v>
      </c>
      <c r="AL282" s="34" t="str">
        <f>IF(AB283&lt;&gt;AB282,AVERAGEIF(AB$9:AB282,AB282,AK$9:AK282),"")</f>
        <v/>
      </c>
      <c r="AM282" s="35" t="str">
        <f>IFERROR(IF(AB283&lt;&gt;AB282,AVERAGEIF(AB$9:AB282,AB282,AT$9:AT282),""),"")</f>
        <v/>
      </c>
      <c r="AN282" s="35" t="str">
        <f>IFERROR(IF(AB283&lt;&gt;AB282,AVERAGEIF(AB$9:AB282,AB282,AU$9:AU282),""),"")</f>
        <v/>
      </c>
      <c r="AO282" s="35" t="str" cm="1">
        <f t="array" ref="AO282">IFERROR(IF(AB283&lt;&gt;AB282,_xlfn.STDEV.P(IF(AB$9:AB282=AB282,AU$9:AU282)),""),"")</f>
        <v/>
      </c>
      <c r="AP282" s="35" t="str" cm="1">
        <f t="array" ref="AP282">IFERROR(IF(AB283&lt;&gt;AB282,_xlfn.STDEV.P(IF(AB$9:AB282=AB282,AT$9:AT282)),""),"")</f>
        <v/>
      </c>
      <c r="AQ282" s="36" t="str">
        <f t="shared" si="68"/>
        <v/>
      </c>
      <c r="AR282" s="36" t="str">
        <f t="shared" si="69"/>
        <v/>
      </c>
      <c r="AS282" s="36" t="str">
        <f t="shared" si="78"/>
        <v/>
      </c>
      <c r="AT282" s="37" t="str">
        <f t="shared" si="70"/>
        <v/>
      </c>
      <c r="AU282" s="37" t="str">
        <f t="shared" si="71"/>
        <v/>
      </c>
      <c r="AV282" s="54"/>
      <c r="AW282" s="46"/>
      <c r="AX282" s="39" t="str" cm="1">
        <f t="array" ref="AX282">IF(AH282&lt;&gt;"",IF(AND(AX280:AX281&lt;&gt;"IE",AQ282&lt;&gt;0,AS282&lt;&gt;""),IF(IFERROR((AQ282/AS282),0) &lt;=1,IFERROR(AQ282/AS282,""),1),""),"")</f>
        <v/>
      </c>
      <c r="AY282" s="46"/>
      <c r="AZ282" s="57"/>
    </row>
    <row r="283" spans="1:52" ht="15.5" x14ac:dyDescent="0.35">
      <c r="A283" s="51">
        <f t="shared" si="79"/>
        <v>1</v>
      </c>
      <c r="B283" s="52"/>
      <c r="C283" s="52"/>
      <c r="D283" s="29" t="str">
        <f>IFERROR(
IF(AND(OR(Planilla!B283="C",Planilla!B283="c"), VLOOKUP(E283,[1]Diccionario!B:N,13,0)="C"), "OK",IF(AND(OR(Planilla!B283="C",Planilla!B283="c"), OR(VLOOKUP(E283,[1]Diccionario!B:N,13,0)="B", VLOOKUP(E283,[1]Diccionario!B:N,13,0)="A")), "DEFICIT",IF(
AND(OR(Planilla!B283="B", Planilla!B283="BPAL"), VLOOKUP(E283,[1]Diccionario!B:N,13,0)="B"), "OK",IF(AND(OR(Planilla!B283="B", Planilla!B283="BPAL"), VLOOKUP(E283,[1]Diccionario!B:N,13,0)="A"), "DEFICIT",IF(AND(OR(Planilla!B283="B", Planilla!B283="BPAL"), VLOOKUP(E283,[1]Diccionario!B:N,13,0)="C"), "SOBREOFERTA",IF(AND(Planilla!B283="A", VLOOKUP(E283,[1]Diccionario!B:N,13,0)="A"), "OK",IF(
AND(Planilla!B283="A", OR(VLOOKUP(E283,[1]Diccionario!B:N,13,0)="B", VLOOKUP(E283,[1]Diccionario!B:N,13,0)="C")), "SOBREOFERTA",""
))))))),"")</f>
        <v/>
      </c>
      <c r="E283" s="48"/>
      <c r="F283" s="53"/>
      <c r="G283" s="54"/>
      <c r="H283" s="55" t="str">
        <f t="shared" si="72"/>
        <v/>
      </c>
      <c r="I283" s="35"/>
      <c r="J283" s="34" t="e">
        <f>IF(A283&lt;&gt;"",HLOOKUP(VALUE(TEXT(G283,"h:mm:ss")),IF($C$6="Laboral",[1]Input!$A$4:$Y$227,IF($C$6="Sábado",[1]Input!$A$231:$Y$452,[1]Input!$A$456:$Y$656)),VLOOKUP($C$4,[1]Input!$AG$2:$AI$99,3,0)+IF(C$5="Ida",0,1),1),"")</f>
        <v>#N/A</v>
      </c>
      <c r="K283" s="34" t="str">
        <f>IF(A284&lt;&gt;A283,AVERAGEIF(A$9:A283,A283,J$13:J283),"")</f>
        <v/>
      </c>
      <c r="L283" s="35" t="str">
        <f>IFERROR(IF(A284&lt;&gt;A283,AVERAGEIF(A$9:A283,A283,S$13:S283),""),"")</f>
        <v/>
      </c>
      <c r="M283" s="35" t="str">
        <f>IFERROR(IF(A284&lt;&gt;A283,AVERAGEIF(A$9:A283,A283,T$8:T283),""),"")</f>
        <v/>
      </c>
      <c r="N283" s="35" t="str" cm="1">
        <f t="array" ref="N283">IFERROR(IF(A284&lt;&gt;A283,_xlfn.STDEV.P(IF(A$9:A283=A283,T$7:T283)),""),"")</f>
        <v/>
      </c>
      <c r="O283" s="35" t="str" cm="1">
        <f t="array" ref="O283">IFERROR(IF(A284&lt;&gt;A283,_xlfn.STDEV.P(IF(A$9:A283=A283,S$7:S283)),""),"")</f>
        <v/>
      </c>
      <c r="P283" s="36" t="str">
        <f t="shared" si="65"/>
        <v/>
      </c>
      <c r="Q283" s="36" t="str">
        <f t="shared" si="66"/>
        <v/>
      </c>
      <c r="R283" s="36" t="str">
        <f t="shared" si="73"/>
        <v/>
      </c>
      <c r="S283" s="37" t="str">
        <f t="shared" si="74"/>
        <v/>
      </c>
      <c r="T283" s="37" t="str">
        <f t="shared" si="67"/>
        <v/>
      </c>
      <c r="U283" s="54"/>
      <c r="V283" s="46"/>
      <c r="W283" s="39" t="str">
        <f t="shared" si="75"/>
        <v/>
      </c>
      <c r="X283" s="38"/>
      <c r="Y283" s="48"/>
      <c r="AB283" s="56">
        <f t="shared" si="76"/>
        <v>1</v>
      </c>
      <c r="AC283" s="52"/>
      <c r="AD283" s="52"/>
      <c r="AE283" s="29" t="str">
        <f>IFERROR(
IF(AND(OR(AC283="C",AC283="c"), VLOOKUP(AF283,[1]Diccionario!B:N,13,0)="C"), "OK",IF(AND(OR(AC283="C",AC283="c"), OR(VLOOKUP(AF283,[1]Diccionario!B:N,13,0)="B", VLOOKUP(AF283,[1]Diccionario!B:N,13,0)="A")), "DEFICIT",IF(
AND(OR(AC283="B", AC283="BPAL"), VLOOKUP(AF283,[1]Diccionario!B:N,13,0)="B"), "OK",IF(AND(OR(AC283="B", AC283="BPAL"), VLOOKUP(AF283,[1]Diccionario!B:N,13,0)="A"), "DEFICIT",IF(AND(OR(AC283="B", AC283="BPAL"), VLOOKUP(AF283,[1]Diccionario!B:N,13,0)="C"), "SOBREOFERTA",IF(AND(AC283="A", VLOOKUP(AF283,[1]Diccionario!B:N,13,0)="A"), "OK",IF(
AND(AC283="A", OR(VLOOKUP(AF283,[1]Diccionario!B:N,13,0)="B", VLOOKUP(AF283,[1]Diccionario!B:N,13,0)="C")), "SOBREOFERTA",""
))))))),"")</f>
        <v/>
      </c>
      <c r="AF283" s="48"/>
      <c r="AG283" s="53"/>
      <c r="AH283" s="54"/>
      <c r="AI283" s="55" t="str">
        <f t="shared" si="77"/>
        <v/>
      </c>
      <c r="AJ283" s="46"/>
      <c r="AK283" s="34" t="e">
        <f>IF(AB283&lt;&gt;"",HLOOKUP(VALUE(TEXT(AH283,"h:mm:ss")),IF($C$6="Laboral",[1]Input!$A$4:$Y$227,IF($C$6="Sábado",[1]Input!$A$231:$Y$452,[1]Input!$A$456:$Y$656)),VLOOKUP($C$4,[1]Input!$AG$2:$AI$99,3,0)+IF(AD$5="Ida",0,1),1),"")</f>
        <v>#N/A</v>
      </c>
      <c r="AL283" s="34" t="str">
        <f>IF(AB284&lt;&gt;AB283,AVERAGEIF(AB$9:AB283,AB283,AK$9:AK283),"")</f>
        <v/>
      </c>
      <c r="AM283" s="35" t="str">
        <f>IFERROR(IF(AB284&lt;&gt;AB283,AVERAGEIF(AB$9:AB283,AB283,AT$9:AT283),""),"")</f>
        <v/>
      </c>
      <c r="AN283" s="35" t="str">
        <f>IFERROR(IF(AB284&lt;&gt;AB283,AVERAGEIF(AB$9:AB283,AB283,AU$9:AU283),""),"")</f>
        <v/>
      </c>
      <c r="AO283" s="35" t="str" cm="1">
        <f t="array" ref="AO283">IFERROR(IF(AB284&lt;&gt;AB283,_xlfn.STDEV.P(IF(AB$9:AB283=AB283,AU$9:AU283)),""),"")</f>
        <v/>
      </c>
      <c r="AP283" s="35" t="str" cm="1">
        <f t="array" ref="AP283">IFERROR(IF(AB284&lt;&gt;AB283,_xlfn.STDEV.P(IF(AB$9:AB283=AB283,AT$9:AT283)),""),"")</f>
        <v/>
      </c>
      <c r="AQ283" s="36" t="str">
        <f t="shared" si="68"/>
        <v/>
      </c>
      <c r="AR283" s="36" t="str">
        <f t="shared" si="69"/>
        <v/>
      </c>
      <c r="AS283" s="36" t="str">
        <f t="shared" si="78"/>
        <v/>
      </c>
      <c r="AT283" s="37" t="str">
        <f t="shared" si="70"/>
        <v/>
      </c>
      <c r="AU283" s="37" t="str">
        <f t="shared" si="71"/>
        <v/>
      </c>
      <c r="AV283" s="54"/>
      <c r="AW283" s="46"/>
      <c r="AX283" s="39" t="str" cm="1">
        <f t="array" ref="AX283">IF(AH283&lt;&gt;"",IF(AND(AX281:AX282&lt;&gt;"IE",AQ283&lt;&gt;0,AS283&lt;&gt;""),IF(IFERROR((AQ283/AS283),0) &lt;=1,IFERROR(AQ283/AS283,""),1),""),"")</f>
        <v/>
      </c>
      <c r="AY283" s="46"/>
      <c r="AZ283" s="57"/>
    </row>
    <row r="284" spans="1:52" ht="15.5" x14ac:dyDescent="0.35">
      <c r="A284" s="51">
        <f t="shared" si="79"/>
        <v>1</v>
      </c>
      <c r="B284" s="52"/>
      <c r="C284" s="52"/>
      <c r="D284" s="29" t="str">
        <f>IFERROR(
IF(AND(OR(Planilla!B284="C",Planilla!B284="c"), VLOOKUP(E284,[1]Diccionario!B:N,13,0)="C"), "OK",IF(AND(OR(Planilla!B284="C",Planilla!B284="c"), OR(VLOOKUP(E284,[1]Diccionario!B:N,13,0)="B", VLOOKUP(E284,[1]Diccionario!B:N,13,0)="A")), "DEFICIT",IF(
AND(OR(Planilla!B284="B", Planilla!B284="BPAL"), VLOOKUP(E284,[1]Diccionario!B:N,13,0)="B"), "OK",IF(AND(OR(Planilla!B284="B", Planilla!B284="BPAL"), VLOOKUP(E284,[1]Diccionario!B:N,13,0)="A"), "DEFICIT",IF(AND(OR(Planilla!B284="B", Planilla!B284="BPAL"), VLOOKUP(E284,[1]Diccionario!B:N,13,0)="C"), "SOBREOFERTA",IF(AND(Planilla!B284="A", VLOOKUP(E284,[1]Diccionario!B:N,13,0)="A"), "OK",IF(
AND(Planilla!B284="A", OR(VLOOKUP(E284,[1]Diccionario!B:N,13,0)="B", VLOOKUP(E284,[1]Diccionario!B:N,13,0)="C")), "SOBREOFERTA",""
))))))),"")</f>
        <v/>
      </c>
      <c r="E284" s="48"/>
      <c r="F284" s="53"/>
      <c r="G284" s="54"/>
      <c r="H284" s="55" t="str">
        <f t="shared" si="72"/>
        <v/>
      </c>
      <c r="I284" s="35"/>
      <c r="J284" s="34" t="e">
        <f>IF(A284&lt;&gt;"",HLOOKUP(VALUE(TEXT(G284,"h:mm:ss")),IF($C$6="Laboral",[1]Input!$A$4:$Y$227,IF($C$6="Sábado",[1]Input!$A$231:$Y$452,[1]Input!$A$456:$Y$656)),VLOOKUP($C$4,[1]Input!$AG$2:$AI$99,3,0)+IF(C$5="Ida",0,1),1),"")</f>
        <v>#N/A</v>
      </c>
      <c r="K284" s="34" t="str">
        <f>IF(A285&lt;&gt;A284,AVERAGEIF(A$9:A284,A284,J$13:J284),"")</f>
        <v/>
      </c>
      <c r="L284" s="35" t="str">
        <f>IFERROR(IF(A285&lt;&gt;A284,AVERAGEIF(A$9:A284,A284,S$13:S284),""),"")</f>
        <v/>
      </c>
      <c r="M284" s="35" t="str">
        <f>IFERROR(IF(A285&lt;&gt;A284,AVERAGEIF(A$9:A284,A284,T$8:T284),""),"")</f>
        <v/>
      </c>
      <c r="N284" s="35" t="str" cm="1">
        <f t="array" ref="N284">IFERROR(IF(A285&lt;&gt;A284,_xlfn.STDEV.P(IF(A$9:A284=A284,T$7:T284)),""),"")</f>
        <v/>
      </c>
      <c r="O284" s="35" t="str" cm="1">
        <f t="array" ref="O284">IFERROR(IF(A285&lt;&gt;A284,_xlfn.STDEV.P(IF(A$9:A284=A284,S$7:S284)),""),"")</f>
        <v/>
      </c>
      <c r="P284" s="36" t="str">
        <f t="shared" si="65"/>
        <v/>
      </c>
      <c r="Q284" s="36" t="str">
        <f t="shared" si="66"/>
        <v/>
      </c>
      <c r="R284" s="36" t="str">
        <f t="shared" si="73"/>
        <v/>
      </c>
      <c r="S284" s="37" t="str">
        <f t="shared" si="74"/>
        <v/>
      </c>
      <c r="T284" s="37" t="str">
        <f t="shared" si="67"/>
        <v/>
      </c>
      <c r="U284" s="54"/>
      <c r="V284" s="46"/>
      <c r="W284" s="39" t="str">
        <f t="shared" si="75"/>
        <v/>
      </c>
      <c r="X284" s="38"/>
      <c r="Y284" s="48"/>
      <c r="AB284" s="56">
        <f t="shared" si="76"/>
        <v>1</v>
      </c>
      <c r="AC284" s="52"/>
      <c r="AD284" s="52"/>
      <c r="AE284" s="29" t="str">
        <f>IFERROR(
IF(AND(OR(AC284="C",AC284="c"), VLOOKUP(AF284,[1]Diccionario!B:N,13,0)="C"), "OK",IF(AND(OR(AC284="C",AC284="c"), OR(VLOOKUP(AF284,[1]Diccionario!B:N,13,0)="B", VLOOKUP(AF284,[1]Diccionario!B:N,13,0)="A")), "DEFICIT",IF(
AND(OR(AC284="B", AC284="BPAL"), VLOOKUP(AF284,[1]Diccionario!B:N,13,0)="B"), "OK",IF(AND(OR(AC284="B", AC284="BPAL"), VLOOKUP(AF284,[1]Diccionario!B:N,13,0)="A"), "DEFICIT",IF(AND(OR(AC284="B", AC284="BPAL"), VLOOKUP(AF284,[1]Diccionario!B:N,13,0)="C"), "SOBREOFERTA",IF(AND(AC284="A", VLOOKUP(AF284,[1]Diccionario!B:N,13,0)="A"), "OK",IF(
AND(AC284="A", OR(VLOOKUP(AF284,[1]Diccionario!B:N,13,0)="B", VLOOKUP(AF284,[1]Diccionario!B:N,13,0)="C")), "SOBREOFERTA",""
))))))),"")</f>
        <v/>
      </c>
      <c r="AF284" s="48"/>
      <c r="AG284" s="53"/>
      <c r="AH284" s="54"/>
      <c r="AI284" s="55" t="str">
        <f t="shared" si="77"/>
        <v/>
      </c>
      <c r="AJ284" s="46"/>
      <c r="AK284" s="34" t="e">
        <f>IF(AB284&lt;&gt;"",HLOOKUP(VALUE(TEXT(AH284,"h:mm:ss")),IF($C$6="Laboral",[1]Input!$A$4:$Y$227,IF($C$6="Sábado",[1]Input!$A$231:$Y$452,[1]Input!$A$456:$Y$656)),VLOOKUP($C$4,[1]Input!$AG$2:$AI$99,3,0)+IF(AD$5="Ida",0,1),1),"")</f>
        <v>#N/A</v>
      </c>
      <c r="AL284" s="34" t="str">
        <f>IF(AB285&lt;&gt;AB284,AVERAGEIF(AB$9:AB284,AB284,AK$9:AK284),"")</f>
        <v/>
      </c>
      <c r="AM284" s="35" t="str">
        <f>IFERROR(IF(AB285&lt;&gt;AB284,AVERAGEIF(AB$9:AB284,AB284,AT$9:AT284),""),"")</f>
        <v/>
      </c>
      <c r="AN284" s="35" t="str">
        <f>IFERROR(IF(AB285&lt;&gt;AB284,AVERAGEIF(AB$9:AB284,AB284,AU$9:AU284),""),"")</f>
        <v/>
      </c>
      <c r="AO284" s="35" t="str" cm="1">
        <f t="array" ref="AO284">IFERROR(IF(AB285&lt;&gt;AB284,_xlfn.STDEV.P(IF(AB$9:AB284=AB284,AU$9:AU284)),""),"")</f>
        <v/>
      </c>
      <c r="AP284" s="35" t="str" cm="1">
        <f t="array" ref="AP284">IFERROR(IF(AB285&lt;&gt;AB284,_xlfn.STDEV.P(IF(AB$9:AB284=AB284,AT$9:AT284)),""),"")</f>
        <v/>
      </c>
      <c r="AQ284" s="36" t="str">
        <f t="shared" si="68"/>
        <v/>
      </c>
      <c r="AR284" s="36" t="str">
        <f t="shared" si="69"/>
        <v/>
      </c>
      <c r="AS284" s="36" t="str">
        <f t="shared" si="78"/>
        <v/>
      </c>
      <c r="AT284" s="37" t="str">
        <f t="shared" si="70"/>
        <v/>
      </c>
      <c r="AU284" s="37" t="str">
        <f t="shared" si="71"/>
        <v/>
      </c>
      <c r="AV284" s="54"/>
      <c r="AW284" s="46"/>
      <c r="AX284" s="39" t="str" cm="1">
        <f t="array" ref="AX284">IF(AH284&lt;&gt;"",IF(AND(AX282:AX283&lt;&gt;"IE",AQ284&lt;&gt;0,AS284&lt;&gt;""),IF(IFERROR((AQ284/AS284),0) &lt;=1,IFERROR(AQ284/AS284,""),1),""),"")</f>
        <v/>
      </c>
      <c r="AY284" s="46"/>
      <c r="AZ284" s="57"/>
    </row>
    <row r="285" spans="1:52" ht="15.5" x14ac:dyDescent="0.35">
      <c r="A285" s="51">
        <f t="shared" si="79"/>
        <v>1</v>
      </c>
      <c r="B285" s="52"/>
      <c r="C285" s="52"/>
      <c r="D285" s="29" t="str">
        <f>IFERROR(
IF(AND(OR(Planilla!B285="C",Planilla!B285="c"), VLOOKUP(E285,[1]Diccionario!B:N,13,0)="C"), "OK",IF(AND(OR(Planilla!B285="C",Planilla!B285="c"), OR(VLOOKUP(E285,[1]Diccionario!B:N,13,0)="B", VLOOKUP(E285,[1]Diccionario!B:N,13,0)="A")), "DEFICIT",IF(
AND(OR(Planilla!B285="B", Planilla!B285="BPAL"), VLOOKUP(E285,[1]Diccionario!B:N,13,0)="B"), "OK",IF(AND(OR(Planilla!B285="B", Planilla!B285="BPAL"), VLOOKUP(E285,[1]Diccionario!B:N,13,0)="A"), "DEFICIT",IF(AND(OR(Planilla!B285="B", Planilla!B285="BPAL"), VLOOKUP(E285,[1]Diccionario!B:N,13,0)="C"), "SOBREOFERTA",IF(AND(Planilla!B285="A", VLOOKUP(E285,[1]Diccionario!B:N,13,0)="A"), "OK",IF(
AND(Planilla!B285="A", OR(VLOOKUP(E285,[1]Diccionario!B:N,13,0)="B", VLOOKUP(E285,[1]Diccionario!B:N,13,0)="C")), "SOBREOFERTA",""
))))))),"")</f>
        <v/>
      </c>
      <c r="E285" s="48"/>
      <c r="F285" s="53"/>
      <c r="G285" s="54"/>
      <c r="H285" s="55" t="str">
        <f t="shared" si="72"/>
        <v/>
      </c>
      <c r="I285" s="35"/>
      <c r="J285" s="34" t="e">
        <f>IF(A285&lt;&gt;"",HLOOKUP(VALUE(TEXT(G285,"h:mm:ss")),IF($C$6="Laboral",[1]Input!$A$4:$Y$227,IF($C$6="Sábado",[1]Input!$A$231:$Y$452,[1]Input!$A$456:$Y$656)),VLOOKUP($C$4,[1]Input!$AG$2:$AI$99,3,0)+IF(C$5="Ida",0,1),1),"")</f>
        <v>#N/A</v>
      </c>
      <c r="K285" s="34" t="str">
        <f>IF(A286&lt;&gt;A285,AVERAGEIF(A$9:A285,A285,J$13:J285),"")</f>
        <v/>
      </c>
      <c r="L285" s="35" t="str">
        <f>IFERROR(IF(A286&lt;&gt;A285,AVERAGEIF(A$9:A285,A285,S$13:S285),""),"")</f>
        <v/>
      </c>
      <c r="M285" s="35" t="str">
        <f>IFERROR(IF(A286&lt;&gt;A285,AVERAGEIF(A$9:A285,A285,T$8:T285),""),"")</f>
        <v/>
      </c>
      <c r="N285" s="35" t="str" cm="1">
        <f t="array" ref="N285">IFERROR(IF(A286&lt;&gt;A285,_xlfn.STDEV.P(IF(A$9:A285=A285,T$7:T285)),""),"")</f>
        <v/>
      </c>
      <c r="O285" s="35" t="str" cm="1">
        <f t="array" ref="O285">IFERROR(IF(A286&lt;&gt;A285,_xlfn.STDEV.P(IF(A$9:A285=A285,S$7:S285)),""),"")</f>
        <v/>
      </c>
      <c r="P285" s="36" t="str">
        <f t="shared" si="65"/>
        <v/>
      </c>
      <c r="Q285" s="36" t="str">
        <f t="shared" si="66"/>
        <v/>
      </c>
      <c r="R285" s="36" t="str">
        <f t="shared" si="73"/>
        <v/>
      </c>
      <c r="S285" s="37" t="str">
        <f t="shared" si="74"/>
        <v/>
      </c>
      <c r="T285" s="37" t="str">
        <f t="shared" si="67"/>
        <v/>
      </c>
      <c r="U285" s="54"/>
      <c r="V285" s="46"/>
      <c r="W285" s="39" t="str">
        <f t="shared" si="75"/>
        <v/>
      </c>
      <c r="X285" s="38"/>
      <c r="Y285" s="48"/>
      <c r="AB285" s="56">
        <f t="shared" si="76"/>
        <v>1</v>
      </c>
      <c r="AC285" s="52"/>
      <c r="AD285" s="52"/>
      <c r="AE285" s="29" t="str">
        <f>IFERROR(
IF(AND(OR(AC285="C",AC285="c"), VLOOKUP(AF285,[1]Diccionario!B:N,13,0)="C"), "OK",IF(AND(OR(AC285="C",AC285="c"), OR(VLOOKUP(AF285,[1]Diccionario!B:N,13,0)="B", VLOOKUP(AF285,[1]Diccionario!B:N,13,0)="A")), "DEFICIT",IF(
AND(OR(AC285="B", AC285="BPAL"), VLOOKUP(AF285,[1]Diccionario!B:N,13,0)="B"), "OK",IF(AND(OR(AC285="B", AC285="BPAL"), VLOOKUP(AF285,[1]Diccionario!B:N,13,0)="A"), "DEFICIT",IF(AND(OR(AC285="B", AC285="BPAL"), VLOOKUP(AF285,[1]Diccionario!B:N,13,0)="C"), "SOBREOFERTA",IF(AND(AC285="A", VLOOKUP(AF285,[1]Diccionario!B:N,13,0)="A"), "OK",IF(
AND(AC285="A", OR(VLOOKUP(AF285,[1]Diccionario!B:N,13,0)="B", VLOOKUP(AF285,[1]Diccionario!B:N,13,0)="C")), "SOBREOFERTA",""
))))))),"")</f>
        <v/>
      </c>
      <c r="AF285" s="48"/>
      <c r="AG285" s="53"/>
      <c r="AH285" s="54"/>
      <c r="AI285" s="55" t="str">
        <f t="shared" si="77"/>
        <v/>
      </c>
      <c r="AJ285" s="46"/>
      <c r="AK285" s="34" t="e">
        <f>IF(AB285&lt;&gt;"",HLOOKUP(VALUE(TEXT(AH285,"h:mm:ss")),IF($C$6="Laboral",[1]Input!$A$4:$Y$227,IF($C$6="Sábado",[1]Input!$A$231:$Y$452,[1]Input!$A$456:$Y$656)),VLOOKUP($C$4,[1]Input!$AG$2:$AI$99,3,0)+IF(AD$5="Ida",0,1),1),"")</f>
        <v>#N/A</v>
      </c>
      <c r="AL285" s="34" t="str">
        <f>IF(AB286&lt;&gt;AB285,AVERAGEIF(AB$9:AB285,AB285,AK$9:AK285),"")</f>
        <v/>
      </c>
      <c r="AM285" s="35" t="str">
        <f>IFERROR(IF(AB286&lt;&gt;AB285,AVERAGEIF(AB$9:AB285,AB285,AT$9:AT285),""),"")</f>
        <v/>
      </c>
      <c r="AN285" s="35" t="str">
        <f>IFERROR(IF(AB286&lt;&gt;AB285,AVERAGEIF(AB$9:AB285,AB285,AU$9:AU285),""),"")</f>
        <v/>
      </c>
      <c r="AO285" s="35" t="str" cm="1">
        <f t="array" ref="AO285">IFERROR(IF(AB286&lt;&gt;AB285,_xlfn.STDEV.P(IF(AB$9:AB285=AB285,AU$9:AU285)),""),"")</f>
        <v/>
      </c>
      <c r="AP285" s="35" t="str" cm="1">
        <f t="array" ref="AP285">IFERROR(IF(AB286&lt;&gt;AB285,_xlfn.STDEV.P(IF(AB$9:AB285=AB285,AT$9:AT285)),""),"")</f>
        <v/>
      </c>
      <c r="AQ285" s="36" t="str">
        <f t="shared" si="68"/>
        <v/>
      </c>
      <c r="AR285" s="36" t="str">
        <f t="shared" si="69"/>
        <v/>
      </c>
      <c r="AS285" s="36" t="str">
        <f t="shared" si="78"/>
        <v/>
      </c>
      <c r="AT285" s="37" t="str">
        <f t="shared" si="70"/>
        <v/>
      </c>
      <c r="AU285" s="37" t="str">
        <f t="shared" si="71"/>
        <v/>
      </c>
      <c r="AV285" s="54"/>
      <c r="AW285" s="46"/>
      <c r="AX285" s="39" t="str" cm="1">
        <f t="array" ref="AX285">IF(AH285&lt;&gt;"",IF(AND(AX283:AX284&lt;&gt;"IE",AQ285&lt;&gt;0,AS285&lt;&gt;""),IF(IFERROR((AQ285/AS285),0) &lt;=1,IFERROR(AQ285/AS285,""),1),""),"")</f>
        <v/>
      </c>
      <c r="AY285" s="46"/>
      <c r="AZ285" s="57"/>
    </row>
    <row r="286" spans="1:52" ht="15.5" x14ac:dyDescent="0.35">
      <c r="A286" s="51">
        <f t="shared" si="79"/>
        <v>1</v>
      </c>
      <c r="B286" s="52"/>
      <c r="C286" s="52"/>
      <c r="D286" s="29" t="str">
        <f>IFERROR(
IF(AND(OR(Planilla!B286="C",Planilla!B286="c"), VLOOKUP(E286,[1]Diccionario!B:N,13,0)="C"), "OK",IF(AND(OR(Planilla!B286="C",Planilla!B286="c"), OR(VLOOKUP(E286,[1]Diccionario!B:N,13,0)="B", VLOOKUP(E286,[1]Diccionario!B:N,13,0)="A")), "DEFICIT",IF(
AND(OR(Planilla!B286="B", Planilla!B286="BPAL"), VLOOKUP(E286,[1]Diccionario!B:N,13,0)="B"), "OK",IF(AND(OR(Planilla!B286="B", Planilla!B286="BPAL"), VLOOKUP(E286,[1]Diccionario!B:N,13,0)="A"), "DEFICIT",IF(AND(OR(Planilla!B286="B", Planilla!B286="BPAL"), VLOOKUP(E286,[1]Diccionario!B:N,13,0)="C"), "SOBREOFERTA",IF(AND(Planilla!B286="A", VLOOKUP(E286,[1]Diccionario!B:N,13,0)="A"), "OK",IF(
AND(Planilla!B286="A", OR(VLOOKUP(E286,[1]Diccionario!B:N,13,0)="B", VLOOKUP(E286,[1]Diccionario!B:N,13,0)="C")), "SOBREOFERTA",""
))))))),"")</f>
        <v/>
      </c>
      <c r="E286" s="48"/>
      <c r="F286" s="53"/>
      <c r="G286" s="54"/>
      <c r="H286" s="55" t="str">
        <f t="shared" si="72"/>
        <v/>
      </c>
      <c r="I286" s="35"/>
      <c r="J286" s="34" t="e">
        <f>IF(A286&lt;&gt;"",HLOOKUP(VALUE(TEXT(G286,"h:mm:ss")),IF($C$6="Laboral",[1]Input!$A$4:$Y$227,IF($C$6="Sábado",[1]Input!$A$231:$Y$452,[1]Input!$A$456:$Y$656)),VLOOKUP($C$4,[1]Input!$AG$2:$AI$99,3,0)+IF(C$5="Ida",0,1),1),"")</f>
        <v>#N/A</v>
      </c>
      <c r="K286" s="34" t="str">
        <f>IF(A287&lt;&gt;A286,AVERAGEIF(A$9:A286,A286,J$13:J286),"")</f>
        <v/>
      </c>
      <c r="L286" s="35" t="str">
        <f>IFERROR(IF(A287&lt;&gt;A286,AVERAGEIF(A$9:A286,A286,S$13:S286),""),"")</f>
        <v/>
      </c>
      <c r="M286" s="35" t="str">
        <f>IFERROR(IF(A287&lt;&gt;A286,AVERAGEIF(A$9:A286,A286,T$8:T286),""),"")</f>
        <v/>
      </c>
      <c r="N286" s="35" t="str" cm="1">
        <f t="array" ref="N286">IFERROR(IF(A287&lt;&gt;A286,_xlfn.STDEV.P(IF(A$9:A286=A286,T$7:T286)),""),"")</f>
        <v/>
      </c>
      <c r="O286" s="35" t="str" cm="1">
        <f t="array" ref="O286">IFERROR(IF(A287&lt;&gt;A286,_xlfn.STDEV.P(IF(A$9:A286=A286,S$7:S286)),""),"")</f>
        <v/>
      </c>
      <c r="P286" s="36" t="str">
        <f t="shared" si="65"/>
        <v/>
      </c>
      <c r="Q286" s="36" t="str">
        <f t="shared" si="66"/>
        <v/>
      </c>
      <c r="R286" s="36" t="str">
        <f t="shared" si="73"/>
        <v/>
      </c>
      <c r="S286" s="37" t="str">
        <f t="shared" si="74"/>
        <v/>
      </c>
      <c r="T286" s="37" t="str">
        <f t="shared" si="67"/>
        <v/>
      </c>
      <c r="U286" s="54"/>
      <c r="V286" s="46"/>
      <c r="W286" s="39" t="str">
        <f t="shared" si="75"/>
        <v/>
      </c>
      <c r="X286" s="38"/>
      <c r="Y286" s="48"/>
      <c r="AB286" s="56">
        <f t="shared" si="76"/>
        <v>1</v>
      </c>
      <c r="AC286" s="52"/>
      <c r="AD286" s="52"/>
      <c r="AE286" s="29" t="str">
        <f>IFERROR(
IF(AND(OR(AC286="C",AC286="c"), VLOOKUP(AF286,[1]Diccionario!B:N,13,0)="C"), "OK",IF(AND(OR(AC286="C",AC286="c"), OR(VLOOKUP(AF286,[1]Diccionario!B:N,13,0)="B", VLOOKUP(AF286,[1]Diccionario!B:N,13,0)="A")), "DEFICIT",IF(
AND(OR(AC286="B", AC286="BPAL"), VLOOKUP(AF286,[1]Diccionario!B:N,13,0)="B"), "OK",IF(AND(OR(AC286="B", AC286="BPAL"), VLOOKUP(AF286,[1]Diccionario!B:N,13,0)="A"), "DEFICIT",IF(AND(OR(AC286="B", AC286="BPAL"), VLOOKUP(AF286,[1]Diccionario!B:N,13,0)="C"), "SOBREOFERTA",IF(AND(AC286="A", VLOOKUP(AF286,[1]Diccionario!B:N,13,0)="A"), "OK",IF(
AND(AC286="A", OR(VLOOKUP(AF286,[1]Diccionario!B:N,13,0)="B", VLOOKUP(AF286,[1]Diccionario!B:N,13,0)="C")), "SOBREOFERTA",""
))))))),"")</f>
        <v/>
      </c>
      <c r="AF286" s="48"/>
      <c r="AG286" s="53"/>
      <c r="AH286" s="54"/>
      <c r="AI286" s="55" t="str">
        <f t="shared" si="77"/>
        <v/>
      </c>
      <c r="AJ286" s="46"/>
      <c r="AK286" s="34" t="e">
        <f>IF(AB286&lt;&gt;"",HLOOKUP(VALUE(TEXT(AH286,"h:mm:ss")),IF($C$6="Laboral",[1]Input!$A$4:$Y$227,IF($C$6="Sábado",[1]Input!$A$231:$Y$452,[1]Input!$A$456:$Y$656)),VLOOKUP($C$4,[1]Input!$AG$2:$AI$99,3,0)+IF(AD$5="Ida",0,1),1),"")</f>
        <v>#N/A</v>
      </c>
      <c r="AL286" s="34" t="str">
        <f>IF(AB287&lt;&gt;AB286,AVERAGEIF(AB$9:AB286,AB286,AK$9:AK286),"")</f>
        <v/>
      </c>
      <c r="AM286" s="35" t="str">
        <f>IFERROR(IF(AB287&lt;&gt;AB286,AVERAGEIF(AB$9:AB286,AB286,AT$9:AT286),""),"")</f>
        <v/>
      </c>
      <c r="AN286" s="35" t="str">
        <f>IFERROR(IF(AB287&lt;&gt;AB286,AVERAGEIF(AB$9:AB286,AB286,AU$9:AU286),""),"")</f>
        <v/>
      </c>
      <c r="AO286" s="35" t="str" cm="1">
        <f t="array" ref="AO286">IFERROR(IF(AB287&lt;&gt;AB286,_xlfn.STDEV.P(IF(AB$9:AB286=AB286,AU$9:AU286)),""),"")</f>
        <v/>
      </c>
      <c r="AP286" s="35" t="str" cm="1">
        <f t="array" ref="AP286">IFERROR(IF(AB287&lt;&gt;AB286,_xlfn.STDEV.P(IF(AB$9:AB286=AB286,AT$9:AT286)),""),"")</f>
        <v/>
      </c>
      <c r="AQ286" s="36" t="str">
        <f t="shared" si="68"/>
        <v/>
      </c>
      <c r="AR286" s="36" t="str">
        <f t="shared" si="69"/>
        <v/>
      </c>
      <c r="AS286" s="36" t="str">
        <f t="shared" si="78"/>
        <v/>
      </c>
      <c r="AT286" s="37" t="str">
        <f t="shared" si="70"/>
        <v/>
      </c>
      <c r="AU286" s="37" t="str">
        <f t="shared" si="71"/>
        <v/>
      </c>
      <c r="AV286" s="54"/>
      <c r="AW286" s="46"/>
      <c r="AX286" s="39" t="str" cm="1">
        <f t="array" ref="AX286">IF(AH286&lt;&gt;"",IF(AND(AX284:AX285&lt;&gt;"IE",AQ286&lt;&gt;0,AS286&lt;&gt;""),IF(IFERROR((AQ286/AS286),0) &lt;=1,IFERROR(AQ286/AS286,""),1),""),"")</f>
        <v/>
      </c>
      <c r="AY286" s="46"/>
      <c r="AZ286" s="57"/>
    </row>
    <row r="287" spans="1:52" ht="15.5" x14ac:dyDescent="0.35">
      <c r="A287" s="51">
        <f t="shared" si="79"/>
        <v>1</v>
      </c>
      <c r="B287" s="52"/>
      <c r="C287" s="52"/>
      <c r="D287" s="29" t="str">
        <f>IFERROR(
IF(AND(OR(Planilla!B287="C",Planilla!B287="c"), VLOOKUP(E287,[1]Diccionario!B:N,13,0)="C"), "OK",IF(AND(OR(Planilla!B287="C",Planilla!B287="c"), OR(VLOOKUP(E287,[1]Diccionario!B:N,13,0)="B", VLOOKUP(E287,[1]Diccionario!B:N,13,0)="A")), "DEFICIT",IF(
AND(OR(Planilla!B287="B", Planilla!B287="BPAL"), VLOOKUP(E287,[1]Diccionario!B:N,13,0)="B"), "OK",IF(AND(OR(Planilla!B287="B", Planilla!B287="BPAL"), VLOOKUP(E287,[1]Diccionario!B:N,13,0)="A"), "DEFICIT",IF(AND(OR(Planilla!B287="B", Planilla!B287="BPAL"), VLOOKUP(E287,[1]Diccionario!B:N,13,0)="C"), "SOBREOFERTA",IF(AND(Planilla!B287="A", VLOOKUP(E287,[1]Diccionario!B:N,13,0)="A"), "OK",IF(
AND(Planilla!B287="A", OR(VLOOKUP(E287,[1]Diccionario!B:N,13,0)="B", VLOOKUP(E287,[1]Diccionario!B:N,13,0)="C")), "SOBREOFERTA",""
))))))),"")</f>
        <v/>
      </c>
      <c r="E287" s="48"/>
      <c r="F287" s="53"/>
      <c r="G287" s="54"/>
      <c r="H287" s="55" t="str">
        <f t="shared" si="72"/>
        <v/>
      </c>
      <c r="I287" s="35"/>
      <c r="J287" s="34" t="e">
        <f>IF(A287&lt;&gt;"",HLOOKUP(VALUE(TEXT(G287,"h:mm:ss")),IF($C$6="Laboral",[1]Input!$A$4:$Y$227,IF($C$6="Sábado",[1]Input!$A$231:$Y$452,[1]Input!$A$456:$Y$656)),VLOOKUP($C$4,[1]Input!$AG$2:$AI$99,3,0)+IF(C$5="Ida",0,1),1),"")</f>
        <v>#N/A</v>
      </c>
      <c r="K287" s="34" t="str">
        <f>IF(A288&lt;&gt;A287,AVERAGEIF(A$9:A287,A287,J$13:J287),"")</f>
        <v/>
      </c>
      <c r="L287" s="35" t="str">
        <f>IFERROR(IF(A288&lt;&gt;A287,AVERAGEIF(A$9:A287,A287,S$13:S287),""),"")</f>
        <v/>
      </c>
      <c r="M287" s="35" t="str">
        <f>IFERROR(IF(A288&lt;&gt;A287,AVERAGEIF(A$9:A287,A287,T$8:T287),""),"")</f>
        <v/>
      </c>
      <c r="N287" s="35" t="str" cm="1">
        <f t="array" ref="N287">IFERROR(IF(A288&lt;&gt;A287,_xlfn.STDEV.P(IF(A$9:A287=A287,T$7:T287)),""),"")</f>
        <v/>
      </c>
      <c r="O287" s="35" t="str" cm="1">
        <f t="array" ref="O287">IFERROR(IF(A288&lt;&gt;A287,_xlfn.STDEV.P(IF(A$9:A287=A287,S$7:S287)),""),"")</f>
        <v/>
      </c>
      <c r="P287" s="36" t="str">
        <f t="shared" si="65"/>
        <v/>
      </c>
      <c r="Q287" s="36" t="str">
        <f t="shared" si="66"/>
        <v/>
      </c>
      <c r="R287" s="36" t="str">
        <f t="shared" si="73"/>
        <v/>
      </c>
      <c r="S287" s="37" t="str">
        <f t="shared" si="74"/>
        <v/>
      </c>
      <c r="T287" s="37" t="str">
        <f t="shared" si="67"/>
        <v/>
      </c>
      <c r="U287" s="54"/>
      <c r="V287" s="46"/>
      <c r="W287" s="39" t="str">
        <f t="shared" si="75"/>
        <v/>
      </c>
      <c r="X287" s="38"/>
      <c r="Y287" s="48"/>
      <c r="AB287" s="56">
        <f t="shared" si="76"/>
        <v>1</v>
      </c>
      <c r="AC287" s="52"/>
      <c r="AD287" s="52"/>
      <c r="AE287" s="29" t="str">
        <f>IFERROR(
IF(AND(OR(AC287="C",AC287="c"), VLOOKUP(AF287,[1]Diccionario!B:N,13,0)="C"), "OK",IF(AND(OR(AC287="C",AC287="c"), OR(VLOOKUP(AF287,[1]Diccionario!B:N,13,0)="B", VLOOKUP(AF287,[1]Diccionario!B:N,13,0)="A")), "DEFICIT",IF(
AND(OR(AC287="B", AC287="BPAL"), VLOOKUP(AF287,[1]Diccionario!B:N,13,0)="B"), "OK",IF(AND(OR(AC287="B", AC287="BPAL"), VLOOKUP(AF287,[1]Diccionario!B:N,13,0)="A"), "DEFICIT",IF(AND(OR(AC287="B", AC287="BPAL"), VLOOKUP(AF287,[1]Diccionario!B:N,13,0)="C"), "SOBREOFERTA",IF(AND(AC287="A", VLOOKUP(AF287,[1]Diccionario!B:N,13,0)="A"), "OK",IF(
AND(AC287="A", OR(VLOOKUP(AF287,[1]Diccionario!B:N,13,0)="B", VLOOKUP(AF287,[1]Diccionario!B:N,13,0)="C")), "SOBREOFERTA",""
))))))),"")</f>
        <v/>
      </c>
      <c r="AF287" s="48"/>
      <c r="AG287" s="53"/>
      <c r="AH287" s="54"/>
      <c r="AI287" s="55" t="str">
        <f t="shared" si="77"/>
        <v/>
      </c>
      <c r="AJ287" s="46"/>
      <c r="AK287" s="34" t="e">
        <f>IF(AB287&lt;&gt;"",HLOOKUP(VALUE(TEXT(AH287,"h:mm:ss")),IF($C$6="Laboral",[1]Input!$A$4:$Y$227,IF($C$6="Sábado",[1]Input!$A$231:$Y$452,[1]Input!$A$456:$Y$656)),VLOOKUP($C$4,[1]Input!$AG$2:$AI$99,3,0)+IF(AD$5="Ida",0,1),1),"")</f>
        <v>#N/A</v>
      </c>
      <c r="AL287" s="34" t="str">
        <f>IF(AB288&lt;&gt;AB287,AVERAGEIF(AB$9:AB287,AB287,AK$9:AK287),"")</f>
        <v/>
      </c>
      <c r="AM287" s="35" t="str">
        <f>IFERROR(IF(AB288&lt;&gt;AB287,AVERAGEIF(AB$9:AB287,AB287,AT$9:AT287),""),"")</f>
        <v/>
      </c>
      <c r="AN287" s="35" t="str">
        <f>IFERROR(IF(AB288&lt;&gt;AB287,AVERAGEIF(AB$9:AB287,AB287,AU$9:AU287),""),"")</f>
        <v/>
      </c>
      <c r="AO287" s="35" t="str" cm="1">
        <f t="array" ref="AO287">IFERROR(IF(AB288&lt;&gt;AB287,_xlfn.STDEV.P(IF(AB$9:AB287=AB287,AU$9:AU287)),""),"")</f>
        <v/>
      </c>
      <c r="AP287" s="35" t="str" cm="1">
        <f t="array" ref="AP287">IFERROR(IF(AB288&lt;&gt;AB287,_xlfn.STDEV.P(IF(AB$9:AB287=AB287,AT$9:AT287)),""),"")</f>
        <v/>
      </c>
      <c r="AQ287" s="36" t="str">
        <f t="shared" si="68"/>
        <v/>
      </c>
      <c r="AR287" s="36" t="str">
        <f t="shared" si="69"/>
        <v/>
      </c>
      <c r="AS287" s="36" t="str">
        <f t="shared" si="78"/>
        <v/>
      </c>
      <c r="AT287" s="37" t="str">
        <f t="shared" si="70"/>
        <v/>
      </c>
      <c r="AU287" s="37" t="str">
        <f t="shared" si="71"/>
        <v/>
      </c>
      <c r="AV287" s="54"/>
      <c r="AW287" s="46"/>
      <c r="AX287" s="39" t="str" cm="1">
        <f t="array" ref="AX287">IF(AH287&lt;&gt;"",IF(AND(AX285:AX286&lt;&gt;"IE",AQ287&lt;&gt;0,AS287&lt;&gt;""),IF(IFERROR((AQ287/AS287),0) &lt;=1,IFERROR(AQ287/AS287,""),1),""),"")</f>
        <v/>
      </c>
      <c r="AY287" s="46"/>
      <c r="AZ287" s="57"/>
    </row>
    <row r="288" spans="1:52" ht="15.5" x14ac:dyDescent="0.35">
      <c r="A288" s="51">
        <f t="shared" si="79"/>
        <v>1</v>
      </c>
      <c r="B288" s="52"/>
      <c r="C288" s="52"/>
      <c r="D288" s="29" t="str">
        <f>IFERROR(
IF(AND(OR(Planilla!B288="C",Planilla!B288="c"), VLOOKUP(E288,[1]Diccionario!B:N,13,0)="C"), "OK",IF(AND(OR(Planilla!B288="C",Planilla!B288="c"), OR(VLOOKUP(E288,[1]Diccionario!B:N,13,0)="B", VLOOKUP(E288,[1]Diccionario!B:N,13,0)="A")), "DEFICIT",IF(
AND(OR(Planilla!B288="B", Planilla!B288="BPAL"), VLOOKUP(E288,[1]Diccionario!B:N,13,0)="B"), "OK",IF(AND(OR(Planilla!B288="B", Planilla!B288="BPAL"), VLOOKUP(E288,[1]Diccionario!B:N,13,0)="A"), "DEFICIT",IF(AND(OR(Planilla!B288="B", Planilla!B288="BPAL"), VLOOKUP(E288,[1]Diccionario!B:N,13,0)="C"), "SOBREOFERTA",IF(AND(Planilla!B288="A", VLOOKUP(E288,[1]Diccionario!B:N,13,0)="A"), "OK",IF(
AND(Planilla!B288="A", OR(VLOOKUP(E288,[1]Diccionario!B:N,13,0)="B", VLOOKUP(E288,[1]Diccionario!B:N,13,0)="C")), "SOBREOFERTA",""
))))))),"")</f>
        <v/>
      </c>
      <c r="E288" s="48"/>
      <c r="F288" s="53"/>
      <c r="G288" s="54"/>
      <c r="H288" s="55" t="str">
        <f t="shared" si="72"/>
        <v/>
      </c>
      <c r="I288" s="35"/>
      <c r="J288" s="34" t="e">
        <f>IF(A288&lt;&gt;"",HLOOKUP(VALUE(TEXT(G288,"h:mm:ss")),IF($C$6="Laboral",[1]Input!$A$4:$Y$227,IF($C$6="Sábado",[1]Input!$A$231:$Y$452,[1]Input!$A$456:$Y$656)),VLOOKUP($C$4,[1]Input!$AG$2:$AI$99,3,0)+IF(C$5="Ida",0,1),1),"")</f>
        <v>#N/A</v>
      </c>
      <c r="K288" s="34" t="str">
        <f>IF(A289&lt;&gt;A288,AVERAGEIF(A$9:A288,A288,J$13:J288),"")</f>
        <v/>
      </c>
      <c r="L288" s="35" t="str">
        <f>IFERROR(IF(A289&lt;&gt;A288,AVERAGEIF(A$9:A288,A288,S$13:S288),""),"")</f>
        <v/>
      </c>
      <c r="M288" s="35" t="str">
        <f>IFERROR(IF(A289&lt;&gt;A288,AVERAGEIF(A$9:A288,A288,T$8:T288),""),"")</f>
        <v/>
      </c>
      <c r="N288" s="35" t="str" cm="1">
        <f t="array" ref="N288">IFERROR(IF(A289&lt;&gt;A288,_xlfn.STDEV.P(IF(A$9:A288=A288,T$7:T288)),""),"")</f>
        <v/>
      </c>
      <c r="O288" s="35" t="str" cm="1">
        <f t="array" ref="O288">IFERROR(IF(A289&lt;&gt;A288,_xlfn.STDEV.P(IF(A$9:A288=A288,S$7:S288)),""),"")</f>
        <v/>
      </c>
      <c r="P288" s="36" t="str">
        <f t="shared" si="65"/>
        <v/>
      </c>
      <c r="Q288" s="36" t="str">
        <f t="shared" si="66"/>
        <v/>
      </c>
      <c r="R288" s="36" t="str">
        <f t="shared" si="73"/>
        <v/>
      </c>
      <c r="S288" s="37" t="str">
        <f t="shared" si="74"/>
        <v/>
      </c>
      <c r="T288" s="37" t="str">
        <f t="shared" si="67"/>
        <v/>
      </c>
      <c r="U288" s="54"/>
      <c r="V288" s="46"/>
      <c r="W288" s="39" t="str">
        <f t="shared" si="75"/>
        <v/>
      </c>
      <c r="X288" s="38"/>
      <c r="Y288" s="48"/>
      <c r="AB288" s="56">
        <f t="shared" si="76"/>
        <v>1</v>
      </c>
      <c r="AC288" s="52"/>
      <c r="AD288" s="52"/>
      <c r="AE288" s="29" t="str">
        <f>IFERROR(
IF(AND(OR(AC288="C",AC288="c"), VLOOKUP(AF288,[1]Diccionario!B:N,13,0)="C"), "OK",IF(AND(OR(AC288="C",AC288="c"), OR(VLOOKUP(AF288,[1]Diccionario!B:N,13,0)="B", VLOOKUP(AF288,[1]Diccionario!B:N,13,0)="A")), "DEFICIT",IF(
AND(OR(AC288="B", AC288="BPAL"), VLOOKUP(AF288,[1]Diccionario!B:N,13,0)="B"), "OK",IF(AND(OR(AC288="B", AC288="BPAL"), VLOOKUP(AF288,[1]Diccionario!B:N,13,0)="A"), "DEFICIT",IF(AND(OR(AC288="B", AC288="BPAL"), VLOOKUP(AF288,[1]Diccionario!B:N,13,0)="C"), "SOBREOFERTA",IF(AND(AC288="A", VLOOKUP(AF288,[1]Diccionario!B:N,13,0)="A"), "OK",IF(
AND(AC288="A", OR(VLOOKUP(AF288,[1]Diccionario!B:N,13,0)="B", VLOOKUP(AF288,[1]Diccionario!B:N,13,0)="C")), "SOBREOFERTA",""
))))))),"")</f>
        <v/>
      </c>
      <c r="AF288" s="48"/>
      <c r="AG288" s="53"/>
      <c r="AH288" s="54"/>
      <c r="AI288" s="55" t="str">
        <f t="shared" si="77"/>
        <v/>
      </c>
      <c r="AJ288" s="46"/>
      <c r="AK288" s="34" t="e">
        <f>IF(AB288&lt;&gt;"",HLOOKUP(VALUE(TEXT(AH288,"h:mm:ss")),IF($C$6="Laboral",[1]Input!$A$4:$Y$227,IF($C$6="Sábado",[1]Input!$A$231:$Y$452,[1]Input!$A$456:$Y$656)),VLOOKUP($C$4,[1]Input!$AG$2:$AI$99,3,0)+IF(AD$5="Ida",0,1),1),"")</f>
        <v>#N/A</v>
      </c>
      <c r="AL288" s="34" t="str">
        <f>IF(AB289&lt;&gt;AB288,AVERAGEIF(AB$9:AB288,AB288,AK$9:AK288),"")</f>
        <v/>
      </c>
      <c r="AM288" s="35" t="str">
        <f>IFERROR(IF(AB289&lt;&gt;AB288,AVERAGEIF(AB$9:AB288,AB288,AT$9:AT288),""),"")</f>
        <v/>
      </c>
      <c r="AN288" s="35" t="str">
        <f>IFERROR(IF(AB289&lt;&gt;AB288,AVERAGEIF(AB$9:AB288,AB288,AU$9:AU288),""),"")</f>
        <v/>
      </c>
      <c r="AO288" s="35" t="str" cm="1">
        <f t="array" ref="AO288">IFERROR(IF(AB289&lt;&gt;AB288,_xlfn.STDEV.P(IF(AB$9:AB288=AB288,AU$9:AU288)),""),"")</f>
        <v/>
      </c>
      <c r="AP288" s="35" t="str" cm="1">
        <f t="array" ref="AP288">IFERROR(IF(AB289&lt;&gt;AB288,_xlfn.STDEV.P(IF(AB$9:AB288=AB288,AT$9:AT288)),""),"")</f>
        <v/>
      </c>
      <c r="AQ288" s="36" t="str">
        <f t="shared" si="68"/>
        <v/>
      </c>
      <c r="AR288" s="36" t="str">
        <f t="shared" si="69"/>
        <v/>
      </c>
      <c r="AS288" s="36" t="str">
        <f t="shared" si="78"/>
        <v/>
      </c>
      <c r="AT288" s="37" t="str">
        <f t="shared" si="70"/>
        <v/>
      </c>
      <c r="AU288" s="37" t="str">
        <f t="shared" si="71"/>
        <v/>
      </c>
      <c r="AV288" s="54"/>
      <c r="AW288" s="46"/>
      <c r="AX288" s="39" t="str" cm="1">
        <f t="array" ref="AX288">IF(AH288&lt;&gt;"",IF(AND(AX286:AX287&lt;&gt;"IE",AQ288&lt;&gt;0,AS288&lt;&gt;""),IF(IFERROR((AQ288/AS288),0) &lt;=1,IFERROR(AQ288/AS288,""),1),""),"")</f>
        <v/>
      </c>
      <c r="AY288" s="46"/>
      <c r="AZ288" s="57"/>
    </row>
    <row r="289" spans="1:52" ht="15.5" x14ac:dyDescent="0.35">
      <c r="A289" s="51">
        <f t="shared" si="79"/>
        <v>1</v>
      </c>
      <c r="B289" s="52"/>
      <c r="C289" s="52"/>
      <c r="D289" s="29" t="str">
        <f>IFERROR(
IF(AND(OR(Planilla!B289="C",Planilla!B289="c"), VLOOKUP(E289,[1]Diccionario!B:N,13,0)="C"), "OK",IF(AND(OR(Planilla!B289="C",Planilla!B289="c"), OR(VLOOKUP(E289,[1]Diccionario!B:N,13,0)="B", VLOOKUP(E289,[1]Diccionario!B:N,13,0)="A")), "DEFICIT",IF(
AND(OR(Planilla!B289="B", Planilla!B289="BPAL"), VLOOKUP(E289,[1]Diccionario!B:N,13,0)="B"), "OK",IF(AND(OR(Planilla!B289="B", Planilla!B289="BPAL"), VLOOKUP(E289,[1]Diccionario!B:N,13,0)="A"), "DEFICIT",IF(AND(OR(Planilla!B289="B", Planilla!B289="BPAL"), VLOOKUP(E289,[1]Diccionario!B:N,13,0)="C"), "SOBREOFERTA",IF(AND(Planilla!B289="A", VLOOKUP(E289,[1]Diccionario!B:N,13,0)="A"), "OK",IF(
AND(Planilla!B289="A", OR(VLOOKUP(E289,[1]Diccionario!B:N,13,0)="B", VLOOKUP(E289,[1]Diccionario!B:N,13,0)="C")), "SOBREOFERTA",""
))))))),"")</f>
        <v/>
      </c>
      <c r="E289" s="48"/>
      <c r="F289" s="53"/>
      <c r="G289" s="54"/>
      <c r="H289" s="55" t="str">
        <f t="shared" si="72"/>
        <v/>
      </c>
      <c r="I289" s="35"/>
      <c r="J289" s="34" t="e">
        <f>IF(A289&lt;&gt;"",HLOOKUP(VALUE(TEXT(G289,"h:mm:ss")),IF($C$6="Laboral",[1]Input!$A$4:$Y$227,IF($C$6="Sábado",[1]Input!$A$231:$Y$452,[1]Input!$A$456:$Y$656)),VLOOKUP($C$4,[1]Input!$AG$2:$AI$99,3,0)+IF(C$5="Ida",0,1),1),"")</f>
        <v>#N/A</v>
      </c>
      <c r="K289" s="34" t="str">
        <f>IF(A290&lt;&gt;A289,AVERAGEIF(A$9:A289,A289,J$13:J289),"")</f>
        <v/>
      </c>
      <c r="L289" s="35" t="str">
        <f>IFERROR(IF(A290&lt;&gt;A289,AVERAGEIF(A$9:A289,A289,S$13:S289),""),"")</f>
        <v/>
      </c>
      <c r="M289" s="35" t="str">
        <f>IFERROR(IF(A290&lt;&gt;A289,AVERAGEIF(A$9:A289,A289,T$8:T289),""),"")</f>
        <v/>
      </c>
      <c r="N289" s="35" t="str" cm="1">
        <f t="array" ref="N289">IFERROR(IF(A290&lt;&gt;A289,_xlfn.STDEV.P(IF(A$9:A289=A289,T$7:T289)),""),"")</f>
        <v/>
      </c>
      <c r="O289" s="35" t="str" cm="1">
        <f t="array" ref="O289">IFERROR(IF(A290&lt;&gt;A289,_xlfn.STDEV.P(IF(A$9:A289=A289,S$7:S289)),""),"")</f>
        <v/>
      </c>
      <c r="P289" s="36" t="str">
        <f t="shared" si="65"/>
        <v/>
      </c>
      <c r="Q289" s="36" t="str">
        <f t="shared" si="66"/>
        <v/>
      </c>
      <c r="R289" s="36" t="str">
        <f t="shared" si="73"/>
        <v/>
      </c>
      <c r="S289" s="37" t="str">
        <f t="shared" si="74"/>
        <v/>
      </c>
      <c r="T289" s="37" t="str">
        <f t="shared" si="67"/>
        <v/>
      </c>
      <c r="U289" s="54"/>
      <c r="V289" s="46"/>
      <c r="W289" s="39" t="str">
        <f t="shared" si="75"/>
        <v/>
      </c>
      <c r="X289" s="38"/>
      <c r="Y289" s="48"/>
      <c r="AB289" s="56">
        <f t="shared" si="76"/>
        <v>1</v>
      </c>
      <c r="AC289" s="52"/>
      <c r="AD289" s="52"/>
      <c r="AE289" s="29" t="str">
        <f>IFERROR(
IF(AND(OR(AC289="C",AC289="c"), VLOOKUP(AF289,[1]Diccionario!B:N,13,0)="C"), "OK",IF(AND(OR(AC289="C",AC289="c"), OR(VLOOKUP(AF289,[1]Diccionario!B:N,13,0)="B", VLOOKUP(AF289,[1]Diccionario!B:N,13,0)="A")), "DEFICIT",IF(
AND(OR(AC289="B", AC289="BPAL"), VLOOKUP(AF289,[1]Diccionario!B:N,13,0)="B"), "OK",IF(AND(OR(AC289="B", AC289="BPAL"), VLOOKUP(AF289,[1]Diccionario!B:N,13,0)="A"), "DEFICIT",IF(AND(OR(AC289="B", AC289="BPAL"), VLOOKUP(AF289,[1]Diccionario!B:N,13,0)="C"), "SOBREOFERTA",IF(AND(AC289="A", VLOOKUP(AF289,[1]Diccionario!B:N,13,0)="A"), "OK",IF(
AND(AC289="A", OR(VLOOKUP(AF289,[1]Diccionario!B:N,13,0)="B", VLOOKUP(AF289,[1]Diccionario!B:N,13,0)="C")), "SOBREOFERTA",""
))))))),"")</f>
        <v/>
      </c>
      <c r="AF289" s="48"/>
      <c r="AG289" s="53"/>
      <c r="AH289" s="54"/>
      <c r="AI289" s="55" t="str">
        <f t="shared" si="77"/>
        <v/>
      </c>
      <c r="AJ289" s="46"/>
      <c r="AK289" s="34" t="e">
        <f>IF(AB289&lt;&gt;"",HLOOKUP(VALUE(TEXT(AH289,"h:mm:ss")),IF($C$6="Laboral",[1]Input!$A$4:$Y$227,IF($C$6="Sábado",[1]Input!$A$231:$Y$452,[1]Input!$A$456:$Y$656)),VLOOKUP($C$4,[1]Input!$AG$2:$AI$99,3,0)+IF(AD$5="Ida",0,1),1),"")</f>
        <v>#N/A</v>
      </c>
      <c r="AL289" s="34" t="str">
        <f>IF(AB290&lt;&gt;AB289,AVERAGEIF(AB$9:AB289,AB289,AK$9:AK289),"")</f>
        <v/>
      </c>
      <c r="AM289" s="35" t="str">
        <f>IFERROR(IF(AB290&lt;&gt;AB289,AVERAGEIF(AB$9:AB289,AB289,AT$9:AT289),""),"")</f>
        <v/>
      </c>
      <c r="AN289" s="35" t="str">
        <f>IFERROR(IF(AB290&lt;&gt;AB289,AVERAGEIF(AB$9:AB289,AB289,AU$9:AU289),""),"")</f>
        <v/>
      </c>
      <c r="AO289" s="35" t="str" cm="1">
        <f t="array" ref="AO289">IFERROR(IF(AB290&lt;&gt;AB289,_xlfn.STDEV.P(IF(AB$9:AB289=AB289,AU$9:AU289)),""),"")</f>
        <v/>
      </c>
      <c r="AP289" s="35" t="str" cm="1">
        <f t="array" ref="AP289">IFERROR(IF(AB290&lt;&gt;AB289,_xlfn.STDEV.P(IF(AB$9:AB289=AB289,AT$9:AT289)),""),"")</f>
        <v/>
      </c>
      <c r="AQ289" s="36" t="str">
        <f t="shared" si="68"/>
        <v/>
      </c>
      <c r="AR289" s="36" t="str">
        <f t="shared" si="69"/>
        <v/>
      </c>
      <c r="AS289" s="36" t="str">
        <f t="shared" si="78"/>
        <v/>
      </c>
      <c r="AT289" s="37" t="str">
        <f t="shared" si="70"/>
        <v/>
      </c>
      <c r="AU289" s="37" t="str">
        <f t="shared" si="71"/>
        <v/>
      </c>
      <c r="AV289" s="54"/>
      <c r="AW289" s="46"/>
      <c r="AX289" s="39" t="str" cm="1">
        <f t="array" ref="AX289">IF(AH289&lt;&gt;"",IF(AND(AX287:AX288&lt;&gt;"IE",AQ289&lt;&gt;0,AS289&lt;&gt;""),IF(IFERROR((AQ289/AS289),0) &lt;=1,IFERROR(AQ289/AS289,""),1),""),"")</f>
        <v/>
      </c>
      <c r="AY289" s="46"/>
      <c r="AZ289" s="57"/>
    </row>
    <row r="290" spans="1:52" ht="15.5" x14ac:dyDescent="0.35">
      <c r="A290" s="51">
        <f t="shared" si="79"/>
        <v>1</v>
      </c>
      <c r="B290" s="52"/>
      <c r="C290" s="52"/>
      <c r="D290" s="29" t="str">
        <f>IFERROR(
IF(AND(OR(Planilla!B290="C",Planilla!B290="c"), VLOOKUP(E290,[1]Diccionario!B:N,13,0)="C"), "OK",IF(AND(OR(Planilla!B290="C",Planilla!B290="c"), OR(VLOOKUP(E290,[1]Diccionario!B:N,13,0)="B", VLOOKUP(E290,[1]Diccionario!B:N,13,0)="A")), "DEFICIT",IF(
AND(OR(Planilla!B290="B", Planilla!B290="BPAL"), VLOOKUP(E290,[1]Diccionario!B:N,13,0)="B"), "OK",IF(AND(OR(Planilla!B290="B", Planilla!B290="BPAL"), VLOOKUP(E290,[1]Diccionario!B:N,13,0)="A"), "DEFICIT",IF(AND(OR(Planilla!B290="B", Planilla!B290="BPAL"), VLOOKUP(E290,[1]Diccionario!B:N,13,0)="C"), "SOBREOFERTA",IF(AND(Planilla!B290="A", VLOOKUP(E290,[1]Diccionario!B:N,13,0)="A"), "OK",IF(
AND(Planilla!B290="A", OR(VLOOKUP(E290,[1]Diccionario!B:N,13,0)="B", VLOOKUP(E290,[1]Diccionario!B:N,13,0)="C")), "SOBREOFERTA",""
))))))),"")</f>
        <v/>
      </c>
      <c r="E290" s="48"/>
      <c r="F290" s="53"/>
      <c r="G290" s="54"/>
      <c r="H290" s="55" t="str">
        <f t="shared" si="72"/>
        <v/>
      </c>
      <c r="I290" s="35"/>
      <c r="J290" s="34" t="e">
        <f>IF(A290&lt;&gt;"",HLOOKUP(VALUE(TEXT(G290,"h:mm:ss")),IF($C$6="Laboral",[1]Input!$A$4:$Y$227,IF($C$6="Sábado",[1]Input!$A$231:$Y$452,[1]Input!$A$456:$Y$656)),VLOOKUP($C$4,[1]Input!$AG$2:$AI$99,3,0)+IF(C$5="Ida",0,1),1),"")</f>
        <v>#N/A</v>
      </c>
      <c r="K290" s="34" t="str">
        <f>IF(A291&lt;&gt;A290,AVERAGEIF(A$9:A290,A290,J$13:J290),"")</f>
        <v/>
      </c>
      <c r="L290" s="35" t="str">
        <f>IFERROR(IF(A291&lt;&gt;A290,AVERAGEIF(A$9:A290,A290,S$13:S290),""),"")</f>
        <v/>
      </c>
      <c r="M290" s="35" t="str">
        <f>IFERROR(IF(A291&lt;&gt;A290,AVERAGEIF(A$9:A290,A290,T$8:T290),""),"")</f>
        <v/>
      </c>
      <c r="N290" s="35" t="str" cm="1">
        <f t="array" ref="N290">IFERROR(IF(A291&lt;&gt;A290,_xlfn.STDEV.P(IF(A$9:A290=A290,T$7:T290)),""),"")</f>
        <v/>
      </c>
      <c r="O290" s="35" t="str" cm="1">
        <f t="array" ref="O290">IFERROR(IF(A291&lt;&gt;A290,_xlfn.STDEV.P(IF(A$9:A290=A290,S$7:S290)),""),"")</f>
        <v/>
      </c>
      <c r="P290" s="36" t="str">
        <f t="shared" si="65"/>
        <v/>
      </c>
      <c r="Q290" s="36" t="str">
        <f t="shared" si="66"/>
        <v/>
      </c>
      <c r="R290" s="36" t="str">
        <f t="shared" si="73"/>
        <v/>
      </c>
      <c r="S290" s="37" t="str">
        <f t="shared" si="74"/>
        <v/>
      </c>
      <c r="T290" s="37" t="str">
        <f t="shared" si="67"/>
        <v/>
      </c>
      <c r="U290" s="54"/>
      <c r="V290" s="46"/>
      <c r="W290" s="39" t="str">
        <f t="shared" si="75"/>
        <v/>
      </c>
      <c r="X290" s="38"/>
      <c r="Y290" s="48"/>
      <c r="AB290" s="56">
        <f t="shared" si="76"/>
        <v>1</v>
      </c>
      <c r="AC290" s="52"/>
      <c r="AD290" s="52"/>
      <c r="AE290" s="29" t="str">
        <f>IFERROR(
IF(AND(OR(AC290="C",AC290="c"), VLOOKUP(AF290,[1]Diccionario!B:N,13,0)="C"), "OK",IF(AND(OR(AC290="C",AC290="c"), OR(VLOOKUP(AF290,[1]Diccionario!B:N,13,0)="B", VLOOKUP(AF290,[1]Diccionario!B:N,13,0)="A")), "DEFICIT",IF(
AND(OR(AC290="B", AC290="BPAL"), VLOOKUP(AF290,[1]Diccionario!B:N,13,0)="B"), "OK",IF(AND(OR(AC290="B", AC290="BPAL"), VLOOKUP(AF290,[1]Diccionario!B:N,13,0)="A"), "DEFICIT",IF(AND(OR(AC290="B", AC290="BPAL"), VLOOKUP(AF290,[1]Diccionario!B:N,13,0)="C"), "SOBREOFERTA",IF(AND(AC290="A", VLOOKUP(AF290,[1]Diccionario!B:N,13,0)="A"), "OK",IF(
AND(AC290="A", OR(VLOOKUP(AF290,[1]Diccionario!B:N,13,0)="B", VLOOKUP(AF290,[1]Diccionario!B:N,13,0)="C")), "SOBREOFERTA",""
))))))),"")</f>
        <v/>
      </c>
      <c r="AF290" s="48"/>
      <c r="AG290" s="53"/>
      <c r="AH290" s="54"/>
      <c r="AI290" s="55" t="str">
        <f t="shared" si="77"/>
        <v/>
      </c>
      <c r="AJ290" s="46"/>
      <c r="AK290" s="34" t="e">
        <f>IF(AB290&lt;&gt;"",HLOOKUP(VALUE(TEXT(AH290,"h:mm:ss")),IF($C$6="Laboral",[1]Input!$A$4:$Y$227,IF($C$6="Sábado",[1]Input!$A$231:$Y$452,[1]Input!$A$456:$Y$656)),VLOOKUP($C$4,[1]Input!$AG$2:$AI$99,3,0)+IF(AD$5="Ida",0,1),1),"")</f>
        <v>#N/A</v>
      </c>
      <c r="AL290" s="34" t="str">
        <f>IF(AB291&lt;&gt;AB290,AVERAGEIF(AB$9:AB290,AB290,AK$9:AK290),"")</f>
        <v/>
      </c>
      <c r="AM290" s="35" t="str">
        <f>IFERROR(IF(AB291&lt;&gt;AB290,AVERAGEIF(AB$9:AB290,AB290,AT$9:AT290),""),"")</f>
        <v/>
      </c>
      <c r="AN290" s="35" t="str">
        <f>IFERROR(IF(AB291&lt;&gt;AB290,AVERAGEIF(AB$9:AB290,AB290,AU$9:AU290),""),"")</f>
        <v/>
      </c>
      <c r="AO290" s="35" t="str" cm="1">
        <f t="array" ref="AO290">IFERROR(IF(AB291&lt;&gt;AB290,_xlfn.STDEV.P(IF(AB$9:AB290=AB290,AU$9:AU290)),""),"")</f>
        <v/>
      </c>
      <c r="AP290" s="35" t="str" cm="1">
        <f t="array" ref="AP290">IFERROR(IF(AB291&lt;&gt;AB290,_xlfn.STDEV.P(IF(AB$9:AB290=AB290,AT$9:AT290)),""),"")</f>
        <v/>
      </c>
      <c r="AQ290" s="36" t="str">
        <f t="shared" si="68"/>
        <v/>
      </c>
      <c r="AR290" s="36" t="str">
        <f t="shared" si="69"/>
        <v/>
      </c>
      <c r="AS290" s="36" t="str">
        <f t="shared" si="78"/>
        <v/>
      </c>
      <c r="AT290" s="37" t="str">
        <f t="shared" si="70"/>
        <v/>
      </c>
      <c r="AU290" s="37" t="str">
        <f t="shared" si="71"/>
        <v/>
      </c>
      <c r="AV290" s="54"/>
      <c r="AW290" s="46"/>
      <c r="AX290" s="39" t="str" cm="1">
        <f t="array" ref="AX290">IF(AH290&lt;&gt;"",IF(AND(AX288:AX289&lt;&gt;"IE",AQ290&lt;&gt;0,AS290&lt;&gt;""),IF(IFERROR((AQ290/AS290),0) &lt;=1,IFERROR(AQ290/AS290,""),1),""),"")</f>
        <v/>
      </c>
      <c r="AY290" s="46"/>
      <c r="AZ290" s="57"/>
    </row>
    <row r="291" spans="1:52" ht="15.5" x14ac:dyDescent="0.35">
      <c r="A291" s="51">
        <f t="shared" si="79"/>
        <v>1</v>
      </c>
      <c r="B291" s="52"/>
      <c r="C291" s="52"/>
      <c r="D291" s="29" t="str">
        <f>IFERROR(
IF(AND(OR(Planilla!B291="C",Planilla!B291="c"), VLOOKUP(E291,[1]Diccionario!B:N,13,0)="C"), "OK",IF(AND(OR(Planilla!B291="C",Planilla!B291="c"), OR(VLOOKUP(E291,[1]Diccionario!B:N,13,0)="B", VLOOKUP(E291,[1]Diccionario!B:N,13,0)="A")), "DEFICIT",IF(
AND(OR(Planilla!B291="B", Planilla!B291="BPAL"), VLOOKUP(E291,[1]Diccionario!B:N,13,0)="B"), "OK",IF(AND(OR(Planilla!B291="B", Planilla!B291="BPAL"), VLOOKUP(E291,[1]Diccionario!B:N,13,0)="A"), "DEFICIT",IF(AND(OR(Planilla!B291="B", Planilla!B291="BPAL"), VLOOKUP(E291,[1]Diccionario!B:N,13,0)="C"), "SOBREOFERTA",IF(AND(Planilla!B291="A", VLOOKUP(E291,[1]Diccionario!B:N,13,0)="A"), "OK",IF(
AND(Planilla!B291="A", OR(VLOOKUP(E291,[1]Diccionario!B:N,13,0)="B", VLOOKUP(E291,[1]Diccionario!B:N,13,0)="C")), "SOBREOFERTA",""
))))))),"")</f>
        <v/>
      </c>
      <c r="E291" s="48"/>
      <c r="F291" s="53"/>
      <c r="G291" s="54"/>
      <c r="H291" s="55" t="str">
        <f t="shared" si="72"/>
        <v/>
      </c>
      <c r="I291" s="35"/>
      <c r="J291" s="34" t="e">
        <f>IF(A291&lt;&gt;"",HLOOKUP(VALUE(TEXT(G291,"h:mm:ss")),IF($C$6="Laboral",[1]Input!$A$4:$Y$227,IF($C$6="Sábado",[1]Input!$A$231:$Y$452,[1]Input!$A$456:$Y$656)),VLOOKUP($C$4,[1]Input!$AG$2:$AI$99,3,0)+IF(C$5="Ida",0,1),1),"")</f>
        <v>#N/A</v>
      </c>
      <c r="K291" s="34" t="str">
        <f>IF(A292&lt;&gt;A291,AVERAGEIF(A$9:A291,A291,J$13:J291),"")</f>
        <v/>
      </c>
      <c r="L291" s="35" t="str">
        <f>IFERROR(IF(A292&lt;&gt;A291,AVERAGEIF(A$9:A291,A291,S$13:S291),""),"")</f>
        <v/>
      </c>
      <c r="M291" s="35" t="str">
        <f>IFERROR(IF(A292&lt;&gt;A291,AVERAGEIF(A$9:A291,A291,T$8:T291),""),"")</f>
        <v/>
      </c>
      <c r="N291" s="35" t="str" cm="1">
        <f t="array" ref="N291">IFERROR(IF(A292&lt;&gt;A291,_xlfn.STDEV.P(IF(A$9:A291=A291,T$7:T291)),""),"")</f>
        <v/>
      </c>
      <c r="O291" s="35" t="str" cm="1">
        <f t="array" ref="O291">IFERROR(IF(A292&lt;&gt;A291,_xlfn.STDEV.P(IF(A$9:A291=A291,S$7:S291)),""),"")</f>
        <v/>
      </c>
      <c r="P291" s="36" t="str">
        <f t="shared" si="65"/>
        <v/>
      </c>
      <c r="Q291" s="36" t="str">
        <f t="shared" si="66"/>
        <v/>
      </c>
      <c r="R291" s="36" t="str">
        <f t="shared" si="73"/>
        <v/>
      </c>
      <c r="S291" s="37" t="str">
        <f t="shared" si="74"/>
        <v/>
      </c>
      <c r="T291" s="37" t="str">
        <f t="shared" si="67"/>
        <v/>
      </c>
      <c r="U291" s="54"/>
      <c r="V291" s="46"/>
      <c r="W291" s="39" t="str">
        <f t="shared" si="75"/>
        <v/>
      </c>
      <c r="X291" s="38"/>
      <c r="Y291" s="48"/>
      <c r="AB291" s="56">
        <f t="shared" si="76"/>
        <v>1</v>
      </c>
      <c r="AC291" s="52"/>
      <c r="AD291" s="52"/>
      <c r="AE291" s="29" t="str">
        <f>IFERROR(
IF(AND(OR(AC291="C",AC291="c"), VLOOKUP(AF291,[1]Diccionario!B:N,13,0)="C"), "OK",IF(AND(OR(AC291="C",AC291="c"), OR(VLOOKUP(AF291,[1]Diccionario!B:N,13,0)="B", VLOOKUP(AF291,[1]Diccionario!B:N,13,0)="A")), "DEFICIT",IF(
AND(OR(AC291="B", AC291="BPAL"), VLOOKUP(AF291,[1]Diccionario!B:N,13,0)="B"), "OK",IF(AND(OR(AC291="B", AC291="BPAL"), VLOOKUP(AF291,[1]Diccionario!B:N,13,0)="A"), "DEFICIT",IF(AND(OR(AC291="B", AC291="BPAL"), VLOOKUP(AF291,[1]Diccionario!B:N,13,0)="C"), "SOBREOFERTA",IF(AND(AC291="A", VLOOKUP(AF291,[1]Diccionario!B:N,13,0)="A"), "OK",IF(
AND(AC291="A", OR(VLOOKUP(AF291,[1]Diccionario!B:N,13,0)="B", VLOOKUP(AF291,[1]Diccionario!B:N,13,0)="C")), "SOBREOFERTA",""
))))))),"")</f>
        <v/>
      </c>
      <c r="AF291" s="48"/>
      <c r="AG291" s="53"/>
      <c r="AH291" s="54"/>
      <c r="AI291" s="55" t="str">
        <f t="shared" si="77"/>
        <v/>
      </c>
      <c r="AJ291" s="46"/>
      <c r="AK291" s="34" t="e">
        <f>IF(AB291&lt;&gt;"",HLOOKUP(VALUE(TEXT(AH291,"h:mm:ss")),IF($C$6="Laboral",[1]Input!$A$4:$Y$227,IF($C$6="Sábado",[1]Input!$A$231:$Y$452,[1]Input!$A$456:$Y$656)),VLOOKUP($C$4,[1]Input!$AG$2:$AI$99,3,0)+IF(AD$5="Ida",0,1),1),"")</f>
        <v>#N/A</v>
      </c>
      <c r="AL291" s="34" t="str">
        <f>IF(AB292&lt;&gt;AB291,AVERAGEIF(AB$9:AB291,AB291,AK$9:AK291),"")</f>
        <v/>
      </c>
      <c r="AM291" s="35" t="str">
        <f>IFERROR(IF(AB292&lt;&gt;AB291,AVERAGEIF(AB$9:AB291,AB291,AT$9:AT291),""),"")</f>
        <v/>
      </c>
      <c r="AN291" s="35" t="str">
        <f>IFERROR(IF(AB292&lt;&gt;AB291,AVERAGEIF(AB$9:AB291,AB291,AU$9:AU291),""),"")</f>
        <v/>
      </c>
      <c r="AO291" s="35" t="str" cm="1">
        <f t="array" ref="AO291">IFERROR(IF(AB292&lt;&gt;AB291,_xlfn.STDEV.P(IF(AB$9:AB291=AB291,AU$9:AU291)),""),"")</f>
        <v/>
      </c>
      <c r="AP291" s="35" t="str" cm="1">
        <f t="array" ref="AP291">IFERROR(IF(AB292&lt;&gt;AB291,_xlfn.STDEV.P(IF(AB$9:AB291=AB291,AT$9:AT291)),""),"")</f>
        <v/>
      </c>
      <c r="AQ291" s="36" t="str">
        <f t="shared" si="68"/>
        <v/>
      </c>
      <c r="AR291" s="36" t="str">
        <f t="shared" si="69"/>
        <v/>
      </c>
      <c r="AS291" s="36" t="str">
        <f t="shared" si="78"/>
        <v/>
      </c>
      <c r="AT291" s="37" t="str">
        <f t="shared" si="70"/>
        <v/>
      </c>
      <c r="AU291" s="37" t="str">
        <f t="shared" si="71"/>
        <v/>
      </c>
      <c r="AV291" s="54"/>
      <c r="AW291" s="46"/>
      <c r="AX291" s="39" t="str" cm="1">
        <f t="array" ref="AX291">IF(AH291&lt;&gt;"",IF(AND(AX289:AX290&lt;&gt;"IE",AQ291&lt;&gt;0,AS291&lt;&gt;""),IF(IFERROR((AQ291/AS291),0) &lt;=1,IFERROR(AQ291/AS291,""),1),""),"")</f>
        <v/>
      </c>
      <c r="AY291" s="46"/>
      <c r="AZ291" s="57"/>
    </row>
    <row r="292" spans="1:52" ht="15.5" x14ac:dyDescent="0.35">
      <c r="A292" s="51">
        <f t="shared" si="79"/>
        <v>1</v>
      </c>
      <c r="B292" s="52"/>
      <c r="C292" s="52"/>
      <c r="D292" s="29" t="str">
        <f>IFERROR(
IF(AND(OR(Planilla!B292="C",Planilla!B292="c"), VLOOKUP(E292,[1]Diccionario!B:N,13,0)="C"), "OK",IF(AND(OR(Planilla!B292="C",Planilla!B292="c"), OR(VLOOKUP(E292,[1]Diccionario!B:N,13,0)="B", VLOOKUP(E292,[1]Diccionario!B:N,13,0)="A")), "DEFICIT",IF(
AND(OR(Planilla!B292="B", Planilla!B292="BPAL"), VLOOKUP(E292,[1]Diccionario!B:N,13,0)="B"), "OK",IF(AND(OR(Planilla!B292="B", Planilla!B292="BPAL"), VLOOKUP(E292,[1]Diccionario!B:N,13,0)="A"), "DEFICIT",IF(AND(OR(Planilla!B292="B", Planilla!B292="BPAL"), VLOOKUP(E292,[1]Diccionario!B:N,13,0)="C"), "SOBREOFERTA",IF(AND(Planilla!B292="A", VLOOKUP(E292,[1]Diccionario!B:N,13,0)="A"), "OK",IF(
AND(Planilla!B292="A", OR(VLOOKUP(E292,[1]Diccionario!B:N,13,0)="B", VLOOKUP(E292,[1]Diccionario!B:N,13,0)="C")), "SOBREOFERTA",""
))))))),"")</f>
        <v/>
      </c>
      <c r="E292" s="48"/>
      <c r="F292" s="53"/>
      <c r="G292" s="54"/>
      <c r="H292" s="55" t="str">
        <f t="shared" si="72"/>
        <v/>
      </c>
      <c r="I292" s="35"/>
      <c r="J292" s="34" t="e">
        <f>IF(A292&lt;&gt;"",HLOOKUP(VALUE(TEXT(G292,"h:mm:ss")),IF($C$6="Laboral",[1]Input!$A$4:$Y$227,IF($C$6="Sábado",[1]Input!$A$231:$Y$452,[1]Input!$A$456:$Y$656)),VLOOKUP($C$4,[1]Input!$AG$2:$AI$99,3,0)+IF(C$5="Ida",0,1),1),"")</f>
        <v>#N/A</v>
      </c>
      <c r="K292" s="34" t="str">
        <f>IF(A293&lt;&gt;A292,AVERAGEIF(A$9:A292,A292,J$13:J292),"")</f>
        <v/>
      </c>
      <c r="L292" s="35" t="str">
        <f>IFERROR(IF(A293&lt;&gt;A292,AVERAGEIF(A$9:A292,A292,S$13:S292),""),"")</f>
        <v/>
      </c>
      <c r="M292" s="35" t="str">
        <f>IFERROR(IF(A293&lt;&gt;A292,AVERAGEIF(A$9:A292,A292,T$8:T292),""),"")</f>
        <v/>
      </c>
      <c r="N292" s="35" t="str" cm="1">
        <f t="array" ref="N292">IFERROR(IF(A293&lt;&gt;A292,_xlfn.STDEV.P(IF(A$9:A292=A292,T$7:T292)),""),"")</f>
        <v/>
      </c>
      <c r="O292" s="35" t="str" cm="1">
        <f t="array" ref="O292">IFERROR(IF(A293&lt;&gt;A292,_xlfn.STDEV.P(IF(A$9:A292=A292,S$7:S292)),""),"")</f>
        <v/>
      </c>
      <c r="P292" s="36" t="str">
        <f t="shared" si="65"/>
        <v/>
      </c>
      <c r="Q292" s="36" t="str">
        <f t="shared" si="66"/>
        <v/>
      </c>
      <c r="R292" s="36" t="str">
        <f t="shared" si="73"/>
        <v/>
      </c>
      <c r="S292" s="37" t="str">
        <f t="shared" si="74"/>
        <v/>
      </c>
      <c r="T292" s="37" t="str">
        <f t="shared" si="67"/>
        <v/>
      </c>
      <c r="U292" s="54"/>
      <c r="V292" s="46"/>
      <c r="W292" s="39" t="str">
        <f t="shared" si="75"/>
        <v/>
      </c>
      <c r="X292" s="38"/>
      <c r="Y292" s="48"/>
      <c r="AB292" s="56">
        <f t="shared" si="76"/>
        <v>1</v>
      </c>
      <c r="AC292" s="52"/>
      <c r="AD292" s="52"/>
      <c r="AE292" s="29" t="str">
        <f>IFERROR(
IF(AND(OR(AC292="C",AC292="c"), VLOOKUP(AF292,[1]Diccionario!B:N,13,0)="C"), "OK",IF(AND(OR(AC292="C",AC292="c"), OR(VLOOKUP(AF292,[1]Diccionario!B:N,13,0)="B", VLOOKUP(AF292,[1]Diccionario!B:N,13,0)="A")), "DEFICIT",IF(
AND(OR(AC292="B", AC292="BPAL"), VLOOKUP(AF292,[1]Diccionario!B:N,13,0)="B"), "OK",IF(AND(OR(AC292="B", AC292="BPAL"), VLOOKUP(AF292,[1]Diccionario!B:N,13,0)="A"), "DEFICIT",IF(AND(OR(AC292="B", AC292="BPAL"), VLOOKUP(AF292,[1]Diccionario!B:N,13,0)="C"), "SOBREOFERTA",IF(AND(AC292="A", VLOOKUP(AF292,[1]Diccionario!B:N,13,0)="A"), "OK",IF(
AND(AC292="A", OR(VLOOKUP(AF292,[1]Diccionario!B:N,13,0)="B", VLOOKUP(AF292,[1]Diccionario!B:N,13,0)="C")), "SOBREOFERTA",""
))))))),"")</f>
        <v/>
      </c>
      <c r="AF292" s="48"/>
      <c r="AG292" s="53"/>
      <c r="AH292" s="54"/>
      <c r="AI292" s="55" t="str">
        <f t="shared" si="77"/>
        <v/>
      </c>
      <c r="AJ292" s="46"/>
      <c r="AK292" s="34" t="e">
        <f>IF(AB292&lt;&gt;"",HLOOKUP(VALUE(TEXT(AH292,"h:mm:ss")),IF($C$6="Laboral",[1]Input!$A$4:$Y$227,IF($C$6="Sábado",[1]Input!$A$231:$Y$452,[1]Input!$A$456:$Y$656)),VLOOKUP($C$4,[1]Input!$AG$2:$AI$99,3,0)+IF(AD$5="Ida",0,1),1),"")</f>
        <v>#N/A</v>
      </c>
      <c r="AL292" s="34" t="str">
        <f>IF(AB293&lt;&gt;AB292,AVERAGEIF(AB$9:AB292,AB292,AK$9:AK292),"")</f>
        <v/>
      </c>
      <c r="AM292" s="35" t="str">
        <f>IFERROR(IF(AB293&lt;&gt;AB292,AVERAGEIF(AB$9:AB292,AB292,AT$9:AT292),""),"")</f>
        <v/>
      </c>
      <c r="AN292" s="35" t="str">
        <f>IFERROR(IF(AB293&lt;&gt;AB292,AVERAGEIF(AB$9:AB292,AB292,AU$9:AU292),""),"")</f>
        <v/>
      </c>
      <c r="AO292" s="35" t="str" cm="1">
        <f t="array" ref="AO292">IFERROR(IF(AB293&lt;&gt;AB292,_xlfn.STDEV.P(IF(AB$9:AB292=AB292,AU$9:AU292)),""),"")</f>
        <v/>
      </c>
      <c r="AP292" s="35" t="str" cm="1">
        <f t="array" ref="AP292">IFERROR(IF(AB293&lt;&gt;AB292,_xlfn.STDEV.P(IF(AB$9:AB292=AB292,AT$9:AT292)),""),"")</f>
        <v/>
      </c>
      <c r="AQ292" s="36" t="str">
        <f t="shared" si="68"/>
        <v/>
      </c>
      <c r="AR292" s="36" t="str">
        <f t="shared" si="69"/>
        <v/>
      </c>
      <c r="AS292" s="36" t="str">
        <f t="shared" si="78"/>
        <v/>
      </c>
      <c r="AT292" s="37" t="str">
        <f t="shared" si="70"/>
        <v/>
      </c>
      <c r="AU292" s="37" t="str">
        <f t="shared" si="71"/>
        <v/>
      </c>
      <c r="AV292" s="54"/>
      <c r="AW292" s="46"/>
      <c r="AX292" s="39" t="str" cm="1">
        <f t="array" ref="AX292">IF(AH292&lt;&gt;"",IF(AND(AX290:AX291&lt;&gt;"IE",AQ292&lt;&gt;0,AS292&lt;&gt;""),IF(IFERROR((AQ292/AS292),0) &lt;=1,IFERROR(AQ292/AS292,""),1),""),"")</f>
        <v/>
      </c>
      <c r="AY292" s="46"/>
      <c r="AZ292" s="57"/>
    </row>
    <row r="293" spans="1:52" ht="15.5" x14ac:dyDescent="0.35">
      <c r="A293" s="51">
        <f t="shared" si="79"/>
        <v>1</v>
      </c>
      <c r="B293" s="52"/>
      <c r="C293" s="52"/>
      <c r="D293" s="29" t="str">
        <f>IFERROR(
IF(AND(OR(Planilla!B293="C",Planilla!B293="c"), VLOOKUP(E293,[1]Diccionario!B:N,13,0)="C"), "OK",IF(AND(OR(Planilla!B293="C",Planilla!B293="c"), OR(VLOOKUP(E293,[1]Diccionario!B:N,13,0)="B", VLOOKUP(E293,[1]Diccionario!B:N,13,0)="A")), "DEFICIT",IF(
AND(OR(Planilla!B293="B", Planilla!B293="BPAL"), VLOOKUP(E293,[1]Diccionario!B:N,13,0)="B"), "OK",IF(AND(OR(Planilla!B293="B", Planilla!B293="BPAL"), VLOOKUP(E293,[1]Diccionario!B:N,13,0)="A"), "DEFICIT",IF(AND(OR(Planilla!B293="B", Planilla!B293="BPAL"), VLOOKUP(E293,[1]Diccionario!B:N,13,0)="C"), "SOBREOFERTA",IF(AND(Planilla!B293="A", VLOOKUP(E293,[1]Diccionario!B:N,13,0)="A"), "OK",IF(
AND(Planilla!B293="A", OR(VLOOKUP(E293,[1]Diccionario!B:N,13,0)="B", VLOOKUP(E293,[1]Diccionario!B:N,13,0)="C")), "SOBREOFERTA",""
))))))),"")</f>
        <v/>
      </c>
      <c r="E293" s="48"/>
      <c r="F293" s="53"/>
      <c r="G293" s="54"/>
      <c r="H293" s="55" t="str">
        <f t="shared" si="72"/>
        <v/>
      </c>
      <c r="I293" s="35"/>
      <c r="J293" s="34" t="e">
        <f>IF(A293&lt;&gt;"",HLOOKUP(VALUE(TEXT(G293,"h:mm:ss")),IF($C$6="Laboral",[1]Input!$A$4:$Y$227,IF($C$6="Sábado",[1]Input!$A$231:$Y$452,[1]Input!$A$456:$Y$656)),VLOOKUP($C$4,[1]Input!$AG$2:$AI$99,3,0)+IF(C$5="Ida",0,1),1),"")</f>
        <v>#N/A</v>
      </c>
      <c r="K293" s="34" t="str">
        <f>IF(A294&lt;&gt;A293,AVERAGEIF(A$9:A293,A293,J$13:J293),"")</f>
        <v/>
      </c>
      <c r="L293" s="35" t="str">
        <f>IFERROR(IF(A294&lt;&gt;A293,AVERAGEIF(A$9:A293,A293,S$13:S293),""),"")</f>
        <v/>
      </c>
      <c r="M293" s="35" t="str">
        <f>IFERROR(IF(A294&lt;&gt;A293,AVERAGEIF(A$9:A293,A293,T$8:T293),""),"")</f>
        <v/>
      </c>
      <c r="N293" s="35" t="str" cm="1">
        <f t="array" ref="N293">IFERROR(IF(A294&lt;&gt;A293,_xlfn.STDEV.P(IF(A$9:A293=A293,T$7:T293)),""),"")</f>
        <v/>
      </c>
      <c r="O293" s="35" t="str" cm="1">
        <f t="array" ref="O293">IFERROR(IF(A294&lt;&gt;A293,_xlfn.STDEV.P(IF(A$9:A293=A293,S$7:S293)),""),"")</f>
        <v/>
      </c>
      <c r="P293" s="36" t="str">
        <f t="shared" si="65"/>
        <v/>
      </c>
      <c r="Q293" s="36" t="str">
        <f t="shared" si="66"/>
        <v/>
      </c>
      <c r="R293" s="36" t="str">
        <f t="shared" si="73"/>
        <v/>
      </c>
      <c r="S293" s="37" t="str">
        <f t="shared" si="74"/>
        <v/>
      </c>
      <c r="T293" s="37" t="str">
        <f t="shared" si="67"/>
        <v/>
      </c>
      <c r="U293" s="54"/>
      <c r="V293" s="46"/>
      <c r="W293" s="39" t="str">
        <f t="shared" si="75"/>
        <v/>
      </c>
      <c r="X293" s="38"/>
      <c r="Y293" s="48"/>
      <c r="AB293" s="56">
        <f t="shared" si="76"/>
        <v>1</v>
      </c>
      <c r="AC293" s="52"/>
      <c r="AD293" s="52"/>
      <c r="AE293" s="29" t="str">
        <f>IFERROR(
IF(AND(OR(AC293="C",AC293="c"), VLOOKUP(AF293,[1]Diccionario!B:N,13,0)="C"), "OK",IF(AND(OR(AC293="C",AC293="c"), OR(VLOOKUP(AF293,[1]Diccionario!B:N,13,0)="B", VLOOKUP(AF293,[1]Diccionario!B:N,13,0)="A")), "DEFICIT",IF(
AND(OR(AC293="B", AC293="BPAL"), VLOOKUP(AF293,[1]Diccionario!B:N,13,0)="B"), "OK",IF(AND(OR(AC293="B", AC293="BPAL"), VLOOKUP(AF293,[1]Diccionario!B:N,13,0)="A"), "DEFICIT",IF(AND(OR(AC293="B", AC293="BPAL"), VLOOKUP(AF293,[1]Diccionario!B:N,13,0)="C"), "SOBREOFERTA",IF(AND(AC293="A", VLOOKUP(AF293,[1]Diccionario!B:N,13,0)="A"), "OK",IF(
AND(AC293="A", OR(VLOOKUP(AF293,[1]Diccionario!B:N,13,0)="B", VLOOKUP(AF293,[1]Diccionario!B:N,13,0)="C")), "SOBREOFERTA",""
))))))),"")</f>
        <v/>
      </c>
      <c r="AF293" s="48"/>
      <c r="AG293" s="53"/>
      <c r="AH293" s="54"/>
      <c r="AI293" s="55" t="str">
        <f t="shared" si="77"/>
        <v/>
      </c>
      <c r="AJ293" s="46"/>
      <c r="AK293" s="34" t="e">
        <f>IF(AB293&lt;&gt;"",HLOOKUP(VALUE(TEXT(AH293,"h:mm:ss")),IF($C$6="Laboral",[1]Input!$A$4:$Y$227,IF($C$6="Sábado",[1]Input!$A$231:$Y$452,[1]Input!$A$456:$Y$656)),VLOOKUP($C$4,[1]Input!$AG$2:$AI$99,3,0)+IF(AD$5="Ida",0,1),1),"")</f>
        <v>#N/A</v>
      </c>
      <c r="AL293" s="34" t="str">
        <f>IF(AB294&lt;&gt;AB293,AVERAGEIF(AB$9:AB293,AB293,AK$9:AK293),"")</f>
        <v/>
      </c>
      <c r="AM293" s="35" t="str">
        <f>IFERROR(IF(AB294&lt;&gt;AB293,AVERAGEIF(AB$9:AB293,AB293,AT$9:AT293),""),"")</f>
        <v/>
      </c>
      <c r="AN293" s="35" t="str">
        <f>IFERROR(IF(AB294&lt;&gt;AB293,AVERAGEIF(AB$9:AB293,AB293,AU$9:AU293),""),"")</f>
        <v/>
      </c>
      <c r="AO293" s="35" t="str" cm="1">
        <f t="array" ref="AO293">IFERROR(IF(AB294&lt;&gt;AB293,_xlfn.STDEV.P(IF(AB$9:AB293=AB293,AU$9:AU293)),""),"")</f>
        <v/>
      </c>
      <c r="AP293" s="35" t="str" cm="1">
        <f t="array" ref="AP293">IFERROR(IF(AB294&lt;&gt;AB293,_xlfn.STDEV.P(IF(AB$9:AB293=AB293,AT$9:AT293)),""),"")</f>
        <v/>
      </c>
      <c r="AQ293" s="36" t="str">
        <f t="shared" si="68"/>
        <v/>
      </c>
      <c r="AR293" s="36" t="str">
        <f t="shared" si="69"/>
        <v/>
      </c>
      <c r="AS293" s="36" t="str">
        <f t="shared" si="78"/>
        <v/>
      </c>
      <c r="AT293" s="37" t="str">
        <f t="shared" si="70"/>
        <v/>
      </c>
      <c r="AU293" s="37" t="str">
        <f t="shared" si="71"/>
        <v/>
      </c>
      <c r="AV293" s="54"/>
      <c r="AW293" s="46"/>
      <c r="AX293" s="39" t="str" cm="1">
        <f t="array" ref="AX293">IF(AH293&lt;&gt;"",IF(AND(AX291:AX292&lt;&gt;"IE",AQ293&lt;&gt;0,AS293&lt;&gt;""),IF(IFERROR((AQ293/AS293),0) &lt;=1,IFERROR(AQ293/AS293,""),1),""),"")</f>
        <v/>
      </c>
      <c r="AY293" s="46"/>
      <c r="AZ293" s="57"/>
    </row>
    <row r="294" spans="1:52" ht="15.5" x14ac:dyDescent="0.35">
      <c r="A294" s="51">
        <f t="shared" si="79"/>
        <v>1</v>
      </c>
      <c r="B294" s="52"/>
      <c r="C294" s="52"/>
      <c r="D294" s="29" t="str">
        <f>IFERROR(
IF(AND(OR(Planilla!B294="C",Planilla!B294="c"), VLOOKUP(E294,[1]Diccionario!B:N,13,0)="C"), "OK",IF(AND(OR(Planilla!B294="C",Planilla!B294="c"), OR(VLOOKUP(E294,[1]Diccionario!B:N,13,0)="B", VLOOKUP(E294,[1]Diccionario!B:N,13,0)="A")), "DEFICIT",IF(
AND(OR(Planilla!B294="B", Planilla!B294="BPAL"), VLOOKUP(E294,[1]Diccionario!B:N,13,0)="B"), "OK",IF(AND(OR(Planilla!B294="B", Planilla!B294="BPAL"), VLOOKUP(E294,[1]Diccionario!B:N,13,0)="A"), "DEFICIT",IF(AND(OR(Planilla!B294="B", Planilla!B294="BPAL"), VLOOKUP(E294,[1]Diccionario!B:N,13,0)="C"), "SOBREOFERTA",IF(AND(Planilla!B294="A", VLOOKUP(E294,[1]Diccionario!B:N,13,0)="A"), "OK",IF(
AND(Planilla!B294="A", OR(VLOOKUP(E294,[1]Diccionario!B:N,13,0)="B", VLOOKUP(E294,[1]Diccionario!B:N,13,0)="C")), "SOBREOFERTA",""
))))))),"")</f>
        <v/>
      </c>
      <c r="E294" s="48"/>
      <c r="F294" s="53"/>
      <c r="G294" s="54"/>
      <c r="H294" s="55" t="str">
        <f t="shared" si="72"/>
        <v/>
      </c>
      <c r="I294" s="35"/>
      <c r="J294" s="34" t="e">
        <f>IF(A294&lt;&gt;"",HLOOKUP(VALUE(TEXT(G294,"h:mm:ss")),IF($C$6="Laboral",[1]Input!$A$4:$Y$227,IF($C$6="Sábado",[1]Input!$A$231:$Y$452,[1]Input!$A$456:$Y$656)),VLOOKUP($C$4,[1]Input!$AG$2:$AI$99,3,0)+IF(C$5="Ida",0,1),1),"")</f>
        <v>#N/A</v>
      </c>
      <c r="K294" s="34" t="str">
        <f>IF(A295&lt;&gt;A294,AVERAGEIF(A$9:A294,A294,J$13:J294),"")</f>
        <v/>
      </c>
      <c r="L294" s="35" t="str">
        <f>IFERROR(IF(A295&lt;&gt;A294,AVERAGEIF(A$9:A294,A294,S$13:S294),""),"")</f>
        <v/>
      </c>
      <c r="M294" s="35" t="str">
        <f>IFERROR(IF(A295&lt;&gt;A294,AVERAGEIF(A$9:A294,A294,T$8:T294),""),"")</f>
        <v/>
      </c>
      <c r="N294" s="35" t="str" cm="1">
        <f t="array" ref="N294">IFERROR(IF(A295&lt;&gt;A294,_xlfn.STDEV.P(IF(A$9:A294=A294,T$7:T294)),""),"")</f>
        <v/>
      </c>
      <c r="O294" s="35" t="str" cm="1">
        <f t="array" ref="O294">IFERROR(IF(A295&lt;&gt;A294,_xlfn.STDEV.P(IF(A$9:A294=A294,S$7:S294)),""),"")</f>
        <v/>
      </c>
      <c r="P294" s="36" t="str">
        <f t="shared" si="65"/>
        <v/>
      </c>
      <c r="Q294" s="36" t="str">
        <f t="shared" si="66"/>
        <v/>
      </c>
      <c r="R294" s="36" t="str">
        <f t="shared" si="73"/>
        <v/>
      </c>
      <c r="S294" s="37" t="str">
        <f t="shared" si="74"/>
        <v/>
      </c>
      <c r="T294" s="37" t="str">
        <f t="shared" si="67"/>
        <v/>
      </c>
      <c r="U294" s="54"/>
      <c r="V294" s="46"/>
      <c r="W294" s="39" t="str">
        <f t="shared" si="75"/>
        <v/>
      </c>
      <c r="X294" s="38"/>
      <c r="Y294" s="48"/>
      <c r="AB294" s="56">
        <f t="shared" si="76"/>
        <v>1</v>
      </c>
      <c r="AC294" s="52"/>
      <c r="AD294" s="52"/>
      <c r="AE294" s="29" t="str">
        <f>IFERROR(
IF(AND(OR(AC294="C",AC294="c"), VLOOKUP(AF294,[1]Diccionario!B:N,13,0)="C"), "OK",IF(AND(OR(AC294="C",AC294="c"), OR(VLOOKUP(AF294,[1]Diccionario!B:N,13,0)="B", VLOOKUP(AF294,[1]Diccionario!B:N,13,0)="A")), "DEFICIT",IF(
AND(OR(AC294="B", AC294="BPAL"), VLOOKUP(AF294,[1]Diccionario!B:N,13,0)="B"), "OK",IF(AND(OR(AC294="B", AC294="BPAL"), VLOOKUP(AF294,[1]Diccionario!B:N,13,0)="A"), "DEFICIT",IF(AND(OR(AC294="B", AC294="BPAL"), VLOOKUP(AF294,[1]Diccionario!B:N,13,0)="C"), "SOBREOFERTA",IF(AND(AC294="A", VLOOKUP(AF294,[1]Diccionario!B:N,13,0)="A"), "OK",IF(
AND(AC294="A", OR(VLOOKUP(AF294,[1]Diccionario!B:N,13,0)="B", VLOOKUP(AF294,[1]Diccionario!B:N,13,0)="C")), "SOBREOFERTA",""
))))))),"")</f>
        <v/>
      </c>
      <c r="AF294" s="48"/>
      <c r="AG294" s="53"/>
      <c r="AH294" s="54"/>
      <c r="AI294" s="55" t="str">
        <f t="shared" si="77"/>
        <v/>
      </c>
      <c r="AJ294" s="46"/>
      <c r="AK294" s="34" t="e">
        <f>IF(AB294&lt;&gt;"",HLOOKUP(VALUE(TEXT(AH294,"h:mm:ss")),IF($C$6="Laboral",[1]Input!$A$4:$Y$227,IF($C$6="Sábado",[1]Input!$A$231:$Y$452,[1]Input!$A$456:$Y$656)),VLOOKUP($C$4,[1]Input!$AG$2:$AI$99,3,0)+IF(AD$5="Ida",0,1),1),"")</f>
        <v>#N/A</v>
      </c>
      <c r="AL294" s="34" t="str">
        <f>IF(AB295&lt;&gt;AB294,AVERAGEIF(AB$9:AB294,AB294,AK$9:AK294),"")</f>
        <v/>
      </c>
      <c r="AM294" s="35" t="str">
        <f>IFERROR(IF(AB295&lt;&gt;AB294,AVERAGEIF(AB$9:AB294,AB294,AT$9:AT294),""),"")</f>
        <v/>
      </c>
      <c r="AN294" s="35" t="str">
        <f>IFERROR(IF(AB295&lt;&gt;AB294,AVERAGEIF(AB$9:AB294,AB294,AU$9:AU294),""),"")</f>
        <v/>
      </c>
      <c r="AO294" s="35" t="str" cm="1">
        <f t="array" ref="AO294">IFERROR(IF(AB295&lt;&gt;AB294,_xlfn.STDEV.P(IF(AB$9:AB294=AB294,AU$9:AU294)),""),"")</f>
        <v/>
      </c>
      <c r="AP294" s="35" t="str" cm="1">
        <f t="array" ref="AP294">IFERROR(IF(AB295&lt;&gt;AB294,_xlfn.STDEV.P(IF(AB$9:AB294=AB294,AT$9:AT294)),""),"")</f>
        <v/>
      </c>
      <c r="AQ294" s="36" t="str">
        <f t="shared" si="68"/>
        <v/>
      </c>
      <c r="AR294" s="36" t="str">
        <f t="shared" si="69"/>
        <v/>
      </c>
      <c r="AS294" s="36" t="str">
        <f t="shared" si="78"/>
        <v/>
      </c>
      <c r="AT294" s="37" t="str">
        <f t="shared" si="70"/>
        <v/>
      </c>
      <c r="AU294" s="37" t="str">
        <f t="shared" si="71"/>
        <v/>
      </c>
      <c r="AV294" s="54"/>
      <c r="AW294" s="46"/>
      <c r="AX294" s="39" t="str" cm="1">
        <f t="array" ref="AX294">IF(AH294&lt;&gt;"",IF(AND(AX292:AX293&lt;&gt;"IE",AQ294&lt;&gt;0,AS294&lt;&gt;""),IF(IFERROR((AQ294/AS294),0) &lt;=1,IFERROR(AQ294/AS294,""),1),""),"")</f>
        <v/>
      </c>
      <c r="AY294" s="46"/>
      <c r="AZ294" s="57"/>
    </row>
    <row r="295" spans="1:52" ht="15.5" x14ac:dyDescent="0.35">
      <c r="A295" s="51">
        <f t="shared" si="79"/>
        <v>1</v>
      </c>
      <c r="B295" s="52"/>
      <c r="C295" s="52"/>
      <c r="D295" s="29" t="str">
        <f>IFERROR(
IF(AND(OR(Planilla!B295="C",Planilla!B295="c"), VLOOKUP(E295,[1]Diccionario!B:N,13,0)="C"), "OK",IF(AND(OR(Planilla!B295="C",Planilla!B295="c"), OR(VLOOKUP(E295,[1]Diccionario!B:N,13,0)="B", VLOOKUP(E295,[1]Diccionario!B:N,13,0)="A")), "DEFICIT",IF(
AND(OR(Planilla!B295="B", Planilla!B295="BPAL"), VLOOKUP(E295,[1]Diccionario!B:N,13,0)="B"), "OK",IF(AND(OR(Planilla!B295="B", Planilla!B295="BPAL"), VLOOKUP(E295,[1]Diccionario!B:N,13,0)="A"), "DEFICIT",IF(AND(OR(Planilla!B295="B", Planilla!B295="BPAL"), VLOOKUP(E295,[1]Diccionario!B:N,13,0)="C"), "SOBREOFERTA",IF(AND(Planilla!B295="A", VLOOKUP(E295,[1]Diccionario!B:N,13,0)="A"), "OK",IF(
AND(Planilla!B295="A", OR(VLOOKUP(E295,[1]Diccionario!B:N,13,0)="B", VLOOKUP(E295,[1]Diccionario!B:N,13,0)="C")), "SOBREOFERTA",""
))))))),"")</f>
        <v/>
      </c>
      <c r="E295" s="48"/>
      <c r="F295" s="53"/>
      <c r="G295" s="54"/>
      <c r="H295" s="55" t="str">
        <f t="shared" si="72"/>
        <v/>
      </c>
      <c r="I295" s="35"/>
      <c r="J295" s="34" t="e">
        <f>IF(A295&lt;&gt;"",HLOOKUP(VALUE(TEXT(G295,"h:mm:ss")),IF($C$6="Laboral",[1]Input!$A$4:$Y$227,IF($C$6="Sábado",[1]Input!$A$231:$Y$452,[1]Input!$A$456:$Y$656)),VLOOKUP($C$4,[1]Input!$AG$2:$AI$99,3,0)+IF(C$5="Ida",0,1),1),"")</f>
        <v>#N/A</v>
      </c>
      <c r="K295" s="34" t="str">
        <f>IF(A296&lt;&gt;A295,AVERAGEIF(A$9:A295,A295,J$13:J295),"")</f>
        <v/>
      </c>
      <c r="L295" s="35" t="str">
        <f>IFERROR(IF(A296&lt;&gt;A295,AVERAGEIF(A$9:A295,A295,S$13:S295),""),"")</f>
        <v/>
      </c>
      <c r="M295" s="35" t="str">
        <f>IFERROR(IF(A296&lt;&gt;A295,AVERAGEIF(A$9:A295,A295,T$8:T295),""),"")</f>
        <v/>
      </c>
      <c r="N295" s="35" t="str" cm="1">
        <f t="array" ref="N295">IFERROR(IF(A296&lt;&gt;A295,_xlfn.STDEV.P(IF(A$9:A295=A295,T$7:T295)),""),"")</f>
        <v/>
      </c>
      <c r="O295" s="35" t="str" cm="1">
        <f t="array" ref="O295">IFERROR(IF(A296&lt;&gt;A295,_xlfn.STDEV.P(IF(A$9:A295=A295,S$7:S295)),""),"")</f>
        <v/>
      </c>
      <c r="P295" s="36" t="str">
        <f t="shared" si="65"/>
        <v/>
      </c>
      <c r="Q295" s="36" t="str">
        <f t="shared" si="66"/>
        <v/>
      </c>
      <c r="R295" s="36" t="str">
        <f t="shared" si="73"/>
        <v/>
      </c>
      <c r="S295" s="37" t="str">
        <f t="shared" si="74"/>
        <v/>
      </c>
      <c r="T295" s="37" t="str">
        <f t="shared" si="67"/>
        <v/>
      </c>
      <c r="U295" s="54"/>
      <c r="V295" s="46"/>
      <c r="W295" s="39" t="str">
        <f t="shared" si="75"/>
        <v/>
      </c>
      <c r="X295" s="38"/>
      <c r="Y295" s="48"/>
      <c r="AB295" s="56">
        <f t="shared" si="76"/>
        <v>1</v>
      </c>
      <c r="AC295" s="52"/>
      <c r="AD295" s="52"/>
      <c r="AE295" s="29" t="str">
        <f>IFERROR(
IF(AND(OR(AC295="C",AC295="c"), VLOOKUP(AF295,[1]Diccionario!B:N,13,0)="C"), "OK",IF(AND(OR(AC295="C",AC295="c"), OR(VLOOKUP(AF295,[1]Diccionario!B:N,13,0)="B", VLOOKUP(AF295,[1]Diccionario!B:N,13,0)="A")), "DEFICIT",IF(
AND(OR(AC295="B", AC295="BPAL"), VLOOKUP(AF295,[1]Diccionario!B:N,13,0)="B"), "OK",IF(AND(OR(AC295="B", AC295="BPAL"), VLOOKUP(AF295,[1]Diccionario!B:N,13,0)="A"), "DEFICIT",IF(AND(OR(AC295="B", AC295="BPAL"), VLOOKUP(AF295,[1]Diccionario!B:N,13,0)="C"), "SOBREOFERTA",IF(AND(AC295="A", VLOOKUP(AF295,[1]Diccionario!B:N,13,0)="A"), "OK",IF(
AND(AC295="A", OR(VLOOKUP(AF295,[1]Diccionario!B:N,13,0)="B", VLOOKUP(AF295,[1]Diccionario!B:N,13,0)="C")), "SOBREOFERTA",""
))))))),"")</f>
        <v/>
      </c>
      <c r="AF295" s="48"/>
      <c r="AG295" s="53"/>
      <c r="AH295" s="54"/>
      <c r="AI295" s="55" t="str">
        <f t="shared" si="77"/>
        <v/>
      </c>
      <c r="AJ295" s="46"/>
      <c r="AK295" s="34" t="e">
        <f>IF(AB295&lt;&gt;"",HLOOKUP(VALUE(TEXT(AH295,"h:mm:ss")),IF($C$6="Laboral",[1]Input!$A$4:$Y$227,IF($C$6="Sábado",[1]Input!$A$231:$Y$452,[1]Input!$A$456:$Y$656)),VLOOKUP($C$4,[1]Input!$AG$2:$AI$99,3,0)+IF(AD$5="Ida",0,1),1),"")</f>
        <v>#N/A</v>
      </c>
      <c r="AL295" s="34" t="str">
        <f>IF(AB296&lt;&gt;AB295,AVERAGEIF(AB$9:AB295,AB295,AK$9:AK295),"")</f>
        <v/>
      </c>
      <c r="AM295" s="35" t="str">
        <f>IFERROR(IF(AB296&lt;&gt;AB295,AVERAGEIF(AB$9:AB295,AB295,AT$9:AT295),""),"")</f>
        <v/>
      </c>
      <c r="AN295" s="35" t="str">
        <f>IFERROR(IF(AB296&lt;&gt;AB295,AVERAGEIF(AB$9:AB295,AB295,AU$9:AU295),""),"")</f>
        <v/>
      </c>
      <c r="AO295" s="35" t="str" cm="1">
        <f t="array" ref="AO295">IFERROR(IF(AB296&lt;&gt;AB295,_xlfn.STDEV.P(IF(AB$9:AB295=AB295,AU$9:AU295)),""),"")</f>
        <v/>
      </c>
      <c r="AP295" s="35" t="str" cm="1">
        <f t="array" ref="AP295">IFERROR(IF(AB296&lt;&gt;AB295,_xlfn.STDEV.P(IF(AB$9:AB295=AB295,AT$9:AT295)),""),"")</f>
        <v/>
      </c>
      <c r="AQ295" s="36" t="str">
        <f t="shared" si="68"/>
        <v/>
      </c>
      <c r="AR295" s="36" t="str">
        <f t="shared" si="69"/>
        <v/>
      </c>
      <c r="AS295" s="36" t="str">
        <f t="shared" si="78"/>
        <v/>
      </c>
      <c r="AT295" s="37" t="str">
        <f t="shared" si="70"/>
        <v/>
      </c>
      <c r="AU295" s="37" t="str">
        <f t="shared" si="71"/>
        <v/>
      </c>
      <c r="AV295" s="54"/>
      <c r="AW295" s="46"/>
      <c r="AX295" s="39" t="str" cm="1">
        <f t="array" ref="AX295">IF(AH295&lt;&gt;"",IF(AND(AX293:AX294&lt;&gt;"IE",AQ295&lt;&gt;0,AS295&lt;&gt;""),IF(IFERROR((AQ295/AS295),0) &lt;=1,IFERROR(AQ295/AS295,""),1),""),"")</f>
        <v/>
      </c>
      <c r="AY295" s="46"/>
      <c r="AZ295" s="57"/>
    </row>
    <row r="296" spans="1:52" ht="15.5" x14ac:dyDescent="0.35">
      <c r="A296" s="51">
        <f t="shared" si="79"/>
        <v>1</v>
      </c>
      <c r="B296" s="52"/>
      <c r="C296" s="52"/>
      <c r="D296" s="29" t="str">
        <f>IFERROR(
IF(AND(OR(Planilla!B296="C",Planilla!B296="c"), VLOOKUP(E296,[1]Diccionario!B:N,13,0)="C"), "OK",IF(AND(OR(Planilla!B296="C",Planilla!B296="c"), OR(VLOOKUP(E296,[1]Diccionario!B:N,13,0)="B", VLOOKUP(E296,[1]Diccionario!B:N,13,0)="A")), "DEFICIT",IF(
AND(OR(Planilla!B296="B", Planilla!B296="BPAL"), VLOOKUP(E296,[1]Diccionario!B:N,13,0)="B"), "OK",IF(AND(OR(Planilla!B296="B", Planilla!B296="BPAL"), VLOOKUP(E296,[1]Diccionario!B:N,13,0)="A"), "DEFICIT",IF(AND(OR(Planilla!B296="B", Planilla!B296="BPAL"), VLOOKUP(E296,[1]Diccionario!B:N,13,0)="C"), "SOBREOFERTA",IF(AND(Planilla!B296="A", VLOOKUP(E296,[1]Diccionario!B:N,13,0)="A"), "OK",IF(
AND(Planilla!B296="A", OR(VLOOKUP(E296,[1]Diccionario!B:N,13,0)="B", VLOOKUP(E296,[1]Diccionario!B:N,13,0)="C")), "SOBREOFERTA",""
))))))),"")</f>
        <v/>
      </c>
      <c r="E296" s="48"/>
      <c r="F296" s="53"/>
      <c r="G296" s="54"/>
      <c r="H296" s="55" t="str">
        <f t="shared" si="72"/>
        <v/>
      </c>
      <c r="I296" s="35"/>
      <c r="J296" s="34" t="e">
        <f>IF(A296&lt;&gt;"",HLOOKUP(VALUE(TEXT(G296,"h:mm:ss")),IF($C$6="Laboral",[1]Input!$A$4:$Y$227,IF($C$6="Sábado",[1]Input!$A$231:$Y$452,[1]Input!$A$456:$Y$656)),VLOOKUP($C$4,[1]Input!$AG$2:$AI$99,3,0)+IF(C$5="Ida",0,1),1),"")</f>
        <v>#N/A</v>
      </c>
      <c r="K296" s="34" t="str">
        <f>IF(A297&lt;&gt;A296,AVERAGEIF(A$9:A296,A296,J$13:J296),"")</f>
        <v/>
      </c>
      <c r="L296" s="35" t="str">
        <f>IFERROR(IF(A297&lt;&gt;A296,AVERAGEIF(A$9:A296,A296,S$13:S296),""),"")</f>
        <v/>
      </c>
      <c r="M296" s="35" t="str">
        <f>IFERROR(IF(A297&lt;&gt;A296,AVERAGEIF(A$9:A296,A296,T$8:T296),""),"")</f>
        <v/>
      </c>
      <c r="N296" s="35" t="str" cm="1">
        <f t="array" ref="N296">IFERROR(IF(A297&lt;&gt;A296,_xlfn.STDEV.P(IF(A$9:A296=A296,T$7:T296)),""),"")</f>
        <v/>
      </c>
      <c r="O296" s="35" t="str" cm="1">
        <f t="array" ref="O296">IFERROR(IF(A297&lt;&gt;A296,_xlfn.STDEV.P(IF(A$9:A296=A296,S$7:S296)),""),"")</f>
        <v/>
      </c>
      <c r="P296" s="36" t="str">
        <f t="shared" si="65"/>
        <v/>
      </c>
      <c r="Q296" s="36" t="str">
        <f t="shared" si="66"/>
        <v/>
      </c>
      <c r="R296" s="36" t="str">
        <f t="shared" si="73"/>
        <v/>
      </c>
      <c r="S296" s="37" t="str">
        <f t="shared" si="74"/>
        <v/>
      </c>
      <c r="T296" s="37" t="str">
        <f t="shared" si="67"/>
        <v/>
      </c>
      <c r="U296" s="54"/>
      <c r="V296" s="46"/>
      <c r="W296" s="39" t="str">
        <f t="shared" si="75"/>
        <v/>
      </c>
      <c r="X296" s="38"/>
      <c r="Y296" s="48"/>
      <c r="AB296" s="56">
        <f t="shared" si="76"/>
        <v>1</v>
      </c>
      <c r="AC296" s="52"/>
      <c r="AD296" s="52"/>
      <c r="AE296" s="29" t="str">
        <f>IFERROR(
IF(AND(OR(AC296="C",AC296="c"), VLOOKUP(AF296,[1]Diccionario!B:N,13,0)="C"), "OK",IF(AND(OR(AC296="C",AC296="c"), OR(VLOOKUP(AF296,[1]Diccionario!B:N,13,0)="B", VLOOKUP(AF296,[1]Diccionario!B:N,13,0)="A")), "DEFICIT",IF(
AND(OR(AC296="B", AC296="BPAL"), VLOOKUP(AF296,[1]Diccionario!B:N,13,0)="B"), "OK",IF(AND(OR(AC296="B", AC296="BPAL"), VLOOKUP(AF296,[1]Diccionario!B:N,13,0)="A"), "DEFICIT",IF(AND(OR(AC296="B", AC296="BPAL"), VLOOKUP(AF296,[1]Diccionario!B:N,13,0)="C"), "SOBREOFERTA",IF(AND(AC296="A", VLOOKUP(AF296,[1]Diccionario!B:N,13,0)="A"), "OK",IF(
AND(AC296="A", OR(VLOOKUP(AF296,[1]Diccionario!B:N,13,0)="B", VLOOKUP(AF296,[1]Diccionario!B:N,13,0)="C")), "SOBREOFERTA",""
))))))),"")</f>
        <v/>
      </c>
      <c r="AF296" s="48"/>
      <c r="AG296" s="53"/>
      <c r="AH296" s="54"/>
      <c r="AI296" s="55" t="str">
        <f t="shared" si="77"/>
        <v/>
      </c>
      <c r="AJ296" s="46"/>
      <c r="AK296" s="34" t="e">
        <f>IF(AB296&lt;&gt;"",HLOOKUP(VALUE(TEXT(AH296,"h:mm:ss")),IF($C$6="Laboral",[1]Input!$A$4:$Y$227,IF($C$6="Sábado",[1]Input!$A$231:$Y$452,[1]Input!$A$456:$Y$656)),VLOOKUP($C$4,[1]Input!$AG$2:$AI$99,3,0)+IF(AD$5="Ida",0,1),1),"")</f>
        <v>#N/A</v>
      </c>
      <c r="AL296" s="34" t="str">
        <f>IF(AB297&lt;&gt;AB296,AVERAGEIF(AB$9:AB296,AB296,AK$9:AK296),"")</f>
        <v/>
      </c>
      <c r="AM296" s="35" t="str">
        <f>IFERROR(IF(AB297&lt;&gt;AB296,AVERAGEIF(AB$9:AB296,AB296,AT$9:AT296),""),"")</f>
        <v/>
      </c>
      <c r="AN296" s="35" t="str">
        <f>IFERROR(IF(AB297&lt;&gt;AB296,AVERAGEIF(AB$9:AB296,AB296,AU$9:AU296),""),"")</f>
        <v/>
      </c>
      <c r="AO296" s="35" t="str" cm="1">
        <f t="array" ref="AO296">IFERROR(IF(AB297&lt;&gt;AB296,_xlfn.STDEV.P(IF(AB$9:AB296=AB296,AU$9:AU296)),""),"")</f>
        <v/>
      </c>
      <c r="AP296" s="35" t="str" cm="1">
        <f t="array" ref="AP296">IFERROR(IF(AB297&lt;&gt;AB296,_xlfn.STDEV.P(IF(AB$9:AB296=AB296,AT$9:AT296)),""),"")</f>
        <v/>
      </c>
      <c r="AQ296" s="36" t="str">
        <f t="shared" si="68"/>
        <v/>
      </c>
      <c r="AR296" s="36" t="str">
        <f t="shared" si="69"/>
        <v/>
      </c>
      <c r="AS296" s="36" t="str">
        <f t="shared" si="78"/>
        <v/>
      </c>
      <c r="AT296" s="37" t="str">
        <f t="shared" si="70"/>
        <v/>
      </c>
      <c r="AU296" s="37" t="str">
        <f t="shared" si="71"/>
        <v/>
      </c>
      <c r="AV296" s="54"/>
      <c r="AW296" s="46"/>
      <c r="AX296" s="39" t="str" cm="1">
        <f t="array" ref="AX296">IF(AH296&lt;&gt;"",IF(AND(AX294:AX295&lt;&gt;"IE",AQ296&lt;&gt;0,AS296&lt;&gt;""),IF(IFERROR((AQ296/AS296),0) &lt;=1,IFERROR(AQ296/AS296,""),1),""),"")</f>
        <v/>
      </c>
      <c r="AY296" s="46"/>
      <c r="AZ296" s="57"/>
    </row>
    <row r="297" spans="1:52" ht="15.5" x14ac:dyDescent="0.35">
      <c r="A297" s="51">
        <f t="shared" si="79"/>
        <v>1</v>
      </c>
      <c r="B297" s="52"/>
      <c r="C297" s="52"/>
      <c r="D297" s="29" t="str">
        <f>IFERROR(
IF(AND(OR(Planilla!B297="C",Planilla!B297="c"), VLOOKUP(E297,[1]Diccionario!B:N,13,0)="C"), "OK",IF(AND(OR(Planilla!B297="C",Planilla!B297="c"), OR(VLOOKUP(E297,[1]Diccionario!B:N,13,0)="B", VLOOKUP(E297,[1]Diccionario!B:N,13,0)="A")), "DEFICIT",IF(
AND(OR(Planilla!B297="B", Planilla!B297="BPAL"), VLOOKUP(E297,[1]Diccionario!B:N,13,0)="B"), "OK",IF(AND(OR(Planilla!B297="B", Planilla!B297="BPAL"), VLOOKUP(E297,[1]Diccionario!B:N,13,0)="A"), "DEFICIT",IF(AND(OR(Planilla!B297="B", Planilla!B297="BPAL"), VLOOKUP(E297,[1]Diccionario!B:N,13,0)="C"), "SOBREOFERTA",IF(AND(Planilla!B297="A", VLOOKUP(E297,[1]Diccionario!B:N,13,0)="A"), "OK",IF(
AND(Planilla!B297="A", OR(VLOOKUP(E297,[1]Diccionario!B:N,13,0)="B", VLOOKUP(E297,[1]Diccionario!B:N,13,0)="C")), "SOBREOFERTA",""
))))))),"")</f>
        <v/>
      </c>
      <c r="E297" s="48"/>
      <c r="F297" s="53"/>
      <c r="G297" s="54"/>
      <c r="H297" s="55" t="str">
        <f t="shared" si="72"/>
        <v/>
      </c>
      <c r="I297" s="35"/>
      <c r="J297" s="34" t="e">
        <f>IF(A297&lt;&gt;"",HLOOKUP(VALUE(TEXT(G297,"h:mm:ss")),IF($C$6="Laboral",[1]Input!$A$4:$Y$227,IF($C$6="Sábado",[1]Input!$A$231:$Y$452,[1]Input!$A$456:$Y$656)),VLOOKUP($C$4,[1]Input!$AG$2:$AI$99,3,0)+IF(C$5="Ida",0,1),1),"")</f>
        <v>#N/A</v>
      </c>
      <c r="K297" s="34" t="str">
        <f>IF(A298&lt;&gt;A297,AVERAGEIF(A$9:A297,A297,J$13:J297),"")</f>
        <v/>
      </c>
      <c r="L297" s="35" t="str">
        <f>IFERROR(IF(A298&lt;&gt;A297,AVERAGEIF(A$9:A297,A297,S$13:S297),""),"")</f>
        <v/>
      </c>
      <c r="M297" s="35" t="str">
        <f>IFERROR(IF(A298&lt;&gt;A297,AVERAGEIF(A$9:A297,A297,T$8:T297),""),"")</f>
        <v/>
      </c>
      <c r="N297" s="35" t="str" cm="1">
        <f t="array" ref="N297">IFERROR(IF(A298&lt;&gt;A297,_xlfn.STDEV.P(IF(A$9:A297=A297,T$7:T297)),""),"")</f>
        <v/>
      </c>
      <c r="O297" s="35" t="str" cm="1">
        <f t="array" ref="O297">IFERROR(IF(A298&lt;&gt;A297,_xlfn.STDEV.P(IF(A$9:A297=A297,S$7:S297)),""),"")</f>
        <v/>
      </c>
      <c r="P297" s="36" t="str">
        <f t="shared" si="65"/>
        <v/>
      </c>
      <c r="Q297" s="36" t="str">
        <f t="shared" si="66"/>
        <v/>
      </c>
      <c r="R297" s="36" t="str">
        <f t="shared" si="73"/>
        <v/>
      </c>
      <c r="S297" s="37" t="str">
        <f t="shared" si="74"/>
        <v/>
      </c>
      <c r="T297" s="37" t="str">
        <f t="shared" si="67"/>
        <v/>
      </c>
      <c r="U297" s="54"/>
      <c r="V297" s="46"/>
      <c r="W297" s="39" t="str">
        <f t="shared" si="75"/>
        <v/>
      </c>
      <c r="X297" s="38"/>
      <c r="Y297" s="48"/>
      <c r="AB297" s="56">
        <f t="shared" si="76"/>
        <v>1</v>
      </c>
      <c r="AC297" s="52"/>
      <c r="AD297" s="52"/>
      <c r="AE297" s="29" t="str">
        <f>IFERROR(
IF(AND(OR(AC297="C",AC297="c"), VLOOKUP(AF297,[1]Diccionario!B:N,13,0)="C"), "OK",IF(AND(OR(AC297="C",AC297="c"), OR(VLOOKUP(AF297,[1]Diccionario!B:N,13,0)="B", VLOOKUP(AF297,[1]Diccionario!B:N,13,0)="A")), "DEFICIT",IF(
AND(OR(AC297="B", AC297="BPAL"), VLOOKUP(AF297,[1]Diccionario!B:N,13,0)="B"), "OK",IF(AND(OR(AC297="B", AC297="BPAL"), VLOOKUP(AF297,[1]Diccionario!B:N,13,0)="A"), "DEFICIT",IF(AND(OR(AC297="B", AC297="BPAL"), VLOOKUP(AF297,[1]Diccionario!B:N,13,0)="C"), "SOBREOFERTA",IF(AND(AC297="A", VLOOKUP(AF297,[1]Diccionario!B:N,13,0)="A"), "OK",IF(
AND(AC297="A", OR(VLOOKUP(AF297,[1]Diccionario!B:N,13,0)="B", VLOOKUP(AF297,[1]Diccionario!B:N,13,0)="C")), "SOBREOFERTA",""
))))))),"")</f>
        <v/>
      </c>
      <c r="AF297" s="48"/>
      <c r="AG297" s="53"/>
      <c r="AH297" s="54"/>
      <c r="AI297" s="55" t="str">
        <f t="shared" si="77"/>
        <v/>
      </c>
      <c r="AJ297" s="46"/>
      <c r="AK297" s="34" t="e">
        <f>IF(AB297&lt;&gt;"",HLOOKUP(VALUE(TEXT(AH297,"h:mm:ss")),IF($C$6="Laboral",[1]Input!$A$4:$Y$227,IF($C$6="Sábado",[1]Input!$A$231:$Y$452,[1]Input!$A$456:$Y$656)),VLOOKUP($C$4,[1]Input!$AG$2:$AI$99,3,0)+IF(AD$5="Ida",0,1),1),"")</f>
        <v>#N/A</v>
      </c>
      <c r="AL297" s="34" t="str">
        <f>IF(AB298&lt;&gt;AB297,AVERAGEIF(AB$9:AB297,AB297,AK$9:AK297),"")</f>
        <v/>
      </c>
      <c r="AM297" s="35" t="str">
        <f>IFERROR(IF(AB298&lt;&gt;AB297,AVERAGEIF(AB$9:AB297,AB297,AT$9:AT297),""),"")</f>
        <v/>
      </c>
      <c r="AN297" s="35" t="str">
        <f>IFERROR(IF(AB298&lt;&gt;AB297,AVERAGEIF(AB$9:AB297,AB297,AU$9:AU297),""),"")</f>
        <v/>
      </c>
      <c r="AO297" s="35" t="str" cm="1">
        <f t="array" ref="AO297">IFERROR(IF(AB298&lt;&gt;AB297,_xlfn.STDEV.P(IF(AB$9:AB297=AB297,AU$9:AU297)),""),"")</f>
        <v/>
      </c>
      <c r="AP297" s="35" t="str" cm="1">
        <f t="array" ref="AP297">IFERROR(IF(AB298&lt;&gt;AB297,_xlfn.STDEV.P(IF(AB$9:AB297=AB297,AT$9:AT297)),""),"")</f>
        <v/>
      </c>
      <c r="AQ297" s="36" t="str">
        <f t="shared" si="68"/>
        <v/>
      </c>
      <c r="AR297" s="36" t="str">
        <f t="shared" si="69"/>
        <v/>
      </c>
      <c r="AS297" s="36" t="str">
        <f t="shared" si="78"/>
        <v/>
      </c>
      <c r="AT297" s="37" t="str">
        <f t="shared" si="70"/>
        <v/>
      </c>
      <c r="AU297" s="37" t="str">
        <f t="shared" si="71"/>
        <v/>
      </c>
      <c r="AV297" s="54"/>
      <c r="AW297" s="46"/>
      <c r="AX297" s="39" t="str" cm="1">
        <f t="array" ref="AX297">IF(AH297&lt;&gt;"",IF(AND(AX295:AX296&lt;&gt;"IE",AQ297&lt;&gt;0,AS297&lt;&gt;""),IF(IFERROR((AQ297/AS297),0) &lt;=1,IFERROR(AQ297/AS297,""),1),""),"")</f>
        <v/>
      </c>
      <c r="AY297" s="46"/>
      <c r="AZ297" s="57"/>
    </row>
    <row r="298" spans="1:52" ht="15.5" x14ac:dyDescent="0.35">
      <c r="A298" s="51">
        <f t="shared" si="79"/>
        <v>1</v>
      </c>
      <c r="B298" s="52"/>
      <c r="C298" s="52"/>
      <c r="D298" s="29" t="str">
        <f>IFERROR(
IF(AND(OR(Planilla!B298="C",Planilla!B298="c"), VLOOKUP(E298,[1]Diccionario!B:N,13,0)="C"), "OK",IF(AND(OR(Planilla!B298="C",Planilla!B298="c"), OR(VLOOKUP(E298,[1]Diccionario!B:N,13,0)="B", VLOOKUP(E298,[1]Diccionario!B:N,13,0)="A")), "DEFICIT",IF(
AND(OR(Planilla!B298="B", Planilla!B298="BPAL"), VLOOKUP(E298,[1]Diccionario!B:N,13,0)="B"), "OK",IF(AND(OR(Planilla!B298="B", Planilla!B298="BPAL"), VLOOKUP(E298,[1]Diccionario!B:N,13,0)="A"), "DEFICIT",IF(AND(OR(Planilla!B298="B", Planilla!B298="BPAL"), VLOOKUP(E298,[1]Diccionario!B:N,13,0)="C"), "SOBREOFERTA",IF(AND(Planilla!B298="A", VLOOKUP(E298,[1]Diccionario!B:N,13,0)="A"), "OK",IF(
AND(Planilla!B298="A", OR(VLOOKUP(E298,[1]Diccionario!B:N,13,0)="B", VLOOKUP(E298,[1]Diccionario!B:N,13,0)="C")), "SOBREOFERTA",""
))))))),"")</f>
        <v/>
      </c>
      <c r="E298" s="48"/>
      <c r="F298" s="53"/>
      <c r="G298" s="54"/>
      <c r="H298" s="55" t="str">
        <f t="shared" si="72"/>
        <v/>
      </c>
      <c r="I298" s="35"/>
      <c r="J298" s="34" t="e">
        <f>IF(A298&lt;&gt;"",HLOOKUP(VALUE(TEXT(G298,"h:mm:ss")),IF($C$6="Laboral",[1]Input!$A$4:$Y$227,IF($C$6="Sábado",[1]Input!$A$231:$Y$452,[1]Input!$A$456:$Y$656)),VLOOKUP($C$4,[1]Input!$AG$2:$AI$99,3,0)+IF(C$5="Ida",0,1),1),"")</f>
        <v>#N/A</v>
      </c>
      <c r="K298" s="34" t="str">
        <f>IF(A299&lt;&gt;A298,AVERAGEIF(A$9:A298,A298,J$13:J298),"")</f>
        <v/>
      </c>
      <c r="L298" s="35" t="str">
        <f>IFERROR(IF(A299&lt;&gt;A298,AVERAGEIF(A$9:A298,A298,S$13:S298),""),"")</f>
        <v/>
      </c>
      <c r="M298" s="35" t="str">
        <f>IFERROR(IF(A299&lt;&gt;A298,AVERAGEIF(A$9:A298,A298,T$8:T298),""),"")</f>
        <v/>
      </c>
      <c r="N298" s="35" t="str" cm="1">
        <f t="array" ref="N298">IFERROR(IF(A299&lt;&gt;A298,_xlfn.STDEV.P(IF(A$9:A298=A298,T$7:T298)),""),"")</f>
        <v/>
      </c>
      <c r="O298" s="35" t="str" cm="1">
        <f t="array" ref="O298">IFERROR(IF(A299&lt;&gt;A298,_xlfn.STDEV.P(IF(A$9:A298=A298,S$7:S298)),""),"")</f>
        <v/>
      </c>
      <c r="P298" s="36" t="str">
        <f t="shared" si="65"/>
        <v/>
      </c>
      <c r="Q298" s="36" t="str">
        <f t="shared" si="66"/>
        <v/>
      </c>
      <c r="R298" s="36" t="str">
        <f t="shared" si="73"/>
        <v/>
      </c>
      <c r="S298" s="37" t="str">
        <f t="shared" si="74"/>
        <v/>
      </c>
      <c r="T298" s="37" t="str">
        <f t="shared" si="67"/>
        <v/>
      </c>
      <c r="U298" s="54"/>
      <c r="V298" s="46"/>
      <c r="W298" s="39" t="str">
        <f t="shared" si="75"/>
        <v/>
      </c>
      <c r="X298" s="38"/>
      <c r="Y298" s="48"/>
      <c r="AB298" s="56">
        <f t="shared" si="76"/>
        <v>1</v>
      </c>
      <c r="AC298" s="52"/>
      <c r="AD298" s="52"/>
      <c r="AE298" s="29" t="str">
        <f>IFERROR(
IF(AND(OR(AC298="C",AC298="c"), VLOOKUP(AF298,[1]Diccionario!B:N,13,0)="C"), "OK",IF(AND(OR(AC298="C",AC298="c"), OR(VLOOKUP(AF298,[1]Diccionario!B:N,13,0)="B", VLOOKUP(AF298,[1]Diccionario!B:N,13,0)="A")), "DEFICIT",IF(
AND(OR(AC298="B", AC298="BPAL"), VLOOKUP(AF298,[1]Diccionario!B:N,13,0)="B"), "OK",IF(AND(OR(AC298="B", AC298="BPAL"), VLOOKUP(AF298,[1]Diccionario!B:N,13,0)="A"), "DEFICIT",IF(AND(OR(AC298="B", AC298="BPAL"), VLOOKUP(AF298,[1]Diccionario!B:N,13,0)="C"), "SOBREOFERTA",IF(AND(AC298="A", VLOOKUP(AF298,[1]Diccionario!B:N,13,0)="A"), "OK",IF(
AND(AC298="A", OR(VLOOKUP(AF298,[1]Diccionario!B:N,13,0)="B", VLOOKUP(AF298,[1]Diccionario!B:N,13,0)="C")), "SOBREOFERTA",""
))))))),"")</f>
        <v/>
      </c>
      <c r="AF298" s="48"/>
      <c r="AG298" s="53"/>
      <c r="AH298" s="54"/>
      <c r="AI298" s="55" t="str">
        <f t="shared" si="77"/>
        <v/>
      </c>
      <c r="AJ298" s="46"/>
      <c r="AK298" s="34" t="e">
        <f>IF(AB298&lt;&gt;"",HLOOKUP(VALUE(TEXT(AH298,"h:mm:ss")),IF($C$6="Laboral",[1]Input!$A$4:$Y$227,IF($C$6="Sábado",[1]Input!$A$231:$Y$452,[1]Input!$A$456:$Y$656)),VLOOKUP($C$4,[1]Input!$AG$2:$AI$99,3,0)+IF(AD$5="Ida",0,1),1),"")</f>
        <v>#N/A</v>
      </c>
      <c r="AL298" s="34" t="str">
        <f>IF(AB299&lt;&gt;AB298,AVERAGEIF(AB$9:AB298,AB298,AK$9:AK298),"")</f>
        <v/>
      </c>
      <c r="AM298" s="35" t="str">
        <f>IFERROR(IF(AB299&lt;&gt;AB298,AVERAGEIF(AB$9:AB298,AB298,AT$9:AT298),""),"")</f>
        <v/>
      </c>
      <c r="AN298" s="35" t="str">
        <f>IFERROR(IF(AB299&lt;&gt;AB298,AVERAGEIF(AB$9:AB298,AB298,AU$9:AU298),""),"")</f>
        <v/>
      </c>
      <c r="AO298" s="35" t="str" cm="1">
        <f t="array" ref="AO298">IFERROR(IF(AB299&lt;&gt;AB298,_xlfn.STDEV.P(IF(AB$9:AB298=AB298,AU$9:AU298)),""),"")</f>
        <v/>
      </c>
      <c r="AP298" s="35" t="str" cm="1">
        <f t="array" ref="AP298">IFERROR(IF(AB299&lt;&gt;AB298,_xlfn.STDEV.P(IF(AB$9:AB298=AB298,AT$9:AT298)),""),"")</f>
        <v/>
      </c>
      <c r="AQ298" s="36" t="str">
        <f t="shared" si="68"/>
        <v/>
      </c>
      <c r="AR298" s="36" t="str">
        <f t="shared" si="69"/>
        <v/>
      </c>
      <c r="AS298" s="36" t="str">
        <f t="shared" si="78"/>
        <v/>
      </c>
      <c r="AT298" s="37" t="str">
        <f t="shared" si="70"/>
        <v/>
      </c>
      <c r="AU298" s="37" t="str">
        <f t="shared" si="71"/>
        <v/>
      </c>
      <c r="AV298" s="54"/>
      <c r="AW298" s="46"/>
      <c r="AX298" s="39" t="str" cm="1">
        <f t="array" ref="AX298">IF(AH298&lt;&gt;"",IF(AND(AX296:AX297&lt;&gt;"IE",AQ298&lt;&gt;0,AS298&lt;&gt;""),IF(IFERROR((AQ298/AS298),0) &lt;=1,IFERROR(AQ298/AS298,""),1),""),"")</f>
        <v/>
      </c>
      <c r="AY298" s="46"/>
      <c r="AZ298" s="57"/>
    </row>
    <row r="299" spans="1:52" ht="15.5" x14ac:dyDescent="0.35">
      <c r="A299" s="51">
        <f t="shared" si="79"/>
        <v>1</v>
      </c>
      <c r="B299" s="52"/>
      <c r="C299" s="52"/>
      <c r="D299" s="29" t="str">
        <f>IFERROR(
IF(AND(OR(Planilla!B299="C",Planilla!B299="c"), VLOOKUP(E299,[1]Diccionario!B:N,13,0)="C"), "OK",IF(AND(OR(Planilla!B299="C",Planilla!B299="c"), OR(VLOOKUP(E299,[1]Diccionario!B:N,13,0)="B", VLOOKUP(E299,[1]Diccionario!B:N,13,0)="A")), "DEFICIT",IF(
AND(OR(Planilla!B299="B", Planilla!B299="BPAL"), VLOOKUP(E299,[1]Diccionario!B:N,13,0)="B"), "OK",IF(AND(OR(Planilla!B299="B", Planilla!B299="BPAL"), VLOOKUP(E299,[1]Diccionario!B:N,13,0)="A"), "DEFICIT",IF(AND(OR(Planilla!B299="B", Planilla!B299="BPAL"), VLOOKUP(E299,[1]Diccionario!B:N,13,0)="C"), "SOBREOFERTA",IF(AND(Planilla!B299="A", VLOOKUP(E299,[1]Diccionario!B:N,13,0)="A"), "OK",IF(
AND(Planilla!B299="A", OR(VLOOKUP(E299,[1]Diccionario!B:N,13,0)="B", VLOOKUP(E299,[1]Diccionario!B:N,13,0)="C")), "SOBREOFERTA",""
))))))),"")</f>
        <v/>
      </c>
      <c r="E299" s="48"/>
      <c r="F299" s="53"/>
      <c r="G299" s="54"/>
      <c r="H299" s="55" t="str">
        <f t="shared" si="72"/>
        <v/>
      </c>
      <c r="I299" s="35"/>
      <c r="J299" s="34" t="e">
        <f>IF(A299&lt;&gt;"",HLOOKUP(VALUE(TEXT(G299,"h:mm:ss")),IF($C$6="Laboral",[1]Input!$A$4:$Y$227,IF($C$6="Sábado",[1]Input!$A$231:$Y$452,[1]Input!$A$456:$Y$656)),VLOOKUP($C$4,[1]Input!$AG$2:$AI$99,3,0)+IF(C$5="Ida",0,1),1),"")</f>
        <v>#N/A</v>
      </c>
      <c r="K299" s="34" t="str">
        <f>IF(A300&lt;&gt;A299,AVERAGEIF(A$9:A299,A299,J$13:J299),"")</f>
        <v/>
      </c>
      <c r="L299" s="35" t="str">
        <f>IFERROR(IF(A300&lt;&gt;A299,AVERAGEIF(A$9:A299,A299,S$13:S299),""),"")</f>
        <v/>
      </c>
      <c r="M299" s="35" t="str">
        <f>IFERROR(IF(A300&lt;&gt;A299,AVERAGEIF(A$9:A299,A299,T$8:T299),""),"")</f>
        <v/>
      </c>
      <c r="N299" s="35" t="str" cm="1">
        <f t="array" ref="N299">IFERROR(IF(A300&lt;&gt;A299,_xlfn.STDEV.P(IF(A$9:A299=A299,T$7:T299)),""),"")</f>
        <v/>
      </c>
      <c r="O299" s="35" t="str" cm="1">
        <f t="array" ref="O299">IFERROR(IF(A300&lt;&gt;A299,_xlfn.STDEV.P(IF(A$9:A299=A299,S$7:S299)),""),"")</f>
        <v/>
      </c>
      <c r="P299" s="36" t="str">
        <f t="shared" si="65"/>
        <v/>
      </c>
      <c r="Q299" s="36" t="str">
        <f t="shared" si="66"/>
        <v/>
      </c>
      <c r="R299" s="36" t="str">
        <f t="shared" si="73"/>
        <v/>
      </c>
      <c r="S299" s="37" t="str">
        <f t="shared" si="74"/>
        <v/>
      </c>
      <c r="T299" s="37" t="str">
        <f t="shared" si="67"/>
        <v/>
      </c>
      <c r="U299" s="54"/>
      <c r="V299" s="46"/>
      <c r="W299" s="39" t="str">
        <f t="shared" si="75"/>
        <v/>
      </c>
      <c r="X299" s="38"/>
      <c r="Y299" s="48"/>
      <c r="AB299" s="56">
        <f t="shared" si="76"/>
        <v>1</v>
      </c>
      <c r="AC299" s="52"/>
      <c r="AD299" s="52"/>
      <c r="AE299" s="29" t="str">
        <f>IFERROR(
IF(AND(OR(AC299="C",AC299="c"), VLOOKUP(AF299,[1]Diccionario!B:N,13,0)="C"), "OK",IF(AND(OR(AC299="C",AC299="c"), OR(VLOOKUP(AF299,[1]Diccionario!B:N,13,0)="B", VLOOKUP(AF299,[1]Diccionario!B:N,13,0)="A")), "DEFICIT",IF(
AND(OR(AC299="B", AC299="BPAL"), VLOOKUP(AF299,[1]Diccionario!B:N,13,0)="B"), "OK",IF(AND(OR(AC299="B", AC299="BPAL"), VLOOKUP(AF299,[1]Diccionario!B:N,13,0)="A"), "DEFICIT",IF(AND(OR(AC299="B", AC299="BPAL"), VLOOKUP(AF299,[1]Diccionario!B:N,13,0)="C"), "SOBREOFERTA",IF(AND(AC299="A", VLOOKUP(AF299,[1]Diccionario!B:N,13,0)="A"), "OK",IF(
AND(AC299="A", OR(VLOOKUP(AF299,[1]Diccionario!B:N,13,0)="B", VLOOKUP(AF299,[1]Diccionario!B:N,13,0)="C")), "SOBREOFERTA",""
))))))),"")</f>
        <v/>
      </c>
      <c r="AF299" s="48"/>
      <c r="AG299" s="53"/>
      <c r="AH299" s="54"/>
      <c r="AI299" s="55" t="str">
        <f t="shared" si="77"/>
        <v/>
      </c>
      <c r="AJ299" s="46"/>
      <c r="AK299" s="34" t="e">
        <f>IF(AB299&lt;&gt;"",HLOOKUP(VALUE(TEXT(AH299,"h:mm:ss")),IF($C$6="Laboral",[1]Input!$A$4:$Y$227,IF($C$6="Sábado",[1]Input!$A$231:$Y$452,[1]Input!$A$456:$Y$656)),VLOOKUP($C$4,[1]Input!$AG$2:$AI$99,3,0)+IF(AD$5="Ida",0,1),1),"")</f>
        <v>#N/A</v>
      </c>
      <c r="AL299" s="34" t="str">
        <f>IF(AB300&lt;&gt;AB299,AVERAGEIF(AB$9:AB299,AB299,AK$9:AK299),"")</f>
        <v/>
      </c>
      <c r="AM299" s="35" t="str">
        <f>IFERROR(IF(AB300&lt;&gt;AB299,AVERAGEIF(AB$9:AB299,AB299,AT$9:AT299),""),"")</f>
        <v/>
      </c>
      <c r="AN299" s="35" t="str">
        <f>IFERROR(IF(AB300&lt;&gt;AB299,AVERAGEIF(AB$9:AB299,AB299,AU$9:AU299),""),"")</f>
        <v/>
      </c>
      <c r="AO299" s="35" t="str" cm="1">
        <f t="array" ref="AO299">IFERROR(IF(AB300&lt;&gt;AB299,_xlfn.STDEV.P(IF(AB$9:AB299=AB299,AU$9:AU299)),""),"")</f>
        <v/>
      </c>
      <c r="AP299" s="35" t="str" cm="1">
        <f t="array" ref="AP299">IFERROR(IF(AB300&lt;&gt;AB299,_xlfn.STDEV.P(IF(AB$9:AB299=AB299,AT$9:AT299)),""),"")</f>
        <v/>
      </c>
      <c r="AQ299" s="36" t="str">
        <f t="shared" si="68"/>
        <v/>
      </c>
      <c r="AR299" s="36" t="str">
        <f t="shared" si="69"/>
        <v/>
      </c>
      <c r="AS299" s="36" t="str">
        <f t="shared" si="78"/>
        <v/>
      </c>
      <c r="AT299" s="37" t="str">
        <f t="shared" si="70"/>
        <v/>
      </c>
      <c r="AU299" s="37" t="str">
        <f t="shared" si="71"/>
        <v/>
      </c>
      <c r="AV299" s="54"/>
      <c r="AW299" s="46"/>
      <c r="AX299" s="39" t="str" cm="1">
        <f t="array" ref="AX299">IF(AH299&lt;&gt;"",IF(AND(AX297:AX298&lt;&gt;"IE",AQ299&lt;&gt;0,AS299&lt;&gt;""),IF(IFERROR((AQ299/AS299),0) &lt;=1,IFERROR(AQ299/AS299,""),1),""),"")</f>
        <v/>
      </c>
      <c r="AY299" s="46"/>
      <c r="AZ299" s="57"/>
    </row>
    <row r="300" spans="1:52" ht="15.5" x14ac:dyDescent="0.35">
      <c r="A300" s="51">
        <f t="shared" si="79"/>
        <v>1</v>
      </c>
      <c r="B300" s="52"/>
      <c r="C300" s="52"/>
      <c r="D300" s="29" t="str">
        <f>IFERROR(
IF(AND(OR(Planilla!B300="C",Planilla!B300="c"), VLOOKUP(E300,[1]Diccionario!B:N,13,0)="C"), "OK",IF(AND(OR(Planilla!B300="C",Planilla!B300="c"), OR(VLOOKUP(E300,[1]Diccionario!B:N,13,0)="B", VLOOKUP(E300,[1]Diccionario!B:N,13,0)="A")), "DEFICIT",IF(
AND(OR(Planilla!B300="B", Planilla!B300="BPAL"), VLOOKUP(E300,[1]Diccionario!B:N,13,0)="B"), "OK",IF(AND(OR(Planilla!B300="B", Planilla!B300="BPAL"), VLOOKUP(E300,[1]Diccionario!B:N,13,0)="A"), "DEFICIT",IF(AND(OR(Planilla!B300="B", Planilla!B300="BPAL"), VLOOKUP(E300,[1]Diccionario!B:N,13,0)="C"), "SOBREOFERTA",IF(AND(Planilla!B300="A", VLOOKUP(E300,[1]Diccionario!B:N,13,0)="A"), "OK",IF(
AND(Planilla!B300="A", OR(VLOOKUP(E300,[1]Diccionario!B:N,13,0)="B", VLOOKUP(E300,[1]Diccionario!B:N,13,0)="C")), "SOBREOFERTA",""
))))))),"")</f>
        <v/>
      </c>
      <c r="E300" s="48"/>
      <c r="F300" s="53"/>
      <c r="G300" s="54"/>
      <c r="H300" s="55" t="str">
        <f t="shared" si="72"/>
        <v/>
      </c>
      <c r="I300" s="35"/>
      <c r="J300" s="34" t="e">
        <f>IF(A300&lt;&gt;"",HLOOKUP(VALUE(TEXT(G300,"h:mm:ss")),IF($C$6="Laboral",[1]Input!$A$4:$Y$227,IF($C$6="Sábado",[1]Input!$A$231:$Y$452,[1]Input!$A$456:$Y$656)),VLOOKUP($C$4,[1]Input!$AG$2:$AI$99,3,0)+IF(C$5="Ida",0,1),1),"")</f>
        <v>#N/A</v>
      </c>
      <c r="K300" s="34" t="str">
        <f>IF(A301&lt;&gt;A300,AVERAGEIF(A$9:A300,A300,J$13:J300),"")</f>
        <v/>
      </c>
      <c r="L300" s="35" t="str">
        <f>IFERROR(IF(A301&lt;&gt;A300,AVERAGEIF(A$9:A300,A300,S$13:S300),""),"")</f>
        <v/>
      </c>
      <c r="M300" s="35" t="str">
        <f>IFERROR(IF(A301&lt;&gt;A300,AVERAGEIF(A$9:A300,A300,T$8:T300),""),"")</f>
        <v/>
      </c>
      <c r="N300" s="35" t="str" cm="1">
        <f t="array" ref="N300">IFERROR(IF(A301&lt;&gt;A300,_xlfn.STDEV.P(IF(A$9:A300=A300,T$7:T300)),""),"")</f>
        <v/>
      </c>
      <c r="O300" s="35" t="str" cm="1">
        <f t="array" ref="O300">IFERROR(IF(A301&lt;&gt;A300,_xlfn.STDEV.P(IF(A$9:A300=A300,S$7:S300)),""),"")</f>
        <v/>
      </c>
      <c r="P300" s="36" t="str">
        <f t="shared" si="65"/>
        <v/>
      </c>
      <c r="Q300" s="36" t="str">
        <f t="shared" si="66"/>
        <v/>
      </c>
      <c r="R300" s="36" t="str">
        <f t="shared" si="73"/>
        <v/>
      </c>
      <c r="S300" s="37" t="str">
        <f t="shared" si="74"/>
        <v/>
      </c>
      <c r="T300" s="37" t="str">
        <f t="shared" si="67"/>
        <v/>
      </c>
      <c r="U300" s="54"/>
      <c r="V300" s="46"/>
      <c r="W300" s="39" t="str">
        <f t="shared" si="75"/>
        <v/>
      </c>
      <c r="X300" s="38"/>
      <c r="Y300" s="48"/>
      <c r="AB300" s="56">
        <f t="shared" si="76"/>
        <v>1</v>
      </c>
      <c r="AC300" s="52"/>
      <c r="AD300" s="52"/>
      <c r="AE300" s="29" t="str">
        <f>IFERROR(
IF(AND(OR(AC300="C",AC300="c"), VLOOKUP(AF300,[1]Diccionario!B:N,13,0)="C"), "OK",IF(AND(OR(AC300="C",AC300="c"), OR(VLOOKUP(AF300,[1]Diccionario!B:N,13,0)="B", VLOOKUP(AF300,[1]Diccionario!B:N,13,0)="A")), "DEFICIT",IF(
AND(OR(AC300="B", AC300="BPAL"), VLOOKUP(AF300,[1]Diccionario!B:N,13,0)="B"), "OK",IF(AND(OR(AC300="B", AC300="BPAL"), VLOOKUP(AF300,[1]Diccionario!B:N,13,0)="A"), "DEFICIT",IF(AND(OR(AC300="B", AC300="BPAL"), VLOOKUP(AF300,[1]Diccionario!B:N,13,0)="C"), "SOBREOFERTA",IF(AND(AC300="A", VLOOKUP(AF300,[1]Diccionario!B:N,13,0)="A"), "OK",IF(
AND(AC300="A", OR(VLOOKUP(AF300,[1]Diccionario!B:N,13,0)="B", VLOOKUP(AF300,[1]Diccionario!B:N,13,0)="C")), "SOBREOFERTA",""
))))))),"")</f>
        <v/>
      </c>
      <c r="AF300" s="48"/>
      <c r="AG300" s="53"/>
      <c r="AH300" s="54"/>
      <c r="AI300" s="55" t="str">
        <f t="shared" si="77"/>
        <v/>
      </c>
      <c r="AJ300" s="46"/>
      <c r="AK300" s="34" t="e">
        <f>IF(AB300&lt;&gt;"",HLOOKUP(VALUE(TEXT(AH300,"h:mm:ss")),IF($C$6="Laboral",[1]Input!$A$4:$Y$227,IF($C$6="Sábado",[1]Input!$A$231:$Y$452,[1]Input!$A$456:$Y$656)),VLOOKUP($C$4,[1]Input!$AG$2:$AI$99,3,0)+IF(AD$5="Ida",0,1),1),"")</f>
        <v>#N/A</v>
      </c>
      <c r="AL300" s="34" t="str">
        <f>IF(AB301&lt;&gt;AB300,AVERAGEIF(AB$9:AB300,AB300,AK$9:AK300),"")</f>
        <v/>
      </c>
      <c r="AM300" s="35" t="str">
        <f>IFERROR(IF(AB301&lt;&gt;AB300,AVERAGEIF(AB$9:AB300,AB300,AT$9:AT300),""),"")</f>
        <v/>
      </c>
      <c r="AN300" s="35" t="str">
        <f>IFERROR(IF(AB301&lt;&gt;AB300,AVERAGEIF(AB$9:AB300,AB300,AU$9:AU300),""),"")</f>
        <v/>
      </c>
      <c r="AO300" s="35" t="str" cm="1">
        <f t="array" ref="AO300">IFERROR(IF(AB301&lt;&gt;AB300,_xlfn.STDEV.P(IF(AB$9:AB300=AB300,AU$9:AU300)),""),"")</f>
        <v/>
      </c>
      <c r="AP300" s="35" t="str" cm="1">
        <f t="array" ref="AP300">IFERROR(IF(AB301&lt;&gt;AB300,_xlfn.STDEV.P(IF(AB$9:AB300=AB300,AT$9:AT300)),""),"")</f>
        <v/>
      </c>
      <c r="AQ300" s="36" t="str">
        <f t="shared" si="68"/>
        <v/>
      </c>
      <c r="AR300" s="36" t="str">
        <f t="shared" si="69"/>
        <v/>
      </c>
      <c r="AS300" s="36" t="str">
        <f t="shared" si="78"/>
        <v/>
      </c>
      <c r="AT300" s="37" t="str">
        <f t="shared" si="70"/>
        <v/>
      </c>
      <c r="AU300" s="37" t="str">
        <f t="shared" si="71"/>
        <v/>
      </c>
      <c r="AV300" s="54"/>
      <c r="AW300" s="46"/>
      <c r="AX300" s="39" t="str" cm="1">
        <f t="array" ref="AX300">IF(AH300&lt;&gt;"",IF(AND(AX298:AX299&lt;&gt;"IE",AQ300&lt;&gt;0,AS300&lt;&gt;""),IF(IFERROR((AQ300/AS300),0) &lt;=1,IFERROR(AQ300/AS300,""),1),""),"")</f>
        <v/>
      </c>
      <c r="AY300" s="46"/>
      <c r="AZ300" s="57"/>
    </row>
    <row r="301" spans="1:52" ht="15.5" x14ac:dyDescent="0.35">
      <c r="A301" s="51">
        <f t="shared" si="79"/>
        <v>1</v>
      </c>
      <c r="B301" s="52"/>
      <c r="C301" s="52"/>
      <c r="D301" s="29" t="str">
        <f>IFERROR(
IF(AND(OR(Planilla!B301="C",Planilla!B301="c"), VLOOKUP(E301,[1]Diccionario!B:N,13,0)="C"), "OK",IF(AND(OR(Planilla!B301="C",Planilla!B301="c"), OR(VLOOKUP(E301,[1]Diccionario!B:N,13,0)="B", VLOOKUP(E301,[1]Diccionario!B:N,13,0)="A")), "DEFICIT",IF(
AND(OR(Planilla!B301="B", Planilla!B301="BPAL"), VLOOKUP(E301,[1]Diccionario!B:N,13,0)="B"), "OK",IF(AND(OR(Planilla!B301="B", Planilla!B301="BPAL"), VLOOKUP(E301,[1]Diccionario!B:N,13,0)="A"), "DEFICIT",IF(AND(OR(Planilla!B301="B", Planilla!B301="BPAL"), VLOOKUP(E301,[1]Diccionario!B:N,13,0)="C"), "SOBREOFERTA",IF(AND(Planilla!B301="A", VLOOKUP(E301,[1]Diccionario!B:N,13,0)="A"), "OK",IF(
AND(Planilla!B301="A", OR(VLOOKUP(E301,[1]Diccionario!B:N,13,0)="B", VLOOKUP(E301,[1]Diccionario!B:N,13,0)="C")), "SOBREOFERTA",""
))))))),"")</f>
        <v/>
      </c>
      <c r="E301" s="48"/>
      <c r="F301" s="53"/>
      <c r="G301" s="54"/>
      <c r="H301" s="55" t="str">
        <f t="shared" si="72"/>
        <v/>
      </c>
      <c r="I301" s="35"/>
      <c r="J301" s="34" t="e">
        <f>IF(A301&lt;&gt;"",HLOOKUP(VALUE(TEXT(G301,"h:mm:ss")),IF($C$6="Laboral",[1]Input!$A$4:$Y$227,IF($C$6="Sábado",[1]Input!$A$231:$Y$452,[1]Input!$A$456:$Y$656)),VLOOKUP($C$4,[1]Input!$AG$2:$AI$99,3,0)+IF(C$5="Ida",0,1),1),"")</f>
        <v>#N/A</v>
      </c>
      <c r="K301" s="34" t="str">
        <f>IF(A302&lt;&gt;A301,AVERAGEIF(A$9:A301,A301,J$13:J301),"")</f>
        <v/>
      </c>
      <c r="L301" s="35" t="str">
        <f>IFERROR(IF(A302&lt;&gt;A301,AVERAGEIF(A$9:A301,A301,S$13:S301),""),"")</f>
        <v/>
      </c>
      <c r="M301" s="35" t="str">
        <f>IFERROR(IF(A302&lt;&gt;A301,AVERAGEIF(A$9:A301,A301,T$8:T301),""),"")</f>
        <v/>
      </c>
      <c r="N301" s="35" t="str" cm="1">
        <f t="array" ref="N301">IFERROR(IF(A302&lt;&gt;A301,_xlfn.STDEV.P(IF(A$9:A301=A301,T$7:T301)),""),"")</f>
        <v/>
      </c>
      <c r="O301" s="35" t="str" cm="1">
        <f t="array" ref="O301">IFERROR(IF(A302&lt;&gt;A301,_xlfn.STDEV.P(IF(A$9:A301=A301,S$7:S301)),""),"")</f>
        <v/>
      </c>
      <c r="P301" s="36" t="str">
        <f t="shared" si="65"/>
        <v/>
      </c>
      <c r="Q301" s="36" t="str">
        <f t="shared" si="66"/>
        <v/>
      </c>
      <c r="R301" s="36" t="str">
        <f t="shared" si="73"/>
        <v/>
      </c>
      <c r="S301" s="37" t="str">
        <f t="shared" si="74"/>
        <v/>
      </c>
      <c r="T301" s="37" t="str">
        <f t="shared" si="67"/>
        <v/>
      </c>
      <c r="U301" s="54"/>
      <c r="V301" s="46"/>
      <c r="W301" s="39" t="str">
        <f t="shared" si="75"/>
        <v/>
      </c>
      <c r="X301" s="38"/>
      <c r="Y301" s="48"/>
      <c r="AB301" s="56">
        <f t="shared" si="76"/>
        <v>1</v>
      </c>
      <c r="AC301" s="52"/>
      <c r="AD301" s="52"/>
      <c r="AE301" s="29" t="str">
        <f>IFERROR(
IF(AND(OR(AC301="C",AC301="c"), VLOOKUP(AF301,[1]Diccionario!B:N,13,0)="C"), "OK",IF(AND(OR(AC301="C",AC301="c"), OR(VLOOKUP(AF301,[1]Diccionario!B:N,13,0)="B", VLOOKUP(AF301,[1]Diccionario!B:N,13,0)="A")), "DEFICIT",IF(
AND(OR(AC301="B", AC301="BPAL"), VLOOKUP(AF301,[1]Diccionario!B:N,13,0)="B"), "OK",IF(AND(OR(AC301="B", AC301="BPAL"), VLOOKUP(AF301,[1]Diccionario!B:N,13,0)="A"), "DEFICIT",IF(AND(OR(AC301="B", AC301="BPAL"), VLOOKUP(AF301,[1]Diccionario!B:N,13,0)="C"), "SOBREOFERTA",IF(AND(AC301="A", VLOOKUP(AF301,[1]Diccionario!B:N,13,0)="A"), "OK",IF(
AND(AC301="A", OR(VLOOKUP(AF301,[1]Diccionario!B:N,13,0)="B", VLOOKUP(AF301,[1]Diccionario!B:N,13,0)="C")), "SOBREOFERTA",""
))))))),"")</f>
        <v/>
      </c>
      <c r="AF301" s="48"/>
      <c r="AG301" s="53"/>
      <c r="AH301" s="54"/>
      <c r="AI301" s="55" t="str">
        <f t="shared" si="77"/>
        <v/>
      </c>
      <c r="AJ301" s="46"/>
      <c r="AK301" s="34" t="e">
        <f>IF(AB301&lt;&gt;"",HLOOKUP(VALUE(TEXT(AH301,"h:mm:ss")),IF($C$6="Laboral",[1]Input!$A$4:$Y$227,IF($C$6="Sábado",[1]Input!$A$231:$Y$452,[1]Input!$A$456:$Y$656)),VLOOKUP($C$4,[1]Input!$AG$2:$AI$99,3,0)+IF(AD$5="Ida",0,1),1),"")</f>
        <v>#N/A</v>
      </c>
      <c r="AL301" s="34" t="str">
        <f>IF(AB302&lt;&gt;AB301,AVERAGEIF(AB$9:AB301,AB301,AK$9:AK301),"")</f>
        <v/>
      </c>
      <c r="AM301" s="35" t="str">
        <f>IFERROR(IF(AB302&lt;&gt;AB301,AVERAGEIF(AB$9:AB301,AB301,AT$9:AT301),""),"")</f>
        <v/>
      </c>
      <c r="AN301" s="35" t="str">
        <f>IFERROR(IF(AB302&lt;&gt;AB301,AVERAGEIF(AB$9:AB301,AB301,AU$9:AU301),""),"")</f>
        <v/>
      </c>
      <c r="AO301" s="35" t="str" cm="1">
        <f t="array" ref="AO301">IFERROR(IF(AB302&lt;&gt;AB301,_xlfn.STDEV.P(IF(AB$9:AB301=AB301,AU$9:AU301)),""),"")</f>
        <v/>
      </c>
      <c r="AP301" s="35" t="str" cm="1">
        <f t="array" ref="AP301">IFERROR(IF(AB302&lt;&gt;AB301,_xlfn.STDEV.P(IF(AB$9:AB301=AB301,AT$9:AT301)),""),"")</f>
        <v/>
      </c>
      <c r="AQ301" s="36" t="str">
        <f t="shared" si="68"/>
        <v/>
      </c>
      <c r="AR301" s="36" t="str">
        <f t="shared" si="69"/>
        <v/>
      </c>
      <c r="AS301" s="36" t="str">
        <f t="shared" si="78"/>
        <v/>
      </c>
      <c r="AT301" s="37" t="str">
        <f t="shared" si="70"/>
        <v/>
      </c>
      <c r="AU301" s="37" t="str">
        <f t="shared" si="71"/>
        <v/>
      </c>
      <c r="AV301" s="54"/>
      <c r="AW301" s="46"/>
      <c r="AX301" s="39" t="str" cm="1">
        <f t="array" ref="AX301">IF(AH301&lt;&gt;"",IF(AND(AX299:AX300&lt;&gt;"IE",AQ301&lt;&gt;0,AS301&lt;&gt;""),IF(IFERROR((AQ301/AS301),0) &lt;=1,IFERROR(AQ301/AS301,""),1),""),"")</f>
        <v/>
      </c>
      <c r="AY301" s="46"/>
      <c r="AZ301" s="57"/>
    </row>
    <row r="302" spans="1:52" ht="15.5" x14ac:dyDescent="0.35">
      <c r="A302" s="51">
        <f t="shared" si="79"/>
        <v>1</v>
      </c>
      <c r="B302" s="52"/>
      <c r="C302" s="52"/>
      <c r="D302" s="29" t="str">
        <f>IFERROR(
IF(AND(OR(Planilla!B302="C",Planilla!B302="c"), VLOOKUP(E302,[1]Diccionario!B:N,13,0)="C"), "OK",IF(AND(OR(Planilla!B302="C",Planilla!B302="c"), OR(VLOOKUP(E302,[1]Diccionario!B:N,13,0)="B", VLOOKUP(E302,[1]Diccionario!B:N,13,0)="A")), "DEFICIT",IF(
AND(OR(Planilla!B302="B", Planilla!B302="BPAL"), VLOOKUP(E302,[1]Diccionario!B:N,13,0)="B"), "OK",IF(AND(OR(Planilla!B302="B", Planilla!B302="BPAL"), VLOOKUP(E302,[1]Diccionario!B:N,13,0)="A"), "DEFICIT",IF(AND(OR(Planilla!B302="B", Planilla!B302="BPAL"), VLOOKUP(E302,[1]Diccionario!B:N,13,0)="C"), "SOBREOFERTA",IF(AND(Planilla!B302="A", VLOOKUP(E302,[1]Diccionario!B:N,13,0)="A"), "OK",IF(
AND(Planilla!B302="A", OR(VLOOKUP(E302,[1]Diccionario!B:N,13,0)="B", VLOOKUP(E302,[1]Diccionario!B:N,13,0)="C")), "SOBREOFERTA",""
))))))),"")</f>
        <v/>
      </c>
      <c r="E302" s="48"/>
      <c r="F302" s="53"/>
      <c r="G302" s="54"/>
      <c r="H302" s="55" t="str">
        <f t="shared" si="72"/>
        <v/>
      </c>
      <c r="I302" s="35"/>
      <c r="J302" s="34" t="e">
        <f>IF(A302&lt;&gt;"",HLOOKUP(VALUE(TEXT(G302,"h:mm:ss")),IF($C$6="Laboral",[1]Input!$A$4:$Y$227,IF($C$6="Sábado",[1]Input!$A$231:$Y$452,[1]Input!$A$456:$Y$656)),VLOOKUP($C$4,[1]Input!$AG$2:$AI$99,3,0)+IF(C$5="Ida",0,1),1),"")</f>
        <v>#N/A</v>
      </c>
      <c r="K302" s="34" t="str">
        <f>IF(A303&lt;&gt;A302,AVERAGEIF(A$9:A302,A302,J$13:J302),"")</f>
        <v/>
      </c>
      <c r="L302" s="35" t="str">
        <f>IFERROR(IF(A303&lt;&gt;A302,AVERAGEIF(A$9:A302,A302,S$13:S302),""),"")</f>
        <v/>
      </c>
      <c r="M302" s="35" t="str">
        <f>IFERROR(IF(A303&lt;&gt;A302,AVERAGEIF(A$9:A302,A302,T$8:T302),""),"")</f>
        <v/>
      </c>
      <c r="N302" s="35" t="str" cm="1">
        <f t="array" ref="N302">IFERROR(IF(A303&lt;&gt;A302,_xlfn.STDEV.P(IF(A$9:A302=A302,T$7:T302)),""),"")</f>
        <v/>
      </c>
      <c r="O302" s="35" t="str" cm="1">
        <f t="array" ref="O302">IFERROR(IF(A303&lt;&gt;A302,_xlfn.STDEV.P(IF(A$9:A302=A302,S$7:S302)),""),"")</f>
        <v/>
      </c>
      <c r="P302" s="36" t="str">
        <f t="shared" si="65"/>
        <v/>
      </c>
      <c r="Q302" s="36" t="str">
        <f t="shared" si="66"/>
        <v/>
      </c>
      <c r="R302" s="36" t="str">
        <f t="shared" si="73"/>
        <v/>
      </c>
      <c r="S302" s="37" t="str">
        <f t="shared" si="74"/>
        <v/>
      </c>
      <c r="T302" s="37" t="str">
        <f t="shared" si="67"/>
        <v/>
      </c>
      <c r="U302" s="54"/>
      <c r="V302" s="46"/>
      <c r="W302" s="39" t="str">
        <f t="shared" si="75"/>
        <v/>
      </c>
      <c r="X302" s="38"/>
      <c r="Y302" s="48"/>
      <c r="AB302" s="56">
        <f t="shared" si="76"/>
        <v>1</v>
      </c>
      <c r="AC302" s="52"/>
      <c r="AD302" s="52"/>
      <c r="AE302" s="29" t="str">
        <f>IFERROR(
IF(AND(OR(AC302="C",AC302="c"), VLOOKUP(AF302,[1]Diccionario!B:N,13,0)="C"), "OK",IF(AND(OR(AC302="C",AC302="c"), OR(VLOOKUP(AF302,[1]Diccionario!B:N,13,0)="B", VLOOKUP(AF302,[1]Diccionario!B:N,13,0)="A")), "DEFICIT",IF(
AND(OR(AC302="B", AC302="BPAL"), VLOOKUP(AF302,[1]Diccionario!B:N,13,0)="B"), "OK",IF(AND(OR(AC302="B", AC302="BPAL"), VLOOKUP(AF302,[1]Diccionario!B:N,13,0)="A"), "DEFICIT",IF(AND(OR(AC302="B", AC302="BPAL"), VLOOKUP(AF302,[1]Diccionario!B:N,13,0)="C"), "SOBREOFERTA",IF(AND(AC302="A", VLOOKUP(AF302,[1]Diccionario!B:N,13,0)="A"), "OK",IF(
AND(AC302="A", OR(VLOOKUP(AF302,[1]Diccionario!B:N,13,0)="B", VLOOKUP(AF302,[1]Diccionario!B:N,13,0)="C")), "SOBREOFERTA",""
))))))),"")</f>
        <v/>
      </c>
      <c r="AF302" s="48"/>
      <c r="AG302" s="53"/>
      <c r="AH302" s="54"/>
      <c r="AI302" s="55" t="str">
        <f t="shared" si="77"/>
        <v/>
      </c>
      <c r="AJ302" s="46"/>
      <c r="AK302" s="34" t="e">
        <f>IF(AB302&lt;&gt;"",HLOOKUP(VALUE(TEXT(AH302,"h:mm:ss")),IF($C$6="Laboral",[1]Input!$A$4:$Y$227,IF($C$6="Sábado",[1]Input!$A$231:$Y$452,[1]Input!$A$456:$Y$656)),VLOOKUP($C$4,[1]Input!$AG$2:$AI$99,3,0)+IF(AD$5="Ida",0,1),1),"")</f>
        <v>#N/A</v>
      </c>
      <c r="AL302" s="34" t="str">
        <f>IF(AB303&lt;&gt;AB302,AVERAGEIF(AB$9:AB302,AB302,AK$9:AK302),"")</f>
        <v/>
      </c>
      <c r="AM302" s="35" t="str">
        <f>IFERROR(IF(AB303&lt;&gt;AB302,AVERAGEIF(AB$9:AB302,AB302,AT$9:AT302),""),"")</f>
        <v/>
      </c>
      <c r="AN302" s="35" t="str">
        <f>IFERROR(IF(AB303&lt;&gt;AB302,AVERAGEIF(AB$9:AB302,AB302,AU$9:AU302),""),"")</f>
        <v/>
      </c>
      <c r="AO302" s="35" t="str" cm="1">
        <f t="array" ref="AO302">IFERROR(IF(AB303&lt;&gt;AB302,_xlfn.STDEV.P(IF(AB$9:AB302=AB302,AU$9:AU302)),""),"")</f>
        <v/>
      </c>
      <c r="AP302" s="35" t="str" cm="1">
        <f t="array" ref="AP302">IFERROR(IF(AB303&lt;&gt;AB302,_xlfn.STDEV.P(IF(AB$9:AB302=AB302,AT$9:AT302)),""),"")</f>
        <v/>
      </c>
      <c r="AQ302" s="36" t="str">
        <f t="shared" si="68"/>
        <v/>
      </c>
      <c r="AR302" s="36" t="str">
        <f t="shared" si="69"/>
        <v/>
      </c>
      <c r="AS302" s="36" t="str">
        <f t="shared" si="78"/>
        <v/>
      </c>
      <c r="AT302" s="37" t="str">
        <f t="shared" si="70"/>
        <v/>
      </c>
      <c r="AU302" s="37" t="str">
        <f t="shared" si="71"/>
        <v/>
      </c>
      <c r="AV302" s="54"/>
      <c r="AW302" s="46"/>
      <c r="AX302" s="39" t="str" cm="1">
        <f t="array" ref="AX302">IF(AH302&lt;&gt;"",IF(AND(AX300:AX301&lt;&gt;"IE",AQ302&lt;&gt;0,AS302&lt;&gt;""),IF(IFERROR((AQ302/AS302),0) &lt;=1,IFERROR(AQ302/AS302,""),1),""),"")</f>
        <v/>
      </c>
      <c r="AY302" s="46"/>
      <c r="AZ302" s="57"/>
    </row>
    <row r="303" spans="1:52" ht="15.5" x14ac:dyDescent="0.35">
      <c r="A303" s="51">
        <f t="shared" si="79"/>
        <v>1</v>
      </c>
      <c r="B303" s="52"/>
      <c r="C303" s="52"/>
      <c r="D303" s="29" t="str">
        <f>IFERROR(
IF(AND(OR(Planilla!B303="C",Planilla!B303="c"), VLOOKUP(E303,[1]Diccionario!B:N,13,0)="C"), "OK",IF(AND(OR(Planilla!B303="C",Planilla!B303="c"), OR(VLOOKUP(E303,[1]Diccionario!B:N,13,0)="B", VLOOKUP(E303,[1]Diccionario!B:N,13,0)="A")), "DEFICIT",IF(
AND(OR(Planilla!B303="B", Planilla!B303="BPAL"), VLOOKUP(E303,[1]Diccionario!B:N,13,0)="B"), "OK",IF(AND(OR(Planilla!B303="B", Planilla!B303="BPAL"), VLOOKUP(E303,[1]Diccionario!B:N,13,0)="A"), "DEFICIT",IF(AND(OR(Planilla!B303="B", Planilla!B303="BPAL"), VLOOKUP(E303,[1]Diccionario!B:N,13,0)="C"), "SOBREOFERTA",IF(AND(Planilla!B303="A", VLOOKUP(E303,[1]Diccionario!B:N,13,0)="A"), "OK",IF(
AND(Planilla!B303="A", OR(VLOOKUP(E303,[1]Diccionario!B:N,13,0)="B", VLOOKUP(E303,[1]Diccionario!B:N,13,0)="C")), "SOBREOFERTA",""
))))))),"")</f>
        <v/>
      </c>
      <c r="E303" s="48"/>
      <c r="F303" s="53"/>
      <c r="G303" s="54"/>
      <c r="H303" s="55" t="str">
        <f t="shared" si="72"/>
        <v/>
      </c>
      <c r="I303" s="35"/>
      <c r="J303" s="34" t="e">
        <f>IF(A303&lt;&gt;"",HLOOKUP(VALUE(TEXT(G303,"h:mm:ss")),IF($C$6="Laboral",[1]Input!$A$4:$Y$227,IF($C$6="Sábado",[1]Input!$A$231:$Y$452,[1]Input!$A$456:$Y$656)),VLOOKUP($C$4,[1]Input!$AG$2:$AI$99,3,0)+IF(C$5="Ida",0,1),1),"")</f>
        <v>#N/A</v>
      </c>
      <c r="K303" s="34" t="str">
        <f>IF(A304&lt;&gt;A303,AVERAGEIF(A$9:A303,A303,J$13:J303),"")</f>
        <v/>
      </c>
      <c r="L303" s="35" t="str">
        <f>IFERROR(IF(A304&lt;&gt;A303,AVERAGEIF(A$9:A303,A303,S$13:S303),""),"")</f>
        <v/>
      </c>
      <c r="M303" s="35" t="str">
        <f>IFERROR(IF(A304&lt;&gt;A303,AVERAGEIF(A$9:A303,A303,T$8:T303),""),"")</f>
        <v/>
      </c>
      <c r="N303" s="35" t="str" cm="1">
        <f t="array" ref="N303">IFERROR(IF(A304&lt;&gt;A303,_xlfn.STDEV.P(IF(A$9:A303=A303,T$7:T303)),""),"")</f>
        <v/>
      </c>
      <c r="O303" s="35" t="str" cm="1">
        <f t="array" ref="O303">IFERROR(IF(A304&lt;&gt;A303,_xlfn.STDEV.P(IF(A$9:A303=A303,S$7:S303)),""),"")</f>
        <v/>
      </c>
      <c r="P303" s="36" t="str">
        <f t="shared" si="65"/>
        <v/>
      </c>
      <c r="Q303" s="36" t="str">
        <f t="shared" si="66"/>
        <v/>
      </c>
      <c r="R303" s="36" t="str">
        <f t="shared" si="73"/>
        <v/>
      </c>
      <c r="S303" s="37" t="str">
        <f t="shared" si="74"/>
        <v/>
      </c>
      <c r="T303" s="37" t="str">
        <f t="shared" si="67"/>
        <v/>
      </c>
      <c r="U303" s="54"/>
      <c r="V303" s="46"/>
      <c r="W303" s="39" t="str">
        <f t="shared" si="75"/>
        <v/>
      </c>
      <c r="X303" s="38"/>
      <c r="Y303" s="48"/>
      <c r="AB303" s="56">
        <f t="shared" si="76"/>
        <v>1</v>
      </c>
      <c r="AC303" s="52"/>
      <c r="AD303" s="52"/>
      <c r="AE303" s="29" t="str">
        <f>IFERROR(
IF(AND(OR(AC303="C",AC303="c"), VLOOKUP(AF303,[1]Diccionario!B:N,13,0)="C"), "OK",IF(AND(OR(AC303="C",AC303="c"), OR(VLOOKUP(AF303,[1]Diccionario!B:N,13,0)="B", VLOOKUP(AF303,[1]Diccionario!B:N,13,0)="A")), "DEFICIT",IF(
AND(OR(AC303="B", AC303="BPAL"), VLOOKUP(AF303,[1]Diccionario!B:N,13,0)="B"), "OK",IF(AND(OR(AC303="B", AC303="BPAL"), VLOOKUP(AF303,[1]Diccionario!B:N,13,0)="A"), "DEFICIT",IF(AND(OR(AC303="B", AC303="BPAL"), VLOOKUP(AF303,[1]Diccionario!B:N,13,0)="C"), "SOBREOFERTA",IF(AND(AC303="A", VLOOKUP(AF303,[1]Diccionario!B:N,13,0)="A"), "OK",IF(
AND(AC303="A", OR(VLOOKUP(AF303,[1]Diccionario!B:N,13,0)="B", VLOOKUP(AF303,[1]Diccionario!B:N,13,0)="C")), "SOBREOFERTA",""
))))))),"")</f>
        <v/>
      </c>
      <c r="AF303" s="48"/>
      <c r="AG303" s="53"/>
      <c r="AH303" s="54"/>
      <c r="AI303" s="55" t="str">
        <f t="shared" si="77"/>
        <v/>
      </c>
      <c r="AJ303" s="46"/>
      <c r="AK303" s="34" t="e">
        <f>IF(AB303&lt;&gt;"",HLOOKUP(VALUE(TEXT(AH303,"h:mm:ss")),IF($C$6="Laboral",[1]Input!$A$4:$Y$227,IF($C$6="Sábado",[1]Input!$A$231:$Y$452,[1]Input!$A$456:$Y$656)),VLOOKUP($C$4,[1]Input!$AG$2:$AI$99,3,0)+IF(AD$5="Ida",0,1),1),"")</f>
        <v>#N/A</v>
      </c>
      <c r="AL303" s="34" t="str">
        <f>IF(AB304&lt;&gt;AB303,AVERAGEIF(AB$9:AB303,AB303,AK$9:AK303),"")</f>
        <v/>
      </c>
      <c r="AM303" s="35" t="str">
        <f>IFERROR(IF(AB304&lt;&gt;AB303,AVERAGEIF(AB$9:AB303,AB303,AT$9:AT303),""),"")</f>
        <v/>
      </c>
      <c r="AN303" s="35" t="str">
        <f>IFERROR(IF(AB304&lt;&gt;AB303,AVERAGEIF(AB$9:AB303,AB303,AU$9:AU303),""),"")</f>
        <v/>
      </c>
      <c r="AO303" s="35" t="str" cm="1">
        <f t="array" ref="AO303">IFERROR(IF(AB304&lt;&gt;AB303,_xlfn.STDEV.P(IF(AB$9:AB303=AB303,AU$9:AU303)),""),"")</f>
        <v/>
      </c>
      <c r="AP303" s="35" t="str" cm="1">
        <f t="array" ref="AP303">IFERROR(IF(AB304&lt;&gt;AB303,_xlfn.STDEV.P(IF(AB$9:AB303=AB303,AT$9:AT303)),""),"")</f>
        <v/>
      </c>
      <c r="AQ303" s="36" t="str">
        <f t="shared" si="68"/>
        <v/>
      </c>
      <c r="AR303" s="36" t="str">
        <f t="shared" si="69"/>
        <v/>
      </c>
      <c r="AS303" s="36" t="str">
        <f t="shared" si="78"/>
        <v/>
      </c>
      <c r="AT303" s="37" t="str">
        <f t="shared" si="70"/>
        <v/>
      </c>
      <c r="AU303" s="37" t="str">
        <f t="shared" si="71"/>
        <v/>
      </c>
      <c r="AV303" s="54"/>
      <c r="AW303" s="46"/>
      <c r="AX303" s="39" t="str" cm="1">
        <f t="array" ref="AX303">IF(AH303&lt;&gt;"",IF(AND(AX301:AX302&lt;&gt;"IE",AQ303&lt;&gt;0,AS303&lt;&gt;""),IF(IFERROR((AQ303/AS303),0) &lt;=1,IFERROR(AQ303/AS303,""),1),""),"")</f>
        <v/>
      </c>
      <c r="AY303" s="46"/>
      <c r="AZ303" s="57"/>
    </row>
    <row r="304" spans="1:52" ht="15.5" x14ac:dyDescent="0.35">
      <c r="A304" s="51">
        <f t="shared" si="79"/>
        <v>1</v>
      </c>
      <c r="B304" s="52"/>
      <c r="C304" s="52"/>
      <c r="D304" s="29" t="str">
        <f>IFERROR(
IF(AND(OR(Planilla!B304="C",Planilla!B304="c"), VLOOKUP(E304,[1]Diccionario!B:N,13,0)="C"), "OK",IF(AND(OR(Planilla!B304="C",Planilla!B304="c"), OR(VLOOKUP(E304,[1]Diccionario!B:N,13,0)="B", VLOOKUP(E304,[1]Diccionario!B:N,13,0)="A")), "DEFICIT",IF(
AND(OR(Planilla!B304="B", Planilla!B304="BPAL"), VLOOKUP(E304,[1]Diccionario!B:N,13,0)="B"), "OK",IF(AND(OR(Planilla!B304="B", Planilla!B304="BPAL"), VLOOKUP(E304,[1]Diccionario!B:N,13,0)="A"), "DEFICIT",IF(AND(OR(Planilla!B304="B", Planilla!B304="BPAL"), VLOOKUP(E304,[1]Diccionario!B:N,13,0)="C"), "SOBREOFERTA",IF(AND(Planilla!B304="A", VLOOKUP(E304,[1]Diccionario!B:N,13,0)="A"), "OK",IF(
AND(Planilla!B304="A", OR(VLOOKUP(E304,[1]Diccionario!B:N,13,0)="B", VLOOKUP(E304,[1]Diccionario!B:N,13,0)="C")), "SOBREOFERTA",""
))))))),"")</f>
        <v/>
      </c>
      <c r="E304" s="48"/>
      <c r="F304" s="53"/>
      <c r="G304" s="54"/>
      <c r="H304" s="55" t="str">
        <f t="shared" si="72"/>
        <v/>
      </c>
      <c r="I304" s="35"/>
      <c r="J304" s="34" t="e">
        <f>IF(A304&lt;&gt;"",HLOOKUP(VALUE(TEXT(G304,"h:mm:ss")),IF($C$6="Laboral",[1]Input!$A$4:$Y$227,IF($C$6="Sábado",[1]Input!$A$231:$Y$452,[1]Input!$A$456:$Y$656)),VLOOKUP($C$4,[1]Input!$AG$2:$AI$99,3,0)+IF(C$5="Ida",0,1),1),"")</f>
        <v>#N/A</v>
      </c>
      <c r="K304" s="34" t="str">
        <f>IF(A305&lt;&gt;A304,AVERAGEIF(A$9:A304,A304,J$13:J304),"")</f>
        <v/>
      </c>
      <c r="L304" s="35" t="str">
        <f>IFERROR(IF(A305&lt;&gt;A304,AVERAGEIF(A$9:A304,A304,S$13:S304),""),"")</f>
        <v/>
      </c>
      <c r="M304" s="35" t="str">
        <f>IFERROR(IF(A305&lt;&gt;A304,AVERAGEIF(A$9:A304,A304,T$8:T304),""),"")</f>
        <v/>
      </c>
      <c r="N304" s="35" t="str" cm="1">
        <f t="array" ref="N304">IFERROR(IF(A305&lt;&gt;A304,_xlfn.STDEV.P(IF(A$9:A304=A304,T$7:T304)),""),"")</f>
        <v/>
      </c>
      <c r="O304" s="35" t="str" cm="1">
        <f t="array" ref="O304">IFERROR(IF(A305&lt;&gt;A304,_xlfn.STDEV.P(IF(A$9:A304=A304,S$7:S304)),""),"")</f>
        <v/>
      </c>
      <c r="P304" s="36" t="str">
        <f t="shared" si="65"/>
        <v/>
      </c>
      <c r="Q304" s="36" t="str">
        <f t="shared" si="66"/>
        <v/>
      </c>
      <c r="R304" s="36" t="str">
        <f t="shared" si="73"/>
        <v/>
      </c>
      <c r="S304" s="37" t="str">
        <f t="shared" si="74"/>
        <v/>
      </c>
      <c r="T304" s="37" t="str">
        <f t="shared" si="67"/>
        <v/>
      </c>
      <c r="U304" s="54"/>
      <c r="V304" s="46"/>
      <c r="W304" s="39" t="str">
        <f t="shared" si="75"/>
        <v/>
      </c>
      <c r="X304" s="38"/>
      <c r="Y304" s="48"/>
      <c r="AB304" s="56">
        <f t="shared" si="76"/>
        <v>1</v>
      </c>
      <c r="AC304" s="52"/>
      <c r="AD304" s="52"/>
      <c r="AE304" s="29" t="str">
        <f>IFERROR(
IF(AND(OR(AC304="C",AC304="c"), VLOOKUP(AF304,[1]Diccionario!B:N,13,0)="C"), "OK",IF(AND(OR(AC304="C",AC304="c"), OR(VLOOKUP(AF304,[1]Diccionario!B:N,13,0)="B", VLOOKUP(AF304,[1]Diccionario!B:N,13,0)="A")), "DEFICIT",IF(
AND(OR(AC304="B", AC304="BPAL"), VLOOKUP(AF304,[1]Diccionario!B:N,13,0)="B"), "OK",IF(AND(OR(AC304="B", AC304="BPAL"), VLOOKUP(AF304,[1]Diccionario!B:N,13,0)="A"), "DEFICIT",IF(AND(OR(AC304="B", AC304="BPAL"), VLOOKUP(AF304,[1]Diccionario!B:N,13,0)="C"), "SOBREOFERTA",IF(AND(AC304="A", VLOOKUP(AF304,[1]Diccionario!B:N,13,0)="A"), "OK",IF(
AND(AC304="A", OR(VLOOKUP(AF304,[1]Diccionario!B:N,13,0)="B", VLOOKUP(AF304,[1]Diccionario!B:N,13,0)="C")), "SOBREOFERTA",""
))))))),"")</f>
        <v/>
      </c>
      <c r="AF304" s="48"/>
      <c r="AG304" s="53"/>
      <c r="AH304" s="54"/>
      <c r="AI304" s="55" t="str">
        <f t="shared" si="77"/>
        <v/>
      </c>
      <c r="AJ304" s="46"/>
      <c r="AK304" s="34" t="e">
        <f>IF(AB304&lt;&gt;"",HLOOKUP(VALUE(TEXT(AH304,"h:mm:ss")),IF($C$6="Laboral",[1]Input!$A$4:$Y$227,IF($C$6="Sábado",[1]Input!$A$231:$Y$452,[1]Input!$A$456:$Y$656)),VLOOKUP($C$4,[1]Input!$AG$2:$AI$99,3,0)+IF(AD$5="Ida",0,1),1),"")</f>
        <v>#N/A</v>
      </c>
      <c r="AL304" s="34" t="str">
        <f>IF(AB305&lt;&gt;AB304,AVERAGEIF(AB$9:AB304,AB304,AK$9:AK304),"")</f>
        <v/>
      </c>
      <c r="AM304" s="35" t="str">
        <f>IFERROR(IF(AB305&lt;&gt;AB304,AVERAGEIF(AB$9:AB304,AB304,AT$9:AT304),""),"")</f>
        <v/>
      </c>
      <c r="AN304" s="35" t="str">
        <f>IFERROR(IF(AB305&lt;&gt;AB304,AVERAGEIF(AB$9:AB304,AB304,AU$9:AU304),""),"")</f>
        <v/>
      </c>
      <c r="AO304" s="35" t="str" cm="1">
        <f t="array" ref="AO304">IFERROR(IF(AB305&lt;&gt;AB304,_xlfn.STDEV.P(IF(AB$9:AB304=AB304,AU$9:AU304)),""),"")</f>
        <v/>
      </c>
      <c r="AP304" s="35" t="str" cm="1">
        <f t="array" ref="AP304">IFERROR(IF(AB305&lt;&gt;AB304,_xlfn.STDEV.P(IF(AB$9:AB304=AB304,AT$9:AT304)),""),"")</f>
        <v/>
      </c>
      <c r="AQ304" s="36" t="str">
        <f t="shared" si="68"/>
        <v/>
      </c>
      <c r="AR304" s="36" t="str">
        <f t="shared" si="69"/>
        <v/>
      </c>
      <c r="AS304" s="36" t="str">
        <f t="shared" si="78"/>
        <v/>
      </c>
      <c r="AT304" s="37" t="str">
        <f t="shared" si="70"/>
        <v/>
      </c>
      <c r="AU304" s="37" t="str">
        <f t="shared" si="71"/>
        <v/>
      </c>
      <c r="AV304" s="54"/>
      <c r="AW304" s="46"/>
      <c r="AX304" s="39" t="str" cm="1">
        <f t="array" ref="AX304">IF(AH304&lt;&gt;"",IF(AND(AX302:AX303&lt;&gt;"IE",AQ304&lt;&gt;0,AS304&lt;&gt;""),IF(IFERROR((AQ304/AS304),0) &lt;=1,IFERROR(AQ304/AS304,""),1),""),"")</f>
        <v/>
      </c>
      <c r="AY304" s="46"/>
      <c r="AZ304" s="57"/>
    </row>
    <row r="305" spans="1:52" ht="15.5" x14ac:dyDescent="0.35">
      <c r="A305" s="51">
        <f t="shared" si="79"/>
        <v>1</v>
      </c>
      <c r="B305" s="52"/>
      <c r="C305" s="52"/>
      <c r="D305" s="29" t="str">
        <f>IFERROR(
IF(AND(OR(Planilla!B305="C",Planilla!B305="c"), VLOOKUP(E305,[1]Diccionario!B:N,13,0)="C"), "OK",IF(AND(OR(Planilla!B305="C",Planilla!B305="c"), OR(VLOOKUP(E305,[1]Diccionario!B:N,13,0)="B", VLOOKUP(E305,[1]Diccionario!B:N,13,0)="A")), "DEFICIT",IF(
AND(OR(Planilla!B305="B", Planilla!B305="BPAL"), VLOOKUP(E305,[1]Diccionario!B:N,13,0)="B"), "OK",IF(AND(OR(Planilla!B305="B", Planilla!B305="BPAL"), VLOOKUP(E305,[1]Diccionario!B:N,13,0)="A"), "DEFICIT",IF(AND(OR(Planilla!B305="B", Planilla!B305="BPAL"), VLOOKUP(E305,[1]Diccionario!B:N,13,0)="C"), "SOBREOFERTA",IF(AND(Planilla!B305="A", VLOOKUP(E305,[1]Diccionario!B:N,13,0)="A"), "OK",IF(
AND(Planilla!B305="A", OR(VLOOKUP(E305,[1]Diccionario!B:N,13,0)="B", VLOOKUP(E305,[1]Diccionario!B:N,13,0)="C")), "SOBREOFERTA",""
))))))),"")</f>
        <v/>
      </c>
      <c r="E305" s="48"/>
      <c r="F305" s="53"/>
      <c r="G305" s="54"/>
      <c r="H305" s="55" t="str">
        <f t="shared" si="72"/>
        <v/>
      </c>
      <c r="I305" s="35"/>
      <c r="J305" s="34" t="e">
        <f>IF(A305&lt;&gt;"",HLOOKUP(VALUE(TEXT(G305,"h:mm:ss")),IF($C$6="Laboral",[1]Input!$A$4:$Y$227,IF($C$6="Sábado",[1]Input!$A$231:$Y$452,[1]Input!$A$456:$Y$656)),VLOOKUP($C$4,[1]Input!$AG$2:$AI$99,3,0)+IF(C$5="Ida",0,1),1),"")</f>
        <v>#N/A</v>
      </c>
      <c r="K305" s="34" t="str">
        <f>IF(A306&lt;&gt;A305,AVERAGEIF(A$9:A305,A305,J$13:J305),"")</f>
        <v/>
      </c>
      <c r="L305" s="35" t="str">
        <f>IFERROR(IF(A306&lt;&gt;A305,AVERAGEIF(A$9:A305,A305,S$13:S305),""),"")</f>
        <v/>
      </c>
      <c r="M305" s="35" t="str">
        <f>IFERROR(IF(A306&lt;&gt;A305,AVERAGEIF(A$9:A305,A305,T$8:T305),""),"")</f>
        <v/>
      </c>
      <c r="N305" s="35" t="str" cm="1">
        <f t="array" ref="N305">IFERROR(IF(A306&lt;&gt;A305,_xlfn.STDEV.P(IF(A$9:A305=A305,T$7:T305)),""),"")</f>
        <v/>
      </c>
      <c r="O305" s="35" t="str" cm="1">
        <f t="array" ref="O305">IFERROR(IF(A306&lt;&gt;A305,_xlfn.STDEV.P(IF(A$9:A305=A305,S$7:S305)),""),"")</f>
        <v/>
      </c>
      <c r="P305" s="36" t="str">
        <f t="shared" si="65"/>
        <v/>
      </c>
      <c r="Q305" s="36" t="str">
        <f t="shared" si="66"/>
        <v/>
      </c>
      <c r="R305" s="36" t="str">
        <f t="shared" si="73"/>
        <v/>
      </c>
      <c r="S305" s="37" t="str">
        <f t="shared" si="74"/>
        <v/>
      </c>
      <c r="T305" s="37" t="str">
        <f t="shared" si="67"/>
        <v/>
      </c>
      <c r="U305" s="54"/>
      <c r="V305" s="46"/>
      <c r="W305" s="39" t="str">
        <f t="shared" si="75"/>
        <v/>
      </c>
      <c r="X305" s="38"/>
      <c r="Y305" s="48"/>
      <c r="AB305" s="56">
        <f t="shared" si="76"/>
        <v>1</v>
      </c>
      <c r="AC305" s="52"/>
      <c r="AD305" s="52"/>
      <c r="AE305" s="29" t="str">
        <f>IFERROR(
IF(AND(OR(AC305="C",AC305="c"), VLOOKUP(AF305,[1]Diccionario!B:N,13,0)="C"), "OK",IF(AND(OR(AC305="C",AC305="c"), OR(VLOOKUP(AF305,[1]Diccionario!B:N,13,0)="B", VLOOKUP(AF305,[1]Diccionario!B:N,13,0)="A")), "DEFICIT",IF(
AND(OR(AC305="B", AC305="BPAL"), VLOOKUP(AF305,[1]Diccionario!B:N,13,0)="B"), "OK",IF(AND(OR(AC305="B", AC305="BPAL"), VLOOKUP(AF305,[1]Diccionario!B:N,13,0)="A"), "DEFICIT",IF(AND(OR(AC305="B", AC305="BPAL"), VLOOKUP(AF305,[1]Diccionario!B:N,13,0)="C"), "SOBREOFERTA",IF(AND(AC305="A", VLOOKUP(AF305,[1]Diccionario!B:N,13,0)="A"), "OK",IF(
AND(AC305="A", OR(VLOOKUP(AF305,[1]Diccionario!B:N,13,0)="B", VLOOKUP(AF305,[1]Diccionario!B:N,13,0)="C")), "SOBREOFERTA",""
))))))),"")</f>
        <v/>
      </c>
      <c r="AF305" s="48"/>
      <c r="AG305" s="53"/>
      <c r="AH305" s="54"/>
      <c r="AI305" s="55" t="str">
        <f t="shared" si="77"/>
        <v/>
      </c>
      <c r="AJ305" s="46"/>
      <c r="AK305" s="34" t="e">
        <f>IF(AB305&lt;&gt;"",HLOOKUP(VALUE(TEXT(AH305,"h:mm:ss")),IF($C$6="Laboral",[1]Input!$A$4:$Y$227,IF($C$6="Sábado",[1]Input!$A$231:$Y$452,[1]Input!$A$456:$Y$656)),VLOOKUP($C$4,[1]Input!$AG$2:$AI$99,3,0)+IF(AD$5="Ida",0,1),1),"")</f>
        <v>#N/A</v>
      </c>
      <c r="AL305" s="34" t="str">
        <f>IF(AB306&lt;&gt;AB305,AVERAGEIF(AB$9:AB305,AB305,AK$9:AK305),"")</f>
        <v/>
      </c>
      <c r="AM305" s="35" t="str">
        <f>IFERROR(IF(AB306&lt;&gt;AB305,AVERAGEIF(AB$9:AB305,AB305,AT$9:AT305),""),"")</f>
        <v/>
      </c>
      <c r="AN305" s="35" t="str">
        <f>IFERROR(IF(AB306&lt;&gt;AB305,AVERAGEIF(AB$9:AB305,AB305,AU$9:AU305),""),"")</f>
        <v/>
      </c>
      <c r="AO305" s="35" t="str" cm="1">
        <f t="array" ref="AO305">IFERROR(IF(AB306&lt;&gt;AB305,_xlfn.STDEV.P(IF(AB$9:AB305=AB305,AU$9:AU305)),""),"")</f>
        <v/>
      </c>
      <c r="AP305" s="35" t="str" cm="1">
        <f t="array" ref="AP305">IFERROR(IF(AB306&lt;&gt;AB305,_xlfn.STDEV.P(IF(AB$9:AB305=AB305,AT$9:AT305)),""),"")</f>
        <v/>
      </c>
      <c r="AQ305" s="36" t="str">
        <f t="shared" si="68"/>
        <v/>
      </c>
      <c r="AR305" s="36" t="str">
        <f t="shared" si="69"/>
        <v/>
      </c>
      <c r="AS305" s="36" t="str">
        <f t="shared" si="78"/>
        <v/>
      </c>
      <c r="AT305" s="37" t="str">
        <f t="shared" si="70"/>
        <v/>
      </c>
      <c r="AU305" s="37" t="str">
        <f t="shared" si="71"/>
        <v/>
      </c>
      <c r="AV305" s="54"/>
      <c r="AW305" s="46"/>
      <c r="AX305" s="39" t="str" cm="1">
        <f t="array" ref="AX305">IF(AH305&lt;&gt;"",IF(AND(AX303:AX304&lt;&gt;"IE",AQ305&lt;&gt;0,AS305&lt;&gt;""),IF(IFERROR((AQ305/AS305),0) &lt;=1,IFERROR(AQ305/AS305,""),1),""),"")</f>
        <v/>
      </c>
      <c r="AY305" s="46"/>
      <c r="AZ305" s="57"/>
    </row>
    <row r="306" spans="1:52" ht="15.5" x14ac:dyDescent="0.35">
      <c r="A306" s="51">
        <f t="shared" si="79"/>
        <v>1</v>
      </c>
      <c r="B306" s="52"/>
      <c r="C306" s="52"/>
      <c r="D306" s="29" t="str">
        <f>IFERROR(
IF(AND(OR(Planilla!B306="C",Planilla!B306="c"), VLOOKUP(E306,[1]Diccionario!B:N,13,0)="C"), "OK",IF(AND(OR(Planilla!B306="C",Planilla!B306="c"), OR(VLOOKUP(E306,[1]Diccionario!B:N,13,0)="B", VLOOKUP(E306,[1]Diccionario!B:N,13,0)="A")), "DEFICIT",IF(
AND(OR(Planilla!B306="B", Planilla!B306="BPAL"), VLOOKUP(E306,[1]Diccionario!B:N,13,0)="B"), "OK",IF(AND(OR(Planilla!B306="B", Planilla!B306="BPAL"), VLOOKUP(E306,[1]Diccionario!B:N,13,0)="A"), "DEFICIT",IF(AND(OR(Planilla!B306="B", Planilla!B306="BPAL"), VLOOKUP(E306,[1]Diccionario!B:N,13,0)="C"), "SOBREOFERTA",IF(AND(Planilla!B306="A", VLOOKUP(E306,[1]Diccionario!B:N,13,0)="A"), "OK",IF(
AND(Planilla!B306="A", OR(VLOOKUP(E306,[1]Diccionario!B:N,13,0)="B", VLOOKUP(E306,[1]Diccionario!B:N,13,0)="C")), "SOBREOFERTA",""
))))))),"")</f>
        <v/>
      </c>
      <c r="E306" s="48"/>
      <c r="F306" s="53"/>
      <c r="G306" s="54"/>
      <c r="H306" s="55" t="str">
        <f t="shared" si="72"/>
        <v/>
      </c>
      <c r="I306" s="35"/>
      <c r="J306" s="34" t="e">
        <f>IF(A306&lt;&gt;"",HLOOKUP(VALUE(TEXT(G306,"h:mm:ss")),IF($C$6="Laboral",[1]Input!$A$4:$Y$227,IF($C$6="Sábado",[1]Input!$A$231:$Y$452,[1]Input!$A$456:$Y$656)),VLOOKUP($C$4,[1]Input!$AG$2:$AI$99,3,0)+IF(C$5="Ida",0,1),1),"")</f>
        <v>#N/A</v>
      </c>
      <c r="K306" s="34" t="str">
        <f>IF(A307&lt;&gt;A306,AVERAGEIF(A$9:A306,A306,J$13:J306),"")</f>
        <v/>
      </c>
      <c r="L306" s="35" t="str">
        <f>IFERROR(IF(A307&lt;&gt;A306,AVERAGEIF(A$9:A306,A306,S$13:S306),""),"")</f>
        <v/>
      </c>
      <c r="M306" s="35" t="str">
        <f>IFERROR(IF(A307&lt;&gt;A306,AVERAGEIF(A$9:A306,A306,T$8:T306),""),"")</f>
        <v/>
      </c>
      <c r="N306" s="35" t="str" cm="1">
        <f t="array" ref="N306">IFERROR(IF(A307&lt;&gt;A306,_xlfn.STDEV.P(IF(A$9:A306=A306,T$7:T306)),""),"")</f>
        <v/>
      </c>
      <c r="O306" s="35" t="str" cm="1">
        <f t="array" ref="O306">IFERROR(IF(A307&lt;&gt;A306,_xlfn.STDEV.P(IF(A$9:A306=A306,S$7:S306)),""),"")</f>
        <v/>
      </c>
      <c r="P306" s="36" t="str">
        <f t="shared" si="65"/>
        <v/>
      </c>
      <c r="Q306" s="36" t="str">
        <f t="shared" si="66"/>
        <v/>
      </c>
      <c r="R306" s="36" t="str">
        <f t="shared" si="73"/>
        <v/>
      </c>
      <c r="S306" s="37" t="str">
        <f t="shared" si="74"/>
        <v/>
      </c>
      <c r="T306" s="37" t="str">
        <f t="shared" si="67"/>
        <v/>
      </c>
      <c r="U306" s="54"/>
      <c r="V306" s="46"/>
      <c r="W306" s="39" t="str">
        <f t="shared" si="75"/>
        <v/>
      </c>
      <c r="X306" s="38"/>
      <c r="Y306" s="48"/>
      <c r="AB306" s="56">
        <f t="shared" si="76"/>
        <v>1</v>
      </c>
      <c r="AC306" s="52"/>
      <c r="AD306" s="52"/>
      <c r="AE306" s="29" t="str">
        <f>IFERROR(
IF(AND(OR(AC306="C",AC306="c"), VLOOKUP(AF306,[1]Diccionario!B:N,13,0)="C"), "OK",IF(AND(OR(AC306="C",AC306="c"), OR(VLOOKUP(AF306,[1]Diccionario!B:N,13,0)="B", VLOOKUP(AF306,[1]Diccionario!B:N,13,0)="A")), "DEFICIT",IF(
AND(OR(AC306="B", AC306="BPAL"), VLOOKUP(AF306,[1]Diccionario!B:N,13,0)="B"), "OK",IF(AND(OR(AC306="B", AC306="BPAL"), VLOOKUP(AF306,[1]Diccionario!B:N,13,0)="A"), "DEFICIT",IF(AND(OR(AC306="B", AC306="BPAL"), VLOOKUP(AF306,[1]Diccionario!B:N,13,0)="C"), "SOBREOFERTA",IF(AND(AC306="A", VLOOKUP(AF306,[1]Diccionario!B:N,13,0)="A"), "OK",IF(
AND(AC306="A", OR(VLOOKUP(AF306,[1]Diccionario!B:N,13,0)="B", VLOOKUP(AF306,[1]Diccionario!B:N,13,0)="C")), "SOBREOFERTA",""
))))))),"")</f>
        <v/>
      </c>
      <c r="AF306" s="48"/>
      <c r="AG306" s="53"/>
      <c r="AH306" s="54"/>
      <c r="AI306" s="55" t="str">
        <f t="shared" si="77"/>
        <v/>
      </c>
      <c r="AJ306" s="46"/>
      <c r="AK306" s="34" t="e">
        <f>IF(AB306&lt;&gt;"",HLOOKUP(VALUE(TEXT(AH306,"h:mm:ss")),IF($C$6="Laboral",[1]Input!$A$4:$Y$227,IF($C$6="Sábado",[1]Input!$A$231:$Y$452,[1]Input!$A$456:$Y$656)),VLOOKUP($C$4,[1]Input!$AG$2:$AI$99,3,0)+IF(AD$5="Ida",0,1),1),"")</f>
        <v>#N/A</v>
      </c>
      <c r="AL306" s="34" t="str">
        <f>IF(AB307&lt;&gt;AB306,AVERAGEIF(AB$9:AB306,AB306,AK$9:AK306),"")</f>
        <v/>
      </c>
      <c r="AM306" s="35" t="str">
        <f>IFERROR(IF(AB307&lt;&gt;AB306,AVERAGEIF(AB$9:AB306,AB306,AT$9:AT306),""),"")</f>
        <v/>
      </c>
      <c r="AN306" s="35" t="str">
        <f>IFERROR(IF(AB307&lt;&gt;AB306,AVERAGEIF(AB$9:AB306,AB306,AU$9:AU306),""),"")</f>
        <v/>
      </c>
      <c r="AO306" s="35" t="str" cm="1">
        <f t="array" ref="AO306">IFERROR(IF(AB307&lt;&gt;AB306,_xlfn.STDEV.P(IF(AB$9:AB306=AB306,AU$9:AU306)),""),"")</f>
        <v/>
      </c>
      <c r="AP306" s="35" t="str" cm="1">
        <f t="array" ref="AP306">IFERROR(IF(AB307&lt;&gt;AB306,_xlfn.STDEV.P(IF(AB$9:AB306=AB306,AT$9:AT306)),""),"")</f>
        <v/>
      </c>
      <c r="AQ306" s="36" t="str">
        <f t="shared" si="68"/>
        <v/>
      </c>
      <c r="AR306" s="36" t="str">
        <f t="shared" si="69"/>
        <v/>
      </c>
      <c r="AS306" s="36" t="str">
        <f t="shared" si="78"/>
        <v/>
      </c>
      <c r="AT306" s="37" t="str">
        <f t="shared" si="70"/>
        <v/>
      </c>
      <c r="AU306" s="37" t="str">
        <f t="shared" si="71"/>
        <v/>
      </c>
      <c r="AV306" s="54"/>
      <c r="AW306" s="46"/>
      <c r="AX306" s="39" t="str" cm="1">
        <f t="array" ref="AX306">IF(AH306&lt;&gt;"",IF(AND(AX304:AX305&lt;&gt;"IE",AQ306&lt;&gt;0,AS306&lt;&gt;""),IF(IFERROR((AQ306/AS306),0) &lt;=1,IFERROR(AQ306/AS306,""),1),""),"")</f>
        <v/>
      </c>
      <c r="AY306" s="46"/>
      <c r="AZ306" s="57"/>
    </row>
    <row r="307" spans="1:52" ht="15.5" x14ac:dyDescent="0.35">
      <c r="A307" s="51">
        <f t="shared" si="79"/>
        <v>1</v>
      </c>
      <c r="B307" s="52"/>
      <c r="C307" s="52"/>
      <c r="D307" s="29" t="str">
        <f>IFERROR(
IF(AND(OR(Planilla!B307="C",Planilla!B307="c"), VLOOKUP(E307,[1]Diccionario!B:N,13,0)="C"), "OK",IF(AND(OR(Planilla!B307="C",Planilla!B307="c"), OR(VLOOKUP(E307,[1]Diccionario!B:N,13,0)="B", VLOOKUP(E307,[1]Diccionario!B:N,13,0)="A")), "DEFICIT",IF(
AND(OR(Planilla!B307="B", Planilla!B307="BPAL"), VLOOKUP(E307,[1]Diccionario!B:N,13,0)="B"), "OK",IF(AND(OR(Planilla!B307="B", Planilla!B307="BPAL"), VLOOKUP(E307,[1]Diccionario!B:N,13,0)="A"), "DEFICIT",IF(AND(OR(Planilla!B307="B", Planilla!B307="BPAL"), VLOOKUP(E307,[1]Diccionario!B:N,13,0)="C"), "SOBREOFERTA",IF(AND(Planilla!B307="A", VLOOKUP(E307,[1]Diccionario!B:N,13,0)="A"), "OK",IF(
AND(Planilla!B307="A", OR(VLOOKUP(E307,[1]Diccionario!B:N,13,0)="B", VLOOKUP(E307,[1]Diccionario!B:N,13,0)="C")), "SOBREOFERTA",""
))))))),"")</f>
        <v/>
      </c>
      <c r="E307" s="48"/>
      <c r="F307" s="53"/>
      <c r="G307" s="54"/>
      <c r="H307" s="55" t="str">
        <f t="shared" si="72"/>
        <v/>
      </c>
      <c r="I307" s="35"/>
      <c r="J307" s="34" t="e">
        <f>IF(A307&lt;&gt;"",HLOOKUP(VALUE(TEXT(G307,"h:mm:ss")),IF($C$6="Laboral",[1]Input!$A$4:$Y$227,IF($C$6="Sábado",[1]Input!$A$231:$Y$452,[1]Input!$A$456:$Y$656)),VLOOKUP($C$4,[1]Input!$AG$2:$AI$99,3,0)+IF(C$5="Ida",0,1),1),"")</f>
        <v>#N/A</v>
      </c>
      <c r="K307" s="34" t="str">
        <f>IF(A308&lt;&gt;A307,AVERAGEIF(A$9:A307,A307,J$13:J307),"")</f>
        <v/>
      </c>
      <c r="L307" s="35" t="str">
        <f>IFERROR(IF(A308&lt;&gt;A307,AVERAGEIF(A$9:A307,A307,S$13:S307),""),"")</f>
        <v/>
      </c>
      <c r="M307" s="35" t="str">
        <f>IFERROR(IF(A308&lt;&gt;A307,AVERAGEIF(A$9:A307,A307,T$8:T307),""),"")</f>
        <v/>
      </c>
      <c r="N307" s="35" t="str" cm="1">
        <f t="array" ref="N307">IFERROR(IF(A308&lt;&gt;A307,_xlfn.STDEV.P(IF(A$9:A307=A307,T$7:T307)),""),"")</f>
        <v/>
      </c>
      <c r="O307" s="35" t="str" cm="1">
        <f t="array" ref="O307">IFERROR(IF(A308&lt;&gt;A307,_xlfn.STDEV.P(IF(A$9:A307=A307,S$7:S307)),""),"")</f>
        <v/>
      </c>
      <c r="P307" s="36" t="str">
        <f t="shared" si="65"/>
        <v/>
      </c>
      <c r="Q307" s="36" t="str">
        <f t="shared" si="66"/>
        <v/>
      </c>
      <c r="R307" s="36" t="str">
        <f t="shared" si="73"/>
        <v/>
      </c>
      <c r="S307" s="37" t="str">
        <f t="shared" si="74"/>
        <v/>
      </c>
      <c r="T307" s="37" t="str">
        <f t="shared" si="67"/>
        <v/>
      </c>
      <c r="U307" s="54"/>
      <c r="V307" s="46"/>
      <c r="W307" s="39" t="str">
        <f t="shared" si="75"/>
        <v/>
      </c>
      <c r="X307" s="38"/>
      <c r="Y307" s="48"/>
      <c r="AB307" s="56">
        <f t="shared" si="76"/>
        <v>1</v>
      </c>
      <c r="AC307" s="52"/>
      <c r="AD307" s="52"/>
      <c r="AE307" s="29" t="str">
        <f>IFERROR(
IF(AND(OR(AC307="C",AC307="c"), VLOOKUP(AF307,[1]Diccionario!B:N,13,0)="C"), "OK",IF(AND(OR(AC307="C",AC307="c"), OR(VLOOKUP(AF307,[1]Diccionario!B:N,13,0)="B", VLOOKUP(AF307,[1]Diccionario!B:N,13,0)="A")), "DEFICIT",IF(
AND(OR(AC307="B", AC307="BPAL"), VLOOKUP(AF307,[1]Diccionario!B:N,13,0)="B"), "OK",IF(AND(OR(AC307="B", AC307="BPAL"), VLOOKUP(AF307,[1]Diccionario!B:N,13,0)="A"), "DEFICIT",IF(AND(OR(AC307="B", AC307="BPAL"), VLOOKUP(AF307,[1]Diccionario!B:N,13,0)="C"), "SOBREOFERTA",IF(AND(AC307="A", VLOOKUP(AF307,[1]Diccionario!B:N,13,0)="A"), "OK",IF(
AND(AC307="A", OR(VLOOKUP(AF307,[1]Diccionario!B:N,13,0)="B", VLOOKUP(AF307,[1]Diccionario!B:N,13,0)="C")), "SOBREOFERTA",""
))))))),"")</f>
        <v/>
      </c>
      <c r="AF307" s="48"/>
      <c r="AG307" s="53"/>
      <c r="AH307" s="54"/>
      <c r="AI307" s="55" t="str">
        <f t="shared" si="77"/>
        <v/>
      </c>
      <c r="AJ307" s="46"/>
      <c r="AK307" s="34" t="e">
        <f>IF(AB307&lt;&gt;"",HLOOKUP(VALUE(TEXT(AH307,"h:mm:ss")),IF($C$6="Laboral",[1]Input!$A$4:$Y$227,IF($C$6="Sábado",[1]Input!$A$231:$Y$452,[1]Input!$A$456:$Y$656)),VLOOKUP($C$4,[1]Input!$AG$2:$AI$99,3,0)+IF(AD$5="Ida",0,1),1),"")</f>
        <v>#N/A</v>
      </c>
      <c r="AL307" s="34" t="str">
        <f>IF(AB308&lt;&gt;AB307,AVERAGEIF(AB$9:AB307,AB307,AK$9:AK307),"")</f>
        <v/>
      </c>
      <c r="AM307" s="35" t="str">
        <f>IFERROR(IF(AB308&lt;&gt;AB307,AVERAGEIF(AB$9:AB307,AB307,AT$9:AT307),""),"")</f>
        <v/>
      </c>
      <c r="AN307" s="35" t="str">
        <f>IFERROR(IF(AB308&lt;&gt;AB307,AVERAGEIF(AB$9:AB307,AB307,AU$9:AU307),""),"")</f>
        <v/>
      </c>
      <c r="AO307" s="35" t="str" cm="1">
        <f t="array" ref="AO307">IFERROR(IF(AB308&lt;&gt;AB307,_xlfn.STDEV.P(IF(AB$9:AB307=AB307,AU$9:AU307)),""),"")</f>
        <v/>
      </c>
      <c r="AP307" s="35" t="str" cm="1">
        <f t="array" ref="AP307">IFERROR(IF(AB308&lt;&gt;AB307,_xlfn.STDEV.P(IF(AB$9:AB307=AB307,AT$9:AT307)),""),"")</f>
        <v/>
      </c>
      <c r="AQ307" s="36" t="str">
        <f t="shared" si="68"/>
        <v/>
      </c>
      <c r="AR307" s="36" t="str">
        <f t="shared" si="69"/>
        <v/>
      </c>
      <c r="AS307" s="36" t="str">
        <f t="shared" si="78"/>
        <v/>
      </c>
      <c r="AT307" s="37" t="str">
        <f t="shared" si="70"/>
        <v/>
      </c>
      <c r="AU307" s="37" t="str">
        <f t="shared" si="71"/>
        <v/>
      </c>
      <c r="AV307" s="54"/>
      <c r="AW307" s="46"/>
      <c r="AX307" s="39" t="str" cm="1">
        <f t="array" ref="AX307">IF(AH307&lt;&gt;"",IF(AND(AX305:AX306&lt;&gt;"IE",AQ307&lt;&gt;0,AS307&lt;&gt;""),IF(IFERROR((AQ307/AS307),0) &lt;=1,IFERROR(AQ307/AS307,""),1),""),"")</f>
        <v/>
      </c>
      <c r="AY307" s="46"/>
      <c r="AZ307" s="57"/>
    </row>
    <row r="308" spans="1:52" ht="15.5" x14ac:dyDescent="0.35">
      <c r="A308" s="51">
        <f t="shared" si="79"/>
        <v>1</v>
      </c>
      <c r="B308" s="52"/>
      <c r="C308" s="52"/>
      <c r="D308" s="29" t="str">
        <f>IFERROR(
IF(AND(OR(Planilla!B308="C",Planilla!B308="c"), VLOOKUP(E308,[1]Diccionario!B:N,13,0)="C"), "OK",IF(AND(OR(Planilla!B308="C",Planilla!B308="c"), OR(VLOOKUP(E308,[1]Diccionario!B:N,13,0)="B", VLOOKUP(E308,[1]Diccionario!B:N,13,0)="A")), "DEFICIT",IF(
AND(OR(Planilla!B308="B", Planilla!B308="BPAL"), VLOOKUP(E308,[1]Diccionario!B:N,13,0)="B"), "OK",IF(AND(OR(Planilla!B308="B", Planilla!B308="BPAL"), VLOOKUP(E308,[1]Diccionario!B:N,13,0)="A"), "DEFICIT",IF(AND(OR(Planilla!B308="B", Planilla!B308="BPAL"), VLOOKUP(E308,[1]Diccionario!B:N,13,0)="C"), "SOBREOFERTA",IF(AND(Planilla!B308="A", VLOOKUP(E308,[1]Diccionario!B:N,13,0)="A"), "OK",IF(
AND(Planilla!B308="A", OR(VLOOKUP(E308,[1]Diccionario!B:N,13,0)="B", VLOOKUP(E308,[1]Diccionario!B:N,13,0)="C")), "SOBREOFERTA",""
))))))),"")</f>
        <v/>
      </c>
      <c r="E308" s="48"/>
      <c r="F308" s="53"/>
      <c r="G308" s="54"/>
      <c r="H308" s="55" t="str">
        <f t="shared" si="72"/>
        <v/>
      </c>
      <c r="I308" s="35"/>
      <c r="J308" s="34" t="e">
        <f>IF(A308&lt;&gt;"",HLOOKUP(VALUE(TEXT(G308,"h:mm:ss")),IF($C$6="Laboral",[1]Input!$A$4:$Y$227,IF($C$6="Sábado",[1]Input!$A$231:$Y$452,[1]Input!$A$456:$Y$656)),VLOOKUP($C$4,[1]Input!$AG$2:$AI$99,3,0)+IF(C$5="Ida",0,1),1),"")</f>
        <v>#N/A</v>
      </c>
      <c r="K308" s="34" t="str">
        <f>IF(A309&lt;&gt;A308,AVERAGEIF(A$9:A308,A308,J$13:J308),"")</f>
        <v/>
      </c>
      <c r="L308" s="35" t="str">
        <f>IFERROR(IF(A309&lt;&gt;A308,AVERAGEIF(A$9:A308,A308,S$13:S308),""),"")</f>
        <v/>
      </c>
      <c r="M308" s="35" t="str">
        <f>IFERROR(IF(A309&lt;&gt;A308,AVERAGEIF(A$9:A308,A308,T$8:T308),""),"")</f>
        <v/>
      </c>
      <c r="N308" s="35" t="str" cm="1">
        <f t="array" ref="N308">IFERROR(IF(A309&lt;&gt;A308,_xlfn.STDEV.P(IF(A$9:A308=A308,T$7:T308)),""),"")</f>
        <v/>
      </c>
      <c r="O308" s="35" t="str" cm="1">
        <f t="array" ref="O308">IFERROR(IF(A309&lt;&gt;A308,_xlfn.STDEV.P(IF(A$9:A308=A308,S$7:S308)),""),"")</f>
        <v/>
      </c>
      <c r="P308" s="36" t="str">
        <f t="shared" si="65"/>
        <v/>
      </c>
      <c r="Q308" s="36" t="str">
        <f t="shared" si="66"/>
        <v/>
      </c>
      <c r="R308" s="36" t="str">
        <f t="shared" si="73"/>
        <v/>
      </c>
      <c r="S308" s="37" t="str">
        <f t="shared" si="74"/>
        <v/>
      </c>
      <c r="T308" s="37" t="str">
        <f t="shared" si="67"/>
        <v/>
      </c>
      <c r="U308" s="54"/>
      <c r="V308" s="46"/>
      <c r="W308" s="39" t="str">
        <f t="shared" si="75"/>
        <v/>
      </c>
      <c r="X308" s="38"/>
      <c r="Y308" s="48"/>
      <c r="AB308" s="56">
        <f t="shared" si="76"/>
        <v>1</v>
      </c>
      <c r="AC308" s="52"/>
      <c r="AD308" s="52"/>
      <c r="AE308" s="29" t="str">
        <f>IFERROR(
IF(AND(OR(AC308="C",AC308="c"), VLOOKUP(AF308,[1]Diccionario!B:N,13,0)="C"), "OK",IF(AND(OR(AC308="C",AC308="c"), OR(VLOOKUP(AF308,[1]Diccionario!B:N,13,0)="B", VLOOKUP(AF308,[1]Diccionario!B:N,13,0)="A")), "DEFICIT",IF(
AND(OR(AC308="B", AC308="BPAL"), VLOOKUP(AF308,[1]Diccionario!B:N,13,0)="B"), "OK",IF(AND(OR(AC308="B", AC308="BPAL"), VLOOKUP(AF308,[1]Diccionario!B:N,13,0)="A"), "DEFICIT",IF(AND(OR(AC308="B", AC308="BPAL"), VLOOKUP(AF308,[1]Diccionario!B:N,13,0)="C"), "SOBREOFERTA",IF(AND(AC308="A", VLOOKUP(AF308,[1]Diccionario!B:N,13,0)="A"), "OK",IF(
AND(AC308="A", OR(VLOOKUP(AF308,[1]Diccionario!B:N,13,0)="B", VLOOKUP(AF308,[1]Diccionario!B:N,13,0)="C")), "SOBREOFERTA",""
))))))),"")</f>
        <v/>
      </c>
      <c r="AF308" s="48"/>
      <c r="AG308" s="53"/>
      <c r="AH308" s="54"/>
      <c r="AI308" s="55" t="str">
        <f t="shared" si="77"/>
        <v/>
      </c>
      <c r="AJ308" s="46"/>
      <c r="AK308" s="34" t="e">
        <f>IF(AB308&lt;&gt;"",HLOOKUP(VALUE(TEXT(AH308,"h:mm:ss")),IF($C$6="Laboral",[1]Input!$A$4:$Y$227,IF($C$6="Sábado",[1]Input!$A$231:$Y$452,[1]Input!$A$456:$Y$656)),VLOOKUP($C$4,[1]Input!$AG$2:$AI$99,3,0)+IF(AD$5="Ida",0,1),1),"")</f>
        <v>#N/A</v>
      </c>
      <c r="AL308" s="34" t="str">
        <f>IF(AB309&lt;&gt;AB308,AVERAGEIF(AB$9:AB308,AB308,AK$9:AK308),"")</f>
        <v/>
      </c>
      <c r="AM308" s="35" t="str">
        <f>IFERROR(IF(AB309&lt;&gt;AB308,AVERAGEIF(AB$9:AB308,AB308,AT$9:AT308),""),"")</f>
        <v/>
      </c>
      <c r="AN308" s="35" t="str">
        <f>IFERROR(IF(AB309&lt;&gt;AB308,AVERAGEIF(AB$9:AB308,AB308,AU$9:AU308),""),"")</f>
        <v/>
      </c>
      <c r="AO308" s="35" t="str" cm="1">
        <f t="array" ref="AO308">IFERROR(IF(AB309&lt;&gt;AB308,_xlfn.STDEV.P(IF(AB$9:AB308=AB308,AU$9:AU308)),""),"")</f>
        <v/>
      </c>
      <c r="AP308" s="35" t="str" cm="1">
        <f t="array" ref="AP308">IFERROR(IF(AB309&lt;&gt;AB308,_xlfn.STDEV.P(IF(AB$9:AB308=AB308,AT$9:AT308)),""),"")</f>
        <v/>
      </c>
      <c r="AQ308" s="36" t="str">
        <f t="shared" si="68"/>
        <v/>
      </c>
      <c r="AR308" s="36" t="str">
        <f t="shared" si="69"/>
        <v/>
      </c>
      <c r="AS308" s="36" t="str">
        <f t="shared" si="78"/>
        <v/>
      </c>
      <c r="AT308" s="37" t="str">
        <f t="shared" si="70"/>
        <v/>
      </c>
      <c r="AU308" s="37" t="str">
        <f t="shared" si="71"/>
        <v/>
      </c>
      <c r="AV308" s="54"/>
      <c r="AW308" s="46"/>
      <c r="AX308" s="39" t="str" cm="1">
        <f t="array" ref="AX308">IF(AH308&lt;&gt;"",IF(AND(AX306:AX307&lt;&gt;"IE",AQ308&lt;&gt;0,AS308&lt;&gt;""),IF(IFERROR((AQ308/AS308),0) &lt;=1,IFERROR(AQ308/AS308,""),1),""),"")</f>
        <v/>
      </c>
      <c r="AY308" s="46"/>
      <c r="AZ308" s="57"/>
    </row>
    <row r="309" spans="1:52" ht="15.5" x14ac:dyDescent="0.35">
      <c r="A309" s="51">
        <f t="shared" si="79"/>
        <v>1</v>
      </c>
      <c r="B309" s="52"/>
      <c r="C309" s="52"/>
      <c r="D309" s="29" t="str">
        <f>IFERROR(
IF(AND(OR(Planilla!B309="C",Planilla!B309="c"), VLOOKUP(E309,[1]Diccionario!B:N,13,0)="C"), "OK",IF(AND(OR(Planilla!B309="C",Planilla!B309="c"), OR(VLOOKUP(E309,[1]Diccionario!B:N,13,0)="B", VLOOKUP(E309,[1]Diccionario!B:N,13,0)="A")), "DEFICIT",IF(
AND(OR(Planilla!B309="B", Planilla!B309="BPAL"), VLOOKUP(E309,[1]Diccionario!B:N,13,0)="B"), "OK",IF(AND(OR(Planilla!B309="B", Planilla!B309="BPAL"), VLOOKUP(E309,[1]Diccionario!B:N,13,0)="A"), "DEFICIT",IF(AND(OR(Planilla!B309="B", Planilla!B309="BPAL"), VLOOKUP(E309,[1]Diccionario!B:N,13,0)="C"), "SOBREOFERTA",IF(AND(Planilla!B309="A", VLOOKUP(E309,[1]Diccionario!B:N,13,0)="A"), "OK",IF(
AND(Planilla!B309="A", OR(VLOOKUP(E309,[1]Diccionario!B:N,13,0)="B", VLOOKUP(E309,[1]Diccionario!B:N,13,0)="C")), "SOBREOFERTA",""
))))))),"")</f>
        <v/>
      </c>
      <c r="E309" s="48"/>
      <c r="F309" s="53"/>
      <c r="G309" s="54"/>
      <c r="H309" s="55" t="str">
        <f t="shared" si="72"/>
        <v/>
      </c>
      <c r="I309" s="35"/>
      <c r="J309" s="34" t="e">
        <f>IF(A309&lt;&gt;"",HLOOKUP(VALUE(TEXT(G309,"h:mm:ss")),IF($C$6="Laboral",[1]Input!$A$4:$Y$227,IF($C$6="Sábado",[1]Input!$A$231:$Y$452,[1]Input!$A$456:$Y$656)),VLOOKUP($C$4,[1]Input!$AG$2:$AI$99,3,0)+IF(C$5="Ida",0,1),1),"")</f>
        <v>#N/A</v>
      </c>
      <c r="K309" s="34" t="str">
        <f>IF(A310&lt;&gt;A309,AVERAGEIF(A$9:A309,A309,J$13:J309),"")</f>
        <v/>
      </c>
      <c r="L309" s="35" t="str">
        <f>IFERROR(IF(A310&lt;&gt;A309,AVERAGEIF(A$9:A309,A309,S$13:S309),""),"")</f>
        <v/>
      </c>
      <c r="M309" s="35" t="str">
        <f>IFERROR(IF(A310&lt;&gt;A309,AVERAGEIF(A$9:A309,A309,T$8:T309),""),"")</f>
        <v/>
      </c>
      <c r="N309" s="35" t="str" cm="1">
        <f t="array" ref="N309">IFERROR(IF(A310&lt;&gt;A309,_xlfn.STDEV.P(IF(A$9:A309=A309,T$7:T309)),""),"")</f>
        <v/>
      </c>
      <c r="O309" s="35" t="str" cm="1">
        <f t="array" ref="O309">IFERROR(IF(A310&lt;&gt;A309,_xlfn.STDEV.P(IF(A$9:A309=A309,S$7:S309)),""),"")</f>
        <v/>
      </c>
      <c r="P309" s="36" t="str">
        <f t="shared" si="65"/>
        <v/>
      </c>
      <c r="Q309" s="36" t="str">
        <f t="shared" si="66"/>
        <v/>
      </c>
      <c r="R309" s="36" t="str">
        <f t="shared" si="73"/>
        <v/>
      </c>
      <c r="S309" s="37" t="str">
        <f t="shared" si="74"/>
        <v/>
      </c>
      <c r="T309" s="37" t="str">
        <f t="shared" si="67"/>
        <v/>
      </c>
      <c r="U309" s="54"/>
      <c r="V309" s="46"/>
      <c r="W309" s="39" t="str">
        <f t="shared" si="75"/>
        <v/>
      </c>
      <c r="X309" s="38"/>
      <c r="Y309" s="48"/>
      <c r="AB309" s="56">
        <f t="shared" si="76"/>
        <v>1</v>
      </c>
      <c r="AC309" s="52"/>
      <c r="AD309" s="52"/>
      <c r="AE309" s="29" t="str">
        <f>IFERROR(
IF(AND(OR(AC309="C",AC309="c"), VLOOKUP(AF309,[1]Diccionario!B:N,13,0)="C"), "OK",IF(AND(OR(AC309="C",AC309="c"), OR(VLOOKUP(AF309,[1]Diccionario!B:N,13,0)="B", VLOOKUP(AF309,[1]Diccionario!B:N,13,0)="A")), "DEFICIT",IF(
AND(OR(AC309="B", AC309="BPAL"), VLOOKUP(AF309,[1]Diccionario!B:N,13,0)="B"), "OK",IF(AND(OR(AC309="B", AC309="BPAL"), VLOOKUP(AF309,[1]Diccionario!B:N,13,0)="A"), "DEFICIT",IF(AND(OR(AC309="B", AC309="BPAL"), VLOOKUP(AF309,[1]Diccionario!B:N,13,0)="C"), "SOBREOFERTA",IF(AND(AC309="A", VLOOKUP(AF309,[1]Diccionario!B:N,13,0)="A"), "OK",IF(
AND(AC309="A", OR(VLOOKUP(AF309,[1]Diccionario!B:N,13,0)="B", VLOOKUP(AF309,[1]Diccionario!B:N,13,0)="C")), "SOBREOFERTA",""
))))))),"")</f>
        <v/>
      </c>
      <c r="AF309" s="48"/>
      <c r="AG309" s="53"/>
      <c r="AH309" s="54"/>
      <c r="AI309" s="55" t="str">
        <f t="shared" si="77"/>
        <v/>
      </c>
      <c r="AJ309" s="46"/>
      <c r="AK309" s="34" t="e">
        <f>IF(AB309&lt;&gt;"",HLOOKUP(VALUE(TEXT(AH309,"h:mm:ss")),IF($C$6="Laboral",[1]Input!$A$4:$Y$227,IF($C$6="Sábado",[1]Input!$A$231:$Y$452,[1]Input!$A$456:$Y$656)),VLOOKUP($C$4,[1]Input!$AG$2:$AI$99,3,0)+IF(AD$5="Ida",0,1),1),"")</f>
        <v>#N/A</v>
      </c>
      <c r="AL309" s="34" t="str">
        <f>IF(AB310&lt;&gt;AB309,AVERAGEIF(AB$9:AB309,AB309,AK$9:AK309),"")</f>
        <v/>
      </c>
      <c r="AM309" s="35" t="str">
        <f>IFERROR(IF(AB310&lt;&gt;AB309,AVERAGEIF(AB$9:AB309,AB309,AT$9:AT309),""),"")</f>
        <v/>
      </c>
      <c r="AN309" s="35" t="str">
        <f>IFERROR(IF(AB310&lt;&gt;AB309,AVERAGEIF(AB$9:AB309,AB309,AU$9:AU309),""),"")</f>
        <v/>
      </c>
      <c r="AO309" s="35" t="str" cm="1">
        <f t="array" ref="AO309">IFERROR(IF(AB310&lt;&gt;AB309,_xlfn.STDEV.P(IF(AB$9:AB309=AB309,AU$9:AU309)),""),"")</f>
        <v/>
      </c>
      <c r="AP309" s="35" t="str" cm="1">
        <f t="array" ref="AP309">IFERROR(IF(AB310&lt;&gt;AB309,_xlfn.STDEV.P(IF(AB$9:AB309=AB309,AT$9:AT309)),""),"")</f>
        <v/>
      </c>
      <c r="AQ309" s="36" t="str">
        <f t="shared" si="68"/>
        <v/>
      </c>
      <c r="AR309" s="36" t="str">
        <f t="shared" si="69"/>
        <v/>
      </c>
      <c r="AS309" s="36" t="str">
        <f t="shared" si="78"/>
        <v/>
      </c>
      <c r="AT309" s="37" t="str">
        <f t="shared" si="70"/>
        <v/>
      </c>
      <c r="AU309" s="37" t="str">
        <f t="shared" si="71"/>
        <v/>
      </c>
      <c r="AV309" s="54"/>
      <c r="AW309" s="46"/>
      <c r="AX309" s="39" t="str" cm="1">
        <f t="array" ref="AX309">IF(AH309&lt;&gt;"",IF(AND(AX307:AX308&lt;&gt;"IE",AQ309&lt;&gt;0,AS309&lt;&gt;""),IF(IFERROR((AQ309/AS309),0) &lt;=1,IFERROR(AQ309/AS309,""),1),""),"")</f>
        <v/>
      </c>
      <c r="AY309" s="46"/>
      <c r="AZ309" s="57"/>
    </row>
    <row r="310" spans="1:52" ht="15.5" x14ac:dyDescent="0.35">
      <c r="A310" s="51">
        <f t="shared" si="79"/>
        <v>1</v>
      </c>
      <c r="B310" s="52"/>
      <c r="C310" s="52"/>
      <c r="D310" s="29" t="str">
        <f>IFERROR(
IF(AND(OR(Planilla!B310="C",Planilla!B310="c"), VLOOKUP(E310,[1]Diccionario!B:N,13,0)="C"), "OK",IF(AND(OR(Planilla!B310="C",Planilla!B310="c"), OR(VLOOKUP(E310,[1]Diccionario!B:N,13,0)="B", VLOOKUP(E310,[1]Diccionario!B:N,13,0)="A")), "DEFICIT",IF(
AND(OR(Planilla!B310="B", Planilla!B310="BPAL"), VLOOKUP(E310,[1]Diccionario!B:N,13,0)="B"), "OK",IF(AND(OR(Planilla!B310="B", Planilla!B310="BPAL"), VLOOKUP(E310,[1]Diccionario!B:N,13,0)="A"), "DEFICIT",IF(AND(OR(Planilla!B310="B", Planilla!B310="BPAL"), VLOOKUP(E310,[1]Diccionario!B:N,13,0)="C"), "SOBREOFERTA",IF(AND(Planilla!B310="A", VLOOKUP(E310,[1]Diccionario!B:N,13,0)="A"), "OK",IF(
AND(Planilla!B310="A", OR(VLOOKUP(E310,[1]Diccionario!B:N,13,0)="B", VLOOKUP(E310,[1]Diccionario!B:N,13,0)="C")), "SOBREOFERTA",""
))))))),"")</f>
        <v/>
      </c>
      <c r="E310" s="48"/>
      <c r="F310" s="53"/>
      <c r="G310" s="54"/>
      <c r="H310" s="55" t="str">
        <f t="shared" si="72"/>
        <v/>
      </c>
      <c r="I310" s="35"/>
      <c r="J310" s="34" t="e">
        <f>IF(A310&lt;&gt;"",HLOOKUP(VALUE(TEXT(G310,"h:mm:ss")),IF($C$6="Laboral",[1]Input!$A$4:$Y$227,IF($C$6="Sábado",[1]Input!$A$231:$Y$452,[1]Input!$A$456:$Y$656)),VLOOKUP($C$4,[1]Input!$AG$2:$AI$99,3,0)+IF(C$5="Ida",0,1),1),"")</f>
        <v>#N/A</v>
      </c>
      <c r="K310" s="34" t="str">
        <f>IF(A311&lt;&gt;A310,AVERAGEIF(A$9:A310,A310,J$13:J310),"")</f>
        <v/>
      </c>
      <c r="L310" s="35" t="str">
        <f>IFERROR(IF(A311&lt;&gt;A310,AVERAGEIF(A$9:A310,A310,S$13:S310),""),"")</f>
        <v/>
      </c>
      <c r="M310" s="35" t="str">
        <f>IFERROR(IF(A311&lt;&gt;A310,AVERAGEIF(A$9:A310,A310,T$8:T310),""),"")</f>
        <v/>
      </c>
      <c r="N310" s="35" t="str" cm="1">
        <f t="array" ref="N310">IFERROR(IF(A311&lt;&gt;A310,_xlfn.STDEV.P(IF(A$9:A310=A310,T$7:T310)),""),"")</f>
        <v/>
      </c>
      <c r="O310" s="35" t="str" cm="1">
        <f t="array" ref="O310">IFERROR(IF(A311&lt;&gt;A310,_xlfn.STDEV.P(IF(A$9:A310=A310,S$7:S310)),""),"")</f>
        <v/>
      </c>
      <c r="P310" s="36" t="str">
        <f t="shared" si="65"/>
        <v/>
      </c>
      <c r="Q310" s="36" t="str">
        <f t="shared" si="66"/>
        <v/>
      </c>
      <c r="R310" s="36" t="str">
        <f t="shared" si="73"/>
        <v/>
      </c>
      <c r="S310" s="37" t="str">
        <f t="shared" si="74"/>
        <v/>
      </c>
      <c r="T310" s="37" t="str">
        <f t="shared" si="67"/>
        <v/>
      </c>
      <c r="U310" s="54"/>
      <c r="V310" s="46"/>
      <c r="W310" s="39" t="str">
        <f t="shared" si="75"/>
        <v/>
      </c>
      <c r="X310" s="38"/>
      <c r="Y310" s="48"/>
      <c r="AB310" s="56">
        <f t="shared" si="76"/>
        <v>1</v>
      </c>
      <c r="AC310" s="52"/>
      <c r="AD310" s="52"/>
      <c r="AE310" s="29" t="str">
        <f>IFERROR(
IF(AND(OR(AC310="C",AC310="c"), VLOOKUP(AF310,[1]Diccionario!B:N,13,0)="C"), "OK",IF(AND(OR(AC310="C",AC310="c"), OR(VLOOKUP(AF310,[1]Diccionario!B:N,13,0)="B", VLOOKUP(AF310,[1]Diccionario!B:N,13,0)="A")), "DEFICIT",IF(
AND(OR(AC310="B", AC310="BPAL"), VLOOKUP(AF310,[1]Diccionario!B:N,13,0)="B"), "OK",IF(AND(OR(AC310="B", AC310="BPAL"), VLOOKUP(AF310,[1]Diccionario!B:N,13,0)="A"), "DEFICIT",IF(AND(OR(AC310="B", AC310="BPAL"), VLOOKUP(AF310,[1]Diccionario!B:N,13,0)="C"), "SOBREOFERTA",IF(AND(AC310="A", VLOOKUP(AF310,[1]Diccionario!B:N,13,0)="A"), "OK",IF(
AND(AC310="A", OR(VLOOKUP(AF310,[1]Diccionario!B:N,13,0)="B", VLOOKUP(AF310,[1]Diccionario!B:N,13,0)="C")), "SOBREOFERTA",""
))))))),"")</f>
        <v/>
      </c>
      <c r="AF310" s="48"/>
      <c r="AG310" s="53"/>
      <c r="AH310" s="54"/>
      <c r="AI310" s="55" t="str">
        <f t="shared" si="77"/>
        <v/>
      </c>
      <c r="AJ310" s="46"/>
      <c r="AK310" s="34" t="e">
        <f>IF(AB310&lt;&gt;"",HLOOKUP(VALUE(TEXT(AH310,"h:mm:ss")),IF($C$6="Laboral",[1]Input!$A$4:$Y$227,IF($C$6="Sábado",[1]Input!$A$231:$Y$452,[1]Input!$A$456:$Y$656)),VLOOKUP($C$4,[1]Input!$AG$2:$AI$99,3,0)+IF(AD$5="Ida",0,1),1),"")</f>
        <v>#N/A</v>
      </c>
      <c r="AL310" s="34" t="str">
        <f>IF(AB311&lt;&gt;AB310,AVERAGEIF(AB$9:AB310,AB310,AK$9:AK310),"")</f>
        <v/>
      </c>
      <c r="AM310" s="35" t="str">
        <f>IFERROR(IF(AB311&lt;&gt;AB310,AVERAGEIF(AB$9:AB310,AB310,AT$9:AT310),""),"")</f>
        <v/>
      </c>
      <c r="AN310" s="35" t="str">
        <f>IFERROR(IF(AB311&lt;&gt;AB310,AVERAGEIF(AB$9:AB310,AB310,AU$9:AU310),""),"")</f>
        <v/>
      </c>
      <c r="AO310" s="35" t="str" cm="1">
        <f t="array" ref="AO310">IFERROR(IF(AB311&lt;&gt;AB310,_xlfn.STDEV.P(IF(AB$9:AB310=AB310,AU$9:AU310)),""),"")</f>
        <v/>
      </c>
      <c r="AP310" s="35" t="str" cm="1">
        <f t="array" ref="AP310">IFERROR(IF(AB311&lt;&gt;AB310,_xlfn.STDEV.P(IF(AB$9:AB310=AB310,AT$9:AT310)),""),"")</f>
        <v/>
      </c>
      <c r="AQ310" s="36" t="str">
        <f t="shared" si="68"/>
        <v/>
      </c>
      <c r="AR310" s="36" t="str">
        <f t="shared" si="69"/>
        <v/>
      </c>
      <c r="AS310" s="36" t="str">
        <f t="shared" si="78"/>
        <v/>
      </c>
      <c r="AT310" s="37" t="str">
        <f t="shared" si="70"/>
        <v/>
      </c>
      <c r="AU310" s="37" t="str">
        <f t="shared" si="71"/>
        <v/>
      </c>
      <c r="AV310" s="54"/>
      <c r="AW310" s="46"/>
      <c r="AX310" s="39" t="str" cm="1">
        <f t="array" ref="AX310">IF(AH310&lt;&gt;"",IF(AND(AX308:AX309&lt;&gt;"IE",AQ310&lt;&gt;0,AS310&lt;&gt;""),IF(IFERROR((AQ310/AS310),0) &lt;=1,IFERROR(AQ310/AS310,""),1),""),"")</f>
        <v/>
      </c>
      <c r="AY310" s="46"/>
      <c r="AZ310" s="57"/>
    </row>
    <row r="311" spans="1:52" ht="15.5" x14ac:dyDescent="0.35">
      <c r="A311" s="51">
        <f t="shared" si="79"/>
        <v>1</v>
      </c>
      <c r="B311" s="52"/>
      <c r="C311" s="52"/>
      <c r="D311" s="29" t="str">
        <f>IFERROR(
IF(AND(OR(Planilla!B311="C",Planilla!B311="c"), VLOOKUP(E311,[1]Diccionario!B:N,13,0)="C"), "OK",IF(AND(OR(Planilla!B311="C",Planilla!B311="c"), OR(VLOOKUP(E311,[1]Diccionario!B:N,13,0)="B", VLOOKUP(E311,[1]Diccionario!B:N,13,0)="A")), "DEFICIT",IF(
AND(OR(Planilla!B311="B", Planilla!B311="BPAL"), VLOOKUP(E311,[1]Diccionario!B:N,13,0)="B"), "OK",IF(AND(OR(Planilla!B311="B", Planilla!B311="BPAL"), VLOOKUP(E311,[1]Diccionario!B:N,13,0)="A"), "DEFICIT",IF(AND(OR(Planilla!B311="B", Planilla!B311="BPAL"), VLOOKUP(E311,[1]Diccionario!B:N,13,0)="C"), "SOBREOFERTA",IF(AND(Planilla!B311="A", VLOOKUP(E311,[1]Diccionario!B:N,13,0)="A"), "OK",IF(
AND(Planilla!B311="A", OR(VLOOKUP(E311,[1]Diccionario!B:N,13,0)="B", VLOOKUP(E311,[1]Diccionario!B:N,13,0)="C")), "SOBREOFERTA",""
))))))),"")</f>
        <v/>
      </c>
      <c r="E311" s="48"/>
      <c r="F311" s="53"/>
      <c r="G311" s="54"/>
      <c r="H311" s="55" t="str">
        <f t="shared" si="72"/>
        <v/>
      </c>
      <c r="I311" s="35"/>
      <c r="J311" s="34" t="e">
        <f>IF(A311&lt;&gt;"",HLOOKUP(VALUE(TEXT(G311,"h:mm:ss")),IF($C$6="Laboral",[1]Input!$A$4:$Y$227,IF($C$6="Sábado",[1]Input!$A$231:$Y$452,[1]Input!$A$456:$Y$656)),VLOOKUP($C$4,[1]Input!$AG$2:$AI$99,3,0)+IF(C$5="Ida",0,1),1),"")</f>
        <v>#N/A</v>
      </c>
      <c r="K311" s="34" t="str">
        <f>IF(A312&lt;&gt;A311,AVERAGEIF(A$9:A311,A311,J$13:J311),"")</f>
        <v/>
      </c>
      <c r="L311" s="35" t="str">
        <f>IFERROR(IF(A312&lt;&gt;A311,AVERAGEIF(A$9:A311,A311,S$13:S311),""),"")</f>
        <v/>
      </c>
      <c r="M311" s="35" t="str">
        <f>IFERROR(IF(A312&lt;&gt;A311,AVERAGEIF(A$9:A311,A311,T$8:T311),""),"")</f>
        <v/>
      </c>
      <c r="N311" s="35" t="str" cm="1">
        <f t="array" ref="N311">IFERROR(IF(A312&lt;&gt;A311,_xlfn.STDEV.P(IF(A$9:A311=A311,T$7:T311)),""),"")</f>
        <v/>
      </c>
      <c r="O311" s="35" t="str" cm="1">
        <f t="array" ref="O311">IFERROR(IF(A312&lt;&gt;A311,_xlfn.STDEV.P(IF(A$9:A311=A311,S$7:S311)),""),"")</f>
        <v/>
      </c>
      <c r="P311" s="36" t="str">
        <f t="shared" si="65"/>
        <v/>
      </c>
      <c r="Q311" s="36" t="str">
        <f t="shared" si="66"/>
        <v/>
      </c>
      <c r="R311" s="36" t="str">
        <f t="shared" si="73"/>
        <v/>
      </c>
      <c r="S311" s="37" t="str">
        <f t="shared" si="74"/>
        <v/>
      </c>
      <c r="T311" s="37" t="str">
        <f t="shared" si="67"/>
        <v/>
      </c>
      <c r="U311" s="54"/>
      <c r="V311" s="46"/>
      <c r="W311" s="39" t="str">
        <f t="shared" si="75"/>
        <v/>
      </c>
      <c r="X311" s="38"/>
      <c r="Y311" s="48"/>
      <c r="AB311" s="56">
        <f t="shared" si="76"/>
        <v>1</v>
      </c>
      <c r="AC311" s="52"/>
      <c r="AD311" s="52"/>
      <c r="AE311" s="29" t="str">
        <f>IFERROR(
IF(AND(OR(AC311="C",AC311="c"), VLOOKUP(AF311,[1]Diccionario!B:N,13,0)="C"), "OK",IF(AND(OR(AC311="C",AC311="c"), OR(VLOOKUP(AF311,[1]Diccionario!B:N,13,0)="B", VLOOKUP(AF311,[1]Diccionario!B:N,13,0)="A")), "DEFICIT",IF(
AND(OR(AC311="B", AC311="BPAL"), VLOOKUP(AF311,[1]Diccionario!B:N,13,0)="B"), "OK",IF(AND(OR(AC311="B", AC311="BPAL"), VLOOKUP(AF311,[1]Diccionario!B:N,13,0)="A"), "DEFICIT",IF(AND(OR(AC311="B", AC311="BPAL"), VLOOKUP(AF311,[1]Diccionario!B:N,13,0)="C"), "SOBREOFERTA",IF(AND(AC311="A", VLOOKUP(AF311,[1]Diccionario!B:N,13,0)="A"), "OK",IF(
AND(AC311="A", OR(VLOOKUP(AF311,[1]Diccionario!B:N,13,0)="B", VLOOKUP(AF311,[1]Diccionario!B:N,13,0)="C")), "SOBREOFERTA",""
))))))),"")</f>
        <v/>
      </c>
      <c r="AF311" s="48"/>
      <c r="AG311" s="53"/>
      <c r="AH311" s="54"/>
      <c r="AI311" s="55" t="str">
        <f t="shared" si="77"/>
        <v/>
      </c>
      <c r="AJ311" s="46"/>
      <c r="AK311" s="34" t="e">
        <f>IF(AB311&lt;&gt;"",HLOOKUP(VALUE(TEXT(AH311,"h:mm:ss")),IF($C$6="Laboral",[1]Input!$A$4:$Y$227,IF($C$6="Sábado",[1]Input!$A$231:$Y$452,[1]Input!$A$456:$Y$656)),VLOOKUP($C$4,[1]Input!$AG$2:$AI$99,3,0)+IF(AD$5="Ida",0,1),1),"")</f>
        <v>#N/A</v>
      </c>
      <c r="AL311" s="34" t="str">
        <f>IF(AB312&lt;&gt;AB311,AVERAGEIF(AB$9:AB311,AB311,AK$9:AK311),"")</f>
        <v/>
      </c>
      <c r="AM311" s="35" t="str">
        <f>IFERROR(IF(AB312&lt;&gt;AB311,AVERAGEIF(AB$9:AB311,AB311,AT$9:AT311),""),"")</f>
        <v/>
      </c>
      <c r="AN311" s="35" t="str">
        <f>IFERROR(IF(AB312&lt;&gt;AB311,AVERAGEIF(AB$9:AB311,AB311,AU$9:AU311),""),"")</f>
        <v/>
      </c>
      <c r="AO311" s="35" t="str" cm="1">
        <f t="array" ref="AO311">IFERROR(IF(AB312&lt;&gt;AB311,_xlfn.STDEV.P(IF(AB$9:AB311=AB311,AU$9:AU311)),""),"")</f>
        <v/>
      </c>
      <c r="AP311" s="35" t="str" cm="1">
        <f t="array" ref="AP311">IFERROR(IF(AB312&lt;&gt;AB311,_xlfn.STDEV.P(IF(AB$9:AB311=AB311,AT$9:AT311)),""),"")</f>
        <v/>
      </c>
      <c r="AQ311" s="36" t="str">
        <f t="shared" si="68"/>
        <v/>
      </c>
      <c r="AR311" s="36" t="str">
        <f t="shared" si="69"/>
        <v/>
      </c>
      <c r="AS311" s="36" t="str">
        <f t="shared" si="78"/>
        <v/>
      </c>
      <c r="AT311" s="37" t="str">
        <f t="shared" si="70"/>
        <v/>
      </c>
      <c r="AU311" s="37" t="str">
        <f t="shared" si="71"/>
        <v/>
      </c>
      <c r="AV311" s="54"/>
      <c r="AW311" s="46"/>
      <c r="AX311" s="39" t="str" cm="1">
        <f t="array" ref="AX311">IF(AH311&lt;&gt;"",IF(AND(AX309:AX310&lt;&gt;"IE",AQ311&lt;&gt;0,AS311&lt;&gt;""),IF(IFERROR((AQ311/AS311),0) &lt;=1,IFERROR(AQ311/AS311,""),1),""),"")</f>
        <v/>
      </c>
      <c r="AY311" s="46"/>
      <c r="AZ311" s="57"/>
    </row>
    <row r="312" spans="1:52" ht="15.5" x14ac:dyDescent="0.35">
      <c r="A312" s="51">
        <f t="shared" si="79"/>
        <v>1</v>
      </c>
      <c r="B312" s="52"/>
      <c r="C312" s="52"/>
      <c r="D312" s="29" t="str">
        <f>IFERROR(
IF(AND(OR(Planilla!B312="C",Planilla!B312="c"), VLOOKUP(E312,[1]Diccionario!B:N,13,0)="C"), "OK",IF(AND(OR(Planilla!B312="C",Planilla!B312="c"), OR(VLOOKUP(E312,[1]Diccionario!B:N,13,0)="B", VLOOKUP(E312,[1]Diccionario!B:N,13,0)="A")), "DEFICIT",IF(
AND(OR(Planilla!B312="B", Planilla!B312="BPAL"), VLOOKUP(E312,[1]Diccionario!B:N,13,0)="B"), "OK",IF(AND(OR(Planilla!B312="B", Planilla!B312="BPAL"), VLOOKUP(E312,[1]Diccionario!B:N,13,0)="A"), "DEFICIT",IF(AND(OR(Planilla!B312="B", Planilla!B312="BPAL"), VLOOKUP(E312,[1]Diccionario!B:N,13,0)="C"), "SOBREOFERTA",IF(AND(Planilla!B312="A", VLOOKUP(E312,[1]Diccionario!B:N,13,0)="A"), "OK",IF(
AND(Planilla!B312="A", OR(VLOOKUP(E312,[1]Diccionario!B:N,13,0)="B", VLOOKUP(E312,[1]Diccionario!B:N,13,0)="C")), "SOBREOFERTA",""
))))))),"")</f>
        <v/>
      </c>
      <c r="E312" s="48"/>
      <c r="F312" s="53"/>
      <c r="G312" s="54"/>
      <c r="H312" s="55" t="str">
        <f t="shared" si="72"/>
        <v/>
      </c>
      <c r="I312" s="35"/>
      <c r="J312" s="34" t="e">
        <f>IF(A312&lt;&gt;"",HLOOKUP(VALUE(TEXT(G312,"h:mm:ss")),IF($C$6="Laboral",[1]Input!$A$4:$Y$227,IF($C$6="Sábado",[1]Input!$A$231:$Y$452,[1]Input!$A$456:$Y$656)),VLOOKUP($C$4,[1]Input!$AG$2:$AI$99,3,0)+IF(C$5="Ida",0,1),1),"")</f>
        <v>#N/A</v>
      </c>
      <c r="K312" s="34" t="str">
        <f>IF(A313&lt;&gt;A312,AVERAGEIF(A$9:A312,A312,J$13:J312),"")</f>
        <v/>
      </c>
      <c r="L312" s="35" t="str">
        <f>IFERROR(IF(A313&lt;&gt;A312,AVERAGEIF(A$9:A312,A312,S$13:S312),""),"")</f>
        <v/>
      </c>
      <c r="M312" s="35" t="str">
        <f>IFERROR(IF(A313&lt;&gt;A312,AVERAGEIF(A$9:A312,A312,T$8:T312),""),"")</f>
        <v/>
      </c>
      <c r="N312" s="35" t="str" cm="1">
        <f t="array" ref="N312">IFERROR(IF(A313&lt;&gt;A312,_xlfn.STDEV.P(IF(A$9:A312=A312,T$7:T312)),""),"")</f>
        <v/>
      </c>
      <c r="O312" s="35" t="str" cm="1">
        <f t="array" ref="O312">IFERROR(IF(A313&lt;&gt;A312,_xlfn.STDEV.P(IF(A$9:A312=A312,S$7:S312)),""),"")</f>
        <v/>
      </c>
      <c r="P312" s="36" t="str">
        <f t="shared" si="65"/>
        <v/>
      </c>
      <c r="Q312" s="36" t="str">
        <f t="shared" si="66"/>
        <v/>
      </c>
      <c r="R312" s="36" t="str">
        <f t="shared" si="73"/>
        <v/>
      </c>
      <c r="S312" s="37" t="str">
        <f t="shared" si="74"/>
        <v/>
      </c>
      <c r="T312" s="37" t="str">
        <f t="shared" si="67"/>
        <v/>
      </c>
      <c r="U312" s="54"/>
      <c r="V312" s="46"/>
      <c r="W312" s="39" t="str">
        <f t="shared" si="75"/>
        <v/>
      </c>
      <c r="X312" s="38"/>
      <c r="Y312" s="48"/>
      <c r="AB312" s="56">
        <f t="shared" si="76"/>
        <v>1</v>
      </c>
      <c r="AC312" s="52"/>
      <c r="AD312" s="52"/>
      <c r="AE312" s="29" t="str">
        <f>IFERROR(
IF(AND(OR(AC312="C",AC312="c"), VLOOKUP(AF312,[1]Diccionario!B:N,13,0)="C"), "OK",IF(AND(OR(AC312="C",AC312="c"), OR(VLOOKUP(AF312,[1]Diccionario!B:N,13,0)="B", VLOOKUP(AF312,[1]Diccionario!B:N,13,0)="A")), "DEFICIT",IF(
AND(OR(AC312="B", AC312="BPAL"), VLOOKUP(AF312,[1]Diccionario!B:N,13,0)="B"), "OK",IF(AND(OR(AC312="B", AC312="BPAL"), VLOOKUP(AF312,[1]Diccionario!B:N,13,0)="A"), "DEFICIT",IF(AND(OR(AC312="B", AC312="BPAL"), VLOOKUP(AF312,[1]Diccionario!B:N,13,0)="C"), "SOBREOFERTA",IF(AND(AC312="A", VLOOKUP(AF312,[1]Diccionario!B:N,13,0)="A"), "OK",IF(
AND(AC312="A", OR(VLOOKUP(AF312,[1]Diccionario!B:N,13,0)="B", VLOOKUP(AF312,[1]Diccionario!B:N,13,0)="C")), "SOBREOFERTA",""
))))))),"")</f>
        <v/>
      </c>
      <c r="AF312" s="48"/>
      <c r="AG312" s="53"/>
      <c r="AH312" s="54"/>
      <c r="AI312" s="55" t="str">
        <f t="shared" si="77"/>
        <v/>
      </c>
      <c r="AJ312" s="46"/>
      <c r="AK312" s="34" t="e">
        <f>IF(AB312&lt;&gt;"",HLOOKUP(VALUE(TEXT(AH312,"h:mm:ss")),IF($C$6="Laboral",[1]Input!$A$4:$Y$227,IF($C$6="Sábado",[1]Input!$A$231:$Y$452,[1]Input!$A$456:$Y$656)),VLOOKUP($C$4,[1]Input!$AG$2:$AI$99,3,0)+IF(AD$5="Ida",0,1),1),"")</f>
        <v>#N/A</v>
      </c>
      <c r="AL312" s="34" t="str">
        <f>IF(AB313&lt;&gt;AB312,AVERAGEIF(AB$9:AB312,AB312,AK$9:AK312),"")</f>
        <v/>
      </c>
      <c r="AM312" s="35" t="str">
        <f>IFERROR(IF(AB313&lt;&gt;AB312,AVERAGEIF(AB$9:AB312,AB312,AT$9:AT312),""),"")</f>
        <v/>
      </c>
      <c r="AN312" s="35" t="str">
        <f>IFERROR(IF(AB313&lt;&gt;AB312,AVERAGEIF(AB$9:AB312,AB312,AU$9:AU312),""),"")</f>
        <v/>
      </c>
      <c r="AO312" s="35" t="str" cm="1">
        <f t="array" ref="AO312">IFERROR(IF(AB313&lt;&gt;AB312,_xlfn.STDEV.P(IF(AB$9:AB312=AB312,AU$9:AU312)),""),"")</f>
        <v/>
      </c>
      <c r="AP312" s="35" t="str" cm="1">
        <f t="array" ref="AP312">IFERROR(IF(AB313&lt;&gt;AB312,_xlfn.STDEV.P(IF(AB$9:AB312=AB312,AT$9:AT312)),""),"")</f>
        <v/>
      </c>
      <c r="AQ312" s="36" t="str">
        <f t="shared" si="68"/>
        <v/>
      </c>
      <c r="AR312" s="36" t="str">
        <f t="shared" si="69"/>
        <v/>
      </c>
      <c r="AS312" s="36" t="str">
        <f t="shared" si="78"/>
        <v/>
      </c>
      <c r="AT312" s="37" t="str">
        <f t="shared" si="70"/>
        <v/>
      </c>
      <c r="AU312" s="37" t="str">
        <f t="shared" si="71"/>
        <v/>
      </c>
      <c r="AV312" s="54"/>
      <c r="AW312" s="46"/>
      <c r="AX312" s="39" t="str" cm="1">
        <f t="array" ref="AX312">IF(AH312&lt;&gt;"",IF(AND(AX310:AX311&lt;&gt;"IE",AQ312&lt;&gt;0,AS312&lt;&gt;""),IF(IFERROR((AQ312/AS312),0) &lt;=1,IFERROR(AQ312/AS312,""),1),""),"")</f>
        <v/>
      </c>
      <c r="AY312" s="46"/>
      <c r="AZ312" s="57"/>
    </row>
    <row r="313" spans="1:52" ht="15.5" x14ac:dyDescent="0.35">
      <c r="A313" s="51">
        <f t="shared" si="79"/>
        <v>1</v>
      </c>
      <c r="B313" s="52"/>
      <c r="C313" s="52"/>
      <c r="D313" s="29" t="str">
        <f>IFERROR(
IF(AND(OR(Planilla!B313="C",Planilla!B313="c"), VLOOKUP(E313,[1]Diccionario!B:N,13,0)="C"), "OK",IF(AND(OR(Planilla!B313="C",Planilla!B313="c"), OR(VLOOKUP(E313,[1]Diccionario!B:N,13,0)="B", VLOOKUP(E313,[1]Diccionario!B:N,13,0)="A")), "DEFICIT",IF(
AND(OR(Planilla!B313="B", Planilla!B313="BPAL"), VLOOKUP(E313,[1]Diccionario!B:N,13,0)="B"), "OK",IF(AND(OR(Planilla!B313="B", Planilla!B313="BPAL"), VLOOKUP(E313,[1]Diccionario!B:N,13,0)="A"), "DEFICIT",IF(AND(OR(Planilla!B313="B", Planilla!B313="BPAL"), VLOOKUP(E313,[1]Diccionario!B:N,13,0)="C"), "SOBREOFERTA",IF(AND(Planilla!B313="A", VLOOKUP(E313,[1]Diccionario!B:N,13,0)="A"), "OK",IF(
AND(Planilla!B313="A", OR(VLOOKUP(E313,[1]Diccionario!B:N,13,0)="B", VLOOKUP(E313,[1]Diccionario!B:N,13,0)="C")), "SOBREOFERTA",""
))))))),"")</f>
        <v/>
      </c>
      <c r="E313" s="48"/>
      <c r="F313" s="53"/>
      <c r="G313" s="54"/>
      <c r="H313" s="55" t="str">
        <f t="shared" si="72"/>
        <v/>
      </c>
      <c r="I313" s="35"/>
      <c r="J313" s="34" t="e">
        <f>IF(A313&lt;&gt;"",HLOOKUP(VALUE(TEXT(G313,"h:mm:ss")),IF($C$6="Laboral",[1]Input!$A$4:$Y$227,IF($C$6="Sábado",[1]Input!$A$231:$Y$452,[1]Input!$A$456:$Y$656)),VLOOKUP($C$4,[1]Input!$AG$2:$AI$99,3,0)+IF(C$5="Ida",0,1),1),"")</f>
        <v>#N/A</v>
      </c>
      <c r="K313" s="34" t="str">
        <f>IF(A314&lt;&gt;A313,AVERAGEIF(A$9:A313,A313,J$13:J313),"")</f>
        <v/>
      </c>
      <c r="L313" s="35" t="str">
        <f>IFERROR(IF(A314&lt;&gt;A313,AVERAGEIF(A$9:A313,A313,S$13:S313),""),"")</f>
        <v/>
      </c>
      <c r="M313" s="35" t="str">
        <f>IFERROR(IF(A314&lt;&gt;A313,AVERAGEIF(A$9:A313,A313,T$8:T313),""),"")</f>
        <v/>
      </c>
      <c r="N313" s="35" t="str" cm="1">
        <f t="array" ref="N313">IFERROR(IF(A314&lt;&gt;A313,_xlfn.STDEV.P(IF(A$9:A313=A313,T$7:T313)),""),"")</f>
        <v/>
      </c>
      <c r="O313" s="35" t="str" cm="1">
        <f t="array" ref="O313">IFERROR(IF(A314&lt;&gt;A313,_xlfn.STDEV.P(IF(A$9:A313=A313,S$7:S313)),""),"")</f>
        <v/>
      </c>
      <c r="P313" s="36" t="str">
        <f t="shared" si="65"/>
        <v/>
      </c>
      <c r="Q313" s="36" t="str">
        <f t="shared" si="66"/>
        <v/>
      </c>
      <c r="R313" s="36" t="str">
        <f t="shared" si="73"/>
        <v/>
      </c>
      <c r="S313" s="37" t="str">
        <f t="shared" si="74"/>
        <v/>
      </c>
      <c r="T313" s="37" t="str">
        <f t="shared" si="67"/>
        <v/>
      </c>
      <c r="U313" s="54"/>
      <c r="V313" s="46"/>
      <c r="W313" s="39" t="str">
        <f t="shared" si="75"/>
        <v/>
      </c>
      <c r="X313" s="38"/>
      <c r="Y313" s="48"/>
      <c r="AB313" s="56">
        <f t="shared" si="76"/>
        <v>1</v>
      </c>
      <c r="AC313" s="52"/>
      <c r="AD313" s="52"/>
      <c r="AE313" s="29" t="str">
        <f>IFERROR(
IF(AND(OR(AC313="C",AC313="c"), VLOOKUP(AF313,[1]Diccionario!B:N,13,0)="C"), "OK",IF(AND(OR(AC313="C",AC313="c"), OR(VLOOKUP(AF313,[1]Diccionario!B:N,13,0)="B", VLOOKUP(AF313,[1]Diccionario!B:N,13,0)="A")), "DEFICIT",IF(
AND(OR(AC313="B", AC313="BPAL"), VLOOKUP(AF313,[1]Diccionario!B:N,13,0)="B"), "OK",IF(AND(OR(AC313="B", AC313="BPAL"), VLOOKUP(AF313,[1]Diccionario!B:N,13,0)="A"), "DEFICIT",IF(AND(OR(AC313="B", AC313="BPAL"), VLOOKUP(AF313,[1]Diccionario!B:N,13,0)="C"), "SOBREOFERTA",IF(AND(AC313="A", VLOOKUP(AF313,[1]Diccionario!B:N,13,0)="A"), "OK",IF(
AND(AC313="A", OR(VLOOKUP(AF313,[1]Diccionario!B:N,13,0)="B", VLOOKUP(AF313,[1]Diccionario!B:N,13,0)="C")), "SOBREOFERTA",""
))))))),"")</f>
        <v/>
      </c>
      <c r="AF313" s="48"/>
      <c r="AG313" s="53"/>
      <c r="AH313" s="54"/>
      <c r="AI313" s="55" t="str">
        <f t="shared" si="77"/>
        <v/>
      </c>
      <c r="AJ313" s="46"/>
      <c r="AK313" s="34" t="e">
        <f>IF(AB313&lt;&gt;"",HLOOKUP(VALUE(TEXT(AH313,"h:mm:ss")),IF($C$6="Laboral",[1]Input!$A$4:$Y$227,IF($C$6="Sábado",[1]Input!$A$231:$Y$452,[1]Input!$A$456:$Y$656)),VLOOKUP($C$4,[1]Input!$AG$2:$AI$99,3,0)+IF(AD$5="Ida",0,1),1),"")</f>
        <v>#N/A</v>
      </c>
      <c r="AL313" s="34" t="str">
        <f>IF(AB314&lt;&gt;AB313,AVERAGEIF(AB$9:AB313,AB313,AK$9:AK313),"")</f>
        <v/>
      </c>
      <c r="AM313" s="35" t="str">
        <f>IFERROR(IF(AB314&lt;&gt;AB313,AVERAGEIF(AB$9:AB313,AB313,AT$9:AT313),""),"")</f>
        <v/>
      </c>
      <c r="AN313" s="35" t="str">
        <f>IFERROR(IF(AB314&lt;&gt;AB313,AVERAGEIF(AB$9:AB313,AB313,AU$9:AU313),""),"")</f>
        <v/>
      </c>
      <c r="AO313" s="35" t="str" cm="1">
        <f t="array" ref="AO313">IFERROR(IF(AB314&lt;&gt;AB313,_xlfn.STDEV.P(IF(AB$9:AB313=AB313,AU$9:AU313)),""),"")</f>
        <v/>
      </c>
      <c r="AP313" s="35" t="str" cm="1">
        <f t="array" ref="AP313">IFERROR(IF(AB314&lt;&gt;AB313,_xlfn.STDEV.P(IF(AB$9:AB313=AB313,AT$9:AT313)),""),"")</f>
        <v/>
      </c>
      <c r="AQ313" s="36" t="str">
        <f t="shared" si="68"/>
        <v/>
      </c>
      <c r="AR313" s="36" t="str">
        <f t="shared" si="69"/>
        <v/>
      </c>
      <c r="AS313" s="36" t="str">
        <f t="shared" si="78"/>
        <v/>
      </c>
      <c r="AT313" s="37" t="str">
        <f t="shared" si="70"/>
        <v/>
      </c>
      <c r="AU313" s="37" t="str">
        <f t="shared" si="71"/>
        <v/>
      </c>
      <c r="AV313" s="54"/>
      <c r="AW313" s="46"/>
      <c r="AX313" s="39" t="str" cm="1">
        <f t="array" ref="AX313">IF(AH313&lt;&gt;"",IF(AND(AX311:AX312&lt;&gt;"IE",AQ313&lt;&gt;0,AS313&lt;&gt;""),IF(IFERROR((AQ313/AS313),0) &lt;=1,IFERROR(AQ313/AS313,""),1),""),"")</f>
        <v/>
      </c>
      <c r="AY313" s="46"/>
      <c r="AZ313" s="57"/>
    </row>
    <row r="314" spans="1:52" ht="15.5" x14ac:dyDescent="0.35">
      <c r="A314" s="51">
        <f t="shared" si="79"/>
        <v>1</v>
      </c>
      <c r="B314" s="52"/>
      <c r="C314" s="52"/>
      <c r="D314" s="29" t="str">
        <f>IFERROR(
IF(AND(OR(Planilla!B314="C",Planilla!B314="c"), VLOOKUP(E314,[1]Diccionario!B:N,13,0)="C"), "OK",IF(AND(OR(Planilla!B314="C",Planilla!B314="c"), OR(VLOOKUP(E314,[1]Diccionario!B:N,13,0)="B", VLOOKUP(E314,[1]Diccionario!B:N,13,0)="A")), "DEFICIT",IF(
AND(OR(Planilla!B314="B", Planilla!B314="BPAL"), VLOOKUP(E314,[1]Diccionario!B:N,13,0)="B"), "OK",IF(AND(OR(Planilla!B314="B", Planilla!B314="BPAL"), VLOOKUP(E314,[1]Diccionario!B:N,13,0)="A"), "DEFICIT",IF(AND(OR(Planilla!B314="B", Planilla!B314="BPAL"), VLOOKUP(E314,[1]Diccionario!B:N,13,0)="C"), "SOBREOFERTA",IF(AND(Planilla!B314="A", VLOOKUP(E314,[1]Diccionario!B:N,13,0)="A"), "OK",IF(
AND(Planilla!B314="A", OR(VLOOKUP(E314,[1]Diccionario!B:N,13,0)="B", VLOOKUP(E314,[1]Diccionario!B:N,13,0)="C")), "SOBREOFERTA",""
))))))),"")</f>
        <v/>
      </c>
      <c r="E314" s="48"/>
      <c r="F314" s="53"/>
      <c r="G314" s="54"/>
      <c r="H314" s="55" t="str">
        <f t="shared" si="72"/>
        <v/>
      </c>
      <c r="I314" s="35"/>
      <c r="J314" s="34" t="e">
        <f>IF(A314&lt;&gt;"",HLOOKUP(VALUE(TEXT(G314,"h:mm:ss")),IF($C$6="Laboral",[1]Input!$A$4:$Y$227,IF($C$6="Sábado",[1]Input!$A$231:$Y$452,[1]Input!$A$456:$Y$656)),VLOOKUP($C$4,[1]Input!$AG$2:$AI$99,3,0)+IF(C$5="Ida",0,1),1),"")</f>
        <v>#N/A</v>
      </c>
      <c r="K314" s="34" t="str">
        <f>IF(A315&lt;&gt;A314,AVERAGEIF(A$9:A314,A314,J$13:J314),"")</f>
        <v/>
      </c>
      <c r="L314" s="35" t="str">
        <f>IFERROR(IF(A315&lt;&gt;A314,AVERAGEIF(A$9:A314,A314,S$13:S314),""),"")</f>
        <v/>
      </c>
      <c r="M314" s="35" t="str">
        <f>IFERROR(IF(A315&lt;&gt;A314,AVERAGEIF(A$9:A314,A314,T$8:T314),""),"")</f>
        <v/>
      </c>
      <c r="N314" s="35" t="str" cm="1">
        <f t="array" ref="N314">IFERROR(IF(A315&lt;&gt;A314,_xlfn.STDEV.P(IF(A$9:A314=A314,T$7:T314)),""),"")</f>
        <v/>
      </c>
      <c r="O314" s="35" t="str" cm="1">
        <f t="array" ref="O314">IFERROR(IF(A315&lt;&gt;A314,_xlfn.STDEV.P(IF(A$9:A314=A314,S$7:S314)),""),"")</f>
        <v/>
      </c>
      <c r="P314" s="36" t="str">
        <f t="shared" si="65"/>
        <v/>
      </c>
      <c r="Q314" s="36" t="str">
        <f t="shared" si="66"/>
        <v/>
      </c>
      <c r="R314" s="36" t="str">
        <f t="shared" si="73"/>
        <v/>
      </c>
      <c r="S314" s="37" t="str">
        <f t="shared" si="74"/>
        <v/>
      </c>
      <c r="T314" s="37" t="str">
        <f t="shared" si="67"/>
        <v/>
      </c>
      <c r="U314" s="54"/>
      <c r="V314" s="46"/>
      <c r="W314" s="39" t="str">
        <f t="shared" si="75"/>
        <v/>
      </c>
      <c r="X314" s="38"/>
      <c r="Y314" s="48"/>
      <c r="AB314" s="56">
        <f t="shared" si="76"/>
        <v>1</v>
      </c>
      <c r="AC314" s="52"/>
      <c r="AD314" s="52"/>
      <c r="AE314" s="29" t="str">
        <f>IFERROR(
IF(AND(OR(AC314="C",AC314="c"), VLOOKUP(AF314,[1]Diccionario!B:N,13,0)="C"), "OK",IF(AND(OR(AC314="C",AC314="c"), OR(VLOOKUP(AF314,[1]Diccionario!B:N,13,0)="B", VLOOKUP(AF314,[1]Diccionario!B:N,13,0)="A")), "DEFICIT",IF(
AND(OR(AC314="B", AC314="BPAL"), VLOOKUP(AF314,[1]Diccionario!B:N,13,0)="B"), "OK",IF(AND(OR(AC314="B", AC314="BPAL"), VLOOKUP(AF314,[1]Diccionario!B:N,13,0)="A"), "DEFICIT",IF(AND(OR(AC314="B", AC314="BPAL"), VLOOKUP(AF314,[1]Diccionario!B:N,13,0)="C"), "SOBREOFERTA",IF(AND(AC314="A", VLOOKUP(AF314,[1]Diccionario!B:N,13,0)="A"), "OK",IF(
AND(AC314="A", OR(VLOOKUP(AF314,[1]Diccionario!B:N,13,0)="B", VLOOKUP(AF314,[1]Diccionario!B:N,13,0)="C")), "SOBREOFERTA",""
))))))),"")</f>
        <v/>
      </c>
      <c r="AF314" s="48"/>
      <c r="AG314" s="53"/>
      <c r="AH314" s="54"/>
      <c r="AI314" s="55" t="str">
        <f t="shared" si="77"/>
        <v/>
      </c>
      <c r="AJ314" s="46"/>
      <c r="AK314" s="34" t="e">
        <f>IF(AB314&lt;&gt;"",HLOOKUP(VALUE(TEXT(AH314,"h:mm:ss")),IF($C$6="Laboral",[1]Input!$A$4:$Y$227,IF($C$6="Sábado",[1]Input!$A$231:$Y$452,[1]Input!$A$456:$Y$656)),VLOOKUP($C$4,[1]Input!$AG$2:$AI$99,3,0)+IF(AD$5="Ida",0,1),1),"")</f>
        <v>#N/A</v>
      </c>
      <c r="AL314" s="34" t="str">
        <f>IF(AB315&lt;&gt;AB314,AVERAGEIF(AB$9:AB314,AB314,AK$9:AK314),"")</f>
        <v/>
      </c>
      <c r="AM314" s="35" t="str">
        <f>IFERROR(IF(AB315&lt;&gt;AB314,AVERAGEIF(AB$9:AB314,AB314,AT$9:AT314),""),"")</f>
        <v/>
      </c>
      <c r="AN314" s="35" t="str">
        <f>IFERROR(IF(AB315&lt;&gt;AB314,AVERAGEIF(AB$9:AB314,AB314,AU$9:AU314),""),"")</f>
        <v/>
      </c>
      <c r="AO314" s="35" t="str" cm="1">
        <f t="array" ref="AO314">IFERROR(IF(AB315&lt;&gt;AB314,_xlfn.STDEV.P(IF(AB$9:AB314=AB314,AU$9:AU314)),""),"")</f>
        <v/>
      </c>
      <c r="AP314" s="35" t="str" cm="1">
        <f t="array" ref="AP314">IFERROR(IF(AB315&lt;&gt;AB314,_xlfn.STDEV.P(IF(AB$9:AB314=AB314,AT$9:AT314)),""),"")</f>
        <v/>
      </c>
      <c r="AQ314" s="36" t="str">
        <f t="shared" si="68"/>
        <v/>
      </c>
      <c r="AR314" s="36" t="str">
        <f t="shared" si="69"/>
        <v/>
      </c>
      <c r="AS314" s="36" t="str">
        <f t="shared" si="78"/>
        <v/>
      </c>
      <c r="AT314" s="37" t="str">
        <f t="shared" si="70"/>
        <v/>
      </c>
      <c r="AU314" s="37" t="str">
        <f t="shared" si="71"/>
        <v/>
      </c>
      <c r="AV314" s="54"/>
      <c r="AW314" s="46"/>
      <c r="AX314" s="39" t="str" cm="1">
        <f t="array" ref="AX314">IF(AH314&lt;&gt;"",IF(AND(AX312:AX313&lt;&gt;"IE",AQ314&lt;&gt;0,AS314&lt;&gt;""),IF(IFERROR((AQ314/AS314),0) &lt;=1,IFERROR(AQ314/AS314,""),1),""),"")</f>
        <v/>
      </c>
      <c r="AY314" s="46"/>
      <c r="AZ314" s="57"/>
    </row>
    <row r="315" spans="1:52" ht="15.5" x14ac:dyDescent="0.35">
      <c r="A315" s="51">
        <f t="shared" si="79"/>
        <v>1</v>
      </c>
      <c r="B315" s="52"/>
      <c r="C315" s="52"/>
      <c r="D315" s="29" t="str">
        <f>IFERROR(
IF(AND(OR(Planilla!B315="C",Planilla!B315="c"), VLOOKUP(E315,[1]Diccionario!B:N,13,0)="C"), "OK",IF(AND(OR(Planilla!B315="C",Planilla!B315="c"), OR(VLOOKUP(E315,[1]Diccionario!B:N,13,0)="B", VLOOKUP(E315,[1]Diccionario!B:N,13,0)="A")), "DEFICIT",IF(
AND(OR(Planilla!B315="B", Planilla!B315="BPAL"), VLOOKUP(E315,[1]Diccionario!B:N,13,0)="B"), "OK",IF(AND(OR(Planilla!B315="B", Planilla!B315="BPAL"), VLOOKUP(E315,[1]Diccionario!B:N,13,0)="A"), "DEFICIT",IF(AND(OR(Planilla!B315="B", Planilla!B315="BPAL"), VLOOKUP(E315,[1]Diccionario!B:N,13,0)="C"), "SOBREOFERTA",IF(AND(Planilla!B315="A", VLOOKUP(E315,[1]Diccionario!B:N,13,0)="A"), "OK",IF(
AND(Planilla!B315="A", OR(VLOOKUP(E315,[1]Diccionario!B:N,13,0)="B", VLOOKUP(E315,[1]Diccionario!B:N,13,0)="C")), "SOBREOFERTA",""
))))))),"")</f>
        <v/>
      </c>
      <c r="E315" s="48"/>
      <c r="F315" s="53"/>
      <c r="G315" s="54"/>
      <c r="H315" s="55" t="str">
        <f t="shared" si="72"/>
        <v/>
      </c>
      <c r="I315" s="35"/>
      <c r="J315" s="34" t="e">
        <f>IF(A315&lt;&gt;"",HLOOKUP(VALUE(TEXT(G315,"h:mm:ss")),IF($C$6="Laboral",[1]Input!$A$4:$Y$227,IF($C$6="Sábado",[1]Input!$A$231:$Y$452,[1]Input!$A$456:$Y$656)),VLOOKUP($C$4,[1]Input!$AG$2:$AI$99,3,0)+IF(C$5="Ida",0,1),1),"")</f>
        <v>#N/A</v>
      </c>
      <c r="K315" s="34" t="str">
        <f>IF(A316&lt;&gt;A315,AVERAGEIF(A$9:A315,A315,J$13:J315),"")</f>
        <v/>
      </c>
      <c r="L315" s="35" t="str">
        <f>IFERROR(IF(A316&lt;&gt;A315,AVERAGEIF(A$9:A315,A315,S$13:S315),""),"")</f>
        <v/>
      </c>
      <c r="M315" s="35" t="str">
        <f>IFERROR(IF(A316&lt;&gt;A315,AVERAGEIF(A$9:A315,A315,T$8:T315),""),"")</f>
        <v/>
      </c>
      <c r="N315" s="35" t="str" cm="1">
        <f t="array" ref="N315">IFERROR(IF(A316&lt;&gt;A315,_xlfn.STDEV.P(IF(A$9:A315=A315,T$7:T315)),""),"")</f>
        <v/>
      </c>
      <c r="O315" s="35" t="str" cm="1">
        <f t="array" ref="O315">IFERROR(IF(A316&lt;&gt;A315,_xlfn.STDEV.P(IF(A$9:A315=A315,S$7:S315)),""),"")</f>
        <v/>
      </c>
      <c r="P315" s="36" t="str">
        <f t="shared" si="65"/>
        <v/>
      </c>
      <c r="Q315" s="36" t="str">
        <f t="shared" si="66"/>
        <v/>
      </c>
      <c r="R315" s="36" t="str">
        <f t="shared" si="73"/>
        <v/>
      </c>
      <c r="S315" s="37" t="str">
        <f t="shared" si="74"/>
        <v/>
      </c>
      <c r="T315" s="37" t="str">
        <f t="shared" si="67"/>
        <v/>
      </c>
      <c r="U315" s="54"/>
      <c r="V315" s="46"/>
      <c r="W315" s="39" t="str">
        <f t="shared" si="75"/>
        <v/>
      </c>
      <c r="X315" s="38"/>
      <c r="Y315" s="48"/>
      <c r="AB315" s="56">
        <f t="shared" si="76"/>
        <v>1</v>
      </c>
      <c r="AC315" s="52"/>
      <c r="AD315" s="52"/>
      <c r="AE315" s="29" t="str">
        <f>IFERROR(
IF(AND(OR(AC315="C",AC315="c"), VLOOKUP(AF315,[1]Diccionario!B:N,13,0)="C"), "OK",IF(AND(OR(AC315="C",AC315="c"), OR(VLOOKUP(AF315,[1]Diccionario!B:N,13,0)="B", VLOOKUP(AF315,[1]Diccionario!B:N,13,0)="A")), "DEFICIT",IF(
AND(OR(AC315="B", AC315="BPAL"), VLOOKUP(AF315,[1]Diccionario!B:N,13,0)="B"), "OK",IF(AND(OR(AC315="B", AC315="BPAL"), VLOOKUP(AF315,[1]Diccionario!B:N,13,0)="A"), "DEFICIT",IF(AND(OR(AC315="B", AC315="BPAL"), VLOOKUP(AF315,[1]Diccionario!B:N,13,0)="C"), "SOBREOFERTA",IF(AND(AC315="A", VLOOKUP(AF315,[1]Diccionario!B:N,13,0)="A"), "OK",IF(
AND(AC315="A", OR(VLOOKUP(AF315,[1]Diccionario!B:N,13,0)="B", VLOOKUP(AF315,[1]Diccionario!B:N,13,0)="C")), "SOBREOFERTA",""
))))))),"")</f>
        <v/>
      </c>
      <c r="AF315" s="48"/>
      <c r="AG315" s="53"/>
      <c r="AH315" s="54"/>
      <c r="AI315" s="55" t="str">
        <f t="shared" si="77"/>
        <v/>
      </c>
      <c r="AJ315" s="46"/>
      <c r="AK315" s="34" t="e">
        <f>IF(AB315&lt;&gt;"",HLOOKUP(VALUE(TEXT(AH315,"h:mm:ss")),IF($C$6="Laboral",[1]Input!$A$4:$Y$227,IF($C$6="Sábado",[1]Input!$A$231:$Y$452,[1]Input!$A$456:$Y$656)),VLOOKUP($C$4,[1]Input!$AG$2:$AI$99,3,0)+IF(AD$5="Ida",0,1),1),"")</f>
        <v>#N/A</v>
      </c>
      <c r="AL315" s="34" t="str">
        <f>IF(AB316&lt;&gt;AB315,AVERAGEIF(AB$9:AB315,AB315,AK$9:AK315),"")</f>
        <v/>
      </c>
      <c r="AM315" s="35" t="str">
        <f>IFERROR(IF(AB316&lt;&gt;AB315,AVERAGEIF(AB$9:AB315,AB315,AT$9:AT315),""),"")</f>
        <v/>
      </c>
      <c r="AN315" s="35" t="str">
        <f>IFERROR(IF(AB316&lt;&gt;AB315,AVERAGEIF(AB$9:AB315,AB315,AU$9:AU315),""),"")</f>
        <v/>
      </c>
      <c r="AO315" s="35" t="str" cm="1">
        <f t="array" ref="AO315">IFERROR(IF(AB316&lt;&gt;AB315,_xlfn.STDEV.P(IF(AB$9:AB315=AB315,AU$9:AU315)),""),"")</f>
        <v/>
      </c>
      <c r="AP315" s="35" t="str" cm="1">
        <f t="array" ref="AP315">IFERROR(IF(AB316&lt;&gt;AB315,_xlfn.STDEV.P(IF(AB$9:AB315=AB315,AT$9:AT315)),""),"")</f>
        <v/>
      </c>
      <c r="AQ315" s="36" t="str">
        <f t="shared" si="68"/>
        <v/>
      </c>
      <c r="AR315" s="36" t="str">
        <f t="shared" si="69"/>
        <v/>
      </c>
      <c r="AS315" s="36" t="str">
        <f t="shared" si="78"/>
        <v/>
      </c>
      <c r="AT315" s="37" t="str">
        <f t="shared" si="70"/>
        <v/>
      </c>
      <c r="AU315" s="37" t="str">
        <f t="shared" si="71"/>
        <v/>
      </c>
      <c r="AV315" s="54"/>
      <c r="AW315" s="46"/>
      <c r="AX315" s="39" t="str" cm="1">
        <f t="array" ref="AX315">IF(AH315&lt;&gt;"",IF(AND(AX313:AX314&lt;&gt;"IE",AQ315&lt;&gt;0,AS315&lt;&gt;""),IF(IFERROR((AQ315/AS315),0) &lt;=1,IFERROR(AQ315/AS315,""),1),""),"")</f>
        <v/>
      </c>
      <c r="AY315" s="46"/>
      <c r="AZ315" s="57"/>
    </row>
    <row r="316" spans="1:52" ht="15.5" x14ac:dyDescent="0.35">
      <c r="A316" s="51">
        <f t="shared" si="79"/>
        <v>1</v>
      </c>
      <c r="B316" s="52"/>
      <c r="C316" s="52"/>
      <c r="D316" s="29" t="str">
        <f>IFERROR(
IF(AND(OR(Planilla!B316="C",Planilla!B316="c"), VLOOKUP(E316,[1]Diccionario!B:N,13,0)="C"), "OK",IF(AND(OR(Planilla!B316="C",Planilla!B316="c"), OR(VLOOKUP(E316,[1]Diccionario!B:N,13,0)="B", VLOOKUP(E316,[1]Diccionario!B:N,13,0)="A")), "DEFICIT",IF(
AND(OR(Planilla!B316="B", Planilla!B316="BPAL"), VLOOKUP(E316,[1]Diccionario!B:N,13,0)="B"), "OK",IF(AND(OR(Planilla!B316="B", Planilla!B316="BPAL"), VLOOKUP(E316,[1]Diccionario!B:N,13,0)="A"), "DEFICIT",IF(AND(OR(Planilla!B316="B", Planilla!B316="BPAL"), VLOOKUP(E316,[1]Diccionario!B:N,13,0)="C"), "SOBREOFERTA",IF(AND(Planilla!B316="A", VLOOKUP(E316,[1]Diccionario!B:N,13,0)="A"), "OK",IF(
AND(Planilla!B316="A", OR(VLOOKUP(E316,[1]Diccionario!B:N,13,0)="B", VLOOKUP(E316,[1]Diccionario!B:N,13,0)="C")), "SOBREOFERTA",""
))))))),"")</f>
        <v/>
      </c>
      <c r="E316" s="48"/>
      <c r="F316" s="53"/>
      <c r="G316" s="54"/>
      <c r="H316" s="55" t="str">
        <f t="shared" si="72"/>
        <v/>
      </c>
      <c r="I316" s="35"/>
      <c r="J316" s="34" t="e">
        <f>IF(A316&lt;&gt;"",HLOOKUP(VALUE(TEXT(G316,"h:mm:ss")),IF($C$6="Laboral",[1]Input!$A$4:$Y$227,IF($C$6="Sábado",[1]Input!$A$231:$Y$452,[1]Input!$A$456:$Y$656)),VLOOKUP($C$4,[1]Input!$AG$2:$AI$99,3,0)+IF(C$5="Ida",0,1),1),"")</f>
        <v>#N/A</v>
      </c>
      <c r="K316" s="34" t="str">
        <f>IF(A317&lt;&gt;A316,AVERAGEIF(A$9:A316,A316,J$13:J316),"")</f>
        <v/>
      </c>
      <c r="L316" s="35" t="str">
        <f>IFERROR(IF(A317&lt;&gt;A316,AVERAGEIF(A$9:A316,A316,S$13:S316),""),"")</f>
        <v/>
      </c>
      <c r="M316" s="35" t="str">
        <f>IFERROR(IF(A317&lt;&gt;A316,AVERAGEIF(A$9:A316,A316,T$8:T316),""),"")</f>
        <v/>
      </c>
      <c r="N316" s="35" t="str" cm="1">
        <f t="array" ref="N316">IFERROR(IF(A317&lt;&gt;A316,_xlfn.STDEV.P(IF(A$9:A316=A316,T$7:T316)),""),"")</f>
        <v/>
      </c>
      <c r="O316" s="35" t="str" cm="1">
        <f t="array" ref="O316">IFERROR(IF(A317&lt;&gt;A316,_xlfn.STDEV.P(IF(A$9:A316=A316,S$7:S316)),""),"")</f>
        <v/>
      </c>
      <c r="P316" s="36" t="str">
        <f t="shared" si="65"/>
        <v/>
      </c>
      <c r="Q316" s="36" t="str">
        <f t="shared" si="66"/>
        <v/>
      </c>
      <c r="R316" s="36" t="str">
        <f t="shared" si="73"/>
        <v/>
      </c>
      <c r="S316" s="37" t="str">
        <f t="shared" si="74"/>
        <v/>
      </c>
      <c r="T316" s="37" t="str">
        <f t="shared" si="67"/>
        <v/>
      </c>
      <c r="U316" s="54"/>
      <c r="V316" s="46"/>
      <c r="W316" s="39" t="str">
        <f t="shared" si="75"/>
        <v/>
      </c>
      <c r="X316" s="38"/>
      <c r="Y316" s="48"/>
      <c r="AB316" s="56">
        <f t="shared" si="76"/>
        <v>1</v>
      </c>
      <c r="AC316" s="52"/>
      <c r="AD316" s="52"/>
      <c r="AE316" s="29" t="str">
        <f>IFERROR(
IF(AND(OR(AC316="C",AC316="c"), VLOOKUP(AF316,[1]Diccionario!B:N,13,0)="C"), "OK",IF(AND(OR(AC316="C",AC316="c"), OR(VLOOKUP(AF316,[1]Diccionario!B:N,13,0)="B", VLOOKUP(AF316,[1]Diccionario!B:N,13,0)="A")), "DEFICIT",IF(
AND(OR(AC316="B", AC316="BPAL"), VLOOKUP(AF316,[1]Diccionario!B:N,13,0)="B"), "OK",IF(AND(OR(AC316="B", AC316="BPAL"), VLOOKUP(AF316,[1]Diccionario!B:N,13,0)="A"), "DEFICIT",IF(AND(OR(AC316="B", AC316="BPAL"), VLOOKUP(AF316,[1]Diccionario!B:N,13,0)="C"), "SOBREOFERTA",IF(AND(AC316="A", VLOOKUP(AF316,[1]Diccionario!B:N,13,0)="A"), "OK",IF(
AND(AC316="A", OR(VLOOKUP(AF316,[1]Diccionario!B:N,13,0)="B", VLOOKUP(AF316,[1]Diccionario!B:N,13,0)="C")), "SOBREOFERTA",""
))))))),"")</f>
        <v/>
      </c>
      <c r="AF316" s="48"/>
      <c r="AG316" s="53"/>
      <c r="AH316" s="54"/>
      <c r="AI316" s="55" t="str">
        <f t="shared" si="77"/>
        <v/>
      </c>
      <c r="AJ316" s="46"/>
      <c r="AK316" s="34" t="e">
        <f>IF(AB316&lt;&gt;"",HLOOKUP(VALUE(TEXT(AH316,"h:mm:ss")),IF($C$6="Laboral",[1]Input!$A$4:$Y$227,IF($C$6="Sábado",[1]Input!$A$231:$Y$452,[1]Input!$A$456:$Y$656)),VLOOKUP($C$4,[1]Input!$AG$2:$AI$99,3,0)+IF(AD$5="Ida",0,1),1),"")</f>
        <v>#N/A</v>
      </c>
      <c r="AL316" s="34" t="str">
        <f>IF(AB317&lt;&gt;AB316,AVERAGEIF(AB$9:AB316,AB316,AK$9:AK316),"")</f>
        <v/>
      </c>
      <c r="AM316" s="35" t="str">
        <f>IFERROR(IF(AB317&lt;&gt;AB316,AVERAGEIF(AB$9:AB316,AB316,AT$9:AT316),""),"")</f>
        <v/>
      </c>
      <c r="AN316" s="35" t="str">
        <f>IFERROR(IF(AB317&lt;&gt;AB316,AVERAGEIF(AB$9:AB316,AB316,AU$9:AU316),""),"")</f>
        <v/>
      </c>
      <c r="AO316" s="35" t="str" cm="1">
        <f t="array" ref="AO316">IFERROR(IF(AB317&lt;&gt;AB316,_xlfn.STDEV.P(IF(AB$9:AB316=AB316,AU$9:AU316)),""),"")</f>
        <v/>
      </c>
      <c r="AP316" s="35" t="str" cm="1">
        <f t="array" ref="AP316">IFERROR(IF(AB317&lt;&gt;AB316,_xlfn.STDEV.P(IF(AB$9:AB316=AB316,AT$9:AT316)),""),"")</f>
        <v/>
      </c>
      <c r="AQ316" s="36" t="str">
        <f t="shared" si="68"/>
        <v/>
      </c>
      <c r="AR316" s="36" t="str">
        <f t="shared" si="69"/>
        <v/>
      </c>
      <c r="AS316" s="36" t="str">
        <f t="shared" si="78"/>
        <v/>
      </c>
      <c r="AT316" s="37" t="str">
        <f t="shared" si="70"/>
        <v/>
      </c>
      <c r="AU316" s="37" t="str">
        <f t="shared" si="71"/>
        <v/>
      </c>
      <c r="AV316" s="54"/>
      <c r="AW316" s="46"/>
      <c r="AX316" s="39" t="str" cm="1">
        <f t="array" ref="AX316">IF(AH316&lt;&gt;"",IF(AND(AX314:AX315&lt;&gt;"IE",AQ316&lt;&gt;0,AS316&lt;&gt;""),IF(IFERROR((AQ316/AS316),0) &lt;=1,IFERROR(AQ316/AS316,""),1),""),"")</f>
        <v/>
      </c>
      <c r="AY316" s="46"/>
      <c r="AZ316" s="57"/>
    </row>
    <row r="317" spans="1:52" ht="15.5" x14ac:dyDescent="0.35">
      <c r="A317" s="51">
        <f t="shared" si="79"/>
        <v>1</v>
      </c>
      <c r="B317" s="52"/>
      <c r="C317" s="52"/>
      <c r="D317" s="29" t="str">
        <f>IFERROR(
IF(AND(OR(Planilla!B317="C",Planilla!B317="c"), VLOOKUP(E317,[1]Diccionario!B:N,13,0)="C"), "OK",IF(AND(OR(Planilla!B317="C",Planilla!B317="c"), OR(VLOOKUP(E317,[1]Diccionario!B:N,13,0)="B", VLOOKUP(E317,[1]Diccionario!B:N,13,0)="A")), "DEFICIT",IF(
AND(OR(Planilla!B317="B", Planilla!B317="BPAL"), VLOOKUP(E317,[1]Diccionario!B:N,13,0)="B"), "OK",IF(AND(OR(Planilla!B317="B", Planilla!B317="BPAL"), VLOOKUP(E317,[1]Diccionario!B:N,13,0)="A"), "DEFICIT",IF(AND(OR(Planilla!B317="B", Planilla!B317="BPAL"), VLOOKUP(E317,[1]Diccionario!B:N,13,0)="C"), "SOBREOFERTA",IF(AND(Planilla!B317="A", VLOOKUP(E317,[1]Diccionario!B:N,13,0)="A"), "OK",IF(
AND(Planilla!B317="A", OR(VLOOKUP(E317,[1]Diccionario!B:N,13,0)="B", VLOOKUP(E317,[1]Diccionario!B:N,13,0)="C")), "SOBREOFERTA",""
))))))),"")</f>
        <v/>
      </c>
      <c r="E317" s="48"/>
      <c r="F317" s="53"/>
      <c r="G317" s="54"/>
      <c r="H317" s="55" t="str">
        <f t="shared" si="72"/>
        <v/>
      </c>
      <c r="I317" s="35"/>
      <c r="J317" s="34" t="e">
        <f>IF(A317&lt;&gt;"",HLOOKUP(VALUE(TEXT(G317,"h:mm:ss")),IF($C$6="Laboral",[1]Input!$A$4:$Y$227,IF($C$6="Sábado",[1]Input!$A$231:$Y$452,[1]Input!$A$456:$Y$656)),VLOOKUP($C$4,[1]Input!$AG$2:$AI$99,3,0)+IF(C$5="Ida",0,1),1),"")</f>
        <v>#N/A</v>
      </c>
      <c r="K317" s="34" t="str">
        <f>IF(A318&lt;&gt;A317,AVERAGEIF(A$9:A317,A317,J$13:J317),"")</f>
        <v/>
      </c>
      <c r="L317" s="35" t="str">
        <f>IFERROR(IF(A318&lt;&gt;A317,AVERAGEIF(A$9:A317,A317,S$13:S317),""),"")</f>
        <v/>
      </c>
      <c r="M317" s="35" t="str">
        <f>IFERROR(IF(A318&lt;&gt;A317,AVERAGEIF(A$9:A317,A317,T$8:T317),""),"")</f>
        <v/>
      </c>
      <c r="N317" s="35" t="str" cm="1">
        <f t="array" ref="N317">IFERROR(IF(A318&lt;&gt;A317,_xlfn.STDEV.P(IF(A$9:A317=A317,T$7:T317)),""),"")</f>
        <v/>
      </c>
      <c r="O317" s="35" t="str" cm="1">
        <f t="array" ref="O317">IFERROR(IF(A318&lt;&gt;A317,_xlfn.STDEV.P(IF(A$9:A317=A317,S$7:S317)),""),"")</f>
        <v/>
      </c>
      <c r="P317" s="36" t="str">
        <f t="shared" si="65"/>
        <v/>
      </c>
      <c r="Q317" s="36" t="str">
        <f t="shared" si="66"/>
        <v/>
      </c>
      <c r="R317" s="36" t="str">
        <f t="shared" si="73"/>
        <v/>
      </c>
      <c r="S317" s="37" t="str">
        <f t="shared" si="74"/>
        <v/>
      </c>
      <c r="T317" s="37" t="str">
        <f t="shared" si="67"/>
        <v/>
      </c>
      <c r="U317" s="54"/>
      <c r="V317" s="46"/>
      <c r="W317" s="39" t="str">
        <f t="shared" si="75"/>
        <v/>
      </c>
      <c r="X317" s="38"/>
      <c r="Y317" s="48"/>
      <c r="AB317" s="56">
        <f t="shared" si="76"/>
        <v>1</v>
      </c>
      <c r="AC317" s="52"/>
      <c r="AD317" s="52"/>
      <c r="AE317" s="29" t="str">
        <f>IFERROR(
IF(AND(OR(AC317="C",AC317="c"), VLOOKUP(AF317,[1]Diccionario!B:N,13,0)="C"), "OK",IF(AND(OR(AC317="C",AC317="c"), OR(VLOOKUP(AF317,[1]Diccionario!B:N,13,0)="B", VLOOKUP(AF317,[1]Diccionario!B:N,13,0)="A")), "DEFICIT",IF(
AND(OR(AC317="B", AC317="BPAL"), VLOOKUP(AF317,[1]Diccionario!B:N,13,0)="B"), "OK",IF(AND(OR(AC317="B", AC317="BPAL"), VLOOKUP(AF317,[1]Diccionario!B:N,13,0)="A"), "DEFICIT",IF(AND(OR(AC317="B", AC317="BPAL"), VLOOKUP(AF317,[1]Diccionario!B:N,13,0)="C"), "SOBREOFERTA",IF(AND(AC317="A", VLOOKUP(AF317,[1]Diccionario!B:N,13,0)="A"), "OK",IF(
AND(AC317="A", OR(VLOOKUP(AF317,[1]Diccionario!B:N,13,0)="B", VLOOKUP(AF317,[1]Diccionario!B:N,13,0)="C")), "SOBREOFERTA",""
))))))),"")</f>
        <v/>
      </c>
      <c r="AF317" s="48"/>
      <c r="AG317" s="53"/>
      <c r="AH317" s="54"/>
      <c r="AI317" s="55" t="str">
        <f t="shared" si="77"/>
        <v/>
      </c>
      <c r="AJ317" s="46"/>
      <c r="AK317" s="34" t="e">
        <f>IF(AB317&lt;&gt;"",HLOOKUP(VALUE(TEXT(AH317,"h:mm:ss")),IF($C$6="Laboral",[1]Input!$A$4:$Y$227,IF($C$6="Sábado",[1]Input!$A$231:$Y$452,[1]Input!$A$456:$Y$656)),VLOOKUP($C$4,[1]Input!$AG$2:$AI$99,3,0)+IF(AD$5="Ida",0,1),1),"")</f>
        <v>#N/A</v>
      </c>
      <c r="AL317" s="34" t="str">
        <f>IF(AB318&lt;&gt;AB317,AVERAGEIF(AB$9:AB317,AB317,AK$9:AK317),"")</f>
        <v/>
      </c>
      <c r="AM317" s="35" t="str">
        <f>IFERROR(IF(AB318&lt;&gt;AB317,AVERAGEIF(AB$9:AB317,AB317,AT$9:AT317),""),"")</f>
        <v/>
      </c>
      <c r="AN317" s="35" t="str">
        <f>IFERROR(IF(AB318&lt;&gt;AB317,AVERAGEIF(AB$9:AB317,AB317,AU$9:AU317),""),"")</f>
        <v/>
      </c>
      <c r="AO317" s="35" t="str" cm="1">
        <f t="array" ref="AO317">IFERROR(IF(AB318&lt;&gt;AB317,_xlfn.STDEV.P(IF(AB$9:AB317=AB317,AU$9:AU317)),""),"")</f>
        <v/>
      </c>
      <c r="AP317" s="35" t="str" cm="1">
        <f t="array" ref="AP317">IFERROR(IF(AB318&lt;&gt;AB317,_xlfn.STDEV.P(IF(AB$9:AB317=AB317,AT$9:AT317)),""),"")</f>
        <v/>
      </c>
      <c r="AQ317" s="36" t="str">
        <f t="shared" si="68"/>
        <v/>
      </c>
      <c r="AR317" s="36" t="str">
        <f t="shared" si="69"/>
        <v/>
      </c>
      <c r="AS317" s="36" t="str">
        <f t="shared" si="78"/>
        <v/>
      </c>
      <c r="AT317" s="37" t="str">
        <f t="shared" si="70"/>
        <v/>
      </c>
      <c r="AU317" s="37" t="str">
        <f t="shared" si="71"/>
        <v/>
      </c>
      <c r="AV317" s="54"/>
      <c r="AW317" s="46"/>
      <c r="AX317" s="39" t="str" cm="1">
        <f t="array" ref="AX317">IF(AH317&lt;&gt;"",IF(AND(AX315:AX316&lt;&gt;"IE",AQ317&lt;&gt;0,AS317&lt;&gt;""),IF(IFERROR((AQ317/AS317),0) &lt;=1,IFERROR(AQ317/AS317,""),1),""),"")</f>
        <v/>
      </c>
      <c r="AY317" s="46"/>
      <c r="AZ317" s="57"/>
    </row>
    <row r="318" spans="1:52" ht="15.5" x14ac:dyDescent="0.35">
      <c r="A318" s="51">
        <f t="shared" si="79"/>
        <v>1</v>
      </c>
      <c r="B318" s="52"/>
      <c r="C318" s="52"/>
      <c r="D318" s="29" t="str">
        <f>IFERROR(
IF(AND(OR(Planilla!B318="C",Planilla!B318="c"), VLOOKUP(E318,[1]Diccionario!B:N,13,0)="C"), "OK",IF(AND(OR(Planilla!B318="C",Planilla!B318="c"), OR(VLOOKUP(E318,[1]Diccionario!B:N,13,0)="B", VLOOKUP(E318,[1]Diccionario!B:N,13,0)="A")), "DEFICIT",IF(
AND(OR(Planilla!B318="B", Planilla!B318="BPAL"), VLOOKUP(E318,[1]Diccionario!B:N,13,0)="B"), "OK",IF(AND(OR(Planilla!B318="B", Planilla!B318="BPAL"), VLOOKUP(E318,[1]Diccionario!B:N,13,0)="A"), "DEFICIT",IF(AND(OR(Planilla!B318="B", Planilla!B318="BPAL"), VLOOKUP(E318,[1]Diccionario!B:N,13,0)="C"), "SOBREOFERTA",IF(AND(Planilla!B318="A", VLOOKUP(E318,[1]Diccionario!B:N,13,0)="A"), "OK",IF(
AND(Planilla!B318="A", OR(VLOOKUP(E318,[1]Diccionario!B:N,13,0)="B", VLOOKUP(E318,[1]Diccionario!B:N,13,0)="C")), "SOBREOFERTA",""
))))))),"")</f>
        <v/>
      </c>
      <c r="E318" s="48"/>
      <c r="F318" s="53"/>
      <c r="G318" s="54"/>
      <c r="H318" s="55" t="str">
        <f t="shared" si="72"/>
        <v/>
      </c>
      <c r="I318" s="35"/>
      <c r="J318" s="34" t="e">
        <f>IF(A318&lt;&gt;"",HLOOKUP(VALUE(TEXT(G318,"h:mm:ss")),IF($C$6="Laboral",[1]Input!$A$4:$Y$227,IF($C$6="Sábado",[1]Input!$A$231:$Y$452,[1]Input!$A$456:$Y$656)),VLOOKUP($C$4,[1]Input!$AG$2:$AI$99,3,0)+IF(C$5="Ida",0,1),1),"")</f>
        <v>#N/A</v>
      </c>
      <c r="K318" s="34" t="str">
        <f>IF(A319&lt;&gt;A318,AVERAGEIF(A$9:A318,A318,J$13:J318),"")</f>
        <v/>
      </c>
      <c r="L318" s="35" t="str">
        <f>IFERROR(IF(A319&lt;&gt;A318,AVERAGEIF(A$9:A318,A318,S$13:S318),""),"")</f>
        <v/>
      </c>
      <c r="M318" s="35" t="str">
        <f>IFERROR(IF(A319&lt;&gt;A318,AVERAGEIF(A$9:A318,A318,T$8:T318),""),"")</f>
        <v/>
      </c>
      <c r="N318" s="35" t="str" cm="1">
        <f t="array" ref="N318">IFERROR(IF(A319&lt;&gt;A318,_xlfn.STDEV.P(IF(A$9:A318=A318,T$7:T318)),""),"")</f>
        <v/>
      </c>
      <c r="O318" s="35" t="str" cm="1">
        <f t="array" ref="O318">IFERROR(IF(A319&lt;&gt;A318,_xlfn.STDEV.P(IF(A$9:A318=A318,S$7:S318)),""),"")</f>
        <v/>
      </c>
      <c r="P318" s="36" t="str">
        <f t="shared" si="65"/>
        <v/>
      </c>
      <c r="Q318" s="36" t="str">
        <f t="shared" si="66"/>
        <v/>
      </c>
      <c r="R318" s="36" t="str">
        <f t="shared" si="73"/>
        <v/>
      </c>
      <c r="S318" s="37" t="str">
        <f t="shared" si="74"/>
        <v/>
      </c>
      <c r="T318" s="37" t="str">
        <f t="shared" si="67"/>
        <v/>
      </c>
      <c r="U318" s="54"/>
      <c r="V318" s="46"/>
      <c r="W318" s="39" t="str">
        <f t="shared" si="75"/>
        <v/>
      </c>
      <c r="X318" s="38"/>
      <c r="Y318" s="48"/>
      <c r="AB318" s="56">
        <f t="shared" si="76"/>
        <v>1</v>
      </c>
      <c r="AC318" s="52"/>
      <c r="AD318" s="52"/>
      <c r="AE318" s="29" t="str">
        <f>IFERROR(
IF(AND(OR(AC318="C",AC318="c"), VLOOKUP(AF318,[1]Diccionario!B:N,13,0)="C"), "OK",IF(AND(OR(AC318="C",AC318="c"), OR(VLOOKUP(AF318,[1]Diccionario!B:N,13,0)="B", VLOOKUP(AF318,[1]Diccionario!B:N,13,0)="A")), "DEFICIT",IF(
AND(OR(AC318="B", AC318="BPAL"), VLOOKUP(AF318,[1]Diccionario!B:N,13,0)="B"), "OK",IF(AND(OR(AC318="B", AC318="BPAL"), VLOOKUP(AF318,[1]Diccionario!B:N,13,0)="A"), "DEFICIT",IF(AND(OR(AC318="B", AC318="BPAL"), VLOOKUP(AF318,[1]Diccionario!B:N,13,0)="C"), "SOBREOFERTA",IF(AND(AC318="A", VLOOKUP(AF318,[1]Diccionario!B:N,13,0)="A"), "OK",IF(
AND(AC318="A", OR(VLOOKUP(AF318,[1]Diccionario!B:N,13,0)="B", VLOOKUP(AF318,[1]Diccionario!B:N,13,0)="C")), "SOBREOFERTA",""
))))))),"")</f>
        <v/>
      </c>
      <c r="AF318" s="48"/>
      <c r="AG318" s="53"/>
      <c r="AH318" s="54"/>
      <c r="AI318" s="55" t="str">
        <f t="shared" si="77"/>
        <v/>
      </c>
      <c r="AJ318" s="46"/>
      <c r="AK318" s="34" t="e">
        <f>IF(AB318&lt;&gt;"",HLOOKUP(VALUE(TEXT(AH318,"h:mm:ss")),IF($C$6="Laboral",[1]Input!$A$4:$Y$227,IF($C$6="Sábado",[1]Input!$A$231:$Y$452,[1]Input!$A$456:$Y$656)),VLOOKUP($C$4,[1]Input!$AG$2:$AI$99,3,0)+IF(AD$5="Ida",0,1),1),"")</f>
        <v>#N/A</v>
      </c>
      <c r="AL318" s="34" t="str">
        <f>IF(AB319&lt;&gt;AB318,AVERAGEIF(AB$9:AB318,AB318,AK$9:AK318),"")</f>
        <v/>
      </c>
      <c r="AM318" s="35" t="str">
        <f>IFERROR(IF(AB319&lt;&gt;AB318,AVERAGEIF(AB$9:AB318,AB318,AT$9:AT318),""),"")</f>
        <v/>
      </c>
      <c r="AN318" s="35" t="str">
        <f>IFERROR(IF(AB319&lt;&gt;AB318,AVERAGEIF(AB$9:AB318,AB318,AU$9:AU318),""),"")</f>
        <v/>
      </c>
      <c r="AO318" s="35" t="str" cm="1">
        <f t="array" ref="AO318">IFERROR(IF(AB319&lt;&gt;AB318,_xlfn.STDEV.P(IF(AB$9:AB318=AB318,AU$9:AU318)),""),"")</f>
        <v/>
      </c>
      <c r="AP318" s="35" t="str" cm="1">
        <f t="array" ref="AP318">IFERROR(IF(AB319&lt;&gt;AB318,_xlfn.STDEV.P(IF(AB$9:AB318=AB318,AT$9:AT318)),""),"")</f>
        <v/>
      </c>
      <c r="AQ318" s="36" t="str">
        <f t="shared" si="68"/>
        <v/>
      </c>
      <c r="AR318" s="36" t="str">
        <f t="shared" si="69"/>
        <v/>
      </c>
      <c r="AS318" s="36" t="str">
        <f t="shared" si="78"/>
        <v/>
      </c>
      <c r="AT318" s="37" t="str">
        <f t="shared" si="70"/>
        <v/>
      </c>
      <c r="AU318" s="37" t="str">
        <f t="shared" si="71"/>
        <v/>
      </c>
      <c r="AV318" s="54"/>
      <c r="AW318" s="46"/>
      <c r="AX318" s="39" t="str" cm="1">
        <f t="array" ref="AX318">IF(AH318&lt;&gt;"",IF(AND(AX316:AX317&lt;&gt;"IE",AQ318&lt;&gt;0,AS318&lt;&gt;""),IF(IFERROR((AQ318/AS318),0) &lt;=1,IFERROR(AQ318/AS318,""),1),""),"")</f>
        <v/>
      </c>
      <c r="AY318" s="46"/>
      <c r="AZ318" s="57"/>
    </row>
    <row r="319" spans="1:52" ht="15.5" x14ac:dyDescent="0.35">
      <c r="A319" s="51">
        <f t="shared" si="79"/>
        <v>1</v>
      </c>
      <c r="B319" s="52"/>
      <c r="C319" s="52"/>
      <c r="D319" s="29" t="str">
        <f>IFERROR(
IF(AND(OR(Planilla!B319="C",Planilla!B319="c"), VLOOKUP(E319,[1]Diccionario!B:N,13,0)="C"), "OK",IF(AND(OR(Planilla!B319="C",Planilla!B319="c"), OR(VLOOKUP(E319,[1]Diccionario!B:N,13,0)="B", VLOOKUP(E319,[1]Diccionario!B:N,13,0)="A")), "DEFICIT",IF(
AND(OR(Planilla!B319="B", Planilla!B319="BPAL"), VLOOKUP(E319,[1]Diccionario!B:N,13,0)="B"), "OK",IF(AND(OR(Planilla!B319="B", Planilla!B319="BPAL"), VLOOKUP(E319,[1]Diccionario!B:N,13,0)="A"), "DEFICIT",IF(AND(OR(Planilla!B319="B", Planilla!B319="BPAL"), VLOOKUP(E319,[1]Diccionario!B:N,13,0)="C"), "SOBREOFERTA",IF(AND(Planilla!B319="A", VLOOKUP(E319,[1]Diccionario!B:N,13,0)="A"), "OK",IF(
AND(Planilla!B319="A", OR(VLOOKUP(E319,[1]Diccionario!B:N,13,0)="B", VLOOKUP(E319,[1]Diccionario!B:N,13,0)="C")), "SOBREOFERTA",""
))))))),"")</f>
        <v/>
      </c>
      <c r="E319" s="48"/>
      <c r="F319" s="53"/>
      <c r="G319" s="54"/>
      <c r="H319" s="55" t="str">
        <f t="shared" si="72"/>
        <v/>
      </c>
      <c r="I319" s="35"/>
      <c r="J319" s="34" t="e">
        <f>IF(A319&lt;&gt;"",HLOOKUP(VALUE(TEXT(G319,"h:mm:ss")),IF($C$6="Laboral",[1]Input!$A$4:$Y$227,IF($C$6="Sábado",[1]Input!$A$231:$Y$452,[1]Input!$A$456:$Y$656)),VLOOKUP($C$4,[1]Input!$AG$2:$AI$99,3,0)+IF(C$5="Ida",0,1),1),"")</f>
        <v>#N/A</v>
      </c>
      <c r="K319" s="34" t="str">
        <f>IF(A320&lt;&gt;A319,AVERAGEIF(A$9:A319,A319,J$13:J319),"")</f>
        <v/>
      </c>
      <c r="L319" s="35" t="str">
        <f>IFERROR(IF(A320&lt;&gt;A319,AVERAGEIF(A$9:A319,A319,S$13:S319),""),"")</f>
        <v/>
      </c>
      <c r="M319" s="35" t="str">
        <f>IFERROR(IF(A320&lt;&gt;A319,AVERAGEIF(A$9:A319,A319,T$8:T319),""),"")</f>
        <v/>
      </c>
      <c r="N319" s="35" t="str" cm="1">
        <f t="array" ref="N319">IFERROR(IF(A320&lt;&gt;A319,_xlfn.STDEV.P(IF(A$9:A319=A319,T$7:T319)),""),"")</f>
        <v/>
      </c>
      <c r="O319" s="35" t="str" cm="1">
        <f t="array" ref="O319">IFERROR(IF(A320&lt;&gt;A319,_xlfn.STDEV.P(IF(A$9:A319=A319,S$7:S319)),""),"")</f>
        <v/>
      </c>
      <c r="P319" s="36" t="str">
        <f t="shared" si="65"/>
        <v/>
      </c>
      <c r="Q319" s="36" t="str">
        <f t="shared" si="66"/>
        <v/>
      </c>
      <c r="R319" s="36" t="str">
        <f t="shared" si="73"/>
        <v/>
      </c>
      <c r="S319" s="37" t="str">
        <f t="shared" si="74"/>
        <v/>
      </c>
      <c r="T319" s="37" t="str">
        <f t="shared" si="67"/>
        <v/>
      </c>
      <c r="U319" s="54"/>
      <c r="V319" s="46"/>
      <c r="W319" s="39" t="str">
        <f t="shared" si="75"/>
        <v/>
      </c>
      <c r="X319" s="38"/>
      <c r="Y319" s="48"/>
      <c r="AB319" s="56">
        <f t="shared" si="76"/>
        <v>1</v>
      </c>
      <c r="AC319" s="52"/>
      <c r="AD319" s="52"/>
      <c r="AE319" s="29" t="str">
        <f>IFERROR(
IF(AND(OR(AC319="C",AC319="c"), VLOOKUP(AF319,[1]Diccionario!B:N,13,0)="C"), "OK",IF(AND(OR(AC319="C",AC319="c"), OR(VLOOKUP(AF319,[1]Diccionario!B:N,13,0)="B", VLOOKUP(AF319,[1]Diccionario!B:N,13,0)="A")), "DEFICIT",IF(
AND(OR(AC319="B", AC319="BPAL"), VLOOKUP(AF319,[1]Diccionario!B:N,13,0)="B"), "OK",IF(AND(OR(AC319="B", AC319="BPAL"), VLOOKUP(AF319,[1]Diccionario!B:N,13,0)="A"), "DEFICIT",IF(AND(OR(AC319="B", AC319="BPAL"), VLOOKUP(AF319,[1]Diccionario!B:N,13,0)="C"), "SOBREOFERTA",IF(AND(AC319="A", VLOOKUP(AF319,[1]Diccionario!B:N,13,0)="A"), "OK",IF(
AND(AC319="A", OR(VLOOKUP(AF319,[1]Diccionario!B:N,13,0)="B", VLOOKUP(AF319,[1]Diccionario!B:N,13,0)="C")), "SOBREOFERTA",""
))))))),"")</f>
        <v/>
      </c>
      <c r="AF319" s="48"/>
      <c r="AG319" s="53"/>
      <c r="AH319" s="54"/>
      <c r="AI319" s="55" t="str">
        <f t="shared" si="77"/>
        <v/>
      </c>
      <c r="AJ319" s="46"/>
      <c r="AK319" s="34" t="e">
        <f>IF(AB319&lt;&gt;"",HLOOKUP(VALUE(TEXT(AH319,"h:mm:ss")),IF($C$6="Laboral",[1]Input!$A$4:$Y$227,IF($C$6="Sábado",[1]Input!$A$231:$Y$452,[1]Input!$A$456:$Y$656)),VLOOKUP($C$4,[1]Input!$AG$2:$AI$99,3,0)+IF(AD$5="Ida",0,1),1),"")</f>
        <v>#N/A</v>
      </c>
      <c r="AL319" s="34" t="str">
        <f>IF(AB320&lt;&gt;AB319,AVERAGEIF(AB$9:AB319,AB319,AK$9:AK319),"")</f>
        <v/>
      </c>
      <c r="AM319" s="35" t="str">
        <f>IFERROR(IF(AB320&lt;&gt;AB319,AVERAGEIF(AB$9:AB319,AB319,AT$9:AT319),""),"")</f>
        <v/>
      </c>
      <c r="AN319" s="35" t="str">
        <f>IFERROR(IF(AB320&lt;&gt;AB319,AVERAGEIF(AB$9:AB319,AB319,AU$9:AU319),""),"")</f>
        <v/>
      </c>
      <c r="AO319" s="35" t="str" cm="1">
        <f t="array" ref="AO319">IFERROR(IF(AB320&lt;&gt;AB319,_xlfn.STDEV.P(IF(AB$9:AB319=AB319,AU$9:AU319)),""),"")</f>
        <v/>
      </c>
      <c r="AP319" s="35" t="str" cm="1">
        <f t="array" ref="AP319">IFERROR(IF(AB320&lt;&gt;AB319,_xlfn.STDEV.P(IF(AB$9:AB319=AB319,AT$9:AT319)),""),"")</f>
        <v/>
      </c>
      <c r="AQ319" s="36" t="str">
        <f t="shared" si="68"/>
        <v/>
      </c>
      <c r="AR319" s="36" t="str">
        <f t="shared" si="69"/>
        <v/>
      </c>
      <c r="AS319" s="36" t="str">
        <f t="shared" si="78"/>
        <v/>
      </c>
      <c r="AT319" s="37" t="str">
        <f t="shared" si="70"/>
        <v/>
      </c>
      <c r="AU319" s="37" t="str">
        <f t="shared" si="71"/>
        <v/>
      </c>
      <c r="AV319" s="54"/>
      <c r="AW319" s="46"/>
      <c r="AX319" s="39" t="str" cm="1">
        <f t="array" ref="AX319">IF(AH319&lt;&gt;"",IF(AND(AX317:AX318&lt;&gt;"IE",AQ319&lt;&gt;0,AS319&lt;&gt;""),IF(IFERROR((AQ319/AS319),0) &lt;=1,IFERROR(AQ319/AS319,""),1),""),"")</f>
        <v/>
      </c>
      <c r="AY319" s="46"/>
      <c r="AZ319" s="57"/>
    </row>
    <row r="320" spans="1:52" ht="15.5" x14ac:dyDescent="0.35">
      <c r="A320" s="51">
        <f t="shared" si="79"/>
        <v>1</v>
      </c>
      <c r="B320" s="52"/>
      <c r="C320" s="52"/>
      <c r="D320" s="29" t="str">
        <f>IFERROR(
IF(AND(OR(Planilla!B320="C",Planilla!B320="c"), VLOOKUP(E320,[1]Diccionario!B:N,13,0)="C"), "OK",IF(AND(OR(Planilla!B320="C",Planilla!B320="c"), OR(VLOOKUP(E320,[1]Diccionario!B:N,13,0)="B", VLOOKUP(E320,[1]Diccionario!B:N,13,0)="A")), "DEFICIT",IF(
AND(OR(Planilla!B320="B", Planilla!B320="BPAL"), VLOOKUP(E320,[1]Diccionario!B:N,13,0)="B"), "OK",IF(AND(OR(Planilla!B320="B", Planilla!B320="BPAL"), VLOOKUP(E320,[1]Diccionario!B:N,13,0)="A"), "DEFICIT",IF(AND(OR(Planilla!B320="B", Planilla!B320="BPAL"), VLOOKUP(E320,[1]Diccionario!B:N,13,0)="C"), "SOBREOFERTA",IF(AND(Planilla!B320="A", VLOOKUP(E320,[1]Diccionario!B:N,13,0)="A"), "OK",IF(
AND(Planilla!B320="A", OR(VLOOKUP(E320,[1]Diccionario!B:N,13,0)="B", VLOOKUP(E320,[1]Diccionario!B:N,13,0)="C")), "SOBREOFERTA",""
))))))),"")</f>
        <v/>
      </c>
      <c r="E320" s="48"/>
      <c r="F320" s="53"/>
      <c r="G320" s="54"/>
      <c r="H320" s="55" t="str">
        <f t="shared" si="72"/>
        <v/>
      </c>
      <c r="I320" s="35"/>
      <c r="J320" s="34" t="e">
        <f>IF(A320&lt;&gt;"",HLOOKUP(VALUE(TEXT(G320,"h:mm:ss")),IF($C$6="Laboral",[1]Input!$A$4:$Y$227,IF($C$6="Sábado",[1]Input!$A$231:$Y$452,[1]Input!$A$456:$Y$656)),VLOOKUP($C$4,[1]Input!$AG$2:$AI$99,3,0)+IF(C$5="Ida",0,1),1),"")</f>
        <v>#N/A</v>
      </c>
      <c r="K320" s="34" t="str">
        <f>IF(A321&lt;&gt;A320,AVERAGEIF(A$9:A320,A320,J$13:J320),"")</f>
        <v/>
      </c>
      <c r="L320" s="35" t="str">
        <f>IFERROR(IF(A321&lt;&gt;A320,AVERAGEIF(A$9:A320,A320,S$13:S320),""),"")</f>
        <v/>
      </c>
      <c r="M320" s="35" t="str">
        <f>IFERROR(IF(A321&lt;&gt;A320,AVERAGEIF(A$9:A320,A320,T$8:T320),""),"")</f>
        <v/>
      </c>
      <c r="N320" s="35" t="str" cm="1">
        <f t="array" ref="N320">IFERROR(IF(A321&lt;&gt;A320,_xlfn.STDEV.P(IF(A$9:A320=A320,T$7:T320)),""),"")</f>
        <v/>
      </c>
      <c r="O320" s="35" t="str" cm="1">
        <f t="array" ref="O320">IFERROR(IF(A321&lt;&gt;A320,_xlfn.STDEV.P(IF(A$9:A320=A320,S$7:S320)),""),"")</f>
        <v/>
      </c>
      <c r="P320" s="36" t="str">
        <f t="shared" si="65"/>
        <v/>
      </c>
      <c r="Q320" s="36" t="str">
        <f t="shared" si="66"/>
        <v/>
      </c>
      <c r="R320" s="36" t="str">
        <f t="shared" si="73"/>
        <v/>
      </c>
      <c r="S320" s="37" t="str">
        <f t="shared" si="74"/>
        <v/>
      </c>
      <c r="T320" s="37" t="str">
        <f t="shared" si="67"/>
        <v/>
      </c>
      <c r="U320" s="54"/>
      <c r="V320" s="46"/>
      <c r="W320" s="39" t="str">
        <f t="shared" si="75"/>
        <v/>
      </c>
      <c r="X320" s="38"/>
      <c r="Y320" s="48"/>
      <c r="AB320" s="56">
        <f t="shared" si="76"/>
        <v>1</v>
      </c>
      <c r="AC320" s="52"/>
      <c r="AD320" s="52"/>
      <c r="AE320" s="29" t="str">
        <f>IFERROR(
IF(AND(OR(AC320="C",AC320="c"), VLOOKUP(AF320,[1]Diccionario!B:N,13,0)="C"), "OK",IF(AND(OR(AC320="C",AC320="c"), OR(VLOOKUP(AF320,[1]Diccionario!B:N,13,0)="B", VLOOKUP(AF320,[1]Diccionario!B:N,13,0)="A")), "DEFICIT",IF(
AND(OR(AC320="B", AC320="BPAL"), VLOOKUP(AF320,[1]Diccionario!B:N,13,0)="B"), "OK",IF(AND(OR(AC320="B", AC320="BPAL"), VLOOKUP(AF320,[1]Diccionario!B:N,13,0)="A"), "DEFICIT",IF(AND(OR(AC320="B", AC320="BPAL"), VLOOKUP(AF320,[1]Diccionario!B:N,13,0)="C"), "SOBREOFERTA",IF(AND(AC320="A", VLOOKUP(AF320,[1]Diccionario!B:N,13,0)="A"), "OK",IF(
AND(AC320="A", OR(VLOOKUP(AF320,[1]Diccionario!B:N,13,0)="B", VLOOKUP(AF320,[1]Diccionario!B:N,13,0)="C")), "SOBREOFERTA",""
))))))),"")</f>
        <v/>
      </c>
      <c r="AF320" s="48"/>
      <c r="AG320" s="53"/>
      <c r="AH320" s="54"/>
      <c r="AI320" s="55" t="str">
        <f t="shared" si="77"/>
        <v/>
      </c>
      <c r="AJ320" s="46"/>
      <c r="AK320" s="34" t="e">
        <f>IF(AB320&lt;&gt;"",HLOOKUP(VALUE(TEXT(AH320,"h:mm:ss")),IF($C$6="Laboral",[1]Input!$A$4:$Y$227,IF($C$6="Sábado",[1]Input!$A$231:$Y$452,[1]Input!$A$456:$Y$656)),VLOOKUP($C$4,[1]Input!$AG$2:$AI$99,3,0)+IF(AD$5="Ida",0,1),1),"")</f>
        <v>#N/A</v>
      </c>
      <c r="AL320" s="34" t="str">
        <f>IF(AB321&lt;&gt;AB320,AVERAGEIF(AB$9:AB320,AB320,AK$9:AK320),"")</f>
        <v/>
      </c>
      <c r="AM320" s="35" t="str">
        <f>IFERROR(IF(AB321&lt;&gt;AB320,AVERAGEIF(AB$9:AB320,AB320,AT$9:AT320),""),"")</f>
        <v/>
      </c>
      <c r="AN320" s="35" t="str">
        <f>IFERROR(IF(AB321&lt;&gt;AB320,AVERAGEIF(AB$9:AB320,AB320,AU$9:AU320),""),"")</f>
        <v/>
      </c>
      <c r="AO320" s="35" t="str" cm="1">
        <f t="array" ref="AO320">IFERROR(IF(AB321&lt;&gt;AB320,_xlfn.STDEV.P(IF(AB$9:AB320=AB320,AU$9:AU320)),""),"")</f>
        <v/>
      </c>
      <c r="AP320" s="35" t="str" cm="1">
        <f t="array" ref="AP320">IFERROR(IF(AB321&lt;&gt;AB320,_xlfn.STDEV.P(IF(AB$9:AB320=AB320,AT$9:AT320)),""),"")</f>
        <v/>
      </c>
      <c r="AQ320" s="36" t="str">
        <f t="shared" si="68"/>
        <v/>
      </c>
      <c r="AR320" s="36" t="str">
        <f t="shared" si="69"/>
        <v/>
      </c>
      <c r="AS320" s="36" t="str">
        <f t="shared" si="78"/>
        <v/>
      </c>
      <c r="AT320" s="37" t="str">
        <f t="shared" si="70"/>
        <v/>
      </c>
      <c r="AU320" s="37" t="str">
        <f t="shared" si="71"/>
        <v/>
      </c>
      <c r="AV320" s="54"/>
      <c r="AW320" s="46"/>
      <c r="AX320" s="39" t="str" cm="1">
        <f t="array" ref="AX320">IF(AH320&lt;&gt;"",IF(AND(AX318:AX319&lt;&gt;"IE",AQ320&lt;&gt;0,AS320&lt;&gt;""),IF(IFERROR((AQ320/AS320),0) &lt;=1,IFERROR(AQ320/AS320,""),1),""),"")</f>
        <v/>
      </c>
      <c r="AY320" s="46"/>
      <c r="AZ320" s="57"/>
    </row>
    <row r="321" spans="1:52" ht="15.5" x14ac:dyDescent="0.35">
      <c r="A321" s="51">
        <f t="shared" si="79"/>
        <v>1</v>
      </c>
      <c r="B321" s="52"/>
      <c r="C321" s="52"/>
      <c r="D321" s="29" t="str">
        <f>IFERROR(
IF(AND(OR(Planilla!B321="C",Planilla!B321="c"), VLOOKUP(E321,[1]Diccionario!B:N,13,0)="C"), "OK",IF(AND(OR(Planilla!B321="C",Planilla!B321="c"), OR(VLOOKUP(E321,[1]Diccionario!B:N,13,0)="B", VLOOKUP(E321,[1]Diccionario!B:N,13,0)="A")), "DEFICIT",IF(
AND(OR(Planilla!B321="B", Planilla!B321="BPAL"), VLOOKUP(E321,[1]Diccionario!B:N,13,0)="B"), "OK",IF(AND(OR(Planilla!B321="B", Planilla!B321="BPAL"), VLOOKUP(E321,[1]Diccionario!B:N,13,0)="A"), "DEFICIT",IF(AND(OR(Planilla!B321="B", Planilla!B321="BPAL"), VLOOKUP(E321,[1]Diccionario!B:N,13,0)="C"), "SOBREOFERTA",IF(AND(Planilla!B321="A", VLOOKUP(E321,[1]Diccionario!B:N,13,0)="A"), "OK",IF(
AND(Planilla!B321="A", OR(VLOOKUP(E321,[1]Diccionario!B:N,13,0)="B", VLOOKUP(E321,[1]Diccionario!B:N,13,0)="C")), "SOBREOFERTA",""
))))))),"")</f>
        <v/>
      </c>
      <c r="E321" s="48"/>
      <c r="F321" s="53"/>
      <c r="G321" s="54"/>
      <c r="H321" s="55" t="str">
        <f t="shared" si="72"/>
        <v/>
      </c>
      <c r="I321" s="35"/>
      <c r="J321" s="34" t="e">
        <f>IF(A321&lt;&gt;"",HLOOKUP(VALUE(TEXT(G321,"h:mm:ss")),IF($C$6="Laboral",[1]Input!$A$4:$Y$227,IF($C$6="Sábado",[1]Input!$A$231:$Y$452,[1]Input!$A$456:$Y$656)),VLOOKUP($C$4,[1]Input!$AG$2:$AI$99,3,0)+IF(C$5="Ida",0,1),1),"")</f>
        <v>#N/A</v>
      </c>
      <c r="K321" s="34" t="str">
        <f>IF(A322&lt;&gt;A321,AVERAGEIF(A$9:A321,A321,J$13:J321),"")</f>
        <v/>
      </c>
      <c r="L321" s="35" t="str">
        <f>IFERROR(IF(A322&lt;&gt;A321,AVERAGEIF(A$9:A321,A321,S$13:S321),""),"")</f>
        <v/>
      </c>
      <c r="M321" s="35" t="str">
        <f>IFERROR(IF(A322&lt;&gt;A321,AVERAGEIF(A$9:A321,A321,T$8:T321),""),"")</f>
        <v/>
      </c>
      <c r="N321" s="35" t="str" cm="1">
        <f t="array" ref="N321">IFERROR(IF(A322&lt;&gt;A321,_xlfn.STDEV.P(IF(A$9:A321=A321,T$7:T321)),""),"")</f>
        <v/>
      </c>
      <c r="O321" s="35" t="str" cm="1">
        <f t="array" ref="O321">IFERROR(IF(A322&lt;&gt;A321,_xlfn.STDEV.P(IF(A$9:A321=A321,S$7:S321)),""),"")</f>
        <v/>
      </c>
      <c r="P321" s="36" t="str">
        <f t="shared" si="65"/>
        <v/>
      </c>
      <c r="Q321" s="36" t="str">
        <f t="shared" si="66"/>
        <v/>
      </c>
      <c r="R321" s="36" t="str">
        <f t="shared" si="73"/>
        <v/>
      </c>
      <c r="S321" s="37" t="str">
        <f t="shared" si="74"/>
        <v/>
      </c>
      <c r="T321" s="37" t="str">
        <f t="shared" si="67"/>
        <v/>
      </c>
      <c r="U321" s="54"/>
      <c r="V321" s="46"/>
      <c r="W321" s="39" t="str">
        <f t="shared" si="75"/>
        <v/>
      </c>
      <c r="X321" s="38"/>
      <c r="Y321" s="48"/>
      <c r="AB321" s="56">
        <f t="shared" si="76"/>
        <v>1</v>
      </c>
      <c r="AC321" s="52"/>
      <c r="AD321" s="52"/>
      <c r="AE321" s="29" t="str">
        <f>IFERROR(
IF(AND(OR(AC321="C",AC321="c"), VLOOKUP(AF321,[1]Diccionario!B:N,13,0)="C"), "OK",IF(AND(OR(AC321="C",AC321="c"), OR(VLOOKUP(AF321,[1]Diccionario!B:N,13,0)="B", VLOOKUP(AF321,[1]Diccionario!B:N,13,0)="A")), "DEFICIT",IF(
AND(OR(AC321="B", AC321="BPAL"), VLOOKUP(AF321,[1]Diccionario!B:N,13,0)="B"), "OK",IF(AND(OR(AC321="B", AC321="BPAL"), VLOOKUP(AF321,[1]Diccionario!B:N,13,0)="A"), "DEFICIT",IF(AND(OR(AC321="B", AC321="BPAL"), VLOOKUP(AF321,[1]Diccionario!B:N,13,0)="C"), "SOBREOFERTA",IF(AND(AC321="A", VLOOKUP(AF321,[1]Diccionario!B:N,13,0)="A"), "OK",IF(
AND(AC321="A", OR(VLOOKUP(AF321,[1]Diccionario!B:N,13,0)="B", VLOOKUP(AF321,[1]Diccionario!B:N,13,0)="C")), "SOBREOFERTA",""
))))))),"")</f>
        <v/>
      </c>
      <c r="AF321" s="48"/>
      <c r="AG321" s="53"/>
      <c r="AH321" s="54"/>
      <c r="AI321" s="55" t="str">
        <f t="shared" si="77"/>
        <v/>
      </c>
      <c r="AJ321" s="46"/>
      <c r="AK321" s="34" t="e">
        <f>IF(AB321&lt;&gt;"",HLOOKUP(VALUE(TEXT(AH321,"h:mm:ss")),IF($C$6="Laboral",[1]Input!$A$4:$Y$227,IF($C$6="Sábado",[1]Input!$A$231:$Y$452,[1]Input!$A$456:$Y$656)),VLOOKUP($C$4,[1]Input!$AG$2:$AI$99,3,0)+IF(AD$5="Ida",0,1),1),"")</f>
        <v>#N/A</v>
      </c>
      <c r="AL321" s="34" t="str">
        <f>IF(AB322&lt;&gt;AB321,AVERAGEIF(AB$9:AB321,AB321,AK$9:AK321),"")</f>
        <v/>
      </c>
      <c r="AM321" s="35" t="str">
        <f>IFERROR(IF(AB322&lt;&gt;AB321,AVERAGEIF(AB$9:AB321,AB321,AT$9:AT321),""),"")</f>
        <v/>
      </c>
      <c r="AN321" s="35" t="str">
        <f>IFERROR(IF(AB322&lt;&gt;AB321,AVERAGEIF(AB$9:AB321,AB321,AU$9:AU321),""),"")</f>
        <v/>
      </c>
      <c r="AO321" s="35" t="str" cm="1">
        <f t="array" ref="AO321">IFERROR(IF(AB322&lt;&gt;AB321,_xlfn.STDEV.P(IF(AB$9:AB321=AB321,AU$9:AU321)),""),"")</f>
        <v/>
      </c>
      <c r="AP321" s="35" t="str" cm="1">
        <f t="array" ref="AP321">IFERROR(IF(AB322&lt;&gt;AB321,_xlfn.STDEV.P(IF(AB$9:AB321=AB321,AT$9:AT321)),""),"")</f>
        <v/>
      </c>
      <c r="AQ321" s="36" t="str">
        <f t="shared" si="68"/>
        <v/>
      </c>
      <c r="AR321" s="36" t="str">
        <f t="shared" si="69"/>
        <v/>
      </c>
      <c r="AS321" s="36" t="str">
        <f t="shared" si="78"/>
        <v/>
      </c>
      <c r="AT321" s="37" t="str">
        <f t="shared" si="70"/>
        <v/>
      </c>
      <c r="AU321" s="37" t="str">
        <f t="shared" si="71"/>
        <v/>
      </c>
      <c r="AV321" s="54"/>
      <c r="AW321" s="46"/>
      <c r="AX321" s="39" t="str" cm="1">
        <f t="array" ref="AX321">IF(AH321&lt;&gt;"",IF(AND(AX319:AX320&lt;&gt;"IE",AQ321&lt;&gt;0,AS321&lt;&gt;""),IF(IFERROR((AQ321/AS321),0) &lt;=1,IFERROR(AQ321/AS321,""),1),""),"")</f>
        <v/>
      </c>
      <c r="AY321" s="46"/>
      <c r="AZ321" s="57"/>
    </row>
    <row r="322" spans="1:52" ht="15.5" x14ac:dyDescent="0.35">
      <c r="A322" s="51">
        <f t="shared" si="79"/>
        <v>1</v>
      </c>
      <c r="B322" s="52"/>
      <c r="C322" s="52"/>
      <c r="D322" s="29" t="str">
        <f>IFERROR(
IF(AND(OR(Planilla!B322="C",Planilla!B322="c"), VLOOKUP(E322,[1]Diccionario!B:N,13,0)="C"), "OK",IF(AND(OR(Planilla!B322="C",Planilla!B322="c"), OR(VLOOKUP(E322,[1]Diccionario!B:N,13,0)="B", VLOOKUP(E322,[1]Diccionario!B:N,13,0)="A")), "DEFICIT",IF(
AND(OR(Planilla!B322="B", Planilla!B322="BPAL"), VLOOKUP(E322,[1]Diccionario!B:N,13,0)="B"), "OK",IF(AND(OR(Planilla!B322="B", Planilla!B322="BPAL"), VLOOKUP(E322,[1]Diccionario!B:N,13,0)="A"), "DEFICIT",IF(AND(OR(Planilla!B322="B", Planilla!B322="BPAL"), VLOOKUP(E322,[1]Diccionario!B:N,13,0)="C"), "SOBREOFERTA",IF(AND(Planilla!B322="A", VLOOKUP(E322,[1]Diccionario!B:N,13,0)="A"), "OK",IF(
AND(Planilla!B322="A", OR(VLOOKUP(E322,[1]Diccionario!B:N,13,0)="B", VLOOKUP(E322,[1]Diccionario!B:N,13,0)="C")), "SOBREOFERTA",""
))))))),"")</f>
        <v/>
      </c>
      <c r="E322" s="48"/>
      <c r="F322" s="53"/>
      <c r="G322" s="54"/>
      <c r="H322" s="55" t="str">
        <f t="shared" si="72"/>
        <v/>
      </c>
      <c r="I322" s="35"/>
      <c r="J322" s="34" t="e">
        <f>IF(A322&lt;&gt;"",HLOOKUP(VALUE(TEXT(G322,"h:mm:ss")),IF($C$6="Laboral",[1]Input!$A$4:$Y$227,IF($C$6="Sábado",[1]Input!$A$231:$Y$452,[1]Input!$A$456:$Y$656)),VLOOKUP($C$4,[1]Input!$AG$2:$AI$99,3,0)+IF(C$5="Ida",0,1),1),"")</f>
        <v>#N/A</v>
      </c>
      <c r="K322" s="34" t="str">
        <f>IF(A323&lt;&gt;A322,AVERAGEIF(A$9:A322,A322,J$13:J322),"")</f>
        <v/>
      </c>
      <c r="L322" s="35" t="str">
        <f>IFERROR(IF(A323&lt;&gt;A322,AVERAGEIF(A$9:A322,A322,S$13:S322),""),"")</f>
        <v/>
      </c>
      <c r="M322" s="35" t="str">
        <f>IFERROR(IF(A323&lt;&gt;A322,AVERAGEIF(A$9:A322,A322,T$8:T322),""),"")</f>
        <v/>
      </c>
      <c r="N322" s="35" t="str" cm="1">
        <f t="array" ref="N322">IFERROR(IF(A323&lt;&gt;A322,_xlfn.STDEV.P(IF(A$9:A322=A322,T$7:T322)),""),"")</f>
        <v/>
      </c>
      <c r="O322" s="35" t="str" cm="1">
        <f t="array" ref="O322">IFERROR(IF(A323&lt;&gt;A322,_xlfn.STDEV.P(IF(A$9:A322=A322,S$7:S322)),""),"")</f>
        <v/>
      </c>
      <c r="P322" s="36" t="str">
        <f t="shared" si="65"/>
        <v/>
      </c>
      <c r="Q322" s="36" t="str">
        <f t="shared" si="66"/>
        <v/>
      </c>
      <c r="R322" s="36" t="str">
        <f t="shared" si="73"/>
        <v/>
      </c>
      <c r="S322" s="37" t="str">
        <f t="shared" si="74"/>
        <v/>
      </c>
      <c r="T322" s="37" t="str">
        <f t="shared" si="67"/>
        <v/>
      </c>
      <c r="U322" s="54"/>
      <c r="V322" s="46"/>
      <c r="W322" s="39" t="str">
        <f t="shared" si="75"/>
        <v/>
      </c>
      <c r="X322" s="38"/>
      <c r="Y322" s="48"/>
      <c r="AB322" s="56">
        <f t="shared" si="76"/>
        <v>1</v>
      </c>
      <c r="AC322" s="52"/>
      <c r="AD322" s="52"/>
      <c r="AE322" s="29" t="str">
        <f>IFERROR(
IF(AND(OR(AC322="C",AC322="c"), VLOOKUP(AF322,[1]Diccionario!B:N,13,0)="C"), "OK",IF(AND(OR(AC322="C",AC322="c"), OR(VLOOKUP(AF322,[1]Diccionario!B:N,13,0)="B", VLOOKUP(AF322,[1]Diccionario!B:N,13,0)="A")), "DEFICIT",IF(
AND(OR(AC322="B", AC322="BPAL"), VLOOKUP(AF322,[1]Diccionario!B:N,13,0)="B"), "OK",IF(AND(OR(AC322="B", AC322="BPAL"), VLOOKUP(AF322,[1]Diccionario!B:N,13,0)="A"), "DEFICIT",IF(AND(OR(AC322="B", AC322="BPAL"), VLOOKUP(AF322,[1]Diccionario!B:N,13,0)="C"), "SOBREOFERTA",IF(AND(AC322="A", VLOOKUP(AF322,[1]Diccionario!B:N,13,0)="A"), "OK",IF(
AND(AC322="A", OR(VLOOKUP(AF322,[1]Diccionario!B:N,13,0)="B", VLOOKUP(AF322,[1]Diccionario!B:N,13,0)="C")), "SOBREOFERTA",""
))))))),"")</f>
        <v/>
      </c>
      <c r="AF322" s="48"/>
      <c r="AG322" s="53"/>
      <c r="AH322" s="54"/>
      <c r="AI322" s="55" t="str">
        <f t="shared" si="77"/>
        <v/>
      </c>
      <c r="AJ322" s="46"/>
      <c r="AK322" s="34" t="e">
        <f>IF(AB322&lt;&gt;"",HLOOKUP(VALUE(TEXT(AH322,"h:mm:ss")),IF($C$6="Laboral",[1]Input!$A$4:$Y$227,IF($C$6="Sábado",[1]Input!$A$231:$Y$452,[1]Input!$A$456:$Y$656)),VLOOKUP($C$4,[1]Input!$AG$2:$AI$99,3,0)+IF(AD$5="Ida",0,1),1),"")</f>
        <v>#N/A</v>
      </c>
      <c r="AL322" s="34" t="str">
        <f>IF(AB323&lt;&gt;AB322,AVERAGEIF(AB$9:AB322,AB322,AK$9:AK322),"")</f>
        <v/>
      </c>
      <c r="AM322" s="35" t="str">
        <f>IFERROR(IF(AB323&lt;&gt;AB322,AVERAGEIF(AB$9:AB322,AB322,AT$9:AT322),""),"")</f>
        <v/>
      </c>
      <c r="AN322" s="35" t="str">
        <f>IFERROR(IF(AB323&lt;&gt;AB322,AVERAGEIF(AB$9:AB322,AB322,AU$9:AU322),""),"")</f>
        <v/>
      </c>
      <c r="AO322" s="35" t="str" cm="1">
        <f t="array" ref="AO322">IFERROR(IF(AB323&lt;&gt;AB322,_xlfn.STDEV.P(IF(AB$9:AB322=AB322,AU$9:AU322)),""),"")</f>
        <v/>
      </c>
      <c r="AP322" s="35" t="str" cm="1">
        <f t="array" ref="AP322">IFERROR(IF(AB323&lt;&gt;AB322,_xlfn.STDEV.P(IF(AB$9:AB322=AB322,AT$9:AT322)),""),"")</f>
        <v/>
      </c>
      <c r="AQ322" s="36" t="str">
        <f t="shared" si="68"/>
        <v/>
      </c>
      <c r="AR322" s="36" t="str">
        <f t="shared" si="69"/>
        <v/>
      </c>
      <c r="AS322" s="36" t="str">
        <f t="shared" si="78"/>
        <v/>
      </c>
      <c r="AT322" s="37" t="str">
        <f t="shared" si="70"/>
        <v/>
      </c>
      <c r="AU322" s="37" t="str">
        <f t="shared" si="71"/>
        <v/>
      </c>
      <c r="AV322" s="54"/>
      <c r="AW322" s="46"/>
      <c r="AX322" s="39" t="str" cm="1">
        <f t="array" ref="AX322">IF(AH322&lt;&gt;"",IF(AND(AX320:AX321&lt;&gt;"IE",AQ322&lt;&gt;0,AS322&lt;&gt;""),IF(IFERROR((AQ322/AS322),0) &lt;=1,IFERROR(AQ322/AS322,""),1),""),"")</f>
        <v/>
      </c>
      <c r="AY322" s="46"/>
      <c r="AZ322" s="57"/>
    </row>
    <row r="323" spans="1:52" ht="15.5" x14ac:dyDescent="0.35">
      <c r="A323" s="51">
        <f t="shared" si="79"/>
        <v>1</v>
      </c>
      <c r="B323" s="52"/>
      <c r="C323" s="52"/>
      <c r="D323" s="29" t="str">
        <f>IFERROR(
IF(AND(OR(Planilla!B323="C",Planilla!B323="c"), VLOOKUP(E323,[1]Diccionario!B:N,13,0)="C"), "OK",IF(AND(OR(Planilla!B323="C",Planilla!B323="c"), OR(VLOOKUP(E323,[1]Diccionario!B:N,13,0)="B", VLOOKUP(E323,[1]Diccionario!B:N,13,0)="A")), "DEFICIT",IF(
AND(OR(Planilla!B323="B", Planilla!B323="BPAL"), VLOOKUP(E323,[1]Diccionario!B:N,13,0)="B"), "OK",IF(AND(OR(Planilla!B323="B", Planilla!B323="BPAL"), VLOOKUP(E323,[1]Diccionario!B:N,13,0)="A"), "DEFICIT",IF(AND(OR(Planilla!B323="B", Planilla!B323="BPAL"), VLOOKUP(E323,[1]Diccionario!B:N,13,0)="C"), "SOBREOFERTA",IF(AND(Planilla!B323="A", VLOOKUP(E323,[1]Diccionario!B:N,13,0)="A"), "OK",IF(
AND(Planilla!B323="A", OR(VLOOKUP(E323,[1]Diccionario!B:N,13,0)="B", VLOOKUP(E323,[1]Diccionario!B:N,13,0)="C")), "SOBREOFERTA",""
))))))),"")</f>
        <v/>
      </c>
      <c r="E323" s="48"/>
      <c r="F323" s="53"/>
      <c r="G323" s="54"/>
      <c r="H323" s="55" t="str">
        <f t="shared" si="72"/>
        <v/>
      </c>
      <c r="I323" s="35"/>
      <c r="J323" s="34" t="e">
        <f>IF(A323&lt;&gt;"",HLOOKUP(VALUE(TEXT(G323,"h:mm:ss")),IF($C$6="Laboral",[1]Input!$A$4:$Y$227,IF($C$6="Sábado",[1]Input!$A$231:$Y$452,[1]Input!$A$456:$Y$656)),VLOOKUP($C$4,[1]Input!$AG$2:$AI$99,3,0)+IF(C$5="Ida",0,1),1),"")</f>
        <v>#N/A</v>
      </c>
      <c r="K323" s="34" t="str">
        <f>IF(A324&lt;&gt;A323,AVERAGEIF(A$9:A323,A323,J$13:J323),"")</f>
        <v/>
      </c>
      <c r="L323" s="35" t="str">
        <f>IFERROR(IF(A324&lt;&gt;A323,AVERAGEIF(A$9:A323,A323,S$13:S323),""),"")</f>
        <v/>
      </c>
      <c r="M323" s="35" t="str">
        <f>IFERROR(IF(A324&lt;&gt;A323,AVERAGEIF(A$9:A323,A323,T$8:T323),""),"")</f>
        <v/>
      </c>
      <c r="N323" s="35" t="str" cm="1">
        <f t="array" ref="N323">IFERROR(IF(A324&lt;&gt;A323,_xlfn.STDEV.P(IF(A$9:A323=A323,T$7:T323)),""),"")</f>
        <v/>
      </c>
      <c r="O323" s="35" t="str" cm="1">
        <f t="array" ref="O323">IFERROR(IF(A324&lt;&gt;A323,_xlfn.STDEV.P(IF(A$9:A323=A323,S$7:S323)),""),"")</f>
        <v/>
      </c>
      <c r="P323" s="36" t="str">
        <f t="shared" si="65"/>
        <v/>
      </c>
      <c r="Q323" s="36" t="str">
        <f t="shared" si="66"/>
        <v/>
      </c>
      <c r="R323" s="36" t="str">
        <f t="shared" si="73"/>
        <v/>
      </c>
      <c r="S323" s="37" t="str">
        <f t="shared" si="74"/>
        <v/>
      </c>
      <c r="T323" s="37" t="str">
        <f t="shared" si="67"/>
        <v/>
      </c>
      <c r="U323" s="54"/>
      <c r="V323" s="46"/>
      <c r="W323" s="39" t="str">
        <f t="shared" si="75"/>
        <v/>
      </c>
      <c r="X323" s="38"/>
      <c r="Y323" s="48"/>
      <c r="AB323" s="56">
        <f t="shared" si="76"/>
        <v>1</v>
      </c>
      <c r="AC323" s="52"/>
      <c r="AD323" s="52"/>
      <c r="AE323" s="29" t="str">
        <f>IFERROR(
IF(AND(OR(AC323="C",AC323="c"), VLOOKUP(AF323,[1]Diccionario!B:N,13,0)="C"), "OK",IF(AND(OR(AC323="C",AC323="c"), OR(VLOOKUP(AF323,[1]Diccionario!B:N,13,0)="B", VLOOKUP(AF323,[1]Diccionario!B:N,13,0)="A")), "DEFICIT",IF(
AND(OR(AC323="B", AC323="BPAL"), VLOOKUP(AF323,[1]Diccionario!B:N,13,0)="B"), "OK",IF(AND(OR(AC323="B", AC323="BPAL"), VLOOKUP(AF323,[1]Diccionario!B:N,13,0)="A"), "DEFICIT",IF(AND(OR(AC323="B", AC323="BPAL"), VLOOKUP(AF323,[1]Diccionario!B:N,13,0)="C"), "SOBREOFERTA",IF(AND(AC323="A", VLOOKUP(AF323,[1]Diccionario!B:N,13,0)="A"), "OK",IF(
AND(AC323="A", OR(VLOOKUP(AF323,[1]Diccionario!B:N,13,0)="B", VLOOKUP(AF323,[1]Diccionario!B:N,13,0)="C")), "SOBREOFERTA",""
))))))),"")</f>
        <v/>
      </c>
      <c r="AF323" s="48"/>
      <c r="AG323" s="53"/>
      <c r="AH323" s="54"/>
      <c r="AI323" s="55" t="str">
        <f t="shared" si="77"/>
        <v/>
      </c>
      <c r="AJ323" s="46"/>
      <c r="AK323" s="34" t="e">
        <f>IF(AB323&lt;&gt;"",HLOOKUP(VALUE(TEXT(AH323,"h:mm:ss")),IF($C$6="Laboral",[1]Input!$A$4:$Y$227,IF($C$6="Sábado",[1]Input!$A$231:$Y$452,[1]Input!$A$456:$Y$656)),VLOOKUP($C$4,[1]Input!$AG$2:$AI$99,3,0)+IF(AD$5="Ida",0,1),1),"")</f>
        <v>#N/A</v>
      </c>
      <c r="AL323" s="34" t="str">
        <f>IF(AB324&lt;&gt;AB323,AVERAGEIF(AB$9:AB323,AB323,AK$9:AK323),"")</f>
        <v/>
      </c>
      <c r="AM323" s="35" t="str">
        <f>IFERROR(IF(AB324&lt;&gt;AB323,AVERAGEIF(AB$9:AB323,AB323,AT$9:AT323),""),"")</f>
        <v/>
      </c>
      <c r="AN323" s="35" t="str">
        <f>IFERROR(IF(AB324&lt;&gt;AB323,AVERAGEIF(AB$9:AB323,AB323,AU$9:AU323),""),"")</f>
        <v/>
      </c>
      <c r="AO323" s="35" t="str" cm="1">
        <f t="array" ref="AO323">IFERROR(IF(AB324&lt;&gt;AB323,_xlfn.STDEV.P(IF(AB$9:AB323=AB323,AU$9:AU323)),""),"")</f>
        <v/>
      </c>
      <c r="AP323" s="35" t="str" cm="1">
        <f t="array" ref="AP323">IFERROR(IF(AB324&lt;&gt;AB323,_xlfn.STDEV.P(IF(AB$9:AB323=AB323,AT$9:AT323)),""),"")</f>
        <v/>
      </c>
      <c r="AQ323" s="36" t="str">
        <f t="shared" si="68"/>
        <v/>
      </c>
      <c r="AR323" s="36" t="str">
        <f t="shared" si="69"/>
        <v/>
      </c>
      <c r="AS323" s="36" t="str">
        <f t="shared" si="78"/>
        <v/>
      </c>
      <c r="AT323" s="37" t="str">
        <f t="shared" si="70"/>
        <v/>
      </c>
      <c r="AU323" s="37" t="str">
        <f t="shared" si="71"/>
        <v/>
      </c>
      <c r="AV323" s="54"/>
      <c r="AW323" s="46"/>
      <c r="AX323" s="39" t="str" cm="1">
        <f t="array" ref="AX323">IF(AH323&lt;&gt;"",IF(AND(AX321:AX322&lt;&gt;"IE",AQ323&lt;&gt;0,AS323&lt;&gt;""),IF(IFERROR((AQ323/AS323),0) &lt;=1,IFERROR(AQ323/AS323,""),1),""),"")</f>
        <v/>
      </c>
      <c r="AY323" s="46"/>
      <c r="AZ323" s="57"/>
    </row>
    <row r="324" spans="1:52" ht="15.5" x14ac:dyDescent="0.35">
      <c r="A324" s="51">
        <f t="shared" si="79"/>
        <v>1</v>
      </c>
      <c r="B324" s="52"/>
      <c r="C324" s="52"/>
      <c r="D324" s="29" t="str">
        <f>IFERROR(
IF(AND(OR(Planilla!B324="C",Planilla!B324="c"), VLOOKUP(E324,[1]Diccionario!B:N,13,0)="C"), "OK",IF(AND(OR(Planilla!B324="C",Planilla!B324="c"), OR(VLOOKUP(E324,[1]Diccionario!B:N,13,0)="B", VLOOKUP(E324,[1]Diccionario!B:N,13,0)="A")), "DEFICIT",IF(
AND(OR(Planilla!B324="B", Planilla!B324="BPAL"), VLOOKUP(E324,[1]Diccionario!B:N,13,0)="B"), "OK",IF(AND(OR(Planilla!B324="B", Planilla!B324="BPAL"), VLOOKUP(E324,[1]Diccionario!B:N,13,0)="A"), "DEFICIT",IF(AND(OR(Planilla!B324="B", Planilla!B324="BPAL"), VLOOKUP(E324,[1]Diccionario!B:N,13,0)="C"), "SOBREOFERTA",IF(AND(Planilla!B324="A", VLOOKUP(E324,[1]Diccionario!B:N,13,0)="A"), "OK",IF(
AND(Planilla!B324="A", OR(VLOOKUP(E324,[1]Diccionario!B:N,13,0)="B", VLOOKUP(E324,[1]Diccionario!B:N,13,0)="C")), "SOBREOFERTA",""
))))))),"")</f>
        <v/>
      </c>
      <c r="E324" s="48"/>
      <c r="F324" s="53"/>
      <c r="G324" s="54"/>
      <c r="H324" s="55" t="str">
        <f t="shared" si="72"/>
        <v/>
      </c>
      <c r="I324" s="35"/>
      <c r="J324" s="34" t="e">
        <f>IF(A324&lt;&gt;"",HLOOKUP(VALUE(TEXT(G324,"h:mm:ss")),IF($C$6="Laboral",[1]Input!$A$4:$Y$227,IF($C$6="Sábado",[1]Input!$A$231:$Y$452,[1]Input!$A$456:$Y$656)),VLOOKUP($C$4,[1]Input!$AG$2:$AI$99,3,0)+IF(C$5="Ida",0,1),1),"")</f>
        <v>#N/A</v>
      </c>
      <c r="K324" s="34" t="str">
        <f>IF(A325&lt;&gt;A324,AVERAGEIF(A$9:A324,A324,J$13:J324),"")</f>
        <v/>
      </c>
      <c r="L324" s="35" t="str">
        <f>IFERROR(IF(A325&lt;&gt;A324,AVERAGEIF(A$9:A324,A324,S$13:S324),""),"")</f>
        <v/>
      </c>
      <c r="M324" s="35" t="str">
        <f>IFERROR(IF(A325&lt;&gt;A324,AVERAGEIF(A$9:A324,A324,T$8:T324),""),"")</f>
        <v/>
      </c>
      <c r="N324" s="35" t="str" cm="1">
        <f t="array" ref="N324">IFERROR(IF(A325&lt;&gt;A324,_xlfn.STDEV.P(IF(A$9:A324=A324,T$7:T324)),""),"")</f>
        <v/>
      </c>
      <c r="O324" s="35" t="str" cm="1">
        <f t="array" ref="O324">IFERROR(IF(A325&lt;&gt;A324,_xlfn.STDEV.P(IF(A$9:A324=A324,S$7:S324)),""),"")</f>
        <v/>
      </c>
      <c r="P324" s="36" t="str">
        <f t="shared" si="65"/>
        <v/>
      </c>
      <c r="Q324" s="36" t="str">
        <f t="shared" si="66"/>
        <v/>
      </c>
      <c r="R324" s="36" t="str">
        <f t="shared" si="73"/>
        <v/>
      </c>
      <c r="S324" s="37" t="str">
        <f t="shared" si="74"/>
        <v/>
      </c>
      <c r="T324" s="37" t="str">
        <f t="shared" si="67"/>
        <v/>
      </c>
      <c r="U324" s="54"/>
      <c r="V324" s="46"/>
      <c r="W324" s="39" t="str">
        <f t="shared" si="75"/>
        <v/>
      </c>
      <c r="X324" s="38"/>
      <c r="Y324" s="48"/>
      <c r="AB324" s="56">
        <f t="shared" si="76"/>
        <v>1</v>
      </c>
      <c r="AC324" s="52"/>
      <c r="AD324" s="52"/>
      <c r="AE324" s="29" t="str">
        <f>IFERROR(
IF(AND(OR(AC324="C",AC324="c"), VLOOKUP(AF324,[1]Diccionario!B:N,13,0)="C"), "OK",IF(AND(OR(AC324="C",AC324="c"), OR(VLOOKUP(AF324,[1]Diccionario!B:N,13,0)="B", VLOOKUP(AF324,[1]Diccionario!B:N,13,0)="A")), "DEFICIT",IF(
AND(OR(AC324="B", AC324="BPAL"), VLOOKUP(AF324,[1]Diccionario!B:N,13,0)="B"), "OK",IF(AND(OR(AC324="B", AC324="BPAL"), VLOOKUP(AF324,[1]Diccionario!B:N,13,0)="A"), "DEFICIT",IF(AND(OR(AC324="B", AC324="BPAL"), VLOOKUP(AF324,[1]Diccionario!B:N,13,0)="C"), "SOBREOFERTA",IF(AND(AC324="A", VLOOKUP(AF324,[1]Diccionario!B:N,13,0)="A"), "OK",IF(
AND(AC324="A", OR(VLOOKUP(AF324,[1]Diccionario!B:N,13,0)="B", VLOOKUP(AF324,[1]Diccionario!B:N,13,0)="C")), "SOBREOFERTA",""
))))))),"")</f>
        <v/>
      </c>
      <c r="AF324" s="48"/>
      <c r="AG324" s="53"/>
      <c r="AH324" s="54"/>
      <c r="AI324" s="55" t="str">
        <f t="shared" si="77"/>
        <v/>
      </c>
      <c r="AJ324" s="46"/>
      <c r="AK324" s="34" t="e">
        <f>IF(AB324&lt;&gt;"",HLOOKUP(VALUE(TEXT(AH324,"h:mm:ss")),IF($C$6="Laboral",[1]Input!$A$4:$Y$227,IF($C$6="Sábado",[1]Input!$A$231:$Y$452,[1]Input!$A$456:$Y$656)),VLOOKUP($C$4,[1]Input!$AG$2:$AI$99,3,0)+IF(AD$5="Ida",0,1),1),"")</f>
        <v>#N/A</v>
      </c>
      <c r="AL324" s="34" t="str">
        <f>IF(AB325&lt;&gt;AB324,AVERAGEIF(AB$9:AB324,AB324,AK$9:AK324),"")</f>
        <v/>
      </c>
      <c r="AM324" s="35" t="str">
        <f>IFERROR(IF(AB325&lt;&gt;AB324,AVERAGEIF(AB$9:AB324,AB324,AT$9:AT324),""),"")</f>
        <v/>
      </c>
      <c r="AN324" s="35" t="str">
        <f>IFERROR(IF(AB325&lt;&gt;AB324,AVERAGEIF(AB$9:AB324,AB324,AU$9:AU324),""),"")</f>
        <v/>
      </c>
      <c r="AO324" s="35" t="str" cm="1">
        <f t="array" ref="AO324">IFERROR(IF(AB325&lt;&gt;AB324,_xlfn.STDEV.P(IF(AB$9:AB324=AB324,AU$9:AU324)),""),"")</f>
        <v/>
      </c>
      <c r="AP324" s="35" t="str" cm="1">
        <f t="array" ref="AP324">IFERROR(IF(AB325&lt;&gt;AB324,_xlfn.STDEV.P(IF(AB$9:AB324=AB324,AT$9:AT324)),""),"")</f>
        <v/>
      </c>
      <c r="AQ324" s="36" t="str">
        <f t="shared" si="68"/>
        <v/>
      </c>
      <c r="AR324" s="36" t="str">
        <f t="shared" si="69"/>
        <v/>
      </c>
      <c r="AS324" s="36" t="str">
        <f t="shared" si="78"/>
        <v/>
      </c>
      <c r="AT324" s="37" t="str">
        <f t="shared" si="70"/>
        <v/>
      </c>
      <c r="AU324" s="37" t="str">
        <f t="shared" si="71"/>
        <v/>
      </c>
      <c r="AV324" s="54"/>
      <c r="AW324" s="46"/>
      <c r="AX324" s="39" t="str" cm="1">
        <f t="array" ref="AX324">IF(AH324&lt;&gt;"",IF(AND(AX322:AX323&lt;&gt;"IE",AQ324&lt;&gt;0,AS324&lt;&gt;""),IF(IFERROR((AQ324/AS324),0) &lt;=1,IFERROR(AQ324/AS324,""),1),""),"")</f>
        <v/>
      </c>
      <c r="AY324" s="46"/>
      <c r="AZ324" s="57"/>
    </row>
    <row r="325" spans="1:52" ht="15.5" x14ac:dyDescent="0.35">
      <c r="A325" s="51">
        <f t="shared" si="79"/>
        <v>1</v>
      </c>
      <c r="B325" s="52"/>
      <c r="C325" s="52"/>
      <c r="D325" s="29" t="str">
        <f>IFERROR(
IF(AND(OR(Planilla!B325="C",Planilla!B325="c"), VLOOKUP(E325,[1]Diccionario!B:N,13,0)="C"), "OK",IF(AND(OR(Planilla!B325="C",Planilla!B325="c"), OR(VLOOKUP(E325,[1]Diccionario!B:N,13,0)="B", VLOOKUP(E325,[1]Diccionario!B:N,13,0)="A")), "DEFICIT",IF(
AND(OR(Planilla!B325="B", Planilla!B325="BPAL"), VLOOKUP(E325,[1]Diccionario!B:N,13,0)="B"), "OK",IF(AND(OR(Planilla!B325="B", Planilla!B325="BPAL"), VLOOKUP(E325,[1]Diccionario!B:N,13,0)="A"), "DEFICIT",IF(AND(OR(Planilla!B325="B", Planilla!B325="BPAL"), VLOOKUP(E325,[1]Diccionario!B:N,13,0)="C"), "SOBREOFERTA",IF(AND(Planilla!B325="A", VLOOKUP(E325,[1]Diccionario!B:N,13,0)="A"), "OK",IF(
AND(Planilla!B325="A", OR(VLOOKUP(E325,[1]Diccionario!B:N,13,0)="B", VLOOKUP(E325,[1]Diccionario!B:N,13,0)="C")), "SOBREOFERTA",""
))))))),"")</f>
        <v/>
      </c>
      <c r="E325" s="48"/>
      <c r="F325" s="53"/>
      <c r="G325" s="54"/>
      <c r="H325" s="55" t="str">
        <f t="shared" si="72"/>
        <v/>
      </c>
      <c r="I325" s="35"/>
      <c r="J325" s="34" t="e">
        <f>IF(A325&lt;&gt;"",HLOOKUP(VALUE(TEXT(G325,"h:mm:ss")),IF($C$6="Laboral",[1]Input!$A$4:$Y$227,IF($C$6="Sábado",[1]Input!$A$231:$Y$452,[1]Input!$A$456:$Y$656)),VLOOKUP($C$4,[1]Input!$AG$2:$AI$99,3,0)+IF(C$5="Ida",0,1),1),"")</f>
        <v>#N/A</v>
      </c>
      <c r="K325" s="34" t="str">
        <f>IF(A326&lt;&gt;A325,AVERAGEIF(A$9:A325,A325,J$13:J325),"")</f>
        <v/>
      </c>
      <c r="L325" s="35" t="str">
        <f>IFERROR(IF(A326&lt;&gt;A325,AVERAGEIF(A$9:A325,A325,S$13:S325),""),"")</f>
        <v/>
      </c>
      <c r="M325" s="35" t="str">
        <f>IFERROR(IF(A326&lt;&gt;A325,AVERAGEIF(A$9:A325,A325,T$8:T325),""),"")</f>
        <v/>
      </c>
      <c r="N325" s="35" t="str" cm="1">
        <f t="array" ref="N325">IFERROR(IF(A326&lt;&gt;A325,_xlfn.STDEV.P(IF(A$9:A325=A325,T$7:T325)),""),"")</f>
        <v/>
      </c>
      <c r="O325" s="35" t="str" cm="1">
        <f t="array" ref="O325">IFERROR(IF(A326&lt;&gt;A325,_xlfn.STDEV.P(IF(A$9:A325=A325,S$7:S325)),""),"")</f>
        <v/>
      </c>
      <c r="P325" s="36" t="str">
        <f t="shared" si="65"/>
        <v/>
      </c>
      <c r="Q325" s="36" t="str">
        <f t="shared" si="66"/>
        <v/>
      </c>
      <c r="R325" s="36" t="str">
        <f t="shared" si="73"/>
        <v/>
      </c>
      <c r="S325" s="37" t="str">
        <f t="shared" si="74"/>
        <v/>
      </c>
      <c r="T325" s="37" t="str">
        <f t="shared" si="67"/>
        <v/>
      </c>
      <c r="U325" s="54"/>
      <c r="V325" s="46"/>
      <c r="W325" s="39" t="str">
        <f t="shared" si="75"/>
        <v/>
      </c>
      <c r="X325" s="38"/>
      <c r="Y325" s="48"/>
      <c r="AB325" s="56">
        <f t="shared" si="76"/>
        <v>1</v>
      </c>
      <c r="AC325" s="52"/>
      <c r="AD325" s="52"/>
      <c r="AE325" s="29" t="str">
        <f>IFERROR(
IF(AND(OR(AC325="C",AC325="c"), VLOOKUP(AF325,[1]Diccionario!B:N,13,0)="C"), "OK",IF(AND(OR(AC325="C",AC325="c"), OR(VLOOKUP(AF325,[1]Diccionario!B:N,13,0)="B", VLOOKUP(AF325,[1]Diccionario!B:N,13,0)="A")), "DEFICIT",IF(
AND(OR(AC325="B", AC325="BPAL"), VLOOKUP(AF325,[1]Diccionario!B:N,13,0)="B"), "OK",IF(AND(OR(AC325="B", AC325="BPAL"), VLOOKUP(AF325,[1]Diccionario!B:N,13,0)="A"), "DEFICIT",IF(AND(OR(AC325="B", AC325="BPAL"), VLOOKUP(AF325,[1]Diccionario!B:N,13,0)="C"), "SOBREOFERTA",IF(AND(AC325="A", VLOOKUP(AF325,[1]Diccionario!B:N,13,0)="A"), "OK",IF(
AND(AC325="A", OR(VLOOKUP(AF325,[1]Diccionario!B:N,13,0)="B", VLOOKUP(AF325,[1]Diccionario!B:N,13,0)="C")), "SOBREOFERTA",""
))))))),"")</f>
        <v/>
      </c>
      <c r="AF325" s="48"/>
      <c r="AG325" s="53"/>
      <c r="AH325" s="54"/>
      <c r="AI325" s="55" t="str">
        <f t="shared" si="77"/>
        <v/>
      </c>
      <c r="AJ325" s="46"/>
      <c r="AK325" s="34" t="e">
        <f>IF(AB325&lt;&gt;"",HLOOKUP(VALUE(TEXT(AH325,"h:mm:ss")),IF($C$6="Laboral",[1]Input!$A$4:$Y$227,IF($C$6="Sábado",[1]Input!$A$231:$Y$452,[1]Input!$A$456:$Y$656)),VLOOKUP($C$4,[1]Input!$AG$2:$AI$99,3,0)+IF(AD$5="Ida",0,1),1),"")</f>
        <v>#N/A</v>
      </c>
      <c r="AL325" s="34" t="str">
        <f>IF(AB326&lt;&gt;AB325,AVERAGEIF(AB$9:AB325,AB325,AK$9:AK325),"")</f>
        <v/>
      </c>
      <c r="AM325" s="35" t="str">
        <f>IFERROR(IF(AB326&lt;&gt;AB325,AVERAGEIF(AB$9:AB325,AB325,AT$9:AT325),""),"")</f>
        <v/>
      </c>
      <c r="AN325" s="35" t="str">
        <f>IFERROR(IF(AB326&lt;&gt;AB325,AVERAGEIF(AB$9:AB325,AB325,AU$9:AU325),""),"")</f>
        <v/>
      </c>
      <c r="AO325" s="35" t="str" cm="1">
        <f t="array" ref="AO325">IFERROR(IF(AB326&lt;&gt;AB325,_xlfn.STDEV.P(IF(AB$9:AB325=AB325,AU$9:AU325)),""),"")</f>
        <v/>
      </c>
      <c r="AP325" s="35" t="str" cm="1">
        <f t="array" ref="AP325">IFERROR(IF(AB326&lt;&gt;AB325,_xlfn.STDEV.P(IF(AB$9:AB325=AB325,AT$9:AT325)),""),"")</f>
        <v/>
      </c>
      <c r="AQ325" s="36" t="str">
        <f t="shared" si="68"/>
        <v/>
      </c>
      <c r="AR325" s="36" t="str">
        <f t="shared" si="69"/>
        <v/>
      </c>
      <c r="AS325" s="36" t="str">
        <f t="shared" si="78"/>
        <v/>
      </c>
      <c r="AT325" s="37" t="str">
        <f t="shared" si="70"/>
        <v/>
      </c>
      <c r="AU325" s="37" t="str">
        <f t="shared" si="71"/>
        <v/>
      </c>
      <c r="AV325" s="54"/>
      <c r="AW325" s="46"/>
      <c r="AX325" s="39" t="str" cm="1">
        <f t="array" ref="AX325">IF(AH325&lt;&gt;"",IF(AND(AX323:AX324&lt;&gt;"IE",AQ325&lt;&gt;0,AS325&lt;&gt;""),IF(IFERROR((AQ325/AS325),0) &lt;=1,IFERROR(AQ325/AS325,""),1),""),"")</f>
        <v/>
      </c>
      <c r="AY325" s="46"/>
      <c r="AZ325" s="57"/>
    </row>
    <row r="326" spans="1:52" ht="15.5" x14ac:dyDescent="0.35">
      <c r="A326" s="51">
        <f t="shared" si="79"/>
        <v>1</v>
      </c>
      <c r="B326" s="52"/>
      <c r="C326" s="52"/>
      <c r="D326" s="29" t="str">
        <f>IFERROR(
IF(AND(OR(Planilla!B326="C",Planilla!B326="c"), VLOOKUP(E326,[1]Diccionario!B:N,13,0)="C"), "OK",IF(AND(OR(Planilla!B326="C",Planilla!B326="c"), OR(VLOOKUP(E326,[1]Diccionario!B:N,13,0)="B", VLOOKUP(E326,[1]Diccionario!B:N,13,0)="A")), "DEFICIT",IF(
AND(OR(Planilla!B326="B", Planilla!B326="BPAL"), VLOOKUP(E326,[1]Diccionario!B:N,13,0)="B"), "OK",IF(AND(OR(Planilla!B326="B", Planilla!B326="BPAL"), VLOOKUP(E326,[1]Diccionario!B:N,13,0)="A"), "DEFICIT",IF(AND(OR(Planilla!B326="B", Planilla!B326="BPAL"), VLOOKUP(E326,[1]Diccionario!B:N,13,0)="C"), "SOBREOFERTA",IF(AND(Planilla!B326="A", VLOOKUP(E326,[1]Diccionario!B:N,13,0)="A"), "OK",IF(
AND(Planilla!B326="A", OR(VLOOKUP(E326,[1]Diccionario!B:N,13,0)="B", VLOOKUP(E326,[1]Diccionario!B:N,13,0)="C")), "SOBREOFERTA",""
))))))),"")</f>
        <v/>
      </c>
      <c r="E326" s="48"/>
      <c r="F326" s="53"/>
      <c r="G326" s="54"/>
      <c r="H326" s="55" t="str">
        <f t="shared" si="72"/>
        <v/>
      </c>
      <c r="I326" s="35"/>
      <c r="J326" s="34" t="e">
        <f>IF(A326&lt;&gt;"",HLOOKUP(VALUE(TEXT(G326,"h:mm:ss")),IF($C$6="Laboral",[1]Input!$A$4:$Y$227,IF($C$6="Sábado",[1]Input!$A$231:$Y$452,[1]Input!$A$456:$Y$656)),VLOOKUP($C$4,[1]Input!$AG$2:$AI$99,3,0)+IF(C$5="Ida",0,1),1),"")</f>
        <v>#N/A</v>
      </c>
      <c r="K326" s="34" t="str">
        <f>IF(A327&lt;&gt;A326,AVERAGEIF(A$9:A326,A326,J$13:J326),"")</f>
        <v/>
      </c>
      <c r="L326" s="35" t="str">
        <f>IFERROR(IF(A327&lt;&gt;A326,AVERAGEIF(A$9:A326,A326,S$13:S326),""),"")</f>
        <v/>
      </c>
      <c r="M326" s="35" t="str">
        <f>IFERROR(IF(A327&lt;&gt;A326,AVERAGEIF(A$9:A326,A326,T$8:T326),""),"")</f>
        <v/>
      </c>
      <c r="N326" s="35" t="str" cm="1">
        <f t="array" ref="N326">IFERROR(IF(A327&lt;&gt;A326,_xlfn.STDEV.P(IF(A$9:A326=A326,T$7:T326)),""),"")</f>
        <v/>
      </c>
      <c r="O326" s="35" t="str" cm="1">
        <f t="array" ref="O326">IFERROR(IF(A327&lt;&gt;A326,_xlfn.STDEV.P(IF(A$9:A326=A326,S$7:S326)),""),"")</f>
        <v/>
      </c>
      <c r="P326" s="36" t="str">
        <f t="shared" si="65"/>
        <v/>
      </c>
      <c r="Q326" s="36" t="str">
        <f t="shared" si="66"/>
        <v/>
      </c>
      <c r="R326" s="36" t="str">
        <f t="shared" si="73"/>
        <v/>
      </c>
      <c r="S326" s="37" t="str">
        <f t="shared" si="74"/>
        <v/>
      </c>
      <c r="T326" s="37" t="str">
        <f t="shared" si="67"/>
        <v/>
      </c>
      <c r="U326" s="54"/>
      <c r="V326" s="46"/>
      <c r="W326" s="39" t="str">
        <f t="shared" si="75"/>
        <v/>
      </c>
      <c r="X326" s="38"/>
      <c r="Y326" s="48"/>
      <c r="AB326" s="56">
        <f t="shared" si="76"/>
        <v>1</v>
      </c>
      <c r="AC326" s="52"/>
      <c r="AD326" s="52"/>
      <c r="AE326" s="29" t="str">
        <f>IFERROR(
IF(AND(OR(AC326="C",AC326="c"), VLOOKUP(AF326,[1]Diccionario!B:N,13,0)="C"), "OK",IF(AND(OR(AC326="C",AC326="c"), OR(VLOOKUP(AF326,[1]Diccionario!B:N,13,0)="B", VLOOKUP(AF326,[1]Diccionario!B:N,13,0)="A")), "DEFICIT",IF(
AND(OR(AC326="B", AC326="BPAL"), VLOOKUP(AF326,[1]Diccionario!B:N,13,0)="B"), "OK",IF(AND(OR(AC326="B", AC326="BPAL"), VLOOKUP(AF326,[1]Diccionario!B:N,13,0)="A"), "DEFICIT",IF(AND(OR(AC326="B", AC326="BPAL"), VLOOKUP(AF326,[1]Diccionario!B:N,13,0)="C"), "SOBREOFERTA",IF(AND(AC326="A", VLOOKUP(AF326,[1]Diccionario!B:N,13,0)="A"), "OK",IF(
AND(AC326="A", OR(VLOOKUP(AF326,[1]Diccionario!B:N,13,0)="B", VLOOKUP(AF326,[1]Diccionario!B:N,13,0)="C")), "SOBREOFERTA",""
))))))),"")</f>
        <v/>
      </c>
      <c r="AF326" s="48"/>
      <c r="AG326" s="53"/>
      <c r="AH326" s="54"/>
      <c r="AI326" s="55" t="str">
        <f t="shared" si="77"/>
        <v/>
      </c>
      <c r="AJ326" s="46"/>
      <c r="AK326" s="34" t="e">
        <f>IF(AB326&lt;&gt;"",HLOOKUP(VALUE(TEXT(AH326,"h:mm:ss")),IF($C$6="Laboral",[1]Input!$A$4:$Y$227,IF($C$6="Sábado",[1]Input!$A$231:$Y$452,[1]Input!$A$456:$Y$656)),VLOOKUP($C$4,[1]Input!$AG$2:$AI$99,3,0)+IF(AD$5="Ida",0,1),1),"")</f>
        <v>#N/A</v>
      </c>
      <c r="AL326" s="34" t="str">
        <f>IF(AB327&lt;&gt;AB326,AVERAGEIF(AB$9:AB326,AB326,AK$9:AK326),"")</f>
        <v/>
      </c>
      <c r="AM326" s="35" t="str">
        <f>IFERROR(IF(AB327&lt;&gt;AB326,AVERAGEIF(AB$9:AB326,AB326,AT$9:AT326),""),"")</f>
        <v/>
      </c>
      <c r="AN326" s="35" t="str">
        <f>IFERROR(IF(AB327&lt;&gt;AB326,AVERAGEIF(AB$9:AB326,AB326,AU$9:AU326),""),"")</f>
        <v/>
      </c>
      <c r="AO326" s="35" t="str" cm="1">
        <f t="array" ref="AO326">IFERROR(IF(AB327&lt;&gt;AB326,_xlfn.STDEV.P(IF(AB$9:AB326=AB326,AU$9:AU326)),""),"")</f>
        <v/>
      </c>
      <c r="AP326" s="35" t="str" cm="1">
        <f t="array" ref="AP326">IFERROR(IF(AB327&lt;&gt;AB326,_xlfn.STDEV.P(IF(AB$9:AB326=AB326,AT$9:AT326)),""),"")</f>
        <v/>
      </c>
      <c r="AQ326" s="36" t="str">
        <f t="shared" si="68"/>
        <v/>
      </c>
      <c r="AR326" s="36" t="str">
        <f t="shared" si="69"/>
        <v/>
      </c>
      <c r="AS326" s="36" t="str">
        <f t="shared" si="78"/>
        <v/>
      </c>
      <c r="AT326" s="37" t="str">
        <f t="shared" si="70"/>
        <v/>
      </c>
      <c r="AU326" s="37" t="str">
        <f t="shared" si="71"/>
        <v/>
      </c>
      <c r="AV326" s="54"/>
      <c r="AW326" s="46"/>
      <c r="AX326" s="39" t="str" cm="1">
        <f t="array" ref="AX326">IF(AH326&lt;&gt;"",IF(AND(AX324:AX325&lt;&gt;"IE",AQ326&lt;&gt;0,AS326&lt;&gt;""),IF(IFERROR((AQ326/AS326),0) &lt;=1,IFERROR(AQ326/AS326,""),1),""),"")</f>
        <v/>
      </c>
      <c r="AY326" s="46"/>
      <c r="AZ326" s="57"/>
    </row>
    <row r="327" spans="1:52" ht="15.5" x14ac:dyDescent="0.35">
      <c r="A327" s="51">
        <f t="shared" si="79"/>
        <v>1</v>
      </c>
      <c r="B327" s="52"/>
      <c r="C327" s="52"/>
      <c r="D327" s="29" t="str">
        <f>IFERROR(
IF(AND(OR(Planilla!B327="C",Planilla!B327="c"), VLOOKUP(E327,[1]Diccionario!B:N,13,0)="C"), "OK",IF(AND(OR(Planilla!B327="C",Planilla!B327="c"), OR(VLOOKUP(E327,[1]Diccionario!B:N,13,0)="B", VLOOKUP(E327,[1]Diccionario!B:N,13,0)="A")), "DEFICIT",IF(
AND(OR(Planilla!B327="B", Planilla!B327="BPAL"), VLOOKUP(E327,[1]Diccionario!B:N,13,0)="B"), "OK",IF(AND(OR(Planilla!B327="B", Planilla!B327="BPAL"), VLOOKUP(E327,[1]Diccionario!B:N,13,0)="A"), "DEFICIT",IF(AND(OR(Planilla!B327="B", Planilla!B327="BPAL"), VLOOKUP(E327,[1]Diccionario!B:N,13,0)="C"), "SOBREOFERTA",IF(AND(Planilla!B327="A", VLOOKUP(E327,[1]Diccionario!B:N,13,0)="A"), "OK",IF(
AND(Planilla!B327="A", OR(VLOOKUP(E327,[1]Diccionario!B:N,13,0)="B", VLOOKUP(E327,[1]Diccionario!B:N,13,0)="C")), "SOBREOFERTA",""
))))))),"")</f>
        <v/>
      </c>
      <c r="E327" s="48"/>
      <c r="F327" s="53"/>
      <c r="G327" s="54"/>
      <c r="H327" s="55" t="str">
        <f t="shared" si="72"/>
        <v/>
      </c>
      <c r="I327" s="35"/>
      <c r="J327" s="34" t="e">
        <f>IF(A327&lt;&gt;"",HLOOKUP(VALUE(TEXT(G327,"h:mm:ss")),IF($C$6="Laboral",[1]Input!$A$4:$Y$227,IF($C$6="Sábado",[1]Input!$A$231:$Y$452,[1]Input!$A$456:$Y$656)),VLOOKUP($C$4,[1]Input!$AG$2:$AI$99,3,0)+IF(C$5="Ida",0,1),1),"")</f>
        <v>#N/A</v>
      </c>
      <c r="K327" s="34" t="str">
        <f>IF(A328&lt;&gt;A327,AVERAGEIF(A$9:A327,A327,J$13:J327),"")</f>
        <v/>
      </c>
      <c r="L327" s="35" t="str">
        <f>IFERROR(IF(A328&lt;&gt;A327,AVERAGEIF(A$9:A327,A327,S$13:S327),""),"")</f>
        <v/>
      </c>
      <c r="M327" s="35" t="str">
        <f>IFERROR(IF(A328&lt;&gt;A327,AVERAGEIF(A$9:A327,A327,T$8:T327),""),"")</f>
        <v/>
      </c>
      <c r="N327" s="35" t="str" cm="1">
        <f t="array" ref="N327">IFERROR(IF(A328&lt;&gt;A327,_xlfn.STDEV.P(IF(A$9:A327=A327,T$7:T327)),""),"")</f>
        <v/>
      </c>
      <c r="O327" s="35" t="str" cm="1">
        <f t="array" ref="O327">IFERROR(IF(A328&lt;&gt;A327,_xlfn.STDEV.P(IF(A$9:A327=A327,S$7:S327)),""),"")</f>
        <v/>
      </c>
      <c r="P327" s="36" t="str">
        <f t="shared" si="65"/>
        <v/>
      </c>
      <c r="Q327" s="36" t="str">
        <f t="shared" si="66"/>
        <v/>
      </c>
      <c r="R327" s="36" t="str">
        <f t="shared" si="73"/>
        <v/>
      </c>
      <c r="S327" s="37" t="str">
        <f t="shared" si="74"/>
        <v/>
      </c>
      <c r="T327" s="37" t="str">
        <f t="shared" si="67"/>
        <v/>
      </c>
      <c r="U327" s="54"/>
      <c r="V327" s="46"/>
      <c r="W327" s="39" t="str">
        <f t="shared" si="75"/>
        <v/>
      </c>
      <c r="X327" s="38"/>
      <c r="Y327" s="48"/>
      <c r="AB327" s="56">
        <f t="shared" si="76"/>
        <v>1</v>
      </c>
      <c r="AC327" s="52"/>
      <c r="AD327" s="52"/>
      <c r="AE327" s="29" t="str">
        <f>IFERROR(
IF(AND(OR(AC327="C",AC327="c"), VLOOKUP(AF327,[1]Diccionario!B:N,13,0)="C"), "OK",IF(AND(OR(AC327="C",AC327="c"), OR(VLOOKUP(AF327,[1]Diccionario!B:N,13,0)="B", VLOOKUP(AF327,[1]Diccionario!B:N,13,0)="A")), "DEFICIT",IF(
AND(OR(AC327="B", AC327="BPAL"), VLOOKUP(AF327,[1]Diccionario!B:N,13,0)="B"), "OK",IF(AND(OR(AC327="B", AC327="BPAL"), VLOOKUP(AF327,[1]Diccionario!B:N,13,0)="A"), "DEFICIT",IF(AND(OR(AC327="B", AC327="BPAL"), VLOOKUP(AF327,[1]Diccionario!B:N,13,0)="C"), "SOBREOFERTA",IF(AND(AC327="A", VLOOKUP(AF327,[1]Diccionario!B:N,13,0)="A"), "OK",IF(
AND(AC327="A", OR(VLOOKUP(AF327,[1]Diccionario!B:N,13,0)="B", VLOOKUP(AF327,[1]Diccionario!B:N,13,0)="C")), "SOBREOFERTA",""
))))))),"")</f>
        <v/>
      </c>
      <c r="AF327" s="48"/>
      <c r="AG327" s="53"/>
      <c r="AH327" s="54"/>
      <c r="AI327" s="55" t="str">
        <f t="shared" si="77"/>
        <v/>
      </c>
      <c r="AJ327" s="46"/>
      <c r="AK327" s="34" t="e">
        <f>IF(AB327&lt;&gt;"",HLOOKUP(VALUE(TEXT(AH327,"h:mm:ss")),IF($C$6="Laboral",[1]Input!$A$4:$Y$227,IF($C$6="Sábado",[1]Input!$A$231:$Y$452,[1]Input!$A$456:$Y$656)),VLOOKUP($C$4,[1]Input!$AG$2:$AI$99,3,0)+IF(AD$5="Ida",0,1),1),"")</f>
        <v>#N/A</v>
      </c>
      <c r="AL327" s="34" t="str">
        <f>IF(AB328&lt;&gt;AB327,AVERAGEIF(AB$9:AB327,AB327,AK$9:AK327),"")</f>
        <v/>
      </c>
      <c r="AM327" s="35" t="str">
        <f>IFERROR(IF(AB328&lt;&gt;AB327,AVERAGEIF(AB$9:AB327,AB327,AT$9:AT327),""),"")</f>
        <v/>
      </c>
      <c r="AN327" s="35" t="str">
        <f>IFERROR(IF(AB328&lt;&gt;AB327,AVERAGEIF(AB$9:AB327,AB327,AU$9:AU327),""),"")</f>
        <v/>
      </c>
      <c r="AO327" s="35" t="str" cm="1">
        <f t="array" ref="AO327">IFERROR(IF(AB328&lt;&gt;AB327,_xlfn.STDEV.P(IF(AB$9:AB327=AB327,AU$9:AU327)),""),"")</f>
        <v/>
      </c>
      <c r="AP327" s="35" t="str" cm="1">
        <f t="array" ref="AP327">IFERROR(IF(AB328&lt;&gt;AB327,_xlfn.STDEV.P(IF(AB$9:AB327=AB327,AT$9:AT327)),""),"")</f>
        <v/>
      </c>
      <c r="AQ327" s="36" t="str">
        <f t="shared" si="68"/>
        <v/>
      </c>
      <c r="AR327" s="36" t="str">
        <f t="shared" si="69"/>
        <v/>
      </c>
      <c r="AS327" s="36" t="str">
        <f t="shared" si="78"/>
        <v/>
      </c>
      <c r="AT327" s="37" t="str">
        <f t="shared" si="70"/>
        <v/>
      </c>
      <c r="AU327" s="37" t="str">
        <f t="shared" si="71"/>
        <v/>
      </c>
      <c r="AV327" s="54"/>
      <c r="AW327" s="46"/>
      <c r="AX327" s="39" t="str" cm="1">
        <f t="array" ref="AX327">IF(AH327&lt;&gt;"",IF(AND(AX325:AX326&lt;&gt;"IE",AQ327&lt;&gt;0,AS327&lt;&gt;""),IF(IFERROR((AQ327/AS327),0) &lt;=1,IFERROR(AQ327/AS327,""),1),""),"")</f>
        <v/>
      </c>
      <c r="AY327" s="46"/>
      <c r="AZ327" s="57"/>
    </row>
    <row r="328" spans="1:52" ht="15.5" x14ac:dyDescent="0.35">
      <c r="A328" s="51">
        <f t="shared" si="79"/>
        <v>1</v>
      </c>
      <c r="B328" s="52"/>
      <c r="C328" s="52"/>
      <c r="D328" s="29" t="str">
        <f>IFERROR(
IF(AND(OR(Planilla!B328="C",Planilla!B328="c"), VLOOKUP(E328,[1]Diccionario!B:N,13,0)="C"), "OK",IF(AND(OR(Planilla!B328="C",Planilla!B328="c"), OR(VLOOKUP(E328,[1]Diccionario!B:N,13,0)="B", VLOOKUP(E328,[1]Diccionario!B:N,13,0)="A")), "DEFICIT",IF(
AND(OR(Planilla!B328="B", Planilla!B328="BPAL"), VLOOKUP(E328,[1]Diccionario!B:N,13,0)="B"), "OK",IF(AND(OR(Planilla!B328="B", Planilla!B328="BPAL"), VLOOKUP(E328,[1]Diccionario!B:N,13,0)="A"), "DEFICIT",IF(AND(OR(Planilla!B328="B", Planilla!B328="BPAL"), VLOOKUP(E328,[1]Diccionario!B:N,13,0)="C"), "SOBREOFERTA",IF(AND(Planilla!B328="A", VLOOKUP(E328,[1]Diccionario!B:N,13,0)="A"), "OK",IF(
AND(Planilla!B328="A", OR(VLOOKUP(E328,[1]Diccionario!B:N,13,0)="B", VLOOKUP(E328,[1]Diccionario!B:N,13,0)="C")), "SOBREOFERTA",""
))))))),"")</f>
        <v/>
      </c>
      <c r="E328" s="48"/>
      <c r="F328" s="53"/>
      <c r="G328" s="54"/>
      <c r="H328" s="55" t="str">
        <f t="shared" si="72"/>
        <v/>
      </c>
      <c r="I328" s="35"/>
      <c r="J328" s="34" t="e">
        <f>IF(A328&lt;&gt;"",HLOOKUP(VALUE(TEXT(G328,"h:mm:ss")),IF($C$6="Laboral",[1]Input!$A$4:$Y$227,IF($C$6="Sábado",[1]Input!$A$231:$Y$452,[1]Input!$A$456:$Y$656)),VLOOKUP($C$4,[1]Input!$AG$2:$AI$99,3,0)+IF(C$5="Ida",0,1),1),"")</f>
        <v>#N/A</v>
      </c>
      <c r="K328" s="34" t="str">
        <f>IF(A329&lt;&gt;A328,AVERAGEIF(A$9:A328,A328,J$13:J328),"")</f>
        <v/>
      </c>
      <c r="L328" s="35" t="str">
        <f>IFERROR(IF(A329&lt;&gt;A328,AVERAGEIF(A$9:A328,A328,S$13:S328),""),"")</f>
        <v/>
      </c>
      <c r="M328" s="35" t="str">
        <f>IFERROR(IF(A329&lt;&gt;A328,AVERAGEIF(A$9:A328,A328,T$8:T328),""),"")</f>
        <v/>
      </c>
      <c r="N328" s="35" t="str" cm="1">
        <f t="array" ref="N328">IFERROR(IF(A329&lt;&gt;A328,_xlfn.STDEV.P(IF(A$9:A328=A328,T$7:T328)),""),"")</f>
        <v/>
      </c>
      <c r="O328" s="35" t="str" cm="1">
        <f t="array" ref="O328">IFERROR(IF(A329&lt;&gt;A328,_xlfn.STDEV.P(IF(A$9:A328=A328,S$7:S328)),""),"")</f>
        <v/>
      </c>
      <c r="P328" s="36" t="str">
        <f t="shared" si="65"/>
        <v/>
      </c>
      <c r="Q328" s="36" t="str">
        <f t="shared" si="66"/>
        <v/>
      </c>
      <c r="R328" s="36" t="str">
        <f t="shared" si="73"/>
        <v/>
      </c>
      <c r="S328" s="37" t="str">
        <f t="shared" si="74"/>
        <v/>
      </c>
      <c r="T328" s="37" t="str">
        <f t="shared" si="67"/>
        <v/>
      </c>
      <c r="U328" s="54"/>
      <c r="V328" s="46"/>
      <c r="W328" s="39" t="str">
        <f t="shared" si="75"/>
        <v/>
      </c>
      <c r="X328" s="38"/>
      <c r="Y328" s="48"/>
      <c r="AB328" s="56">
        <f t="shared" si="76"/>
        <v>1</v>
      </c>
      <c r="AC328" s="52"/>
      <c r="AD328" s="52"/>
      <c r="AE328" s="29" t="str">
        <f>IFERROR(
IF(AND(OR(AC328="C",AC328="c"), VLOOKUP(AF328,[1]Diccionario!B:N,13,0)="C"), "OK",IF(AND(OR(AC328="C",AC328="c"), OR(VLOOKUP(AF328,[1]Diccionario!B:N,13,0)="B", VLOOKUP(AF328,[1]Diccionario!B:N,13,0)="A")), "DEFICIT",IF(
AND(OR(AC328="B", AC328="BPAL"), VLOOKUP(AF328,[1]Diccionario!B:N,13,0)="B"), "OK",IF(AND(OR(AC328="B", AC328="BPAL"), VLOOKUP(AF328,[1]Diccionario!B:N,13,0)="A"), "DEFICIT",IF(AND(OR(AC328="B", AC328="BPAL"), VLOOKUP(AF328,[1]Diccionario!B:N,13,0)="C"), "SOBREOFERTA",IF(AND(AC328="A", VLOOKUP(AF328,[1]Diccionario!B:N,13,0)="A"), "OK",IF(
AND(AC328="A", OR(VLOOKUP(AF328,[1]Diccionario!B:N,13,0)="B", VLOOKUP(AF328,[1]Diccionario!B:N,13,0)="C")), "SOBREOFERTA",""
))))))),"")</f>
        <v/>
      </c>
      <c r="AF328" s="48"/>
      <c r="AG328" s="53"/>
      <c r="AH328" s="54"/>
      <c r="AI328" s="55" t="str">
        <f t="shared" si="77"/>
        <v/>
      </c>
      <c r="AJ328" s="46"/>
      <c r="AK328" s="34" t="e">
        <f>IF(AB328&lt;&gt;"",HLOOKUP(VALUE(TEXT(AH328,"h:mm:ss")),IF($C$6="Laboral",[1]Input!$A$4:$Y$227,IF($C$6="Sábado",[1]Input!$A$231:$Y$452,[1]Input!$A$456:$Y$656)),VLOOKUP($C$4,[1]Input!$AG$2:$AI$99,3,0)+IF(AD$5="Ida",0,1),1),"")</f>
        <v>#N/A</v>
      </c>
      <c r="AL328" s="34" t="str">
        <f>IF(AB329&lt;&gt;AB328,AVERAGEIF(AB$9:AB328,AB328,AK$9:AK328),"")</f>
        <v/>
      </c>
      <c r="AM328" s="35" t="str">
        <f>IFERROR(IF(AB329&lt;&gt;AB328,AVERAGEIF(AB$9:AB328,AB328,AT$9:AT328),""),"")</f>
        <v/>
      </c>
      <c r="AN328" s="35" t="str">
        <f>IFERROR(IF(AB329&lt;&gt;AB328,AVERAGEIF(AB$9:AB328,AB328,AU$9:AU328),""),"")</f>
        <v/>
      </c>
      <c r="AO328" s="35" t="str" cm="1">
        <f t="array" ref="AO328">IFERROR(IF(AB329&lt;&gt;AB328,_xlfn.STDEV.P(IF(AB$9:AB328=AB328,AU$9:AU328)),""),"")</f>
        <v/>
      </c>
      <c r="AP328" s="35" t="str" cm="1">
        <f t="array" ref="AP328">IFERROR(IF(AB329&lt;&gt;AB328,_xlfn.STDEV.P(IF(AB$9:AB328=AB328,AT$9:AT328)),""),"")</f>
        <v/>
      </c>
      <c r="AQ328" s="36" t="str">
        <f t="shared" si="68"/>
        <v/>
      </c>
      <c r="AR328" s="36" t="str">
        <f t="shared" si="69"/>
        <v/>
      </c>
      <c r="AS328" s="36" t="str">
        <f t="shared" si="78"/>
        <v/>
      </c>
      <c r="AT328" s="37" t="str">
        <f t="shared" si="70"/>
        <v/>
      </c>
      <c r="AU328" s="37" t="str">
        <f t="shared" si="71"/>
        <v/>
      </c>
      <c r="AV328" s="54"/>
      <c r="AW328" s="46"/>
      <c r="AX328" s="39" t="str" cm="1">
        <f t="array" ref="AX328">IF(AH328&lt;&gt;"",IF(AND(AX326:AX327&lt;&gt;"IE",AQ328&lt;&gt;0,AS328&lt;&gt;""),IF(IFERROR((AQ328/AS328),0) &lt;=1,IFERROR(AQ328/AS328,""),1),""),"")</f>
        <v/>
      </c>
      <c r="AY328" s="46"/>
      <c r="AZ328" s="57"/>
    </row>
    <row r="329" spans="1:52" ht="15.5" x14ac:dyDescent="0.35">
      <c r="A329" s="51">
        <f t="shared" si="79"/>
        <v>1</v>
      </c>
      <c r="B329" s="52"/>
      <c r="C329" s="52"/>
      <c r="D329" s="29" t="str">
        <f>IFERROR(
IF(AND(OR(Planilla!B329="C",Planilla!B329="c"), VLOOKUP(E329,[1]Diccionario!B:N,13,0)="C"), "OK",IF(AND(OR(Planilla!B329="C",Planilla!B329="c"), OR(VLOOKUP(E329,[1]Diccionario!B:N,13,0)="B", VLOOKUP(E329,[1]Diccionario!B:N,13,0)="A")), "DEFICIT",IF(
AND(OR(Planilla!B329="B", Planilla!B329="BPAL"), VLOOKUP(E329,[1]Diccionario!B:N,13,0)="B"), "OK",IF(AND(OR(Planilla!B329="B", Planilla!B329="BPAL"), VLOOKUP(E329,[1]Diccionario!B:N,13,0)="A"), "DEFICIT",IF(AND(OR(Planilla!B329="B", Planilla!B329="BPAL"), VLOOKUP(E329,[1]Diccionario!B:N,13,0)="C"), "SOBREOFERTA",IF(AND(Planilla!B329="A", VLOOKUP(E329,[1]Diccionario!B:N,13,0)="A"), "OK",IF(
AND(Planilla!B329="A", OR(VLOOKUP(E329,[1]Diccionario!B:N,13,0)="B", VLOOKUP(E329,[1]Diccionario!B:N,13,0)="C")), "SOBREOFERTA",""
))))))),"")</f>
        <v/>
      </c>
      <c r="E329" s="48"/>
      <c r="F329" s="53"/>
      <c r="G329" s="54"/>
      <c r="H329" s="55" t="str">
        <f t="shared" si="72"/>
        <v/>
      </c>
      <c r="I329" s="35"/>
      <c r="J329" s="34" t="e">
        <f>IF(A329&lt;&gt;"",HLOOKUP(VALUE(TEXT(G329,"h:mm:ss")),IF($C$6="Laboral",[1]Input!$A$4:$Y$227,IF($C$6="Sábado",[1]Input!$A$231:$Y$452,[1]Input!$A$456:$Y$656)),VLOOKUP($C$4,[1]Input!$AG$2:$AI$99,3,0)+IF(C$5="Ida",0,1),1),"")</f>
        <v>#N/A</v>
      </c>
      <c r="K329" s="34" t="str">
        <f>IF(A330&lt;&gt;A329,AVERAGEIF(A$9:A329,A329,J$13:J329),"")</f>
        <v/>
      </c>
      <c r="L329" s="35" t="str">
        <f>IFERROR(IF(A330&lt;&gt;A329,AVERAGEIF(A$9:A329,A329,S$13:S329),""),"")</f>
        <v/>
      </c>
      <c r="M329" s="35" t="str">
        <f>IFERROR(IF(A330&lt;&gt;A329,AVERAGEIF(A$9:A329,A329,T$8:T329),""),"")</f>
        <v/>
      </c>
      <c r="N329" s="35" t="str" cm="1">
        <f t="array" ref="N329">IFERROR(IF(A330&lt;&gt;A329,_xlfn.STDEV.P(IF(A$9:A329=A329,T$7:T329)),""),"")</f>
        <v/>
      </c>
      <c r="O329" s="35" t="str" cm="1">
        <f t="array" ref="O329">IFERROR(IF(A330&lt;&gt;A329,_xlfn.STDEV.P(IF(A$9:A329=A329,S$7:S329)),""),"")</f>
        <v/>
      </c>
      <c r="P329" s="36" t="str">
        <f t="shared" si="65"/>
        <v/>
      </c>
      <c r="Q329" s="36" t="str">
        <f t="shared" si="66"/>
        <v/>
      </c>
      <c r="R329" s="36" t="str">
        <f t="shared" si="73"/>
        <v/>
      </c>
      <c r="S329" s="37" t="str">
        <f t="shared" si="74"/>
        <v/>
      </c>
      <c r="T329" s="37" t="str">
        <f t="shared" si="67"/>
        <v/>
      </c>
      <c r="U329" s="54"/>
      <c r="V329" s="46"/>
      <c r="W329" s="39" t="str">
        <f t="shared" si="75"/>
        <v/>
      </c>
      <c r="X329" s="38"/>
      <c r="Y329" s="48"/>
      <c r="AB329" s="56">
        <f t="shared" si="76"/>
        <v>1</v>
      </c>
      <c r="AC329" s="52"/>
      <c r="AD329" s="52"/>
      <c r="AE329" s="29" t="str">
        <f>IFERROR(
IF(AND(OR(AC329="C",AC329="c"), VLOOKUP(AF329,[1]Diccionario!B:N,13,0)="C"), "OK",IF(AND(OR(AC329="C",AC329="c"), OR(VLOOKUP(AF329,[1]Diccionario!B:N,13,0)="B", VLOOKUP(AF329,[1]Diccionario!B:N,13,0)="A")), "DEFICIT",IF(
AND(OR(AC329="B", AC329="BPAL"), VLOOKUP(AF329,[1]Diccionario!B:N,13,0)="B"), "OK",IF(AND(OR(AC329="B", AC329="BPAL"), VLOOKUP(AF329,[1]Diccionario!B:N,13,0)="A"), "DEFICIT",IF(AND(OR(AC329="B", AC329="BPAL"), VLOOKUP(AF329,[1]Diccionario!B:N,13,0)="C"), "SOBREOFERTA",IF(AND(AC329="A", VLOOKUP(AF329,[1]Diccionario!B:N,13,0)="A"), "OK",IF(
AND(AC329="A", OR(VLOOKUP(AF329,[1]Diccionario!B:N,13,0)="B", VLOOKUP(AF329,[1]Diccionario!B:N,13,0)="C")), "SOBREOFERTA",""
))))))),"")</f>
        <v/>
      </c>
      <c r="AF329" s="48"/>
      <c r="AG329" s="53"/>
      <c r="AH329" s="54"/>
      <c r="AI329" s="55" t="str">
        <f t="shared" si="77"/>
        <v/>
      </c>
      <c r="AJ329" s="46"/>
      <c r="AK329" s="34" t="e">
        <f>IF(AB329&lt;&gt;"",HLOOKUP(VALUE(TEXT(AH329,"h:mm:ss")),IF($C$6="Laboral",[1]Input!$A$4:$Y$227,IF($C$6="Sábado",[1]Input!$A$231:$Y$452,[1]Input!$A$456:$Y$656)),VLOOKUP($C$4,[1]Input!$AG$2:$AI$99,3,0)+IF(AD$5="Ida",0,1),1),"")</f>
        <v>#N/A</v>
      </c>
      <c r="AL329" s="34" t="str">
        <f>IF(AB330&lt;&gt;AB329,AVERAGEIF(AB$9:AB329,AB329,AK$9:AK329),"")</f>
        <v/>
      </c>
      <c r="AM329" s="35" t="str">
        <f>IFERROR(IF(AB330&lt;&gt;AB329,AVERAGEIF(AB$9:AB329,AB329,AT$9:AT329),""),"")</f>
        <v/>
      </c>
      <c r="AN329" s="35" t="str">
        <f>IFERROR(IF(AB330&lt;&gt;AB329,AVERAGEIF(AB$9:AB329,AB329,AU$9:AU329),""),"")</f>
        <v/>
      </c>
      <c r="AO329" s="35" t="str" cm="1">
        <f t="array" ref="AO329">IFERROR(IF(AB330&lt;&gt;AB329,_xlfn.STDEV.P(IF(AB$9:AB329=AB329,AU$9:AU329)),""),"")</f>
        <v/>
      </c>
      <c r="AP329" s="35" t="str" cm="1">
        <f t="array" ref="AP329">IFERROR(IF(AB330&lt;&gt;AB329,_xlfn.STDEV.P(IF(AB$9:AB329=AB329,AT$9:AT329)),""),"")</f>
        <v/>
      </c>
      <c r="AQ329" s="36" t="str">
        <f t="shared" si="68"/>
        <v/>
      </c>
      <c r="AR329" s="36" t="str">
        <f t="shared" si="69"/>
        <v/>
      </c>
      <c r="AS329" s="36" t="str">
        <f t="shared" si="78"/>
        <v/>
      </c>
      <c r="AT329" s="37" t="str">
        <f t="shared" si="70"/>
        <v/>
      </c>
      <c r="AU329" s="37" t="str">
        <f t="shared" si="71"/>
        <v/>
      </c>
      <c r="AV329" s="54"/>
      <c r="AW329" s="46"/>
      <c r="AX329" s="39" t="str" cm="1">
        <f t="array" ref="AX329">IF(AH329&lt;&gt;"",IF(AND(AX327:AX328&lt;&gt;"IE",AQ329&lt;&gt;0,AS329&lt;&gt;""),IF(IFERROR((AQ329/AS329),0) &lt;=1,IFERROR(AQ329/AS329,""),1),""),"")</f>
        <v/>
      </c>
      <c r="AY329" s="46"/>
      <c r="AZ329" s="57"/>
    </row>
    <row r="330" spans="1:52" ht="15.5" x14ac:dyDescent="0.35">
      <c r="A330" s="51">
        <f t="shared" si="79"/>
        <v>1</v>
      </c>
      <c r="B330" s="52"/>
      <c r="C330" s="52"/>
      <c r="D330" s="29" t="str">
        <f>IFERROR(
IF(AND(OR(Planilla!B330="C",Planilla!B330="c"), VLOOKUP(E330,[1]Diccionario!B:N,13,0)="C"), "OK",IF(AND(OR(Planilla!B330="C",Planilla!B330="c"), OR(VLOOKUP(E330,[1]Diccionario!B:N,13,0)="B", VLOOKUP(E330,[1]Diccionario!B:N,13,0)="A")), "DEFICIT",IF(
AND(OR(Planilla!B330="B", Planilla!B330="BPAL"), VLOOKUP(E330,[1]Diccionario!B:N,13,0)="B"), "OK",IF(AND(OR(Planilla!B330="B", Planilla!B330="BPAL"), VLOOKUP(E330,[1]Diccionario!B:N,13,0)="A"), "DEFICIT",IF(AND(OR(Planilla!B330="B", Planilla!B330="BPAL"), VLOOKUP(E330,[1]Diccionario!B:N,13,0)="C"), "SOBREOFERTA",IF(AND(Planilla!B330="A", VLOOKUP(E330,[1]Diccionario!B:N,13,0)="A"), "OK",IF(
AND(Planilla!B330="A", OR(VLOOKUP(E330,[1]Diccionario!B:N,13,0)="B", VLOOKUP(E330,[1]Diccionario!B:N,13,0)="C")), "SOBREOFERTA",""
))))))),"")</f>
        <v/>
      </c>
      <c r="E330" s="48"/>
      <c r="F330" s="53"/>
      <c r="G330" s="54"/>
      <c r="H330" s="55" t="str">
        <f t="shared" si="72"/>
        <v/>
      </c>
      <c r="I330" s="35"/>
      <c r="J330" s="34" t="e">
        <f>IF(A330&lt;&gt;"",HLOOKUP(VALUE(TEXT(G330,"h:mm:ss")),IF($C$6="Laboral",[1]Input!$A$4:$Y$227,IF($C$6="Sábado",[1]Input!$A$231:$Y$452,[1]Input!$A$456:$Y$656)),VLOOKUP($C$4,[1]Input!$AG$2:$AI$99,3,0)+IF(C$5="Ida",0,1),1),"")</f>
        <v>#N/A</v>
      </c>
      <c r="K330" s="34" t="str">
        <f>IF(A331&lt;&gt;A330,AVERAGEIF(A$9:A330,A330,J$13:J330),"")</f>
        <v/>
      </c>
      <c r="L330" s="35" t="str">
        <f>IFERROR(IF(A331&lt;&gt;A330,AVERAGEIF(A$9:A330,A330,S$13:S330),""),"")</f>
        <v/>
      </c>
      <c r="M330" s="35" t="str">
        <f>IFERROR(IF(A331&lt;&gt;A330,AVERAGEIF(A$9:A330,A330,T$8:T330),""),"")</f>
        <v/>
      </c>
      <c r="N330" s="35" t="str" cm="1">
        <f t="array" ref="N330">IFERROR(IF(A331&lt;&gt;A330,_xlfn.STDEV.P(IF(A$9:A330=A330,T$7:T330)),""),"")</f>
        <v/>
      </c>
      <c r="O330" s="35" t="str" cm="1">
        <f t="array" ref="O330">IFERROR(IF(A331&lt;&gt;A330,_xlfn.STDEV.P(IF(A$9:A330=A330,S$7:S330)),""),"")</f>
        <v/>
      </c>
      <c r="P330" s="36" t="str">
        <f t="shared" si="65"/>
        <v/>
      </c>
      <c r="Q330" s="36" t="str">
        <f t="shared" si="66"/>
        <v/>
      </c>
      <c r="R330" s="36" t="str">
        <f t="shared" si="73"/>
        <v/>
      </c>
      <c r="S330" s="37" t="str">
        <f t="shared" si="74"/>
        <v/>
      </c>
      <c r="T330" s="37" t="str">
        <f t="shared" si="67"/>
        <v/>
      </c>
      <c r="U330" s="54"/>
      <c r="V330" s="46"/>
      <c r="W330" s="39" t="str">
        <f t="shared" si="75"/>
        <v/>
      </c>
      <c r="X330" s="38"/>
      <c r="Y330" s="48"/>
      <c r="AB330" s="56">
        <f t="shared" si="76"/>
        <v>1</v>
      </c>
      <c r="AC330" s="52"/>
      <c r="AD330" s="52"/>
      <c r="AE330" s="29" t="str">
        <f>IFERROR(
IF(AND(OR(AC330="C",AC330="c"), VLOOKUP(AF330,[1]Diccionario!B:N,13,0)="C"), "OK",IF(AND(OR(AC330="C",AC330="c"), OR(VLOOKUP(AF330,[1]Diccionario!B:N,13,0)="B", VLOOKUP(AF330,[1]Diccionario!B:N,13,0)="A")), "DEFICIT",IF(
AND(OR(AC330="B", AC330="BPAL"), VLOOKUP(AF330,[1]Diccionario!B:N,13,0)="B"), "OK",IF(AND(OR(AC330="B", AC330="BPAL"), VLOOKUP(AF330,[1]Diccionario!B:N,13,0)="A"), "DEFICIT",IF(AND(OR(AC330="B", AC330="BPAL"), VLOOKUP(AF330,[1]Diccionario!B:N,13,0)="C"), "SOBREOFERTA",IF(AND(AC330="A", VLOOKUP(AF330,[1]Diccionario!B:N,13,0)="A"), "OK",IF(
AND(AC330="A", OR(VLOOKUP(AF330,[1]Diccionario!B:N,13,0)="B", VLOOKUP(AF330,[1]Diccionario!B:N,13,0)="C")), "SOBREOFERTA",""
))))))),"")</f>
        <v/>
      </c>
      <c r="AF330" s="48"/>
      <c r="AG330" s="53"/>
      <c r="AH330" s="54"/>
      <c r="AI330" s="55" t="str">
        <f t="shared" si="77"/>
        <v/>
      </c>
      <c r="AJ330" s="46"/>
      <c r="AK330" s="34" t="e">
        <f>IF(AB330&lt;&gt;"",HLOOKUP(VALUE(TEXT(AH330,"h:mm:ss")),IF($C$6="Laboral",[1]Input!$A$4:$Y$227,IF($C$6="Sábado",[1]Input!$A$231:$Y$452,[1]Input!$A$456:$Y$656)),VLOOKUP($C$4,[1]Input!$AG$2:$AI$99,3,0)+IF(AD$5="Ida",0,1),1),"")</f>
        <v>#N/A</v>
      </c>
      <c r="AL330" s="34" t="str">
        <f>IF(AB331&lt;&gt;AB330,AVERAGEIF(AB$9:AB330,AB330,AK$9:AK330),"")</f>
        <v/>
      </c>
      <c r="AM330" s="35" t="str">
        <f>IFERROR(IF(AB331&lt;&gt;AB330,AVERAGEIF(AB$9:AB330,AB330,AT$9:AT330),""),"")</f>
        <v/>
      </c>
      <c r="AN330" s="35" t="str">
        <f>IFERROR(IF(AB331&lt;&gt;AB330,AVERAGEIF(AB$9:AB330,AB330,AU$9:AU330),""),"")</f>
        <v/>
      </c>
      <c r="AO330" s="35" t="str" cm="1">
        <f t="array" ref="AO330">IFERROR(IF(AB331&lt;&gt;AB330,_xlfn.STDEV.P(IF(AB$9:AB330=AB330,AU$9:AU330)),""),"")</f>
        <v/>
      </c>
      <c r="AP330" s="35" t="str" cm="1">
        <f t="array" ref="AP330">IFERROR(IF(AB331&lt;&gt;AB330,_xlfn.STDEV.P(IF(AB$9:AB330=AB330,AT$9:AT330)),""),"")</f>
        <v/>
      </c>
      <c r="AQ330" s="36" t="str">
        <f t="shared" si="68"/>
        <v/>
      </c>
      <c r="AR330" s="36" t="str">
        <f t="shared" si="69"/>
        <v/>
      </c>
      <c r="AS330" s="36" t="str">
        <f t="shared" si="78"/>
        <v/>
      </c>
      <c r="AT330" s="37" t="str">
        <f t="shared" si="70"/>
        <v/>
      </c>
      <c r="AU330" s="37" t="str">
        <f t="shared" si="71"/>
        <v/>
      </c>
      <c r="AV330" s="54"/>
      <c r="AW330" s="46"/>
      <c r="AX330" s="39" t="str" cm="1">
        <f t="array" ref="AX330">IF(AH330&lt;&gt;"",IF(AND(AX328:AX329&lt;&gt;"IE",AQ330&lt;&gt;0,AS330&lt;&gt;""),IF(IFERROR((AQ330/AS330),0) &lt;=1,IFERROR(AQ330/AS330,""),1),""),"")</f>
        <v/>
      </c>
      <c r="AY330" s="46"/>
      <c r="AZ330" s="57"/>
    </row>
    <row r="331" spans="1:52" ht="15.5" x14ac:dyDescent="0.35">
      <c r="A331" s="51">
        <f t="shared" si="79"/>
        <v>1</v>
      </c>
      <c r="B331" s="52"/>
      <c r="C331" s="52"/>
      <c r="D331" s="29" t="str">
        <f>IFERROR(
IF(AND(OR(Planilla!B331="C",Planilla!B331="c"), VLOOKUP(E331,[1]Diccionario!B:N,13,0)="C"), "OK",IF(AND(OR(Planilla!B331="C",Planilla!B331="c"), OR(VLOOKUP(E331,[1]Diccionario!B:N,13,0)="B", VLOOKUP(E331,[1]Diccionario!B:N,13,0)="A")), "DEFICIT",IF(
AND(OR(Planilla!B331="B", Planilla!B331="BPAL"), VLOOKUP(E331,[1]Diccionario!B:N,13,0)="B"), "OK",IF(AND(OR(Planilla!B331="B", Planilla!B331="BPAL"), VLOOKUP(E331,[1]Diccionario!B:N,13,0)="A"), "DEFICIT",IF(AND(OR(Planilla!B331="B", Planilla!B331="BPAL"), VLOOKUP(E331,[1]Diccionario!B:N,13,0)="C"), "SOBREOFERTA",IF(AND(Planilla!B331="A", VLOOKUP(E331,[1]Diccionario!B:N,13,0)="A"), "OK",IF(
AND(Planilla!B331="A", OR(VLOOKUP(E331,[1]Diccionario!B:N,13,0)="B", VLOOKUP(E331,[1]Diccionario!B:N,13,0)="C")), "SOBREOFERTA",""
))))))),"")</f>
        <v/>
      </c>
      <c r="E331" s="48"/>
      <c r="F331" s="53"/>
      <c r="G331" s="54"/>
      <c r="H331" s="55" t="str">
        <f t="shared" si="72"/>
        <v/>
      </c>
      <c r="I331" s="35"/>
      <c r="J331" s="34" t="e">
        <f>IF(A331&lt;&gt;"",HLOOKUP(VALUE(TEXT(G331,"h:mm:ss")),IF($C$6="Laboral",[1]Input!$A$4:$Y$227,IF($C$6="Sábado",[1]Input!$A$231:$Y$452,[1]Input!$A$456:$Y$656)),VLOOKUP($C$4,[1]Input!$AG$2:$AI$99,3,0)+IF(C$5="Ida",0,1),1),"")</f>
        <v>#N/A</v>
      </c>
      <c r="K331" s="34" t="str">
        <f>IF(A332&lt;&gt;A331,AVERAGEIF(A$9:A331,A331,J$13:J331),"")</f>
        <v/>
      </c>
      <c r="L331" s="35" t="str">
        <f>IFERROR(IF(A332&lt;&gt;A331,AVERAGEIF(A$9:A331,A331,S$13:S331),""),"")</f>
        <v/>
      </c>
      <c r="M331" s="35" t="str">
        <f>IFERROR(IF(A332&lt;&gt;A331,AVERAGEIF(A$9:A331,A331,T$8:T331),""),"")</f>
        <v/>
      </c>
      <c r="N331" s="35" t="str" cm="1">
        <f t="array" ref="N331">IFERROR(IF(A332&lt;&gt;A331,_xlfn.STDEV.P(IF(A$9:A331=A331,T$7:T331)),""),"")</f>
        <v/>
      </c>
      <c r="O331" s="35" t="str" cm="1">
        <f t="array" ref="O331">IFERROR(IF(A332&lt;&gt;A331,_xlfn.STDEV.P(IF(A$9:A331=A331,S$7:S331)),""),"")</f>
        <v/>
      </c>
      <c r="P331" s="36" t="str">
        <f t="shared" si="65"/>
        <v/>
      </c>
      <c r="Q331" s="36" t="str">
        <f t="shared" si="66"/>
        <v/>
      </c>
      <c r="R331" s="36" t="str">
        <f t="shared" si="73"/>
        <v/>
      </c>
      <c r="S331" s="37" t="str">
        <f t="shared" si="74"/>
        <v/>
      </c>
      <c r="T331" s="37" t="str">
        <f t="shared" si="67"/>
        <v/>
      </c>
      <c r="U331" s="54"/>
      <c r="V331" s="46"/>
      <c r="W331" s="39" t="str">
        <f t="shared" si="75"/>
        <v/>
      </c>
      <c r="X331" s="38"/>
      <c r="Y331" s="48"/>
      <c r="AB331" s="56">
        <f t="shared" si="76"/>
        <v>1</v>
      </c>
      <c r="AC331" s="52"/>
      <c r="AD331" s="52"/>
      <c r="AE331" s="29" t="str">
        <f>IFERROR(
IF(AND(OR(AC331="C",AC331="c"), VLOOKUP(AF331,[1]Diccionario!B:N,13,0)="C"), "OK",IF(AND(OR(AC331="C",AC331="c"), OR(VLOOKUP(AF331,[1]Diccionario!B:N,13,0)="B", VLOOKUP(AF331,[1]Diccionario!B:N,13,0)="A")), "DEFICIT",IF(
AND(OR(AC331="B", AC331="BPAL"), VLOOKUP(AF331,[1]Diccionario!B:N,13,0)="B"), "OK",IF(AND(OR(AC331="B", AC331="BPAL"), VLOOKUP(AF331,[1]Diccionario!B:N,13,0)="A"), "DEFICIT",IF(AND(OR(AC331="B", AC331="BPAL"), VLOOKUP(AF331,[1]Diccionario!B:N,13,0)="C"), "SOBREOFERTA",IF(AND(AC331="A", VLOOKUP(AF331,[1]Diccionario!B:N,13,0)="A"), "OK",IF(
AND(AC331="A", OR(VLOOKUP(AF331,[1]Diccionario!B:N,13,0)="B", VLOOKUP(AF331,[1]Diccionario!B:N,13,0)="C")), "SOBREOFERTA",""
))))))),"")</f>
        <v/>
      </c>
      <c r="AF331" s="48"/>
      <c r="AG331" s="53"/>
      <c r="AH331" s="54"/>
      <c r="AI331" s="55" t="str">
        <f t="shared" si="77"/>
        <v/>
      </c>
      <c r="AJ331" s="46"/>
      <c r="AK331" s="34" t="e">
        <f>IF(AB331&lt;&gt;"",HLOOKUP(VALUE(TEXT(AH331,"h:mm:ss")),IF($C$6="Laboral",[1]Input!$A$4:$Y$227,IF($C$6="Sábado",[1]Input!$A$231:$Y$452,[1]Input!$A$456:$Y$656)),VLOOKUP($C$4,[1]Input!$AG$2:$AI$99,3,0)+IF(AD$5="Ida",0,1),1),"")</f>
        <v>#N/A</v>
      </c>
      <c r="AL331" s="34" t="str">
        <f>IF(AB332&lt;&gt;AB331,AVERAGEIF(AB$9:AB331,AB331,AK$9:AK331),"")</f>
        <v/>
      </c>
      <c r="AM331" s="35" t="str">
        <f>IFERROR(IF(AB332&lt;&gt;AB331,AVERAGEIF(AB$9:AB331,AB331,AT$9:AT331),""),"")</f>
        <v/>
      </c>
      <c r="AN331" s="35" t="str">
        <f>IFERROR(IF(AB332&lt;&gt;AB331,AVERAGEIF(AB$9:AB331,AB331,AU$9:AU331),""),"")</f>
        <v/>
      </c>
      <c r="AO331" s="35" t="str" cm="1">
        <f t="array" ref="AO331">IFERROR(IF(AB332&lt;&gt;AB331,_xlfn.STDEV.P(IF(AB$9:AB331=AB331,AU$9:AU331)),""),"")</f>
        <v/>
      </c>
      <c r="AP331" s="35" t="str" cm="1">
        <f t="array" ref="AP331">IFERROR(IF(AB332&lt;&gt;AB331,_xlfn.STDEV.P(IF(AB$9:AB331=AB331,AT$9:AT331)),""),"")</f>
        <v/>
      </c>
      <c r="AQ331" s="36" t="str">
        <f t="shared" si="68"/>
        <v/>
      </c>
      <c r="AR331" s="36" t="str">
        <f t="shared" si="69"/>
        <v/>
      </c>
      <c r="AS331" s="36" t="str">
        <f t="shared" si="78"/>
        <v/>
      </c>
      <c r="AT331" s="37" t="str">
        <f t="shared" si="70"/>
        <v/>
      </c>
      <c r="AU331" s="37" t="str">
        <f t="shared" si="71"/>
        <v/>
      </c>
      <c r="AV331" s="54"/>
      <c r="AW331" s="46"/>
      <c r="AX331" s="39" t="str" cm="1">
        <f t="array" ref="AX331">IF(AH331&lt;&gt;"",IF(AND(AX329:AX330&lt;&gt;"IE",AQ331&lt;&gt;0,AS331&lt;&gt;""),IF(IFERROR((AQ331/AS331),0) &lt;=1,IFERROR(AQ331/AS331,""),1),""),"")</f>
        <v/>
      </c>
      <c r="AY331" s="46"/>
      <c r="AZ331" s="57"/>
    </row>
    <row r="332" spans="1:52" ht="15.5" x14ac:dyDescent="0.35">
      <c r="A332" s="51">
        <f t="shared" si="79"/>
        <v>1</v>
      </c>
      <c r="B332" s="52"/>
      <c r="C332" s="52"/>
      <c r="D332" s="29" t="str">
        <f>IFERROR(
IF(AND(OR(Planilla!B332="C",Planilla!B332="c"), VLOOKUP(E332,[1]Diccionario!B:N,13,0)="C"), "OK",IF(AND(OR(Planilla!B332="C",Planilla!B332="c"), OR(VLOOKUP(E332,[1]Diccionario!B:N,13,0)="B", VLOOKUP(E332,[1]Diccionario!B:N,13,0)="A")), "DEFICIT",IF(
AND(OR(Planilla!B332="B", Planilla!B332="BPAL"), VLOOKUP(E332,[1]Diccionario!B:N,13,0)="B"), "OK",IF(AND(OR(Planilla!B332="B", Planilla!B332="BPAL"), VLOOKUP(E332,[1]Diccionario!B:N,13,0)="A"), "DEFICIT",IF(AND(OR(Planilla!B332="B", Planilla!B332="BPAL"), VLOOKUP(E332,[1]Diccionario!B:N,13,0)="C"), "SOBREOFERTA",IF(AND(Planilla!B332="A", VLOOKUP(E332,[1]Diccionario!B:N,13,0)="A"), "OK",IF(
AND(Planilla!B332="A", OR(VLOOKUP(E332,[1]Diccionario!B:N,13,0)="B", VLOOKUP(E332,[1]Diccionario!B:N,13,0)="C")), "SOBREOFERTA",""
))))))),"")</f>
        <v/>
      </c>
      <c r="E332" s="48"/>
      <c r="F332" s="53"/>
      <c r="G332" s="54"/>
      <c r="H332" s="55" t="str">
        <f t="shared" si="72"/>
        <v/>
      </c>
      <c r="I332" s="35"/>
      <c r="J332" s="34" t="e">
        <f>IF(A332&lt;&gt;"",HLOOKUP(VALUE(TEXT(G332,"h:mm:ss")),IF($C$6="Laboral",[1]Input!$A$4:$Y$227,IF($C$6="Sábado",[1]Input!$A$231:$Y$452,[1]Input!$A$456:$Y$656)),VLOOKUP($C$4,[1]Input!$AG$2:$AI$99,3,0)+IF(C$5="Ida",0,1),1),"")</f>
        <v>#N/A</v>
      </c>
      <c r="K332" s="34" t="str">
        <f>IF(A333&lt;&gt;A332,AVERAGEIF(A$9:A332,A332,J$13:J332),"")</f>
        <v/>
      </c>
      <c r="L332" s="35" t="str">
        <f>IFERROR(IF(A333&lt;&gt;A332,AVERAGEIF(A$9:A332,A332,S$13:S332),""),"")</f>
        <v/>
      </c>
      <c r="M332" s="35" t="str">
        <f>IFERROR(IF(A333&lt;&gt;A332,AVERAGEIF(A$9:A332,A332,T$8:T332),""),"")</f>
        <v/>
      </c>
      <c r="N332" s="35" t="str" cm="1">
        <f t="array" ref="N332">IFERROR(IF(A333&lt;&gt;A332,_xlfn.STDEV.P(IF(A$9:A332=A332,T$7:T332)),""),"")</f>
        <v/>
      </c>
      <c r="O332" s="35" t="str" cm="1">
        <f t="array" ref="O332">IFERROR(IF(A333&lt;&gt;A332,_xlfn.STDEV.P(IF(A$9:A332=A332,S$7:S332)),""),"")</f>
        <v/>
      </c>
      <c r="P332" s="36" t="str">
        <f t="shared" si="65"/>
        <v/>
      </c>
      <c r="Q332" s="36" t="str">
        <f t="shared" si="66"/>
        <v/>
      </c>
      <c r="R332" s="36" t="str">
        <f t="shared" si="73"/>
        <v/>
      </c>
      <c r="S332" s="37" t="str">
        <f t="shared" si="74"/>
        <v/>
      </c>
      <c r="T332" s="37" t="str">
        <f t="shared" si="67"/>
        <v/>
      </c>
      <c r="U332" s="54"/>
      <c r="V332" s="46"/>
      <c r="W332" s="39" t="str">
        <f t="shared" si="75"/>
        <v/>
      </c>
      <c r="X332" s="38"/>
      <c r="Y332" s="48"/>
      <c r="AB332" s="56">
        <f t="shared" si="76"/>
        <v>1</v>
      </c>
      <c r="AC332" s="52"/>
      <c r="AD332" s="52"/>
      <c r="AE332" s="29" t="str">
        <f>IFERROR(
IF(AND(OR(AC332="C",AC332="c"), VLOOKUP(AF332,[1]Diccionario!B:N,13,0)="C"), "OK",IF(AND(OR(AC332="C",AC332="c"), OR(VLOOKUP(AF332,[1]Diccionario!B:N,13,0)="B", VLOOKUP(AF332,[1]Diccionario!B:N,13,0)="A")), "DEFICIT",IF(
AND(OR(AC332="B", AC332="BPAL"), VLOOKUP(AF332,[1]Diccionario!B:N,13,0)="B"), "OK",IF(AND(OR(AC332="B", AC332="BPAL"), VLOOKUP(AF332,[1]Diccionario!B:N,13,0)="A"), "DEFICIT",IF(AND(OR(AC332="B", AC332="BPAL"), VLOOKUP(AF332,[1]Diccionario!B:N,13,0)="C"), "SOBREOFERTA",IF(AND(AC332="A", VLOOKUP(AF332,[1]Diccionario!B:N,13,0)="A"), "OK",IF(
AND(AC332="A", OR(VLOOKUP(AF332,[1]Diccionario!B:N,13,0)="B", VLOOKUP(AF332,[1]Diccionario!B:N,13,0)="C")), "SOBREOFERTA",""
))))))),"")</f>
        <v/>
      </c>
      <c r="AF332" s="48"/>
      <c r="AG332" s="53"/>
      <c r="AH332" s="54"/>
      <c r="AI332" s="55" t="str">
        <f t="shared" si="77"/>
        <v/>
      </c>
      <c r="AJ332" s="46"/>
      <c r="AK332" s="34" t="e">
        <f>IF(AB332&lt;&gt;"",HLOOKUP(VALUE(TEXT(AH332,"h:mm:ss")),IF($C$6="Laboral",[1]Input!$A$4:$Y$227,IF($C$6="Sábado",[1]Input!$A$231:$Y$452,[1]Input!$A$456:$Y$656)),VLOOKUP($C$4,[1]Input!$AG$2:$AI$99,3,0)+IF(AD$5="Ida",0,1),1),"")</f>
        <v>#N/A</v>
      </c>
      <c r="AL332" s="34" t="str">
        <f>IF(AB333&lt;&gt;AB332,AVERAGEIF(AB$9:AB332,AB332,AK$9:AK332),"")</f>
        <v/>
      </c>
      <c r="AM332" s="35" t="str">
        <f>IFERROR(IF(AB333&lt;&gt;AB332,AVERAGEIF(AB$9:AB332,AB332,AT$9:AT332),""),"")</f>
        <v/>
      </c>
      <c r="AN332" s="35" t="str">
        <f>IFERROR(IF(AB333&lt;&gt;AB332,AVERAGEIF(AB$9:AB332,AB332,AU$9:AU332),""),"")</f>
        <v/>
      </c>
      <c r="AO332" s="35" t="str" cm="1">
        <f t="array" ref="AO332">IFERROR(IF(AB333&lt;&gt;AB332,_xlfn.STDEV.P(IF(AB$9:AB332=AB332,AU$9:AU332)),""),"")</f>
        <v/>
      </c>
      <c r="AP332" s="35" t="str" cm="1">
        <f t="array" ref="AP332">IFERROR(IF(AB333&lt;&gt;AB332,_xlfn.STDEV.P(IF(AB$9:AB332=AB332,AT$9:AT332)),""),"")</f>
        <v/>
      </c>
      <c r="AQ332" s="36" t="str">
        <f t="shared" si="68"/>
        <v/>
      </c>
      <c r="AR332" s="36" t="str">
        <f t="shared" si="69"/>
        <v/>
      </c>
      <c r="AS332" s="36" t="str">
        <f t="shared" si="78"/>
        <v/>
      </c>
      <c r="AT332" s="37" t="str">
        <f t="shared" si="70"/>
        <v/>
      </c>
      <c r="AU332" s="37" t="str">
        <f t="shared" si="71"/>
        <v/>
      </c>
      <c r="AV332" s="54"/>
      <c r="AW332" s="46"/>
      <c r="AX332" s="39" t="str" cm="1">
        <f t="array" ref="AX332">IF(AH332&lt;&gt;"",IF(AND(AX330:AX331&lt;&gt;"IE",AQ332&lt;&gt;0,AS332&lt;&gt;""),IF(IFERROR((AQ332/AS332),0) &lt;=1,IFERROR(AQ332/AS332,""),1),""),"")</f>
        <v/>
      </c>
      <c r="AY332" s="46"/>
      <c r="AZ332" s="57"/>
    </row>
    <row r="333" spans="1:52" ht="15.5" x14ac:dyDescent="0.35">
      <c r="A333" s="51">
        <f t="shared" si="79"/>
        <v>1</v>
      </c>
      <c r="B333" s="52"/>
      <c r="C333" s="52"/>
      <c r="D333" s="29" t="str">
        <f>IFERROR(
IF(AND(OR(Planilla!B333="C",Planilla!B333="c"), VLOOKUP(E333,[1]Diccionario!B:N,13,0)="C"), "OK",IF(AND(OR(Planilla!B333="C",Planilla!B333="c"), OR(VLOOKUP(E333,[1]Diccionario!B:N,13,0)="B", VLOOKUP(E333,[1]Diccionario!B:N,13,0)="A")), "DEFICIT",IF(
AND(OR(Planilla!B333="B", Planilla!B333="BPAL"), VLOOKUP(E333,[1]Diccionario!B:N,13,0)="B"), "OK",IF(AND(OR(Planilla!B333="B", Planilla!B333="BPAL"), VLOOKUP(E333,[1]Diccionario!B:N,13,0)="A"), "DEFICIT",IF(AND(OR(Planilla!B333="B", Planilla!B333="BPAL"), VLOOKUP(E333,[1]Diccionario!B:N,13,0)="C"), "SOBREOFERTA",IF(AND(Planilla!B333="A", VLOOKUP(E333,[1]Diccionario!B:N,13,0)="A"), "OK",IF(
AND(Planilla!B333="A", OR(VLOOKUP(E333,[1]Diccionario!B:N,13,0)="B", VLOOKUP(E333,[1]Diccionario!B:N,13,0)="C")), "SOBREOFERTA",""
))))))),"")</f>
        <v/>
      </c>
      <c r="E333" s="48"/>
      <c r="F333" s="53"/>
      <c r="G333" s="54"/>
      <c r="H333" s="55" t="str">
        <f t="shared" si="72"/>
        <v/>
      </c>
      <c r="I333" s="35"/>
      <c r="J333" s="34" t="e">
        <f>IF(A333&lt;&gt;"",HLOOKUP(VALUE(TEXT(G333,"h:mm:ss")),IF($C$6="Laboral",[1]Input!$A$4:$Y$227,IF($C$6="Sábado",[1]Input!$A$231:$Y$452,[1]Input!$A$456:$Y$656)),VLOOKUP($C$4,[1]Input!$AG$2:$AI$99,3,0)+IF(C$5="Ida",0,1),1),"")</f>
        <v>#N/A</v>
      </c>
      <c r="K333" s="34" t="str">
        <f>IF(A334&lt;&gt;A333,AVERAGEIF(A$9:A333,A333,J$13:J333),"")</f>
        <v/>
      </c>
      <c r="L333" s="35" t="str">
        <f>IFERROR(IF(A334&lt;&gt;A333,AVERAGEIF(A$9:A333,A333,S$13:S333),""),"")</f>
        <v/>
      </c>
      <c r="M333" s="35" t="str">
        <f>IFERROR(IF(A334&lt;&gt;A333,AVERAGEIF(A$9:A333,A333,T$8:T333),""),"")</f>
        <v/>
      </c>
      <c r="N333" s="35" t="str" cm="1">
        <f t="array" ref="N333">IFERROR(IF(A334&lt;&gt;A333,_xlfn.STDEV.P(IF(A$9:A333=A333,T$7:T333)),""),"")</f>
        <v/>
      </c>
      <c r="O333" s="35" t="str" cm="1">
        <f t="array" ref="O333">IFERROR(IF(A334&lt;&gt;A333,_xlfn.STDEV.P(IF(A$9:A333=A333,S$7:S333)),""),"")</f>
        <v/>
      </c>
      <c r="P333" s="36" t="str">
        <f t="shared" ref="P333:P396" si="80">IFERROR(IF(A333&lt;&gt;A334,MAX((((M333*24*60)/2)*(1+POWER((((N333*24*60) / (M333*24*60) )),2))) + ((M333*24*60 )*-0.1 + (K333*0.015)) +1,(((M333*24*60)/2)*(1+POWER((((N333*24*60) / (M333*24*60 ))),2)))),""),"")</f>
        <v/>
      </c>
      <c r="Q333" s="36" t="str">
        <f t="shared" ref="Q333:Q396" si="81">IF(AND(O333&lt;&gt;"",L333&lt;&gt;""),IF(A333&lt;&gt;A334,((L333*24*60) / 2 ) * (1 + POWER(((O333*24*60) / (L333*24*60)),2)),""),"")</f>
        <v/>
      </c>
      <c r="R333" s="36" t="str">
        <f t="shared" si="73"/>
        <v/>
      </c>
      <c r="S333" s="37" t="str">
        <f t="shared" si="74"/>
        <v/>
      </c>
      <c r="T333" s="37" t="str">
        <f t="shared" ref="T333:T396" si="82">IF(G333&lt;&gt;"H. Sale Real",IF(AND(G334&lt;&gt;"",LEFT(C334,2)&lt;&gt;"NC"),IF(AND(G333&lt;&gt;"",LEFT(C333,2)&lt;&gt;"NC",G333&lt;&gt;"H. Sale Real"),IF(G334-G333&lt;0.208333333333333,G334-G333,""),IF(AND(G332&lt;&gt;"",LEFT(C332,2)&lt;&gt;"NC",G332&lt;&gt;"H. Sale Real"),IF(G334-G332&lt;0.208333333333333,G334-G332,""),IF(AND(G331&lt;&gt;"",LEFT(C331,2)&lt;&gt;"NC",G331&lt;&gt;"H. Sale Real"),IF(G334-G331&lt;0.208333333333333,G334-G331,""),IF(AND(G330&lt;&gt;"",LEFT(C330,2)&lt;&gt;"NC",G330&lt;&gt;"H. Sale Real"),IF(G334-G330&lt;0.208333333333333,G334-G330,""),IF(AND(G329&lt;&gt;"",LEFT(C329,2)&lt;&gt;"NC",G329&lt;&gt;"H. Sale Real"),IF(G334-G329&lt;0.208333333333333,G334-G329,""),""))))),""),"")</f>
        <v/>
      </c>
      <c r="U333" s="54"/>
      <c r="V333" s="46"/>
      <c r="W333" s="39" t="str">
        <f t="shared" si="75"/>
        <v/>
      </c>
      <c r="X333" s="38"/>
      <c r="Y333" s="48"/>
      <c r="AB333" s="56">
        <f t="shared" si="76"/>
        <v>1</v>
      </c>
      <c r="AC333" s="52"/>
      <c r="AD333" s="52"/>
      <c r="AE333" s="29" t="str">
        <f>IFERROR(
IF(AND(OR(AC333="C",AC333="c"), VLOOKUP(AF333,[1]Diccionario!B:N,13,0)="C"), "OK",IF(AND(OR(AC333="C",AC333="c"), OR(VLOOKUP(AF333,[1]Diccionario!B:N,13,0)="B", VLOOKUP(AF333,[1]Diccionario!B:N,13,0)="A")), "DEFICIT",IF(
AND(OR(AC333="B", AC333="BPAL"), VLOOKUP(AF333,[1]Diccionario!B:N,13,0)="B"), "OK",IF(AND(OR(AC333="B", AC333="BPAL"), VLOOKUP(AF333,[1]Diccionario!B:N,13,0)="A"), "DEFICIT",IF(AND(OR(AC333="B", AC333="BPAL"), VLOOKUP(AF333,[1]Diccionario!B:N,13,0)="C"), "SOBREOFERTA",IF(AND(AC333="A", VLOOKUP(AF333,[1]Diccionario!B:N,13,0)="A"), "OK",IF(
AND(AC333="A", OR(VLOOKUP(AF333,[1]Diccionario!B:N,13,0)="B", VLOOKUP(AF333,[1]Diccionario!B:N,13,0)="C")), "SOBREOFERTA",""
))))))),"")</f>
        <v/>
      </c>
      <c r="AF333" s="48"/>
      <c r="AG333" s="53"/>
      <c r="AH333" s="54"/>
      <c r="AI333" s="55" t="str">
        <f t="shared" si="77"/>
        <v/>
      </c>
      <c r="AJ333" s="46"/>
      <c r="AK333" s="34" t="e">
        <f>IF(AB333&lt;&gt;"",HLOOKUP(VALUE(TEXT(AH333,"h:mm:ss")),IF($C$6="Laboral",[1]Input!$A$4:$Y$227,IF($C$6="Sábado",[1]Input!$A$231:$Y$452,[1]Input!$A$456:$Y$656)),VLOOKUP($C$4,[1]Input!$AG$2:$AI$99,3,0)+IF(AD$5="Ida",0,1),1),"")</f>
        <v>#N/A</v>
      </c>
      <c r="AL333" s="34" t="str">
        <f>IF(AB334&lt;&gt;AB333,AVERAGEIF(AB$9:AB333,AB333,AK$9:AK333),"")</f>
        <v/>
      </c>
      <c r="AM333" s="35" t="str">
        <f>IFERROR(IF(AB334&lt;&gt;AB333,AVERAGEIF(AB$9:AB333,AB333,AT$9:AT333),""),"")</f>
        <v/>
      </c>
      <c r="AN333" s="35" t="str">
        <f>IFERROR(IF(AB334&lt;&gt;AB333,AVERAGEIF(AB$9:AB333,AB333,AU$9:AU333),""),"")</f>
        <v/>
      </c>
      <c r="AO333" s="35" t="str" cm="1">
        <f t="array" ref="AO333">IFERROR(IF(AB334&lt;&gt;AB333,_xlfn.STDEV.P(IF(AB$9:AB333=AB333,AU$9:AU333)),""),"")</f>
        <v/>
      </c>
      <c r="AP333" s="35" t="str" cm="1">
        <f t="array" ref="AP333">IFERROR(IF(AB334&lt;&gt;AB333,_xlfn.STDEV.P(IF(AB$9:AB333=AB333,AT$9:AT333)),""),"")</f>
        <v/>
      </c>
      <c r="AQ333" s="36" t="str">
        <f t="shared" ref="AQ333:AQ396" si="83">IFERROR(IF(AB333&lt;&gt;AB334,MAX((((AN333*24*60)/2)*(1+POWER((((AO333*24*60) / (AN333*24*60) )),2))) + ((AN333*24*60 )*-0.1 + (AL333*0.015)) +1,(((AN333*24*60)/2)*(1+POWER((((AO333*24*60) / (AN333*24*60 ))),2)))),""),"")</f>
        <v/>
      </c>
      <c r="AR333" s="36" t="str">
        <f t="shared" ref="AR333:AR396" si="84">IF(AND(AP333&lt;&gt;"",AM333&lt;&gt;""),IF(AB333&lt;&gt;AB334,((AM333*24*60) / 2 ) * (1 + POWER(((AP333*24*60) / (AM333*24*60)),2)),""),"")</f>
        <v/>
      </c>
      <c r="AS333" s="36" t="str">
        <f t="shared" si="78"/>
        <v/>
      </c>
      <c r="AT333" s="37" t="str">
        <f t="shared" ref="AT333:AT396" si="85">IF(AJ333&lt;&gt;"H. Sale Real",IF(AND(AJ334&lt;&gt;"",LEFT(AD334,2)&lt;&gt;"NC"),IF(AND(AJ333&lt;&gt;"",LEFT(AD333,2)&lt;&gt;"NC",AJ333&lt;&gt;"H. Sale Real"),IF(AJ334-AJ333&lt;0.208333333333333,AJ334-AJ333,""),IF(AND(AJ332&lt;&gt;"",LEFT(AD332,2)&lt;&gt;"NC",AJ332&lt;&gt;"H. Sale Real"),IF(AJ334-AJ332&lt;0.208333333333333,AJ334-AJ332,""),IF(AND(AJ331&lt;&gt;"",LEFT(AD331,2)&lt;&gt;"NC",AJ331&lt;&gt;"H. Sale Real"),IF(AJ334-AJ331&lt;0.208333333333333,AJ334-AJ331,""),IF(AND(AJ330&lt;&gt;"",LEFT(AD330,2)&lt;&gt;"NC",AJ330&lt;&gt;"H. Sale Real"),IF(AJ334-AJ330&lt;0.208333333333333,AJ334-AJ330,""),IF(AND(AJ329&lt;&gt;"",LEFT(AD329,2)&lt;&gt;"NC",AJ329&lt;&gt;"H. Sale Real"),IF(AJ334-AJ329&lt;0.208333333333333,AJ334-AJ329,""),""))))),""),"")</f>
        <v/>
      </c>
      <c r="AU333" s="37" t="str">
        <f t="shared" ref="AU333:AU396" si="86">IF(AH333&lt;&gt;"H. Sale Real",IF(AND(AH334&lt;&gt;"",LEFT(AD334,2)&lt;&gt;"NC"),IF(AND(AH333&lt;&gt;"",LEFT(AD333,2)&lt;&gt;"NC",AH333&lt;&gt;"H. Sale Real"),IF(AH334-AH333&lt;0.208333333333333,AH334-AH333,""),IF(AND(AH332&lt;&gt;"",LEFT(AD332,2)&lt;&gt;"NC",AH332&lt;&gt;"H. Sale Real"),IF(AH334-AH332&lt;0.208333333333333,AH334-AH332,""),IF(AND(AH331&lt;&gt;"",LEFT(AD331,2)&lt;&gt;"NC",AH331&lt;&gt;"H. Sale Real"),IF(AH334-AH331&lt;0.208333333333333,AH334-AH331,""),IF(AND(AH330&lt;&gt;"",LEFT(AD330,2)&lt;&gt;"NC",AH330&lt;&gt;"H. Sale Real"),IF(AH334-AH330&lt;0.208333333333333,AH334-AH330,""),IF(AND(AH329&lt;&gt;"",LEFT(AD329,2)&lt;&gt;"NC",AH329&lt;&gt;"H. Sale Real"),IF(AH334-AH329&lt;0.208333333333333,AH334-AH329,""),""))))),""),"")</f>
        <v/>
      </c>
      <c r="AV333" s="54"/>
      <c r="AW333" s="46"/>
      <c r="AX333" s="39" t="str" cm="1">
        <f t="array" ref="AX333">IF(AH333&lt;&gt;"",IF(AND(AX331:AX332&lt;&gt;"IE",AQ333&lt;&gt;0,AS333&lt;&gt;""),IF(IFERROR((AQ333/AS333),0) &lt;=1,IFERROR(AQ333/AS333,""),1),""),"")</f>
        <v/>
      </c>
      <c r="AY333" s="46"/>
      <c r="AZ333" s="57"/>
    </row>
    <row r="334" spans="1:52" ht="15.5" x14ac:dyDescent="0.35">
      <c r="A334" s="51">
        <f t="shared" si="79"/>
        <v>1</v>
      </c>
      <c r="B334" s="52"/>
      <c r="C334" s="52"/>
      <c r="D334" s="29" t="str">
        <f>IFERROR(
IF(AND(OR(Planilla!B334="C",Planilla!B334="c"), VLOOKUP(E334,[1]Diccionario!B:N,13,0)="C"), "OK",IF(AND(OR(Planilla!B334="C",Planilla!B334="c"), OR(VLOOKUP(E334,[1]Diccionario!B:N,13,0)="B", VLOOKUP(E334,[1]Diccionario!B:N,13,0)="A")), "DEFICIT",IF(
AND(OR(Planilla!B334="B", Planilla!B334="BPAL"), VLOOKUP(E334,[1]Diccionario!B:N,13,0)="B"), "OK",IF(AND(OR(Planilla!B334="B", Planilla!B334="BPAL"), VLOOKUP(E334,[1]Diccionario!B:N,13,0)="A"), "DEFICIT",IF(AND(OR(Planilla!B334="B", Planilla!B334="BPAL"), VLOOKUP(E334,[1]Diccionario!B:N,13,0)="C"), "SOBREOFERTA",IF(AND(Planilla!B334="A", VLOOKUP(E334,[1]Diccionario!B:N,13,0)="A"), "OK",IF(
AND(Planilla!B334="A", OR(VLOOKUP(E334,[1]Diccionario!B:N,13,0)="B", VLOOKUP(E334,[1]Diccionario!B:N,13,0)="C")), "SOBREOFERTA",""
))))))),"")</f>
        <v/>
      </c>
      <c r="E334" s="48"/>
      <c r="F334" s="53"/>
      <c r="G334" s="54"/>
      <c r="H334" s="55" t="str">
        <f t="shared" ref="H334:H397" si="87">IF(I334="","",IF(AND((I334-G334)&gt;=TIME(0,0,0),(I334-G334)&lt;TIME(0,3,0)),"OK",IF(AND((I334-G334)&gt;=TIME(0,3,0),(I334-G334)&lt;TIME(0,5,0)),"RETRASO DE 3-5 MIN",IF(AND((I334-G334)&gt;=TIME(0,5,0),(I334-G334)&lt;TIME(0,10,0)),"RETRASO DE 5-10 MIN",IF((I334-G334)&gt;=TIME(0,10,0),"RETRASO &gt;10 MIN",         IF(AND((G334-I334)&gt;=TIME(0,0,0),(G334-I334)&lt;TIME(0,3,0)),"OK",IF((G334-I334)&gt;=TIME(0,3,0),"ADELANTADO")))))))</f>
        <v/>
      </c>
      <c r="I334" s="35"/>
      <c r="J334" s="34" t="e">
        <f>IF(A334&lt;&gt;"",HLOOKUP(VALUE(TEXT(G334,"h:mm:ss")),IF($C$6="Laboral",[1]Input!$A$4:$Y$227,IF($C$6="Sábado",[1]Input!$A$231:$Y$452,[1]Input!$A$456:$Y$656)),VLOOKUP($C$4,[1]Input!$AG$2:$AI$99,3,0)+IF(C$5="Ida",0,1),1),"")</f>
        <v>#N/A</v>
      </c>
      <c r="K334" s="34" t="str">
        <f>IF(A335&lt;&gt;A334,AVERAGEIF(A$9:A334,A334,J$13:J334),"")</f>
        <v/>
      </c>
      <c r="L334" s="35" t="str">
        <f>IFERROR(IF(A335&lt;&gt;A334,AVERAGEIF(A$9:A334,A334,S$13:S334),""),"")</f>
        <v/>
      </c>
      <c r="M334" s="35" t="str">
        <f>IFERROR(IF(A335&lt;&gt;A334,AVERAGEIF(A$9:A334,A334,T$8:T334),""),"")</f>
        <v/>
      </c>
      <c r="N334" s="35" t="str" cm="1">
        <f t="array" ref="N334">IFERROR(IF(A335&lt;&gt;A334,_xlfn.STDEV.P(IF(A$9:A334=A334,T$7:T334)),""),"")</f>
        <v/>
      </c>
      <c r="O334" s="35" t="str" cm="1">
        <f t="array" ref="O334">IFERROR(IF(A335&lt;&gt;A334,_xlfn.STDEV.P(IF(A$9:A334=A334,S$7:S334)),""),"")</f>
        <v/>
      </c>
      <c r="P334" s="36" t="str">
        <f t="shared" si="80"/>
        <v/>
      </c>
      <c r="Q334" s="36" t="str">
        <f t="shared" si="81"/>
        <v/>
      </c>
      <c r="R334" s="36" t="str">
        <f t="shared" ref="R334:R397" si="88">IF(Q334&lt;&gt;"",MAX(P334,Q334),"")</f>
        <v/>
      </c>
      <c r="S334" s="37" t="str">
        <f t="shared" ref="S334:S397" si="89">IF(I334&lt;&gt;"H. Sale Real",IF(AND(I335&lt;&gt;"",LEFT(C335,2)&lt;&gt;"NC"),IF(AND(I334&lt;&gt;"",LEFT(C334,2)&lt;&gt;"NC",I334&lt;&gt;"H. Sale Real"),IF(I335-I334&lt;0.208333333333333,I335-I334,""),IF(AND(I333&lt;&gt;"",LEFT(C333,2)&lt;&gt;"NC",I333&lt;&gt;"H. Sale Real"),IF(I335-I333&lt;0.208333333333333,I335-I333,""),IF(AND(I332&lt;&gt;"",LEFT(C332,2)&lt;&gt;"NC",I332&lt;&gt;"H. Sale Real"),IF(I335-I332&lt;0.208333333333333,I335-I332,""),IF(AND(I331&lt;&gt;"",LEFT(C331,2)&lt;&gt;"NC",I331&lt;&gt;"H. Sale Real"),IF(I335-I331&lt;0.208333333333333,I335-I331,""),IF(AND(I330&lt;&gt;"",LEFT(C330,2)&lt;&gt;"NC",I330&lt;&gt;"H. Sale Real"),IF(I335-I330&lt;0.208333333333333,I335-I330,""),""))))),""),"")</f>
        <v/>
      </c>
      <c r="T334" s="37" t="str">
        <f t="shared" si="82"/>
        <v/>
      </c>
      <c r="U334" s="54"/>
      <c r="V334" s="46"/>
      <c r="W334" s="39" t="str">
        <f t="shared" ref="W334:W397" si="90">IF(G334&lt;&gt;"",IF(AND(W333&lt;&gt;"IE",P334&lt;&gt;0,R334&lt;&gt;""),IF(IFERROR((P334/R334),0) &lt;=1,IFERROR(P334/R334,""),1),""),"")</f>
        <v/>
      </c>
      <c r="X334" s="38"/>
      <c r="Y334" s="48"/>
      <c r="AB334" s="56">
        <f t="shared" ref="AB334:AB397" si="91">HOUR(AH334)+1</f>
        <v>1</v>
      </c>
      <c r="AC334" s="52"/>
      <c r="AD334" s="52"/>
      <c r="AE334" s="29" t="str">
        <f>IFERROR(
IF(AND(OR(AC334="C",AC334="c"), VLOOKUP(AF334,[1]Diccionario!B:N,13,0)="C"), "OK",IF(AND(OR(AC334="C",AC334="c"), OR(VLOOKUP(AF334,[1]Diccionario!B:N,13,0)="B", VLOOKUP(AF334,[1]Diccionario!B:N,13,0)="A")), "DEFICIT",IF(
AND(OR(AC334="B", AC334="BPAL"), VLOOKUP(AF334,[1]Diccionario!B:N,13,0)="B"), "OK",IF(AND(OR(AC334="B", AC334="BPAL"), VLOOKUP(AF334,[1]Diccionario!B:N,13,0)="A"), "DEFICIT",IF(AND(OR(AC334="B", AC334="BPAL"), VLOOKUP(AF334,[1]Diccionario!B:N,13,0)="C"), "SOBREOFERTA",IF(AND(AC334="A", VLOOKUP(AF334,[1]Diccionario!B:N,13,0)="A"), "OK",IF(
AND(AC334="A", OR(VLOOKUP(AF334,[1]Diccionario!B:N,13,0)="B", VLOOKUP(AF334,[1]Diccionario!B:N,13,0)="C")), "SOBREOFERTA",""
))))))),"")</f>
        <v/>
      </c>
      <c r="AF334" s="48"/>
      <c r="AG334" s="53"/>
      <c r="AH334" s="54"/>
      <c r="AI334" s="55" t="str">
        <f t="shared" ref="AI334:AI397" si="92">IF(AJ334="","",IF(AND((AJ334-AH334)&gt;=TIME(0,0,0),(AJ334-AH334)&lt;TIME(0,3,0)),"OK",IF(AND((AJ334-AH334)&gt;=TIME(0,3,0),(AJ334-AH334)&lt;TIME(0,5,0)),"RETRASO DE 3-5 MIN",IF(AND((AJ334-AH334)&gt;=TIME(0,5,0),(AJ334-AH334)&lt;TIME(0,10,0)),"RETRASO DE 5-10 MIN",IF((AJ334-AH334)&gt;=TIME(0,10,0),"RETRASO &gt;10 MIN",         IF(AND((AH334-AJ334)&gt;=TIME(0,0,0),(AH334-AJ334)&lt;TIME(0,3,0)),"OK",IF((AH334-AJ334)&gt;=TIME(0,3,0),"ADELANTADO")))))))</f>
        <v/>
      </c>
      <c r="AJ334" s="46"/>
      <c r="AK334" s="34" t="e">
        <f>IF(AB334&lt;&gt;"",HLOOKUP(VALUE(TEXT(AH334,"h:mm:ss")),IF($C$6="Laboral",[1]Input!$A$4:$Y$227,IF($C$6="Sábado",[1]Input!$A$231:$Y$452,[1]Input!$A$456:$Y$656)),VLOOKUP($C$4,[1]Input!$AG$2:$AI$99,3,0)+IF(AD$5="Ida",0,1),1),"")</f>
        <v>#N/A</v>
      </c>
      <c r="AL334" s="34" t="str">
        <f>IF(AB335&lt;&gt;AB334,AVERAGEIF(AB$9:AB334,AB334,AK$9:AK334),"")</f>
        <v/>
      </c>
      <c r="AM334" s="35" t="str">
        <f>IFERROR(IF(AB335&lt;&gt;AB334,AVERAGEIF(AB$9:AB334,AB334,AT$9:AT334),""),"")</f>
        <v/>
      </c>
      <c r="AN334" s="35" t="str">
        <f>IFERROR(IF(AB335&lt;&gt;AB334,AVERAGEIF(AB$9:AB334,AB334,AU$9:AU334),""),"")</f>
        <v/>
      </c>
      <c r="AO334" s="35" t="str" cm="1">
        <f t="array" ref="AO334">IFERROR(IF(AB335&lt;&gt;AB334,_xlfn.STDEV.P(IF(AB$9:AB334=AB334,AU$9:AU334)),""),"")</f>
        <v/>
      </c>
      <c r="AP334" s="35" t="str" cm="1">
        <f t="array" ref="AP334">IFERROR(IF(AB335&lt;&gt;AB334,_xlfn.STDEV.P(IF(AB$9:AB334=AB334,AT$9:AT334)),""),"")</f>
        <v/>
      </c>
      <c r="AQ334" s="36" t="str">
        <f t="shared" si="83"/>
        <v/>
      </c>
      <c r="AR334" s="36" t="str">
        <f t="shared" si="84"/>
        <v/>
      </c>
      <c r="AS334" s="36" t="str">
        <f t="shared" ref="AS334:AS397" si="93">IF(AR334&lt;&gt;"",MAX(AQ334,AR334),"")</f>
        <v/>
      </c>
      <c r="AT334" s="37" t="str">
        <f t="shared" si="85"/>
        <v/>
      </c>
      <c r="AU334" s="37" t="str">
        <f t="shared" si="86"/>
        <v/>
      </c>
      <c r="AV334" s="54"/>
      <c r="AW334" s="46"/>
      <c r="AX334" s="39" t="str" cm="1">
        <f t="array" ref="AX334">IF(AH334&lt;&gt;"",IF(AND(AX332:AX333&lt;&gt;"IE",AQ334&lt;&gt;0,AS334&lt;&gt;""),IF(IFERROR((AQ334/AS334),0) &lt;=1,IFERROR(AQ334/AS334,""),1),""),"")</f>
        <v/>
      </c>
      <c r="AY334" s="46"/>
      <c r="AZ334" s="57"/>
    </row>
    <row r="335" spans="1:52" ht="15.5" x14ac:dyDescent="0.35">
      <c r="A335" s="51">
        <f t="shared" ref="A335:A398" si="94">HOUR(G335)+1</f>
        <v>1</v>
      </c>
      <c r="B335" s="52"/>
      <c r="C335" s="52"/>
      <c r="D335" s="29" t="str">
        <f>IFERROR(
IF(AND(OR(Planilla!B335="C",Planilla!B335="c"), VLOOKUP(E335,[1]Diccionario!B:N,13,0)="C"), "OK",IF(AND(OR(Planilla!B335="C",Planilla!B335="c"), OR(VLOOKUP(E335,[1]Diccionario!B:N,13,0)="B", VLOOKUP(E335,[1]Diccionario!B:N,13,0)="A")), "DEFICIT",IF(
AND(OR(Planilla!B335="B", Planilla!B335="BPAL"), VLOOKUP(E335,[1]Diccionario!B:N,13,0)="B"), "OK",IF(AND(OR(Planilla!B335="B", Planilla!B335="BPAL"), VLOOKUP(E335,[1]Diccionario!B:N,13,0)="A"), "DEFICIT",IF(AND(OR(Planilla!B335="B", Planilla!B335="BPAL"), VLOOKUP(E335,[1]Diccionario!B:N,13,0)="C"), "SOBREOFERTA",IF(AND(Planilla!B335="A", VLOOKUP(E335,[1]Diccionario!B:N,13,0)="A"), "OK",IF(
AND(Planilla!B335="A", OR(VLOOKUP(E335,[1]Diccionario!B:N,13,0)="B", VLOOKUP(E335,[1]Diccionario!B:N,13,0)="C")), "SOBREOFERTA",""
))))))),"")</f>
        <v/>
      </c>
      <c r="E335" s="48"/>
      <c r="F335" s="53"/>
      <c r="G335" s="54"/>
      <c r="H335" s="55" t="str">
        <f t="shared" si="87"/>
        <v/>
      </c>
      <c r="I335" s="35"/>
      <c r="J335" s="34" t="e">
        <f>IF(A335&lt;&gt;"",HLOOKUP(VALUE(TEXT(G335,"h:mm:ss")),IF($C$6="Laboral",[1]Input!$A$4:$Y$227,IF($C$6="Sábado",[1]Input!$A$231:$Y$452,[1]Input!$A$456:$Y$656)),VLOOKUP($C$4,[1]Input!$AG$2:$AI$99,3,0)+IF(C$5="Ida",0,1),1),"")</f>
        <v>#N/A</v>
      </c>
      <c r="K335" s="34" t="str">
        <f>IF(A336&lt;&gt;A335,AVERAGEIF(A$9:A335,A335,J$13:J335),"")</f>
        <v/>
      </c>
      <c r="L335" s="35" t="str">
        <f>IFERROR(IF(A336&lt;&gt;A335,AVERAGEIF(A$9:A335,A335,S$13:S335),""),"")</f>
        <v/>
      </c>
      <c r="M335" s="35" t="str">
        <f>IFERROR(IF(A336&lt;&gt;A335,AVERAGEIF(A$9:A335,A335,T$8:T335),""),"")</f>
        <v/>
      </c>
      <c r="N335" s="35" t="str" cm="1">
        <f t="array" ref="N335">IFERROR(IF(A336&lt;&gt;A335,_xlfn.STDEV.P(IF(A$9:A335=A335,T$7:T335)),""),"")</f>
        <v/>
      </c>
      <c r="O335" s="35" t="str" cm="1">
        <f t="array" ref="O335">IFERROR(IF(A336&lt;&gt;A335,_xlfn.STDEV.P(IF(A$9:A335=A335,S$7:S335)),""),"")</f>
        <v/>
      </c>
      <c r="P335" s="36" t="str">
        <f t="shared" si="80"/>
        <v/>
      </c>
      <c r="Q335" s="36" t="str">
        <f t="shared" si="81"/>
        <v/>
      </c>
      <c r="R335" s="36" t="str">
        <f t="shared" si="88"/>
        <v/>
      </c>
      <c r="S335" s="37" t="str">
        <f t="shared" si="89"/>
        <v/>
      </c>
      <c r="T335" s="37" t="str">
        <f t="shared" si="82"/>
        <v/>
      </c>
      <c r="U335" s="54"/>
      <c r="V335" s="46"/>
      <c r="W335" s="39" t="str">
        <f t="shared" si="90"/>
        <v/>
      </c>
      <c r="X335" s="38"/>
      <c r="Y335" s="48"/>
      <c r="AB335" s="56">
        <f t="shared" si="91"/>
        <v>1</v>
      </c>
      <c r="AC335" s="52"/>
      <c r="AD335" s="52"/>
      <c r="AE335" s="29" t="str">
        <f>IFERROR(
IF(AND(OR(AC335="C",AC335="c"), VLOOKUP(AF335,[1]Diccionario!B:N,13,0)="C"), "OK",IF(AND(OR(AC335="C",AC335="c"), OR(VLOOKUP(AF335,[1]Diccionario!B:N,13,0)="B", VLOOKUP(AF335,[1]Diccionario!B:N,13,0)="A")), "DEFICIT",IF(
AND(OR(AC335="B", AC335="BPAL"), VLOOKUP(AF335,[1]Diccionario!B:N,13,0)="B"), "OK",IF(AND(OR(AC335="B", AC335="BPAL"), VLOOKUP(AF335,[1]Diccionario!B:N,13,0)="A"), "DEFICIT",IF(AND(OR(AC335="B", AC335="BPAL"), VLOOKUP(AF335,[1]Diccionario!B:N,13,0)="C"), "SOBREOFERTA",IF(AND(AC335="A", VLOOKUP(AF335,[1]Diccionario!B:N,13,0)="A"), "OK",IF(
AND(AC335="A", OR(VLOOKUP(AF335,[1]Diccionario!B:N,13,0)="B", VLOOKUP(AF335,[1]Diccionario!B:N,13,0)="C")), "SOBREOFERTA",""
))))))),"")</f>
        <v/>
      </c>
      <c r="AF335" s="48"/>
      <c r="AG335" s="53"/>
      <c r="AH335" s="54"/>
      <c r="AI335" s="55" t="str">
        <f t="shared" si="92"/>
        <v/>
      </c>
      <c r="AJ335" s="46"/>
      <c r="AK335" s="34" t="e">
        <f>IF(AB335&lt;&gt;"",HLOOKUP(VALUE(TEXT(AH335,"h:mm:ss")),IF($C$6="Laboral",[1]Input!$A$4:$Y$227,IF($C$6="Sábado",[1]Input!$A$231:$Y$452,[1]Input!$A$456:$Y$656)),VLOOKUP($C$4,[1]Input!$AG$2:$AI$99,3,0)+IF(AD$5="Ida",0,1),1),"")</f>
        <v>#N/A</v>
      </c>
      <c r="AL335" s="34" t="str">
        <f>IF(AB336&lt;&gt;AB335,AVERAGEIF(AB$9:AB335,AB335,AK$9:AK335),"")</f>
        <v/>
      </c>
      <c r="AM335" s="35" t="str">
        <f>IFERROR(IF(AB336&lt;&gt;AB335,AVERAGEIF(AB$9:AB335,AB335,AT$9:AT335),""),"")</f>
        <v/>
      </c>
      <c r="AN335" s="35" t="str">
        <f>IFERROR(IF(AB336&lt;&gt;AB335,AVERAGEIF(AB$9:AB335,AB335,AU$9:AU335),""),"")</f>
        <v/>
      </c>
      <c r="AO335" s="35" t="str" cm="1">
        <f t="array" ref="AO335">IFERROR(IF(AB336&lt;&gt;AB335,_xlfn.STDEV.P(IF(AB$9:AB335=AB335,AU$9:AU335)),""),"")</f>
        <v/>
      </c>
      <c r="AP335" s="35" t="str" cm="1">
        <f t="array" ref="AP335">IFERROR(IF(AB336&lt;&gt;AB335,_xlfn.STDEV.P(IF(AB$9:AB335=AB335,AT$9:AT335)),""),"")</f>
        <v/>
      </c>
      <c r="AQ335" s="36" t="str">
        <f t="shared" si="83"/>
        <v/>
      </c>
      <c r="AR335" s="36" t="str">
        <f t="shared" si="84"/>
        <v/>
      </c>
      <c r="AS335" s="36" t="str">
        <f t="shared" si="93"/>
        <v/>
      </c>
      <c r="AT335" s="37" t="str">
        <f t="shared" si="85"/>
        <v/>
      </c>
      <c r="AU335" s="37" t="str">
        <f t="shared" si="86"/>
        <v/>
      </c>
      <c r="AV335" s="54"/>
      <c r="AW335" s="46"/>
      <c r="AX335" s="39" t="str" cm="1">
        <f t="array" ref="AX335">IF(AH335&lt;&gt;"",IF(AND(AX333:AX334&lt;&gt;"IE",AQ335&lt;&gt;0,AS335&lt;&gt;""),IF(IFERROR((AQ335/AS335),0) &lt;=1,IFERROR(AQ335/AS335,""),1),""),"")</f>
        <v/>
      </c>
      <c r="AY335" s="46"/>
      <c r="AZ335" s="57"/>
    </row>
    <row r="336" spans="1:52" ht="15.5" x14ac:dyDescent="0.35">
      <c r="A336" s="51">
        <f t="shared" si="94"/>
        <v>1</v>
      </c>
      <c r="B336" s="52"/>
      <c r="C336" s="52"/>
      <c r="D336" s="29" t="str">
        <f>IFERROR(
IF(AND(OR(Planilla!B336="C",Planilla!B336="c"), VLOOKUP(E336,[1]Diccionario!B:N,13,0)="C"), "OK",IF(AND(OR(Planilla!B336="C",Planilla!B336="c"), OR(VLOOKUP(E336,[1]Diccionario!B:N,13,0)="B", VLOOKUP(E336,[1]Diccionario!B:N,13,0)="A")), "DEFICIT",IF(
AND(OR(Planilla!B336="B", Planilla!B336="BPAL"), VLOOKUP(E336,[1]Diccionario!B:N,13,0)="B"), "OK",IF(AND(OR(Planilla!B336="B", Planilla!B336="BPAL"), VLOOKUP(E336,[1]Diccionario!B:N,13,0)="A"), "DEFICIT",IF(AND(OR(Planilla!B336="B", Planilla!B336="BPAL"), VLOOKUP(E336,[1]Diccionario!B:N,13,0)="C"), "SOBREOFERTA",IF(AND(Planilla!B336="A", VLOOKUP(E336,[1]Diccionario!B:N,13,0)="A"), "OK",IF(
AND(Planilla!B336="A", OR(VLOOKUP(E336,[1]Diccionario!B:N,13,0)="B", VLOOKUP(E336,[1]Diccionario!B:N,13,0)="C")), "SOBREOFERTA",""
))))))),"")</f>
        <v/>
      </c>
      <c r="E336" s="48"/>
      <c r="F336" s="53"/>
      <c r="G336" s="54"/>
      <c r="H336" s="55" t="str">
        <f t="shared" si="87"/>
        <v/>
      </c>
      <c r="I336" s="35"/>
      <c r="J336" s="34" t="e">
        <f>IF(A336&lt;&gt;"",HLOOKUP(VALUE(TEXT(G336,"h:mm:ss")),IF($C$6="Laboral",[1]Input!$A$4:$Y$227,IF($C$6="Sábado",[1]Input!$A$231:$Y$452,[1]Input!$A$456:$Y$656)),VLOOKUP($C$4,[1]Input!$AG$2:$AI$99,3,0)+IF(C$5="Ida",0,1),1),"")</f>
        <v>#N/A</v>
      </c>
      <c r="K336" s="34" t="str">
        <f>IF(A337&lt;&gt;A336,AVERAGEIF(A$9:A336,A336,J$13:J336),"")</f>
        <v/>
      </c>
      <c r="L336" s="35" t="str">
        <f>IFERROR(IF(A337&lt;&gt;A336,AVERAGEIF(A$9:A336,A336,S$13:S336),""),"")</f>
        <v/>
      </c>
      <c r="M336" s="35" t="str">
        <f>IFERROR(IF(A337&lt;&gt;A336,AVERAGEIF(A$9:A336,A336,T$8:T336),""),"")</f>
        <v/>
      </c>
      <c r="N336" s="35" t="str" cm="1">
        <f t="array" ref="N336">IFERROR(IF(A337&lt;&gt;A336,_xlfn.STDEV.P(IF(A$9:A336=A336,T$7:T336)),""),"")</f>
        <v/>
      </c>
      <c r="O336" s="35" t="str" cm="1">
        <f t="array" ref="O336">IFERROR(IF(A337&lt;&gt;A336,_xlfn.STDEV.P(IF(A$9:A336=A336,S$7:S336)),""),"")</f>
        <v/>
      </c>
      <c r="P336" s="36" t="str">
        <f t="shared" si="80"/>
        <v/>
      </c>
      <c r="Q336" s="36" t="str">
        <f t="shared" si="81"/>
        <v/>
      </c>
      <c r="R336" s="36" t="str">
        <f t="shared" si="88"/>
        <v/>
      </c>
      <c r="S336" s="37" t="str">
        <f t="shared" si="89"/>
        <v/>
      </c>
      <c r="T336" s="37" t="str">
        <f t="shared" si="82"/>
        <v/>
      </c>
      <c r="U336" s="54"/>
      <c r="V336" s="46"/>
      <c r="W336" s="39" t="str">
        <f t="shared" si="90"/>
        <v/>
      </c>
      <c r="X336" s="38"/>
      <c r="Y336" s="48"/>
      <c r="AB336" s="56">
        <f t="shared" si="91"/>
        <v>1</v>
      </c>
      <c r="AC336" s="52"/>
      <c r="AD336" s="52"/>
      <c r="AE336" s="29" t="str">
        <f>IFERROR(
IF(AND(OR(AC336="C",AC336="c"), VLOOKUP(AF336,[1]Diccionario!B:N,13,0)="C"), "OK",IF(AND(OR(AC336="C",AC336="c"), OR(VLOOKUP(AF336,[1]Diccionario!B:N,13,0)="B", VLOOKUP(AF336,[1]Diccionario!B:N,13,0)="A")), "DEFICIT",IF(
AND(OR(AC336="B", AC336="BPAL"), VLOOKUP(AF336,[1]Diccionario!B:N,13,0)="B"), "OK",IF(AND(OR(AC336="B", AC336="BPAL"), VLOOKUP(AF336,[1]Diccionario!B:N,13,0)="A"), "DEFICIT",IF(AND(OR(AC336="B", AC336="BPAL"), VLOOKUP(AF336,[1]Diccionario!B:N,13,0)="C"), "SOBREOFERTA",IF(AND(AC336="A", VLOOKUP(AF336,[1]Diccionario!B:N,13,0)="A"), "OK",IF(
AND(AC336="A", OR(VLOOKUP(AF336,[1]Diccionario!B:N,13,0)="B", VLOOKUP(AF336,[1]Diccionario!B:N,13,0)="C")), "SOBREOFERTA",""
))))))),"")</f>
        <v/>
      </c>
      <c r="AF336" s="48"/>
      <c r="AG336" s="53"/>
      <c r="AH336" s="54"/>
      <c r="AI336" s="55" t="str">
        <f t="shared" si="92"/>
        <v/>
      </c>
      <c r="AJ336" s="46"/>
      <c r="AK336" s="34" t="e">
        <f>IF(AB336&lt;&gt;"",HLOOKUP(VALUE(TEXT(AH336,"h:mm:ss")),IF($C$6="Laboral",[1]Input!$A$4:$Y$227,IF($C$6="Sábado",[1]Input!$A$231:$Y$452,[1]Input!$A$456:$Y$656)),VLOOKUP($C$4,[1]Input!$AG$2:$AI$99,3,0)+IF(AD$5="Ida",0,1),1),"")</f>
        <v>#N/A</v>
      </c>
      <c r="AL336" s="34" t="str">
        <f>IF(AB337&lt;&gt;AB336,AVERAGEIF(AB$9:AB336,AB336,AK$9:AK336),"")</f>
        <v/>
      </c>
      <c r="AM336" s="35" t="str">
        <f>IFERROR(IF(AB337&lt;&gt;AB336,AVERAGEIF(AB$9:AB336,AB336,AT$9:AT336),""),"")</f>
        <v/>
      </c>
      <c r="AN336" s="35" t="str">
        <f>IFERROR(IF(AB337&lt;&gt;AB336,AVERAGEIF(AB$9:AB336,AB336,AU$9:AU336),""),"")</f>
        <v/>
      </c>
      <c r="AO336" s="35" t="str" cm="1">
        <f t="array" ref="AO336">IFERROR(IF(AB337&lt;&gt;AB336,_xlfn.STDEV.P(IF(AB$9:AB336=AB336,AU$9:AU336)),""),"")</f>
        <v/>
      </c>
      <c r="AP336" s="35" t="str" cm="1">
        <f t="array" ref="AP336">IFERROR(IF(AB337&lt;&gt;AB336,_xlfn.STDEV.P(IF(AB$9:AB336=AB336,AT$9:AT336)),""),"")</f>
        <v/>
      </c>
      <c r="AQ336" s="36" t="str">
        <f t="shared" si="83"/>
        <v/>
      </c>
      <c r="AR336" s="36" t="str">
        <f t="shared" si="84"/>
        <v/>
      </c>
      <c r="AS336" s="36" t="str">
        <f t="shared" si="93"/>
        <v/>
      </c>
      <c r="AT336" s="37" t="str">
        <f t="shared" si="85"/>
        <v/>
      </c>
      <c r="AU336" s="37" t="str">
        <f t="shared" si="86"/>
        <v/>
      </c>
      <c r="AV336" s="54"/>
      <c r="AW336" s="46"/>
      <c r="AX336" s="39" t="str" cm="1">
        <f t="array" ref="AX336">IF(AH336&lt;&gt;"",IF(AND(AX334:AX335&lt;&gt;"IE",AQ336&lt;&gt;0,AS336&lt;&gt;""),IF(IFERROR((AQ336/AS336),0) &lt;=1,IFERROR(AQ336/AS336,""),1),""),"")</f>
        <v/>
      </c>
      <c r="AY336" s="46"/>
      <c r="AZ336" s="57"/>
    </row>
    <row r="337" spans="1:52" ht="15.5" x14ac:dyDescent="0.35">
      <c r="A337" s="51">
        <f t="shared" si="94"/>
        <v>1</v>
      </c>
      <c r="B337" s="52"/>
      <c r="C337" s="52"/>
      <c r="D337" s="29" t="str">
        <f>IFERROR(
IF(AND(OR(Planilla!B337="C",Planilla!B337="c"), VLOOKUP(E337,[1]Diccionario!B:N,13,0)="C"), "OK",IF(AND(OR(Planilla!B337="C",Planilla!B337="c"), OR(VLOOKUP(E337,[1]Diccionario!B:N,13,0)="B", VLOOKUP(E337,[1]Diccionario!B:N,13,0)="A")), "DEFICIT",IF(
AND(OR(Planilla!B337="B", Planilla!B337="BPAL"), VLOOKUP(E337,[1]Diccionario!B:N,13,0)="B"), "OK",IF(AND(OR(Planilla!B337="B", Planilla!B337="BPAL"), VLOOKUP(E337,[1]Diccionario!B:N,13,0)="A"), "DEFICIT",IF(AND(OR(Planilla!B337="B", Planilla!B337="BPAL"), VLOOKUP(E337,[1]Diccionario!B:N,13,0)="C"), "SOBREOFERTA",IF(AND(Planilla!B337="A", VLOOKUP(E337,[1]Diccionario!B:N,13,0)="A"), "OK",IF(
AND(Planilla!B337="A", OR(VLOOKUP(E337,[1]Diccionario!B:N,13,0)="B", VLOOKUP(E337,[1]Diccionario!B:N,13,0)="C")), "SOBREOFERTA",""
))))))),"")</f>
        <v/>
      </c>
      <c r="E337" s="48"/>
      <c r="F337" s="53"/>
      <c r="G337" s="54"/>
      <c r="H337" s="55" t="str">
        <f t="shared" si="87"/>
        <v/>
      </c>
      <c r="I337" s="35"/>
      <c r="J337" s="34" t="e">
        <f>IF(A337&lt;&gt;"",HLOOKUP(VALUE(TEXT(G337,"h:mm:ss")),IF($C$6="Laboral",[1]Input!$A$4:$Y$227,IF($C$6="Sábado",[1]Input!$A$231:$Y$452,[1]Input!$A$456:$Y$656)),VLOOKUP($C$4,[1]Input!$AG$2:$AI$99,3,0)+IF(C$5="Ida",0,1),1),"")</f>
        <v>#N/A</v>
      </c>
      <c r="K337" s="34" t="str">
        <f>IF(A338&lt;&gt;A337,AVERAGEIF(A$9:A337,A337,J$13:J337),"")</f>
        <v/>
      </c>
      <c r="L337" s="35" t="str">
        <f>IFERROR(IF(A338&lt;&gt;A337,AVERAGEIF(A$9:A337,A337,S$13:S337),""),"")</f>
        <v/>
      </c>
      <c r="M337" s="35" t="str">
        <f>IFERROR(IF(A338&lt;&gt;A337,AVERAGEIF(A$9:A337,A337,T$8:T337),""),"")</f>
        <v/>
      </c>
      <c r="N337" s="35" t="str" cm="1">
        <f t="array" ref="N337">IFERROR(IF(A338&lt;&gt;A337,_xlfn.STDEV.P(IF(A$9:A337=A337,T$7:T337)),""),"")</f>
        <v/>
      </c>
      <c r="O337" s="35" t="str" cm="1">
        <f t="array" ref="O337">IFERROR(IF(A338&lt;&gt;A337,_xlfn.STDEV.P(IF(A$9:A337=A337,S$7:S337)),""),"")</f>
        <v/>
      </c>
      <c r="P337" s="36" t="str">
        <f t="shared" si="80"/>
        <v/>
      </c>
      <c r="Q337" s="36" t="str">
        <f t="shared" si="81"/>
        <v/>
      </c>
      <c r="R337" s="36" t="str">
        <f t="shared" si="88"/>
        <v/>
      </c>
      <c r="S337" s="37" t="str">
        <f t="shared" si="89"/>
        <v/>
      </c>
      <c r="T337" s="37" t="str">
        <f t="shared" si="82"/>
        <v/>
      </c>
      <c r="U337" s="54"/>
      <c r="V337" s="46"/>
      <c r="W337" s="39" t="str">
        <f t="shared" si="90"/>
        <v/>
      </c>
      <c r="X337" s="38"/>
      <c r="Y337" s="48"/>
      <c r="AB337" s="56">
        <f t="shared" si="91"/>
        <v>1</v>
      </c>
      <c r="AC337" s="52"/>
      <c r="AD337" s="52"/>
      <c r="AE337" s="29" t="str">
        <f>IFERROR(
IF(AND(OR(AC337="C",AC337="c"), VLOOKUP(AF337,[1]Diccionario!B:N,13,0)="C"), "OK",IF(AND(OR(AC337="C",AC337="c"), OR(VLOOKUP(AF337,[1]Diccionario!B:N,13,0)="B", VLOOKUP(AF337,[1]Diccionario!B:N,13,0)="A")), "DEFICIT",IF(
AND(OR(AC337="B", AC337="BPAL"), VLOOKUP(AF337,[1]Diccionario!B:N,13,0)="B"), "OK",IF(AND(OR(AC337="B", AC337="BPAL"), VLOOKUP(AF337,[1]Diccionario!B:N,13,0)="A"), "DEFICIT",IF(AND(OR(AC337="B", AC337="BPAL"), VLOOKUP(AF337,[1]Diccionario!B:N,13,0)="C"), "SOBREOFERTA",IF(AND(AC337="A", VLOOKUP(AF337,[1]Diccionario!B:N,13,0)="A"), "OK",IF(
AND(AC337="A", OR(VLOOKUP(AF337,[1]Diccionario!B:N,13,0)="B", VLOOKUP(AF337,[1]Diccionario!B:N,13,0)="C")), "SOBREOFERTA",""
))))))),"")</f>
        <v/>
      </c>
      <c r="AF337" s="48"/>
      <c r="AG337" s="53"/>
      <c r="AH337" s="54"/>
      <c r="AI337" s="55" t="str">
        <f t="shared" si="92"/>
        <v/>
      </c>
      <c r="AJ337" s="46"/>
      <c r="AK337" s="34" t="e">
        <f>IF(AB337&lt;&gt;"",HLOOKUP(VALUE(TEXT(AH337,"h:mm:ss")),IF($C$6="Laboral",[1]Input!$A$4:$Y$227,IF($C$6="Sábado",[1]Input!$A$231:$Y$452,[1]Input!$A$456:$Y$656)),VLOOKUP($C$4,[1]Input!$AG$2:$AI$99,3,0)+IF(AD$5="Ida",0,1),1),"")</f>
        <v>#N/A</v>
      </c>
      <c r="AL337" s="34" t="str">
        <f>IF(AB338&lt;&gt;AB337,AVERAGEIF(AB$9:AB337,AB337,AK$9:AK337),"")</f>
        <v/>
      </c>
      <c r="AM337" s="35" t="str">
        <f>IFERROR(IF(AB338&lt;&gt;AB337,AVERAGEIF(AB$9:AB337,AB337,AT$9:AT337),""),"")</f>
        <v/>
      </c>
      <c r="AN337" s="35" t="str">
        <f>IFERROR(IF(AB338&lt;&gt;AB337,AVERAGEIF(AB$9:AB337,AB337,AU$9:AU337),""),"")</f>
        <v/>
      </c>
      <c r="AO337" s="35" t="str" cm="1">
        <f t="array" ref="AO337">IFERROR(IF(AB338&lt;&gt;AB337,_xlfn.STDEV.P(IF(AB$9:AB337=AB337,AU$9:AU337)),""),"")</f>
        <v/>
      </c>
      <c r="AP337" s="35" t="str" cm="1">
        <f t="array" ref="AP337">IFERROR(IF(AB338&lt;&gt;AB337,_xlfn.STDEV.P(IF(AB$9:AB337=AB337,AT$9:AT337)),""),"")</f>
        <v/>
      </c>
      <c r="AQ337" s="36" t="str">
        <f t="shared" si="83"/>
        <v/>
      </c>
      <c r="AR337" s="36" t="str">
        <f t="shared" si="84"/>
        <v/>
      </c>
      <c r="AS337" s="36" t="str">
        <f t="shared" si="93"/>
        <v/>
      </c>
      <c r="AT337" s="37" t="str">
        <f t="shared" si="85"/>
        <v/>
      </c>
      <c r="AU337" s="37" t="str">
        <f t="shared" si="86"/>
        <v/>
      </c>
      <c r="AV337" s="54"/>
      <c r="AW337" s="46"/>
      <c r="AX337" s="39" t="str" cm="1">
        <f t="array" ref="AX337">IF(AH337&lt;&gt;"",IF(AND(AX335:AX336&lt;&gt;"IE",AQ337&lt;&gt;0,AS337&lt;&gt;""),IF(IFERROR((AQ337/AS337),0) &lt;=1,IFERROR(AQ337/AS337,""),1),""),"")</f>
        <v/>
      </c>
      <c r="AY337" s="46"/>
      <c r="AZ337" s="57"/>
    </row>
    <row r="338" spans="1:52" ht="15.5" x14ac:dyDescent="0.35">
      <c r="A338" s="51">
        <f t="shared" si="94"/>
        <v>1</v>
      </c>
      <c r="B338" s="52"/>
      <c r="C338" s="52"/>
      <c r="D338" s="29" t="str">
        <f>IFERROR(
IF(AND(OR(Planilla!B338="C",Planilla!B338="c"), VLOOKUP(E338,[1]Diccionario!B:N,13,0)="C"), "OK",IF(AND(OR(Planilla!B338="C",Planilla!B338="c"), OR(VLOOKUP(E338,[1]Diccionario!B:N,13,0)="B", VLOOKUP(E338,[1]Diccionario!B:N,13,0)="A")), "DEFICIT",IF(
AND(OR(Planilla!B338="B", Planilla!B338="BPAL"), VLOOKUP(E338,[1]Diccionario!B:N,13,0)="B"), "OK",IF(AND(OR(Planilla!B338="B", Planilla!B338="BPAL"), VLOOKUP(E338,[1]Diccionario!B:N,13,0)="A"), "DEFICIT",IF(AND(OR(Planilla!B338="B", Planilla!B338="BPAL"), VLOOKUP(E338,[1]Diccionario!B:N,13,0)="C"), "SOBREOFERTA",IF(AND(Planilla!B338="A", VLOOKUP(E338,[1]Diccionario!B:N,13,0)="A"), "OK",IF(
AND(Planilla!B338="A", OR(VLOOKUP(E338,[1]Diccionario!B:N,13,0)="B", VLOOKUP(E338,[1]Diccionario!B:N,13,0)="C")), "SOBREOFERTA",""
))))))),"")</f>
        <v/>
      </c>
      <c r="E338" s="48"/>
      <c r="F338" s="53"/>
      <c r="G338" s="54"/>
      <c r="H338" s="55" t="str">
        <f t="shared" si="87"/>
        <v/>
      </c>
      <c r="I338" s="35"/>
      <c r="J338" s="34" t="e">
        <f>IF(A338&lt;&gt;"",HLOOKUP(VALUE(TEXT(G338,"h:mm:ss")),IF($C$6="Laboral",[1]Input!$A$4:$Y$227,IF($C$6="Sábado",[1]Input!$A$231:$Y$452,[1]Input!$A$456:$Y$656)),VLOOKUP($C$4,[1]Input!$AG$2:$AI$99,3,0)+IF(C$5="Ida",0,1),1),"")</f>
        <v>#N/A</v>
      </c>
      <c r="K338" s="34" t="str">
        <f>IF(A339&lt;&gt;A338,AVERAGEIF(A$9:A338,A338,J$13:J338),"")</f>
        <v/>
      </c>
      <c r="L338" s="35" t="str">
        <f>IFERROR(IF(A339&lt;&gt;A338,AVERAGEIF(A$9:A338,A338,S$13:S338),""),"")</f>
        <v/>
      </c>
      <c r="M338" s="35" t="str">
        <f>IFERROR(IF(A339&lt;&gt;A338,AVERAGEIF(A$9:A338,A338,T$8:T338),""),"")</f>
        <v/>
      </c>
      <c r="N338" s="35" t="str" cm="1">
        <f t="array" ref="N338">IFERROR(IF(A339&lt;&gt;A338,_xlfn.STDEV.P(IF(A$9:A338=A338,T$7:T338)),""),"")</f>
        <v/>
      </c>
      <c r="O338" s="35" t="str" cm="1">
        <f t="array" ref="O338">IFERROR(IF(A339&lt;&gt;A338,_xlfn.STDEV.P(IF(A$9:A338=A338,S$7:S338)),""),"")</f>
        <v/>
      </c>
      <c r="P338" s="36" t="str">
        <f t="shared" si="80"/>
        <v/>
      </c>
      <c r="Q338" s="36" t="str">
        <f t="shared" si="81"/>
        <v/>
      </c>
      <c r="R338" s="36" t="str">
        <f t="shared" si="88"/>
        <v/>
      </c>
      <c r="S338" s="37" t="str">
        <f t="shared" si="89"/>
        <v/>
      </c>
      <c r="T338" s="37" t="str">
        <f t="shared" si="82"/>
        <v/>
      </c>
      <c r="U338" s="54"/>
      <c r="V338" s="46"/>
      <c r="W338" s="39" t="str">
        <f t="shared" si="90"/>
        <v/>
      </c>
      <c r="X338" s="38"/>
      <c r="Y338" s="48"/>
      <c r="AB338" s="56">
        <f t="shared" si="91"/>
        <v>1</v>
      </c>
      <c r="AC338" s="52"/>
      <c r="AD338" s="52"/>
      <c r="AE338" s="29" t="str">
        <f>IFERROR(
IF(AND(OR(AC338="C",AC338="c"), VLOOKUP(AF338,[1]Diccionario!B:N,13,0)="C"), "OK",IF(AND(OR(AC338="C",AC338="c"), OR(VLOOKUP(AF338,[1]Diccionario!B:N,13,0)="B", VLOOKUP(AF338,[1]Diccionario!B:N,13,0)="A")), "DEFICIT",IF(
AND(OR(AC338="B", AC338="BPAL"), VLOOKUP(AF338,[1]Diccionario!B:N,13,0)="B"), "OK",IF(AND(OR(AC338="B", AC338="BPAL"), VLOOKUP(AF338,[1]Diccionario!B:N,13,0)="A"), "DEFICIT",IF(AND(OR(AC338="B", AC338="BPAL"), VLOOKUP(AF338,[1]Diccionario!B:N,13,0)="C"), "SOBREOFERTA",IF(AND(AC338="A", VLOOKUP(AF338,[1]Diccionario!B:N,13,0)="A"), "OK",IF(
AND(AC338="A", OR(VLOOKUP(AF338,[1]Diccionario!B:N,13,0)="B", VLOOKUP(AF338,[1]Diccionario!B:N,13,0)="C")), "SOBREOFERTA",""
))))))),"")</f>
        <v/>
      </c>
      <c r="AF338" s="48"/>
      <c r="AG338" s="53"/>
      <c r="AH338" s="54"/>
      <c r="AI338" s="55" t="str">
        <f t="shared" si="92"/>
        <v/>
      </c>
      <c r="AJ338" s="46"/>
      <c r="AK338" s="34" t="e">
        <f>IF(AB338&lt;&gt;"",HLOOKUP(VALUE(TEXT(AH338,"h:mm:ss")),IF($C$6="Laboral",[1]Input!$A$4:$Y$227,IF($C$6="Sábado",[1]Input!$A$231:$Y$452,[1]Input!$A$456:$Y$656)),VLOOKUP($C$4,[1]Input!$AG$2:$AI$99,3,0)+IF(AD$5="Ida",0,1),1),"")</f>
        <v>#N/A</v>
      </c>
      <c r="AL338" s="34" t="str">
        <f>IF(AB339&lt;&gt;AB338,AVERAGEIF(AB$9:AB338,AB338,AK$9:AK338),"")</f>
        <v/>
      </c>
      <c r="AM338" s="35" t="str">
        <f>IFERROR(IF(AB339&lt;&gt;AB338,AVERAGEIF(AB$9:AB338,AB338,AT$9:AT338),""),"")</f>
        <v/>
      </c>
      <c r="AN338" s="35" t="str">
        <f>IFERROR(IF(AB339&lt;&gt;AB338,AVERAGEIF(AB$9:AB338,AB338,AU$9:AU338),""),"")</f>
        <v/>
      </c>
      <c r="AO338" s="35" t="str" cm="1">
        <f t="array" ref="AO338">IFERROR(IF(AB339&lt;&gt;AB338,_xlfn.STDEV.P(IF(AB$9:AB338=AB338,AU$9:AU338)),""),"")</f>
        <v/>
      </c>
      <c r="AP338" s="35" t="str" cm="1">
        <f t="array" ref="AP338">IFERROR(IF(AB339&lt;&gt;AB338,_xlfn.STDEV.P(IF(AB$9:AB338=AB338,AT$9:AT338)),""),"")</f>
        <v/>
      </c>
      <c r="AQ338" s="36" t="str">
        <f t="shared" si="83"/>
        <v/>
      </c>
      <c r="AR338" s="36" t="str">
        <f t="shared" si="84"/>
        <v/>
      </c>
      <c r="AS338" s="36" t="str">
        <f t="shared" si="93"/>
        <v/>
      </c>
      <c r="AT338" s="37" t="str">
        <f t="shared" si="85"/>
        <v/>
      </c>
      <c r="AU338" s="37" t="str">
        <f t="shared" si="86"/>
        <v/>
      </c>
      <c r="AV338" s="54"/>
      <c r="AW338" s="46"/>
      <c r="AX338" s="39" t="str" cm="1">
        <f t="array" ref="AX338">IF(AH338&lt;&gt;"",IF(AND(AX336:AX337&lt;&gt;"IE",AQ338&lt;&gt;0,AS338&lt;&gt;""),IF(IFERROR((AQ338/AS338),0) &lt;=1,IFERROR(AQ338/AS338,""),1),""),"")</f>
        <v/>
      </c>
      <c r="AY338" s="46"/>
      <c r="AZ338" s="57"/>
    </row>
    <row r="339" spans="1:52" ht="15.5" x14ac:dyDescent="0.35">
      <c r="A339" s="51">
        <f t="shared" si="94"/>
        <v>1</v>
      </c>
      <c r="B339" s="52"/>
      <c r="C339" s="52"/>
      <c r="D339" s="29" t="str">
        <f>IFERROR(
IF(AND(OR(Planilla!B339="C",Planilla!B339="c"), VLOOKUP(E339,[1]Diccionario!B:N,13,0)="C"), "OK",IF(AND(OR(Planilla!B339="C",Planilla!B339="c"), OR(VLOOKUP(E339,[1]Diccionario!B:N,13,0)="B", VLOOKUP(E339,[1]Diccionario!B:N,13,0)="A")), "DEFICIT",IF(
AND(OR(Planilla!B339="B", Planilla!B339="BPAL"), VLOOKUP(E339,[1]Diccionario!B:N,13,0)="B"), "OK",IF(AND(OR(Planilla!B339="B", Planilla!B339="BPAL"), VLOOKUP(E339,[1]Diccionario!B:N,13,0)="A"), "DEFICIT",IF(AND(OR(Planilla!B339="B", Planilla!B339="BPAL"), VLOOKUP(E339,[1]Diccionario!B:N,13,0)="C"), "SOBREOFERTA",IF(AND(Planilla!B339="A", VLOOKUP(E339,[1]Diccionario!B:N,13,0)="A"), "OK",IF(
AND(Planilla!B339="A", OR(VLOOKUP(E339,[1]Diccionario!B:N,13,0)="B", VLOOKUP(E339,[1]Diccionario!B:N,13,0)="C")), "SOBREOFERTA",""
))))))),"")</f>
        <v/>
      </c>
      <c r="E339" s="48"/>
      <c r="F339" s="53"/>
      <c r="G339" s="54"/>
      <c r="H339" s="55" t="str">
        <f t="shared" si="87"/>
        <v/>
      </c>
      <c r="I339" s="35"/>
      <c r="J339" s="34" t="e">
        <f>IF(A339&lt;&gt;"",HLOOKUP(VALUE(TEXT(G339,"h:mm:ss")),IF($C$6="Laboral",[1]Input!$A$4:$Y$227,IF($C$6="Sábado",[1]Input!$A$231:$Y$452,[1]Input!$A$456:$Y$656)),VLOOKUP($C$4,[1]Input!$AG$2:$AI$99,3,0)+IF(C$5="Ida",0,1),1),"")</f>
        <v>#N/A</v>
      </c>
      <c r="K339" s="34" t="str">
        <f>IF(A340&lt;&gt;A339,AVERAGEIF(A$9:A339,A339,J$13:J339),"")</f>
        <v/>
      </c>
      <c r="L339" s="35" t="str">
        <f>IFERROR(IF(A340&lt;&gt;A339,AVERAGEIF(A$9:A339,A339,S$13:S339),""),"")</f>
        <v/>
      </c>
      <c r="M339" s="35" t="str">
        <f>IFERROR(IF(A340&lt;&gt;A339,AVERAGEIF(A$9:A339,A339,T$8:T339),""),"")</f>
        <v/>
      </c>
      <c r="N339" s="35" t="str" cm="1">
        <f t="array" ref="N339">IFERROR(IF(A340&lt;&gt;A339,_xlfn.STDEV.P(IF(A$9:A339=A339,T$7:T339)),""),"")</f>
        <v/>
      </c>
      <c r="O339" s="35" t="str" cm="1">
        <f t="array" ref="O339">IFERROR(IF(A340&lt;&gt;A339,_xlfn.STDEV.P(IF(A$9:A339=A339,S$7:S339)),""),"")</f>
        <v/>
      </c>
      <c r="P339" s="36" t="str">
        <f t="shared" si="80"/>
        <v/>
      </c>
      <c r="Q339" s="36" t="str">
        <f t="shared" si="81"/>
        <v/>
      </c>
      <c r="R339" s="36" t="str">
        <f t="shared" si="88"/>
        <v/>
      </c>
      <c r="S339" s="37" t="str">
        <f t="shared" si="89"/>
        <v/>
      </c>
      <c r="T339" s="37" t="str">
        <f t="shared" si="82"/>
        <v/>
      </c>
      <c r="U339" s="54"/>
      <c r="V339" s="46"/>
      <c r="W339" s="39" t="str">
        <f t="shared" si="90"/>
        <v/>
      </c>
      <c r="X339" s="38"/>
      <c r="Y339" s="48"/>
      <c r="AB339" s="56">
        <f t="shared" si="91"/>
        <v>1</v>
      </c>
      <c r="AC339" s="52"/>
      <c r="AD339" s="52"/>
      <c r="AE339" s="29" t="str">
        <f>IFERROR(
IF(AND(OR(AC339="C",AC339="c"), VLOOKUP(AF339,[1]Diccionario!B:N,13,0)="C"), "OK",IF(AND(OR(AC339="C",AC339="c"), OR(VLOOKUP(AF339,[1]Diccionario!B:N,13,0)="B", VLOOKUP(AF339,[1]Diccionario!B:N,13,0)="A")), "DEFICIT",IF(
AND(OR(AC339="B", AC339="BPAL"), VLOOKUP(AF339,[1]Diccionario!B:N,13,0)="B"), "OK",IF(AND(OR(AC339="B", AC339="BPAL"), VLOOKUP(AF339,[1]Diccionario!B:N,13,0)="A"), "DEFICIT",IF(AND(OR(AC339="B", AC339="BPAL"), VLOOKUP(AF339,[1]Diccionario!B:N,13,0)="C"), "SOBREOFERTA",IF(AND(AC339="A", VLOOKUP(AF339,[1]Diccionario!B:N,13,0)="A"), "OK",IF(
AND(AC339="A", OR(VLOOKUP(AF339,[1]Diccionario!B:N,13,0)="B", VLOOKUP(AF339,[1]Diccionario!B:N,13,0)="C")), "SOBREOFERTA",""
))))))),"")</f>
        <v/>
      </c>
      <c r="AF339" s="48"/>
      <c r="AG339" s="53"/>
      <c r="AH339" s="54"/>
      <c r="AI339" s="55" t="str">
        <f t="shared" si="92"/>
        <v/>
      </c>
      <c r="AJ339" s="46"/>
      <c r="AK339" s="34" t="e">
        <f>IF(AB339&lt;&gt;"",HLOOKUP(VALUE(TEXT(AH339,"h:mm:ss")),IF($C$6="Laboral",[1]Input!$A$4:$Y$227,IF($C$6="Sábado",[1]Input!$A$231:$Y$452,[1]Input!$A$456:$Y$656)),VLOOKUP($C$4,[1]Input!$AG$2:$AI$99,3,0)+IF(AD$5="Ida",0,1),1),"")</f>
        <v>#N/A</v>
      </c>
      <c r="AL339" s="34" t="str">
        <f>IF(AB340&lt;&gt;AB339,AVERAGEIF(AB$9:AB339,AB339,AK$9:AK339),"")</f>
        <v/>
      </c>
      <c r="AM339" s="35" t="str">
        <f>IFERROR(IF(AB340&lt;&gt;AB339,AVERAGEIF(AB$9:AB339,AB339,AT$9:AT339),""),"")</f>
        <v/>
      </c>
      <c r="AN339" s="35" t="str">
        <f>IFERROR(IF(AB340&lt;&gt;AB339,AVERAGEIF(AB$9:AB339,AB339,AU$9:AU339),""),"")</f>
        <v/>
      </c>
      <c r="AO339" s="35" t="str" cm="1">
        <f t="array" ref="AO339">IFERROR(IF(AB340&lt;&gt;AB339,_xlfn.STDEV.P(IF(AB$9:AB339=AB339,AU$9:AU339)),""),"")</f>
        <v/>
      </c>
      <c r="AP339" s="35" t="str" cm="1">
        <f t="array" ref="AP339">IFERROR(IF(AB340&lt;&gt;AB339,_xlfn.STDEV.P(IF(AB$9:AB339=AB339,AT$9:AT339)),""),"")</f>
        <v/>
      </c>
      <c r="AQ339" s="36" t="str">
        <f t="shared" si="83"/>
        <v/>
      </c>
      <c r="AR339" s="36" t="str">
        <f t="shared" si="84"/>
        <v/>
      </c>
      <c r="AS339" s="36" t="str">
        <f t="shared" si="93"/>
        <v/>
      </c>
      <c r="AT339" s="37" t="str">
        <f t="shared" si="85"/>
        <v/>
      </c>
      <c r="AU339" s="37" t="str">
        <f t="shared" si="86"/>
        <v/>
      </c>
      <c r="AV339" s="54"/>
      <c r="AW339" s="46"/>
      <c r="AX339" s="39" t="str" cm="1">
        <f t="array" ref="AX339">IF(AH339&lt;&gt;"",IF(AND(AX337:AX338&lt;&gt;"IE",AQ339&lt;&gt;0,AS339&lt;&gt;""),IF(IFERROR((AQ339/AS339),0) &lt;=1,IFERROR(AQ339/AS339,""),1),""),"")</f>
        <v/>
      </c>
      <c r="AY339" s="46"/>
      <c r="AZ339" s="57"/>
    </row>
    <row r="340" spans="1:52" ht="15.5" x14ac:dyDescent="0.35">
      <c r="A340" s="51">
        <f t="shared" si="94"/>
        <v>1</v>
      </c>
      <c r="B340" s="52"/>
      <c r="C340" s="52"/>
      <c r="D340" s="29" t="str">
        <f>IFERROR(
IF(AND(OR(Planilla!B340="C",Planilla!B340="c"), VLOOKUP(E340,[1]Diccionario!B:N,13,0)="C"), "OK",IF(AND(OR(Planilla!B340="C",Planilla!B340="c"), OR(VLOOKUP(E340,[1]Diccionario!B:N,13,0)="B", VLOOKUP(E340,[1]Diccionario!B:N,13,0)="A")), "DEFICIT",IF(
AND(OR(Planilla!B340="B", Planilla!B340="BPAL"), VLOOKUP(E340,[1]Diccionario!B:N,13,0)="B"), "OK",IF(AND(OR(Planilla!B340="B", Planilla!B340="BPAL"), VLOOKUP(E340,[1]Diccionario!B:N,13,0)="A"), "DEFICIT",IF(AND(OR(Planilla!B340="B", Planilla!B340="BPAL"), VLOOKUP(E340,[1]Diccionario!B:N,13,0)="C"), "SOBREOFERTA",IF(AND(Planilla!B340="A", VLOOKUP(E340,[1]Diccionario!B:N,13,0)="A"), "OK",IF(
AND(Planilla!B340="A", OR(VLOOKUP(E340,[1]Diccionario!B:N,13,0)="B", VLOOKUP(E340,[1]Diccionario!B:N,13,0)="C")), "SOBREOFERTA",""
))))))),"")</f>
        <v/>
      </c>
      <c r="E340" s="48"/>
      <c r="F340" s="53"/>
      <c r="G340" s="54"/>
      <c r="H340" s="55" t="str">
        <f t="shared" si="87"/>
        <v/>
      </c>
      <c r="I340" s="35"/>
      <c r="J340" s="34" t="e">
        <f>IF(A340&lt;&gt;"",HLOOKUP(VALUE(TEXT(G340,"h:mm:ss")),IF($C$6="Laboral",[1]Input!$A$4:$Y$227,IF($C$6="Sábado",[1]Input!$A$231:$Y$452,[1]Input!$A$456:$Y$656)),VLOOKUP($C$4,[1]Input!$AG$2:$AI$99,3,0)+IF(C$5="Ida",0,1),1),"")</f>
        <v>#N/A</v>
      </c>
      <c r="K340" s="34" t="str">
        <f>IF(A341&lt;&gt;A340,AVERAGEIF(A$9:A340,A340,J$13:J340),"")</f>
        <v/>
      </c>
      <c r="L340" s="35" t="str">
        <f>IFERROR(IF(A341&lt;&gt;A340,AVERAGEIF(A$9:A340,A340,S$13:S340),""),"")</f>
        <v/>
      </c>
      <c r="M340" s="35" t="str">
        <f>IFERROR(IF(A341&lt;&gt;A340,AVERAGEIF(A$9:A340,A340,T$8:T340),""),"")</f>
        <v/>
      </c>
      <c r="N340" s="35" t="str" cm="1">
        <f t="array" ref="N340">IFERROR(IF(A341&lt;&gt;A340,_xlfn.STDEV.P(IF(A$9:A340=A340,T$7:T340)),""),"")</f>
        <v/>
      </c>
      <c r="O340" s="35" t="str" cm="1">
        <f t="array" ref="O340">IFERROR(IF(A341&lt;&gt;A340,_xlfn.STDEV.P(IF(A$9:A340=A340,S$7:S340)),""),"")</f>
        <v/>
      </c>
      <c r="P340" s="36" t="str">
        <f t="shared" si="80"/>
        <v/>
      </c>
      <c r="Q340" s="36" t="str">
        <f t="shared" si="81"/>
        <v/>
      </c>
      <c r="R340" s="36" t="str">
        <f t="shared" si="88"/>
        <v/>
      </c>
      <c r="S340" s="37" t="str">
        <f t="shared" si="89"/>
        <v/>
      </c>
      <c r="T340" s="37" t="str">
        <f t="shared" si="82"/>
        <v/>
      </c>
      <c r="U340" s="54"/>
      <c r="V340" s="46"/>
      <c r="W340" s="39" t="str">
        <f t="shared" si="90"/>
        <v/>
      </c>
      <c r="X340" s="38"/>
      <c r="Y340" s="48"/>
      <c r="AB340" s="56">
        <f t="shared" si="91"/>
        <v>1</v>
      </c>
      <c r="AC340" s="52"/>
      <c r="AD340" s="52"/>
      <c r="AE340" s="29" t="str">
        <f>IFERROR(
IF(AND(OR(AC340="C",AC340="c"), VLOOKUP(AF340,[1]Diccionario!B:N,13,0)="C"), "OK",IF(AND(OR(AC340="C",AC340="c"), OR(VLOOKUP(AF340,[1]Diccionario!B:N,13,0)="B", VLOOKUP(AF340,[1]Diccionario!B:N,13,0)="A")), "DEFICIT",IF(
AND(OR(AC340="B", AC340="BPAL"), VLOOKUP(AF340,[1]Diccionario!B:N,13,0)="B"), "OK",IF(AND(OR(AC340="B", AC340="BPAL"), VLOOKUP(AF340,[1]Diccionario!B:N,13,0)="A"), "DEFICIT",IF(AND(OR(AC340="B", AC340="BPAL"), VLOOKUP(AF340,[1]Diccionario!B:N,13,0)="C"), "SOBREOFERTA",IF(AND(AC340="A", VLOOKUP(AF340,[1]Diccionario!B:N,13,0)="A"), "OK",IF(
AND(AC340="A", OR(VLOOKUP(AF340,[1]Diccionario!B:N,13,0)="B", VLOOKUP(AF340,[1]Diccionario!B:N,13,0)="C")), "SOBREOFERTA",""
))))))),"")</f>
        <v/>
      </c>
      <c r="AF340" s="48"/>
      <c r="AG340" s="53"/>
      <c r="AH340" s="54"/>
      <c r="AI340" s="55" t="str">
        <f t="shared" si="92"/>
        <v/>
      </c>
      <c r="AJ340" s="46"/>
      <c r="AK340" s="34" t="e">
        <f>IF(AB340&lt;&gt;"",HLOOKUP(VALUE(TEXT(AH340,"h:mm:ss")),IF($C$6="Laboral",[1]Input!$A$4:$Y$227,IF($C$6="Sábado",[1]Input!$A$231:$Y$452,[1]Input!$A$456:$Y$656)),VLOOKUP($C$4,[1]Input!$AG$2:$AI$99,3,0)+IF(AD$5="Ida",0,1),1),"")</f>
        <v>#N/A</v>
      </c>
      <c r="AL340" s="34" t="str">
        <f>IF(AB341&lt;&gt;AB340,AVERAGEIF(AB$9:AB340,AB340,AK$9:AK340),"")</f>
        <v/>
      </c>
      <c r="AM340" s="35" t="str">
        <f>IFERROR(IF(AB341&lt;&gt;AB340,AVERAGEIF(AB$9:AB340,AB340,AT$9:AT340),""),"")</f>
        <v/>
      </c>
      <c r="AN340" s="35" t="str">
        <f>IFERROR(IF(AB341&lt;&gt;AB340,AVERAGEIF(AB$9:AB340,AB340,AU$9:AU340),""),"")</f>
        <v/>
      </c>
      <c r="AO340" s="35" t="str" cm="1">
        <f t="array" ref="AO340">IFERROR(IF(AB341&lt;&gt;AB340,_xlfn.STDEV.P(IF(AB$9:AB340=AB340,AU$9:AU340)),""),"")</f>
        <v/>
      </c>
      <c r="AP340" s="35" t="str" cm="1">
        <f t="array" ref="AP340">IFERROR(IF(AB341&lt;&gt;AB340,_xlfn.STDEV.P(IF(AB$9:AB340=AB340,AT$9:AT340)),""),"")</f>
        <v/>
      </c>
      <c r="AQ340" s="36" t="str">
        <f t="shared" si="83"/>
        <v/>
      </c>
      <c r="AR340" s="36" t="str">
        <f t="shared" si="84"/>
        <v/>
      </c>
      <c r="AS340" s="36" t="str">
        <f t="shared" si="93"/>
        <v/>
      </c>
      <c r="AT340" s="37" t="str">
        <f t="shared" si="85"/>
        <v/>
      </c>
      <c r="AU340" s="37" t="str">
        <f t="shared" si="86"/>
        <v/>
      </c>
      <c r="AV340" s="54"/>
      <c r="AW340" s="46"/>
      <c r="AX340" s="39" t="str" cm="1">
        <f t="array" ref="AX340">IF(AH340&lt;&gt;"",IF(AND(AX338:AX339&lt;&gt;"IE",AQ340&lt;&gt;0,AS340&lt;&gt;""),IF(IFERROR((AQ340/AS340),0) &lt;=1,IFERROR(AQ340/AS340,""),1),""),"")</f>
        <v/>
      </c>
      <c r="AY340" s="46"/>
      <c r="AZ340" s="57"/>
    </row>
    <row r="341" spans="1:52" ht="15.5" x14ac:dyDescent="0.35">
      <c r="A341" s="51">
        <f t="shared" si="94"/>
        <v>1</v>
      </c>
      <c r="B341" s="52"/>
      <c r="C341" s="52"/>
      <c r="D341" s="29" t="str">
        <f>IFERROR(
IF(AND(OR(Planilla!B341="C",Planilla!B341="c"), VLOOKUP(E341,[1]Diccionario!B:N,13,0)="C"), "OK",IF(AND(OR(Planilla!B341="C",Planilla!B341="c"), OR(VLOOKUP(E341,[1]Diccionario!B:N,13,0)="B", VLOOKUP(E341,[1]Diccionario!B:N,13,0)="A")), "DEFICIT",IF(
AND(OR(Planilla!B341="B", Planilla!B341="BPAL"), VLOOKUP(E341,[1]Diccionario!B:N,13,0)="B"), "OK",IF(AND(OR(Planilla!B341="B", Planilla!B341="BPAL"), VLOOKUP(E341,[1]Diccionario!B:N,13,0)="A"), "DEFICIT",IF(AND(OR(Planilla!B341="B", Planilla!B341="BPAL"), VLOOKUP(E341,[1]Diccionario!B:N,13,0)="C"), "SOBREOFERTA",IF(AND(Planilla!B341="A", VLOOKUP(E341,[1]Diccionario!B:N,13,0)="A"), "OK",IF(
AND(Planilla!B341="A", OR(VLOOKUP(E341,[1]Diccionario!B:N,13,0)="B", VLOOKUP(E341,[1]Diccionario!B:N,13,0)="C")), "SOBREOFERTA",""
))))))),"")</f>
        <v/>
      </c>
      <c r="E341" s="48"/>
      <c r="F341" s="53"/>
      <c r="G341" s="54"/>
      <c r="H341" s="55" t="str">
        <f t="shared" si="87"/>
        <v/>
      </c>
      <c r="I341" s="35"/>
      <c r="J341" s="34" t="e">
        <f>IF(A341&lt;&gt;"",HLOOKUP(VALUE(TEXT(G341,"h:mm:ss")),IF($C$6="Laboral",[1]Input!$A$4:$Y$227,IF($C$6="Sábado",[1]Input!$A$231:$Y$452,[1]Input!$A$456:$Y$656)),VLOOKUP($C$4,[1]Input!$AG$2:$AI$99,3,0)+IF(C$5="Ida",0,1),1),"")</f>
        <v>#N/A</v>
      </c>
      <c r="K341" s="34" t="str">
        <f>IF(A342&lt;&gt;A341,AVERAGEIF(A$9:A341,A341,J$13:J341),"")</f>
        <v/>
      </c>
      <c r="L341" s="35" t="str">
        <f>IFERROR(IF(A342&lt;&gt;A341,AVERAGEIF(A$9:A341,A341,S$13:S341),""),"")</f>
        <v/>
      </c>
      <c r="M341" s="35" t="str">
        <f>IFERROR(IF(A342&lt;&gt;A341,AVERAGEIF(A$9:A341,A341,T$8:T341),""),"")</f>
        <v/>
      </c>
      <c r="N341" s="35" t="str" cm="1">
        <f t="array" ref="N341">IFERROR(IF(A342&lt;&gt;A341,_xlfn.STDEV.P(IF(A$9:A341=A341,T$7:T341)),""),"")</f>
        <v/>
      </c>
      <c r="O341" s="35" t="str" cm="1">
        <f t="array" ref="O341">IFERROR(IF(A342&lt;&gt;A341,_xlfn.STDEV.P(IF(A$9:A341=A341,S$7:S341)),""),"")</f>
        <v/>
      </c>
      <c r="P341" s="36" t="str">
        <f t="shared" si="80"/>
        <v/>
      </c>
      <c r="Q341" s="36" t="str">
        <f t="shared" si="81"/>
        <v/>
      </c>
      <c r="R341" s="36" t="str">
        <f t="shared" si="88"/>
        <v/>
      </c>
      <c r="S341" s="37" t="str">
        <f t="shared" si="89"/>
        <v/>
      </c>
      <c r="T341" s="37" t="str">
        <f t="shared" si="82"/>
        <v/>
      </c>
      <c r="U341" s="54"/>
      <c r="V341" s="46"/>
      <c r="W341" s="39" t="str">
        <f t="shared" si="90"/>
        <v/>
      </c>
      <c r="X341" s="38"/>
      <c r="Y341" s="48"/>
      <c r="AB341" s="56">
        <f t="shared" si="91"/>
        <v>1</v>
      </c>
      <c r="AC341" s="52"/>
      <c r="AD341" s="52"/>
      <c r="AE341" s="29" t="str">
        <f>IFERROR(
IF(AND(OR(AC341="C",AC341="c"), VLOOKUP(AF341,[1]Diccionario!B:N,13,0)="C"), "OK",IF(AND(OR(AC341="C",AC341="c"), OR(VLOOKUP(AF341,[1]Diccionario!B:N,13,0)="B", VLOOKUP(AF341,[1]Diccionario!B:N,13,0)="A")), "DEFICIT",IF(
AND(OR(AC341="B", AC341="BPAL"), VLOOKUP(AF341,[1]Diccionario!B:N,13,0)="B"), "OK",IF(AND(OR(AC341="B", AC341="BPAL"), VLOOKUP(AF341,[1]Diccionario!B:N,13,0)="A"), "DEFICIT",IF(AND(OR(AC341="B", AC341="BPAL"), VLOOKUP(AF341,[1]Diccionario!B:N,13,0)="C"), "SOBREOFERTA",IF(AND(AC341="A", VLOOKUP(AF341,[1]Diccionario!B:N,13,0)="A"), "OK",IF(
AND(AC341="A", OR(VLOOKUP(AF341,[1]Diccionario!B:N,13,0)="B", VLOOKUP(AF341,[1]Diccionario!B:N,13,0)="C")), "SOBREOFERTA",""
))))))),"")</f>
        <v/>
      </c>
      <c r="AF341" s="48"/>
      <c r="AG341" s="53"/>
      <c r="AH341" s="54"/>
      <c r="AI341" s="55" t="str">
        <f t="shared" si="92"/>
        <v/>
      </c>
      <c r="AJ341" s="46"/>
      <c r="AK341" s="34" t="e">
        <f>IF(AB341&lt;&gt;"",HLOOKUP(VALUE(TEXT(AH341,"h:mm:ss")),IF($C$6="Laboral",[1]Input!$A$4:$Y$227,IF($C$6="Sábado",[1]Input!$A$231:$Y$452,[1]Input!$A$456:$Y$656)),VLOOKUP($C$4,[1]Input!$AG$2:$AI$99,3,0)+IF(AD$5="Ida",0,1),1),"")</f>
        <v>#N/A</v>
      </c>
      <c r="AL341" s="34" t="str">
        <f>IF(AB342&lt;&gt;AB341,AVERAGEIF(AB$9:AB341,AB341,AK$9:AK341),"")</f>
        <v/>
      </c>
      <c r="AM341" s="35" t="str">
        <f>IFERROR(IF(AB342&lt;&gt;AB341,AVERAGEIF(AB$9:AB341,AB341,AT$9:AT341),""),"")</f>
        <v/>
      </c>
      <c r="AN341" s="35" t="str">
        <f>IFERROR(IF(AB342&lt;&gt;AB341,AVERAGEIF(AB$9:AB341,AB341,AU$9:AU341),""),"")</f>
        <v/>
      </c>
      <c r="AO341" s="35" t="str" cm="1">
        <f t="array" ref="AO341">IFERROR(IF(AB342&lt;&gt;AB341,_xlfn.STDEV.P(IF(AB$9:AB341=AB341,AU$9:AU341)),""),"")</f>
        <v/>
      </c>
      <c r="AP341" s="35" t="str" cm="1">
        <f t="array" ref="AP341">IFERROR(IF(AB342&lt;&gt;AB341,_xlfn.STDEV.P(IF(AB$9:AB341=AB341,AT$9:AT341)),""),"")</f>
        <v/>
      </c>
      <c r="AQ341" s="36" t="str">
        <f t="shared" si="83"/>
        <v/>
      </c>
      <c r="AR341" s="36" t="str">
        <f t="shared" si="84"/>
        <v/>
      </c>
      <c r="AS341" s="36" t="str">
        <f t="shared" si="93"/>
        <v/>
      </c>
      <c r="AT341" s="37" t="str">
        <f t="shared" si="85"/>
        <v/>
      </c>
      <c r="AU341" s="37" t="str">
        <f t="shared" si="86"/>
        <v/>
      </c>
      <c r="AV341" s="54"/>
      <c r="AW341" s="46"/>
      <c r="AX341" s="39" t="str" cm="1">
        <f t="array" ref="AX341">IF(AH341&lt;&gt;"",IF(AND(AX339:AX340&lt;&gt;"IE",AQ341&lt;&gt;0,AS341&lt;&gt;""),IF(IFERROR((AQ341/AS341),0) &lt;=1,IFERROR(AQ341/AS341,""),1),""),"")</f>
        <v/>
      </c>
      <c r="AY341" s="46"/>
      <c r="AZ341" s="57"/>
    </row>
    <row r="342" spans="1:52" ht="15.5" x14ac:dyDescent="0.35">
      <c r="A342" s="51">
        <f t="shared" si="94"/>
        <v>1</v>
      </c>
      <c r="B342" s="52"/>
      <c r="C342" s="52"/>
      <c r="D342" s="29" t="str">
        <f>IFERROR(
IF(AND(OR(Planilla!B342="C",Planilla!B342="c"), VLOOKUP(E342,[1]Diccionario!B:N,13,0)="C"), "OK",IF(AND(OR(Planilla!B342="C",Planilla!B342="c"), OR(VLOOKUP(E342,[1]Diccionario!B:N,13,0)="B", VLOOKUP(E342,[1]Diccionario!B:N,13,0)="A")), "DEFICIT",IF(
AND(OR(Planilla!B342="B", Planilla!B342="BPAL"), VLOOKUP(E342,[1]Diccionario!B:N,13,0)="B"), "OK",IF(AND(OR(Planilla!B342="B", Planilla!B342="BPAL"), VLOOKUP(E342,[1]Diccionario!B:N,13,0)="A"), "DEFICIT",IF(AND(OR(Planilla!B342="B", Planilla!B342="BPAL"), VLOOKUP(E342,[1]Diccionario!B:N,13,0)="C"), "SOBREOFERTA",IF(AND(Planilla!B342="A", VLOOKUP(E342,[1]Diccionario!B:N,13,0)="A"), "OK",IF(
AND(Planilla!B342="A", OR(VLOOKUP(E342,[1]Diccionario!B:N,13,0)="B", VLOOKUP(E342,[1]Diccionario!B:N,13,0)="C")), "SOBREOFERTA",""
))))))),"")</f>
        <v/>
      </c>
      <c r="E342" s="48"/>
      <c r="F342" s="53"/>
      <c r="G342" s="54"/>
      <c r="H342" s="55" t="str">
        <f t="shared" si="87"/>
        <v/>
      </c>
      <c r="I342" s="35"/>
      <c r="J342" s="34" t="e">
        <f>IF(A342&lt;&gt;"",HLOOKUP(VALUE(TEXT(G342,"h:mm:ss")),IF($C$6="Laboral",[1]Input!$A$4:$Y$227,IF($C$6="Sábado",[1]Input!$A$231:$Y$452,[1]Input!$A$456:$Y$656)),VLOOKUP($C$4,[1]Input!$AG$2:$AI$99,3,0)+IF(C$5="Ida",0,1),1),"")</f>
        <v>#N/A</v>
      </c>
      <c r="K342" s="34" t="str">
        <f>IF(A343&lt;&gt;A342,AVERAGEIF(A$9:A342,A342,J$13:J342),"")</f>
        <v/>
      </c>
      <c r="L342" s="35" t="str">
        <f>IFERROR(IF(A343&lt;&gt;A342,AVERAGEIF(A$9:A342,A342,S$13:S342),""),"")</f>
        <v/>
      </c>
      <c r="M342" s="35" t="str">
        <f>IFERROR(IF(A343&lt;&gt;A342,AVERAGEIF(A$9:A342,A342,T$8:T342),""),"")</f>
        <v/>
      </c>
      <c r="N342" s="35" t="str" cm="1">
        <f t="array" ref="N342">IFERROR(IF(A343&lt;&gt;A342,_xlfn.STDEV.P(IF(A$9:A342=A342,T$7:T342)),""),"")</f>
        <v/>
      </c>
      <c r="O342" s="35" t="str" cm="1">
        <f t="array" ref="O342">IFERROR(IF(A343&lt;&gt;A342,_xlfn.STDEV.P(IF(A$9:A342=A342,S$7:S342)),""),"")</f>
        <v/>
      </c>
      <c r="P342" s="36" t="str">
        <f t="shared" si="80"/>
        <v/>
      </c>
      <c r="Q342" s="36" t="str">
        <f t="shared" si="81"/>
        <v/>
      </c>
      <c r="R342" s="36" t="str">
        <f t="shared" si="88"/>
        <v/>
      </c>
      <c r="S342" s="37" t="str">
        <f t="shared" si="89"/>
        <v/>
      </c>
      <c r="T342" s="37" t="str">
        <f t="shared" si="82"/>
        <v/>
      </c>
      <c r="U342" s="54"/>
      <c r="V342" s="46"/>
      <c r="W342" s="39" t="str">
        <f t="shared" si="90"/>
        <v/>
      </c>
      <c r="X342" s="38"/>
      <c r="Y342" s="48"/>
      <c r="AB342" s="56">
        <f t="shared" si="91"/>
        <v>1</v>
      </c>
      <c r="AC342" s="52"/>
      <c r="AD342" s="52"/>
      <c r="AE342" s="29" t="str">
        <f>IFERROR(
IF(AND(OR(AC342="C",AC342="c"), VLOOKUP(AF342,[1]Diccionario!B:N,13,0)="C"), "OK",IF(AND(OR(AC342="C",AC342="c"), OR(VLOOKUP(AF342,[1]Diccionario!B:N,13,0)="B", VLOOKUP(AF342,[1]Diccionario!B:N,13,0)="A")), "DEFICIT",IF(
AND(OR(AC342="B", AC342="BPAL"), VLOOKUP(AF342,[1]Diccionario!B:N,13,0)="B"), "OK",IF(AND(OR(AC342="B", AC342="BPAL"), VLOOKUP(AF342,[1]Diccionario!B:N,13,0)="A"), "DEFICIT",IF(AND(OR(AC342="B", AC342="BPAL"), VLOOKUP(AF342,[1]Diccionario!B:N,13,0)="C"), "SOBREOFERTA",IF(AND(AC342="A", VLOOKUP(AF342,[1]Diccionario!B:N,13,0)="A"), "OK",IF(
AND(AC342="A", OR(VLOOKUP(AF342,[1]Diccionario!B:N,13,0)="B", VLOOKUP(AF342,[1]Diccionario!B:N,13,0)="C")), "SOBREOFERTA",""
))))))),"")</f>
        <v/>
      </c>
      <c r="AF342" s="48"/>
      <c r="AG342" s="53"/>
      <c r="AH342" s="54"/>
      <c r="AI342" s="55" t="str">
        <f t="shared" si="92"/>
        <v/>
      </c>
      <c r="AJ342" s="46"/>
      <c r="AK342" s="34" t="e">
        <f>IF(AB342&lt;&gt;"",HLOOKUP(VALUE(TEXT(AH342,"h:mm:ss")),IF($C$6="Laboral",[1]Input!$A$4:$Y$227,IF($C$6="Sábado",[1]Input!$A$231:$Y$452,[1]Input!$A$456:$Y$656)),VLOOKUP($C$4,[1]Input!$AG$2:$AI$99,3,0)+IF(AD$5="Ida",0,1),1),"")</f>
        <v>#N/A</v>
      </c>
      <c r="AL342" s="34" t="str">
        <f>IF(AB343&lt;&gt;AB342,AVERAGEIF(AB$9:AB342,AB342,AK$9:AK342),"")</f>
        <v/>
      </c>
      <c r="AM342" s="35" t="str">
        <f>IFERROR(IF(AB343&lt;&gt;AB342,AVERAGEIF(AB$9:AB342,AB342,AT$9:AT342),""),"")</f>
        <v/>
      </c>
      <c r="AN342" s="35" t="str">
        <f>IFERROR(IF(AB343&lt;&gt;AB342,AVERAGEIF(AB$9:AB342,AB342,AU$9:AU342),""),"")</f>
        <v/>
      </c>
      <c r="AO342" s="35" t="str" cm="1">
        <f t="array" ref="AO342">IFERROR(IF(AB343&lt;&gt;AB342,_xlfn.STDEV.P(IF(AB$9:AB342=AB342,AU$9:AU342)),""),"")</f>
        <v/>
      </c>
      <c r="AP342" s="35" t="str" cm="1">
        <f t="array" ref="AP342">IFERROR(IF(AB343&lt;&gt;AB342,_xlfn.STDEV.P(IF(AB$9:AB342=AB342,AT$9:AT342)),""),"")</f>
        <v/>
      </c>
      <c r="AQ342" s="36" t="str">
        <f t="shared" si="83"/>
        <v/>
      </c>
      <c r="AR342" s="36" t="str">
        <f t="shared" si="84"/>
        <v/>
      </c>
      <c r="AS342" s="36" t="str">
        <f t="shared" si="93"/>
        <v/>
      </c>
      <c r="AT342" s="37" t="str">
        <f t="shared" si="85"/>
        <v/>
      </c>
      <c r="AU342" s="37" t="str">
        <f t="shared" si="86"/>
        <v/>
      </c>
      <c r="AV342" s="54"/>
      <c r="AW342" s="46"/>
      <c r="AX342" s="39" t="str" cm="1">
        <f t="array" ref="AX342">IF(AH342&lt;&gt;"",IF(AND(AX340:AX341&lt;&gt;"IE",AQ342&lt;&gt;0,AS342&lt;&gt;""),IF(IFERROR((AQ342/AS342),0) &lt;=1,IFERROR(AQ342/AS342,""),1),""),"")</f>
        <v/>
      </c>
      <c r="AY342" s="46"/>
      <c r="AZ342" s="57"/>
    </row>
    <row r="343" spans="1:52" ht="15.5" x14ac:dyDescent="0.35">
      <c r="A343" s="51">
        <f t="shared" si="94"/>
        <v>1</v>
      </c>
      <c r="B343" s="52"/>
      <c r="C343" s="52"/>
      <c r="D343" s="29" t="str">
        <f>IFERROR(
IF(AND(OR(Planilla!B343="C",Planilla!B343="c"), VLOOKUP(E343,[1]Diccionario!B:N,13,0)="C"), "OK",IF(AND(OR(Planilla!B343="C",Planilla!B343="c"), OR(VLOOKUP(E343,[1]Diccionario!B:N,13,0)="B", VLOOKUP(E343,[1]Diccionario!B:N,13,0)="A")), "DEFICIT",IF(
AND(OR(Planilla!B343="B", Planilla!B343="BPAL"), VLOOKUP(E343,[1]Diccionario!B:N,13,0)="B"), "OK",IF(AND(OR(Planilla!B343="B", Planilla!B343="BPAL"), VLOOKUP(E343,[1]Diccionario!B:N,13,0)="A"), "DEFICIT",IF(AND(OR(Planilla!B343="B", Planilla!B343="BPAL"), VLOOKUP(E343,[1]Diccionario!B:N,13,0)="C"), "SOBREOFERTA",IF(AND(Planilla!B343="A", VLOOKUP(E343,[1]Diccionario!B:N,13,0)="A"), "OK",IF(
AND(Planilla!B343="A", OR(VLOOKUP(E343,[1]Diccionario!B:N,13,0)="B", VLOOKUP(E343,[1]Diccionario!B:N,13,0)="C")), "SOBREOFERTA",""
))))))),"")</f>
        <v/>
      </c>
      <c r="E343" s="48"/>
      <c r="F343" s="53"/>
      <c r="G343" s="54"/>
      <c r="H343" s="55" t="str">
        <f t="shared" si="87"/>
        <v/>
      </c>
      <c r="I343" s="35"/>
      <c r="J343" s="34" t="e">
        <f>IF(A343&lt;&gt;"",HLOOKUP(VALUE(TEXT(G343,"h:mm:ss")),IF($C$6="Laboral",[1]Input!$A$4:$Y$227,IF($C$6="Sábado",[1]Input!$A$231:$Y$452,[1]Input!$A$456:$Y$656)),VLOOKUP($C$4,[1]Input!$AG$2:$AI$99,3,0)+IF(C$5="Ida",0,1),1),"")</f>
        <v>#N/A</v>
      </c>
      <c r="K343" s="34" t="str">
        <f>IF(A344&lt;&gt;A343,AVERAGEIF(A$9:A343,A343,J$13:J343),"")</f>
        <v/>
      </c>
      <c r="L343" s="35" t="str">
        <f>IFERROR(IF(A344&lt;&gt;A343,AVERAGEIF(A$9:A343,A343,S$13:S343),""),"")</f>
        <v/>
      </c>
      <c r="M343" s="35" t="str">
        <f>IFERROR(IF(A344&lt;&gt;A343,AVERAGEIF(A$9:A343,A343,T$8:T343),""),"")</f>
        <v/>
      </c>
      <c r="N343" s="35" t="str" cm="1">
        <f t="array" ref="N343">IFERROR(IF(A344&lt;&gt;A343,_xlfn.STDEV.P(IF(A$9:A343=A343,T$7:T343)),""),"")</f>
        <v/>
      </c>
      <c r="O343" s="35" t="str" cm="1">
        <f t="array" ref="O343">IFERROR(IF(A344&lt;&gt;A343,_xlfn.STDEV.P(IF(A$9:A343=A343,S$7:S343)),""),"")</f>
        <v/>
      </c>
      <c r="P343" s="36" t="str">
        <f t="shared" si="80"/>
        <v/>
      </c>
      <c r="Q343" s="36" t="str">
        <f t="shared" si="81"/>
        <v/>
      </c>
      <c r="R343" s="36" t="str">
        <f t="shared" si="88"/>
        <v/>
      </c>
      <c r="S343" s="37" t="str">
        <f t="shared" si="89"/>
        <v/>
      </c>
      <c r="T343" s="37" t="str">
        <f t="shared" si="82"/>
        <v/>
      </c>
      <c r="U343" s="54"/>
      <c r="V343" s="46"/>
      <c r="W343" s="39" t="str">
        <f t="shared" si="90"/>
        <v/>
      </c>
      <c r="X343" s="38"/>
      <c r="Y343" s="48"/>
      <c r="AB343" s="56">
        <f t="shared" si="91"/>
        <v>1</v>
      </c>
      <c r="AC343" s="52"/>
      <c r="AD343" s="52"/>
      <c r="AE343" s="29" t="str">
        <f>IFERROR(
IF(AND(OR(AC343="C",AC343="c"), VLOOKUP(AF343,[1]Diccionario!B:N,13,0)="C"), "OK",IF(AND(OR(AC343="C",AC343="c"), OR(VLOOKUP(AF343,[1]Diccionario!B:N,13,0)="B", VLOOKUP(AF343,[1]Diccionario!B:N,13,0)="A")), "DEFICIT",IF(
AND(OR(AC343="B", AC343="BPAL"), VLOOKUP(AF343,[1]Diccionario!B:N,13,0)="B"), "OK",IF(AND(OR(AC343="B", AC343="BPAL"), VLOOKUP(AF343,[1]Diccionario!B:N,13,0)="A"), "DEFICIT",IF(AND(OR(AC343="B", AC343="BPAL"), VLOOKUP(AF343,[1]Diccionario!B:N,13,0)="C"), "SOBREOFERTA",IF(AND(AC343="A", VLOOKUP(AF343,[1]Diccionario!B:N,13,0)="A"), "OK",IF(
AND(AC343="A", OR(VLOOKUP(AF343,[1]Diccionario!B:N,13,0)="B", VLOOKUP(AF343,[1]Diccionario!B:N,13,0)="C")), "SOBREOFERTA",""
))))))),"")</f>
        <v/>
      </c>
      <c r="AF343" s="48"/>
      <c r="AG343" s="53"/>
      <c r="AH343" s="54"/>
      <c r="AI343" s="55" t="str">
        <f t="shared" si="92"/>
        <v/>
      </c>
      <c r="AJ343" s="46"/>
      <c r="AK343" s="34" t="e">
        <f>IF(AB343&lt;&gt;"",HLOOKUP(VALUE(TEXT(AH343,"h:mm:ss")),IF($C$6="Laboral",[1]Input!$A$4:$Y$227,IF($C$6="Sábado",[1]Input!$A$231:$Y$452,[1]Input!$A$456:$Y$656)),VLOOKUP($C$4,[1]Input!$AG$2:$AI$99,3,0)+IF(AD$5="Ida",0,1),1),"")</f>
        <v>#N/A</v>
      </c>
      <c r="AL343" s="34" t="str">
        <f>IF(AB344&lt;&gt;AB343,AVERAGEIF(AB$9:AB343,AB343,AK$9:AK343),"")</f>
        <v/>
      </c>
      <c r="AM343" s="35" t="str">
        <f>IFERROR(IF(AB344&lt;&gt;AB343,AVERAGEIF(AB$9:AB343,AB343,AT$9:AT343),""),"")</f>
        <v/>
      </c>
      <c r="AN343" s="35" t="str">
        <f>IFERROR(IF(AB344&lt;&gt;AB343,AVERAGEIF(AB$9:AB343,AB343,AU$9:AU343),""),"")</f>
        <v/>
      </c>
      <c r="AO343" s="35" t="str" cm="1">
        <f t="array" ref="AO343">IFERROR(IF(AB344&lt;&gt;AB343,_xlfn.STDEV.P(IF(AB$9:AB343=AB343,AU$9:AU343)),""),"")</f>
        <v/>
      </c>
      <c r="AP343" s="35" t="str" cm="1">
        <f t="array" ref="AP343">IFERROR(IF(AB344&lt;&gt;AB343,_xlfn.STDEV.P(IF(AB$9:AB343=AB343,AT$9:AT343)),""),"")</f>
        <v/>
      </c>
      <c r="AQ343" s="36" t="str">
        <f t="shared" si="83"/>
        <v/>
      </c>
      <c r="AR343" s="36" t="str">
        <f t="shared" si="84"/>
        <v/>
      </c>
      <c r="AS343" s="36" t="str">
        <f t="shared" si="93"/>
        <v/>
      </c>
      <c r="AT343" s="37" t="str">
        <f t="shared" si="85"/>
        <v/>
      </c>
      <c r="AU343" s="37" t="str">
        <f t="shared" si="86"/>
        <v/>
      </c>
      <c r="AV343" s="54"/>
      <c r="AW343" s="46"/>
      <c r="AX343" s="39" t="str" cm="1">
        <f t="array" ref="AX343">IF(AH343&lt;&gt;"",IF(AND(AX341:AX342&lt;&gt;"IE",AQ343&lt;&gt;0,AS343&lt;&gt;""),IF(IFERROR((AQ343/AS343),0) &lt;=1,IFERROR(AQ343/AS343,""),1),""),"")</f>
        <v/>
      </c>
      <c r="AY343" s="46"/>
      <c r="AZ343" s="57"/>
    </row>
    <row r="344" spans="1:52" ht="15.5" x14ac:dyDescent="0.35">
      <c r="A344" s="51">
        <f t="shared" si="94"/>
        <v>1</v>
      </c>
      <c r="B344" s="52"/>
      <c r="C344" s="52"/>
      <c r="D344" s="29" t="str">
        <f>IFERROR(
IF(AND(OR(Planilla!B344="C",Planilla!B344="c"), VLOOKUP(E344,[1]Diccionario!B:N,13,0)="C"), "OK",IF(AND(OR(Planilla!B344="C",Planilla!B344="c"), OR(VLOOKUP(E344,[1]Diccionario!B:N,13,0)="B", VLOOKUP(E344,[1]Diccionario!B:N,13,0)="A")), "DEFICIT",IF(
AND(OR(Planilla!B344="B", Planilla!B344="BPAL"), VLOOKUP(E344,[1]Diccionario!B:N,13,0)="B"), "OK",IF(AND(OR(Planilla!B344="B", Planilla!B344="BPAL"), VLOOKUP(E344,[1]Diccionario!B:N,13,0)="A"), "DEFICIT",IF(AND(OR(Planilla!B344="B", Planilla!B344="BPAL"), VLOOKUP(E344,[1]Diccionario!B:N,13,0)="C"), "SOBREOFERTA",IF(AND(Planilla!B344="A", VLOOKUP(E344,[1]Diccionario!B:N,13,0)="A"), "OK",IF(
AND(Planilla!B344="A", OR(VLOOKUP(E344,[1]Diccionario!B:N,13,0)="B", VLOOKUP(E344,[1]Diccionario!B:N,13,0)="C")), "SOBREOFERTA",""
))))))),"")</f>
        <v/>
      </c>
      <c r="E344" s="48"/>
      <c r="F344" s="53"/>
      <c r="G344" s="54"/>
      <c r="H344" s="55" t="str">
        <f t="shared" si="87"/>
        <v/>
      </c>
      <c r="I344" s="35"/>
      <c r="J344" s="34" t="e">
        <f>IF(A344&lt;&gt;"",HLOOKUP(VALUE(TEXT(G344,"h:mm:ss")),IF($C$6="Laboral",[1]Input!$A$4:$Y$227,IF($C$6="Sábado",[1]Input!$A$231:$Y$452,[1]Input!$A$456:$Y$656)),VLOOKUP($C$4,[1]Input!$AG$2:$AI$99,3,0)+IF(C$5="Ida",0,1),1),"")</f>
        <v>#N/A</v>
      </c>
      <c r="K344" s="34" t="str">
        <f>IF(A345&lt;&gt;A344,AVERAGEIF(A$9:A344,A344,J$13:J344),"")</f>
        <v/>
      </c>
      <c r="L344" s="35" t="str">
        <f>IFERROR(IF(A345&lt;&gt;A344,AVERAGEIF(A$9:A344,A344,S$13:S344),""),"")</f>
        <v/>
      </c>
      <c r="M344" s="35" t="str">
        <f>IFERROR(IF(A345&lt;&gt;A344,AVERAGEIF(A$9:A344,A344,T$8:T344),""),"")</f>
        <v/>
      </c>
      <c r="N344" s="35" t="str" cm="1">
        <f t="array" ref="N344">IFERROR(IF(A345&lt;&gt;A344,_xlfn.STDEV.P(IF(A$9:A344=A344,T$7:T344)),""),"")</f>
        <v/>
      </c>
      <c r="O344" s="35" t="str" cm="1">
        <f t="array" ref="O344">IFERROR(IF(A345&lt;&gt;A344,_xlfn.STDEV.P(IF(A$9:A344=A344,S$7:S344)),""),"")</f>
        <v/>
      </c>
      <c r="P344" s="36" t="str">
        <f t="shared" si="80"/>
        <v/>
      </c>
      <c r="Q344" s="36" t="str">
        <f t="shared" si="81"/>
        <v/>
      </c>
      <c r="R344" s="36" t="str">
        <f t="shared" si="88"/>
        <v/>
      </c>
      <c r="S344" s="37" t="str">
        <f t="shared" si="89"/>
        <v/>
      </c>
      <c r="T344" s="37" t="str">
        <f t="shared" si="82"/>
        <v/>
      </c>
      <c r="U344" s="54"/>
      <c r="V344" s="46"/>
      <c r="W344" s="39" t="str">
        <f t="shared" si="90"/>
        <v/>
      </c>
      <c r="X344" s="38"/>
      <c r="Y344" s="48"/>
      <c r="AB344" s="56">
        <f t="shared" si="91"/>
        <v>1</v>
      </c>
      <c r="AC344" s="52"/>
      <c r="AD344" s="52"/>
      <c r="AE344" s="29" t="str">
        <f>IFERROR(
IF(AND(OR(AC344="C",AC344="c"), VLOOKUP(AF344,[1]Diccionario!B:N,13,0)="C"), "OK",IF(AND(OR(AC344="C",AC344="c"), OR(VLOOKUP(AF344,[1]Diccionario!B:N,13,0)="B", VLOOKUP(AF344,[1]Diccionario!B:N,13,0)="A")), "DEFICIT",IF(
AND(OR(AC344="B", AC344="BPAL"), VLOOKUP(AF344,[1]Diccionario!B:N,13,0)="B"), "OK",IF(AND(OR(AC344="B", AC344="BPAL"), VLOOKUP(AF344,[1]Diccionario!B:N,13,0)="A"), "DEFICIT",IF(AND(OR(AC344="B", AC344="BPAL"), VLOOKUP(AF344,[1]Diccionario!B:N,13,0)="C"), "SOBREOFERTA",IF(AND(AC344="A", VLOOKUP(AF344,[1]Diccionario!B:N,13,0)="A"), "OK",IF(
AND(AC344="A", OR(VLOOKUP(AF344,[1]Diccionario!B:N,13,0)="B", VLOOKUP(AF344,[1]Diccionario!B:N,13,0)="C")), "SOBREOFERTA",""
))))))),"")</f>
        <v/>
      </c>
      <c r="AF344" s="48"/>
      <c r="AG344" s="53"/>
      <c r="AH344" s="54"/>
      <c r="AI344" s="55" t="str">
        <f t="shared" si="92"/>
        <v/>
      </c>
      <c r="AJ344" s="46"/>
      <c r="AK344" s="34" t="e">
        <f>IF(AB344&lt;&gt;"",HLOOKUP(VALUE(TEXT(AH344,"h:mm:ss")),IF($C$6="Laboral",[1]Input!$A$4:$Y$227,IF($C$6="Sábado",[1]Input!$A$231:$Y$452,[1]Input!$A$456:$Y$656)),VLOOKUP($C$4,[1]Input!$AG$2:$AI$99,3,0)+IF(AD$5="Ida",0,1),1),"")</f>
        <v>#N/A</v>
      </c>
      <c r="AL344" s="34" t="str">
        <f>IF(AB345&lt;&gt;AB344,AVERAGEIF(AB$9:AB344,AB344,AK$9:AK344),"")</f>
        <v/>
      </c>
      <c r="AM344" s="35" t="str">
        <f>IFERROR(IF(AB345&lt;&gt;AB344,AVERAGEIF(AB$9:AB344,AB344,AT$9:AT344),""),"")</f>
        <v/>
      </c>
      <c r="AN344" s="35" t="str">
        <f>IFERROR(IF(AB345&lt;&gt;AB344,AVERAGEIF(AB$9:AB344,AB344,AU$9:AU344),""),"")</f>
        <v/>
      </c>
      <c r="AO344" s="35" t="str" cm="1">
        <f t="array" ref="AO344">IFERROR(IF(AB345&lt;&gt;AB344,_xlfn.STDEV.P(IF(AB$9:AB344=AB344,AU$9:AU344)),""),"")</f>
        <v/>
      </c>
      <c r="AP344" s="35" t="str" cm="1">
        <f t="array" ref="AP344">IFERROR(IF(AB345&lt;&gt;AB344,_xlfn.STDEV.P(IF(AB$9:AB344=AB344,AT$9:AT344)),""),"")</f>
        <v/>
      </c>
      <c r="AQ344" s="36" t="str">
        <f t="shared" si="83"/>
        <v/>
      </c>
      <c r="AR344" s="36" t="str">
        <f t="shared" si="84"/>
        <v/>
      </c>
      <c r="AS344" s="36" t="str">
        <f t="shared" si="93"/>
        <v/>
      </c>
      <c r="AT344" s="37" t="str">
        <f t="shared" si="85"/>
        <v/>
      </c>
      <c r="AU344" s="37" t="str">
        <f t="shared" si="86"/>
        <v/>
      </c>
      <c r="AV344" s="54"/>
      <c r="AW344" s="46"/>
      <c r="AX344" s="39" t="str" cm="1">
        <f t="array" ref="AX344">IF(AH344&lt;&gt;"",IF(AND(AX342:AX343&lt;&gt;"IE",AQ344&lt;&gt;0,AS344&lt;&gt;""),IF(IFERROR((AQ344/AS344),0) &lt;=1,IFERROR(AQ344/AS344,""),1),""),"")</f>
        <v/>
      </c>
      <c r="AY344" s="46"/>
      <c r="AZ344" s="57"/>
    </row>
    <row r="345" spans="1:52" ht="15.5" x14ac:dyDescent="0.35">
      <c r="A345" s="51">
        <f t="shared" si="94"/>
        <v>1</v>
      </c>
      <c r="B345" s="52"/>
      <c r="C345" s="52"/>
      <c r="D345" s="29" t="str">
        <f>IFERROR(
IF(AND(OR(Planilla!B345="C",Planilla!B345="c"), VLOOKUP(E345,[1]Diccionario!B:N,13,0)="C"), "OK",IF(AND(OR(Planilla!B345="C",Planilla!B345="c"), OR(VLOOKUP(E345,[1]Diccionario!B:N,13,0)="B", VLOOKUP(E345,[1]Diccionario!B:N,13,0)="A")), "DEFICIT",IF(
AND(OR(Planilla!B345="B", Planilla!B345="BPAL"), VLOOKUP(E345,[1]Diccionario!B:N,13,0)="B"), "OK",IF(AND(OR(Planilla!B345="B", Planilla!B345="BPAL"), VLOOKUP(E345,[1]Diccionario!B:N,13,0)="A"), "DEFICIT",IF(AND(OR(Planilla!B345="B", Planilla!B345="BPAL"), VLOOKUP(E345,[1]Diccionario!B:N,13,0)="C"), "SOBREOFERTA",IF(AND(Planilla!B345="A", VLOOKUP(E345,[1]Diccionario!B:N,13,0)="A"), "OK",IF(
AND(Planilla!B345="A", OR(VLOOKUP(E345,[1]Diccionario!B:N,13,0)="B", VLOOKUP(E345,[1]Diccionario!B:N,13,0)="C")), "SOBREOFERTA",""
))))))),"")</f>
        <v/>
      </c>
      <c r="E345" s="48"/>
      <c r="F345" s="53"/>
      <c r="G345" s="54"/>
      <c r="H345" s="55" t="str">
        <f t="shared" si="87"/>
        <v/>
      </c>
      <c r="I345" s="35"/>
      <c r="J345" s="34" t="e">
        <f>IF(A345&lt;&gt;"",HLOOKUP(VALUE(TEXT(G345,"h:mm:ss")),IF($C$6="Laboral",[1]Input!$A$4:$Y$227,IF($C$6="Sábado",[1]Input!$A$231:$Y$452,[1]Input!$A$456:$Y$656)),VLOOKUP($C$4,[1]Input!$AG$2:$AI$99,3,0)+IF(C$5="Ida",0,1),1),"")</f>
        <v>#N/A</v>
      </c>
      <c r="K345" s="34" t="str">
        <f>IF(A346&lt;&gt;A345,AVERAGEIF(A$9:A345,A345,J$13:J345),"")</f>
        <v/>
      </c>
      <c r="L345" s="35" t="str">
        <f>IFERROR(IF(A346&lt;&gt;A345,AVERAGEIF(A$9:A345,A345,S$13:S345),""),"")</f>
        <v/>
      </c>
      <c r="M345" s="35" t="str">
        <f>IFERROR(IF(A346&lt;&gt;A345,AVERAGEIF(A$9:A345,A345,T$8:T345),""),"")</f>
        <v/>
      </c>
      <c r="N345" s="35" t="str" cm="1">
        <f t="array" ref="N345">IFERROR(IF(A346&lt;&gt;A345,_xlfn.STDEV.P(IF(A$9:A345=A345,T$7:T345)),""),"")</f>
        <v/>
      </c>
      <c r="O345" s="35" t="str" cm="1">
        <f t="array" ref="O345">IFERROR(IF(A346&lt;&gt;A345,_xlfn.STDEV.P(IF(A$9:A345=A345,S$7:S345)),""),"")</f>
        <v/>
      </c>
      <c r="P345" s="36" t="str">
        <f t="shared" si="80"/>
        <v/>
      </c>
      <c r="Q345" s="36" t="str">
        <f t="shared" si="81"/>
        <v/>
      </c>
      <c r="R345" s="36" t="str">
        <f t="shared" si="88"/>
        <v/>
      </c>
      <c r="S345" s="37" t="str">
        <f t="shared" si="89"/>
        <v/>
      </c>
      <c r="T345" s="37" t="str">
        <f t="shared" si="82"/>
        <v/>
      </c>
      <c r="U345" s="54"/>
      <c r="V345" s="46"/>
      <c r="W345" s="39" t="str">
        <f t="shared" si="90"/>
        <v/>
      </c>
      <c r="X345" s="38"/>
      <c r="Y345" s="48"/>
      <c r="AB345" s="56">
        <f t="shared" si="91"/>
        <v>1</v>
      </c>
      <c r="AC345" s="52"/>
      <c r="AD345" s="52"/>
      <c r="AE345" s="29" t="str">
        <f>IFERROR(
IF(AND(OR(AC345="C",AC345="c"), VLOOKUP(AF345,[1]Diccionario!B:N,13,0)="C"), "OK",IF(AND(OR(AC345="C",AC345="c"), OR(VLOOKUP(AF345,[1]Diccionario!B:N,13,0)="B", VLOOKUP(AF345,[1]Diccionario!B:N,13,0)="A")), "DEFICIT",IF(
AND(OR(AC345="B", AC345="BPAL"), VLOOKUP(AF345,[1]Diccionario!B:N,13,0)="B"), "OK",IF(AND(OR(AC345="B", AC345="BPAL"), VLOOKUP(AF345,[1]Diccionario!B:N,13,0)="A"), "DEFICIT",IF(AND(OR(AC345="B", AC345="BPAL"), VLOOKUP(AF345,[1]Diccionario!B:N,13,0)="C"), "SOBREOFERTA",IF(AND(AC345="A", VLOOKUP(AF345,[1]Diccionario!B:N,13,0)="A"), "OK",IF(
AND(AC345="A", OR(VLOOKUP(AF345,[1]Diccionario!B:N,13,0)="B", VLOOKUP(AF345,[1]Diccionario!B:N,13,0)="C")), "SOBREOFERTA",""
))))))),"")</f>
        <v/>
      </c>
      <c r="AF345" s="48"/>
      <c r="AG345" s="53"/>
      <c r="AH345" s="54"/>
      <c r="AI345" s="55" t="str">
        <f t="shared" si="92"/>
        <v/>
      </c>
      <c r="AJ345" s="46"/>
      <c r="AK345" s="34" t="e">
        <f>IF(AB345&lt;&gt;"",HLOOKUP(VALUE(TEXT(AH345,"h:mm:ss")),IF($C$6="Laboral",[1]Input!$A$4:$Y$227,IF($C$6="Sábado",[1]Input!$A$231:$Y$452,[1]Input!$A$456:$Y$656)),VLOOKUP($C$4,[1]Input!$AG$2:$AI$99,3,0)+IF(AD$5="Ida",0,1),1),"")</f>
        <v>#N/A</v>
      </c>
      <c r="AL345" s="34" t="str">
        <f>IF(AB346&lt;&gt;AB345,AVERAGEIF(AB$9:AB345,AB345,AK$9:AK345),"")</f>
        <v/>
      </c>
      <c r="AM345" s="35" t="str">
        <f>IFERROR(IF(AB346&lt;&gt;AB345,AVERAGEIF(AB$9:AB345,AB345,AT$9:AT345),""),"")</f>
        <v/>
      </c>
      <c r="AN345" s="35" t="str">
        <f>IFERROR(IF(AB346&lt;&gt;AB345,AVERAGEIF(AB$9:AB345,AB345,AU$9:AU345),""),"")</f>
        <v/>
      </c>
      <c r="AO345" s="35" t="str" cm="1">
        <f t="array" ref="AO345">IFERROR(IF(AB346&lt;&gt;AB345,_xlfn.STDEV.P(IF(AB$9:AB345=AB345,AU$9:AU345)),""),"")</f>
        <v/>
      </c>
      <c r="AP345" s="35" t="str" cm="1">
        <f t="array" ref="AP345">IFERROR(IF(AB346&lt;&gt;AB345,_xlfn.STDEV.P(IF(AB$9:AB345=AB345,AT$9:AT345)),""),"")</f>
        <v/>
      </c>
      <c r="AQ345" s="36" t="str">
        <f t="shared" si="83"/>
        <v/>
      </c>
      <c r="AR345" s="36" t="str">
        <f t="shared" si="84"/>
        <v/>
      </c>
      <c r="AS345" s="36" t="str">
        <f t="shared" si="93"/>
        <v/>
      </c>
      <c r="AT345" s="37" t="str">
        <f t="shared" si="85"/>
        <v/>
      </c>
      <c r="AU345" s="37" t="str">
        <f t="shared" si="86"/>
        <v/>
      </c>
      <c r="AV345" s="54"/>
      <c r="AW345" s="46"/>
      <c r="AX345" s="39" t="str" cm="1">
        <f t="array" ref="AX345">IF(AH345&lt;&gt;"",IF(AND(AX343:AX344&lt;&gt;"IE",AQ345&lt;&gt;0,AS345&lt;&gt;""),IF(IFERROR((AQ345/AS345),0) &lt;=1,IFERROR(AQ345/AS345,""),1),""),"")</f>
        <v/>
      </c>
      <c r="AY345" s="46"/>
      <c r="AZ345" s="57"/>
    </row>
    <row r="346" spans="1:52" ht="15.5" x14ac:dyDescent="0.35">
      <c r="A346" s="51">
        <f t="shared" si="94"/>
        <v>1</v>
      </c>
      <c r="B346" s="52"/>
      <c r="C346" s="52"/>
      <c r="D346" s="29" t="str">
        <f>IFERROR(
IF(AND(OR(Planilla!B346="C",Planilla!B346="c"), VLOOKUP(E346,[1]Diccionario!B:N,13,0)="C"), "OK",IF(AND(OR(Planilla!B346="C",Planilla!B346="c"), OR(VLOOKUP(E346,[1]Diccionario!B:N,13,0)="B", VLOOKUP(E346,[1]Diccionario!B:N,13,0)="A")), "DEFICIT",IF(
AND(OR(Planilla!B346="B", Planilla!B346="BPAL"), VLOOKUP(E346,[1]Diccionario!B:N,13,0)="B"), "OK",IF(AND(OR(Planilla!B346="B", Planilla!B346="BPAL"), VLOOKUP(E346,[1]Diccionario!B:N,13,0)="A"), "DEFICIT",IF(AND(OR(Planilla!B346="B", Planilla!B346="BPAL"), VLOOKUP(E346,[1]Diccionario!B:N,13,0)="C"), "SOBREOFERTA",IF(AND(Planilla!B346="A", VLOOKUP(E346,[1]Diccionario!B:N,13,0)="A"), "OK",IF(
AND(Planilla!B346="A", OR(VLOOKUP(E346,[1]Diccionario!B:N,13,0)="B", VLOOKUP(E346,[1]Diccionario!B:N,13,0)="C")), "SOBREOFERTA",""
))))))),"")</f>
        <v/>
      </c>
      <c r="E346" s="48"/>
      <c r="F346" s="53"/>
      <c r="G346" s="54"/>
      <c r="H346" s="55" t="str">
        <f t="shared" si="87"/>
        <v/>
      </c>
      <c r="I346" s="35"/>
      <c r="J346" s="34" t="e">
        <f>IF(A346&lt;&gt;"",HLOOKUP(VALUE(TEXT(G346,"h:mm:ss")),IF($C$6="Laboral",[1]Input!$A$4:$Y$227,IF($C$6="Sábado",[1]Input!$A$231:$Y$452,[1]Input!$A$456:$Y$656)),VLOOKUP($C$4,[1]Input!$AG$2:$AI$99,3,0)+IF(C$5="Ida",0,1),1),"")</f>
        <v>#N/A</v>
      </c>
      <c r="K346" s="34" t="str">
        <f>IF(A347&lt;&gt;A346,AVERAGEIF(A$9:A346,A346,J$13:J346),"")</f>
        <v/>
      </c>
      <c r="L346" s="35" t="str">
        <f>IFERROR(IF(A347&lt;&gt;A346,AVERAGEIF(A$9:A346,A346,S$13:S346),""),"")</f>
        <v/>
      </c>
      <c r="M346" s="35" t="str">
        <f>IFERROR(IF(A347&lt;&gt;A346,AVERAGEIF(A$9:A346,A346,T$8:T346),""),"")</f>
        <v/>
      </c>
      <c r="N346" s="35" t="str" cm="1">
        <f t="array" ref="N346">IFERROR(IF(A347&lt;&gt;A346,_xlfn.STDEV.P(IF(A$9:A346=A346,T$7:T346)),""),"")</f>
        <v/>
      </c>
      <c r="O346" s="35" t="str" cm="1">
        <f t="array" ref="O346">IFERROR(IF(A347&lt;&gt;A346,_xlfn.STDEV.P(IF(A$9:A346=A346,S$7:S346)),""),"")</f>
        <v/>
      </c>
      <c r="P346" s="36" t="str">
        <f t="shared" si="80"/>
        <v/>
      </c>
      <c r="Q346" s="36" t="str">
        <f t="shared" si="81"/>
        <v/>
      </c>
      <c r="R346" s="36" t="str">
        <f t="shared" si="88"/>
        <v/>
      </c>
      <c r="S346" s="37" t="str">
        <f t="shared" si="89"/>
        <v/>
      </c>
      <c r="T346" s="37" t="str">
        <f t="shared" si="82"/>
        <v/>
      </c>
      <c r="U346" s="54"/>
      <c r="V346" s="46"/>
      <c r="W346" s="39" t="str">
        <f t="shared" si="90"/>
        <v/>
      </c>
      <c r="X346" s="38"/>
      <c r="Y346" s="48"/>
      <c r="AB346" s="56">
        <f t="shared" si="91"/>
        <v>1</v>
      </c>
      <c r="AC346" s="52"/>
      <c r="AD346" s="52"/>
      <c r="AE346" s="29" t="str">
        <f>IFERROR(
IF(AND(OR(AC346="C",AC346="c"), VLOOKUP(AF346,[1]Diccionario!B:N,13,0)="C"), "OK",IF(AND(OR(AC346="C",AC346="c"), OR(VLOOKUP(AF346,[1]Diccionario!B:N,13,0)="B", VLOOKUP(AF346,[1]Diccionario!B:N,13,0)="A")), "DEFICIT",IF(
AND(OR(AC346="B", AC346="BPAL"), VLOOKUP(AF346,[1]Diccionario!B:N,13,0)="B"), "OK",IF(AND(OR(AC346="B", AC346="BPAL"), VLOOKUP(AF346,[1]Diccionario!B:N,13,0)="A"), "DEFICIT",IF(AND(OR(AC346="B", AC346="BPAL"), VLOOKUP(AF346,[1]Diccionario!B:N,13,0)="C"), "SOBREOFERTA",IF(AND(AC346="A", VLOOKUP(AF346,[1]Diccionario!B:N,13,0)="A"), "OK",IF(
AND(AC346="A", OR(VLOOKUP(AF346,[1]Diccionario!B:N,13,0)="B", VLOOKUP(AF346,[1]Diccionario!B:N,13,0)="C")), "SOBREOFERTA",""
))))))),"")</f>
        <v/>
      </c>
      <c r="AF346" s="48"/>
      <c r="AG346" s="53"/>
      <c r="AH346" s="54"/>
      <c r="AI346" s="55" t="str">
        <f t="shared" si="92"/>
        <v/>
      </c>
      <c r="AJ346" s="46"/>
      <c r="AK346" s="34" t="e">
        <f>IF(AB346&lt;&gt;"",HLOOKUP(VALUE(TEXT(AH346,"h:mm:ss")),IF($C$6="Laboral",[1]Input!$A$4:$Y$227,IF($C$6="Sábado",[1]Input!$A$231:$Y$452,[1]Input!$A$456:$Y$656)),VLOOKUP($C$4,[1]Input!$AG$2:$AI$99,3,0)+IF(AD$5="Ida",0,1),1),"")</f>
        <v>#N/A</v>
      </c>
      <c r="AL346" s="34" t="str">
        <f>IF(AB347&lt;&gt;AB346,AVERAGEIF(AB$9:AB346,AB346,AK$9:AK346),"")</f>
        <v/>
      </c>
      <c r="AM346" s="35" t="str">
        <f>IFERROR(IF(AB347&lt;&gt;AB346,AVERAGEIF(AB$9:AB346,AB346,AT$9:AT346),""),"")</f>
        <v/>
      </c>
      <c r="AN346" s="35" t="str">
        <f>IFERROR(IF(AB347&lt;&gt;AB346,AVERAGEIF(AB$9:AB346,AB346,AU$9:AU346),""),"")</f>
        <v/>
      </c>
      <c r="AO346" s="35" t="str" cm="1">
        <f t="array" ref="AO346">IFERROR(IF(AB347&lt;&gt;AB346,_xlfn.STDEV.P(IF(AB$9:AB346=AB346,AU$9:AU346)),""),"")</f>
        <v/>
      </c>
      <c r="AP346" s="35" t="str" cm="1">
        <f t="array" ref="AP346">IFERROR(IF(AB347&lt;&gt;AB346,_xlfn.STDEV.P(IF(AB$9:AB346=AB346,AT$9:AT346)),""),"")</f>
        <v/>
      </c>
      <c r="AQ346" s="36" t="str">
        <f t="shared" si="83"/>
        <v/>
      </c>
      <c r="AR346" s="36" t="str">
        <f t="shared" si="84"/>
        <v/>
      </c>
      <c r="AS346" s="36" t="str">
        <f t="shared" si="93"/>
        <v/>
      </c>
      <c r="AT346" s="37" t="str">
        <f t="shared" si="85"/>
        <v/>
      </c>
      <c r="AU346" s="37" t="str">
        <f t="shared" si="86"/>
        <v/>
      </c>
      <c r="AV346" s="54"/>
      <c r="AW346" s="46"/>
      <c r="AX346" s="39" t="str" cm="1">
        <f t="array" ref="AX346">IF(AH346&lt;&gt;"",IF(AND(AX344:AX345&lt;&gt;"IE",AQ346&lt;&gt;0,AS346&lt;&gt;""),IF(IFERROR((AQ346/AS346),0) &lt;=1,IFERROR(AQ346/AS346,""),1),""),"")</f>
        <v/>
      </c>
      <c r="AY346" s="46"/>
      <c r="AZ346" s="57"/>
    </row>
    <row r="347" spans="1:52" ht="15.5" x14ac:dyDescent="0.35">
      <c r="A347" s="51">
        <f t="shared" si="94"/>
        <v>1</v>
      </c>
      <c r="B347" s="52"/>
      <c r="C347" s="52"/>
      <c r="D347" s="29" t="str">
        <f>IFERROR(
IF(AND(OR(Planilla!B347="C",Planilla!B347="c"), VLOOKUP(E347,[1]Diccionario!B:N,13,0)="C"), "OK",IF(AND(OR(Planilla!B347="C",Planilla!B347="c"), OR(VLOOKUP(E347,[1]Diccionario!B:N,13,0)="B", VLOOKUP(E347,[1]Diccionario!B:N,13,0)="A")), "DEFICIT",IF(
AND(OR(Planilla!B347="B", Planilla!B347="BPAL"), VLOOKUP(E347,[1]Diccionario!B:N,13,0)="B"), "OK",IF(AND(OR(Planilla!B347="B", Planilla!B347="BPAL"), VLOOKUP(E347,[1]Diccionario!B:N,13,0)="A"), "DEFICIT",IF(AND(OR(Planilla!B347="B", Planilla!B347="BPAL"), VLOOKUP(E347,[1]Diccionario!B:N,13,0)="C"), "SOBREOFERTA",IF(AND(Planilla!B347="A", VLOOKUP(E347,[1]Diccionario!B:N,13,0)="A"), "OK",IF(
AND(Planilla!B347="A", OR(VLOOKUP(E347,[1]Diccionario!B:N,13,0)="B", VLOOKUP(E347,[1]Diccionario!B:N,13,0)="C")), "SOBREOFERTA",""
))))))),"")</f>
        <v/>
      </c>
      <c r="E347" s="48"/>
      <c r="F347" s="53"/>
      <c r="G347" s="54"/>
      <c r="H347" s="55" t="str">
        <f t="shared" si="87"/>
        <v/>
      </c>
      <c r="I347" s="35"/>
      <c r="J347" s="34" t="e">
        <f>IF(A347&lt;&gt;"",HLOOKUP(VALUE(TEXT(G347,"h:mm:ss")),IF($C$6="Laboral",[1]Input!$A$4:$Y$227,IF($C$6="Sábado",[1]Input!$A$231:$Y$452,[1]Input!$A$456:$Y$656)),VLOOKUP($C$4,[1]Input!$AG$2:$AI$99,3,0)+IF(C$5="Ida",0,1),1),"")</f>
        <v>#N/A</v>
      </c>
      <c r="K347" s="34" t="str">
        <f>IF(A348&lt;&gt;A347,AVERAGEIF(A$9:A347,A347,J$13:J347),"")</f>
        <v/>
      </c>
      <c r="L347" s="35" t="str">
        <f>IFERROR(IF(A348&lt;&gt;A347,AVERAGEIF(A$9:A347,A347,S$13:S347),""),"")</f>
        <v/>
      </c>
      <c r="M347" s="35" t="str">
        <f>IFERROR(IF(A348&lt;&gt;A347,AVERAGEIF(A$9:A347,A347,T$8:T347),""),"")</f>
        <v/>
      </c>
      <c r="N347" s="35" t="str" cm="1">
        <f t="array" ref="N347">IFERROR(IF(A348&lt;&gt;A347,_xlfn.STDEV.P(IF(A$9:A347=A347,T$7:T347)),""),"")</f>
        <v/>
      </c>
      <c r="O347" s="35" t="str" cm="1">
        <f t="array" ref="O347">IFERROR(IF(A348&lt;&gt;A347,_xlfn.STDEV.P(IF(A$9:A347=A347,S$7:S347)),""),"")</f>
        <v/>
      </c>
      <c r="P347" s="36" t="str">
        <f t="shared" si="80"/>
        <v/>
      </c>
      <c r="Q347" s="36" t="str">
        <f t="shared" si="81"/>
        <v/>
      </c>
      <c r="R347" s="36" t="str">
        <f t="shared" si="88"/>
        <v/>
      </c>
      <c r="S347" s="37" t="str">
        <f t="shared" si="89"/>
        <v/>
      </c>
      <c r="T347" s="37" t="str">
        <f t="shared" si="82"/>
        <v/>
      </c>
      <c r="U347" s="54"/>
      <c r="V347" s="46"/>
      <c r="W347" s="39" t="str">
        <f t="shared" si="90"/>
        <v/>
      </c>
      <c r="X347" s="38"/>
      <c r="Y347" s="48"/>
      <c r="AB347" s="56">
        <f t="shared" si="91"/>
        <v>1</v>
      </c>
      <c r="AC347" s="52"/>
      <c r="AD347" s="52"/>
      <c r="AE347" s="29" t="str">
        <f>IFERROR(
IF(AND(OR(AC347="C",AC347="c"), VLOOKUP(AF347,[1]Diccionario!B:N,13,0)="C"), "OK",IF(AND(OR(AC347="C",AC347="c"), OR(VLOOKUP(AF347,[1]Diccionario!B:N,13,0)="B", VLOOKUP(AF347,[1]Diccionario!B:N,13,0)="A")), "DEFICIT",IF(
AND(OR(AC347="B", AC347="BPAL"), VLOOKUP(AF347,[1]Diccionario!B:N,13,0)="B"), "OK",IF(AND(OR(AC347="B", AC347="BPAL"), VLOOKUP(AF347,[1]Diccionario!B:N,13,0)="A"), "DEFICIT",IF(AND(OR(AC347="B", AC347="BPAL"), VLOOKUP(AF347,[1]Diccionario!B:N,13,0)="C"), "SOBREOFERTA",IF(AND(AC347="A", VLOOKUP(AF347,[1]Diccionario!B:N,13,0)="A"), "OK",IF(
AND(AC347="A", OR(VLOOKUP(AF347,[1]Diccionario!B:N,13,0)="B", VLOOKUP(AF347,[1]Diccionario!B:N,13,0)="C")), "SOBREOFERTA",""
))))))),"")</f>
        <v/>
      </c>
      <c r="AF347" s="48"/>
      <c r="AG347" s="53"/>
      <c r="AH347" s="54"/>
      <c r="AI347" s="55" t="str">
        <f t="shared" si="92"/>
        <v/>
      </c>
      <c r="AJ347" s="46"/>
      <c r="AK347" s="34" t="e">
        <f>IF(AB347&lt;&gt;"",HLOOKUP(VALUE(TEXT(AH347,"h:mm:ss")),IF($C$6="Laboral",[1]Input!$A$4:$Y$227,IF($C$6="Sábado",[1]Input!$A$231:$Y$452,[1]Input!$A$456:$Y$656)),VLOOKUP($C$4,[1]Input!$AG$2:$AI$99,3,0)+IF(AD$5="Ida",0,1),1),"")</f>
        <v>#N/A</v>
      </c>
      <c r="AL347" s="34" t="str">
        <f>IF(AB348&lt;&gt;AB347,AVERAGEIF(AB$9:AB347,AB347,AK$9:AK347),"")</f>
        <v/>
      </c>
      <c r="AM347" s="35" t="str">
        <f>IFERROR(IF(AB348&lt;&gt;AB347,AVERAGEIF(AB$9:AB347,AB347,AT$9:AT347),""),"")</f>
        <v/>
      </c>
      <c r="AN347" s="35" t="str">
        <f>IFERROR(IF(AB348&lt;&gt;AB347,AVERAGEIF(AB$9:AB347,AB347,AU$9:AU347),""),"")</f>
        <v/>
      </c>
      <c r="AO347" s="35" t="str" cm="1">
        <f t="array" ref="AO347">IFERROR(IF(AB348&lt;&gt;AB347,_xlfn.STDEV.P(IF(AB$9:AB347=AB347,AU$9:AU347)),""),"")</f>
        <v/>
      </c>
      <c r="AP347" s="35" t="str" cm="1">
        <f t="array" ref="AP347">IFERROR(IF(AB348&lt;&gt;AB347,_xlfn.STDEV.P(IF(AB$9:AB347=AB347,AT$9:AT347)),""),"")</f>
        <v/>
      </c>
      <c r="AQ347" s="36" t="str">
        <f t="shared" si="83"/>
        <v/>
      </c>
      <c r="AR347" s="36" t="str">
        <f t="shared" si="84"/>
        <v/>
      </c>
      <c r="AS347" s="36" t="str">
        <f t="shared" si="93"/>
        <v/>
      </c>
      <c r="AT347" s="37" t="str">
        <f t="shared" si="85"/>
        <v/>
      </c>
      <c r="AU347" s="37" t="str">
        <f t="shared" si="86"/>
        <v/>
      </c>
      <c r="AV347" s="54"/>
      <c r="AW347" s="46"/>
      <c r="AX347" s="39" t="str" cm="1">
        <f t="array" ref="AX347">IF(AH347&lt;&gt;"",IF(AND(AX345:AX346&lt;&gt;"IE",AQ347&lt;&gt;0,AS347&lt;&gt;""),IF(IFERROR((AQ347/AS347),0) &lt;=1,IFERROR(AQ347/AS347,""),1),""),"")</f>
        <v/>
      </c>
      <c r="AY347" s="46"/>
      <c r="AZ347" s="57"/>
    </row>
    <row r="348" spans="1:52" ht="15.5" x14ac:dyDescent="0.35">
      <c r="A348" s="51">
        <f t="shared" si="94"/>
        <v>1</v>
      </c>
      <c r="B348" s="52"/>
      <c r="C348" s="52"/>
      <c r="D348" s="29" t="str">
        <f>IFERROR(
IF(AND(OR(Planilla!B348="C",Planilla!B348="c"), VLOOKUP(E348,[1]Diccionario!B:N,13,0)="C"), "OK",IF(AND(OR(Planilla!B348="C",Planilla!B348="c"), OR(VLOOKUP(E348,[1]Diccionario!B:N,13,0)="B", VLOOKUP(E348,[1]Diccionario!B:N,13,0)="A")), "DEFICIT",IF(
AND(OR(Planilla!B348="B", Planilla!B348="BPAL"), VLOOKUP(E348,[1]Diccionario!B:N,13,0)="B"), "OK",IF(AND(OR(Planilla!B348="B", Planilla!B348="BPAL"), VLOOKUP(E348,[1]Diccionario!B:N,13,0)="A"), "DEFICIT",IF(AND(OR(Planilla!B348="B", Planilla!B348="BPAL"), VLOOKUP(E348,[1]Diccionario!B:N,13,0)="C"), "SOBREOFERTA",IF(AND(Planilla!B348="A", VLOOKUP(E348,[1]Diccionario!B:N,13,0)="A"), "OK",IF(
AND(Planilla!B348="A", OR(VLOOKUP(E348,[1]Diccionario!B:N,13,0)="B", VLOOKUP(E348,[1]Diccionario!B:N,13,0)="C")), "SOBREOFERTA",""
))))))),"")</f>
        <v/>
      </c>
      <c r="E348" s="48"/>
      <c r="F348" s="53"/>
      <c r="G348" s="54"/>
      <c r="H348" s="55" t="str">
        <f t="shared" si="87"/>
        <v/>
      </c>
      <c r="I348" s="35"/>
      <c r="J348" s="34" t="e">
        <f>IF(A348&lt;&gt;"",HLOOKUP(VALUE(TEXT(G348,"h:mm:ss")),IF($C$6="Laboral",[1]Input!$A$4:$Y$227,IF($C$6="Sábado",[1]Input!$A$231:$Y$452,[1]Input!$A$456:$Y$656)),VLOOKUP($C$4,[1]Input!$AG$2:$AI$99,3,0)+IF(C$5="Ida",0,1),1),"")</f>
        <v>#N/A</v>
      </c>
      <c r="K348" s="34" t="str">
        <f>IF(A349&lt;&gt;A348,AVERAGEIF(A$9:A348,A348,J$13:J348),"")</f>
        <v/>
      </c>
      <c r="L348" s="35" t="str">
        <f>IFERROR(IF(A349&lt;&gt;A348,AVERAGEIF(A$9:A348,A348,S$13:S348),""),"")</f>
        <v/>
      </c>
      <c r="M348" s="35" t="str">
        <f>IFERROR(IF(A349&lt;&gt;A348,AVERAGEIF(A$9:A348,A348,T$8:T348),""),"")</f>
        <v/>
      </c>
      <c r="N348" s="35" t="str" cm="1">
        <f t="array" ref="N348">IFERROR(IF(A349&lt;&gt;A348,_xlfn.STDEV.P(IF(A$9:A348=A348,T$7:T348)),""),"")</f>
        <v/>
      </c>
      <c r="O348" s="35" t="str" cm="1">
        <f t="array" ref="O348">IFERROR(IF(A349&lt;&gt;A348,_xlfn.STDEV.P(IF(A$9:A348=A348,S$7:S348)),""),"")</f>
        <v/>
      </c>
      <c r="P348" s="36" t="str">
        <f t="shared" si="80"/>
        <v/>
      </c>
      <c r="Q348" s="36" t="str">
        <f t="shared" si="81"/>
        <v/>
      </c>
      <c r="R348" s="36" t="str">
        <f t="shared" si="88"/>
        <v/>
      </c>
      <c r="S348" s="37" t="str">
        <f t="shared" si="89"/>
        <v/>
      </c>
      <c r="T348" s="37" t="str">
        <f t="shared" si="82"/>
        <v/>
      </c>
      <c r="U348" s="54"/>
      <c r="V348" s="46"/>
      <c r="W348" s="39" t="str">
        <f t="shared" si="90"/>
        <v/>
      </c>
      <c r="X348" s="38"/>
      <c r="Y348" s="48"/>
      <c r="AB348" s="56">
        <f t="shared" si="91"/>
        <v>1</v>
      </c>
      <c r="AC348" s="52"/>
      <c r="AD348" s="52"/>
      <c r="AE348" s="29" t="str">
        <f>IFERROR(
IF(AND(OR(AC348="C",AC348="c"), VLOOKUP(AF348,[1]Diccionario!B:N,13,0)="C"), "OK",IF(AND(OR(AC348="C",AC348="c"), OR(VLOOKUP(AF348,[1]Diccionario!B:N,13,0)="B", VLOOKUP(AF348,[1]Diccionario!B:N,13,0)="A")), "DEFICIT",IF(
AND(OR(AC348="B", AC348="BPAL"), VLOOKUP(AF348,[1]Diccionario!B:N,13,0)="B"), "OK",IF(AND(OR(AC348="B", AC348="BPAL"), VLOOKUP(AF348,[1]Diccionario!B:N,13,0)="A"), "DEFICIT",IF(AND(OR(AC348="B", AC348="BPAL"), VLOOKUP(AF348,[1]Diccionario!B:N,13,0)="C"), "SOBREOFERTA",IF(AND(AC348="A", VLOOKUP(AF348,[1]Diccionario!B:N,13,0)="A"), "OK",IF(
AND(AC348="A", OR(VLOOKUP(AF348,[1]Diccionario!B:N,13,0)="B", VLOOKUP(AF348,[1]Diccionario!B:N,13,0)="C")), "SOBREOFERTA",""
))))))),"")</f>
        <v/>
      </c>
      <c r="AF348" s="48"/>
      <c r="AG348" s="53"/>
      <c r="AH348" s="54"/>
      <c r="AI348" s="55" t="str">
        <f t="shared" si="92"/>
        <v/>
      </c>
      <c r="AJ348" s="46"/>
      <c r="AK348" s="34" t="e">
        <f>IF(AB348&lt;&gt;"",HLOOKUP(VALUE(TEXT(AH348,"h:mm:ss")),IF($C$6="Laboral",[1]Input!$A$4:$Y$227,IF($C$6="Sábado",[1]Input!$A$231:$Y$452,[1]Input!$A$456:$Y$656)),VLOOKUP($C$4,[1]Input!$AG$2:$AI$99,3,0)+IF(AD$5="Ida",0,1),1),"")</f>
        <v>#N/A</v>
      </c>
      <c r="AL348" s="34" t="str">
        <f>IF(AB349&lt;&gt;AB348,AVERAGEIF(AB$9:AB348,AB348,AK$9:AK348),"")</f>
        <v/>
      </c>
      <c r="AM348" s="35" t="str">
        <f>IFERROR(IF(AB349&lt;&gt;AB348,AVERAGEIF(AB$9:AB348,AB348,AT$9:AT348),""),"")</f>
        <v/>
      </c>
      <c r="AN348" s="35" t="str">
        <f>IFERROR(IF(AB349&lt;&gt;AB348,AVERAGEIF(AB$9:AB348,AB348,AU$9:AU348),""),"")</f>
        <v/>
      </c>
      <c r="AO348" s="35" t="str" cm="1">
        <f t="array" ref="AO348">IFERROR(IF(AB349&lt;&gt;AB348,_xlfn.STDEV.P(IF(AB$9:AB348=AB348,AU$9:AU348)),""),"")</f>
        <v/>
      </c>
      <c r="AP348" s="35" t="str" cm="1">
        <f t="array" ref="AP348">IFERROR(IF(AB349&lt;&gt;AB348,_xlfn.STDEV.P(IF(AB$9:AB348=AB348,AT$9:AT348)),""),"")</f>
        <v/>
      </c>
      <c r="AQ348" s="36" t="str">
        <f t="shared" si="83"/>
        <v/>
      </c>
      <c r="AR348" s="36" t="str">
        <f t="shared" si="84"/>
        <v/>
      </c>
      <c r="AS348" s="36" t="str">
        <f t="shared" si="93"/>
        <v/>
      </c>
      <c r="AT348" s="37" t="str">
        <f t="shared" si="85"/>
        <v/>
      </c>
      <c r="AU348" s="37" t="str">
        <f t="shared" si="86"/>
        <v/>
      </c>
      <c r="AV348" s="54"/>
      <c r="AW348" s="46"/>
      <c r="AX348" s="39" t="str" cm="1">
        <f t="array" ref="AX348">IF(AH348&lt;&gt;"",IF(AND(AX346:AX347&lt;&gt;"IE",AQ348&lt;&gt;0,AS348&lt;&gt;""),IF(IFERROR((AQ348/AS348),0) &lt;=1,IFERROR(AQ348/AS348,""),1),""),"")</f>
        <v/>
      </c>
      <c r="AY348" s="46"/>
      <c r="AZ348" s="57"/>
    </row>
    <row r="349" spans="1:52" ht="15.5" x14ac:dyDescent="0.35">
      <c r="A349" s="51">
        <f t="shared" si="94"/>
        <v>1</v>
      </c>
      <c r="B349" s="52"/>
      <c r="C349" s="52"/>
      <c r="D349" s="29" t="str">
        <f>IFERROR(
IF(AND(OR(Planilla!B349="C",Planilla!B349="c"), VLOOKUP(E349,[1]Diccionario!B:N,13,0)="C"), "OK",IF(AND(OR(Planilla!B349="C",Planilla!B349="c"), OR(VLOOKUP(E349,[1]Diccionario!B:N,13,0)="B", VLOOKUP(E349,[1]Diccionario!B:N,13,0)="A")), "DEFICIT",IF(
AND(OR(Planilla!B349="B", Planilla!B349="BPAL"), VLOOKUP(E349,[1]Diccionario!B:N,13,0)="B"), "OK",IF(AND(OR(Planilla!B349="B", Planilla!B349="BPAL"), VLOOKUP(E349,[1]Diccionario!B:N,13,0)="A"), "DEFICIT",IF(AND(OR(Planilla!B349="B", Planilla!B349="BPAL"), VLOOKUP(E349,[1]Diccionario!B:N,13,0)="C"), "SOBREOFERTA",IF(AND(Planilla!B349="A", VLOOKUP(E349,[1]Diccionario!B:N,13,0)="A"), "OK",IF(
AND(Planilla!B349="A", OR(VLOOKUP(E349,[1]Diccionario!B:N,13,0)="B", VLOOKUP(E349,[1]Diccionario!B:N,13,0)="C")), "SOBREOFERTA",""
))))))),"")</f>
        <v/>
      </c>
      <c r="E349" s="48"/>
      <c r="F349" s="53"/>
      <c r="G349" s="54"/>
      <c r="H349" s="55" t="str">
        <f t="shared" si="87"/>
        <v/>
      </c>
      <c r="I349" s="35"/>
      <c r="J349" s="34" t="e">
        <f>IF(A349&lt;&gt;"",HLOOKUP(VALUE(TEXT(G349,"h:mm:ss")),IF($C$6="Laboral",[1]Input!$A$4:$Y$227,IF($C$6="Sábado",[1]Input!$A$231:$Y$452,[1]Input!$A$456:$Y$656)),VLOOKUP($C$4,[1]Input!$AG$2:$AI$99,3,0)+IF(C$5="Ida",0,1),1),"")</f>
        <v>#N/A</v>
      </c>
      <c r="K349" s="34" t="str">
        <f>IF(A350&lt;&gt;A349,AVERAGEIF(A$9:A349,A349,J$13:J349),"")</f>
        <v/>
      </c>
      <c r="L349" s="35" t="str">
        <f>IFERROR(IF(A350&lt;&gt;A349,AVERAGEIF(A$9:A349,A349,S$13:S349),""),"")</f>
        <v/>
      </c>
      <c r="M349" s="35" t="str">
        <f>IFERROR(IF(A350&lt;&gt;A349,AVERAGEIF(A$9:A349,A349,T$8:T349),""),"")</f>
        <v/>
      </c>
      <c r="N349" s="35" t="str" cm="1">
        <f t="array" ref="N349">IFERROR(IF(A350&lt;&gt;A349,_xlfn.STDEV.P(IF(A$9:A349=A349,T$7:T349)),""),"")</f>
        <v/>
      </c>
      <c r="O349" s="35" t="str" cm="1">
        <f t="array" ref="O349">IFERROR(IF(A350&lt;&gt;A349,_xlfn.STDEV.P(IF(A$9:A349=A349,S$7:S349)),""),"")</f>
        <v/>
      </c>
      <c r="P349" s="36" t="str">
        <f t="shared" si="80"/>
        <v/>
      </c>
      <c r="Q349" s="36" t="str">
        <f t="shared" si="81"/>
        <v/>
      </c>
      <c r="R349" s="36" t="str">
        <f t="shared" si="88"/>
        <v/>
      </c>
      <c r="S349" s="37" t="str">
        <f t="shared" si="89"/>
        <v/>
      </c>
      <c r="T349" s="37" t="str">
        <f t="shared" si="82"/>
        <v/>
      </c>
      <c r="U349" s="54"/>
      <c r="V349" s="46"/>
      <c r="W349" s="39" t="str">
        <f t="shared" si="90"/>
        <v/>
      </c>
      <c r="X349" s="38"/>
      <c r="Y349" s="48"/>
      <c r="AB349" s="56">
        <f t="shared" si="91"/>
        <v>1</v>
      </c>
      <c r="AC349" s="52"/>
      <c r="AD349" s="52"/>
      <c r="AE349" s="29" t="str">
        <f>IFERROR(
IF(AND(OR(AC349="C",AC349="c"), VLOOKUP(AF349,[1]Diccionario!B:N,13,0)="C"), "OK",IF(AND(OR(AC349="C",AC349="c"), OR(VLOOKUP(AF349,[1]Diccionario!B:N,13,0)="B", VLOOKUP(AF349,[1]Diccionario!B:N,13,0)="A")), "DEFICIT",IF(
AND(OR(AC349="B", AC349="BPAL"), VLOOKUP(AF349,[1]Diccionario!B:N,13,0)="B"), "OK",IF(AND(OR(AC349="B", AC349="BPAL"), VLOOKUP(AF349,[1]Diccionario!B:N,13,0)="A"), "DEFICIT",IF(AND(OR(AC349="B", AC349="BPAL"), VLOOKUP(AF349,[1]Diccionario!B:N,13,0)="C"), "SOBREOFERTA",IF(AND(AC349="A", VLOOKUP(AF349,[1]Diccionario!B:N,13,0)="A"), "OK",IF(
AND(AC349="A", OR(VLOOKUP(AF349,[1]Diccionario!B:N,13,0)="B", VLOOKUP(AF349,[1]Diccionario!B:N,13,0)="C")), "SOBREOFERTA",""
))))))),"")</f>
        <v/>
      </c>
      <c r="AF349" s="48"/>
      <c r="AG349" s="53"/>
      <c r="AH349" s="54"/>
      <c r="AI349" s="55" t="str">
        <f t="shared" si="92"/>
        <v/>
      </c>
      <c r="AJ349" s="46"/>
      <c r="AK349" s="34" t="e">
        <f>IF(AB349&lt;&gt;"",HLOOKUP(VALUE(TEXT(AH349,"h:mm:ss")),IF($C$6="Laboral",[1]Input!$A$4:$Y$227,IF($C$6="Sábado",[1]Input!$A$231:$Y$452,[1]Input!$A$456:$Y$656)),VLOOKUP($C$4,[1]Input!$AG$2:$AI$99,3,0)+IF(AD$5="Ida",0,1),1),"")</f>
        <v>#N/A</v>
      </c>
      <c r="AL349" s="34" t="str">
        <f>IF(AB350&lt;&gt;AB349,AVERAGEIF(AB$9:AB349,AB349,AK$9:AK349),"")</f>
        <v/>
      </c>
      <c r="AM349" s="35" t="str">
        <f>IFERROR(IF(AB350&lt;&gt;AB349,AVERAGEIF(AB$9:AB349,AB349,AT$9:AT349),""),"")</f>
        <v/>
      </c>
      <c r="AN349" s="35" t="str">
        <f>IFERROR(IF(AB350&lt;&gt;AB349,AVERAGEIF(AB$9:AB349,AB349,AU$9:AU349),""),"")</f>
        <v/>
      </c>
      <c r="AO349" s="35" t="str" cm="1">
        <f t="array" ref="AO349">IFERROR(IF(AB350&lt;&gt;AB349,_xlfn.STDEV.P(IF(AB$9:AB349=AB349,AU$9:AU349)),""),"")</f>
        <v/>
      </c>
      <c r="AP349" s="35" t="str" cm="1">
        <f t="array" ref="AP349">IFERROR(IF(AB350&lt;&gt;AB349,_xlfn.STDEV.P(IF(AB$9:AB349=AB349,AT$9:AT349)),""),"")</f>
        <v/>
      </c>
      <c r="AQ349" s="36" t="str">
        <f t="shared" si="83"/>
        <v/>
      </c>
      <c r="AR349" s="36" t="str">
        <f t="shared" si="84"/>
        <v/>
      </c>
      <c r="AS349" s="36" t="str">
        <f t="shared" si="93"/>
        <v/>
      </c>
      <c r="AT349" s="37" t="str">
        <f t="shared" si="85"/>
        <v/>
      </c>
      <c r="AU349" s="37" t="str">
        <f t="shared" si="86"/>
        <v/>
      </c>
      <c r="AV349" s="54"/>
      <c r="AW349" s="46"/>
      <c r="AX349" s="39" t="str" cm="1">
        <f t="array" ref="AX349">IF(AH349&lt;&gt;"",IF(AND(AX347:AX348&lt;&gt;"IE",AQ349&lt;&gt;0,AS349&lt;&gt;""),IF(IFERROR((AQ349/AS349),0) &lt;=1,IFERROR(AQ349/AS349,""),1),""),"")</f>
        <v/>
      </c>
      <c r="AY349" s="46"/>
      <c r="AZ349" s="57"/>
    </row>
    <row r="350" spans="1:52" ht="15.5" x14ac:dyDescent="0.35">
      <c r="A350" s="51">
        <f t="shared" si="94"/>
        <v>1</v>
      </c>
      <c r="B350" s="52"/>
      <c r="C350" s="52"/>
      <c r="D350" s="29" t="str">
        <f>IFERROR(
IF(AND(OR(Planilla!B350="C",Planilla!B350="c"), VLOOKUP(E350,[1]Diccionario!B:N,13,0)="C"), "OK",IF(AND(OR(Planilla!B350="C",Planilla!B350="c"), OR(VLOOKUP(E350,[1]Diccionario!B:N,13,0)="B", VLOOKUP(E350,[1]Diccionario!B:N,13,0)="A")), "DEFICIT",IF(
AND(OR(Planilla!B350="B", Planilla!B350="BPAL"), VLOOKUP(E350,[1]Diccionario!B:N,13,0)="B"), "OK",IF(AND(OR(Planilla!B350="B", Planilla!B350="BPAL"), VLOOKUP(E350,[1]Diccionario!B:N,13,0)="A"), "DEFICIT",IF(AND(OR(Planilla!B350="B", Planilla!B350="BPAL"), VLOOKUP(E350,[1]Diccionario!B:N,13,0)="C"), "SOBREOFERTA",IF(AND(Planilla!B350="A", VLOOKUP(E350,[1]Diccionario!B:N,13,0)="A"), "OK",IF(
AND(Planilla!B350="A", OR(VLOOKUP(E350,[1]Diccionario!B:N,13,0)="B", VLOOKUP(E350,[1]Diccionario!B:N,13,0)="C")), "SOBREOFERTA",""
))))))),"")</f>
        <v/>
      </c>
      <c r="E350" s="48"/>
      <c r="F350" s="53"/>
      <c r="G350" s="54"/>
      <c r="H350" s="55" t="str">
        <f t="shared" si="87"/>
        <v/>
      </c>
      <c r="I350" s="35"/>
      <c r="J350" s="34" t="e">
        <f>IF(A350&lt;&gt;"",HLOOKUP(VALUE(TEXT(G350,"h:mm:ss")),IF($C$6="Laboral",[1]Input!$A$4:$Y$227,IF($C$6="Sábado",[1]Input!$A$231:$Y$452,[1]Input!$A$456:$Y$656)),VLOOKUP($C$4,[1]Input!$AG$2:$AI$99,3,0)+IF(C$5="Ida",0,1),1),"")</f>
        <v>#N/A</v>
      </c>
      <c r="K350" s="34" t="str">
        <f>IF(A351&lt;&gt;A350,AVERAGEIF(A$9:A350,A350,J$13:J350),"")</f>
        <v/>
      </c>
      <c r="L350" s="35" t="str">
        <f>IFERROR(IF(A351&lt;&gt;A350,AVERAGEIF(A$9:A350,A350,S$13:S350),""),"")</f>
        <v/>
      </c>
      <c r="M350" s="35" t="str">
        <f>IFERROR(IF(A351&lt;&gt;A350,AVERAGEIF(A$9:A350,A350,T$8:T350),""),"")</f>
        <v/>
      </c>
      <c r="N350" s="35" t="str" cm="1">
        <f t="array" ref="N350">IFERROR(IF(A351&lt;&gt;A350,_xlfn.STDEV.P(IF(A$9:A350=A350,T$7:T350)),""),"")</f>
        <v/>
      </c>
      <c r="O350" s="35" t="str" cm="1">
        <f t="array" ref="O350">IFERROR(IF(A351&lt;&gt;A350,_xlfn.STDEV.P(IF(A$9:A350=A350,S$7:S350)),""),"")</f>
        <v/>
      </c>
      <c r="P350" s="36" t="str">
        <f t="shared" si="80"/>
        <v/>
      </c>
      <c r="Q350" s="36" t="str">
        <f t="shared" si="81"/>
        <v/>
      </c>
      <c r="R350" s="36" t="str">
        <f t="shared" si="88"/>
        <v/>
      </c>
      <c r="S350" s="37" t="str">
        <f t="shared" si="89"/>
        <v/>
      </c>
      <c r="T350" s="37" t="str">
        <f t="shared" si="82"/>
        <v/>
      </c>
      <c r="U350" s="54"/>
      <c r="V350" s="46"/>
      <c r="W350" s="39" t="str">
        <f t="shared" si="90"/>
        <v/>
      </c>
      <c r="X350" s="38"/>
      <c r="Y350" s="48"/>
      <c r="AB350" s="56">
        <f t="shared" si="91"/>
        <v>1</v>
      </c>
      <c r="AC350" s="52"/>
      <c r="AD350" s="52"/>
      <c r="AE350" s="29" t="str">
        <f>IFERROR(
IF(AND(OR(AC350="C",AC350="c"), VLOOKUP(AF350,[1]Diccionario!B:N,13,0)="C"), "OK",IF(AND(OR(AC350="C",AC350="c"), OR(VLOOKUP(AF350,[1]Diccionario!B:N,13,0)="B", VLOOKUP(AF350,[1]Diccionario!B:N,13,0)="A")), "DEFICIT",IF(
AND(OR(AC350="B", AC350="BPAL"), VLOOKUP(AF350,[1]Diccionario!B:N,13,0)="B"), "OK",IF(AND(OR(AC350="B", AC350="BPAL"), VLOOKUP(AF350,[1]Diccionario!B:N,13,0)="A"), "DEFICIT",IF(AND(OR(AC350="B", AC350="BPAL"), VLOOKUP(AF350,[1]Diccionario!B:N,13,0)="C"), "SOBREOFERTA",IF(AND(AC350="A", VLOOKUP(AF350,[1]Diccionario!B:N,13,0)="A"), "OK",IF(
AND(AC350="A", OR(VLOOKUP(AF350,[1]Diccionario!B:N,13,0)="B", VLOOKUP(AF350,[1]Diccionario!B:N,13,0)="C")), "SOBREOFERTA",""
))))))),"")</f>
        <v/>
      </c>
      <c r="AF350" s="48"/>
      <c r="AG350" s="53"/>
      <c r="AH350" s="54"/>
      <c r="AI350" s="55" t="str">
        <f t="shared" si="92"/>
        <v/>
      </c>
      <c r="AJ350" s="46"/>
      <c r="AK350" s="34" t="e">
        <f>IF(AB350&lt;&gt;"",HLOOKUP(VALUE(TEXT(AH350,"h:mm:ss")),IF($C$6="Laboral",[1]Input!$A$4:$Y$227,IF($C$6="Sábado",[1]Input!$A$231:$Y$452,[1]Input!$A$456:$Y$656)),VLOOKUP($C$4,[1]Input!$AG$2:$AI$99,3,0)+IF(AD$5="Ida",0,1),1),"")</f>
        <v>#N/A</v>
      </c>
      <c r="AL350" s="34" t="str">
        <f>IF(AB351&lt;&gt;AB350,AVERAGEIF(AB$9:AB350,AB350,AK$9:AK350),"")</f>
        <v/>
      </c>
      <c r="AM350" s="35" t="str">
        <f>IFERROR(IF(AB351&lt;&gt;AB350,AVERAGEIF(AB$9:AB350,AB350,AT$9:AT350),""),"")</f>
        <v/>
      </c>
      <c r="AN350" s="35" t="str">
        <f>IFERROR(IF(AB351&lt;&gt;AB350,AVERAGEIF(AB$9:AB350,AB350,AU$9:AU350),""),"")</f>
        <v/>
      </c>
      <c r="AO350" s="35" t="str" cm="1">
        <f t="array" ref="AO350">IFERROR(IF(AB351&lt;&gt;AB350,_xlfn.STDEV.P(IF(AB$9:AB350=AB350,AU$9:AU350)),""),"")</f>
        <v/>
      </c>
      <c r="AP350" s="35" t="str" cm="1">
        <f t="array" ref="AP350">IFERROR(IF(AB351&lt;&gt;AB350,_xlfn.STDEV.P(IF(AB$9:AB350=AB350,AT$9:AT350)),""),"")</f>
        <v/>
      </c>
      <c r="AQ350" s="36" t="str">
        <f t="shared" si="83"/>
        <v/>
      </c>
      <c r="AR350" s="36" t="str">
        <f t="shared" si="84"/>
        <v/>
      </c>
      <c r="AS350" s="36" t="str">
        <f t="shared" si="93"/>
        <v/>
      </c>
      <c r="AT350" s="37" t="str">
        <f t="shared" si="85"/>
        <v/>
      </c>
      <c r="AU350" s="37" t="str">
        <f t="shared" si="86"/>
        <v/>
      </c>
      <c r="AV350" s="54"/>
      <c r="AW350" s="46"/>
      <c r="AX350" s="39" t="str" cm="1">
        <f t="array" ref="AX350">IF(AH350&lt;&gt;"",IF(AND(AX348:AX349&lt;&gt;"IE",AQ350&lt;&gt;0,AS350&lt;&gt;""),IF(IFERROR((AQ350/AS350),0) &lt;=1,IFERROR(AQ350/AS350,""),1),""),"")</f>
        <v/>
      </c>
      <c r="AY350" s="46"/>
      <c r="AZ350" s="57"/>
    </row>
    <row r="351" spans="1:52" ht="15.5" x14ac:dyDescent="0.35">
      <c r="A351" s="51">
        <f t="shared" si="94"/>
        <v>1</v>
      </c>
      <c r="B351" s="52"/>
      <c r="C351" s="52"/>
      <c r="D351" s="29" t="str">
        <f>IFERROR(
IF(AND(OR(Planilla!B351="C",Planilla!B351="c"), VLOOKUP(E351,[1]Diccionario!B:N,13,0)="C"), "OK",IF(AND(OR(Planilla!B351="C",Planilla!B351="c"), OR(VLOOKUP(E351,[1]Diccionario!B:N,13,0)="B", VLOOKUP(E351,[1]Diccionario!B:N,13,0)="A")), "DEFICIT",IF(
AND(OR(Planilla!B351="B", Planilla!B351="BPAL"), VLOOKUP(E351,[1]Diccionario!B:N,13,0)="B"), "OK",IF(AND(OR(Planilla!B351="B", Planilla!B351="BPAL"), VLOOKUP(E351,[1]Diccionario!B:N,13,0)="A"), "DEFICIT",IF(AND(OR(Planilla!B351="B", Planilla!B351="BPAL"), VLOOKUP(E351,[1]Diccionario!B:N,13,0)="C"), "SOBREOFERTA",IF(AND(Planilla!B351="A", VLOOKUP(E351,[1]Diccionario!B:N,13,0)="A"), "OK",IF(
AND(Planilla!B351="A", OR(VLOOKUP(E351,[1]Diccionario!B:N,13,0)="B", VLOOKUP(E351,[1]Diccionario!B:N,13,0)="C")), "SOBREOFERTA",""
))))))),"")</f>
        <v/>
      </c>
      <c r="E351" s="48"/>
      <c r="F351" s="53"/>
      <c r="G351" s="54"/>
      <c r="H351" s="55" t="str">
        <f t="shared" si="87"/>
        <v/>
      </c>
      <c r="I351" s="35"/>
      <c r="J351" s="34" t="e">
        <f>IF(A351&lt;&gt;"",HLOOKUP(VALUE(TEXT(G351,"h:mm:ss")),IF($C$6="Laboral",[1]Input!$A$4:$Y$227,IF($C$6="Sábado",[1]Input!$A$231:$Y$452,[1]Input!$A$456:$Y$656)),VLOOKUP($C$4,[1]Input!$AG$2:$AI$99,3,0)+IF(C$5="Ida",0,1),1),"")</f>
        <v>#N/A</v>
      </c>
      <c r="K351" s="34" t="str">
        <f>IF(A352&lt;&gt;A351,AVERAGEIF(A$9:A351,A351,J$13:J351),"")</f>
        <v/>
      </c>
      <c r="L351" s="35" t="str">
        <f>IFERROR(IF(A352&lt;&gt;A351,AVERAGEIF(A$9:A351,A351,S$13:S351),""),"")</f>
        <v/>
      </c>
      <c r="M351" s="35" t="str">
        <f>IFERROR(IF(A352&lt;&gt;A351,AVERAGEIF(A$9:A351,A351,T$8:T351),""),"")</f>
        <v/>
      </c>
      <c r="N351" s="35" t="str" cm="1">
        <f t="array" ref="N351">IFERROR(IF(A352&lt;&gt;A351,_xlfn.STDEV.P(IF(A$9:A351=A351,T$7:T351)),""),"")</f>
        <v/>
      </c>
      <c r="O351" s="35" t="str" cm="1">
        <f t="array" ref="O351">IFERROR(IF(A352&lt;&gt;A351,_xlfn.STDEV.P(IF(A$9:A351=A351,S$7:S351)),""),"")</f>
        <v/>
      </c>
      <c r="P351" s="36" t="str">
        <f t="shared" si="80"/>
        <v/>
      </c>
      <c r="Q351" s="36" t="str">
        <f t="shared" si="81"/>
        <v/>
      </c>
      <c r="R351" s="36" t="str">
        <f t="shared" si="88"/>
        <v/>
      </c>
      <c r="S351" s="37" t="str">
        <f t="shared" si="89"/>
        <v/>
      </c>
      <c r="T351" s="37" t="str">
        <f t="shared" si="82"/>
        <v/>
      </c>
      <c r="U351" s="54"/>
      <c r="V351" s="46"/>
      <c r="W351" s="39" t="str">
        <f t="shared" si="90"/>
        <v/>
      </c>
      <c r="X351" s="38"/>
      <c r="Y351" s="48"/>
      <c r="AB351" s="56">
        <f t="shared" si="91"/>
        <v>1</v>
      </c>
      <c r="AC351" s="52"/>
      <c r="AD351" s="52"/>
      <c r="AE351" s="29" t="str">
        <f>IFERROR(
IF(AND(OR(AC351="C",AC351="c"), VLOOKUP(AF351,[1]Diccionario!B:N,13,0)="C"), "OK",IF(AND(OR(AC351="C",AC351="c"), OR(VLOOKUP(AF351,[1]Diccionario!B:N,13,0)="B", VLOOKUP(AF351,[1]Diccionario!B:N,13,0)="A")), "DEFICIT",IF(
AND(OR(AC351="B", AC351="BPAL"), VLOOKUP(AF351,[1]Diccionario!B:N,13,0)="B"), "OK",IF(AND(OR(AC351="B", AC351="BPAL"), VLOOKUP(AF351,[1]Diccionario!B:N,13,0)="A"), "DEFICIT",IF(AND(OR(AC351="B", AC351="BPAL"), VLOOKUP(AF351,[1]Diccionario!B:N,13,0)="C"), "SOBREOFERTA",IF(AND(AC351="A", VLOOKUP(AF351,[1]Diccionario!B:N,13,0)="A"), "OK",IF(
AND(AC351="A", OR(VLOOKUP(AF351,[1]Diccionario!B:N,13,0)="B", VLOOKUP(AF351,[1]Diccionario!B:N,13,0)="C")), "SOBREOFERTA",""
))))))),"")</f>
        <v/>
      </c>
      <c r="AF351" s="48"/>
      <c r="AG351" s="53"/>
      <c r="AH351" s="54"/>
      <c r="AI351" s="55" t="str">
        <f t="shared" si="92"/>
        <v/>
      </c>
      <c r="AJ351" s="46"/>
      <c r="AK351" s="34" t="e">
        <f>IF(AB351&lt;&gt;"",HLOOKUP(VALUE(TEXT(AH351,"h:mm:ss")),IF($C$6="Laboral",[1]Input!$A$4:$Y$227,IF($C$6="Sábado",[1]Input!$A$231:$Y$452,[1]Input!$A$456:$Y$656)),VLOOKUP($C$4,[1]Input!$AG$2:$AI$99,3,0)+IF(AD$5="Ida",0,1),1),"")</f>
        <v>#N/A</v>
      </c>
      <c r="AL351" s="34" t="str">
        <f>IF(AB352&lt;&gt;AB351,AVERAGEIF(AB$9:AB351,AB351,AK$9:AK351),"")</f>
        <v/>
      </c>
      <c r="AM351" s="35" t="str">
        <f>IFERROR(IF(AB352&lt;&gt;AB351,AVERAGEIF(AB$9:AB351,AB351,AT$9:AT351),""),"")</f>
        <v/>
      </c>
      <c r="AN351" s="35" t="str">
        <f>IFERROR(IF(AB352&lt;&gt;AB351,AVERAGEIF(AB$9:AB351,AB351,AU$9:AU351),""),"")</f>
        <v/>
      </c>
      <c r="AO351" s="35" t="str" cm="1">
        <f t="array" ref="AO351">IFERROR(IF(AB352&lt;&gt;AB351,_xlfn.STDEV.P(IF(AB$9:AB351=AB351,AU$9:AU351)),""),"")</f>
        <v/>
      </c>
      <c r="AP351" s="35" t="str" cm="1">
        <f t="array" ref="AP351">IFERROR(IF(AB352&lt;&gt;AB351,_xlfn.STDEV.P(IF(AB$9:AB351=AB351,AT$9:AT351)),""),"")</f>
        <v/>
      </c>
      <c r="AQ351" s="36" t="str">
        <f t="shared" si="83"/>
        <v/>
      </c>
      <c r="AR351" s="36" t="str">
        <f t="shared" si="84"/>
        <v/>
      </c>
      <c r="AS351" s="36" t="str">
        <f t="shared" si="93"/>
        <v/>
      </c>
      <c r="AT351" s="37" t="str">
        <f t="shared" si="85"/>
        <v/>
      </c>
      <c r="AU351" s="37" t="str">
        <f t="shared" si="86"/>
        <v/>
      </c>
      <c r="AV351" s="54"/>
      <c r="AW351" s="46"/>
      <c r="AX351" s="39" t="str" cm="1">
        <f t="array" ref="AX351">IF(AH351&lt;&gt;"",IF(AND(AX349:AX350&lt;&gt;"IE",AQ351&lt;&gt;0,AS351&lt;&gt;""),IF(IFERROR((AQ351/AS351),0) &lt;=1,IFERROR(AQ351/AS351,""),1),""),"")</f>
        <v/>
      </c>
      <c r="AY351" s="46"/>
      <c r="AZ351" s="57"/>
    </row>
    <row r="352" spans="1:52" ht="15.5" x14ac:dyDescent="0.35">
      <c r="A352" s="51">
        <f t="shared" si="94"/>
        <v>1</v>
      </c>
      <c r="B352" s="52"/>
      <c r="C352" s="52"/>
      <c r="D352" s="29" t="str">
        <f>IFERROR(
IF(AND(OR(Planilla!B352="C",Planilla!B352="c"), VLOOKUP(E352,[1]Diccionario!B:N,13,0)="C"), "OK",IF(AND(OR(Planilla!B352="C",Planilla!B352="c"), OR(VLOOKUP(E352,[1]Diccionario!B:N,13,0)="B", VLOOKUP(E352,[1]Diccionario!B:N,13,0)="A")), "DEFICIT",IF(
AND(OR(Planilla!B352="B", Planilla!B352="BPAL"), VLOOKUP(E352,[1]Diccionario!B:N,13,0)="B"), "OK",IF(AND(OR(Planilla!B352="B", Planilla!B352="BPAL"), VLOOKUP(E352,[1]Diccionario!B:N,13,0)="A"), "DEFICIT",IF(AND(OR(Planilla!B352="B", Planilla!B352="BPAL"), VLOOKUP(E352,[1]Diccionario!B:N,13,0)="C"), "SOBREOFERTA",IF(AND(Planilla!B352="A", VLOOKUP(E352,[1]Diccionario!B:N,13,0)="A"), "OK",IF(
AND(Planilla!B352="A", OR(VLOOKUP(E352,[1]Diccionario!B:N,13,0)="B", VLOOKUP(E352,[1]Diccionario!B:N,13,0)="C")), "SOBREOFERTA",""
))))))),"")</f>
        <v/>
      </c>
      <c r="E352" s="48"/>
      <c r="F352" s="53"/>
      <c r="G352" s="54"/>
      <c r="H352" s="55" t="str">
        <f t="shared" si="87"/>
        <v/>
      </c>
      <c r="I352" s="35"/>
      <c r="J352" s="34" t="e">
        <f>IF(A352&lt;&gt;"",HLOOKUP(VALUE(TEXT(G352,"h:mm:ss")),IF($C$6="Laboral",[1]Input!$A$4:$Y$227,IF($C$6="Sábado",[1]Input!$A$231:$Y$452,[1]Input!$A$456:$Y$656)),VLOOKUP($C$4,[1]Input!$AG$2:$AI$99,3,0)+IF(C$5="Ida",0,1),1),"")</f>
        <v>#N/A</v>
      </c>
      <c r="K352" s="34" t="str">
        <f>IF(A353&lt;&gt;A352,AVERAGEIF(A$9:A352,A352,J$13:J352),"")</f>
        <v/>
      </c>
      <c r="L352" s="35" t="str">
        <f>IFERROR(IF(A353&lt;&gt;A352,AVERAGEIF(A$9:A352,A352,S$13:S352),""),"")</f>
        <v/>
      </c>
      <c r="M352" s="35" t="str">
        <f>IFERROR(IF(A353&lt;&gt;A352,AVERAGEIF(A$9:A352,A352,T$8:T352),""),"")</f>
        <v/>
      </c>
      <c r="N352" s="35" t="str" cm="1">
        <f t="array" ref="N352">IFERROR(IF(A353&lt;&gt;A352,_xlfn.STDEV.P(IF(A$9:A352=A352,T$7:T352)),""),"")</f>
        <v/>
      </c>
      <c r="O352" s="35" t="str" cm="1">
        <f t="array" ref="O352">IFERROR(IF(A353&lt;&gt;A352,_xlfn.STDEV.P(IF(A$9:A352=A352,S$7:S352)),""),"")</f>
        <v/>
      </c>
      <c r="P352" s="36" t="str">
        <f t="shared" si="80"/>
        <v/>
      </c>
      <c r="Q352" s="36" t="str">
        <f t="shared" si="81"/>
        <v/>
      </c>
      <c r="R352" s="36" t="str">
        <f t="shared" si="88"/>
        <v/>
      </c>
      <c r="S352" s="37" t="str">
        <f t="shared" si="89"/>
        <v/>
      </c>
      <c r="T352" s="37" t="str">
        <f t="shared" si="82"/>
        <v/>
      </c>
      <c r="U352" s="54"/>
      <c r="V352" s="46"/>
      <c r="W352" s="39" t="str">
        <f t="shared" si="90"/>
        <v/>
      </c>
      <c r="X352" s="38"/>
      <c r="Y352" s="48"/>
      <c r="AB352" s="56">
        <f t="shared" si="91"/>
        <v>1</v>
      </c>
      <c r="AC352" s="52"/>
      <c r="AD352" s="52"/>
      <c r="AE352" s="29" t="str">
        <f>IFERROR(
IF(AND(OR(AC352="C",AC352="c"), VLOOKUP(AF352,[1]Diccionario!B:N,13,0)="C"), "OK",IF(AND(OR(AC352="C",AC352="c"), OR(VLOOKUP(AF352,[1]Diccionario!B:N,13,0)="B", VLOOKUP(AF352,[1]Diccionario!B:N,13,0)="A")), "DEFICIT",IF(
AND(OR(AC352="B", AC352="BPAL"), VLOOKUP(AF352,[1]Diccionario!B:N,13,0)="B"), "OK",IF(AND(OR(AC352="B", AC352="BPAL"), VLOOKUP(AF352,[1]Diccionario!B:N,13,0)="A"), "DEFICIT",IF(AND(OR(AC352="B", AC352="BPAL"), VLOOKUP(AF352,[1]Diccionario!B:N,13,0)="C"), "SOBREOFERTA",IF(AND(AC352="A", VLOOKUP(AF352,[1]Diccionario!B:N,13,0)="A"), "OK",IF(
AND(AC352="A", OR(VLOOKUP(AF352,[1]Diccionario!B:N,13,0)="B", VLOOKUP(AF352,[1]Diccionario!B:N,13,0)="C")), "SOBREOFERTA",""
))))))),"")</f>
        <v/>
      </c>
      <c r="AF352" s="48"/>
      <c r="AG352" s="53"/>
      <c r="AH352" s="54"/>
      <c r="AI352" s="55" t="str">
        <f t="shared" si="92"/>
        <v/>
      </c>
      <c r="AJ352" s="46"/>
      <c r="AK352" s="34" t="e">
        <f>IF(AB352&lt;&gt;"",HLOOKUP(VALUE(TEXT(AH352,"h:mm:ss")),IF($C$6="Laboral",[1]Input!$A$4:$Y$227,IF($C$6="Sábado",[1]Input!$A$231:$Y$452,[1]Input!$A$456:$Y$656)),VLOOKUP($C$4,[1]Input!$AG$2:$AI$99,3,0)+IF(AD$5="Ida",0,1),1),"")</f>
        <v>#N/A</v>
      </c>
      <c r="AL352" s="34" t="str">
        <f>IF(AB353&lt;&gt;AB352,AVERAGEIF(AB$9:AB352,AB352,AK$9:AK352),"")</f>
        <v/>
      </c>
      <c r="AM352" s="35" t="str">
        <f>IFERROR(IF(AB353&lt;&gt;AB352,AVERAGEIF(AB$9:AB352,AB352,AT$9:AT352),""),"")</f>
        <v/>
      </c>
      <c r="AN352" s="35" t="str">
        <f>IFERROR(IF(AB353&lt;&gt;AB352,AVERAGEIF(AB$9:AB352,AB352,AU$9:AU352),""),"")</f>
        <v/>
      </c>
      <c r="AO352" s="35" t="str" cm="1">
        <f t="array" ref="AO352">IFERROR(IF(AB353&lt;&gt;AB352,_xlfn.STDEV.P(IF(AB$9:AB352=AB352,AU$9:AU352)),""),"")</f>
        <v/>
      </c>
      <c r="AP352" s="35" t="str" cm="1">
        <f t="array" ref="AP352">IFERROR(IF(AB353&lt;&gt;AB352,_xlfn.STDEV.P(IF(AB$9:AB352=AB352,AT$9:AT352)),""),"")</f>
        <v/>
      </c>
      <c r="AQ352" s="36" t="str">
        <f t="shared" si="83"/>
        <v/>
      </c>
      <c r="AR352" s="36" t="str">
        <f t="shared" si="84"/>
        <v/>
      </c>
      <c r="AS352" s="36" t="str">
        <f t="shared" si="93"/>
        <v/>
      </c>
      <c r="AT352" s="37" t="str">
        <f t="shared" si="85"/>
        <v/>
      </c>
      <c r="AU352" s="37" t="str">
        <f t="shared" si="86"/>
        <v/>
      </c>
      <c r="AV352" s="54"/>
      <c r="AW352" s="46"/>
      <c r="AX352" s="39" t="str" cm="1">
        <f t="array" ref="AX352">IF(AH352&lt;&gt;"",IF(AND(AX350:AX351&lt;&gt;"IE",AQ352&lt;&gt;0,AS352&lt;&gt;""),IF(IFERROR((AQ352/AS352),0) &lt;=1,IFERROR(AQ352/AS352,""),1),""),"")</f>
        <v/>
      </c>
      <c r="AY352" s="46"/>
      <c r="AZ352" s="57"/>
    </row>
    <row r="353" spans="1:52" ht="15.5" x14ac:dyDescent="0.35">
      <c r="A353" s="51">
        <f t="shared" si="94"/>
        <v>1</v>
      </c>
      <c r="B353" s="52"/>
      <c r="C353" s="52"/>
      <c r="D353" s="29" t="str">
        <f>IFERROR(
IF(AND(OR(Planilla!B353="C",Planilla!B353="c"), VLOOKUP(E353,[1]Diccionario!B:N,13,0)="C"), "OK",IF(AND(OR(Planilla!B353="C",Planilla!B353="c"), OR(VLOOKUP(E353,[1]Diccionario!B:N,13,0)="B", VLOOKUP(E353,[1]Diccionario!B:N,13,0)="A")), "DEFICIT",IF(
AND(OR(Planilla!B353="B", Planilla!B353="BPAL"), VLOOKUP(E353,[1]Diccionario!B:N,13,0)="B"), "OK",IF(AND(OR(Planilla!B353="B", Planilla!B353="BPAL"), VLOOKUP(E353,[1]Diccionario!B:N,13,0)="A"), "DEFICIT",IF(AND(OR(Planilla!B353="B", Planilla!B353="BPAL"), VLOOKUP(E353,[1]Diccionario!B:N,13,0)="C"), "SOBREOFERTA",IF(AND(Planilla!B353="A", VLOOKUP(E353,[1]Diccionario!B:N,13,0)="A"), "OK",IF(
AND(Planilla!B353="A", OR(VLOOKUP(E353,[1]Diccionario!B:N,13,0)="B", VLOOKUP(E353,[1]Diccionario!B:N,13,0)="C")), "SOBREOFERTA",""
))))))),"")</f>
        <v/>
      </c>
      <c r="E353" s="48"/>
      <c r="F353" s="53"/>
      <c r="G353" s="54"/>
      <c r="H353" s="55" t="str">
        <f t="shared" si="87"/>
        <v/>
      </c>
      <c r="I353" s="35"/>
      <c r="J353" s="34" t="e">
        <f>IF(A353&lt;&gt;"",HLOOKUP(VALUE(TEXT(G353,"h:mm:ss")),IF($C$6="Laboral",[1]Input!$A$4:$Y$227,IF($C$6="Sábado",[1]Input!$A$231:$Y$452,[1]Input!$A$456:$Y$656)),VLOOKUP($C$4,[1]Input!$AG$2:$AI$99,3,0)+IF(C$5="Ida",0,1),1),"")</f>
        <v>#N/A</v>
      </c>
      <c r="K353" s="34" t="str">
        <f>IF(A354&lt;&gt;A353,AVERAGEIF(A$9:A353,A353,J$13:J353),"")</f>
        <v/>
      </c>
      <c r="L353" s="35" t="str">
        <f>IFERROR(IF(A354&lt;&gt;A353,AVERAGEIF(A$9:A353,A353,S$13:S353),""),"")</f>
        <v/>
      </c>
      <c r="M353" s="35" t="str">
        <f>IFERROR(IF(A354&lt;&gt;A353,AVERAGEIF(A$9:A353,A353,T$8:T353),""),"")</f>
        <v/>
      </c>
      <c r="N353" s="35" t="str" cm="1">
        <f t="array" ref="N353">IFERROR(IF(A354&lt;&gt;A353,_xlfn.STDEV.P(IF(A$9:A353=A353,T$7:T353)),""),"")</f>
        <v/>
      </c>
      <c r="O353" s="35" t="str" cm="1">
        <f t="array" ref="O353">IFERROR(IF(A354&lt;&gt;A353,_xlfn.STDEV.P(IF(A$9:A353=A353,S$7:S353)),""),"")</f>
        <v/>
      </c>
      <c r="P353" s="36" t="str">
        <f t="shared" si="80"/>
        <v/>
      </c>
      <c r="Q353" s="36" t="str">
        <f t="shared" si="81"/>
        <v/>
      </c>
      <c r="R353" s="36" t="str">
        <f t="shared" si="88"/>
        <v/>
      </c>
      <c r="S353" s="37" t="str">
        <f t="shared" si="89"/>
        <v/>
      </c>
      <c r="T353" s="37" t="str">
        <f t="shared" si="82"/>
        <v/>
      </c>
      <c r="U353" s="54"/>
      <c r="V353" s="46"/>
      <c r="W353" s="39" t="str">
        <f t="shared" si="90"/>
        <v/>
      </c>
      <c r="X353" s="38"/>
      <c r="Y353" s="48"/>
      <c r="AB353" s="56">
        <f t="shared" si="91"/>
        <v>1</v>
      </c>
      <c r="AC353" s="52"/>
      <c r="AD353" s="52"/>
      <c r="AE353" s="29" t="str">
        <f>IFERROR(
IF(AND(OR(AC353="C",AC353="c"), VLOOKUP(AF353,[1]Diccionario!B:N,13,0)="C"), "OK",IF(AND(OR(AC353="C",AC353="c"), OR(VLOOKUP(AF353,[1]Diccionario!B:N,13,0)="B", VLOOKUP(AF353,[1]Diccionario!B:N,13,0)="A")), "DEFICIT",IF(
AND(OR(AC353="B", AC353="BPAL"), VLOOKUP(AF353,[1]Diccionario!B:N,13,0)="B"), "OK",IF(AND(OR(AC353="B", AC353="BPAL"), VLOOKUP(AF353,[1]Diccionario!B:N,13,0)="A"), "DEFICIT",IF(AND(OR(AC353="B", AC353="BPAL"), VLOOKUP(AF353,[1]Diccionario!B:N,13,0)="C"), "SOBREOFERTA",IF(AND(AC353="A", VLOOKUP(AF353,[1]Diccionario!B:N,13,0)="A"), "OK",IF(
AND(AC353="A", OR(VLOOKUP(AF353,[1]Diccionario!B:N,13,0)="B", VLOOKUP(AF353,[1]Diccionario!B:N,13,0)="C")), "SOBREOFERTA",""
))))))),"")</f>
        <v/>
      </c>
      <c r="AF353" s="48"/>
      <c r="AG353" s="53"/>
      <c r="AH353" s="54"/>
      <c r="AI353" s="55" t="str">
        <f t="shared" si="92"/>
        <v/>
      </c>
      <c r="AJ353" s="46"/>
      <c r="AK353" s="34" t="e">
        <f>IF(AB353&lt;&gt;"",HLOOKUP(VALUE(TEXT(AH353,"h:mm:ss")),IF($C$6="Laboral",[1]Input!$A$4:$Y$227,IF($C$6="Sábado",[1]Input!$A$231:$Y$452,[1]Input!$A$456:$Y$656)),VLOOKUP($C$4,[1]Input!$AG$2:$AI$99,3,0)+IF(AD$5="Ida",0,1),1),"")</f>
        <v>#N/A</v>
      </c>
      <c r="AL353" s="34" t="str">
        <f>IF(AB354&lt;&gt;AB353,AVERAGEIF(AB$9:AB353,AB353,AK$9:AK353),"")</f>
        <v/>
      </c>
      <c r="AM353" s="35" t="str">
        <f>IFERROR(IF(AB354&lt;&gt;AB353,AVERAGEIF(AB$9:AB353,AB353,AT$9:AT353),""),"")</f>
        <v/>
      </c>
      <c r="AN353" s="35" t="str">
        <f>IFERROR(IF(AB354&lt;&gt;AB353,AVERAGEIF(AB$9:AB353,AB353,AU$9:AU353),""),"")</f>
        <v/>
      </c>
      <c r="AO353" s="35" t="str" cm="1">
        <f t="array" ref="AO353">IFERROR(IF(AB354&lt;&gt;AB353,_xlfn.STDEV.P(IF(AB$9:AB353=AB353,AU$9:AU353)),""),"")</f>
        <v/>
      </c>
      <c r="AP353" s="35" t="str" cm="1">
        <f t="array" ref="AP353">IFERROR(IF(AB354&lt;&gt;AB353,_xlfn.STDEV.P(IF(AB$9:AB353=AB353,AT$9:AT353)),""),"")</f>
        <v/>
      </c>
      <c r="AQ353" s="36" t="str">
        <f t="shared" si="83"/>
        <v/>
      </c>
      <c r="AR353" s="36" t="str">
        <f t="shared" si="84"/>
        <v/>
      </c>
      <c r="AS353" s="36" t="str">
        <f t="shared" si="93"/>
        <v/>
      </c>
      <c r="AT353" s="37" t="str">
        <f t="shared" si="85"/>
        <v/>
      </c>
      <c r="AU353" s="37" t="str">
        <f t="shared" si="86"/>
        <v/>
      </c>
      <c r="AV353" s="54"/>
      <c r="AW353" s="46"/>
      <c r="AX353" s="39" t="str" cm="1">
        <f t="array" ref="AX353">IF(AH353&lt;&gt;"",IF(AND(AX351:AX352&lt;&gt;"IE",AQ353&lt;&gt;0,AS353&lt;&gt;""),IF(IFERROR((AQ353/AS353),0) &lt;=1,IFERROR(AQ353/AS353,""),1),""),"")</f>
        <v/>
      </c>
      <c r="AY353" s="46"/>
      <c r="AZ353" s="57"/>
    </row>
    <row r="354" spans="1:52" ht="15.5" x14ac:dyDescent="0.35">
      <c r="A354" s="51">
        <f t="shared" si="94"/>
        <v>1</v>
      </c>
      <c r="B354" s="52"/>
      <c r="C354" s="52"/>
      <c r="D354" s="29" t="str">
        <f>IFERROR(
IF(AND(OR(Planilla!B354="C",Planilla!B354="c"), VLOOKUP(E354,[1]Diccionario!B:N,13,0)="C"), "OK",IF(AND(OR(Planilla!B354="C",Planilla!B354="c"), OR(VLOOKUP(E354,[1]Diccionario!B:N,13,0)="B", VLOOKUP(E354,[1]Diccionario!B:N,13,0)="A")), "DEFICIT",IF(
AND(OR(Planilla!B354="B", Planilla!B354="BPAL"), VLOOKUP(E354,[1]Diccionario!B:N,13,0)="B"), "OK",IF(AND(OR(Planilla!B354="B", Planilla!B354="BPAL"), VLOOKUP(E354,[1]Diccionario!B:N,13,0)="A"), "DEFICIT",IF(AND(OR(Planilla!B354="B", Planilla!B354="BPAL"), VLOOKUP(E354,[1]Diccionario!B:N,13,0)="C"), "SOBREOFERTA",IF(AND(Planilla!B354="A", VLOOKUP(E354,[1]Diccionario!B:N,13,0)="A"), "OK",IF(
AND(Planilla!B354="A", OR(VLOOKUP(E354,[1]Diccionario!B:N,13,0)="B", VLOOKUP(E354,[1]Diccionario!B:N,13,0)="C")), "SOBREOFERTA",""
))))))),"")</f>
        <v/>
      </c>
      <c r="E354" s="48"/>
      <c r="F354" s="53"/>
      <c r="G354" s="54"/>
      <c r="H354" s="55" t="str">
        <f t="shared" si="87"/>
        <v/>
      </c>
      <c r="I354" s="35"/>
      <c r="J354" s="34" t="e">
        <f>IF(A354&lt;&gt;"",HLOOKUP(VALUE(TEXT(G354,"h:mm:ss")),IF($C$6="Laboral",[1]Input!$A$4:$Y$227,IF($C$6="Sábado",[1]Input!$A$231:$Y$452,[1]Input!$A$456:$Y$656)),VLOOKUP($C$4,[1]Input!$AG$2:$AI$99,3,0)+IF(C$5="Ida",0,1),1),"")</f>
        <v>#N/A</v>
      </c>
      <c r="K354" s="34" t="str">
        <f>IF(A355&lt;&gt;A354,AVERAGEIF(A$9:A354,A354,J$13:J354),"")</f>
        <v/>
      </c>
      <c r="L354" s="35" t="str">
        <f>IFERROR(IF(A355&lt;&gt;A354,AVERAGEIF(A$9:A354,A354,S$13:S354),""),"")</f>
        <v/>
      </c>
      <c r="M354" s="35" t="str">
        <f>IFERROR(IF(A355&lt;&gt;A354,AVERAGEIF(A$9:A354,A354,T$8:T354),""),"")</f>
        <v/>
      </c>
      <c r="N354" s="35" t="str" cm="1">
        <f t="array" ref="N354">IFERROR(IF(A355&lt;&gt;A354,_xlfn.STDEV.P(IF(A$9:A354=A354,T$7:T354)),""),"")</f>
        <v/>
      </c>
      <c r="O354" s="35" t="str" cm="1">
        <f t="array" ref="O354">IFERROR(IF(A355&lt;&gt;A354,_xlfn.STDEV.P(IF(A$9:A354=A354,S$7:S354)),""),"")</f>
        <v/>
      </c>
      <c r="P354" s="36" t="str">
        <f t="shared" si="80"/>
        <v/>
      </c>
      <c r="Q354" s="36" t="str">
        <f t="shared" si="81"/>
        <v/>
      </c>
      <c r="R354" s="36" t="str">
        <f t="shared" si="88"/>
        <v/>
      </c>
      <c r="S354" s="37" t="str">
        <f t="shared" si="89"/>
        <v/>
      </c>
      <c r="T354" s="37" t="str">
        <f t="shared" si="82"/>
        <v/>
      </c>
      <c r="U354" s="54"/>
      <c r="V354" s="46"/>
      <c r="W354" s="39" t="str">
        <f t="shared" si="90"/>
        <v/>
      </c>
      <c r="X354" s="38"/>
      <c r="Y354" s="48"/>
      <c r="AB354" s="56">
        <f t="shared" si="91"/>
        <v>1</v>
      </c>
      <c r="AC354" s="52"/>
      <c r="AD354" s="52"/>
      <c r="AE354" s="29" t="str">
        <f>IFERROR(
IF(AND(OR(AC354="C",AC354="c"), VLOOKUP(AF354,[1]Diccionario!B:N,13,0)="C"), "OK",IF(AND(OR(AC354="C",AC354="c"), OR(VLOOKUP(AF354,[1]Diccionario!B:N,13,0)="B", VLOOKUP(AF354,[1]Diccionario!B:N,13,0)="A")), "DEFICIT",IF(
AND(OR(AC354="B", AC354="BPAL"), VLOOKUP(AF354,[1]Diccionario!B:N,13,0)="B"), "OK",IF(AND(OR(AC354="B", AC354="BPAL"), VLOOKUP(AF354,[1]Diccionario!B:N,13,0)="A"), "DEFICIT",IF(AND(OR(AC354="B", AC354="BPAL"), VLOOKUP(AF354,[1]Diccionario!B:N,13,0)="C"), "SOBREOFERTA",IF(AND(AC354="A", VLOOKUP(AF354,[1]Diccionario!B:N,13,0)="A"), "OK",IF(
AND(AC354="A", OR(VLOOKUP(AF354,[1]Diccionario!B:N,13,0)="B", VLOOKUP(AF354,[1]Diccionario!B:N,13,0)="C")), "SOBREOFERTA",""
))))))),"")</f>
        <v/>
      </c>
      <c r="AF354" s="48"/>
      <c r="AG354" s="53"/>
      <c r="AH354" s="54"/>
      <c r="AI354" s="55" t="str">
        <f t="shared" si="92"/>
        <v/>
      </c>
      <c r="AJ354" s="46"/>
      <c r="AK354" s="34" t="e">
        <f>IF(AB354&lt;&gt;"",HLOOKUP(VALUE(TEXT(AH354,"h:mm:ss")),IF($C$6="Laboral",[1]Input!$A$4:$Y$227,IF($C$6="Sábado",[1]Input!$A$231:$Y$452,[1]Input!$A$456:$Y$656)),VLOOKUP($C$4,[1]Input!$AG$2:$AI$99,3,0)+IF(AD$5="Ida",0,1),1),"")</f>
        <v>#N/A</v>
      </c>
      <c r="AL354" s="34" t="str">
        <f>IF(AB355&lt;&gt;AB354,AVERAGEIF(AB$9:AB354,AB354,AK$9:AK354),"")</f>
        <v/>
      </c>
      <c r="AM354" s="35" t="str">
        <f>IFERROR(IF(AB355&lt;&gt;AB354,AVERAGEIF(AB$9:AB354,AB354,AT$9:AT354),""),"")</f>
        <v/>
      </c>
      <c r="AN354" s="35" t="str">
        <f>IFERROR(IF(AB355&lt;&gt;AB354,AVERAGEIF(AB$9:AB354,AB354,AU$9:AU354),""),"")</f>
        <v/>
      </c>
      <c r="AO354" s="35" t="str" cm="1">
        <f t="array" ref="AO354">IFERROR(IF(AB355&lt;&gt;AB354,_xlfn.STDEV.P(IF(AB$9:AB354=AB354,AU$9:AU354)),""),"")</f>
        <v/>
      </c>
      <c r="AP354" s="35" t="str" cm="1">
        <f t="array" ref="AP354">IFERROR(IF(AB355&lt;&gt;AB354,_xlfn.STDEV.P(IF(AB$9:AB354=AB354,AT$9:AT354)),""),"")</f>
        <v/>
      </c>
      <c r="AQ354" s="36" t="str">
        <f t="shared" si="83"/>
        <v/>
      </c>
      <c r="AR354" s="36" t="str">
        <f t="shared" si="84"/>
        <v/>
      </c>
      <c r="AS354" s="36" t="str">
        <f t="shared" si="93"/>
        <v/>
      </c>
      <c r="AT354" s="37" t="str">
        <f t="shared" si="85"/>
        <v/>
      </c>
      <c r="AU354" s="37" t="str">
        <f t="shared" si="86"/>
        <v/>
      </c>
      <c r="AV354" s="54"/>
      <c r="AW354" s="46"/>
      <c r="AX354" s="39" t="str" cm="1">
        <f t="array" ref="AX354">IF(AH354&lt;&gt;"",IF(AND(AX352:AX353&lt;&gt;"IE",AQ354&lt;&gt;0,AS354&lt;&gt;""),IF(IFERROR((AQ354/AS354),0) &lt;=1,IFERROR(AQ354/AS354,""),1),""),"")</f>
        <v/>
      </c>
      <c r="AY354" s="46"/>
      <c r="AZ354" s="57"/>
    </row>
    <row r="355" spans="1:52" ht="15.5" x14ac:dyDescent="0.35">
      <c r="A355" s="51">
        <f t="shared" si="94"/>
        <v>1</v>
      </c>
      <c r="B355" s="52"/>
      <c r="C355" s="52"/>
      <c r="D355" s="29" t="str">
        <f>IFERROR(
IF(AND(OR(Planilla!B355="C",Planilla!B355="c"), VLOOKUP(E355,[1]Diccionario!B:N,13,0)="C"), "OK",IF(AND(OR(Planilla!B355="C",Planilla!B355="c"), OR(VLOOKUP(E355,[1]Diccionario!B:N,13,0)="B", VLOOKUP(E355,[1]Diccionario!B:N,13,0)="A")), "DEFICIT",IF(
AND(OR(Planilla!B355="B", Planilla!B355="BPAL"), VLOOKUP(E355,[1]Diccionario!B:N,13,0)="B"), "OK",IF(AND(OR(Planilla!B355="B", Planilla!B355="BPAL"), VLOOKUP(E355,[1]Diccionario!B:N,13,0)="A"), "DEFICIT",IF(AND(OR(Planilla!B355="B", Planilla!B355="BPAL"), VLOOKUP(E355,[1]Diccionario!B:N,13,0)="C"), "SOBREOFERTA",IF(AND(Planilla!B355="A", VLOOKUP(E355,[1]Diccionario!B:N,13,0)="A"), "OK",IF(
AND(Planilla!B355="A", OR(VLOOKUP(E355,[1]Diccionario!B:N,13,0)="B", VLOOKUP(E355,[1]Diccionario!B:N,13,0)="C")), "SOBREOFERTA",""
))))))),"")</f>
        <v/>
      </c>
      <c r="E355" s="48"/>
      <c r="F355" s="53"/>
      <c r="G355" s="54"/>
      <c r="H355" s="55" t="str">
        <f t="shared" si="87"/>
        <v/>
      </c>
      <c r="I355" s="35"/>
      <c r="J355" s="34" t="e">
        <f>IF(A355&lt;&gt;"",HLOOKUP(VALUE(TEXT(G355,"h:mm:ss")),IF($C$6="Laboral",[1]Input!$A$4:$Y$227,IF($C$6="Sábado",[1]Input!$A$231:$Y$452,[1]Input!$A$456:$Y$656)),VLOOKUP($C$4,[1]Input!$AG$2:$AI$99,3,0)+IF(C$5="Ida",0,1),1),"")</f>
        <v>#N/A</v>
      </c>
      <c r="K355" s="34" t="str">
        <f>IF(A356&lt;&gt;A355,AVERAGEIF(A$9:A355,A355,J$13:J355),"")</f>
        <v/>
      </c>
      <c r="L355" s="35" t="str">
        <f>IFERROR(IF(A356&lt;&gt;A355,AVERAGEIF(A$9:A355,A355,S$13:S355),""),"")</f>
        <v/>
      </c>
      <c r="M355" s="35" t="str">
        <f>IFERROR(IF(A356&lt;&gt;A355,AVERAGEIF(A$9:A355,A355,T$8:T355),""),"")</f>
        <v/>
      </c>
      <c r="N355" s="35" t="str" cm="1">
        <f t="array" ref="N355">IFERROR(IF(A356&lt;&gt;A355,_xlfn.STDEV.P(IF(A$9:A355=A355,T$7:T355)),""),"")</f>
        <v/>
      </c>
      <c r="O355" s="35" t="str" cm="1">
        <f t="array" ref="O355">IFERROR(IF(A356&lt;&gt;A355,_xlfn.STDEV.P(IF(A$9:A355=A355,S$7:S355)),""),"")</f>
        <v/>
      </c>
      <c r="P355" s="36" t="str">
        <f t="shared" si="80"/>
        <v/>
      </c>
      <c r="Q355" s="36" t="str">
        <f t="shared" si="81"/>
        <v/>
      </c>
      <c r="R355" s="36" t="str">
        <f t="shared" si="88"/>
        <v/>
      </c>
      <c r="S355" s="37" t="str">
        <f t="shared" si="89"/>
        <v/>
      </c>
      <c r="T355" s="37" t="str">
        <f t="shared" si="82"/>
        <v/>
      </c>
      <c r="U355" s="54"/>
      <c r="V355" s="46"/>
      <c r="W355" s="39" t="str">
        <f t="shared" si="90"/>
        <v/>
      </c>
      <c r="X355" s="38"/>
      <c r="Y355" s="48"/>
      <c r="AB355" s="56">
        <f t="shared" si="91"/>
        <v>1</v>
      </c>
      <c r="AC355" s="52"/>
      <c r="AD355" s="52"/>
      <c r="AE355" s="29" t="str">
        <f>IFERROR(
IF(AND(OR(AC355="C",AC355="c"), VLOOKUP(AF355,[1]Diccionario!B:N,13,0)="C"), "OK",IF(AND(OR(AC355="C",AC355="c"), OR(VLOOKUP(AF355,[1]Diccionario!B:N,13,0)="B", VLOOKUP(AF355,[1]Diccionario!B:N,13,0)="A")), "DEFICIT",IF(
AND(OR(AC355="B", AC355="BPAL"), VLOOKUP(AF355,[1]Diccionario!B:N,13,0)="B"), "OK",IF(AND(OR(AC355="B", AC355="BPAL"), VLOOKUP(AF355,[1]Diccionario!B:N,13,0)="A"), "DEFICIT",IF(AND(OR(AC355="B", AC355="BPAL"), VLOOKUP(AF355,[1]Diccionario!B:N,13,0)="C"), "SOBREOFERTA",IF(AND(AC355="A", VLOOKUP(AF355,[1]Diccionario!B:N,13,0)="A"), "OK",IF(
AND(AC355="A", OR(VLOOKUP(AF355,[1]Diccionario!B:N,13,0)="B", VLOOKUP(AF355,[1]Diccionario!B:N,13,0)="C")), "SOBREOFERTA",""
))))))),"")</f>
        <v/>
      </c>
      <c r="AF355" s="48"/>
      <c r="AG355" s="53"/>
      <c r="AH355" s="54"/>
      <c r="AI355" s="55" t="str">
        <f t="shared" si="92"/>
        <v/>
      </c>
      <c r="AJ355" s="46"/>
      <c r="AK355" s="34" t="e">
        <f>IF(AB355&lt;&gt;"",HLOOKUP(VALUE(TEXT(AH355,"h:mm:ss")),IF($C$6="Laboral",[1]Input!$A$4:$Y$227,IF($C$6="Sábado",[1]Input!$A$231:$Y$452,[1]Input!$A$456:$Y$656)),VLOOKUP($C$4,[1]Input!$AG$2:$AI$99,3,0)+IF(AD$5="Ida",0,1),1),"")</f>
        <v>#N/A</v>
      </c>
      <c r="AL355" s="34" t="str">
        <f>IF(AB356&lt;&gt;AB355,AVERAGEIF(AB$9:AB355,AB355,AK$9:AK355),"")</f>
        <v/>
      </c>
      <c r="AM355" s="35" t="str">
        <f>IFERROR(IF(AB356&lt;&gt;AB355,AVERAGEIF(AB$9:AB355,AB355,AT$9:AT355),""),"")</f>
        <v/>
      </c>
      <c r="AN355" s="35" t="str">
        <f>IFERROR(IF(AB356&lt;&gt;AB355,AVERAGEIF(AB$9:AB355,AB355,AU$9:AU355),""),"")</f>
        <v/>
      </c>
      <c r="AO355" s="35" t="str" cm="1">
        <f t="array" ref="AO355">IFERROR(IF(AB356&lt;&gt;AB355,_xlfn.STDEV.P(IF(AB$9:AB355=AB355,AU$9:AU355)),""),"")</f>
        <v/>
      </c>
      <c r="AP355" s="35" t="str" cm="1">
        <f t="array" ref="AP355">IFERROR(IF(AB356&lt;&gt;AB355,_xlfn.STDEV.P(IF(AB$9:AB355=AB355,AT$9:AT355)),""),"")</f>
        <v/>
      </c>
      <c r="AQ355" s="36" t="str">
        <f t="shared" si="83"/>
        <v/>
      </c>
      <c r="AR355" s="36" t="str">
        <f t="shared" si="84"/>
        <v/>
      </c>
      <c r="AS355" s="36" t="str">
        <f t="shared" si="93"/>
        <v/>
      </c>
      <c r="AT355" s="37" t="str">
        <f t="shared" si="85"/>
        <v/>
      </c>
      <c r="AU355" s="37" t="str">
        <f t="shared" si="86"/>
        <v/>
      </c>
      <c r="AV355" s="54"/>
      <c r="AW355" s="46"/>
      <c r="AX355" s="39" t="str" cm="1">
        <f t="array" ref="AX355">IF(AH355&lt;&gt;"",IF(AND(AX353:AX354&lt;&gt;"IE",AQ355&lt;&gt;0,AS355&lt;&gt;""),IF(IFERROR((AQ355/AS355),0) &lt;=1,IFERROR(AQ355/AS355,""),1),""),"")</f>
        <v/>
      </c>
      <c r="AY355" s="46"/>
      <c r="AZ355" s="57"/>
    </row>
    <row r="356" spans="1:52" ht="15.5" x14ac:dyDescent="0.35">
      <c r="A356" s="51">
        <f t="shared" si="94"/>
        <v>1</v>
      </c>
      <c r="B356" s="52"/>
      <c r="C356" s="52"/>
      <c r="D356" s="29" t="str">
        <f>IFERROR(
IF(AND(OR(Planilla!B356="C",Planilla!B356="c"), VLOOKUP(E356,[1]Diccionario!B:N,13,0)="C"), "OK",IF(AND(OR(Planilla!B356="C",Planilla!B356="c"), OR(VLOOKUP(E356,[1]Diccionario!B:N,13,0)="B", VLOOKUP(E356,[1]Diccionario!B:N,13,0)="A")), "DEFICIT",IF(
AND(OR(Planilla!B356="B", Planilla!B356="BPAL"), VLOOKUP(E356,[1]Diccionario!B:N,13,0)="B"), "OK",IF(AND(OR(Planilla!B356="B", Planilla!B356="BPAL"), VLOOKUP(E356,[1]Diccionario!B:N,13,0)="A"), "DEFICIT",IF(AND(OR(Planilla!B356="B", Planilla!B356="BPAL"), VLOOKUP(E356,[1]Diccionario!B:N,13,0)="C"), "SOBREOFERTA",IF(AND(Planilla!B356="A", VLOOKUP(E356,[1]Diccionario!B:N,13,0)="A"), "OK",IF(
AND(Planilla!B356="A", OR(VLOOKUP(E356,[1]Diccionario!B:N,13,0)="B", VLOOKUP(E356,[1]Diccionario!B:N,13,0)="C")), "SOBREOFERTA",""
))))))),"")</f>
        <v/>
      </c>
      <c r="E356" s="48"/>
      <c r="F356" s="53"/>
      <c r="G356" s="54"/>
      <c r="H356" s="55" t="str">
        <f t="shared" si="87"/>
        <v/>
      </c>
      <c r="I356" s="35"/>
      <c r="J356" s="34" t="e">
        <f>IF(A356&lt;&gt;"",HLOOKUP(VALUE(TEXT(G356,"h:mm:ss")),IF($C$6="Laboral",[1]Input!$A$4:$Y$227,IF($C$6="Sábado",[1]Input!$A$231:$Y$452,[1]Input!$A$456:$Y$656)),VLOOKUP($C$4,[1]Input!$AG$2:$AI$99,3,0)+IF(C$5="Ida",0,1),1),"")</f>
        <v>#N/A</v>
      </c>
      <c r="K356" s="34" t="str">
        <f>IF(A357&lt;&gt;A356,AVERAGEIF(A$9:A356,A356,J$13:J356),"")</f>
        <v/>
      </c>
      <c r="L356" s="35" t="str">
        <f>IFERROR(IF(A357&lt;&gt;A356,AVERAGEIF(A$9:A356,A356,S$13:S356),""),"")</f>
        <v/>
      </c>
      <c r="M356" s="35" t="str">
        <f>IFERROR(IF(A357&lt;&gt;A356,AVERAGEIF(A$9:A356,A356,T$8:T356),""),"")</f>
        <v/>
      </c>
      <c r="N356" s="35" t="str" cm="1">
        <f t="array" ref="N356">IFERROR(IF(A357&lt;&gt;A356,_xlfn.STDEV.P(IF(A$9:A356=A356,T$7:T356)),""),"")</f>
        <v/>
      </c>
      <c r="O356" s="35" t="str" cm="1">
        <f t="array" ref="O356">IFERROR(IF(A357&lt;&gt;A356,_xlfn.STDEV.P(IF(A$9:A356=A356,S$7:S356)),""),"")</f>
        <v/>
      </c>
      <c r="P356" s="36" t="str">
        <f t="shared" si="80"/>
        <v/>
      </c>
      <c r="Q356" s="36" t="str">
        <f t="shared" si="81"/>
        <v/>
      </c>
      <c r="R356" s="36" t="str">
        <f t="shared" si="88"/>
        <v/>
      </c>
      <c r="S356" s="37" t="str">
        <f t="shared" si="89"/>
        <v/>
      </c>
      <c r="T356" s="37" t="str">
        <f t="shared" si="82"/>
        <v/>
      </c>
      <c r="U356" s="54"/>
      <c r="V356" s="46"/>
      <c r="W356" s="39" t="str">
        <f t="shared" si="90"/>
        <v/>
      </c>
      <c r="X356" s="38"/>
      <c r="Y356" s="48"/>
      <c r="AB356" s="56">
        <f t="shared" si="91"/>
        <v>1</v>
      </c>
      <c r="AC356" s="52"/>
      <c r="AD356" s="52"/>
      <c r="AE356" s="29" t="str">
        <f>IFERROR(
IF(AND(OR(AC356="C",AC356="c"), VLOOKUP(AF356,[1]Diccionario!B:N,13,0)="C"), "OK",IF(AND(OR(AC356="C",AC356="c"), OR(VLOOKUP(AF356,[1]Diccionario!B:N,13,0)="B", VLOOKUP(AF356,[1]Diccionario!B:N,13,0)="A")), "DEFICIT",IF(
AND(OR(AC356="B", AC356="BPAL"), VLOOKUP(AF356,[1]Diccionario!B:N,13,0)="B"), "OK",IF(AND(OR(AC356="B", AC356="BPAL"), VLOOKUP(AF356,[1]Diccionario!B:N,13,0)="A"), "DEFICIT",IF(AND(OR(AC356="B", AC356="BPAL"), VLOOKUP(AF356,[1]Diccionario!B:N,13,0)="C"), "SOBREOFERTA",IF(AND(AC356="A", VLOOKUP(AF356,[1]Diccionario!B:N,13,0)="A"), "OK",IF(
AND(AC356="A", OR(VLOOKUP(AF356,[1]Diccionario!B:N,13,0)="B", VLOOKUP(AF356,[1]Diccionario!B:N,13,0)="C")), "SOBREOFERTA",""
))))))),"")</f>
        <v/>
      </c>
      <c r="AF356" s="48"/>
      <c r="AG356" s="53"/>
      <c r="AH356" s="54"/>
      <c r="AI356" s="55" t="str">
        <f t="shared" si="92"/>
        <v/>
      </c>
      <c r="AJ356" s="46"/>
      <c r="AK356" s="34" t="e">
        <f>IF(AB356&lt;&gt;"",HLOOKUP(VALUE(TEXT(AH356,"h:mm:ss")),IF($C$6="Laboral",[1]Input!$A$4:$Y$227,IF($C$6="Sábado",[1]Input!$A$231:$Y$452,[1]Input!$A$456:$Y$656)),VLOOKUP($C$4,[1]Input!$AG$2:$AI$99,3,0)+IF(AD$5="Ida",0,1),1),"")</f>
        <v>#N/A</v>
      </c>
      <c r="AL356" s="34" t="str">
        <f>IF(AB357&lt;&gt;AB356,AVERAGEIF(AB$9:AB356,AB356,AK$9:AK356),"")</f>
        <v/>
      </c>
      <c r="AM356" s="35" t="str">
        <f>IFERROR(IF(AB357&lt;&gt;AB356,AVERAGEIF(AB$9:AB356,AB356,AT$9:AT356),""),"")</f>
        <v/>
      </c>
      <c r="AN356" s="35" t="str">
        <f>IFERROR(IF(AB357&lt;&gt;AB356,AVERAGEIF(AB$9:AB356,AB356,AU$9:AU356),""),"")</f>
        <v/>
      </c>
      <c r="AO356" s="35" t="str" cm="1">
        <f t="array" ref="AO356">IFERROR(IF(AB357&lt;&gt;AB356,_xlfn.STDEV.P(IF(AB$9:AB356=AB356,AU$9:AU356)),""),"")</f>
        <v/>
      </c>
      <c r="AP356" s="35" t="str" cm="1">
        <f t="array" ref="AP356">IFERROR(IF(AB357&lt;&gt;AB356,_xlfn.STDEV.P(IF(AB$9:AB356=AB356,AT$9:AT356)),""),"")</f>
        <v/>
      </c>
      <c r="AQ356" s="36" t="str">
        <f t="shared" si="83"/>
        <v/>
      </c>
      <c r="AR356" s="36" t="str">
        <f t="shared" si="84"/>
        <v/>
      </c>
      <c r="AS356" s="36" t="str">
        <f t="shared" si="93"/>
        <v/>
      </c>
      <c r="AT356" s="37" t="str">
        <f t="shared" si="85"/>
        <v/>
      </c>
      <c r="AU356" s="37" t="str">
        <f t="shared" si="86"/>
        <v/>
      </c>
      <c r="AV356" s="54"/>
      <c r="AW356" s="46"/>
      <c r="AX356" s="39" t="str" cm="1">
        <f t="array" ref="AX356">IF(AH356&lt;&gt;"",IF(AND(AX354:AX355&lt;&gt;"IE",AQ356&lt;&gt;0,AS356&lt;&gt;""),IF(IFERROR((AQ356/AS356),0) &lt;=1,IFERROR(AQ356/AS356,""),1),""),"")</f>
        <v/>
      </c>
      <c r="AY356" s="46"/>
      <c r="AZ356" s="57"/>
    </row>
    <row r="357" spans="1:52" ht="15.5" x14ac:dyDescent="0.35">
      <c r="A357" s="51">
        <f t="shared" si="94"/>
        <v>1</v>
      </c>
      <c r="B357" s="52"/>
      <c r="C357" s="52"/>
      <c r="D357" s="29" t="str">
        <f>IFERROR(
IF(AND(OR(Planilla!B357="C",Planilla!B357="c"), VLOOKUP(E357,[1]Diccionario!B:N,13,0)="C"), "OK",IF(AND(OR(Planilla!B357="C",Planilla!B357="c"), OR(VLOOKUP(E357,[1]Diccionario!B:N,13,0)="B", VLOOKUP(E357,[1]Diccionario!B:N,13,0)="A")), "DEFICIT",IF(
AND(OR(Planilla!B357="B", Planilla!B357="BPAL"), VLOOKUP(E357,[1]Diccionario!B:N,13,0)="B"), "OK",IF(AND(OR(Planilla!B357="B", Planilla!B357="BPAL"), VLOOKUP(E357,[1]Diccionario!B:N,13,0)="A"), "DEFICIT",IF(AND(OR(Planilla!B357="B", Planilla!B357="BPAL"), VLOOKUP(E357,[1]Diccionario!B:N,13,0)="C"), "SOBREOFERTA",IF(AND(Planilla!B357="A", VLOOKUP(E357,[1]Diccionario!B:N,13,0)="A"), "OK",IF(
AND(Planilla!B357="A", OR(VLOOKUP(E357,[1]Diccionario!B:N,13,0)="B", VLOOKUP(E357,[1]Diccionario!B:N,13,0)="C")), "SOBREOFERTA",""
))))))),"")</f>
        <v/>
      </c>
      <c r="E357" s="48"/>
      <c r="F357" s="53"/>
      <c r="G357" s="54"/>
      <c r="H357" s="55" t="str">
        <f t="shared" si="87"/>
        <v/>
      </c>
      <c r="I357" s="35"/>
      <c r="J357" s="34" t="e">
        <f>IF(A357&lt;&gt;"",HLOOKUP(VALUE(TEXT(G357,"h:mm:ss")),IF($C$6="Laboral",[1]Input!$A$4:$Y$227,IF($C$6="Sábado",[1]Input!$A$231:$Y$452,[1]Input!$A$456:$Y$656)),VLOOKUP($C$4,[1]Input!$AG$2:$AI$99,3,0)+IF(C$5="Ida",0,1),1),"")</f>
        <v>#N/A</v>
      </c>
      <c r="K357" s="34" t="str">
        <f>IF(A358&lt;&gt;A357,AVERAGEIF(A$9:A357,A357,J$13:J357),"")</f>
        <v/>
      </c>
      <c r="L357" s="35" t="str">
        <f>IFERROR(IF(A358&lt;&gt;A357,AVERAGEIF(A$9:A357,A357,S$13:S357),""),"")</f>
        <v/>
      </c>
      <c r="M357" s="35" t="str">
        <f>IFERROR(IF(A358&lt;&gt;A357,AVERAGEIF(A$9:A357,A357,T$8:T357),""),"")</f>
        <v/>
      </c>
      <c r="N357" s="35" t="str" cm="1">
        <f t="array" ref="N357">IFERROR(IF(A358&lt;&gt;A357,_xlfn.STDEV.P(IF(A$9:A357=A357,T$7:T357)),""),"")</f>
        <v/>
      </c>
      <c r="O357" s="35" t="str" cm="1">
        <f t="array" ref="O357">IFERROR(IF(A358&lt;&gt;A357,_xlfn.STDEV.P(IF(A$9:A357=A357,S$7:S357)),""),"")</f>
        <v/>
      </c>
      <c r="P357" s="36" t="str">
        <f t="shared" si="80"/>
        <v/>
      </c>
      <c r="Q357" s="36" t="str">
        <f t="shared" si="81"/>
        <v/>
      </c>
      <c r="R357" s="36" t="str">
        <f t="shared" si="88"/>
        <v/>
      </c>
      <c r="S357" s="37" t="str">
        <f t="shared" si="89"/>
        <v/>
      </c>
      <c r="T357" s="37" t="str">
        <f t="shared" si="82"/>
        <v/>
      </c>
      <c r="U357" s="54"/>
      <c r="V357" s="46"/>
      <c r="W357" s="39" t="str">
        <f t="shared" si="90"/>
        <v/>
      </c>
      <c r="X357" s="38"/>
      <c r="Y357" s="48"/>
      <c r="AB357" s="56">
        <f t="shared" si="91"/>
        <v>1</v>
      </c>
      <c r="AC357" s="52"/>
      <c r="AD357" s="52"/>
      <c r="AE357" s="29" t="str">
        <f>IFERROR(
IF(AND(OR(AC357="C",AC357="c"), VLOOKUP(AF357,[1]Diccionario!B:N,13,0)="C"), "OK",IF(AND(OR(AC357="C",AC357="c"), OR(VLOOKUP(AF357,[1]Diccionario!B:N,13,0)="B", VLOOKUP(AF357,[1]Diccionario!B:N,13,0)="A")), "DEFICIT",IF(
AND(OR(AC357="B", AC357="BPAL"), VLOOKUP(AF357,[1]Diccionario!B:N,13,0)="B"), "OK",IF(AND(OR(AC357="B", AC357="BPAL"), VLOOKUP(AF357,[1]Diccionario!B:N,13,0)="A"), "DEFICIT",IF(AND(OR(AC357="B", AC357="BPAL"), VLOOKUP(AF357,[1]Diccionario!B:N,13,0)="C"), "SOBREOFERTA",IF(AND(AC357="A", VLOOKUP(AF357,[1]Diccionario!B:N,13,0)="A"), "OK",IF(
AND(AC357="A", OR(VLOOKUP(AF357,[1]Diccionario!B:N,13,0)="B", VLOOKUP(AF357,[1]Diccionario!B:N,13,0)="C")), "SOBREOFERTA",""
))))))),"")</f>
        <v/>
      </c>
      <c r="AF357" s="48"/>
      <c r="AG357" s="53"/>
      <c r="AH357" s="54"/>
      <c r="AI357" s="55" t="str">
        <f t="shared" si="92"/>
        <v/>
      </c>
      <c r="AJ357" s="46"/>
      <c r="AK357" s="34" t="e">
        <f>IF(AB357&lt;&gt;"",HLOOKUP(VALUE(TEXT(AH357,"h:mm:ss")),IF($C$6="Laboral",[1]Input!$A$4:$Y$227,IF($C$6="Sábado",[1]Input!$A$231:$Y$452,[1]Input!$A$456:$Y$656)),VLOOKUP($C$4,[1]Input!$AG$2:$AI$99,3,0)+IF(AD$5="Ida",0,1),1),"")</f>
        <v>#N/A</v>
      </c>
      <c r="AL357" s="34" t="str">
        <f>IF(AB358&lt;&gt;AB357,AVERAGEIF(AB$9:AB357,AB357,AK$9:AK357),"")</f>
        <v/>
      </c>
      <c r="AM357" s="35" t="str">
        <f>IFERROR(IF(AB358&lt;&gt;AB357,AVERAGEIF(AB$9:AB357,AB357,AT$9:AT357),""),"")</f>
        <v/>
      </c>
      <c r="AN357" s="35" t="str">
        <f>IFERROR(IF(AB358&lt;&gt;AB357,AVERAGEIF(AB$9:AB357,AB357,AU$9:AU357),""),"")</f>
        <v/>
      </c>
      <c r="AO357" s="35" t="str" cm="1">
        <f t="array" ref="AO357">IFERROR(IF(AB358&lt;&gt;AB357,_xlfn.STDEV.P(IF(AB$9:AB357=AB357,AU$9:AU357)),""),"")</f>
        <v/>
      </c>
      <c r="AP357" s="35" t="str" cm="1">
        <f t="array" ref="AP357">IFERROR(IF(AB358&lt;&gt;AB357,_xlfn.STDEV.P(IF(AB$9:AB357=AB357,AT$9:AT357)),""),"")</f>
        <v/>
      </c>
      <c r="AQ357" s="36" t="str">
        <f t="shared" si="83"/>
        <v/>
      </c>
      <c r="AR357" s="36" t="str">
        <f t="shared" si="84"/>
        <v/>
      </c>
      <c r="AS357" s="36" t="str">
        <f t="shared" si="93"/>
        <v/>
      </c>
      <c r="AT357" s="37" t="str">
        <f t="shared" si="85"/>
        <v/>
      </c>
      <c r="AU357" s="37" t="str">
        <f t="shared" si="86"/>
        <v/>
      </c>
      <c r="AV357" s="54"/>
      <c r="AW357" s="46"/>
      <c r="AX357" s="39" t="str" cm="1">
        <f t="array" ref="AX357">IF(AH357&lt;&gt;"",IF(AND(AX355:AX356&lt;&gt;"IE",AQ357&lt;&gt;0,AS357&lt;&gt;""),IF(IFERROR((AQ357/AS357),0) &lt;=1,IFERROR(AQ357/AS357,""),1),""),"")</f>
        <v/>
      </c>
      <c r="AY357" s="46"/>
      <c r="AZ357" s="57"/>
    </row>
    <row r="358" spans="1:52" ht="15.5" x14ac:dyDescent="0.35">
      <c r="A358" s="51">
        <f t="shared" si="94"/>
        <v>1</v>
      </c>
      <c r="B358" s="52"/>
      <c r="C358" s="52"/>
      <c r="D358" s="29" t="str">
        <f>IFERROR(
IF(AND(OR(Planilla!B358="C",Planilla!B358="c"), VLOOKUP(E358,[1]Diccionario!B:N,13,0)="C"), "OK",IF(AND(OR(Planilla!B358="C",Planilla!B358="c"), OR(VLOOKUP(E358,[1]Diccionario!B:N,13,0)="B", VLOOKUP(E358,[1]Diccionario!B:N,13,0)="A")), "DEFICIT",IF(
AND(OR(Planilla!B358="B", Planilla!B358="BPAL"), VLOOKUP(E358,[1]Diccionario!B:N,13,0)="B"), "OK",IF(AND(OR(Planilla!B358="B", Planilla!B358="BPAL"), VLOOKUP(E358,[1]Diccionario!B:N,13,0)="A"), "DEFICIT",IF(AND(OR(Planilla!B358="B", Planilla!B358="BPAL"), VLOOKUP(E358,[1]Diccionario!B:N,13,0)="C"), "SOBREOFERTA",IF(AND(Planilla!B358="A", VLOOKUP(E358,[1]Diccionario!B:N,13,0)="A"), "OK",IF(
AND(Planilla!B358="A", OR(VLOOKUP(E358,[1]Diccionario!B:N,13,0)="B", VLOOKUP(E358,[1]Diccionario!B:N,13,0)="C")), "SOBREOFERTA",""
))))))),"")</f>
        <v/>
      </c>
      <c r="E358" s="48"/>
      <c r="F358" s="53"/>
      <c r="G358" s="54"/>
      <c r="H358" s="55" t="str">
        <f t="shared" si="87"/>
        <v/>
      </c>
      <c r="I358" s="35"/>
      <c r="J358" s="34" t="e">
        <f>IF(A358&lt;&gt;"",HLOOKUP(VALUE(TEXT(G358,"h:mm:ss")),IF($C$6="Laboral",[1]Input!$A$4:$Y$227,IF($C$6="Sábado",[1]Input!$A$231:$Y$452,[1]Input!$A$456:$Y$656)),VLOOKUP($C$4,[1]Input!$AG$2:$AI$99,3,0)+IF(C$5="Ida",0,1),1),"")</f>
        <v>#N/A</v>
      </c>
      <c r="K358" s="34" t="str">
        <f>IF(A359&lt;&gt;A358,AVERAGEIF(A$9:A358,A358,J$13:J358),"")</f>
        <v/>
      </c>
      <c r="L358" s="35" t="str">
        <f>IFERROR(IF(A359&lt;&gt;A358,AVERAGEIF(A$9:A358,A358,S$13:S358),""),"")</f>
        <v/>
      </c>
      <c r="M358" s="35" t="str">
        <f>IFERROR(IF(A359&lt;&gt;A358,AVERAGEIF(A$9:A358,A358,T$8:T358),""),"")</f>
        <v/>
      </c>
      <c r="N358" s="35" t="str" cm="1">
        <f t="array" ref="N358">IFERROR(IF(A359&lt;&gt;A358,_xlfn.STDEV.P(IF(A$9:A358=A358,T$7:T358)),""),"")</f>
        <v/>
      </c>
      <c r="O358" s="35" t="str" cm="1">
        <f t="array" ref="O358">IFERROR(IF(A359&lt;&gt;A358,_xlfn.STDEV.P(IF(A$9:A358=A358,S$7:S358)),""),"")</f>
        <v/>
      </c>
      <c r="P358" s="36" t="str">
        <f t="shared" si="80"/>
        <v/>
      </c>
      <c r="Q358" s="36" t="str">
        <f t="shared" si="81"/>
        <v/>
      </c>
      <c r="R358" s="36" t="str">
        <f t="shared" si="88"/>
        <v/>
      </c>
      <c r="S358" s="37" t="str">
        <f t="shared" si="89"/>
        <v/>
      </c>
      <c r="T358" s="37" t="str">
        <f t="shared" si="82"/>
        <v/>
      </c>
      <c r="U358" s="54"/>
      <c r="V358" s="46"/>
      <c r="W358" s="39" t="str">
        <f t="shared" si="90"/>
        <v/>
      </c>
      <c r="X358" s="38"/>
      <c r="Y358" s="48"/>
      <c r="AB358" s="56">
        <f t="shared" si="91"/>
        <v>1</v>
      </c>
      <c r="AC358" s="52"/>
      <c r="AD358" s="52"/>
      <c r="AE358" s="29" t="str">
        <f>IFERROR(
IF(AND(OR(AC358="C",AC358="c"), VLOOKUP(AF358,[1]Diccionario!B:N,13,0)="C"), "OK",IF(AND(OR(AC358="C",AC358="c"), OR(VLOOKUP(AF358,[1]Diccionario!B:N,13,0)="B", VLOOKUP(AF358,[1]Diccionario!B:N,13,0)="A")), "DEFICIT",IF(
AND(OR(AC358="B", AC358="BPAL"), VLOOKUP(AF358,[1]Diccionario!B:N,13,0)="B"), "OK",IF(AND(OR(AC358="B", AC358="BPAL"), VLOOKUP(AF358,[1]Diccionario!B:N,13,0)="A"), "DEFICIT",IF(AND(OR(AC358="B", AC358="BPAL"), VLOOKUP(AF358,[1]Diccionario!B:N,13,0)="C"), "SOBREOFERTA",IF(AND(AC358="A", VLOOKUP(AF358,[1]Diccionario!B:N,13,0)="A"), "OK",IF(
AND(AC358="A", OR(VLOOKUP(AF358,[1]Diccionario!B:N,13,0)="B", VLOOKUP(AF358,[1]Diccionario!B:N,13,0)="C")), "SOBREOFERTA",""
))))))),"")</f>
        <v/>
      </c>
      <c r="AF358" s="48"/>
      <c r="AG358" s="53"/>
      <c r="AH358" s="54"/>
      <c r="AI358" s="55" t="str">
        <f t="shared" si="92"/>
        <v/>
      </c>
      <c r="AJ358" s="46"/>
      <c r="AK358" s="34" t="e">
        <f>IF(AB358&lt;&gt;"",HLOOKUP(VALUE(TEXT(AH358,"h:mm:ss")),IF($C$6="Laboral",[1]Input!$A$4:$Y$227,IF($C$6="Sábado",[1]Input!$A$231:$Y$452,[1]Input!$A$456:$Y$656)),VLOOKUP($C$4,[1]Input!$AG$2:$AI$99,3,0)+IF(AD$5="Ida",0,1),1),"")</f>
        <v>#N/A</v>
      </c>
      <c r="AL358" s="34" t="str">
        <f>IF(AB359&lt;&gt;AB358,AVERAGEIF(AB$9:AB358,AB358,AK$9:AK358),"")</f>
        <v/>
      </c>
      <c r="AM358" s="35" t="str">
        <f>IFERROR(IF(AB359&lt;&gt;AB358,AVERAGEIF(AB$9:AB358,AB358,AT$9:AT358),""),"")</f>
        <v/>
      </c>
      <c r="AN358" s="35" t="str">
        <f>IFERROR(IF(AB359&lt;&gt;AB358,AVERAGEIF(AB$9:AB358,AB358,AU$9:AU358),""),"")</f>
        <v/>
      </c>
      <c r="AO358" s="35" t="str" cm="1">
        <f t="array" ref="AO358">IFERROR(IF(AB359&lt;&gt;AB358,_xlfn.STDEV.P(IF(AB$9:AB358=AB358,AU$9:AU358)),""),"")</f>
        <v/>
      </c>
      <c r="AP358" s="35" t="str" cm="1">
        <f t="array" ref="AP358">IFERROR(IF(AB359&lt;&gt;AB358,_xlfn.STDEV.P(IF(AB$9:AB358=AB358,AT$9:AT358)),""),"")</f>
        <v/>
      </c>
      <c r="AQ358" s="36" t="str">
        <f t="shared" si="83"/>
        <v/>
      </c>
      <c r="AR358" s="36" t="str">
        <f t="shared" si="84"/>
        <v/>
      </c>
      <c r="AS358" s="36" t="str">
        <f t="shared" si="93"/>
        <v/>
      </c>
      <c r="AT358" s="37" t="str">
        <f t="shared" si="85"/>
        <v/>
      </c>
      <c r="AU358" s="37" t="str">
        <f t="shared" si="86"/>
        <v/>
      </c>
      <c r="AV358" s="54"/>
      <c r="AW358" s="46"/>
      <c r="AX358" s="39" t="str" cm="1">
        <f t="array" ref="AX358">IF(AH358&lt;&gt;"",IF(AND(AX356:AX357&lt;&gt;"IE",AQ358&lt;&gt;0,AS358&lt;&gt;""),IF(IFERROR((AQ358/AS358),0) &lt;=1,IFERROR(AQ358/AS358,""),1),""),"")</f>
        <v/>
      </c>
      <c r="AY358" s="46"/>
      <c r="AZ358" s="57"/>
    </row>
    <row r="359" spans="1:52" ht="15.5" x14ac:dyDescent="0.35">
      <c r="A359" s="51">
        <f t="shared" si="94"/>
        <v>1</v>
      </c>
      <c r="B359" s="52"/>
      <c r="C359" s="52"/>
      <c r="D359" s="29" t="str">
        <f>IFERROR(
IF(AND(OR(Planilla!B359="C",Planilla!B359="c"), VLOOKUP(E359,[1]Diccionario!B:N,13,0)="C"), "OK",IF(AND(OR(Planilla!B359="C",Planilla!B359="c"), OR(VLOOKUP(E359,[1]Diccionario!B:N,13,0)="B", VLOOKUP(E359,[1]Diccionario!B:N,13,0)="A")), "DEFICIT",IF(
AND(OR(Planilla!B359="B", Planilla!B359="BPAL"), VLOOKUP(E359,[1]Diccionario!B:N,13,0)="B"), "OK",IF(AND(OR(Planilla!B359="B", Planilla!B359="BPAL"), VLOOKUP(E359,[1]Diccionario!B:N,13,0)="A"), "DEFICIT",IF(AND(OR(Planilla!B359="B", Planilla!B359="BPAL"), VLOOKUP(E359,[1]Diccionario!B:N,13,0)="C"), "SOBREOFERTA",IF(AND(Planilla!B359="A", VLOOKUP(E359,[1]Diccionario!B:N,13,0)="A"), "OK",IF(
AND(Planilla!B359="A", OR(VLOOKUP(E359,[1]Diccionario!B:N,13,0)="B", VLOOKUP(E359,[1]Diccionario!B:N,13,0)="C")), "SOBREOFERTA",""
))))))),"")</f>
        <v/>
      </c>
      <c r="E359" s="48"/>
      <c r="F359" s="53"/>
      <c r="G359" s="54"/>
      <c r="H359" s="55" t="str">
        <f t="shared" si="87"/>
        <v/>
      </c>
      <c r="I359" s="35"/>
      <c r="J359" s="34" t="e">
        <f>IF(A359&lt;&gt;"",HLOOKUP(VALUE(TEXT(G359,"h:mm:ss")),IF($C$6="Laboral",[1]Input!$A$4:$Y$227,IF($C$6="Sábado",[1]Input!$A$231:$Y$452,[1]Input!$A$456:$Y$656)),VLOOKUP($C$4,[1]Input!$AG$2:$AI$99,3,0)+IF(C$5="Ida",0,1),1),"")</f>
        <v>#N/A</v>
      </c>
      <c r="K359" s="34" t="str">
        <f>IF(A360&lt;&gt;A359,AVERAGEIF(A$9:A359,A359,J$13:J359),"")</f>
        <v/>
      </c>
      <c r="L359" s="35" t="str">
        <f>IFERROR(IF(A360&lt;&gt;A359,AVERAGEIF(A$9:A359,A359,S$13:S359),""),"")</f>
        <v/>
      </c>
      <c r="M359" s="35" t="str">
        <f>IFERROR(IF(A360&lt;&gt;A359,AVERAGEIF(A$9:A359,A359,T$8:T359),""),"")</f>
        <v/>
      </c>
      <c r="N359" s="35" t="str" cm="1">
        <f t="array" ref="N359">IFERROR(IF(A360&lt;&gt;A359,_xlfn.STDEV.P(IF(A$9:A359=A359,T$7:T359)),""),"")</f>
        <v/>
      </c>
      <c r="O359" s="35" t="str" cm="1">
        <f t="array" ref="O359">IFERROR(IF(A360&lt;&gt;A359,_xlfn.STDEV.P(IF(A$9:A359=A359,S$7:S359)),""),"")</f>
        <v/>
      </c>
      <c r="P359" s="36" t="str">
        <f t="shared" si="80"/>
        <v/>
      </c>
      <c r="Q359" s="36" t="str">
        <f t="shared" si="81"/>
        <v/>
      </c>
      <c r="R359" s="36" t="str">
        <f t="shared" si="88"/>
        <v/>
      </c>
      <c r="S359" s="37" t="str">
        <f t="shared" si="89"/>
        <v/>
      </c>
      <c r="T359" s="37" t="str">
        <f t="shared" si="82"/>
        <v/>
      </c>
      <c r="U359" s="54"/>
      <c r="V359" s="46"/>
      <c r="W359" s="39" t="str">
        <f t="shared" si="90"/>
        <v/>
      </c>
      <c r="X359" s="38"/>
      <c r="Y359" s="48"/>
      <c r="AB359" s="56">
        <f t="shared" si="91"/>
        <v>1</v>
      </c>
      <c r="AC359" s="52"/>
      <c r="AD359" s="52"/>
      <c r="AE359" s="29" t="str">
        <f>IFERROR(
IF(AND(OR(AC359="C",AC359="c"), VLOOKUP(AF359,[1]Diccionario!B:N,13,0)="C"), "OK",IF(AND(OR(AC359="C",AC359="c"), OR(VLOOKUP(AF359,[1]Diccionario!B:N,13,0)="B", VLOOKUP(AF359,[1]Diccionario!B:N,13,0)="A")), "DEFICIT",IF(
AND(OR(AC359="B", AC359="BPAL"), VLOOKUP(AF359,[1]Diccionario!B:N,13,0)="B"), "OK",IF(AND(OR(AC359="B", AC359="BPAL"), VLOOKUP(AF359,[1]Diccionario!B:N,13,0)="A"), "DEFICIT",IF(AND(OR(AC359="B", AC359="BPAL"), VLOOKUP(AF359,[1]Diccionario!B:N,13,0)="C"), "SOBREOFERTA",IF(AND(AC359="A", VLOOKUP(AF359,[1]Diccionario!B:N,13,0)="A"), "OK",IF(
AND(AC359="A", OR(VLOOKUP(AF359,[1]Diccionario!B:N,13,0)="B", VLOOKUP(AF359,[1]Diccionario!B:N,13,0)="C")), "SOBREOFERTA",""
))))))),"")</f>
        <v/>
      </c>
      <c r="AF359" s="48"/>
      <c r="AG359" s="53"/>
      <c r="AH359" s="54"/>
      <c r="AI359" s="55" t="str">
        <f t="shared" si="92"/>
        <v/>
      </c>
      <c r="AJ359" s="46"/>
      <c r="AK359" s="34" t="e">
        <f>IF(AB359&lt;&gt;"",HLOOKUP(VALUE(TEXT(AH359,"h:mm:ss")),IF($C$6="Laboral",[1]Input!$A$4:$Y$227,IF($C$6="Sábado",[1]Input!$A$231:$Y$452,[1]Input!$A$456:$Y$656)),VLOOKUP($C$4,[1]Input!$AG$2:$AI$99,3,0)+IF(AD$5="Ida",0,1),1),"")</f>
        <v>#N/A</v>
      </c>
      <c r="AL359" s="34" t="str">
        <f>IF(AB360&lt;&gt;AB359,AVERAGEIF(AB$9:AB359,AB359,AK$9:AK359),"")</f>
        <v/>
      </c>
      <c r="AM359" s="35" t="str">
        <f>IFERROR(IF(AB360&lt;&gt;AB359,AVERAGEIF(AB$9:AB359,AB359,AT$9:AT359),""),"")</f>
        <v/>
      </c>
      <c r="AN359" s="35" t="str">
        <f>IFERROR(IF(AB360&lt;&gt;AB359,AVERAGEIF(AB$9:AB359,AB359,AU$9:AU359),""),"")</f>
        <v/>
      </c>
      <c r="AO359" s="35" t="str" cm="1">
        <f t="array" ref="AO359">IFERROR(IF(AB360&lt;&gt;AB359,_xlfn.STDEV.P(IF(AB$9:AB359=AB359,AU$9:AU359)),""),"")</f>
        <v/>
      </c>
      <c r="AP359" s="35" t="str" cm="1">
        <f t="array" ref="AP359">IFERROR(IF(AB360&lt;&gt;AB359,_xlfn.STDEV.P(IF(AB$9:AB359=AB359,AT$9:AT359)),""),"")</f>
        <v/>
      </c>
      <c r="AQ359" s="36" t="str">
        <f t="shared" si="83"/>
        <v/>
      </c>
      <c r="AR359" s="36" t="str">
        <f t="shared" si="84"/>
        <v/>
      </c>
      <c r="AS359" s="36" t="str">
        <f t="shared" si="93"/>
        <v/>
      </c>
      <c r="AT359" s="37" t="str">
        <f t="shared" si="85"/>
        <v/>
      </c>
      <c r="AU359" s="37" t="str">
        <f t="shared" si="86"/>
        <v/>
      </c>
      <c r="AV359" s="54"/>
      <c r="AW359" s="46"/>
      <c r="AX359" s="39" t="str" cm="1">
        <f t="array" ref="AX359">IF(AH359&lt;&gt;"",IF(AND(AX357:AX358&lt;&gt;"IE",AQ359&lt;&gt;0,AS359&lt;&gt;""),IF(IFERROR((AQ359/AS359),0) &lt;=1,IFERROR(AQ359/AS359,""),1),""),"")</f>
        <v/>
      </c>
      <c r="AY359" s="46"/>
      <c r="AZ359" s="57"/>
    </row>
    <row r="360" spans="1:52" ht="15.5" x14ac:dyDescent="0.35">
      <c r="A360" s="51">
        <f t="shared" si="94"/>
        <v>1</v>
      </c>
      <c r="B360" s="52"/>
      <c r="C360" s="52"/>
      <c r="D360" s="29" t="str">
        <f>IFERROR(
IF(AND(OR(Planilla!B360="C",Planilla!B360="c"), VLOOKUP(E360,[1]Diccionario!B:N,13,0)="C"), "OK",IF(AND(OR(Planilla!B360="C",Planilla!B360="c"), OR(VLOOKUP(E360,[1]Diccionario!B:N,13,0)="B", VLOOKUP(E360,[1]Diccionario!B:N,13,0)="A")), "DEFICIT",IF(
AND(OR(Planilla!B360="B", Planilla!B360="BPAL"), VLOOKUP(E360,[1]Diccionario!B:N,13,0)="B"), "OK",IF(AND(OR(Planilla!B360="B", Planilla!B360="BPAL"), VLOOKUP(E360,[1]Diccionario!B:N,13,0)="A"), "DEFICIT",IF(AND(OR(Planilla!B360="B", Planilla!B360="BPAL"), VLOOKUP(E360,[1]Diccionario!B:N,13,0)="C"), "SOBREOFERTA",IF(AND(Planilla!B360="A", VLOOKUP(E360,[1]Diccionario!B:N,13,0)="A"), "OK",IF(
AND(Planilla!B360="A", OR(VLOOKUP(E360,[1]Diccionario!B:N,13,0)="B", VLOOKUP(E360,[1]Diccionario!B:N,13,0)="C")), "SOBREOFERTA",""
))))))),"")</f>
        <v/>
      </c>
      <c r="E360" s="48"/>
      <c r="F360" s="53"/>
      <c r="G360" s="54"/>
      <c r="H360" s="55" t="str">
        <f t="shared" si="87"/>
        <v/>
      </c>
      <c r="I360" s="35"/>
      <c r="J360" s="34" t="e">
        <f>IF(A360&lt;&gt;"",HLOOKUP(VALUE(TEXT(G360,"h:mm:ss")),IF($C$6="Laboral",[1]Input!$A$4:$Y$227,IF($C$6="Sábado",[1]Input!$A$231:$Y$452,[1]Input!$A$456:$Y$656)),VLOOKUP($C$4,[1]Input!$AG$2:$AI$99,3,0)+IF(C$5="Ida",0,1),1),"")</f>
        <v>#N/A</v>
      </c>
      <c r="K360" s="34" t="str">
        <f>IF(A361&lt;&gt;A360,AVERAGEIF(A$9:A360,A360,J$13:J360),"")</f>
        <v/>
      </c>
      <c r="L360" s="35" t="str">
        <f>IFERROR(IF(A361&lt;&gt;A360,AVERAGEIF(A$9:A360,A360,S$13:S360),""),"")</f>
        <v/>
      </c>
      <c r="M360" s="35" t="str">
        <f>IFERROR(IF(A361&lt;&gt;A360,AVERAGEIF(A$9:A360,A360,T$8:T360),""),"")</f>
        <v/>
      </c>
      <c r="N360" s="35" t="str" cm="1">
        <f t="array" ref="N360">IFERROR(IF(A361&lt;&gt;A360,_xlfn.STDEV.P(IF(A$9:A360=A360,T$7:T360)),""),"")</f>
        <v/>
      </c>
      <c r="O360" s="35" t="str" cm="1">
        <f t="array" ref="O360">IFERROR(IF(A361&lt;&gt;A360,_xlfn.STDEV.P(IF(A$9:A360=A360,S$7:S360)),""),"")</f>
        <v/>
      </c>
      <c r="P360" s="36" t="str">
        <f t="shared" si="80"/>
        <v/>
      </c>
      <c r="Q360" s="36" t="str">
        <f t="shared" si="81"/>
        <v/>
      </c>
      <c r="R360" s="36" t="str">
        <f t="shared" si="88"/>
        <v/>
      </c>
      <c r="S360" s="37" t="str">
        <f t="shared" si="89"/>
        <v/>
      </c>
      <c r="T360" s="37" t="str">
        <f t="shared" si="82"/>
        <v/>
      </c>
      <c r="U360" s="54"/>
      <c r="V360" s="46"/>
      <c r="W360" s="39" t="str">
        <f t="shared" si="90"/>
        <v/>
      </c>
      <c r="X360" s="38"/>
      <c r="Y360" s="48"/>
      <c r="AB360" s="56">
        <f t="shared" si="91"/>
        <v>1</v>
      </c>
      <c r="AC360" s="52"/>
      <c r="AD360" s="52"/>
      <c r="AE360" s="29" t="str">
        <f>IFERROR(
IF(AND(OR(AC360="C",AC360="c"), VLOOKUP(AF360,[1]Diccionario!B:N,13,0)="C"), "OK",IF(AND(OR(AC360="C",AC360="c"), OR(VLOOKUP(AF360,[1]Diccionario!B:N,13,0)="B", VLOOKUP(AF360,[1]Diccionario!B:N,13,0)="A")), "DEFICIT",IF(
AND(OR(AC360="B", AC360="BPAL"), VLOOKUP(AF360,[1]Diccionario!B:N,13,0)="B"), "OK",IF(AND(OR(AC360="B", AC360="BPAL"), VLOOKUP(AF360,[1]Diccionario!B:N,13,0)="A"), "DEFICIT",IF(AND(OR(AC360="B", AC360="BPAL"), VLOOKUP(AF360,[1]Diccionario!B:N,13,0)="C"), "SOBREOFERTA",IF(AND(AC360="A", VLOOKUP(AF360,[1]Diccionario!B:N,13,0)="A"), "OK",IF(
AND(AC360="A", OR(VLOOKUP(AF360,[1]Diccionario!B:N,13,0)="B", VLOOKUP(AF360,[1]Diccionario!B:N,13,0)="C")), "SOBREOFERTA",""
))))))),"")</f>
        <v/>
      </c>
      <c r="AF360" s="48"/>
      <c r="AG360" s="53"/>
      <c r="AH360" s="54"/>
      <c r="AI360" s="55" t="str">
        <f t="shared" si="92"/>
        <v/>
      </c>
      <c r="AJ360" s="46"/>
      <c r="AK360" s="34" t="e">
        <f>IF(AB360&lt;&gt;"",HLOOKUP(VALUE(TEXT(AH360,"h:mm:ss")),IF($C$6="Laboral",[1]Input!$A$4:$Y$227,IF($C$6="Sábado",[1]Input!$A$231:$Y$452,[1]Input!$A$456:$Y$656)),VLOOKUP($C$4,[1]Input!$AG$2:$AI$99,3,0)+IF(AD$5="Ida",0,1),1),"")</f>
        <v>#N/A</v>
      </c>
      <c r="AL360" s="34" t="str">
        <f>IF(AB361&lt;&gt;AB360,AVERAGEIF(AB$9:AB360,AB360,AK$9:AK360),"")</f>
        <v/>
      </c>
      <c r="AM360" s="35" t="str">
        <f>IFERROR(IF(AB361&lt;&gt;AB360,AVERAGEIF(AB$9:AB360,AB360,AT$9:AT360),""),"")</f>
        <v/>
      </c>
      <c r="AN360" s="35" t="str">
        <f>IFERROR(IF(AB361&lt;&gt;AB360,AVERAGEIF(AB$9:AB360,AB360,AU$9:AU360),""),"")</f>
        <v/>
      </c>
      <c r="AO360" s="35" t="str" cm="1">
        <f t="array" ref="AO360">IFERROR(IF(AB361&lt;&gt;AB360,_xlfn.STDEV.P(IF(AB$9:AB360=AB360,AU$9:AU360)),""),"")</f>
        <v/>
      </c>
      <c r="AP360" s="35" t="str" cm="1">
        <f t="array" ref="AP360">IFERROR(IF(AB361&lt;&gt;AB360,_xlfn.STDEV.P(IF(AB$9:AB360=AB360,AT$9:AT360)),""),"")</f>
        <v/>
      </c>
      <c r="AQ360" s="36" t="str">
        <f t="shared" si="83"/>
        <v/>
      </c>
      <c r="AR360" s="36" t="str">
        <f t="shared" si="84"/>
        <v/>
      </c>
      <c r="AS360" s="36" t="str">
        <f t="shared" si="93"/>
        <v/>
      </c>
      <c r="AT360" s="37" t="str">
        <f t="shared" si="85"/>
        <v/>
      </c>
      <c r="AU360" s="37" t="str">
        <f t="shared" si="86"/>
        <v/>
      </c>
      <c r="AV360" s="54"/>
      <c r="AW360" s="46"/>
      <c r="AX360" s="39" t="str" cm="1">
        <f t="array" ref="AX360">IF(AH360&lt;&gt;"",IF(AND(AX358:AX359&lt;&gt;"IE",AQ360&lt;&gt;0,AS360&lt;&gt;""),IF(IFERROR((AQ360/AS360),0) &lt;=1,IFERROR(AQ360/AS360,""),1),""),"")</f>
        <v/>
      </c>
      <c r="AY360" s="46"/>
      <c r="AZ360" s="57"/>
    </row>
    <row r="361" spans="1:52" ht="15.5" x14ac:dyDescent="0.35">
      <c r="A361" s="51">
        <f t="shared" si="94"/>
        <v>1</v>
      </c>
      <c r="B361" s="52"/>
      <c r="C361" s="52"/>
      <c r="D361" s="29" t="str">
        <f>IFERROR(
IF(AND(OR(Planilla!B361="C",Planilla!B361="c"), VLOOKUP(E361,[1]Diccionario!B:N,13,0)="C"), "OK",IF(AND(OR(Planilla!B361="C",Planilla!B361="c"), OR(VLOOKUP(E361,[1]Diccionario!B:N,13,0)="B", VLOOKUP(E361,[1]Diccionario!B:N,13,0)="A")), "DEFICIT",IF(
AND(OR(Planilla!B361="B", Planilla!B361="BPAL"), VLOOKUP(E361,[1]Diccionario!B:N,13,0)="B"), "OK",IF(AND(OR(Planilla!B361="B", Planilla!B361="BPAL"), VLOOKUP(E361,[1]Diccionario!B:N,13,0)="A"), "DEFICIT",IF(AND(OR(Planilla!B361="B", Planilla!B361="BPAL"), VLOOKUP(E361,[1]Diccionario!B:N,13,0)="C"), "SOBREOFERTA",IF(AND(Planilla!B361="A", VLOOKUP(E361,[1]Diccionario!B:N,13,0)="A"), "OK",IF(
AND(Planilla!B361="A", OR(VLOOKUP(E361,[1]Diccionario!B:N,13,0)="B", VLOOKUP(E361,[1]Diccionario!B:N,13,0)="C")), "SOBREOFERTA",""
))))))),"")</f>
        <v/>
      </c>
      <c r="E361" s="48"/>
      <c r="F361" s="53"/>
      <c r="G361" s="54"/>
      <c r="H361" s="55" t="str">
        <f t="shared" si="87"/>
        <v/>
      </c>
      <c r="I361" s="35"/>
      <c r="J361" s="34" t="e">
        <f>IF(A361&lt;&gt;"",HLOOKUP(VALUE(TEXT(G361,"h:mm:ss")),IF($C$6="Laboral",[1]Input!$A$4:$Y$227,IF($C$6="Sábado",[1]Input!$A$231:$Y$452,[1]Input!$A$456:$Y$656)),VLOOKUP($C$4,[1]Input!$AG$2:$AI$99,3,0)+IF(C$5="Ida",0,1),1),"")</f>
        <v>#N/A</v>
      </c>
      <c r="K361" s="34" t="str">
        <f>IF(A362&lt;&gt;A361,AVERAGEIF(A$9:A361,A361,J$13:J361),"")</f>
        <v/>
      </c>
      <c r="L361" s="35" t="str">
        <f>IFERROR(IF(A362&lt;&gt;A361,AVERAGEIF(A$9:A361,A361,S$13:S361),""),"")</f>
        <v/>
      </c>
      <c r="M361" s="35" t="str">
        <f>IFERROR(IF(A362&lt;&gt;A361,AVERAGEIF(A$9:A361,A361,T$8:T361),""),"")</f>
        <v/>
      </c>
      <c r="N361" s="35" t="str" cm="1">
        <f t="array" ref="N361">IFERROR(IF(A362&lt;&gt;A361,_xlfn.STDEV.P(IF(A$9:A361=A361,T$7:T361)),""),"")</f>
        <v/>
      </c>
      <c r="O361" s="35" t="str" cm="1">
        <f t="array" ref="O361">IFERROR(IF(A362&lt;&gt;A361,_xlfn.STDEV.P(IF(A$9:A361=A361,S$7:S361)),""),"")</f>
        <v/>
      </c>
      <c r="P361" s="36" t="str">
        <f t="shared" si="80"/>
        <v/>
      </c>
      <c r="Q361" s="36" t="str">
        <f t="shared" si="81"/>
        <v/>
      </c>
      <c r="R361" s="36" t="str">
        <f t="shared" si="88"/>
        <v/>
      </c>
      <c r="S361" s="37" t="str">
        <f t="shared" si="89"/>
        <v/>
      </c>
      <c r="T361" s="37" t="str">
        <f t="shared" si="82"/>
        <v/>
      </c>
      <c r="U361" s="54"/>
      <c r="V361" s="46"/>
      <c r="W361" s="39" t="str">
        <f t="shared" si="90"/>
        <v/>
      </c>
      <c r="X361" s="38"/>
      <c r="Y361" s="48"/>
      <c r="AB361" s="56">
        <f t="shared" si="91"/>
        <v>1</v>
      </c>
      <c r="AC361" s="52"/>
      <c r="AD361" s="52"/>
      <c r="AE361" s="29" t="str">
        <f>IFERROR(
IF(AND(OR(AC361="C",AC361="c"), VLOOKUP(AF361,[1]Diccionario!B:N,13,0)="C"), "OK",IF(AND(OR(AC361="C",AC361="c"), OR(VLOOKUP(AF361,[1]Diccionario!B:N,13,0)="B", VLOOKUP(AF361,[1]Diccionario!B:N,13,0)="A")), "DEFICIT",IF(
AND(OR(AC361="B", AC361="BPAL"), VLOOKUP(AF361,[1]Diccionario!B:N,13,0)="B"), "OK",IF(AND(OR(AC361="B", AC361="BPAL"), VLOOKUP(AF361,[1]Diccionario!B:N,13,0)="A"), "DEFICIT",IF(AND(OR(AC361="B", AC361="BPAL"), VLOOKUP(AF361,[1]Diccionario!B:N,13,0)="C"), "SOBREOFERTA",IF(AND(AC361="A", VLOOKUP(AF361,[1]Diccionario!B:N,13,0)="A"), "OK",IF(
AND(AC361="A", OR(VLOOKUP(AF361,[1]Diccionario!B:N,13,0)="B", VLOOKUP(AF361,[1]Diccionario!B:N,13,0)="C")), "SOBREOFERTA",""
))))))),"")</f>
        <v/>
      </c>
      <c r="AF361" s="48"/>
      <c r="AG361" s="53"/>
      <c r="AH361" s="54"/>
      <c r="AI361" s="55" t="str">
        <f t="shared" si="92"/>
        <v/>
      </c>
      <c r="AJ361" s="46"/>
      <c r="AK361" s="34" t="e">
        <f>IF(AB361&lt;&gt;"",HLOOKUP(VALUE(TEXT(AH361,"h:mm:ss")),IF($C$6="Laboral",[1]Input!$A$4:$Y$227,IF($C$6="Sábado",[1]Input!$A$231:$Y$452,[1]Input!$A$456:$Y$656)),VLOOKUP($C$4,[1]Input!$AG$2:$AI$99,3,0)+IF(AD$5="Ida",0,1),1),"")</f>
        <v>#N/A</v>
      </c>
      <c r="AL361" s="34" t="str">
        <f>IF(AB362&lt;&gt;AB361,AVERAGEIF(AB$9:AB361,AB361,AK$9:AK361),"")</f>
        <v/>
      </c>
      <c r="AM361" s="35" t="str">
        <f>IFERROR(IF(AB362&lt;&gt;AB361,AVERAGEIF(AB$9:AB361,AB361,AT$9:AT361),""),"")</f>
        <v/>
      </c>
      <c r="AN361" s="35" t="str">
        <f>IFERROR(IF(AB362&lt;&gt;AB361,AVERAGEIF(AB$9:AB361,AB361,AU$9:AU361),""),"")</f>
        <v/>
      </c>
      <c r="AO361" s="35" t="str" cm="1">
        <f t="array" ref="AO361">IFERROR(IF(AB362&lt;&gt;AB361,_xlfn.STDEV.P(IF(AB$9:AB361=AB361,AU$9:AU361)),""),"")</f>
        <v/>
      </c>
      <c r="AP361" s="35" t="str" cm="1">
        <f t="array" ref="AP361">IFERROR(IF(AB362&lt;&gt;AB361,_xlfn.STDEV.P(IF(AB$9:AB361=AB361,AT$9:AT361)),""),"")</f>
        <v/>
      </c>
      <c r="AQ361" s="36" t="str">
        <f t="shared" si="83"/>
        <v/>
      </c>
      <c r="AR361" s="36" t="str">
        <f t="shared" si="84"/>
        <v/>
      </c>
      <c r="AS361" s="36" t="str">
        <f t="shared" si="93"/>
        <v/>
      </c>
      <c r="AT361" s="37" t="str">
        <f t="shared" si="85"/>
        <v/>
      </c>
      <c r="AU361" s="37" t="str">
        <f t="shared" si="86"/>
        <v/>
      </c>
      <c r="AV361" s="54"/>
      <c r="AW361" s="46"/>
      <c r="AX361" s="39" t="str" cm="1">
        <f t="array" ref="AX361">IF(AH361&lt;&gt;"",IF(AND(AX359:AX360&lt;&gt;"IE",AQ361&lt;&gt;0,AS361&lt;&gt;""),IF(IFERROR((AQ361/AS361),0) &lt;=1,IFERROR(AQ361/AS361,""),1),""),"")</f>
        <v/>
      </c>
      <c r="AY361" s="46"/>
      <c r="AZ361" s="57"/>
    </row>
    <row r="362" spans="1:52" ht="15.5" x14ac:dyDescent="0.35">
      <c r="A362" s="51">
        <f t="shared" si="94"/>
        <v>1</v>
      </c>
      <c r="B362" s="52"/>
      <c r="C362" s="52"/>
      <c r="D362" s="29" t="str">
        <f>IFERROR(
IF(AND(OR(Planilla!B362="C",Planilla!B362="c"), VLOOKUP(E362,[1]Diccionario!B:N,13,0)="C"), "OK",IF(AND(OR(Planilla!B362="C",Planilla!B362="c"), OR(VLOOKUP(E362,[1]Diccionario!B:N,13,0)="B", VLOOKUP(E362,[1]Diccionario!B:N,13,0)="A")), "DEFICIT",IF(
AND(OR(Planilla!B362="B", Planilla!B362="BPAL"), VLOOKUP(E362,[1]Diccionario!B:N,13,0)="B"), "OK",IF(AND(OR(Planilla!B362="B", Planilla!B362="BPAL"), VLOOKUP(E362,[1]Diccionario!B:N,13,0)="A"), "DEFICIT",IF(AND(OR(Planilla!B362="B", Planilla!B362="BPAL"), VLOOKUP(E362,[1]Diccionario!B:N,13,0)="C"), "SOBREOFERTA",IF(AND(Planilla!B362="A", VLOOKUP(E362,[1]Diccionario!B:N,13,0)="A"), "OK",IF(
AND(Planilla!B362="A", OR(VLOOKUP(E362,[1]Diccionario!B:N,13,0)="B", VLOOKUP(E362,[1]Diccionario!B:N,13,0)="C")), "SOBREOFERTA",""
))))))),"")</f>
        <v/>
      </c>
      <c r="E362" s="48"/>
      <c r="F362" s="53"/>
      <c r="G362" s="54"/>
      <c r="H362" s="55" t="str">
        <f t="shared" si="87"/>
        <v/>
      </c>
      <c r="I362" s="35"/>
      <c r="J362" s="34" t="e">
        <f>IF(A362&lt;&gt;"",HLOOKUP(VALUE(TEXT(G362,"h:mm:ss")),IF($C$6="Laboral",[1]Input!$A$4:$Y$227,IF($C$6="Sábado",[1]Input!$A$231:$Y$452,[1]Input!$A$456:$Y$656)),VLOOKUP($C$4,[1]Input!$AG$2:$AI$99,3,0)+IF(C$5="Ida",0,1),1),"")</f>
        <v>#N/A</v>
      </c>
      <c r="K362" s="34" t="str">
        <f>IF(A363&lt;&gt;A362,AVERAGEIF(A$9:A362,A362,J$13:J362),"")</f>
        <v/>
      </c>
      <c r="L362" s="35" t="str">
        <f>IFERROR(IF(A363&lt;&gt;A362,AVERAGEIF(A$9:A362,A362,S$13:S362),""),"")</f>
        <v/>
      </c>
      <c r="M362" s="35" t="str">
        <f>IFERROR(IF(A363&lt;&gt;A362,AVERAGEIF(A$9:A362,A362,T$8:T362),""),"")</f>
        <v/>
      </c>
      <c r="N362" s="35" t="str" cm="1">
        <f t="array" ref="N362">IFERROR(IF(A363&lt;&gt;A362,_xlfn.STDEV.P(IF(A$9:A362=A362,T$7:T362)),""),"")</f>
        <v/>
      </c>
      <c r="O362" s="35" t="str" cm="1">
        <f t="array" ref="O362">IFERROR(IF(A363&lt;&gt;A362,_xlfn.STDEV.P(IF(A$9:A362=A362,S$7:S362)),""),"")</f>
        <v/>
      </c>
      <c r="P362" s="36" t="str">
        <f t="shared" si="80"/>
        <v/>
      </c>
      <c r="Q362" s="36" t="str">
        <f t="shared" si="81"/>
        <v/>
      </c>
      <c r="R362" s="36" t="str">
        <f t="shared" si="88"/>
        <v/>
      </c>
      <c r="S362" s="37" t="str">
        <f t="shared" si="89"/>
        <v/>
      </c>
      <c r="T362" s="37" t="str">
        <f t="shared" si="82"/>
        <v/>
      </c>
      <c r="U362" s="54"/>
      <c r="V362" s="46"/>
      <c r="W362" s="39" t="str">
        <f t="shared" si="90"/>
        <v/>
      </c>
      <c r="X362" s="38"/>
      <c r="Y362" s="48"/>
      <c r="AB362" s="56">
        <f t="shared" si="91"/>
        <v>1</v>
      </c>
      <c r="AC362" s="52"/>
      <c r="AD362" s="52"/>
      <c r="AE362" s="29" t="str">
        <f>IFERROR(
IF(AND(OR(AC362="C",AC362="c"), VLOOKUP(AF362,[1]Diccionario!B:N,13,0)="C"), "OK",IF(AND(OR(AC362="C",AC362="c"), OR(VLOOKUP(AF362,[1]Diccionario!B:N,13,0)="B", VLOOKUP(AF362,[1]Diccionario!B:N,13,0)="A")), "DEFICIT",IF(
AND(OR(AC362="B", AC362="BPAL"), VLOOKUP(AF362,[1]Diccionario!B:N,13,0)="B"), "OK",IF(AND(OR(AC362="B", AC362="BPAL"), VLOOKUP(AF362,[1]Diccionario!B:N,13,0)="A"), "DEFICIT",IF(AND(OR(AC362="B", AC362="BPAL"), VLOOKUP(AF362,[1]Diccionario!B:N,13,0)="C"), "SOBREOFERTA",IF(AND(AC362="A", VLOOKUP(AF362,[1]Diccionario!B:N,13,0)="A"), "OK",IF(
AND(AC362="A", OR(VLOOKUP(AF362,[1]Diccionario!B:N,13,0)="B", VLOOKUP(AF362,[1]Diccionario!B:N,13,0)="C")), "SOBREOFERTA",""
))))))),"")</f>
        <v/>
      </c>
      <c r="AF362" s="48"/>
      <c r="AG362" s="53"/>
      <c r="AH362" s="54"/>
      <c r="AI362" s="55" t="str">
        <f t="shared" si="92"/>
        <v/>
      </c>
      <c r="AJ362" s="46"/>
      <c r="AK362" s="34" t="e">
        <f>IF(AB362&lt;&gt;"",HLOOKUP(VALUE(TEXT(AH362,"h:mm:ss")),IF($C$6="Laboral",[1]Input!$A$4:$Y$227,IF($C$6="Sábado",[1]Input!$A$231:$Y$452,[1]Input!$A$456:$Y$656)),VLOOKUP($C$4,[1]Input!$AG$2:$AI$99,3,0)+IF(AD$5="Ida",0,1),1),"")</f>
        <v>#N/A</v>
      </c>
      <c r="AL362" s="34" t="str">
        <f>IF(AB363&lt;&gt;AB362,AVERAGEIF(AB$9:AB362,AB362,AK$9:AK362),"")</f>
        <v/>
      </c>
      <c r="AM362" s="35" t="str">
        <f>IFERROR(IF(AB363&lt;&gt;AB362,AVERAGEIF(AB$9:AB362,AB362,AT$9:AT362),""),"")</f>
        <v/>
      </c>
      <c r="AN362" s="35" t="str">
        <f>IFERROR(IF(AB363&lt;&gt;AB362,AVERAGEIF(AB$9:AB362,AB362,AU$9:AU362),""),"")</f>
        <v/>
      </c>
      <c r="AO362" s="35" t="str" cm="1">
        <f t="array" ref="AO362">IFERROR(IF(AB363&lt;&gt;AB362,_xlfn.STDEV.P(IF(AB$9:AB362=AB362,AU$9:AU362)),""),"")</f>
        <v/>
      </c>
      <c r="AP362" s="35" t="str" cm="1">
        <f t="array" ref="AP362">IFERROR(IF(AB363&lt;&gt;AB362,_xlfn.STDEV.P(IF(AB$9:AB362=AB362,AT$9:AT362)),""),"")</f>
        <v/>
      </c>
      <c r="AQ362" s="36" t="str">
        <f t="shared" si="83"/>
        <v/>
      </c>
      <c r="AR362" s="36" t="str">
        <f t="shared" si="84"/>
        <v/>
      </c>
      <c r="AS362" s="36" t="str">
        <f t="shared" si="93"/>
        <v/>
      </c>
      <c r="AT362" s="37" t="str">
        <f t="shared" si="85"/>
        <v/>
      </c>
      <c r="AU362" s="37" t="str">
        <f t="shared" si="86"/>
        <v/>
      </c>
      <c r="AV362" s="54"/>
      <c r="AW362" s="46"/>
      <c r="AX362" s="39" t="str" cm="1">
        <f t="array" ref="AX362">IF(AH362&lt;&gt;"",IF(AND(AX360:AX361&lt;&gt;"IE",AQ362&lt;&gt;0,AS362&lt;&gt;""),IF(IFERROR((AQ362/AS362),0) &lt;=1,IFERROR(AQ362/AS362,""),1),""),"")</f>
        <v/>
      </c>
      <c r="AY362" s="46"/>
      <c r="AZ362" s="57"/>
    </row>
    <row r="363" spans="1:52" ht="15.5" x14ac:dyDescent="0.35">
      <c r="A363" s="51">
        <f t="shared" si="94"/>
        <v>1</v>
      </c>
      <c r="B363" s="52"/>
      <c r="C363" s="52"/>
      <c r="D363" s="29" t="str">
        <f>IFERROR(
IF(AND(OR(Planilla!B363="C",Planilla!B363="c"), VLOOKUP(E363,[1]Diccionario!B:N,13,0)="C"), "OK",IF(AND(OR(Planilla!B363="C",Planilla!B363="c"), OR(VLOOKUP(E363,[1]Diccionario!B:N,13,0)="B", VLOOKUP(E363,[1]Diccionario!B:N,13,0)="A")), "DEFICIT",IF(
AND(OR(Planilla!B363="B", Planilla!B363="BPAL"), VLOOKUP(E363,[1]Diccionario!B:N,13,0)="B"), "OK",IF(AND(OR(Planilla!B363="B", Planilla!B363="BPAL"), VLOOKUP(E363,[1]Diccionario!B:N,13,0)="A"), "DEFICIT",IF(AND(OR(Planilla!B363="B", Planilla!B363="BPAL"), VLOOKUP(E363,[1]Diccionario!B:N,13,0)="C"), "SOBREOFERTA",IF(AND(Planilla!B363="A", VLOOKUP(E363,[1]Diccionario!B:N,13,0)="A"), "OK",IF(
AND(Planilla!B363="A", OR(VLOOKUP(E363,[1]Diccionario!B:N,13,0)="B", VLOOKUP(E363,[1]Diccionario!B:N,13,0)="C")), "SOBREOFERTA",""
))))))),"")</f>
        <v/>
      </c>
      <c r="E363" s="48"/>
      <c r="F363" s="53"/>
      <c r="G363" s="54"/>
      <c r="H363" s="55" t="str">
        <f t="shared" si="87"/>
        <v/>
      </c>
      <c r="I363" s="35"/>
      <c r="J363" s="34" t="e">
        <f>IF(A363&lt;&gt;"",HLOOKUP(VALUE(TEXT(G363,"h:mm:ss")),IF($C$6="Laboral",[1]Input!$A$4:$Y$227,IF($C$6="Sábado",[1]Input!$A$231:$Y$452,[1]Input!$A$456:$Y$656)),VLOOKUP($C$4,[1]Input!$AG$2:$AI$99,3,0)+IF(C$5="Ida",0,1),1),"")</f>
        <v>#N/A</v>
      </c>
      <c r="K363" s="34" t="str">
        <f>IF(A364&lt;&gt;A363,AVERAGEIF(A$9:A363,A363,J$13:J363),"")</f>
        <v/>
      </c>
      <c r="L363" s="35" t="str">
        <f>IFERROR(IF(A364&lt;&gt;A363,AVERAGEIF(A$9:A363,A363,S$13:S363),""),"")</f>
        <v/>
      </c>
      <c r="M363" s="35" t="str">
        <f>IFERROR(IF(A364&lt;&gt;A363,AVERAGEIF(A$9:A363,A363,T$8:T363),""),"")</f>
        <v/>
      </c>
      <c r="N363" s="35" t="str" cm="1">
        <f t="array" ref="N363">IFERROR(IF(A364&lt;&gt;A363,_xlfn.STDEV.P(IF(A$9:A363=A363,T$7:T363)),""),"")</f>
        <v/>
      </c>
      <c r="O363" s="35" t="str" cm="1">
        <f t="array" ref="O363">IFERROR(IF(A364&lt;&gt;A363,_xlfn.STDEV.P(IF(A$9:A363=A363,S$7:S363)),""),"")</f>
        <v/>
      </c>
      <c r="P363" s="36" t="str">
        <f t="shared" si="80"/>
        <v/>
      </c>
      <c r="Q363" s="36" t="str">
        <f t="shared" si="81"/>
        <v/>
      </c>
      <c r="R363" s="36" t="str">
        <f t="shared" si="88"/>
        <v/>
      </c>
      <c r="S363" s="37" t="str">
        <f t="shared" si="89"/>
        <v/>
      </c>
      <c r="T363" s="37" t="str">
        <f t="shared" si="82"/>
        <v/>
      </c>
      <c r="U363" s="54"/>
      <c r="V363" s="46"/>
      <c r="W363" s="39" t="str">
        <f t="shared" si="90"/>
        <v/>
      </c>
      <c r="X363" s="38"/>
      <c r="Y363" s="48"/>
      <c r="AB363" s="56">
        <f t="shared" si="91"/>
        <v>1</v>
      </c>
      <c r="AC363" s="52"/>
      <c r="AD363" s="52"/>
      <c r="AE363" s="29" t="str">
        <f>IFERROR(
IF(AND(OR(AC363="C",AC363="c"), VLOOKUP(AF363,[1]Diccionario!B:N,13,0)="C"), "OK",IF(AND(OR(AC363="C",AC363="c"), OR(VLOOKUP(AF363,[1]Diccionario!B:N,13,0)="B", VLOOKUP(AF363,[1]Diccionario!B:N,13,0)="A")), "DEFICIT",IF(
AND(OR(AC363="B", AC363="BPAL"), VLOOKUP(AF363,[1]Diccionario!B:N,13,0)="B"), "OK",IF(AND(OR(AC363="B", AC363="BPAL"), VLOOKUP(AF363,[1]Diccionario!B:N,13,0)="A"), "DEFICIT",IF(AND(OR(AC363="B", AC363="BPAL"), VLOOKUP(AF363,[1]Diccionario!B:N,13,0)="C"), "SOBREOFERTA",IF(AND(AC363="A", VLOOKUP(AF363,[1]Diccionario!B:N,13,0)="A"), "OK",IF(
AND(AC363="A", OR(VLOOKUP(AF363,[1]Diccionario!B:N,13,0)="B", VLOOKUP(AF363,[1]Diccionario!B:N,13,0)="C")), "SOBREOFERTA",""
))))))),"")</f>
        <v/>
      </c>
      <c r="AF363" s="48"/>
      <c r="AG363" s="53"/>
      <c r="AH363" s="54"/>
      <c r="AI363" s="55" t="str">
        <f t="shared" si="92"/>
        <v/>
      </c>
      <c r="AJ363" s="46"/>
      <c r="AK363" s="34" t="e">
        <f>IF(AB363&lt;&gt;"",HLOOKUP(VALUE(TEXT(AH363,"h:mm:ss")),IF($C$6="Laboral",[1]Input!$A$4:$Y$227,IF($C$6="Sábado",[1]Input!$A$231:$Y$452,[1]Input!$A$456:$Y$656)),VLOOKUP($C$4,[1]Input!$AG$2:$AI$99,3,0)+IF(AD$5="Ida",0,1),1),"")</f>
        <v>#N/A</v>
      </c>
      <c r="AL363" s="34" t="str">
        <f>IF(AB364&lt;&gt;AB363,AVERAGEIF(AB$9:AB363,AB363,AK$9:AK363),"")</f>
        <v/>
      </c>
      <c r="AM363" s="35" t="str">
        <f>IFERROR(IF(AB364&lt;&gt;AB363,AVERAGEIF(AB$9:AB363,AB363,AT$9:AT363),""),"")</f>
        <v/>
      </c>
      <c r="AN363" s="35" t="str">
        <f>IFERROR(IF(AB364&lt;&gt;AB363,AVERAGEIF(AB$9:AB363,AB363,AU$9:AU363),""),"")</f>
        <v/>
      </c>
      <c r="AO363" s="35" t="str" cm="1">
        <f t="array" ref="AO363">IFERROR(IF(AB364&lt;&gt;AB363,_xlfn.STDEV.P(IF(AB$9:AB363=AB363,AU$9:AU363)),""),"")</f>
        <v/>
      </c>
      <c r="AP363" s="35" t="str" cm="1">
        <f t="array" ref="AP363">IFERROR(IF(AB364&lt;&gt;AB363,_xlfn.STDEV.P(IF(AB$9:AB363=AB363,AT$9:AT363)),""),"")</f>
        <v/>
      </c>
      <c r="AQ363" s="36" t="str">
        <f t="shared" si="83"/>
        <v/>
      </c>
      <c r="AR363" s="36" t="str">
        <f t="shared" si="84"/>
        <v/>
      </c>
      <c r="AS363" s="36" t="str">
        <f t="shared" si="93"/>
        <v/>
      </c>
      <c r="AT363" s="37" t="str">
        <f t="shared" si="85"/>
        <v/>
      </c>
      <c r="AU363" s="37" t="str">
        <f t="shared" si="86"/>
        <v/>
      </c>
      <c r="AV363" s="54"/>
      <c r="AW363" s="46"/>
      <c r="AX363" s="39" t="str" cm="1">
        <f t="array" ref="AX363">IF(AH363&lt;&gt;"",IF(AND(AX361:AX362&lt;&gt;"IE",AQ363&lt;&gt;0,AS363&lt;&gt;""),IF(IFERROR((AQ363/AS363),0) &lt;=1,IFERROR(AQ363/AS363,""),1),""),"")</f>
        <v/>
      </c>
      <c r="AY363" s="46"/>
      <c r="AZ363" s="57"/>
    </row>
    <row r="364" spans="1:52" ht="15.5" x14ac:dyDescent="0.35">
      <c r="A364" s="51">
        <f t="shared" si="94"/>
        <v>1</v>
      </c>
      <c r="B364" s="52"/>
      <c r="C364" s="52"/>
      <c r="D364" s="29" t="str">
        <f>IFERROR(
IF(AND(OR(Planilla!B364="C",Planilla!B364="c"), VLOOKUP(E364,[1]Diccionario!B:N,13,0)="C"), "OK",IF(AND(OR(Planilla!B364="C",Planilla!B364="c"), OR(VLOOKUP(E364,[1]Diccionario!B:N,13,0)="B", VLOOKUP(E364,[1]Diccionario!B:N,13,0)="A")), "DEFICIT",IF(
AND(OR(Planilla!B364="B", Planilla!B364="BPAL"), VLOOKUP(E364,[1]Diccionario!B:N,13,0)="B"), "OK",IF(AND(OR(Planilla!B364="B", Planilla!B364="BPAL"), VLOOKUP(E364,[1]Diccionario!B:N,13,0)="A"), "DEFICIT",IF(AND(OR(Planilla!B364="B", Planilla!B364="BPAL"), VLOOKUP(E364,[1]Diccionario!B:N,13,0)="C"), "SOBREOFERTA",IF(AND(Planilla!B364="A", VLOOKUP(E364,[1]Diccionario!B:N,13,0)="A"), "OK",IF(
AND(Planilla!B364="A", OR(VLOOKUP(E364,[1]Diccionario!B:N,13,0)="B", VLOOKUP(E364,[1]Diccionario!B:N,13,0)="C")), "SOBREOFERTA",""
))))))),"")</f>
        <v/>
      </c>
      <c r="E364" s="48"/>
      <c r="F364" s="53"/>
      <c r="G364" s="54"/>
      <c r="H364" s="55" t="str">
        <f t="shared" si="87"/>
        <v/>
      </c>
      <c r="I364" s="35"/>
      <c r="J364" s="34" t="e">
        <f>IF(A364&lt;&gt;"",HLOOKUP(VALUE(TEXT(G364,"h:mm:ss")),IF($C$6="Laboral",[1]Input!$A$4:$Y$227,IF($C$6="Sábado",[1]Input!$A$231:$Y$452,[1]Input!$A$456:$Y$656)),VLOOKUP($C$4,[1]Input!$AG$2:$AI$99,3,0)+IF(C$5="Ida",0,1),1),"")</f>
        <v>#N/A</v>
      </c>
      <c r="K364" s="34" t="str">
        <f>IF(A365&lt;&gt;A364,AVERAGEIF(A$9:A364,A364,J$13:J364),"")</f>
        <v/>
      </c>
      <c r="L364" s="35" t="str">
        <f>IFERROR(IF(A365&lt;&gt;A364,AVERAGEIF(A$9:A364,A364,S$13:S364),""),"")</f>
        <v/>
      </c>
      <c r="M364" s="35" t="str">
        <f>IFERROR(IF(A365&lt;&gt;A364,AVERAGEIF(A$9:A364,A364,T$8:T364),""),"")</f>
        <v/>
      </c>
      <c r="N364" s="35" t="str" cm="1">
        <f t="array" ref="N364">IFERROR(IF(A365&lt;&gt;A364,_xlfn.STDEV.P(IF(A$9:A364=A364,T$7:T364)),""),"")</f>
        <v/>
      </c>
      <c r="O364" s="35" t="str" cm="1">
        <f t="array" ref="O364">IFERROR(IF(A365&lt;&gt;A364,_xlfn.STDEV.P(IF(A$9:A364=A364,S$7:S364)),""),"")</f>
        <v/>
      </c>
      <c r="P364" s="36" t="str">
        <f t="shared" si="80"/>
        <v/>
      </c>
      <c r="Q364" s="36" t="str">
        <f t="shared" si="81"/>
        <v/>
      </c>
      <c r="R364" s="36" t="str">
        <f t="shared" si="88"/>
        <v/>
      </c>
      <c r="S364" s="37" t="str">
        <f t="shared" si="89"/>
        <v/>
      </c>
      <c r="T364" s="37" t="str">
        <f t="shared" si="82"/>
        <v/>
      </c>
      <c r="U364" s="54"/>
      <c r="V364" s="46"/>
      <c r="W364" s="39" t="str">
        <f t="shared" si="90"/>
        <v/>
      </c>
      <c r="X364" s="38"/>
      <c r="Y364" s="48"/>
      <c r="AB364" s="56">
        <f t="shared" si="91"/>
        <v>1</v>
      </c>
      <c r="AC364" s="52"/>
      <c r="AD364" s="52"/>
      <c r="AE364" s="29" t="str">
        <f>IFERROR(
IF(AND(OR(AC364="C",AC364="c"), VLOOKUP(AF364,[1]Diccionario!B:N,13,0)="C"), "OK",IF(AND(OR(AC364="C",AC364="c"), OR(VLOOKUP(AF364,[1]Diccionario!B:N,13,0)="B", VLOOKUP(AF364,[1]Diccionario!B:N,13,0)="A")), "DEFICIT",IF(
AND(OR(AC364="B", AC364="BPAL"), VLOOKUP(AF364,[1]Diccionario!B:N,13,0)="B"), "OK",IF(AND(OR(AC364="B", AC364="BPAL"), VLOOKUP(AF364,[1]Diccionario!B:N,13,0)="A"), "DEFICIT",IF(AND(OR(AC364="B", AC364="BPAL"), VLOOKUP(AF364,[1]Diccionario!B:N,13,0)="C"), "SOBREOFERTA",IF(AND(AC364="A", VLOOKUP(AF364,[1]Diccionario!B:N,13,0)="A"), "OK",IF(
AND(AC364="A", OR(VLOOKUP(AF364,[1]Diccionario!B:N,13,0)="B", VLOOKUP(AF364,[1]Diccionario!B:N,13,0)="C")), "SOBREOFERTA",""
))))))),"")</f>
        <v/>
      </c>
      <c r="AF364" s="48"/>
      <c r="AG364" s="53"/>
      <c r="AH364" s="54"/>
      <c r="AI364" s="55" t="str">
        <f t="shared" si="92"/>
        <v/>
      </c>
      <c r="AJ364" s="46"/>
      <c r="AK364" s="34" t="e">
        <f>IF(AB364&lt;&gt;"",HLOOKUP(VALUE(TEXT(AH364,"h:mm:ss")),IF($C$6="Laboral",[1]Input!$A$4:$Y$227,IF($C$6="Sábado",[1]Input!$A$231:$Y$452,[1]Input!$A$456:$Y$656)),VLOOKUP($C$4,[1]Input!$AG$2:$AI$99,3,0)+IF(AD$5="Ida",0,1),1),"")</f>
        <v>#N/A</v>
      </c>
      <c r="AL364" s="34" t="str">
        <f>IF(AB365&lt;&gt;AB364,AVERAGEIF(AB$9:AB364,AB364,AK$9:AK364),"")</f>
        <v/>
      </c>
      <c r="AM364" s="35" t="str">
        <f>IFERROR(IF(AB365&lt;&gt;AB364,AVERAGEIF(AB$9:AB364,AB364,AT$9:AT364),""),"")</f>
        <v/>
      </c>
      <c r="AN364" s="35" t="str">
        <f>IFERROR(IF(AB365&lt;&gt;AB364,AVERAGEIF(AB$9:AB364,AB364,AU$9:AU364),""),"")</f>
        <v/>
      </c>
      <c r="AO364" s="35" t="str" cm="1">
        <f t="array" ref="AO364">IFERROR(IF(AB365&lt;&gt;AB364,_xlfn.STDEV.P(IF(AB$9:AB364=AB364,AU$9:AU364)),""),"")</f>
        <v/>
      </c>
      <c r="AP364" s="35" t="str" cm="1">
        <f t="array" ref="AP364">IFERROR(IF(AB365&lt;&gt;AB364,_xlfn.STDEV.P(IF(AB$9:AB364=AB364,AT$9:AT364)),""),"")</f>
        <v/>
      </c>
      <c r="AQ364" s="36" t="str">
        <f t="shared" si="83"/>
        <v/>
      </c>
      <c r="AR364" s="36" t="str">
        <f t="shared" si="84"/>
        <v/>
      </c>
      <c r="AS364" s="36" t="str">
        <f t="shared" si="93"/>
        <v/>
      </c>
      <c r="AT364" s="37" t="str">
        <f t="shared" si="85"/>
        <v/>
      </c>
      <c r="AU364" s="37" t="str">
        <f t="shared" si="86"/>
        <v/>
      </c>
      <c r="AV364" s="54"/>
      <c r="AW364" s="46"/>
      <c r="AX364" s="39" t="str" cm="1">
        <f t="array" ref="AX364">IF(AH364&lt;&gt;"",IF(AND(AX362:AX363&lt;&gt;"IE",AQ364&lt;&gt;0,AS364&lt;&gt;""),IF(IFERROR((AQ364/AS364),0) &lt;=1,IFERROR(AQ364/AS364,""),1),""),"")</f>
        <v/>
      </c>
      <c r="AY364" s="46"/>
      <c r="AZ364" s="57"/>
    </row>
    <row r="365" spans="1:52" ht="15.5" x14ac:dyDescent="0.35">
      <c r="A365" s="51">
        <f t="shared" si="94"/>
        <v>1</v>
      </c>
      <c r="B365" s="52"/>
      <c r="C365" s="52"/>
      <c r="D365" s="29" t="str">
        <f>IFERROR(
IF(AND(OR(Planilla!B365="C",Planilla!B365="c"), VLOOKUP(E365,[1]Diccionario!B:N,13,0)="C"), "OK",IF(AND(OR(Planilla!B365="C",Planilla!B365="c"), OR(VLOOKUP(E365,[1]Diccionario!B:N,13,0)="B", VLOOKUP(E365,[1]Diccionario!B:N,13,0)="A")), "DEFICIT",IF(
AND(OR(Planilla!B365="B", Planilla!B365="BPAL"), VLOOKUP(E365,[1]Diccionario!B:N,13,0)="B"), "OK",IF(AND(OR(Planilla!B365="B", Planilla!B365="BPAL"), VLOOKUP(E365,[1]Diccionario!B:N,13,0)="A"), "DEFICIT",IF(AND(OR(Planilla!B365="B", Planilla!B365="BPAL"), VLOOKUP(E365,[1]Diccionario!B:N,13,0)="C"), "SOBREOFERTA",IF(AND(Planilla!B365="A", VLOOKUP(E365,[1]Diccionario!B:N,13,0)="A"), "OK",IF(
AND(Planilla!B365="A", OR(VLOOKUP(E365,[1]Diccionario!B:N,13,0)="B", VLOOKUP(E365,[1]Diccionario!B:N,13,0)="C")), "SOBREOFERTA",""
))))))),"")</f>
        <v/>
      </c>
      <c r="E365" s="48"/>
      <c r="F365" s="53"/>
      <c r="G365" s="54"/>
      <c r="H365" s="55" t="str">
        <f t="shared" si="87"/>
        <v/>
      </c>
      <c r="I365" s="35"/>
      <c r="J365" s="34" t="e">
        <f>IF(A365&lt;&gt;"",HLOOKUP(VALUE(TEXT(G365,"h:mm:ss")),IF($C$6="Laboral",[1]Input!$A$4:$Y$227,IF($C$6="Sábado",[1]Input!$A$231:$Y$452,[1]Input!$A$456:$Y$656)),VLOOKUP($C$4,[1]Input!$AG$2:$AI$99,3,0)+IF(C$5="Ida",0,1),1),"")</f>
        <v>#N/A</v>
      </c>
      <c r="K365" s="34" t="str">
        <f>IF(A366&lt;&gt;A365,AVERAGEIF(A$9:A365,A365,J$13:J365),"")</f>
        <v/>
      </c>
      <c r="L365" s="35" t="str">
        <f>IFERROR(IF(A366&lt;&gt;A365,AVERAGEIF(A$9:A365,A365,S$13:S365),""),"")</f>
        <v/>
      </c>
      <c r="M365" s="35" t="str">
        <f>IFERROR(IF(A366&lt;&gt;A365,AVERAGEIF(A$9:A365,A365,T$8:T365),""),"")</f>
        <v/>
      </c>
      <c r="N365" s="35" t="str" cm="1">
        <f t="array" ref="N365">IFERROR(IF(A366&lt;&gt;A365,_xlfn.STDEV.P(IF(A$9:A365=A365,T$7:T365)),""),"")</f>
        <v/>
      </c>
      <c r="O365" s="35" t="str" cm="1">
        <f t="array" ref="O365">IFERROR(IF(A366&lt;&gt;A365,_xlfn.STDEV.P(IF(A$9:A365=A365,S$7:S365)),""),"")</f>
        <v/>
      </c>
      <c r="P365" s="36" t="str">
        <f t="shared" si="80"/>
        <v/>
      </c>
      <c r="Q365" s="36" t="str">
        <f t="shared" si="81"/>
        <v/>
      </c>
      <c r="R365" s="36" t="str">
        <f t="shared" si="88"/>
        <v/>
      </c>
      <c r="S365" s="37" t="str">
        <f t="shared" si="89"/>
        <v/>
      </c>
      <c r="T365" s="37" t="str">
        <f t="shared" si="82"/>
        <v/>
      </c>
      <c r="U365" s="54"/>
      <c r="V365" s="46"/>
      <c r="W365" s="39" t="str">
        <f t="shared" si="90"/>
        <v/>
      </c>
      <c r="X365" s="38"/>
      <c r="Y365" s="48"/>
      <c r="AB365" s="56">
        <f t="shared" si="91"/>
        <v>1</v>
      </c>
      <c r="AC365" s="52"/>
      <c r="AD365" s="52"/>
      <c r="AE365" s="29" t="str">
        <f>IFERROR(
IF(AND(OR(AC365="C",AC365="c"), VLOOKUP(AF365,[1]Diccionario!B:N,13,0)="C"), "OK",IF(AND(OR(AC365="C",AC365="c"), OR(VLOOKUP(AF365,[1]Diccionario!B:N,13,0)="B", VLOOKUP(AF365,[1]Diccionario!B:N,13,0)="A")), "DEFICIT",IF(
AND(OR(AC365="B", AC365="BPAL"), VLOOKUP(AF365,[1]Diccionario!B:N,13,0)="B"), "OK",IF(AND(OR(AC365="B", AC365="BPAL"), VLOOKUP(AF365,[1]Diccionario!B:N,13,0)="A"), "DEFICIT",IF(AND(OR(AC365="B", AC365="BPAL"), VLOOKUP(AF365,[1]Diccionario!B:N,13,0)="C"), "SOBREOFERTA",IF(AND(AC365="A", VLOOKUP(AF365,[1]Diccionario!B:N,13,0)="A"), "OK",IF(
AND(AC365="A", OR(VLOOKUP(AF365,[1]Diccionario!B:N,13,0)="B", VLOOKUP(AF365,[1]Diccionario!B:N,13,0)="C")), "SOBREOFERTA",""
))))))),"")</f>
        <v/>
      </c>
      <c r="AF365" s="48"/>
      <c r="AG365" s="53"/>
      <c r="AH365" s="54"/>
      <c r="AI365" s="55" t="str">
        <f t="shared" si="92"/>
        <v/>
      </c>
      <c r="AJ365" s="46"/>
      <c r="AK365" s="34" t="e">
        <f>IF(AB365&lt;&gt;"",HLOOKUP(VALUE(TEXT(AH365,"h:mm:ss")),IF($C$6="Laboral",[1]Input!$A$4:$Y$227,IF($C$6="Sábado",[1]Input!$A$231:$Y$452,[1]Input!$A$456:$Y$656)),VLOOKUP($C$4,[1]Input!$AG$2:$AI$99,3,0)+IF(AD$5="Ida",0,1),1),"")</f>
        <v>#N/A</v>
      </c>
      <c r="AL365" s="34" t="str">
        <f>IF(AB366&lt;&gt;AB365,AVERAGEIF(AB$9:AB365,AB365,AK$9:AK365),"")</f>
        <v/>
      </c>
      <c r="AM365" s="35" t="str">
        <f>IFERROR(IF(AB366&lt;&gt;AB365,AVERAGEIF(AB$9:AB365,AB365,AT$9:AT365),""),"")</f>
        <v/>
      </c>
      <c r="AN365" s="35" t="str">
        <f>IFERROR(IF(AB366&lt;&gt;AB365,AVERAGEIF(AB$9:AB365,AB365,AU$9:AU365),""),"")</f>
        <v/>
      </c>
      <c r="AO365" s="35" t="str" cm="1">
        <f t="array" ref="AO365">IFERROR(IF(AB366&lt;&gt;AB365,_xlfn.STDEV.P(IF(AB$9:AB365=AB365,AU$9:AU365)),""),"")</f>
        <v/>
      </c>
      <c r="AP365" s="35" t="str" cm="1">
        <f t="array" ref="AP365">IFERROR(IF(AB366&lt;&gt;AB365,_xlfn.STDEV.P(IF(AB$9:AB365=AB365,AT$9:AT365)),""),"")</f>
        <v/>
      </c>
      <c r="AQ365" s="36" t="str">
        <f t="shared" si="83"/>
        <v/>
      </c>
      <c r="AR365" s="36" t="str">
        <f t="shared" si="84"/>
        <v/>
      </c>
      <c r="AS365" s="36" t="str">
        <f t="shared" si="93"/>
        <v/>
      </c>
      <c r="AT365" s="37" t="str">
        <f t="shared" si="85"/>
        <v/>
      </c>
      <c r="AU365" s="37" t="str">
        <f t="shared" si="86"/>
        <v/>
      </c>
      <c r="AV365" s="54"/>
      <c r="AW365" s="46"/>
      <c r="AX365" s="39" t="str" cm="1">
        <f t="array" ref="AX365">IF(AH365&lt;&gt;"",IF(AND(AX363:AX364&lt;&gt;"IE",AQ365&lt;&gt;0,AS365&lt;&gt;""),IF(IFERROR((AQ365/AS365),0) &lt;=1,IFERROR(AQ365/AS365,""),1),""),"")</f>
        <v/>
      </c>
      <c r="AY365" s="46"/>
      <c r="AZ365" s="57"/>
    </row>
    <row r="366" spans="1:52" ht="15.5" x14ac:dyDescent="0.35">
      <c r="A366" s="51">
        <f t="shared" si="94"/>
        <v>1</v>
      </c>
      <c r="B366" s="52"/>
      <c r="C366" s="52"/>
      <c r="D366" s="29" t="str">
        <f>IFERROR(
IF(AND(OR(Planilla!B366="C",Planilla!B366="c"), VLOOKUP(E366,[1]Diccionario!B:N,13,0)="C"), "OK",IF(AND(OR(Planilla!B366="C",Planilla!B366="c"), OR(VLOOKUP(E366,[1]Diccionario!B:N,13,0)="B", VLOOKUP(E366,[1]Diccionario!B:N,13,0)="A")), "DEFICIT",IF(
AND(OR(Planilla!B366="B", Planilla!B366="BPAL"), VLOOKUP(E366,[1]Diccionario!B:N,13,0)="B"), "OK",IF(AND(OR(Planilla!B366="B", Planilla!B366="BPAL"), VLOOKUP(E366,[1]Diccionario!B:N,13,0)="A"), "DEFICIT",IF(AND(OR(Planilla!B366="B", Planilla!B366="BPAL"), VLOOKUP(E366,[1]Diccionario!B:N,13,0)="C"), "SOBREOFERTA",IF(AND(Planilla!B366="A", VLOOKUP(E366,[1]Diccionario!B:N,13,0)="A"), "OK",IF(
AND(Planilla!B366="A", OR(VLOOKUP(E366,[1]Diccionario!B:N,13,0)="B", VLOOKUP(E366,[1]Diccionario!B:N,13,0)="C")), "SOBREOFERTA",""
))))))),"")</f>
        <v/>
      </c>
      <c r="E366" s="48"/>
      <c r="F366" s="53"/>
      <c r="G366" s="54"/>
      <c r="H366" s="55" t="str">
        <f t="shared" si="87"/>
        <v/>
      </c>
      <c r="I366" s="35"/>
      <c r="J366" s="34" t="e">
        <f>IF(A366&lt;&gt;"",HLOOKUP(VALUE(TEXT(G366,"h:mm:ss")),IF($C$6="Laboral",[1]Input!$A$4:$Y$227,IF($C$6="Sábado",[1]Input!$A$231:$Y$452,[1]Input!$A$456:$Y$656)),VLOOKUP($C$4,[1]Input!$AG$2:$AI$99,3,0)+IF(C$5="Ida",0,1),1),"")</f>
        <v>#N/A</v>
      </c>
      <c r="K366" s="34" t="str">
        <f>IF(A367&lt;&gt;A366,AVERAGEIF(A$9:A366,A366,J$13:J366),"")</f>
        <v/>
      </c>
      <c r="L366" s="35" t="str">
        <f>IFERROR(IF(A367&lt;&gt;A366,AVERAGEIF(A$9:A366,A366,S$13:S366),""),"")</f>
        <v/>
      </c>
      <c r="M366" s="35" t="str">
        <f>IFERROR(IF(A367&lt;&gt;A366,AVERAGEIF(A$9:A366,A366,T$8:T366),""),"")</f>
        <v/>
      </c>
      <c r="N366" s="35" t="str" cm="1">
        <f t="array" ref="N366">IFERROR(IF(A367&lt;&gt;A366,_xlfn.STDEV.P(IF(A$9:A366=A366,T$7:T366)),""),"")</f>
        <v/>
      </c>
      <c r="O366" s="35" t="str" cm="1">
        <f t="array" ref="O366">IFERROR(IF(A367&lt;&gt;A366,_xlfn.STDEV.P(IF(A$9:A366=A366,S$7:S366)),""),"")</f>
        <v/>
      </c>
      <c r="P366" s="36" t="str">
        <f t="shared" si="80"/>
        <v/>
      </c>
      <c r="Q366" s="36" t="str">
        <f t="shared" si="81"/>
        <v/>
      </c>
      <c r="R366" s="36" t="str">
        <f t="shared" si="88"/>
        <v/>
      </c>
      <c r="S366" s="37" t="str">
        <f t="shared" si="89"/>
        <v/>
      </c>
      <c r="T366" s="37" t="str">
        <f t="shared" si="82"/>
        <v/>
      </c>
      <c r="U366" s="54"/>
      <c r="V366" s="46"/>
      <c r="W366" s="39" t="str">
        <f t="shared" si="90"/>
        <v/>
      </c>
      <c r="X366" s="38"/>
      <c r="Y366" s="48"/>
      <c r="AB366" s="56">
        <f t="shared" si="91"/>
        <v>1</v>
      </c>
      <c r="AC366" s="52"/>
      <c r="AD366" s="52"/>
      <c r="AE366" s="29" t="str">
        <f>IFERROR(
IF(AND(OR(AC366="C",AC366="c"), VLOOKUP(AF366,[1]Diccionario!B:N,13,0)="C"), "OK",IF(AND(OR(AC366="C",AC366="c"), OR(VLOOKUP(AF366,[1]Diccionario!B:N,13,0)="B", VLOOKUP(AF366,[1]Diccionario!B:N,13,0)="A")), "DEFICIT",IF(
AND(OR(AC366="B", AC366="BPAL"), VLOOKUP(AF366,[1]Diccionario!B:N,13,0)="B"), "OK",IF(AND(OR(AC366="B", AC366="BPAL"), VLOOKUP(AF366,[1]Diccionario!B:N,13,0)="A"), "DEFICIT",IF(AND(OR(AC366="B", AC366="BPAL"), VLOOKUP(AF366,[1]Diccionario!B:N,13,0)="C"), "SOBREOFERTA",IF(AND(AC366="A", VLOOKUP(AF366,[1]Diccionario!B:N,13,0)="A"), "OK",IF(
AND(AC366="A", OR(VLOOKUP(AF366,[1]Diccionario!B:N,13,0)="B", VLOOKUP(AF366,[1]Diccionario!B:N,13,0)="C")), "SOBREOFERTA",""
))))))),"")</f>
        <v/>
      </c>
      <c r="AF366" s="48"/>
      <c r="AG366" s="53"/>
      <c r="AH366" s="54"/>
      <c r="AI366" s="55" t="str">
        <f t="shared" si="92"/>
        <v/>
      </c>
      <c r="AJ366" s="46"/>
      <c r="AK366" s="34" t="e">
        <f>IF(AB366&lt;&gt;"",HLOOKUP(VALUE(TEXT(AH366,"h:mm:ss")),IF($C$6="Laboral",[1]Input!$A$4:$Y$227,IF($C$6="Sábado",[1]Input!$A$231:$Y$452,[1]Input!$A$456:$Y$656)),VLOOKUP($C$4,[1]Input!$AG$2:$AI$99,3,0)+IF(AD$5="Ida",0,1),1),"")</f>
        <v>#N/A</v>
      </c>
      <c r="AL366" s="34" t="str">
        <f>IF(AB367&lt;&gt;AB366,AVERAGEIF(AB$9:AB366,AB366,AK$9:AK366),"")</f>
        <v/>
      </c>
      <c r="AM366" s="35" t="str">
        <f>IFERROR(IF(AB367&lt;&gt;AB366,AVERAGEIF(AB$9:AB366,AB366,AT$9:AT366),""),"")</f>
        <v/>
      </c>
      <c r="AN366" s="35" t="str">
        <f>IFERROR(IF(AB367&lt;&gt;AB366,AVERAGEIF(AB$9:AB366,AB366,AU$9:AU366),""),"")</f>
        <v/>
      </c>
      <c r="AO366" s="35" t="str" cm="1">
        <f t="array" ref="AO366">IFERROR(IF(AB367&lt;&gt;AB366,_xlfn.STDEV.P(IF(AB$9:AB366=AB366,AU$9:AU366)),""),"")</f>
        <v/>
      </c>
      <c r="AP366" s="35" t="str" cm="1">
        <f t="array" ref="AP366">IFERROR(IF(AB367&lt;&gt;AB366,_xlfn.STDEV.P(IF(AB$9:AB366=AB366,AT$9:AT366)),""),"")</f>
        <v/>
      </c>
      <c r="AQ366" s="36" t="str">
        <f t="shared" si="83"/>
        <v/>
      </c>
      <c r="AR366" s="36" t="str">
        <f t="shared" si="84"/>
        <v/>
      </c>
      <c r="AS366" s="36" t="str">
        <f t="shared" si="93"/>
        <v/>
      </c>
      <c r="AT366" s="37" t="str">
        <f t="shared" si="85"/>
        <v/>
      </c>
      <c r="AU366" s="37" t="str">
        <f t="shared" si="86"/>
        <v/>
      </c>
      <c r="AV366" s="54"/>
      <c r="AW366" s="46"/>
      <c r="AX366" s="39" t="str" cm="1">
        <f t="array" ref="AX366">IF(AH366&lt;&gt;"",IF(AND(AX364:AX365&lt;&gt;"IE",AQ366&lt;&gt;0,AS366&lt;&gt;""),IF(IFERROR((AQ366/AS366),0) &lt;=1,IFERROR(AQ366/AS366,""),1),""),"")</f>
        <v/>
      </c>
      <c r="AY366" s="46"/>
      <c r="AZ366" s="57"/>
    </row>
    <row r="367" spans="1:52" ht="15.5" x14ac:dyDescent="0.35">
      <c r="A367" s="51">
        <f t="shared" si="94"/>
        <v>1</v>
      </c>
      <c r="B367" s="52"/>
      <c r="C367" s="52"/>
      <c r="D367" s="29" t="str">
        <f>IFERROR(
IF(AND(OR(Planilla!B367="C",Planilla!B367="c"), VLOOKUP(E367,[1]Diccionario!B:N,13,0)="C"), "OK",IF(AND(OR(Planilla!B367="C",Planilla!B367="c"), OR(VLOOKUP(E367,[1]Diccionario!B:N,13,0)="B", VLOOKUP(E367,[1]Diccionario!B:N,13,0)="A")), "DEFICIT",IF(
AND(OR(Planilla!B367="B", Planilla!B367="BPAL"), VLOOKUP(E367,[1]Diccionario!B:N,13,0)="B"), "OK",IF(AND(OR(Planilla!B367="B", Planilla!B367="BPAL"), VLOOKUP(E367,[1]Diccionario!B:N,13,0)="A"), "DEFICIT",IF(AND(OR(Planilla!B367="B", Planilla!B367="BPAL"), VLOOKUP(E367,[1]Diccionario!B:N,13,0)="C"), "SOBREOFERTA",IF(AND(Planilla!B367="A", VLOOKUP(E367,[1]Diccionario!B:N,13,0)="A"), "OK",IF(
AND(Planilla!B367="A", OR(VLOOKUP(E367,[1]Diccionario!B:N,13,0)="B", VLOOKUP(E367,[1]Diccionario!B:N,13,0)="C")), "SOBREOFERTA",""
))))))),"")</f>
        <v/>
      </c>
      <c r="E367" s="48"/>
      <c r="F367" s="53"/>
      <c r="G367" s="54"/>
      <c r="H367" s="55" t="str">
        <f t="shared" si="87"/>
        <v/>
      </c>
      <c r="I367" s="35"/>
      <c r="J367" s="34" t="e">
        <f>IF(A367&lt;&gt;"",HLOOKUP(VALUE(TEXT(G367,"h:mm:ss")),IF($C$6="Laboral",[1]Input!$A$4:$Y$227,IF($C$6="Sábado",[1]Input!$A$231:$Y$452,[1]Input!$A$456:$Y$656)),VLOOKUP($C$4,[1]Input!$AG$2:$AI$99,3,0)+IF(C$5="Ida",0,1),1),"")</f>
        <v>#N/A</v>
      </c>
      <c r="K367" s="34" t="str">
        <f>IF(A368&lt;&gt;A367,AVERAGEIF(A$9:A367,A367,J$13:J367),"")</f>
        <v/>
      </c>
      <c r="L367" s="35" t="str">
        <f>IFERROR(IF(A368&lt;&gt;A367,AVERAGEIF(A$9:A367,A367,S$13:S367),""),"")</f>
        <v/>
      </c>
      <c r="M367" s="35" t="str">
        <f>IFERROR(IF(A368&lt;&gt;A367,AVERAGEIF(A$9:A367,A367,T$8:T367),""),"")</f>
        <v/>
      </c>
      <c r="N367" s="35" t="str" cm="1">
        <f t="array" ref="N367">IFERROR(IF(A368&lt;&gt;A367,_xlfn.STDEV.P(IF(A$9:A367=A367,T$7:T367)),""),"")</f>
        <v/>
      </c>
      <c r="O367" s="35" t="str" cm="1">
        <f t="array" ref="O367">IFERROR(IF(A368&lt;&gt;A367,_xlfn.STDEV.P(IF(A$9:A367=A367,S$7:S367)),""),"")</f>
        <v/>
      </c>
      <c r="P367" s="36" t="str">
        <f t="shared" si="80"/>
        <v/>
      </c>
      <c r="Q367" s="36" t="str">
        <f t="shared" si="81"/>
        <v/>
      </c>
      <c r="R367" s="36" t="str">
        <f t="shared" si="88"/>
        <v/>
      </c>
      <c r="S367" s="37" t="str">
        <f t="shared" si="89"/>
        <v/>
      </c>
      <c r="T367" s="37" t="str">
        <f t="shared" si="82"/>
        <v/>
      </c>
      <c r="U367" s="54"/>
      <c r="V367" s="46"/>
      <c r="W367" s="39" t="str">
        <f t="shared" si="90"/>
        <v/>
      </c>
      <c r="X367" s="38"/>
      <c r="Y367" s="48"/>
      <c r="AB367" s="56">
        <f t="shared" si="91"/>
        <v>1</v>
      </c>
      <c r="AC367" s="52"/>
      <c r="AD367" s="52"/>
      <c r="AE367" s="29" t="str">
        <f>IFERROR(
IF(AND(OR(AC367="C",AC367="c"), VLOOKUP(AF367,[1]Diccionario!B:N,13,0)="C"), "OK",IF(AND(OR(AC367="C",AC367="c"), OR(VLOOKUP(AF367,[1]Diccionario!B:N,13,0)="B", VLOOKUP(AF367,[1]Diccionario!B:N,13,0)="A")), "DEFICIT",IF(
AND(OR(AC367="B", AC367="BPAL"), VLOOKUP(AF367,[1]Diccionario!B:N,13,0)="B"), "OK",IF(AND(OR(AC367="B", AC367="BPAL"), VLOOKUP(AF367,[1]Diccionario!B:N,13,0)="A"), "DEFICIT",IF(AND(OR(AC367="B", AC367="BPAL"), VLOOKUP(AF367,[1]Diccionario!B:N,13,0)="C"), "SOBREOFERTA",IF(AND(AC367="A", VLOOKUP(AF367,[1]Diccionario!B:N,13,0)="A"), "OK",IF(
AND(AC367="A", OR(VLOOKUP(AF367,[1]Diccionario!B:N,13,0)="B", VLOOKUP(AF367,[1]Diccionario!B:N,13,0)="C")), "SOBREOFERTA",""
))))))),"")</f>
        <v/>
      </c>
      <c r="AF367" s="48"/>
      <c r="AG367" s="53"/>
      <c r="AH367" s="54"/>
      <c r="AI367" s="55" t="str">
        <f t="shared" si="92"/>
        <v/>
      </c>
      <c r="AJ367" s="46"/>
      <c r="AK367" s="34" t="e">
        <f>IF(AB367&lt;&gt;"",HLOOKUP(VALUE(TEXT(AH367,"h:mm:ss")),IF($C$6="Laboral",[1]Input!$A$4:$Y$227,IF($C$6="Sábado",[1]Input!$A$231:$Y$452,[1]Input!$A$456:$Y$656)),VLOOKUP($C$4,[1]Input!$AG$2:$AI$99,3,0)+IF(AD$5="Ida",0,1),1),"")</f>
        <v>#N/A</v>
      </c>
      <c r="AL367" s="34" t="str">
        <f>IF(AB368&lt;&gt;AB367,AVERAGEIF(AB$9:AB367,AB367,AK$9:AK367),"")</f>
        <v/>
      </c>
      <c r="AM367" s="35" t="str">
        <f>IFERROR(IF(AB368&lt;&gt;AB367,AVERAGEIF(AB$9:AB367,AB367,AT$9:AT367),""),"")</f>
        <v/>
      </c>
      <c r="AN367" s="35" t="str">
        <f>IFERROR(IF(AB368&lt;&gt;AB367,AVERAGEIF(AB$9:AB367,AB367,AU$9:AU367),""),"")</f>
        <v/>
      </c>
      <c r="AO367" s="35" t="str" cm="1">
        <f t="array" ref="AO367">IFERROR(IF(AB368&lt;&gt;AB367,_xlfn.STDEV.P(IF(AB$9:AB367=AB367,AU$9:AU367)),""),"")</f>
        <v/>
      </c>
      <c r="AP367" s="35" t="str" cm="1">
        <f t="array" ref="AP367">IFERROR(IF(AB368&lt;&gt;AB367,_xlfn.STDEV.P(IF(AB$9:AB367=AB367,AT$9:AT367)),""),"")</f>
        <v/>
      </c>
      <c r="AQ367" s="36" t="str">
        <f t="shared" si="83"/>
        <v/>
      </c>
      <c r="AR367" s="36" t="str">
        <f t="shared" si="84"/>
        <v/>
      </c>
      <c r="AS367" s="36" t="str">
        <f t="shared" si="93"/>
        <v/>
      </c>
      <c r="AT367" s="37" t="str">
        <f t="shared" si="85"/>
        <v/>
      </c>
      <c r="AU367" s="37" t="str">
        <f t="shared" si="86"/>
        <v/>
      </c>
      <c r="AV367" s="54"/>
      <c r="AW367" s="46"/>
      <c r="AX367" s="39" t="str" cm="1">
        <f t="array" ref="AX367">IF(AH367&lt;&gt;"",IF(AND(AX365:AX366&lt;&gt;"IE",AQ367&lt;&gt;0,AS367&lt;&gt;""),IF(IFERROR((AQ367/AS367),0) &lt;=1,IFERROR(AQ367/AS367,""),1),""),"")</f>
        <v/>
      </c>
      <c r="AY367" s="46"/>
      <c r="AZ367" s="57"/>
    </row>
    <row r="368" spans="1:52" ht="15.5" x14ac:dyDescent="0.35">
      <c r="A368" s="51">
        <f t="shared" si="94"/>
        <v>1</v>
      </c>
      <c r="B368" s="52"/>
      <c r="C368" s="52"/>
      <c r="D368" s="29" t="str">
        <f>IFERROR(
IF(AND(OR(Planilla!B368="C",Planilla!B368="c"), VLOOKUP(E368,[1]Diccionario!B:N,13,0)="C"), "OK",IF(AND(OR(Planilla!B368="C",Planilla!B368="c"), OR(VLOOKUP(E368,[1]Diccionario!B:N,13,0)="B", VLOOKUP(E368,[1]Diccionario!B:N,13,0)="A")), "DEFICIT",IF(
AND(OR(Planilla!B368="B", Planilla!B368="BPAL"), VLOOKUP(E368,[1]Diccionario!B:N,13,0)="B"), "OK",IF(AND(OR(Planilla!B368="B", Planilla!B368="BPAL"), VLOOKUP(E368,[1]Diccionario!B:N,13,0)="A"), "DEFICIT",IF(AND(OR(Planilla!B368="B", Planilla!B368="BPAL"), VLOOKUP(E368,[1]Diccionario!B:N,13,0)="C"), "SOBREOFERTA",IF(AND(Planilla!B368="A", VLOOKUP(E368,[1]Diccionario!B:N,13,0)="A"), "OK",IF(
AND(Planilla!B368="A", OR(VLOOKUP(E368,[1]Diccionario!B:N,13,0)="B", VLOOKUP(E368,[1]Diccionario!B:N,13,0)="C")), "SOBREOFERTA",""
))))))),"")</f>
        <v/>
      </c>
      <c r="E368" s="48"/>
      <c r="F368" s="53"/>
      <c r="G368" s="54"/>
      <c r="H368" s="55" t="str">
        <f t="shared" si="87"/>
        <v/>
      </c>
      <c r="I368" s="35"/>
      <c r="J368" s="34" t="e">
        <f>IF(A368&lt;&gt;"",HLOOKUP(VALUE(TEXT(G368,"h:mm:ss")),IF($C$6="Laboral",[1]Input!$A$4:$Y$227,IF($C$6="Sábado",[1]Input!$A$231:$Y$452,[1]Input!$A$456:$Y$656)),VLOOKUP($C$4,[1]Input!$AG$2:$AI$99,3,0)+IF(C$5="Ida",0,1),1),"")</f>
        <v>#N/A</v>
      </c>
      <c r="K368" s="34" t="str">
        <f>IF(A369&lt;&gt;A368,AVERAGEIF(A$9:A368,A368,J$13:J368),"")</f>
        <v/>
      </c>
      <c r="L368" s="35" t="str">
        <f>IFERROR(IF(A369&lt;&gt;A368,AVERAGEIF(A$9:A368,A368,S$13:S368),""),"")</f>
        <v/>
      </c>
      <c r="M368" s="35" t="str">
        <f>IFERROR(IF(A369&lt;&gt;A368,AVERAGEIF(A$9:A368,A368,T$8:T368),""),"")</f>
        <v/>
      </c>
      <c r="N368" s="35" t="str" cm="1">
        <f t="array" ref="N368">IFERROR(IF(A369&lt;&gt;A368,_xlfn.STDEV.P(IF(A$9:A368=A368,T$7:T368)),""),"")</f>
        <v/>
      </c>
      <c r="O368" s="35" t="str" cm="1">
        <f t="array" ref="O368">IFERROR(IF(A369&lt;&gt;A368,_xlfn.STDEV.P(IF(A$9:A368=A368,S$7:S368)),""),"")</f>
        <v/>
      </c>
      <c r="P368" s="36" t="str">
        <f t="shared" si="80"/>
        <v/>
      </c>
      <c r="Q368" s="36" t="str">
        <f t="shared" si="81"/>
        <v/>
      </c>
      <c r="R368" s="36" t="str">
        <f t="shared" si="88"/>
        <v/>
      </c>
      <c r="S368" s="37" t="str">
        <f t="shared" si="89"/>
        <v/>
      </c>
      <c r="T368" s="37" t="str">
        <f t="shared" si="82"/>
        <v/>
      </c>
      <c r="U368" s="54"/>
      <c r="V368" s="46"/>
      <c r="W368" s="39" t="str">
        <f t="shared" si="90"/>
        <v/>
      </c>
      <c r="X368" s="38"/>
      <c r="Y368" s="48"/>
      <c r="AB368" s="56">
        <f t="shared" si="91"/>
        <v>1</v>
      </c>
      <c r="AC368" s="52"/>
      <c r="AD368" s="52"/>
      <c r="AE368" s="29" t="str">
        <f>IFERROR(
IF(AND(OR(AC368="C",AC368="c"), VLOOKUP(AF368,[1]Diccionario!B:N,13,0)="C"), "OK",IF(AND(OR(AC368="C",AC368="c"), OR(VLOOKUP(AF368,[1]Diccionario!B:N,13,0)="B", VLOOKUP(AF368,[1]Diccionario!B:N,13,0)="A")), "DEFICIT",IF(
AND(OR(AC368="B", AC368="BPAL"), VLOOKUP(AF368,[1]Diccionario!B:N,13,0)="B"), "OK",IF(AND(OR(AC368="B", AC368="BPAL"), VLOOKUP(AF368,[1]Diccionario!B:N,13,0)="A"), "DEFICIT",IF(AND(OR(AC368="B", AC368="BPAL"), VLOOKUP(AF368,[1]Diccionario!B:N,13,0)="C"), "SOBREOFERTA",IF(AND(AC368="A", VLOOKUP(AF368,[1]Diccionario!B:N,13,0)="A"), "OK",IF(
AND(AC368="A", OR(VLOOKUP(AF368,[1]Diccionario!B:N,13,0)="B", VLOOKUP(AF368,[1]Diccionario!B:N,13,0)="C")), "SOBREOFERTA",""
))))))),"")</f>
        <v/>
      </c>
      <c r="AF368" s="48"/>
      <c r="AG368" s="53"/>
      <c r="AH368" s="54"/>
      <c r="AI368" s="55" t="str">
        <f t="shared" si="92"/>
        <v/>
      </c>
      <c r="AJ368" s="46"/>
      <c r="AK368" s="34" t="e">
        <f>IF(AB368&lt;&gt;"",HLOOKUP(VALUE(TEXT(AH368,"h:mm:ss")),IF($C$6="Laboral",[1]Input!$A$4:$Y$227,IF($C$6="Sábado",[1]Input!$A$231:$Y$452,[1]Input!$A$456:$Y$656)),VLOOKUP($C$4,[1]Input!$AG$2:$AI$99,3,0)+IF(AD$5="Ida",0,1),1),"")</f>
        <v>#N/A</v>
      </c>
      <c r="AL368" s="34" t="str">
        <f>IF(AB369&lt;&gt;AB368,AVERAGEIF(AB$9:AB368,AB368,AK$9:AK368),"")</f>
        <v/>
      </c>
      <c r="AM368" s="35" t="str">
        <f>IFERROR(IF(AB369&lt;&gt;AB368,AVERAGEIF(AB$9:AB368,AB368,AT$9:AT368),""),"")</f>
        <v/>
      </c>
      <c r="AN368" s="35" t="str">
        <f>IFERROR(IF(AB369&lt;&gt;AB368,AVERAGEIF(AB$9:AB368,AB368,AU$9:AU368),""),"")</f>
        <v/>
      </c>
      <c r="AO368" s="35" t="str" cm="1">
        <f t="array" ref="AO368">IFERROR(IF(AB369&lt;&gt;AB368,_xlfn.STDEV.P(IF(AB$9:AB368=AB368,AU$9:AU368)),""),"")</f>
        <v/>
      </c>
      <c r="AP368" s="35" t="str" cm="1">
        <f t="array" ref="AP368">IFERROR(IF(AB369&lt;&gt;AB368,_xlfn.STDEV.P(IF(AB$9:AB368=AB368,AT$9:AT368)),""),"")</f>
        <v/>
      </c>
      <c r="AQ368" s="36" t="str">
        <f t="shared" si="83"/>
        <v/>
      </c>
      <c r="AR368" s="36" t="str">
        <f t="shared" si="84"/>
        <v/>
      </c>
      <c r="AS368" s="36" t="str">
        <f t="shared" si="93"/>
        <v/>
      </c>
      <c r="AT368" s="37" t="str">
        <f t="shared" si="85"/>
        <v/>
      </c>
      <c r="AU368" s="37" t="str">
        <f t="shared" si="86"/>
        <v/>
      </c>
      <c r="AV368" s="54"/>
      <c r="AW368" s="46"/>
      <c r="AX368" s="39" t="str" cm="1">
        <f t="array" ref="AX368">IF(AH368&lt;&gt;"",IF(AND(AX366:AX367&lt;&gt;"IE",AQ368&lt;&gt;0,AS368&lt;&gt;""),IF(IFERROR((AQ368/AS368),0) &lt;=1,IFERROR(AQ368/AS368,""),1),""),"")</f>
        <v/>
      </c>
      <c r="AY368" s="46"/>
      <c r="AZ368" s="57"/>
    </row>
    <row r="369" spans="1:52" ht="15.5" x14ac:dyDescent="0.35">
      <c r="A369" s="51">
        <f t="shared" si="94"/>
        <v>1</v>
      </c>
      <c r="B369" s="52"/>
      <c r="C369" s="52"/>
      <c r="D369" s="29" t="str">
        <f>IFERROR(
IF(AND(OR(Planilla!B369="C",Planilla!B369="c"), VLOOKUP(E369,[1]Diccionario!B:N,13,0)="C"), "OK",IF(AND(OR(Planilla!B369="C",Planilla!B369="c"), OR(VLOOKUP(E369,[1]Diccionario!B:N,13,0)="B", VLOOKUP(E369,[1]Diccionario!B:N,13,0)="A")), "DEFICIT",IF(
AND(OR(Planilla!B369="B", Planilla!B369="BPAL"), VLOOKUP(E369,[1]Diccionario!B:N,13,0)="B"), "OK",IF(AND(OR(Planilla!B369="B", Planilla!B369="BPAL"), VLOOKUP(E369,[1]Diccionario!B:N,13,0)="A"), "DEFICIT",IF(AND(OR(Planilla!B369="B", Planilla!B369="BPAL"), VLOOKUP(E369,[1]Diccionario!B:N,13,0)="C"), "SOBREOFERTA",IF(AND(Planilla!B369="A", VLOOKUP(E369,[1]Diccionario!B:N,13,0)="A"), "OK",IF(
AND(Planilla!B369="A", OR(VLOOKUP(E369,[1]Diccionario!B:N,13,0)="B", VLOOKUP(E369,[1]Diccionario!B:N,13,0)="C")), "SOBREOFERTA",""
))))))),"")</f>
        <v/>
      </c>
      <c r="E369" s="48"/>
      <c r="F369" s="53"/>
      <c r="G369" s="54"/>
      <c r="H369" s="55" t="str">
        <f t="shared" si="87"/>
        <v/>
      </c>
      <c r="I369" s="35"/>
      <c r="J369" s="34" t="e">
        <f>IF(A369&lt;&gt;"",HLOOKUP(VALUE(TEXT(G369,"h:mm:ss")),IF($C$6="Laboral",[1]Input!$A$4:$Y$227,IF($C$6="Sábado",[1]Input!$A$231:$Y$452,[1]Input!$A$456:$Y$656)),VLOOKUP($C$4,[1]Input!$AG$2:$AI$99,3,0)+IF(C$5="Ida",0,1),1),"")</f>
        <v>#N/A</v>
      </c>
      <c r="K369" s="34" t="str">
        <f>IF(A370&lt;&gt;A369,AVERAGEIF(A$9:A369,A369,J$13:J369),"")</f>
        <v/>
      </c>
      <c r="L369" s="35" t="str">
        <f>IFERROR(IF(A370&lt;&gt;A369,AVERAGEIF(A$9:A369,A369,S$13:S369),""),"")</f>
        <v/>
      </c>
      <c r="M369" s="35" t="str">
        <f>IFERROR(IF(A370&lt;&gt;A369,AVERAGEIF(A$9:A369,A369,T$8:T369),""),"")</f>
        <v/>
      </c>
      <c r="N369" s="35" t="str" cm="1">
        <f t="array" ref="N369">IFERROR(IF(A370&lt;&gt;A369,_xlfn.STDEV.P(IF(A$9:A369=A369,T$7:T369)),""),"")</f>
        <v/>
      </c>
      <c r="O369" s="35" t="str" cm="1">
        <f t="array" ref="O369">IFERROR(IF(A370&lt;&gt;A369,_xlfn.STDEV.P(IF(A$9:A369=A369,S$7:S369)),""),"")</f>
        <v/>
      </c>
      <c r="P369" s="36" t="str">
        <f t="shared" si="80"/>
        <v/>
      </c>
      <c r="Q369" s="36" t="str">
        <f t="shared" si="81"/>
        <v/>
      </c>
      <c r="R369" s="36" t="str">
        <f t="shared" si="88"/>
        <v/>
      </c>
      <c r="S369" s="37" t="str">
        <f t="shared" si="89"/>
        <v/>
      </c>
      <c r="T369" s="37" t="str">
        <f t="shared" si="82"/>
        <v/>
      </c>
      <c r="U369" s="54"/>
      <c r="V369" s="46"/>
      <c r="W369" s="39" t="str">
        <f t="shared" si="90"/>
        <v/>
      </c>
      <c r="X369" s="38"/>
      <c r="Y369" s="48"/>
      <c r="AB369" s="56">
        <f t="shared" si="91"/>
        <v>1</v>
      </c>
      <c r="AC369" s="52"/>
      <c r="AD369" s="52"/>
      <c r="AE369" s="29" t="str">
        <f>IFERROR(
IF(AND(OR(AC369="C",AC369="c"), VLOOKUP(AF369,[1]Diccionario!B:N,13,0)="C"), "OK",IF(AND(OR(AC369="C",AC369="c"), OR(VLOOKUP(AF369,[1]Diccionario!B:N,13,0)="B", VLOOKUP(AF369,[1]Diccionario!B:N,13,0)="A")), "DEFICIT",IF(
AND(OR(AC369="B", AC369="BPAL"), VLOOKUP(AF369,[1]Diccionario!B:N,13,0)="B"), "OK",IF(AND(OR(AC369="B", AC369="BPAL"), VLOOKUP(AF369,[1]Diccionario!B:N,13,0)="A"), "DEFICIT",IF(AND(OR(AC369="B", AC369="BPAL"), VLOOKUP(AF369,[1]Diccionario!B:N,13,0)="C"), "SOBREOFERTA",IF(AND(AC369="A", VLOOKUP(AF369,[1]Diccionario!B:N,13,0)="A"), "OK",IF(
AND(AC369="A", OR(VLOOKUP(AF369,[1]Diccionario!B:N,13,0)="B", VLOOKUP(AF369,[1]Diccionario!B:N,13,0)="C")), "SOBREOFERTA",""
))))))),"")</f>
        <v/>
      </c>
      <c r="AF369" s="48"/>
      <c r="AG369" s="53"/>
      <c r="AH369" s="54"/>
      <c r="AI369" s="55" t="str">
        <f t="shared" si="92"/>
        <v/>
      </c>
      <c r="AJ369" s="46"/>
      <c r="AK369" s="34" t="e">
        <f>IF(AB369&lt;&gt;"",HLOOKUP(VALUE(TEXT(AH369,"h:mm:ss")),IF($C$6="Laboral",[1]Input!$A$4:$Y$227,IF($C$6="Sábado",[1]Input!$A$231:$Y$452,[1]Input!$A$456:$Y$656)),VLOOKUP($C$4,[1]Input!$AG$2:$AI$99,3,0)+IF(AD$5="Ida",0,1),1),"")</f>
        <v>#N/A</v>
      </c>
      <c r="AL369" s="34" t="str">
        <f>IF(AB370&lt;&gt;AB369,AVERAGEIF(AB$9:AB369,AB369,AK$9:AK369),"")</f>
        <v/>
      </c>
      <c r="AM369" s="35" t="str">
        <f>IFERROR(IF(AB370&lt;&gt;AB369,AVERAGEIF(AB$9:AB369,AB369,AT$9:AT369),""),"")</f>
        <v/>
      </c>
      <c r="AN369" s="35" t="str">
        <f>IFERROR(IF(AB370&lt;&gt;AB369,AVERAGEIF(AB$9:AB369,AB369,AU$9:AU369),""),"")</f>
        <v/>
      </c>
      <c r="AO369" s="35" t="str" cm="1">
        <f t="array" ref="AO369">IFERROR(IF(AB370&lt;&gt;AB369,_xlfn.STDEV.P(IF(AB$9:AB369=AB369,AU$9:AU369)),""),"")</f>
        <v/>
      </c>
      <c r="AP369" s="35" t="str" cm="1">
        <f t="array" ref="AP369">IFERROR(IF(AB370&lt;&gt;AB369,_xlfn.STDEV.P(IF(AB$9:AB369=AB369,AT$9:AT369)),""),"")</f>
        <v/>
      </c>
      <c r="AQ369" s="36" t="str">
        <f t="shared" si="83"/>
        <v/>
      </c>
      <c r="AR369" s="36" t="str">
        <f t="shared" si="84"/>
        <v/>
      </c>
      <c r="AS369" s="36" t="str">
        <f t="shared" si="93"/>
        <v/>
      </c>
      <c r="AT369" s="37" t="str">
        <f t="shared" si="85"/>
        <v/>
      </c>
      <c r="AU369" s="37" t="str">
        <f t="shared" si="86"/>
        <v/>
      </c>
      <c r="AV369" s="54"/>
      <c r="AW369" s="46"/>
      <c r="AX369" s="39" t="str" cm="1">
        <f t="array" ref="AX369">IF(AH369&lt;&gt;"",IF(AND(AX367:AX368&lt;&gt;"IE",AQ369&lt;&gt;0,AS369&lt;&gt;""),IF(IFERROR((AQ369/AS369),0) &lt;=1,IFERROR(AQ369/AS369,""),1),""),"")</f>
        <v/>
      </c>
      <c r="AY369" s="46"/>
      <c r="AZ369" s="57"/>
    </row>
    <row r="370" spans="1:52" ht="15.5" x14ac:dyDescent="0.35">
      <c r="A370" s="51">
        <f t="shared" si="94"/>
        <v>1</v>
      </c>
      <c r="B370" s="52"/>
      <c r="C370" s="52"/>
      <c r="D370" s="29" t="str">
        <f>IFERROR(
IF(AND(OR(Planilla!B370="C",Planilla!B370="c"), VLOOKUP(E370,[1]Diccionario!B:N,13,0)="C"), "OK",IF(AND(OR(Planilla!B370="C",Planilla!B370="c"), OR(VLOOKUP(E370,[1]Diccionario!B:N,13,0)="B", VLOOKUP(E370,[1]Diccionario!B:N,13,0)="A")), "DEFICIT",IF(
AND(OR(Planilla!B370="B", Planilla!B370="BPAL"), VLOOKUP(E370,[1]Diccionario!B:N,13,0)="B"), "OK",IF(AND(OR(Planilla!B370="B", Planilla!B370="BPAL"), VLOOKUP(E370,[1]Diccionario!B:N,13,0)="A"), "DEFICIT",IF(AND(OR(Planilla!B370="B", Planilla!B370="BPAL"), VLOOKUP(E370,[1]Diccionario!B:N,13,0)="C"), "SOBREOFERTA",IF(AND(Planilla!B370="A", VLOOKUP(E370,[1]Diccionario!B:N,13,0)="A"), "OK",IF(
AND(Planilla!B370="A", OR(VLOOKUP(E370,[1]Diccionario!B:N,13,0)="B", VLOOKUP(E370,[1]Diccionario!B:N,13,0)="C")), "SOBREOFERTA",""
))))))),"")</f>
        <v/>
      </c>
      <c r="E370" s="48"/>
      <c r="F370" s="53"/>
      <c r="G370" s="54"/>
      <c r="H370" s="55" t="str">
        <f t="shared" si="87"/>
        <v/>
      </c>
      <c r="I370" s="35"/>
      <c r="J370" s="34" t="e">
        <f>IF(A370&lt;&gt;"",HLOOKUP(VALUE(TEXT(G370,"h:mm:ss")),IF($C$6="Laboral",[1]Input!$A$4:$Y$227,IF($C$6="Sábado",[1]Input!$A$231:$Y$452,[1]Input!$A$456:$Y$656)),VLOOKUP($C$4,[1]Input!$AG$2:$AI$99,3,0)+IF(C$5="Ida",0,1),1),"")</f>
        <v>#N/A</v>
      </c>
      <c r="K370" s="34" t="str">
        <f>IF(A371&lt;&gt;A370,AVERAGEIF(A$9:A370,A370,J$13:J370),"")</f>
        <v/>
      </c>
      <c r="L370" s="35" t="str">
        <f>IFERROR(IF(A371&lt;&gt;A370,AVERAGEIF(A$9:A370,A370,S$13:S370),""),"")</f>
        <v/>
      </c>
      <c r="M370" s="35" t="str">
        <f>IFERROR(IF(A371&lt;&gt;A370,AVERAGEIF(A$9:A370,A370,T$8:T370),""),"")</f>
        <v/>
      </c>
      <c r="N370" s="35" t="str" cm="1">
        <f t="array" ref="N370">IFERROR(IF(A371&lt;&gt;A370,_xlfn.STDEV.P(IF(A$9:A370=A370,T$7:T370)),""),"")</f>
        <v/>
      </c>
      <c r="O370" s="35" t="str" cm="1">
        <f t="array" ref="O370">IFERROR(IF(A371&lt;&gt;A370,_xlfn.STDEV.P(IF(A$9:A370=A370,S$7:S370)),""),"")</f>
        <v/>
      </c>
      <c r="P370" s="36" t="str">
        <f t="shared" si="80"/>
        <v/>
      </c>
      <c r="Q370" s="36" t="str">
        <f t="shared" si="81"/>
        <v/>
      </c>
      <c r="R370" s="36" t="str">
        <f t="shared" si="88"/>
        <v/>
      </c>
      <c r="S370" s="37" t="str">
        <f t="shared" si="89"/>
        <v/>
      </c>
      <c r="T370" s="37" t="str">
        <f t="shared" si="82"/>
        <v/>
      </c>
      <c r="U370" s="54"/>
      <c r="V370" s="46"/>
      <c r="W370" s="39" t="str">
        <f t="shared" si="90"/>
        <v/>
      </c>
      <c r="X370" s="38"/>
      <c r="Y370" s="48"/>
      <c r="AB370" s="56">
        <f t="shared" si="91"/>
        <v>1</v>
      </c>
      <c r="AC370" s="52"/>
      <c r="AD370" s="52"/>
      <c r="AE370" s="29" t="str">
        <f>IFERROR(
IF(AND(OR(AC370="C",AC370="c"), VLOOKUP(AF370,[1]Diccionario!B:N,13,0)="C"), "OK",IF(AND(OR(AC370="C",AC370="c"), OR(VLOOKUP(AF370,[1]Diccionario!B:N,13,0)="B", VLOOKUP(AF370,[1]Diccionario!B:N,13,0)="A")), "DEFICIT",IF(
AND(OR(AC370="B", AC370="BPAL"), VLOOKUP(AF370,[1]Diccionario!B:N,13,0)="B"), "OK",IF(AND(OR(AC370="B", AC370="BPAL"), VLOOKUP(AF370,[1]Diccionario!B:N,13,0)="A"), "DEFICIT",IF(AND(OR(AC370="B", AC370="BPAL"), VLOOKUP(AF370,[1]Diccionario!B:N,13,0)="C"), "SOBREOFERTA",IF(AND(AC370="A", VLOOKUP(AF370,[1]Diccionario!B:N,13,0)="A"), "OK",IF(
AND(AC370="A", OR(VLOOKUP(AF370,[1]Diccionario!B:N,13,0)="B", VLOOKUP(AF370,[1]Diccionario!B:N,13,0)="C")), "SOBREOFERTA",""
))))))),"")</f>
        <v/>
      </c>
      <c r="AF370" s="48"/>
      <c r="AG370" s="53"/>
      <c r="AH370" s="54"/>
      <c r="AI370" s="55" t="str">
        <f t="shared" si="92"/>
        <v/>
      </c>
      <c r="AJ370" s="46"/>
      <c r="AK370" s="34" t="e">
        <f>IF(AB370&lt;&gt;"",HLOOKUP(VALUE(TEXT(AH370,"h:mm:ss")),IF($C$6="Laboral",[1]Input!$A$4:$Y$227,IF($C$6="Sábado",[1]Input!$A$231:$Y$452,[1]Input!$A$456:$Y$656)),VLOOKUP($C$4,[1]Input!$AG$2:$AI$99,3,0)+IF(AD$5="Ida",0,1),1),"")</f>
        <v>#N/A</v>
      </c>
      <c r="AL370" s="34" t="str">
        <f>IF(AB371&lt;&gt;AB370,AVERAGEIF(AB$9:AB370,AB370,AK$9:AK370),"")</f>
        <v/>
      </c>
      <c r="AM370" s="35" t="str">
        <f>IFERROR(IF(AB371&lt;&gt;AB370,AVERAGEIF(AB$9:AB370,AB370,AT$9:AT370),""),"")</f>
        <v/>
      </c>
      <c r="AN370" s="35" t="str">
        <f>IFERROR(IF(AB371&lt;&gt;AB370,AVERAGEIF(AB$9:AB370,AB370,AU$9:AU370),""),"")</f>
        <v/>
      </c>
      <c r="AO370" s="35" t="str" cm="1">
        <f t="array" ref="AO370">IFERROR(IF(AB371&lt;&gt;AB370,_xlfn.STDEV.P(IF(AB$9:AB370=AB370,AU$9:AU370)),""),"")</f>
        <v/>
      </c>
      <c r="AP370" s="35" t="str" cm="1">
        <f t="array" ref="AP370">IFERROR(IF(AB371&lt;&gt;AB370,_xlfn.STDEV.P(IF(AB$9:AB370=AB370,AT$9:AT370)),""),"")</f>
        <v/>
      </c>
      <c r="AQ370" s="36" t="str">
        <f t="shared" si="83"/>
        <v/>
      </c>
      <c r="AR370" s="36" t="str">
        <f t="shared" si="84"/>
        <v/>
      </c>
      <c r="AS370" s="36" t="str">
        <f t="shared" si="93"/>
        <v/>
      </c>
      <c r="AT370" s="37" t="str">
        <f t="shared" si="85"/>
        <v/>
      </c>
      <c r="AU370" s="37" t="str">
        <f t="shared" si="86"/>
        <v/>
      </c>
      <c r="AV370" s="54"/>
      <c r="AW370" s="46"/>
      <c r="AX370" s="39" t="str" cm="1">
        <f t="array" ref="AX370">IF(AH370&lt;&gt;"",IF(AND(AX368:AX369&lt;&gt;"IE",AQ370&lt;&gt;0,AS370&lt;&gt;""),IF(IFERROR((AQ370/AS370),0) &lt;=1,IFERROR(AQ370/AS370,""),1),""),"")</f>
        <v/>
      </c>
      <c r="AY370" s="46"/>
      <c r="AZ370" s="57"/>
    </row>
    <row r="371" spans="1:52" ht="15.5" x14ac:dyDescent="0.35">
      <c r="A371" s="51">
        <f t="shared" si="94"/>
        <v>1</v>
      </c>
      <c r="B371" s="52"/>
      <c r="C371" s="52"/>
      <c r="D371" s="29" t="str">
        <f>IFERROR(
IF(AND(OR(Planilla!B371="C",Planilla!B371="c"), VLOOKUP(E371,[1]Diccionario!B:N,13,0)="C"), "OK",IF(AND(OR(Planilla!B371="C",Planilla!B371="c"), OR(VLOOKUP(E371,[1]Diccionario!B:N,13,0)="B", VLOOKUP(E371,[1]Diccionario!B:N,13,0)="A")), "DEFICIT",IF(
AND(OR(Planilla!B371="B", Planilla!B371="BPAL"), VLOOKUP(E371,[1]Diccionario!B:N,13,0)="B"), "OK",IF(AND(OR(Planilla!B371="B", Planilla!B371="BPAL"), VLOOKUP(E371,[1]Diccionario!B:N,13,0)="A"), "DEFICIT",IF(AND(OR(Planilla!B371="B", Planilla!B371="BPAL"), VLOOKUP(E371,[1]Diccionario!B:N,13,0)="C"), "SOBREOFERTA",IF(AND(Planilla!B371="A", VLOOKUP(E371,[1]Diccionario!B:N,13,0)="A"), "OK",IF(
AND(Planilla!B371="A", OR(VLOOKUP(E371,[1]Diccionario!B:N,13,0)="B", VLOOKUP(E371,[1]Diccionario!B:N,13,0)="C")), "SOBREOFERTA",""
))))))),"")</f>
        <v/>
      </c>
      <c r="E371" s="48"/>
      <c r="F371" s="53"/>
      <c r="G371" s="54"/>
      <c r="H371" s="55" t="str">
        <f t="shared" si="87"/>
        <v/>
      </c>
      <c r="I371" s="35"/>
      <c r="J371" s="34" t="e">
        <f>IF(A371&lt;&gt;"",HLOOKUP(VALUE(TEXT(G371,"h:mm:ss")),IF($C$6="Laboral",[1]Input!$A$4:$Y$227,IF($C$6="Sábado",[1]Input!$A$231:$Y$452,[1]Input!$A$456:$Y$656)),VLOOKUP($C$4,[1]Input!$AG$2:$AI$99,3,0)+IF(C$5="Ida",0,1),1),"")</f>
        <v>#N/A</v>
      </c>
      <c r="K371" s="34" t="str">
        <f>IF(A372&lt;&gt;A371,AVERAGEIF(A$9:A371,A371,J$13:J371),"")</f>
        <v/>
      </c>
      <c r="L371" s="35" t="str">
        <f>IFERROR(IF(A372&lt;&gt;A371,AVERAGEIF(A$9:A371,A371,S$13:S371),""),"")</f>
        <v/>
      </c>
      <c r="M371" s="35" t="str">
        <f>IFERROR(IF(A372&lt;&gt;A371,AVERAGEIF(A$9:A371,A371,T$8:T371),""),"")</f>
        <v/>
      </c>
      <c r="N371" s="35" t="str" cm="1">
        <f t="array" ref="N371">IFERROR(IF(A372&lt;&gt;A371,_xlfn.STDEV.P(IF(A$9:A371=A371,T$7:T371)),""),"")</f>
        <v/>
      </c>
      <c r="O371" s="35" t="str" cm="1">
        <f t="array" ref="O371">IFERROR(IF(A372&lt;&gt;A371,_xlfn.STDEV.P(IF(A$9:A371=A371,S$7:S371)),""),"")</f>
        <v/>
      </c>
      <c r="P371" s="36" t="str">
        <f t="shared" si="80"/>
        <v/>
      </c>
      <c r="Q371" s="36" t="str">
        <f t="shared" si="81"/>
        <v/>
      </c>
      <c r="R371" s="36" t="str">
        <f t="shared" si="88"/>
        <v/>
      </c>
      <c r="S371" s="37" t="str">
        <f t="shared" si="89"/>
        <v/>
      </c>
      <c r="T371" s="37" t="str">
        <f t="shared" si="82"/>
        <v/>
      </c>
      <c r="U371" s="54"/>
      <c r="V371" s="46"/>
      <c r="W371" s="39" t="str">
        <f t="shared" si="90"/>
        <v/>
      </c>
      <c r="X371" s="38"/>
      <c r="Y371" s="48"/>
      <c r="AB371" s="56">
        <f t="shared" si="91"/>
        <v>1</v>
      </c>
      <c r="AC371" s="52"/>
      <c r="AD371" s="52"/>
      <c r="AE371" s="29" t="str">
        <f>IFERROR(
IF(AND(OR(AC371="C",AC371="c"), VLOOKUP(AF371,[1]Diccionario!B:N,13,0)="C"), "OK",IF(AND(OR(AC371="C",AC371="c"), OR(VLOOKUP(AF371,[1]Diccionario!B:N,13,0)="B", VLOOKUP(AF371,[1]Diccionario!B:N,13,0)="A")), "DEFICIT",IF(
AND(OR(AC371="B", AC371="BPAL"), VLOOKUP(AF371,[1]Diccionario!B:N,13,0)="B"), "OK",IF(AND(OR(AC371="B", AC371="BPAL"), VLOOKUP(AF371,[1]Diccionario!B:N,13,0)="A"), "DEFICIT",IF(AND(OR(AC371="B", AC371="BPAL"), VLOOKUP(AF371,[1]Diccionario!B:N,13,0)="C"), "SOBREOFERTA",IF(AND(AC371="A", VLOOKUP(AF371,[1]Diccionario!B:N,13,0)="A"), "OK",IF(
AND(AC371="A", OR(VLOOKUP(AF371,[1]Diccionario!B:N,13,0)="B", VLOOKUP(AF371,[1]Diccionario!B:N,13,0)="C")), "SOBREOFERTA",""
))))))),"")</f>
        <v/>
      </c>
      <c r="AF371" s="48"/>
      <c r="AG371" s="53"/>
      <c r="AH371" s="54"/>
      <c r="AI371" s="55" t="str">
        <f t="shared" si="92"/>
        <v/>
      </c>
      <c r="AJ371" s="46"/>
      <c r="AK371" s="34" t="e">
        <f>IF(AB371&lt;&gt;"",HLOOKUP(VALUE(TEXT(AH371,"h:mm:ss")),IF($C$6="Laboral",[1]Input!$A$4:$Y$227,IF($C$6="Sábado",[1]Input!$A$231:$Y$452,[1]Input!$A$456:$Y$656)),VLOOKUP($C$4,[1]Input!$AG$2:$AI$99,3,0)+IF(AD$5="Ida",0,1),1),"")</f>
        <v>#N/A</v>
      </c>
      <c r="AL371" s="34" t="str">
        <f>IF(AB372&lt;&gt;AB371,AVERAGEIF(AB$9:AB371,AB371,AK$9:AK371),"")</f>
        <v/>
      </c>
      <c r="AM371" s="35" t="str">
        <f>IFERROR(IF(AB372&lt;&gt;AB371,AVERAGEIF(AB$9:AB371,AB371,AT$9:AT371),""),"")</f>
        <v/>
      </c>
      <c r="AN371" s="35" t="str">
        <f>IFERROR(IF(AB372&lt;&gt;AB371,AVERAGEIF(AB$9:AB371,AB371,AU$9:AU371),""),"")</f>
        <v/>
      </c>
      <c r="AO371" s="35" t="str" cm="1">
        <f t="array" ref="AO371">IFERROR(IF(AB372&lt;&gt;AB371,_xlfn.STDEV.P(IF(AB$9:AB371=AB371,AU$9:AU371)),""),"")</f>
        <v/>
      </c>
      <c r="AP371" s="35" t="str" cm="1">
        <f t="array" ref="AP371">IFERROR(IF(AB372&lt;&gt;AB371,_xlfn.STDEV.P(IF(AB$9:AB371=AB371,AT$9:AT371)),""),"")</f>
        <v/>
      </c>
      <c r="AQ371" s="36" t="str">
        <f t="shared" si="83"/>
        <v/>
      </c>
      <c r="AR371" s="36" t="str">
        <f t="shared" si="84"/>
        <v/>
      </c>
      <c r="AS371" s="36" t="str">
        <f t="shared" si="93"/>
        <v/>
      </c>
      <c r="AT371" s="37" t="str">
        <f t="shared" si="85"/>
        <v/>
      </c>
      <c r="AU371" s="37" t="str">
        <f t="shared" si="86"/>
        <v/>
      </c>
      <c r="AV371" s="54"/>
      <c r="AW371" s="46"/>
      <c r="AX371" s="39" t="str" cm="1">
        <f t="array" ref="AX371">IF(AH371&lt;&gt;"",IF(AND(AX369:AX370&lt;&gt;"IE",AQ371&lt;&gt;0,AS371&lt;&gt;""),IF(IFERROR((AQ371/AS371),0) &lt;=1,IFERROR(AQ371/AS371,""),1),""),"")</f>
        <v/>
      </c>
      <c r="AY371" s="46"/>
      <c r="AZ371" s="57"/>
    </row>
    <row r="372" spans="1:52" ht="15.5" x14ac:dyDescent="0.35">
      <c r="A372" s="51">
        <f t="shared" si="94"/>
        <v>1</v>
      </c>
      <c r="B372" s="52"/>
      <c r="C372" s="52"/>
      <c r="D372" s="29" t="str">
        <f>IFERROR(
IF(AND(OR(Planilla!B372="C",Planilla!B372="c"), VLOOKUP(E372,[1]Diccionario!B:N,13,0)="C"), "OK",IF(AND(OR(Planilla!B372="C",Planilla!B372="c"), OR(VLOOKUP(E372,[1]Diccionario!B:N,13,0)="B", VLOOKUP(E372,[1]Diccionario!B:N,13,0)="A")), "DEFICIT",IF(
AND(OR(Planilla!B372="B", Planilla!B372="BPAL"), VLOOKUP(E372,[1]Diccionario!B:N,13,0)="B"), "OK",IF(AND(OR(Planilla!B372="B", Planilla!B372="BPAL"), VLOOKUP(E372,[1]Diccionario!B:N,13,0)="A"), "DEFICIT",IF(AND(OR(Planilla!B372="B", Planilla!B372="BPAL"), VLOOKUP(E372,[1]Diccionario!B:N,13,0)="C"), "SOBREOFERTA",IF(AND(Planilla!B372="A", VLOOKUP(E372,[1]Diccionario!B:N,13,0)="A"), "OK",IF(
AND(Planilla!B372="A", OR(VLOOKUP(E372,[1]Diccionario!B:N,13,0)="B", VLOOKUP(E372,[1]Diccionario!B:N,13,0)="C")), "SOBREOFERTA",""
))))))),"")</f>
        <v/>
      </c>
      <c r="E372" s="48"/>
      <c r="F372" s="53"/>
      <c r="G372" s="54"/>
      <c r="H372" s="55" t="str">
        <f t="shared" si="87"/>
        <v/>
      </c>
      <c r="I372" s="35"/>
      <c r="J372" s="34" t="e">
        <f>IF(A372&lt;&gt;"",HLOOKUP(VALUE(TEXT(G372,"h:mm:ss")),IF($C$6="Laboral",[1]Input!$A$4:$Y$227,IF($C$6="Sábado",[1]Input!$A$231:$Y$452,[1]Input!$A$456:$Y$656)),VLOOKUP($C$4,[1]Input!$AG$2:$AI$99,3,0)+IF(C$5="Ida",0,1),1),"")</f>
        <v>#N/A</v>
      </c>
      <c r="K372" s="34" t="str">
        <f>IF(A373&lt;&gt;A372,AVERAGEIF(A$9:A372,A372,J$13:J372),"")</f>
        <v/>
      </c>
      <c r="L372" s="35" t="str">
        <f>IFERROR(IF(A373&lt;&gt;A372,AVERAGEIF(A$9:A372,A372,S$13:S372),""),"")</f>
        <v/>
      </c>
      <c r="M372" s="35" t="str">
        <f>IFERROR(IF(A373&lt;&gt;A372,AVERAGEIF(A$9:A372,A372,T$8:T372),""),"")</f>
        <v/>
      </c>
      <c r="N372" s="35" t="str" cm="1">
        <f t="array" ref="N372">IFERROR(IF(A373&lt;&gt;A372,_xlfn.STDEV.P(IF(A$9:A372=A372,T$7:T372)),""),"")</f>
        <v/>
      </c>
      <c r="O372" s="35" t="str" cm="1">
        <f t="array" ref="O372">IFERROR(IF(A373&lt;&gt;A372,_xlfn.STDEV.P(IF(A$9:A372=A372,S$7:S372)),""),"")</f>
        <v/>
      </c>
      <c r="P372" s="36" t="str">
        <f t="shared" si="80"/>
        <v/>
      </c>
      <c r="Q372" s="36" t="str">
        <f t="shared" si="81"/>
        <v/>
      </c>
      <c r="R372" s="36" t="str">
        <f t="shared" si="88"/>
        <v/>
      </c>
      <c r="S372" s="37" t="str">
        <f t="shared" si="89"/>
        <v/>
      </c>
      <c r="T372" s="37" t="str">
        <f t="shared" si="82"/>
        <v/>
      </c>
      <c r="U372" s="54"/>
      <c r="V372" s="46"/>
      <c r="W372" s="39" t="str">
        <f t="shared" si="90"/>
        <v/>
      </c>
      <c r="X372" s="38"/>
      <c r="Y372" s="48"/>
      <c r="AB372" s="56">
        <f t="shared" si="91"/>
        <v>1</v>
      </c>
      <c r="AC372" s="52"/>
      <c r="AD372" s="52"/>
      <c r="AE372" s="29" t="str">
        <f>IFERROR(
IF(AND(OR(AC372="C",AC372="c"), VLOOKUP(AF372,[1]Diccionario!B:N,13,0)="C"), "OK",IF(AND(OR(AC372="C",AC372="c"), OR(VLOOKUP(AF372,[1]Diccionario!B:N,13,0)="B", VLOOKUP(AF372,[1]Diccionario!B:N,13,0)="A")), "DEFICIT",IF(
AND(OR(AC372="B", AC372="BPAL"), VLOOKUP(AF372,[1]Diccionario!B:N,13,0)="B"), "OK",IF(AND(OR(AC372="B", AC372="BPAL"), VLOOKUP(AF372,[1]Diccionario!B:N,13,0)="A"), "DEFICIT",IF(AND(OR(AC372="B", AC372="BPAL"), VLOOKUP(AF372,[1]Diccionario!B:N,13,0)="C"), "SOBREOFERTA",IF(AND(AC372="A", VLOOKUP(AF372,[1]Diccionario!B:N,13,0)="A"), "OK",IF(
AND(AC372="A", OR(VLOOKUP(AF372,[1]Diccionario!B:N,13,0)="B", VLOOKUP(AF372,[1]Diccionario!B:N,13,0)="C")), "SOBREOFERTA",""
))))))),"")</f>
        <v/>
      </c>
      <c r="AF372" s="48"/>
      <c r="AG372" s="53"/>
      <c r="AH372" s="54"/>
      <c r="AI372" s="55" t="str">
        <f t="shared" si="92"/>
        <v/>
      </c>
      <c r="AJ372" s="46"/>
      <c r="AK372" s="34" t="e">
        <f>IF(AB372&lt;&gt;"",HLOOKUP(VALUE(TEXT(AH372,"h:mm:ss")),IF($C$6="Laboral",[1]Input!$A$4:$Y$227,IF($C$6="Sábado",[1]Input!$A$231:$Y$452,[1]Input!$A$456:$Y$656)),VLOOKUP($C$4,[1]Input!$AG$2:$AI$99,3,0)+IF(AD$5="Ida",0,1),1),"")</f>
        <v>#N/A</v>
      </c>
      <c r="AL372" s="34" t="str">
        <f>IF(AB373&lt;&gt;AB372,AVERAGEIF(AB$9:AB372,AB372,AK$9:AK372),"")</f>
        <v/>
      </c>
      <c r="AM372" s="35" t="str">
        <f>IFERROR(IF(AB373&lt;&gt;AB372,AVERAGEIF(AB$9:AB372,AB372,AT$9:AT372),""),"")</f>
        <v/>
      </c>
      <c r="AN372" s="35" t="str">
        <f>IFERROR(IF(AB373&lt;&gt;AB372,AVERAGEIF(AB$9:AB372,AB372,AU$9:AU372),""),"")</f>
        <v/>
      </c>
      <c r="AO372" s="35" t="str" cm="1">
        <f t="array" ref="AO372">IFERROR(IF(AB373&lt;&gt;AB372,_xlfn.STDEV.P(IF(AB$9:AB372=AB372,AU$9:AU372)),""),"")</f>
        <v/>
      </c>
      <c r="AP372" s="35" t="str" cm="1">
        <f t="array" ref="AP372">IFERROR(IF(AB373&lt;&gt;AB372,_xlfn.STDEV.P(IF(AB$9:AB372=AB372,AT$9:AT372)),""),"")</f>
        <v/>
      </c>
      <c r="AQ372" s="36" t="str">
        <f t="shared" si="83"/>
        <v/>
      </c>
      <c r="AR372" s="36" t="str">
        <f t="shared" si="84"/>
        <v/>
      </c>
      <c r="AS372" s="36" t="str">
        <f t="shared" si="93"/>
        <v/>
      </c>
      <c r="AT372" s="37" t="str">
        <f t="shared" si="85"/>
        <v/>
      </c>
      <c r="AU372" s="37" t="str">
        <f t="shared" si="86"/>
        <v/>
      </c>
      <c r="AV372" s="54"/>
      <c r="AW372" s="46"/>
      <c r="AX372" s="39" t="str" cm="1">
        <f t="array" ref="AX372">IF(AH372&lt;&gt;"",IF(AND(AX370:AX371&lt;&gt;"IE",AQ372&lt;&gt;0,AS372&lt;&gt;""),IF(IFERROR((AQ372/AS372),0) &lt;=1,IFERROR(AQ372/AS372,""),1),""),"")</f>
        <v/>
      </c>
      <c r="AY372" s="46"/>
      <c r="AZ372" s="57"/>
    </row>
    <row r="373" spans="1:52" ht="15.5" x14ac:dyDescent="0.35">
      <c r="A373" s="51">
        <f t="shared" si="94"/>
        <v>1</v>
      </c>
      <c r="B373" s="52"/>
      <c r="C373" s="52"/>
      <c r="D373" s="29" t="str">
        <f>IFERROR(
IF(AND(OR(Planilla!B373="C",Planilla!B373="c"), VLOOKUP(E373,[1]Diccionario!B:N,13,0)="C"), "OK",IF(AND(OR(Planilla!B373="C",Planilla!B373="c"), OR(VLOOKUP(E373,[1]Diccionario!B:N,13,0)="B", VLOOKUP(E373,[1]Diccionario!B:N,13,0)="A")), "DEFICIT",IF(
AND(OR(Planilla!B373="B", Planilla!B373="BPAL"), VLOOKUP(E373,[1]Diccionario!B:N,13,0)="B"), "OK",IF(AND(OR(Planilla!B373="B", Planilla!B373="BPAL"), VLOOKUP(E373,[1]Diccionario!B:N,13,0)="A"), "DEFICIT",IF(AND(OR(Planilla!B373="B", Planilla!B373="BPAL"), VLOOKUP(E373,[1]Diccionario!B:N,13,0)="C"), "SOBREOFERTA",IF(AND(Planilla!B373="A", VLOOKUP(E373,[1]Diccionario!B:N,13,0)="A"), "OK",IF(
AND(Planilla!B373="A", OR(VLOOKUP(E373,[1]Diccionario!B:N,13,0)="B", VLOOKUP(E373,[1]Diccionario!B:N,13,0)="C")), "SOBREOFERTA",""
))))))),"")</f>
        <v/>
      </c>
      <c r="E373" s="48"/>
      <c r="F373" s="53"/>
      <c r="G373" s="54"/>
      <c r="H373" s="55" t="str">
        <f t="shared" si="87"/>
        <v/>
      </c>
      <c r="I373" s="35"/>
      <c r="J373" s="34" t="e">
        <f>IF(A373&lt;&gt;"",HLOOKUP(VALUE(TEXT(G373,"h:mm:ss")),IF($C$6="Laboral",[1]Input!$A$4:$Y$227,IF($C$6="Sábado",[1]Input!$A$231:$Y$452,[1]Input!$A$456:$Y$656)),VLOOKUP($C$4,[1]Input!$AG$2:$AI$99,3,0)+IF(C$5="Ida",0,1),1),"")</f>
        <v>#N/A</v>
      </c>
      <c r="K373" s="34" t="str">
        <f>IF(A374&lt;&gt;A373,AVERAGEIF(A$9:A373,A373,J$13:J373),"")</f>
        <v/>
      </c>
      <c r="L373" s="35" t="str">
        <f>IFERROR(IF(A374&lt;&gt;A373,AVERAGEIF(A$9:A373,A373,S$13:S373),""),"")</f>
        <v/>
      </c>
      <c r="M373" s="35" t="str">
        <f>IFERROR(IF(A374&lt;&gt;A373,AVERAGEIF(A$9:A373,A373,T$8:T373),""),"")</f>
        <v/>
      </c>
      <c r="N373" s="35" t="str" cm="1">
        <f t="array" ref="N373">IFERROR(IF(A374&lt;&gt;A373,_xlfn.STDEV.P(IF(A$9:A373=A373,T$7:T373)),""),"")</f>
        <v/>
      </c>
      <c r="O373" s="35" t="str" cm="1">
        <f t="array" ref="O373">IFERROR(IF(A374&lt;&gt;A373,_xlfn.STDEV.P(IF(A$9:A373=A373,S$7:S373)),""),"")</f>
        <v/>
      </c>
      <c r="P373" s="36" t="str">
        <f t="shared" si="80"/>
        <v/>
      </c>
      <c r="Q373" s="36" t="str">
        <f t="shared" si="81"/>
        <v/>
      </c>
      <c r="R373" s="36" t="str">
        <f t="shared" si="88"/>
        <v/>
      </c>
      <c r="S373" s="37" t="str">
        <f t="shared" si="89"/>
        <v/>
      </c>
      <c r="T373" s="37" t="str">
        <f t="shared" si="82"/>
        <v/>
      </c>
      <c r="U373" s="54"/>
      <c r="V373" s="46"/>
      <c r="W373" s="39" t="str">
        <f t="shared" si="90"/>
        <v/>
      </c>
      <c r="X373" s="38"/>
      <c r="Y373" s="48"/>
      <c r="AB373" s="56">
        <f t="shared" si="91"/>
        <v>1</v>
      </c>
      <c r="AC373" s="52"/>
      <c r="AD373" s="52"/>
      <c r="AE373" s="29" t="str">
        <f>IFERROR(
IF(AND(OR(AC373="C",AC373="c"), VLOOKUP(AF373,[1]Diccionario!B:N,13,0)="C"), "OK",IF(AND(OR(AC373="C",AC373="c"), OR(VLOOKUP(AF373,[1]Diccionario!B:N,13,0)="B", VLOOKUP(AF373,[1]Diccionario!B:N,13,0)="A")), "DEFICIT",IF(
AND(OR(AC373="B", AC373="BPAL"), VLOOKUP(AF373,[1]Diccionario!B:N,13,0)="B"), "OK",IF(AND(OR(AC373="B", AC373="BPAL"), VLOOKUP(AF373,[1]Diccionario!B:N,13,0)="A"), "DEFICIT",IF(AND(OR(AC373="B", AC373="BPAL"), VLOOKUP(AF373,[1]Diccionario!B:N,13,0)="C"), "SOBREOFERTA",IF(AND(AC373="A", VLOOKUP(AF373,[1]Diccionario!B:N,13,0)="A"), "OK",IF(
AND(AC373="A", OR(VLOOKUP(AF373,[1]Diccionario!B:N,13,0)="B", VLOOKUP(AF373,[1]Diccionario!B:N,13,0)="C")), "SOBREOFERTA",""
))))))),"")</f>
        <v/>
      </c>
      <c r="AF373" s="48"/>
      <c r="AG373" s="53"/>
      <c r="AH373" s="54"/>
      <c r="AI373" s="55" t="str">
        <f t="shared" si="92"/>
        <v/>
      </c>
      <c r="AJ373" s="46"/>
      <c r="AK373" s="34" t="e">
        <f>IF(AB373&lt;&gt;"",HLOOKUP(VALUE(TEXT(AH373,"h:mm:ss")),IF($C$6="Laboral",[1]Input!$A$4:$Y$227,IF($C$6="Sábado",[1]Input!$A$231:$Y$452,[1]Input!$A$456:$Y$656)),VLOOKUP($C$4,[1]Input!$AG$2:$AI$99,3,0)+IF(AD$5="Ida",0,1),1),"")</f>
        <v>#N/A</v>
      </c>
      <c r="AL373" s="34" t="str">
        <f>IF(AB374&lt;&gt;AB373,AVERAGEIF(AB$9:AB373,AB373,AK$9:AK373),"")</f>
        <v/>
      </c>
      <c r="AM373" s="35" t="str">
        <f>IFERROR(IF(AB374&lt;&gt;AB373,AVERAGEIF(AB$9:AB373,AB373,AT$9:AT373),""),"")</f>
        <v/>
      </c>
      <c r="AN373" s="35" t="str">
        <f>IFERROR(IF(AB374&lt;&gt;AB373,AVERAGEIF(AB$9:AB373,AB373,AU$9:AU373),""),"")</f>
        <v/>
      </c>
      <c r="AO373" s="35" t="str" cm="1">
        <f t="array" ref="AO373">IFERROR(IF(AB374&lt;&gt;AB373,_xlfn.STDEV.P(IF(AB$9:AB373=AB373,AU$9:AU373)),""),"")</f>
        <v/>
      </c>
      <c r="AP373" s="35" t="str" cm="1">
        <f t="array" ref="AP373">IFERROR(IF(AB374&lt;&gt;AB373,_xlfn.STDEV.P(IF(AB$9:AB373=AB373,AT$9:AT373)),""),"")</f>
        <v/>
      </c>
      <c r="AQ373" s="36" t="str">
        <f t="shared" si="83"/>
        <v/>
      </c>
      <c r="AR373" s="36" t="str">
        <f t="shared" si="84"/>
        <v/>
      </c>
      <c r="AS373" s="36" t="str">
        <f t="shared" si="93"/>
        <v/>
      </c>
      <c r="AT373" s="37" t="str">
        <f t="shared" si="85"/>
        <v/>
      </c>
      <c r="AU373" s="37" t="str">
        <f t="shared" si="86"/>
        <v/>
      </c>
      <c r="AV373" s="54"/>
      <c r="AW373" s="46"/>
      <c r="AX373" s="39" t="str" cm="1">
        <f t="array" ref="AX373">IF(AH373&lt;&gt;"",IF(AND(AX371:AX372&lt;&gt;"IE",AQ373&lt;&gt;0,AS373&lt;&gt;""),IF(IFERROR((AQ373/AS373),0) &lt;=1,IFERROR(AQ373/AS373,""),1),""),"")</f>
        <v/>
      </c>
      <c r="AY373" s="46"/>
      <c r="AZ373" s="57"/>
    </row>
    <row r="374" spans="1:52" ht="15.5" x14ac:dyDescent="0.35">
      <c r="A374" s="51">
        <f t="shared" si="94"/>
        <v>1</v>
      </c>
      <c r="B374" s="52"/>
      <c r="C374" s="52"/>
      <c r="D374" s="29" t="str">
        <f>IFERROR(
IF(AND(OR(Planilla!B374="C",Planilla!B374="c"), VLOOKUP(E374,[1]Diccionario!B:N,13,0)="C"), "OK",IF(AND(OR(Planilla!B374="C",Planilla!B374="c"), OR(VLOOKUP(E374,[1]Diccionario!B:N,13,0)="B", VLOOKUP(E374,[1]Diccionario!B:N,13,0)="A")), "DEFICIT",IF(
AND(OR(Planilla!B374="B", Planilla!B374="BPAL"), VLOOKUP(E374,[1]Diccionario!B:N,13,0)="B"), "OK",IF(AND(OR(Planilla!B374="B", Planilla!B374="BPAL"), VLOOKUP(E374,[1]Diccionario!B:N,13,0)="A"), "DEFICIT",IF(AND(OR(Planilla!B374="B", Planilla!B374="BPAL"), VLOOKUP(E374,[1]Diccionario!B:N,13,0)="C"), "SOBREOFERTA",IF(AND(Planilla!B374="A", VLOOKUP(E374,[1]Diccionario!B:N,13,0)="A"), "OK",IF(
AND(Planilla!B374="A", OR(VLOOKUP(E374,[1]Diccionario!B:N,13,0)="B", VLOOKUP(E374,[1]Diccionario!B:N,13,0)="C")), "SOBREOFERTA",""
))))))),"")</f>
        <v/>
      </c>
      <c r="E374" s="48"/>
      <c r="F374" s="53"/>
      <c r="G374" s="54"/>
      <c r="H374" s="55" t="str">
        <f t="shared" si="87"/>
        <v/>
      </c>
      <c r="I374" s="35"/>
      <c r="J374" s="34" t="e">
        <f>IF(A374&lt;&gt;"",HLOOKUP(VALUE(TEXT(G374,"h:mm:ss")),IF($C$6="Laboral",[1]Input!$A$4:$Y$227,IF($C$6="Sábado",[1]Input!$A$231:$Y$452,[1]Input!$A$456:$Y$656)),VLOOKUP($C$4,[1]Input!$AG$2:$AI$99,3,0)+IF(C$5="Ida",0,1),1),"")</f>
        <v>#N/A</v>
      </c>
      <c r="K374" s="34" t="str">
        <f>IF(A375&lt;&gt;A374,AVERAGEIF(A$9:A374,A374,J$13:J374),"")</f>
        <v/>
      </c>
      <c r="L374" s="35" t="str">
        <f>IFERROR(IF(A375&lt;&gt;A374,AVERAGEIF(A$9:A374,A374,S$13:S374),""),"")</f>
        <v/>
      </c>
      <c r="M374" s="35" t="str">
        <f>IFERROR(IF(A375&lt;&gt;A374,AVERAGEIF(A$9:A374,A374,T$8:T374),""),"")</f>
        <v/>
      </c>
      <c r="N374" s="35" t="str" cm="1">
        <f t="array" ref="N374">IFERROR(IF(A375&lt;&gt;A374,_xlfn.STDEV.P(IF(A$9:A374=A374,T$7:T374)),""),"")</f>
        <v/>
      </c>
      <c r="O374" s="35" t="str" cm="1">
        <f t="array" ref="O374">IFERROR(IF(A375&lt;&gt;A374,_xlfn.STDEV.P(IF(A$9:A374=A374,S$7:S374)),""),"")</f>
        <v/>
      </c>
      <c r="P374" s="36" t="str">
        <f t="shared" si="80"/>
        <v/>
      </c>
      <c r="Q374" s="36" t="str">
        <f t="shared" si="81"/>
        <v/>
      </c>
      <c r="R374" s="36" t="str">
        <f t="shared" si="88"/>
        <v/>
      </c>
      <c r="S374" s="37" t="str">
        <f t="shared" si="89"/>
        <v/>
      </c>
      <c r="T374" s="37" t="str">
        <f t="shared" si="82"/>
        <v/>
      </c>
      <c r="U374" s="54"/>
      <c r="V374" s="46"/>
      <c r="W374" s="39" t="str">
        <f t="shared" si="90"/>
        <v/>
      </c>
      <c r="X374" s="38"/>
      <c r="Y374" s="48"/>
      <c r="AB374" s="56">
        <f t="shared" si="91"/>
        <v>1</v>
      </c>
      <c r="AC374" s="52"/>
      <c r="AD374" s="52"/>
      <c r="AE374" s="29" t="str">
        <f>IFERROR(
IF(AND(OR(AC374="C",AC374="c"), VLOOKUP(AF374,[1]Diccionario!B:N,13,0)="C"), "OK",IF(AND(OR(AC374="C",AC374="c"), OR(VLOOKUP(AF374,[1]Diccionario!B:N,13,0)="B", VLOOKUP(AF374,[1]Diccionario!B:N,13,0)="A")), "DEFICIT",IF(
AND(OR(AC374="B", AC374="BPAL"), VLOOKUP(AF374,[1]Diccionario!B:N,13,0)="B"), "OK",IF(AND(OR(AC374="B", AC374="BPAL"), VLOOKUP(AF374,[1]Diccionario!B:N,13,0)="A"), "DEFICIT",IF(AND(OR(AC374="B", AC374="BPAL"), VLOOKUP(AF374,[1]Diccionario!B:N,13,0)="C"), "SOBREOFERTA",IF(AND(AC374="A", VLOOKUP(AF374,[1]Diccionario!B:N,13,0)="A"), "OK",IF(
AND(AC374="A", OR(VLOOKUP(AF374,[1]Diccionario!B:N,13,0)="B", VLOOKUP(AF374,[1]Diccionario!B:N,13,0)="C")), "SOBREOFERTA",""
))))))),"")</f>
        <v/>
      </c>
      <c r="AF374" s="48"/>
      <c r="AG374" s="53"/>
      <c r="AH374" s="54"/>
      <c r="AI374" s="55" t="str">
        <f t="shared" si="92"/>
        <v/>
      </c>
      <c r="AJ374" s="46"/>
      <c r="AK374" s="34" t="e">
        <f>IF(AB374&lt;&gt;"",HLOOKUP(VALUE(TEXT(AH374,"h:mm:ss")),IF($C$6="Laboral",[1]Input!$A$4:$Y$227,IF($C$6="Sábado",[1]Input!$A$231:$Y$452,[1]Input!$A$456:$Y$656)),VLOOKUP($C$4,[1]Input!$AG$2:$AI$99,3,0)+IF(AD$5="Ida",0,1),1),"")</f>
        <v>#N/A</v>
      </c>
      <c r="AL374" s="34" t="str">
        <f>IF(AB375&lt;&gt;AB374,AVERAGEIF(AB$9:AB374,AB374,AK$9:AK374),"")</f>
        <v/>
      </c>
      <c r="AM374" s="35" t="str">
        <f>IFERROR(IF(AB375&lt;&gt;AB374,AVERAGEIF(AB$9:AB374,AB374,AT$9:AT374),""),"")</f>
        <v/>
      </c>
      <c r="AN374" s="35" t="str">
        <f>IFERROR(IF(AB375&lt;&gt;AB374,AVERAGEIF(AB$9:AB374,AB374,AU$9:AU374),""),"")</f>
        <v/>
      </c>
      <c r="AO374" s="35" t="str" cm="1">
        <f t="array" ref="AO374">IFERROR(IF(AB375&lt;&gt;AB374,_xlfn.STDEV.P(IF(AB$9:AB374=AB374,AU$9:AU374)),""),"")</f>
        <v/>
      </c>
      <c r="AP374" s="35" t="str" cm="1">
        <f t="array" ref="AP374">IFERROR(IF(AB375&lt;&gt;AB374,_xlfn.STDEV.P(IF(AB$9:AB374=AB374,AT$9:AT374)),""),"")</f>
        <v/>
      </c>
      <c r="AQ374" s="36" t="str">
        <f t="shared" si="83"/>
        <v/>
      </c>
      <c r="AR374" s="36" t="str">
        <f t="shared" si="84"/>
        <v/>
      </c>
      <c r="AS374" s="36" t="str">
        <f t="shared" si="93"/>
        <v/>
      </c>
      <c r="AT374" s="37" t="str">
        <f t="shared" si="85"/>
        <v/>
      </c>
      <c r="AU374" s="37" t="str">
        <f t="shared" si="86"/>
        <v/>
      </c>
      <c r="AV374" s="54"/>
      <c r="AW374" s="46"/>
      <c r="AX374" s="39" t="str" cm="1">
        <f t="array" ref="AX374">IF(AH374&lt;&gt;"",IF(AND(AX372:AX373&lt;&gt;"IE",AQ374&lt;&gt;0,AS374&lt;&gt;""),IF(IFERROR((AQ374/AS374),0) &lt;=1,IFERROR(AQ374/AS374,""),1),""),"")</f>
        <v/>
      </c>
      <c r="AY374" s="46"/>
      <c r="AZ374" s="57"/>
    </row>
    <row r="375" spans="1:52" ht="15.5" x14ac:dyDescent="0.35">
      <c r="A375" s="51">
        <f t="shared" si="94"/>
        <v>1</v>
      </c>
      <c r="B375" s="52"/>
      <c r="C375" s="52"/>
      <c r="D375" s="29" t="str">
        <f>IFERROR(
IF(AND(OR(Planilla!B375="C",Planilla!B375="c"), VLOOKUP(E375,[1]Diccionario!B:N,13,0)="C"), "OK",IF(AND(OR(Planilla!B375="C",Planilla!B375="c"), OR(VLOOKUP(E375,[1]Diccionario!B:N,13,0)="B", VLOOKUP(E375,[1]Diccionario!B:N,13,0)="A")), "DEFICIT",IF(
AND(OR(Planilla!B375="B", Planilla!B375="BPAL"), VLOOKUP(E375,[1]Diccionario!B:N,13,0)="B"), "OK",IF(AND(OR(Planilla!B375="B", Planilla!B375="BPAL"), VLOOKUP(E375,[1]Diccionario!B:N,13,0)="A"), "DEFICIT",IF(AND(OR(Planilla!B375="B", Planilla!B375="BPAL"), VLOOKUP(E375,[1]Diccionario!B:N,13,0)="C"), "SOBREOFERTA",IF(AND(Planilla!B375="A", VLOOKUP(E375,[1]Diccionario!B:N,13,0)="A"), "OK",IF(
AND(Planilla!B375="A", OR(VLOOKUP(E375,[1]Diccionario!B:N,13,0)="B", VLOOKUP(E375,[1]Diccionario!B:N,13,0)="C")), "SOBREOFERTA",""
))))))),"")</f>
        <v/>
      </c>
      <c r="E375" s="48"/>
      <c r="F375" s="53"/>
      <c r="G375" s="54"/>
      <c r="H375" s="55" t="str">
        <f t="shared" si="87"/>
        <v/>
      </c>
      <c r="I375" s="35"/>
      <c r="J375" s="34" t="e">
        <f>IF(A375&lt;&gt;"",HLOOKUP(VALUE(TEXT(G375,"h:mm:ss")),IF($C$6="Laboral",[1]Input!$A$4:$Y$227,IF($C$6="Sábado",[1]Input!$A$231:$Y$452,[1]Input!$A$456:$Y$656)),VLOOKUP($C$4,[1]Input!$AG$2:$AI$99,3,0)+IF(C$5="Ida",0,1),1),"")</f>
        <v>#N/A</v>
      </c>
      <c r="K375" s="34" t="str">
        <f>IF(A376&lt;&gt;A375,AVERAGEIF(A$9:A375,A375,J$13:J375),"")</f>
        <v/>
      </c>
      <c r="L375" s="35" t="str">
        <f>IFERROR(IF(A376&lt;&gt;A375,AVERAGEIF(A$9:A375,A375,S$13:S375),""),"")</f>
        <v/>
      </c>
      <c r="M375" s="35" t="str">
        <f>IFERROR(IF(A376&lt;&gt;A375,AVERAGEIF(A$9:A375,A375,T$8:T375),""),"")</f>
        <v/>
      </c>
      <c r="N375" s="35" t="str" cm="1">
        <f t="array" ref="N375">IFERROR(IF(A376&lt;&gt;A375,_xlfn.STDEV.P(IF(A$9:A375=A375,T$7:T375)),""),"")</f>
        <v/>
      </c>
      <c r="O375" s="35" t="str" cm="1">
        <f t="array" ref="O375">IFERROR(IF(A376&lt;&gt;A375,_xlfn.STDEV.P(IF(A$9:A375=A375,S$7:S375)),""),"")</f>
        <v/>
      </c>
      <c r="P375" s="36" t="str">
        <f t="shared" si="80"/>
        <v/>
      </c>
      <c r="Q375" s="36" t="str">
        <f t="shared" si="81"/>
        <v/>
      </c>
      <c r="R375" s="36" t="str">
        <f t="shared" si="88"/>
        <v/>
      </c>
      <c r="S375" s="37" t="str">
        <f t="shared" si="89"/>
        <v/>
      </c>
      <c r="T375" s="37" t="str">
        <f t="shared" si="82"/>
        <v/>
      </c>
      <c r="U375" s="54"/>
      <c r="V375" s="46"/>
      <c r="W375" s="39" t="str">
        <f t="shared" si="90"/>
        <v/>
      </c>
      <c r="X375" s="38"/>
      <c r="Y375" s="48"/>
      <c r="AB375" s="56">
        <f t="shared" si="91"/>
        <v>1</v>
      </c>
      <c r="AC375" s="52"/>
      <c r="AD375" s="52"/>
      <c r="AE375" s="29" t="str">
        <f>IFERROR(
IF(AND(OR(AC375="C",AC375="c"), VLOOKUP(AF375,[1]Diccionario!B:N,13,0)="C"), "OK",IF(AND(OR(AC375="C",AC375="c"), OR(VLOOKUP(AF375,[1]Diccionario!B:N,13,0)="B", VLOOKUP(AF375,[1]Diccionario!B:N,13,0)="A")), "DEFICIT",IF(
AND(OR(AC375="B", AC375="BPAL"), VLOOKUP(AF375,[1]Diccionario!B:N,13,0)="B"), "OK",IF(AND(OR(AC375="B", AC375="BPAL"), VLOOKUP(AF375,[1]Diccionario!B:N,13,0)="A"), "DEFICIT",IF(AND(OR(AC375="B", AC375="BPAL"), VLOOKUP(AF375,[1]Diccionario!B:N,13,0)="C"), "SOBREOFERTA",IF(AND(AC375="A", VLOOKUP(AF375,[1]Diccionario!B:N,13,0)="A"), "OK",IF(
AND(AC375="A", OR(VLOOKUP(AF375,[1]Diccionario!B:N,13,0)="B", VLOOKUP(AF375,[1]Diccionario!B:N,13,0)="C")), "SOBREOFERTA",""
))))))),"")</f>
        <v/>
      </c>
      <c r="AF375" s="48"/>
      <c r="AG375" s="53"/>
      <c r="AH375" s="54"/>
      <c r="AI375" s="55" t="str">
        <f t="shared" si="92"/>
        <v/>
      </c>
      <c r="AJ375" s="46"/>
      <c r="AK375" s="34" t="e">
        <f>IF(AB375&lt;&gt;"",HLOOKUP(VALUE(TEXT(AH375,"h:mm:ss")),IF($C$6="Laboral",[1]Input!$A$4:$Y$227,IF($C$6="Sábado",[1]Input!$A$231:$Y$452,[1]Input!$A$456:$Y$656)),VLOOKUP($C$4,[1]Input!$AG$2:$AI$99,3,0)+IF(AD$5="Ida",0,1),1),"")</f>
        <v>#N/A</v>
      </c>
      <c r="AL375" s="34" t="str">
        <f>IF(AB376&lt;&gt;AB375,AVERAGEIF(AB$9:AB375,AB375,AK$9:AK375),"")</f>
        <v/>
      </c>
      <c r="AM375" s="35" t="str">
        <f>IFERROR(IF(AB376&lt;&gt;AB375,AVERAGEIF(AB$9:AB375,AB375,AT$9:AT375),""),"")</f>
        <v/>
      </c>
      <c r="AN375" s="35" t="str">
        <f>IFERROR(IF(AB376&lt;&gt;AB375,AVERAGEIF(AB$9:AB375,AB375,AU$9:AU375),""),"")</f>
        <v/>
      </c>
      <c r="AO375" s="35" t="str" cm="1">
        <f t="array" ref="AO375">IFERROR(IF(AB376&lt;&gt;AB375,_xlfn.STDEV.P(IF(AB$9:AB375=AB375,AU$9:AU375)),""),"")</f>
        <v/>
      </c>
      <c r="AP375" s="35" t="str" cm="1">
        <f t="array" ref="AP375">IFERROR(IF(AB376&lt;&gt;AB375,_xlfn.STDEV.P(IF(AB$9:AB375=AB375,AT$9:AT375)),""),"")</f>
        <v/>
      </c>
      <c r="AQ375" s="36" t="str">
        <f t="shared" si="83"/>
        <v/>
      </c>
      <c r="AR375" s="36" t="str">
        <f t="shared" si="84"/>
        <v/>
      </c>
      <c r="AS375" s="36" t="str">
        <f t="shared" si="93"/>
        <v/>
      </c>
      <c r="AT375" s="37" t="str">
        <f t="shared" si="85"/>
        <v/>
      </c>
      <c r="AU375" s="37" t="str">
        <f t="shared" si="86"/>
        <v/>
      </c>
      <c r="AV375" s="54"/>
      <c r="AW375" s="46"/>
      <c r="AX375" s="39" t="str" cm="1">
        <f t="array" ref="AX375">IF(AH375&lt;&gt;"",IF(AND(AX373:AX374&lt;&gt;"IE",AQ375&lt;&gt;0,AS375&lt;&gt;""),IF(IFERROR((AQ375/AS375),0) &lt;=1,IFERROR(AQ375/AS375,""),1),""),"")</f>
        <v/>
      </c>
      <c r="AY375" s="46"/>
      <c r="AZ375" s="57"/>
    </row>
    <row r="376" spans="1:52" ht="15.5" x14ac:dyDescent="0.35">
      <c r="A376" s="51">
        <f t="shared" si="94"/>
        <v>1</v>
      </c>
      <c r="B376" s="52"/>
      <c r="C376" s="52"/>
      <c r="D376" s="29" t="str">
        <f>IFERROR(
IF(AND(OR(Planilla!B376="C",Planilla!B376="c"), VLOOKUP(E376,[1]Diccionario!B:N,13,0)="C"), "OK",IF(AND(OR(Planilla!B376="C",Planilla!B376="c"), OR(VLOOKUP(E376,[1]Diccionario!B:N,13,0)="B", VLOOKUP(E376,[1]Diccionario!B:N,13,0)="A")), "DEFICIT",IF(
AND(OR(Planilla!B376="B", Planilla!B376="BPAL"), VLOOKUP(E376,[1]Diccionario!B:N,13,0)="B"), "OK",IF(AND(OR(Planilla!B376="B", Planilla!B376="BPAL"), VLOOKUP(E376,[1]Diccionario!B:N,13,0)="A"), "DEFICIT",IF(AND(OR(Planilla!B376="B", Planilla!B376="BPAL"), VLOOKUP(E376,[1]Diccionario!B:N,13,0)="C"), "SOBREOFERTA",IF(AND(Planilla!B376="A", VLOOKUP(E376,[1]Diccionario!B:N,13,0)="A"), "OK",IF(
AND(Planilla!B376="A", OR(VLOOKUP(E376,[1]Diccionario!B:N,13,0)="B", VLOOKUP(E376,[1]Diccionario!B:N,13,0)="C")), "SOBREOFERTA",""
))))))),"")</f>
        <v/>
      </c>
      <c r="E376" s="48"/>
      <c r="F376" s="53"/>
      <c r="G376" s="54"/>
      <c r="H376" s="55" t="str">
        <f t="shared" si="87"/>
        <v/>
      </c>
      <c r="I376" s="35"/>
      <c r="J376" s="34" t="e">
        <f>IF(A376&lt;&gt;"",HLOOKUP(VALUE(TEXT(G376,"h:mm:ss")),IF($C$6="Laboral",[1]Input!$A$4:$Y$227,IF($C$6="Sábado",[1]Input!$A$231:$Y$452,[1]Input!$A$456:$Y$656)),VLOOKUP($C$4,[1]Input!$AG$2:$AI$99,3,0)+IF(C$5="Ida",0,1),1),"")</f>
        <v>#N/A</v>
      </c>
      <c r="K376" s="34" t="str">
        <f>IF(A377&lt;&gt;A376,AVERAGEIF(A$9:A376,A376,J$13:J376),"")</f>
        <v/>
      </c>
      <c r="L376" s="35" t="str">
        <f>IFERROR(IF(A377&lt;&gt;A376,AVERAGEIF(A$9:A376,A376,S$13:S376),""),"")</f>
        <v/>
      </c>
      <c r="M376" s="35" t="str">
        <f>IFERROR(IF(A377&lt;&gt;A376,AVERAGEIF(A$9:A376,A376,T$8:T376),""),"")</f>
        <v/>
      </c>
      <c r="N376" s="35" t="str" cm="1">
        <f t="array" ref="N376">IFERROR(IF(A377&lt;&gt;A376,_xlfn.STDEV.P(IF(A$9:A376=A376,T$7:T376)),""),"")</f>
        <v/>
      </c>
      <c r="O376" s="35" t="str" cm="1">
        <f t="array" ref="O376">IFERROR(IF(A377&lt;&gt;A376,_xlfn.STDEV.P(IF(A$9:A376=A376,S$7:S376)),""),"")</f>
        <v/>
      </c>
      <c r="P376" s="36" t="str">
        <f t="shared" si="80"/>
        <v/>
      </c>
      <c r="Q376" s="36" t="str">
        <f t="shared" si="81"/>
        <v/>
      </c>
      <c r="R376" s="36" t="str">
        <f t="shared" si="88"/>
        <v/>
      </c>
      <c r="S376" s="37" t="str">
        <f t="shared" si="89"/>
        <v/>
      </c>
      <c r="T376" s="37" t="str">
        <f t="shared" si="82"/>
        <v/>
      </c>
      <c r="U376" s="54"/>
      <c r="V376" s="46"/>
      <c r="W376" s="39" t="str">
        <f t="shared" si="90"/>
        <v/>
      </c>
      <c r="X376" s="38"/>
      <c r="Y376" s="48"/>
      <c r="AB376" s="56">
        <f t="shared" si="91"/>
        <v>1</v>
      </c>
      <c r="AC376" s="52"/>
      <c r="AD376" s="52"/>
      <c r="AE376" s="29" t="str">
        <f>IFERROR(
IF(AND(OR(AC376="C",AC376="c"), VLOOKUP(AF376,[1]Diccionario!B:N,13,0)="C"), "OK",IF(AND(OR(AC376="C",AC376="c"), OR(VLOOKUP(AF376,[1]Diccionario!B:N,13,0)="B", VLOOKUP(AF376,[1]Diccionario!B:N,13,0)="A")), "DEFICIT",IF(
AND(OR(AC376="B", AC376="BPAL"), VLOOKUP(AF376,[1]Diccionario!B:N,13,0)="B"), "OK",IF(AND(OR(AC376="B", AC376="BPAL"), VLOOKUP(AF376,[1]Diccionario!B:N,13,0)="A"), "DEFICIT",IF(AND(OR(AC376="B", AC376="BPAL"), VLOOKUP(AF376,[1]Diccionario!B:N,13,0)="C"), "SOBREOFERTA",IF(AND(AC376="A", VLOOKUP(AF376,[1]Diccionario!B:N,13,0)="A"), "OK",IF(
AND(AC376="A", OR(VLOOKUP(AF376,[1]Diccionario!B:N,13,0)="B", VLOOKUP(AF376,[1]Diccionario!B:N,13,0)="C")), "SOBREOFERTA",""
))))))),"")</f>
        <v/>
      </c>
      <c r="AF376" s="48"/>
      <c r="AG376" s="53"/>
      <c r="AH376" s="54"/>
      <c r="AI376" s="55" t="str">
        <f t="shared" si="92"/>
        <v/>
      </c>
      <c r="AJ376" s="46"/>
      <c r="AK376" s="34" t="e">
        <f>IF(AB376&lt;&gt;"",HLOOKUP(VALUE(TEXT(AH376,"h:mm:ss")),IF($C$6="Laboral",[1]Input!$A$4:$Y$227,IF($C$6="Sábado",[1]Input!$A$231:$Y$452,[1]Input!$A$456:$Y$656)),VLOOKUP($C$4,[1]Input!$AG$2:$AI$99,3,0)+IF(AD$5="Ida",0,1),1),"")</f>
        <v>#N/A</v>
      </c>
      <c r="AL376" s="34" t="str">
        <f>IF(AB377&lt;&gt;AB376,AVERAGEIF(AB$9:AB376,AB376,AK$9:AK376),"")</f>
        <v/>
      </c>
      <c r="AM376" s="35" t="str">
        <f>IFERROR(IF(AB377&lt;&gt;AB376,AVERAGEIF(AB$9:AB376,AB376,AT$9:AT376),""),"")</f>
        <v/>
      </c>
      <c r="AN376" s="35" t="str">
        <f>IFERROR(IF(AB377&lt;&gt;AB376,AVERAGEIF(AB$9:AB376,AB376,AU$9:AU376),""),"")</f>
        <v/>
      </c>
      <c r="AO376" s="35" t="str" cm="1">
        <f t="array" ref="AO376">IFERROR(IF(AB377&lt;&gt;AB376,_xlfn.STDEV.P(IF(AB$9:AB376=AB376,AU$9:AU376)),""),"")</f>
        <v/>
      </c>
      <c r="AP376" s="35" t="str" cm="1">
        <f t="array" ref="AP376">IFERROR(IF(AB377&lt;&gt;AB376,_xlfn.STDEV.P(IF(AB$9:AB376=AB376,AT$9:AT376)),""),"")</f>
        <v/>
      </c>
      <c r="AQ376" s="36" t="str">
        <f t="shared" si="83"/>
        <v/>
      </c>
      <c r="AR376" s="36" t="str">
        <f t="shared" si="84"/>
        <v/>
      </c>
      <c r="AS376" s="36" t="str">
        <f t="shared" si="93"/>
        <v/>
      </c>
      <c r="AT376" s="37" t="str">
        <f t="shared" si="85"/>
        <v/>
      </c>
      <c r="AU376" s="37" t="str">
        <f t="shared" si="86"/>
        <v/>
      </c>
      <c r="AV376" s="54"/>
      <c r="AW376" s="46"/>
      <c r="AX376" s="39" t="str" cm="1">
        <f t="array" ref="AX376">IF(AH376&lt;&gt;"",IF(AND(AX374:AX375&lt;&gt;"IE",AQ376&lt;&gt;0,AS376&lt;&gt;""),IF(IFERROR((AQ376/AS376),0) &lt;=1,IFERROR(AQ376/AS376,""),1),""),"")</f>
        <v/>
      </c>
      <c r="AY376" s="46"/>
      <c r="AZ376" s="57"/>
    </row>
    <row r="377" spans="1:52" ht="15.5" x14ac:dyDescent="0.35">
      <c r="A377" s="51">
        <f t="shared" si="94"/>
        <v>1</v>
      </c>
      <c r="B377" s="52"/>
      <c r="C377" s="52"/>
      <c r="D377" s="29" t="str">
        <f>IFERROR(
IF(AND(OR(Planilla!B377="C",Planilla!B377="c"), VLOOKUP(E377,[1]Diccionario!B:N,13,0)="C"), "OK",IF(AND(OR(Planilla!B377="C",Planilla!B377="c"), OR(VLOOKUP(E377,[1]Diccionario!B:N,13,0)="B", VLOOKUP(E377,[1]Diccionario!B:N,13,0)="A")), "DEFICIT",IF(
AND(OR(Planilla!B377="B", Planilla!B377="BPAL"), VLOOKUP(E377,[1]Diccionario!B:N,13,0)="B"), "OK",IF(AND(OR(Planilla!B377="B", Planilla!B377="BPAL"), VLOOKUP(E377,[1]Diccionario!B:N,13,0)="A"), "DEFICIT",IF(AND(OR(Planilla!B377="B", Planilla!B377="BPAL"), VLOOKUP(E377,[1]Diccionario!B:N,13,0)="C"), "SOBREOFERTA",IF(AND(Planilla!B377="A", VLOOKUP(E377,[1]Diccionario!B:N,13,0)="A"), "OK",IF(
AND(Planilla!B377="A", OR(VLOOKUP(E377,[1]Diccionario!B:N,13,0)="B", VLOOKUP(E377,[1]Diccionario!B:N,13,0)="C")), "SOBREOFERTA",""
))))))),"")</f>
        <v/>
      </c>
      <c r="E377" s="48"/>
      <c r="F377" s="53"/>
      <c r="G377" s="54"/>
      <c r="H377" s="55" t="str">
        <f t="shared" si="87"/>
        <v/>
      </c>
      <c r="I377" s="35"/>
      <c r="J377" s="34" t="e">
        <f>IF(A377&lt;&gt;"",HLOOKUP(VALUE(TEXT(G377,"h:mm:ss")),IF($C$6="Laboral",[1]Input!$A$4:$Y$227,IF($C$6="Sábado",[1]Input!$A$231:$Y$452,[1]Input!$A$456:$Y$656)),VLOOKUP($C$4,[1]Input!$AG$2:$AI$99,3,0)+IF(C$5="Ida",0,1),1),"")</f>
        <v>#N/A</v>
      </c>
      <c r="K377" s="34" t="str">
        <f>IF(A378&lt;&gt;A377,AVERAGEIF(A$9:A377,A377,J$13:J377),"")</f>
        <v/>
      </c>
      <c r="L377" s="35" t="str">
        <f>IFERROR(IF(A378&lt;&gt;A377,AVERAGEIF(A$9:A377,A377,S$13:S377),""),"")</f>
        <v/>
      </c>
      <c r="M377" s="35" t="str">
        <f>IFERROR(IF(A378&lt;&gt;A377,AVERAGEIF(A$9:A377,A377,T$8:T377),""),"")</f>
        <v/>
      </c>
      <c r="N377" s="35" t="str" cm="1">
        <f t="array" ref="N377">IFERROR(IF(A378&lt;&gt;A377,_xlfn.STDEV.P(IF(A$9:A377=A377,T$7:T377)),""),"")</f>
        <v/>
      </c>
      <c r="O377" s="35" t="str" cm="1">
        <f t="array" ref="O377">IFERROR(IF(A378&lt;&gt;A377,_xlfn.STDEV.P(IF(A$9:A377=A377,S$7:S377)),""),"")</f>
        <v/>
      </c>
      <c r="P377" s="36" t="str">
        <f t="shared" si="80"/>
        <v/>
      </c>
      <c r="Q377" s="36" t="str">
        <f t="shared" si="81"/>
        <v/>
      </c>
      <c r="R377" s="36" t="str">
        <f t="shared" si="88"/>
        <v/>
      </c>
      <c r="S377" s="37" t="str">
        <f t="shared" si="89"/>
        <v/>
      </c>
      <c r="T377" s="37" t="str">
        <f t="shared" si="82"/>
        <v/>
      </c>
      <c r="U377" s="54"/>
      <c r="V377" s="46"/>
      <c r="W377" s="39" t="str">
        <f t="shared" si="90"/>
        <v/>
      </c>
      <c r="X377" s="38"/>
      <c r="Y377" s="48"/>
      <c r="AB377" s="56">
        <f t="shared" si="91"/>
        <v>1</v>
      </c>
      <c r="AC377" s="52"/>
      <c r="AD377" s="52"/>
      <c r="AE377" s="29" t="str">
        <f>IFERROR(
IF(AND(OR(AC377="C",AC377="c"), VLOOKUP(AF377,[1]Diccionario!B:N,13,0)="C"), "OK",IF(AND(OR(AC377="C",AC377="c"), OR(VLOOKUP(AF377,[1]Diccionario!B:N,13,0)="B", VLOOKUP(AF377,[1]Diccionario!B:N,13,0)="A")), "DEFICIT",IF(
AND(OR(AC377="B", AC377="BPAL"), VLOOKUP(AF377,[1]Diccionario!B:N,13,0)="B"), "OK",IF(AND(OR(AC377="B", AC377="BPAL"), VLOOKUP(AF377,[1]Diccionario!B:N,13,0)="A"), "DEFICIT",IF(AND(OR(AC377="B", AC377="BPAL"), VLOOKUP(AF377,[1]Diccionario!B:N,13,0)="C"), "SOBREOFERTA",IF(AND(AC377="A", VLOOKUP(AF377,[1]Diccionario!B:N,13,0)="A"), "OK",IF(
AND(AC377="A", OR(VLOOKUP(AF377,[1]Diccionario!B:N,13,0)="B", VLOOKUP(AF377,[1]Diccionario!B:N,13,0)="C")), "SOBREOFERTA",""
))))))),"")</f>
        <v/>
      </c>
      <c r="AF377" s="48"/>
      <c r="AG377" s="53"/>
      <c r="AH377" s="54"/>
      <c r="AI377" s="55" t="str">
        <f t="shared" si="92"/>
        <v/>
      </c>
      <c r="AJ377" s="46"/>
      <c r="AK377" s="34" t="e">
        <f>IF(AB377&lt;&gt;"",HLOOKUP(VALUE(TEXT(AH377,"h:mm:ss")),IF($C$6="Laboral",[1]Input!$A$4:$Y$227,IF($C$6="Sábado",[1]Input!$A$231:$Y$452,[1]Input!$A$456:$Y$656)),VLOOKUP($C$4,[1]Input!$AG$2:$AI$99,3,0)+IF(AD$5="Ida",0,1),1),"")</f>
        <v>#N/A</v>
      </c>
      <c r="AL377" s="34" t="str">
        <f>IF(AB378&lt;&gt;AB377,AVERAGEIF(AB$9:AB377,AB377,AK$9:AK377),"")</f>
        <v/>
      </c>
      <c r="AM377" s="35" t="str">
        <f>IFERROR(IF(AB378&lt;&gt;AB377,AVERAGEIF(AB$9:AB377,AB377,AT$9:AT377),""),"")</f>
        <v/>
      </c>
      <c r="AN377" s="35" t="str">
        <f>IFERROR(IF(AB378&lt;&gt;AB377,AVERAGEIF(AB$9:AB377,AB377,AU$9:AU377),""),"")</f>
        <v/>
      </c>
      <c r="AO377" s="35" t="str" cm="1">
        <f t="array" ref="AO377">IFERROR(IF(AB378&lt;&gt;AB377,_xlfn.STDEV.P(IF(AB$9:AB377=AB377,AU$9:AU377)),""),"")</f>
        <v/>
      </c>
      <c r="AP377" s="35" t="str" cm="1">
        <f t="array" ref="AP377">IFERROR(IF(AB378&lt;&gt;AB377,_xlfn.STDEV.P(IF(AB$9:AB377=AB377,AT$9:AT377)),""),"")</f>
        <v/>
      </c>
      <c r="AQ377" s="36" t="str">
        <f t="shared" si="83"/>
        <v/>
      </c>
      <c r="AR377" s="36" t="str">
        <f t="shared" si="84"/>
        <v/>
      </c>
      <c r="AS377" s="36" t="str">
        <f t="shared" si="93"/>
        <v/>
      </c>
      <c r="AT377" s="37" t="str">
        <f t="shared" si="85"/>
        <v/>
      </c>
      <c r="AU377" s="37" t="str">
        <f t="shared" si="86"/>
        <v/>
      </c>
      <c r="AV377" s="54"/>
      <c r="AW377" s="46"/>
      <c r="AX377" s="39" t="str" cm="1">
        <f t="array" ref="AX377">IF(AH377&lt;&gt;"",IF(AND(AX375:AX376&lt;&gt;"IE",AQ377&lt;&gt;0,AS377&lt;&gt;""),IF(IFERROR((AQ377/AS377),0) &lt;=1,IFERROR(AQ377/AS377,""),1),""),"")</f>
        <v/>
      </c>
      <c r="AY377" s="46"/>
      <c r="AZ377" s="57"/>
    </row>
    <row r="378" spans="1:52" ht="15.5" x14ac:dyDescent="0.35">
      <c r="A378" s="51">
        <f t="shared" si="94"/>
        <v>1</v>
      </c>
      <c r="B378" s="52"/>
      <c r="C378" s="52"/>
      <c r="D378" s="29" t="str">
        <f>IFERROR(
IF(AND(OR(Planilla!B378="C",Planilla!B378="c"), VLOOKUP(E378,[1]Diccionario!B:N,13,0)="C"), "OK",IF(AND(OR(Planilla!B378="C",Planilla!B378="c"), OR(VLOOKUP(E378,[1]Diccionario!B:N,13,0)="B", VLOOKUP(E378,[1]Diccionario!B:N,13,0)="A")), "DEFICIT",IF(
AND(OR(Planilla!B378="B", Planilla!B378="BPAL"), VLOOKUP(E378,[1]Diccionario!B:N,13,0)="B"), "OK",IF(AND(OR(Planilla!B378="B", Planilla!B378="BPAL"), VLOOKUP(E378,[1]Diccionario!B:N,13,0)="A"), "DEFICIT",IF(AND(OR(Planilla!B378="B", Planilla!B378="BPAL"), VLOOKUP(E378,[1]Diccionario!B:N,13,0)="C"), "SOBREOFERTA",IF(AND(Planilla!B378="A", VLOOKUP(E378,[1]Diccionario!B:N,13,0)="A"), "OK",IF(
AND(Planilla!B378="A", OR(VLOOKUP(E378,[1]Diccionario!B:N,13,0)="B", VLOOKUP(E378,[1]Diccionario!B:N,13,0)="C")), "SOBREOFERTA",""
))))))),"")</f>
        <v/>
      </c>
      <c r="E378" s="48"/>
      <c r="F378" s="53"/>
      <c r="G378" s="54"/>
      <c r="H378" s="55" t="str">
        <f t="shared" si="87"/>
        <v/>
      </c>
      <c r="I378" s="35"/>
      <c r="J378" s="34" t="e">
        <f>IF(A378&lt;&gt;"",HLOOKUP(VALUE(TEXT(G378,"h:mm:ss")),IF($C$6="Laboral",[1]Input!$A$4:$Y$227,IF($C$6="Sábado",[1]Input!$A$231:$Y$452,[1]Input!$A$456:$Y$656)),VLOOKUP($C$4,[1]Input!$AG$2:$AI$99,3,0)+IF(C$5="Ida",0,1),1),"")</f>
        <v>#N/A</v>
      </c>
      <c r="K378" s="34" t="str">
        <f>IF(A379&lt;&gt;A378,AVERAGEIF(A$9:A378,A378,J$13:J378),"")</f>
        <v/>
      </c>
      <c r="L378" s="35" t="str">
        <f>IFERROR(IF(A379&lt;&gt;A378,AVERAGEIF(A$9:A378,A378,S$13:S378),""),"")</f>
        <v/>
      </c>
      <c r="M378" s="35" t="str">
        <f>IFERROR(IF(A379&lt;&gt;A378,AVERAGEIF(A$9:A378,A378,T$8:T378),""),"")</f>
        <v/>
      </c>
      <c r="N378" s="35" t="str" cm="1">
        <f t="array" ref="N378">IFERROR(IF(A379&lt;&gt;A378,_xlfn.STDEV.P(IF(A$9:A378=A378,T$7:T378)),""),"")</f>
        <v/>
      </c>
      <c r="O378" s="35" t="str" cm="1">
        <f t="array" ref="O378">IFERROR(IF(A379&lt;&gt;A378,_xlfn.STDEV.P(IF(A$9:A378=A378,S$7:S378)),""),"")</f>
        <v/>
      </c>
      <c r="P378" s="36" t="str">
        <f t="shared" si="80"/>
        <v/>
      </c>
      <c r="Q378" s="36" t="str">
        <f t="shared" si="81"/>
        <v/>
      </c>
      <c r="R378" s="36" t="str">
        <f t="shared" si="88"/>
        <v/>
      </c>
      <c r="S378" s="37" t="str">
        <f t="shared" si="89"/>
        <v/>
      </c>
      <c r="T378" s="37" t="str">
        <f t="shared" si="82"/>
        <v/>
      </c>
      <c r="U378" s="54"/>
      <c r="V378" s="46"/>
      <c r="W378" s="39" t="str">
        <f t="shared" si="90"/>
        <v/>
      </c>
      <c r="X378" s="38"/>
      <c r="Y378" s="48"/>
      <c r="AB378" s="56">
        <f t="shared" si="91"/>
        <v>1</v>
      </c>
      <c r="AC378" s="52"/>
      <c r="AD378" s="52"/>
      <c r="AE378" s="29" t="str">
        <f>IFERROR(
IF(AND(OR(AC378="C",AC378="c"), VLOOKUP(AF378,[1]Diccionario!B:N,13,0)="C"), "OK",IF(AND(OR(AC378="C",AC378="c"), OR(VLOOKUP(AF378,[1]Diccionario!B:N,13,0)="B", VLOOKUP(AF378,[1]Diccionario!B:N,13,0)="A")), "DEFICIT",IF(
AND(OR(AC378="B", AC378="BPAL"), VLOOKUP(AF378,[1]Diccionario!B:N,13,0)="B"), "OK",IF(AND(OR(AC378="B", AC378="BPAL"), VLOOKUP(AF378,[1]Diccionario!B:N,13,0)="A"), "DEFICIT",IF(AND(OR(AC378="B", AC378="BPAL"), VLOOKUP(AF378,[1]Diccionario!B:N,13,0)="C"), "SOBREOFERTA",IF(AND(AC378="A", VLOOKUP(AF378,[1]Diccionario!B:N,13,0)="A"), "OK",IF(
AND(AC378="A", OR(VLOOKUP(AF378,[1]Diccionario!B:N,13,0)="B", VLOOKUP(AF378,[1]Diccionario!B:N,13,0)="C")), "SOBREOFERTA",""
))))))),"")</f>
        <v/>
      </c>
      <c r="AF378" s="48"/>
      <c r="AG378" s="53"/>
      <c r="AH378" s="54"/>
      <c r="AI378" s="55" t="str">
        <f t="shared" si="92"/>
        <v/>
      </c>
      <c r="AJ378" s="46"/>
      <c r="AK378" s="34" t="e">
        <f>IF(AB378&lt;&gt;"",HLOOKUP(VALUE(TEXT(AH378,"h:mm:ss")),IF($C$6="Laboral",[1]Input!$A$4:$Y$227,IF($C$6="Sábado",[1]Input!$A$231:$Y$452,[1]Input!$A$456:$Y$656)),VLOOKUP($C$4,[1]Input!$AG$2:$AI$99,3,0)+IF(AD$5="Ida",0,1),1),"")</f>
        <v>#N/A</v>
      </c>
      <c r="AL378" s="34" t="str">
        <f>IF(AB379&lt;&gt;AB378,AVERAGEIF(AB$9:AB378,AB378,AK$9:AK378),"")</f>
        <v/>
      </c>
      <c r="AM378" s="35" t="str">
        <f>IFERROR(IF(AB379&lt;&gt;AB378,AVERAGEIF(AB$9:AB378,AB378,AT$9:AT378),""),"")</f>
        <v/>
      </c>
      <c r="AN378" s="35" t="str">
        <f>IFERROR(IF(AB379&lt;&gt;AB378,AVERAGEIF(AB$9:AB378,AB378,AU$9:AU378),""),"")</f>
        <v/>
      </c>
      <c r="AO378" s="35" t="str" cm="1">
        <f t="array" ref="AO378">IFERROR(IF(AB379&lt;&gt;AB378,_xlfn.STDEV.P(IF(AB$9:AB378=AB378,AU$9:AU378)),""),"")</f>
        <v/>
      </c>
      <c r="AP378" s="35" t="str" cm="1">
        <f t="array" ref="AP378">IFERROR(IF(AB379&lt;&gt;AB378,_xlfn.STDEV.P(IF(AB$9:AB378=AB378,AT$9:AT378)),""),"")</f>
        <v/>
      </c>
      <c r="AQ378" s="36" t="str">
        <f t="shared" si="83"/>
        <v/>
      </c>
      <c r="AR378" s="36" t="str">
        <f t="shared" si="84"/>
        <v/>
      </c>
      <c r="AS378" s="36" t="str">
        <f t="shared" si="93"/>
        <v/>
      </c>
      <c r="AT378" s="37" t="str">
        <f t="shared" si="85"/>
        <v/>
      </c>
      <c r="AU378" s="37" t="str">
        <f t="shared" si="86"/>
        <v/>
      </c>
      <c r="AV378" s="54"/>
      <c r="AW378" s="46"/>
      <c r="AX378" s="39" t="str" cm="1">
        <f t="array" ref="AX378">IF(AH378&lt;&gt;"",IF(AND(AX376:AX377&lt;&gt;"IE",AQ378&lt;&gt;0,AS378&lt;&gt;""),IF(IFERROR((AQ378/AS378),0) &lt;=1,IFERROR(AQ378/AS378,""),1),""),"")</f>
        <v/>
      </c>
      <c r="AY378" s="46"/>
      <c r="AZ378" s="57"/>
    </row>
    <row r="379" spans="1:52" ht="15.5" x14ac:dyDescent="0.35">
      <c r="A379" s="51">
        <f t="shared" si="94"/>
        <v>1</v>
      </c>
      <c r="B379" s="52"/>
      <c r="C379" s="52"/>
      <c r="D379" s="29" t="str">
        <f>IFERROR(
IF(AND(OR(Planilla!B379="C",Planilla!B379="c"), VLOOKUP(E379,[1]Diccionario!B:N,13,0)="C"), "OK",IF(AND(OR(Planilla!B379="C",Planilla!B379="c"), OR(VLOOKUP(E379,[1]Diccionario!B:N,13,0)="B", VLOOKUP(E379,[1]Diccionario!B:N,13,0)="A")), "DEFICIT",IF(
AND(OR(Planilla!B379="B", Planilla!B379="BPAL"), VLOOKUP(E379,[1]Diccionario!B:N,13,0)="B"), "OK",IF(AND(OR(Planilla!B379="B", Planilla!B379="BPAL"), VLOOKUP(E379,[1]Diccionario!B:N,13,0)="A"), "DEFICIT",IF(AND(OR(Planilla!B379="B", Planilla!B379="BPAL"), VLOOKUP(E379,[1]Diccionario!B:N,13,0)="C"), "SOBREOFERTA",IF(AND(Planilla!B379="A", VLOOKUP(E379,[1]Diccionario!B:N,13,0)="A"), "OK",IF(
AND(Planilla!B379="A", OR(VLOOKUP(E379,[1]Diccionario!B:N,13,0)="B", VLOOKUP(E379,[1]Diccionario!B:N,13,0)="C")), "SOBREOFERTA",""
))))))),"")</f>
        <v/>
      </c>
      <c r="E379" s="48"/>
      <c r="F379" s="53"/>
      <c r="G379" s="54"/>
      <c r="H379" s="55" t="str">
        <f t="shared" si="87"/>
        <v/>
      </c>
      <c r="I379" s="35"/>
      <c r="J379" s="34" t="e">
        <f>IF(A379&lt;&gt;"",HLOOKUP(VALUE(TEXT(G379,"h:mm:ss")),IF($C$6="Laboral",[1]Input!$A$4:$Y$227,IF($C$6="Sábado",[1]Input!$A$231:$Y$452,[1]Input!$A$456:$Y$656)),VLOOKUP($C$4,[1]Input!$AG$2:$AI$99,3,0)+IF(C$5="Ida",0,1),1),"")</f>
        <v>#N/A</v>
      </c>
      <c r="K379" s="34" t="str">
        <f>IF(A380&lt;&gt;A379,AVERAGEIF(A$9:A379,A379,J$13:J379),"")</f>
        <v/>
      </c>
      <c r="L379" s="35" t="str">
        <f>IFERROR(IF(A380&lt;&gt;A379,AVERAGEIF(A$9:A379,A379,S$13:S379),""),"")</f>
        <v/>
      </c>
      <c r="M379" s="35" t="str">
        <f>IFERROR(IF(A380&lt;&gt;A379,AVERAGEIF(A$9:A379,A379,T$8:T379),""),"")</f>
        <v/>
      </c>
      <c r="N379" s="35" t="str" cm="1">
        <f t="array" ref="N379">IFERROR(IF(A380&lt;&gt;A379,_xlfn.STDEV.P(IF(A$9:A379=A379,T$7:T379)),""),"")</f>
        <v/>
      </c>
      <c r="O379" s="35" t="str" cm="1">
        <f t="array" ref="O379">IFERROR(IF(A380&lt;&gt;A379,_xlfn.STDEV.P(IF(A$9:A379=A379,S$7:S379)),""),"")</f>
        <v/>
      </c>
      <c r="P379" s="36" t="str">
        <f t="shared" si="80"/>
        <v/>
      </c>
      <c r="Q379" s="36" t="str">
        <f t="shared" si="81"/>
        <v/>
      </c>
      <c r="R379" s="36" t="str">
        <f t="shared" si="88"/>
        <v/>
      </c>
      <c r="S379" s="37" t="str">
        <f t="shared" si="89"/>
        <v/>
      </c>
      <c r="T379" s="37" t="str">
        <f t="shared" si="82"/>
        <v/>
      </c>
      <c r="U379" s="54"/>
      <c r="V379" s="46"/>
      <c r="W379" s="39" t="str">
        <f t="shared" si="90"/>
        <v/>
      </c>
      <c r="X379" s="38"/>
      <c r="Y379" s="48"/>
      <c r="AB379" s="56">
        <f t="shared" si="91"/>
        <v>1</v>
      </c>
      <c r="AC379" s="52"/>
      <c r="AD379" s="52"/>
      <c r="AE379" s="29" t="str">
        <f>IFERROR(
IF(AND(OR(AC379="C",AC379="c"), VLOOKUP(AF379,[1]Diccionario!B:N,13,0)="C"), "OK",IF(AND(OR(AC379="C",AC379="c"), OR(VLOOKUP(AF379,[1]Diccionario!B:N,13,0)="B", VLOOKUP(AF379,[1]Diccionario!B:N,13,0)="A")), "DEFICIT",IF(
AND(OR(AC379="B", AC379="BPAL"), VLOOKUP(AF379,[1]Diccionario!B:N,13,0)="B"), "OK",IF(AND(OR(AC379="B", AC379="BPAL"), VLOOKUP(AF379,[1]Diccionario!B:N,13,0)="A"), "DEFICIT",IF(AND(OR(AC379="B", AC379="BPAL"), VLOOKUP(AF379,[1]Diccionario!B:N,13,0)="C"), "SOBREOFERTA",IF(AND(AC379="A", VLOOKUP(AF379,[1]Diccionario!B:N,13,0)="A"), "OK",IF(
AND(AC379="A", OR(VLOOKUP(AF379,[1]Diccionario!B:N,13,0)="B", VLOOKUP(AF379,[1]Diccionario!B:N,13,0)="C")), "SOBREOFERTA",""
))))))),"")</f>
        <v/>
      </c>
      <c r="AF379" s="48"/>
      <c r="AG379" s="53"/>
      <c r="AH379" s="54"/>
      <c r="AI379" s="55" t="str">
        <f t="shared" si="92"/>
        <v/>
      </c>
      <c r="AJ379" s="46"/>
      <c r="AK379" s="34" t="e">
        <f>IF(AB379&lt;&gt;"",HLOOKUP(VALUE(TEXT(AH379,"h:mm:ss")),IF($C$6="Laboral",[1]Input!$A$4:$Y$227,IF($C$6="Sábado",[1]Input!$A$231:$Y$452,[1]Input!$A$456:$Y$656)),VLOOKUP($C$4,[1]Input!$AG$2:$AI$99,3,0)+IF(AD$5="Ida",0,1),1),"")</f>
        <v>#N/A</v>
      </c>
      <c r="AL379" s="34" t="str">
        <f>IF(AB380&lt;&gt;AB379,AVERAGEIF(AB$9:AB379,AB379,AK$9:AK379),"")</f>
        <v/>
      </c>
      <c r="AM379" s="35" t="str">
        <f>IFERROR(IF(AB380&lt;&gt;AB379,AVERAGEIF(AB$9:AB379,AB379,AT$9:AT379),""),"")</f>
        <v/>
      </c>
      <c r="AN379" s="35" t="str">
        <f>IFERROR(IF(AB380&lt;&gt;AB379,AVERAGEIF(AB$9:AB379,AB379,AU$9:AU379),""),"")</f>
        <v/>
      </c>
      <c r="AO379" s="35" t="str" cm="1">
        <f t="array" ref="AO379">IFERROR(IF(AB380&lt;&gt;AB379,_xlfn.STDEV.P(IF(AB$9:AB379=AB379,AU$9:AU379)),""),"")</f>
        <v/>
      </c>
      <c r="AP379" s="35" t="str" cm="1">
        <f t="array" ref="AP379">IFERROR(IF(AB380&lt;&gt;AB379,_xlfn.STDEV.P(IF(AB$9:AB379=AB379,AT$9:AT379)),""),"")</f>
        <v/>
      </c>
      <c r="AQ379" s="36" t="str">
        <f t="shared" si="83"/>
        <v/>
      </c>
      <c r="AR379" s="36" t="str">
        <f t="shared" si="84"/>
        <v/>
      </c>
      <c r="AS379" s="36" t="str">
        <f t="shared" si="93"/>
        <v/>
      </c>
      <c r="AT379" s="37" t="str">
        <f t="shared" si="85"/>
        <v/>
      </c>
      <c r="AU379" s="37" t="str">
        <f t="shared" si="86"/>
        <v/>
      </c>
      <c r="AV379" s="54"/>
      <c r="AW379" s="46"/>
      <c r="AX379" s="39" t="str" cm="1">
        <f t="array" ref="AX379">IF(AH379&lt;&gt;"",IF(AND(AX377:AX378&lt;&gt;"IE",AQ379&lt;&gt;0,AS379&lt;&gt;""),IF(IFERROR((AQ379/AS379),0) &lt;=1,IFERROR(AQ379/AS379,""),1),""),"")</f>
        <v/>
      </c>
      <c r="AY379" s="46"/>
      <c r="AZ379" s="57"/>
    </row>
    <row r="380" spans="1:52" ht="15.5" x14ac:dyDescent="0.35">
      <c r="A380" s="51">
        <f t="shared" si="94"/>
        <v>1</v>
      </c>
      <c r="B380" s="52"/>
      <c r="C380" s="52"/>
      <c r="D380" s="29" t="str">
        <f>IFERROR(
IF(AND(OR(Planilla!B380="C",Planilla!B380="c"), VLOOKUP(E380,[1]Diccionario!B:N,13,0)="C"), "OK",IF(AND(OR(Planilla!B380="C",Planilla!B380="c"), OR(VLOOKUP(E380,[1]Diccionario!B:N,13,0)="B", VLOOKUP(E380,[1]Diccionario!B:N,13,0)="A")), "DEFICIT",IF(
AND(OR(Planilla!B380="B", Planilla!B380="BPAL"), VLOOKUP(E380,[1]Diccionario!B:N,13,0)="B"), "OK",IF(AND(OR(Planilla!B380="B", Planilla!B380="BPAL"), VLOOKUP(E380,[1]Diccionario!B:N,13,0)="A"), "DEFICIT",IF(AND(OR(Planilla!B380="B", Planilla!B380="BPAL"), VLOOKUP(E380,[1]Diccionario!B:N,13,0)="C"), "SOBREOFERTA",IF(AND(Planilla!B380="A", VLOOKUP(E380,[1]Diccionario!B:N,13,0)="A"), "OK",IF(
AND(Planilla!B380="A", OR(VLOOKUP(E380,[1]Diccionario!B:N,13,0)="B", VLOOKUP(E380,[1]Diccionario!B:N,13,0)="C")), "SOBREOFERTA",""
))))))),"")</f>
        <v/>
      </c>
      <c r="E380" s="48"/>
      <c r="F380" s="53"/>
      <c r="G380" s="54"/>
      <c r="H380" s="55" t="str">
        <f t="shared" si="87"/>
        <v/>
      </c>
      <c r="I380" s="35"/>
      <c r="J380" s="34" t="e">
        <f>IF(A380&lt;&gt;"",HLOOKUP(VALUE(TEXT(G380,"h:mm:ss")),IF($C$6="Laboral",[1]Input!$A$4:$Y$227,IF($C$6="Sábado",[1]Input!$A$231:$Y$452,[1]Input!$A$456:$Y$656)),VLOOKUP($C$4,[1]Input!$AG$2:$AI$99,3,0)+IF(C$5="Ida",0,1),1),"")</f>
        <v>#N/A</v>
      </c>
      <c r="K380" s="34" t="str">
        <f>IF(A381&lt;&gt;A380,AVERAGEIF(A$9:A380,A380,J$13:J380),"")</f>
        <v/>
      </c>
      <c r="L380" s="35" t="str">
        <f>IFERROR(IF(A381&lt;&gt;A380,AVERAGEIF(A$9:A380,A380,S$13:S380),""),"")</f>
        <v/>
      </c>
      <c r="M380" s="35" t="str">
        <f>IFERROR(IF(A381&lt;&gt;A380,AVERAGEIF(A$9:A380,A380,T$8:T380),""),"")</f>
        <v/>
      </c>
      <c r="N380" s="35" t="str" cm="1">
        <f t="array" ref="N380">IFERROR(IF(A381&lt;&gt;A380,_xlfn.STDEV.P(IF(A$9:A380=A380,T$7:T380)),""),"")</f>
        <v/>
      </c>
      <c r="O380" s="35" t="str" cm="1">
        <f t="array" ref="O380">IFERROR(IF(A381&lt;&gt;A380,_xlfn.STDEV.P(IF(A$9:A380=A380,S$7:S380)),""),"")</f>
        <v/>
      </c>
      <c r="P380" s="36" t="str">
        <f t="shared" si="80"/>
        <v/>
      </c>
      <c r="Q380" s="36" t="str">
        <f t="shared" si="81"/>
        <v/>
      </c>
      <c r="R380" s="36" t="str">
        <f t="shared" si="88"/>
        <v/>
      </c>
      <c r="S380" s="37" t="str">
        <f t="shared" si="89"/>
        <v/>
      </c>
      <c r="T380" s="37" t="str">
        <f t="shared" si="82"/>
        <v/>
      </c>
      <c r="U380" s="54"/>
      <c r="V380" s="46"/>
      <c r="W380" s="39" t="str">
        <f t="shared" si="90"/>
        <v/>
      </c>
      <c r="X380" s="38"/>
      <c r="Y380" s="48"/>
      <c r="AB380" s="56">
        <f t="shared" si="91"/>
        <v>1</v>
      </c>
      <c r="AC380" s="52"/>
      <c r="AD380" s="52"/>
      <c r="AE380" s="29" t="str">
        <f>IFERROR(
IF(AND(OR(AC380="C",AC380="c"), VLOOKUP(AF380,[1]Diccionario!B:N,13,0)="C"), "OK",IF(AND(OR(AC380="C",AC380="c"), OR(VLOOKUP(AF380,[1]Diccionario!B:N,13,0)="B", VLOOKUP(AF380,[1]Diccionario!B:N,13,0)="A")), "DEFICIT",IF(
AND(OR(AC380="B", AC380="BPAL"), VLOOKUP(AF380,[1]Diccionario!B:N,13,0)="B"), "OK",IF(AND(OR(AC380="B", AC380="BPAL"), VLOOKUP(AF380,[1]Diccionario!B:N,13,0)="A"), "DEFICIT",IF(AND(OR(AC380="B", AC380="BPAL"), VLOOKUP(AF380,[1]Diccionario!B:N,13,0)="C"), "SOBREOFERTA",IF(AND(AC380="A", VLOOKUP(AF380,[1]Diccionario!B:N,13,0)="A"), "OK",IF(
AND(AC380="A", OR(VLOOKUP(AF380,[1]Diccionario!B:N,13,0)="B", VLOOKUP(AF380,[1]Diccionario!B:N,13,0)="C")), "SOBREOFERTA",""
))))))),"")</f>
        <v/>
      </c>
      <c r="AF380" s="48"/>
      <c r="AG380" s="53"/>
      <c r="AH380" s="54"/>
      <c r="AI380" s="55" t="str">
        <f t="shared" si="92"/>
        <v/>
      </c>
      <c r="AJ380" s="46"/>
      <c r="AK380" s="34" t="e">
        <f>IF(AB380&lt;&gt;"",HLOOKUP(VALUE(TEXT(AH380,"h:mm:ss")),IF($C$6="Laboral",[1]Input!$A$4:$Y$227,IF($C$6="Sábado",[1]Input!$A$231:$Y$452,[1]Input!$A$456:$Y$656)),VLOOKUP($C$4,[1]Input!$AG$2:$AI$99,3,0)+IF(AD$5="Ida",0,1),1),"")</f>
        <v>#N/A</v>
      </c>
      <c r="AL380" s="34" t="str">
        <f>IF(AB381&lt;&gt;AB380,AVERAGEIF(AB$9:AB380,AB380,AK$9:AK380),"")</f>
        <v/>
      </c>
      <c r="AM380" s="35" t="str">
        <f>IFERROR(IF(AB381&lt;&gt;AB380,AVERAGEIF(AB$9:AB380,AB380,AT$9:AT380),""),"")</f>
        <v/>
      </c>
      <c r="AN380" s="35" t="str">
        <f>IFERROR(IF(AB381&lt;&gt;AB380,AVERAGEIF(AB$9:AB380,AB380,AU$9:AU380),""),"")</f>
        <v/>
      </c>
      <c r="AO380" s="35" t="str" cm="1">
        <f t="array" ref="AO380">IFERROR(IF(AB381&lt;&gt;AB380,_xlfn.STDEV.P(IF(AB$9:AB380=AB380,AU$9:AU380)),""),"")</f>
        <v/>
      </c>
      <c r="AP380" s="35" t="str" cm="1">
        <f t="array" ref="AP380">IFERROR(IF(AB381&lt;&gt;AB380,_xlfn.STDEV.P(IF(AB$9:AB380=AB380,AT$9:AT380)),""),"")</f>
        <v/>
      </c>
      <c r="AQ380" s="36" t="str">
        <f t="shared" si="83"/>
        <v/>
      </c>
      <c r="AR380" s="36" t="str">
        <f t="shared" si="84"/>
        <v/>
      </c>
      <c r="AS380" s="36" t="str">
        <f t="shared" si="93"/>
        <v/>
      </c>
      <c r="AT380" s="37" t="str">
        <f t="shared" si="85"/>
        <v/>
      </c>
      <c r="AU380" s="37" t="str">
        <f t="shared" si="86"/>
        <v/>
      </c>
      <c r="AV380" s="54"/>
      <c r="AW380" s="46"/>
      <c r="AX380" s="39" t="str" cm="1">
        <f t="array" ref="AX380">IF(AH380&lt;&gt;"",IF(AND(AX378:AX379&lt;&gt;"IE",AQ380&lt;&gt;0,AS380&lt;&gt;""),IF(IFERROR((AQ380/AS380),0) &lt;=1,IFERROR(AQ380/AS380,""),1),""),"")</f>
        <v/>
      </c>
      <c r="AY380" s="46"/>
      <c r="AZ380" s="57"/>
    </row>
    <row r="381" spans="1:52" ht="15.5" x14ac:dyDescent="0.35">
      <c r="A381" s="51">
        <f t="shared" si="94"/>
        <v>1</v>
      </c>
      <c r="B381" s="52"/>
      <c r="C381" s="52"/>
      <c r="D381" s="29" t="str">
        <f>IFERROR(
IF(AND(OR(Planilla!B381="C",Planilla!B381="c"), VLOOKUP(E381,[1]Diccionario!B:N,13,0)="C"), "OK",IF(AND(OR(Planilla!B381="C",Planilla!B381="c"), OR(VLOOKUP(E381,[1]Diccionario!B:N,13,0)="B", VLOOKUP(E381,[1]Diccionario!B:N,13,0)="A")), "DEFICIT",IF(
AND(OR(Planilla!B381="B", Planilla!B381="BPAL"), VLOOKUP(E381,[1]Diccionario!B:N,13,0)="B"), "OK",IF(AND(OR(Planilla!B381="B", Planilla!B381="BPAL"), VLOOKUP(E381,[1]Diccionario!B:N,13,0)="A"), "DEFICIT",IF(AND(OR(Planilla!B381="B", Planilla!B381="BPAL"), VLOOKUP(E381,[1]Diccionario!B:N,13,0)="C"), "SOBREOFERTA",IF(AND(Planilla!B381="A", VLOOKUP(E381,[1]Diccionario!B:N,13,0)="A"), "OK",IF(
AND(Planilla!B381="A", OR(VLOOKUP(E381,[1]Diccionario!B:N,13,0)="B", VLOOKUP(E381,[1]Diccionario!B:N,13,0)="C")), "SOBREOFERTA",""
))))))),"")</f>
        <v/>
      </c>
      <c r="E381" s="48"/>
      <c r="F381" s="53"/>
      <c r="G381" s="54"/>
      <c r="H381" s="55" t="str">
        <f t="shared" si="87"/>
        <v/>
      </c>
      <c r="I381" s="35"/>
      <c r="J381" s="34" t="e">
        <f>IF(A381&lt;&gt;"",HLOOKUP(VALUE(TEXT(G381,"h:mm:ss")),IF($C$6="Laboral",[1]Input!$A$4:$Y$227,IF($C$6="Sábado",[1]Input!$A$231:$Y$452,[1]Input!$A$456:$Y$656)),VLOOKUP($C$4,[1]Input!$AG$2:$AI$99,3,0)+IF(C$5="Ida",0,1),1),"")</f>
        <v>#N/A</v>
      </c>
      <c r="K381" s="34" t="str">
        <f>IF(A382&lt;&gt;A381,AVERAGEIF(A$9:A381,A381,J$13:J381),"")</f>
        <v/>
      </c>
      <c r="L381" s="35" t="str">
        <f>IFERROR(IF(A382&lt;&gt;A381,AVERAGEIF(A$9:A381,A381,S$13:S381),""),"")</f>
        <v/>
      </c>
      <c r="M381" s="35" t="str">
        <f>IFERROR(IF(A382&lt;&gt;A381,AVERAGEIF(A$9:A381,A381,T$8:T381),""),"")</f>
        <v/>
      </c>
      <c r="N381" s="35" t="str" cm="1">
        <f t="array" ref="N381">IFERROR(IF(A382&lt;&gt;A381,_xlfn.STDEV.P(IF(A$9:A381=A381,T$7:T381)),""),"")</f>
        <v/>
      </c>
      <c r="O381" s="35" t="str" cm="1">
        <f t="array" ref="O381">IFERROR(IF(A382&lt;&gt;A381,_xlfn.STDEV.P(IF(A$9:A381=A381,S$7:S381)),""),"")</f>
        <v/>
      </c>
      <c r="P381" s="36" t="str">
        <f t="shared" si="80"/>
        <v/>
      </c>
      <c r="Q381" s="36" t="str">
        <f t="shared" si="81"/>
        <v/>
      </c>
      <c r="R381" s="36" t="str">
        <f t="shared" si="88"/>
        <v/>
      </c>
      <c r="S381" s="37" t="str">
        <f t="shared" si="89"/>
        <v/>
      </c>
      <c r="T381" s="37" t="str">
        <f t="shared" si="82"/>
        <v/>
      </c>
      <c r="U381" s="54"/>
      <c r="V381" s="46"/>
      <c r="W381" s="39" t="str">
        <f t="shared" si="90"/>
        <v/>
      </c>
      <c r="X381" s="38"/>
      <c r="Y381" s="48"/>
      <c r="AB381" s="56">
        <f t="shared" si="91"/>
        <v>1</v>
      </c>
      <c r="AC381" s="52"/>
      <c r="AD381" s="52"/>
      <c r="AE381" s="29" t="str">
        <f>IFERROR(
IF(AND(OR(AC381="C",AC381="c"), VLOOKUP(AF381,[1]Diccionario!B:N,13,0)="C"), "OK",IF(AND(OR(AC381="C",AC381="c"), OR(VLOOKUP(AF381,[1]Diccionario!B:N,13,0)="B", VLOOKUP(AF381,[1]Diccionario!B:N,13,0)="A")), "DEFICIT",IF(
AND(OR(AC381="B", AC381="BPAL"), VLOOKUP(AF381,[1]Diccionario!B:N,13,0)="B"), "OK",IF(AND(OR(AC381="B", AC381="BPAL"), VLOOKUP(AF381,[1]Diccionario!B:N,13,0)="A"), "DEFICIT",IF(AND(OR(AC381="B", AC381="BPAL"), VLOOKUP(AF381,[1]Diccionario!B:N,13,0)="C"), "SOBREOFERTA",IF(AND(AC381="A", VLOOKUP(AF381,[1]Diccionario!B:N,13,0)="A"), "OK",IF(
AND(AC381="A", OR(VLOOKUP(AF381,[1]Diccionario!B:N,13,0)="B", VLOOKUP(AF381,[1]Diccionario!B:N,13,0)="C")), "SOBREOFERTA",""
))))))),"")</f>
        <v/>
      </c>
      <c r="AF381" s="48"/>
      <c r="AG381" s="53"/>
      <c r="AH381" s="54"/>
      <c r="AI381" s="55" t="str">
        <f t="shared" si="92"/>
        <v/>
      </c>
      <c r="AJ381" s="46"/>
      <c r="AK381" s="34" t="e">
        <f>IF(AB381&lt;&gt;"",HLOOKUP(VALUE(TEXT(AH381,"h:mm:ss")),IF($C$6="Laboral",[1]Input!$A$4:$Y$227,IF($C$6="Sábado",[1]Input!$A$231:$Y$452,[1]Input!$A$456:$Y$656)),VLOOKUP($C$4,[1]Input!$AG$2:$AI$99,3,0)+IF(AD$5="Ida",0,1),1),"")</f>
        <v>#N/A</v>
      </c>
      <c r="AL381" s="34" t="str">
        <f>IF(AB382&lt;&gt;AB381,AVERAGEIF(AB$9:AB381,AB381,AK$9:AK381),"")</f>
        <v/>
      </c>
      <c r="AM381" s="35" t="str">
        <f>IFERROR(IF(AB382&lt;&gt;AB381,AVERAGEIF(AB$9:AB381,AB381,AT$9:AT381),""),"")</f>
        <v/>
      </c>
      <c r="AN381" s="35" t="str">
        <f>IFERROR(IF(AB382&lt;&gt;AB381,AVERAGEIF(AB$9:AB381,AB381,AU$9:AU381),""),"")</f>
        <v/>
      </c>
      <c r="AO381" s="35" t="str" cm="1">
        <f t="array" ref="AO381">IFERROR(IF(AB382&lt;&gt;AB381,_xlfn.STDEV.P(IF(AB$9:AB381=AB381,AU$9:AU381)),""),"")</f>
        <v/>
      </c>
      <c r="AP381" s="35" t="str" cm="1">
        <f t="array" ref="AP381">IFERROR(IF(AB382&lt;&gt;AB381,_xlfn.STDEV.P(IF(AB$9:AB381=AB381,AT$9:AT381)),""),"")</f>
        <v/>
      </c>
      <c r="AQ381" s="36" t="str">
        <f t="shared" si="83"/>
        <v/>
      </c>
      <c r="AR381" s="36" t="str">
        <f t="shared" si="84"/>
        <v/>
      </c>
      <c r="AS381" s="36" t="str">
        <f t="shared" si="93"/>
        <v/>
      </c>
      <c r="AT381" s="37" t="str">
        <f t="shared" si="85"/>
        <v/>
      </c>
      <c r="AU381" s="37" t="str">
        <f t="shared" si="86"/>
        <v/>
      </c>
      <c r="AV381" s="54"/>
      <c r="AW381" s="46"/>
      <c r="AX381" s="39" t="str" cm="1">
        <f t="array" ref="AX381">IF(AH381&lt;&gt;"",IF(AND(AX379:AX380&lt;&gt;"IE",AQ381&lt;&gt;0,AS381&lt;&gt;""),IF(IFERROR((AQ381/AS381),0) &lt;=1,IFERROR(AQ381/AS381,""),1),""),"")</f>
        <v/>
      </c>
      <c r="AY381" s="46"/>
      <c r="AZ381" s="57"/>
    </row>
    <row r="382" spans="1:52" ht="15.5" x14ac:dyDescent="0.35">
      <c r="A382" s="51">
        <f t="shared" si="94"/>
        <v>1</v>
      </c>
      <c r="B382" s="52"/>
      <c r="C382" s="52"/>
      <c r="D382" s="29" t="str">
        <f>IFERROR(
IF(AND(OR(Planilla!B382="C",Planilla!B382="c"), VLOOKUP(E382,[1]Diccionario!B:N,13,0)="C"), "OK",IF(AND(OR(Planilla!B382="C",Planilla!B382="c"), OR(VLOOKUP(E382,[1]Diccionario!B:N,13,0)="B", VLOOKUP(E382,[1]Diccionario!B:N,13,0)="A")), "DEFICIT",IF(
AND(OR(Planilla!B382="B", Planilla!B382="BPAL"), VLOOKUP(E382,[1]Diccionario!B:N,13,0)="B"), "OK",IF(AND(OR(Planilla!B382="B", Planilla!B382="BPAL"), VLOOKUP(E382,[1]Diccionario!B:N,13,0)="A"), "DEFICIT",IF(AND(OR(Planilla!B382="B", Planilla!B382="BPAL"), VLOOKUP(E382,[1]Diccionario!B:N,13,0)="C"), "SOBREOFERTA",IF(AND(Planilla!B382="A", VLOOKUP(E382,[1]Diccionario!B:N,13,0)="A"), "OK",IF(
AND(Planilla!B382="A", OR(VLOOKUP(E382,[1]Diccionario!B:N,13,0)="B", VLOOKUP(E382,[1]Diccionario!B:N,13,0)="C")), "SOBREOFERTA",""
))))))),"")</f>
        <v/>
      </c>
      <c r="E382" s="48"/>
      <c r="F382" s="53"/>
      <c r="G382" s="54"/>
      <c r="H382" s="55" t="str">
        <f t="shared" si="87"/>
        <v/>
      </c>
      <c r="I382" s="35"/>
      <c r="J382" s="34" t="e">
        <f>IF(A382&lt;&gt;"",HLOOKUP(VALUE(TEXT(G382,"h:mm:ss")),IF($C$6="Laboral",[1]Input!$A$4:$Y$227,IF($C$6="Sábado",[1]Input!$A$231:$Y$452,[1]Input!$A$456:$Y$656)),VLOOKUP($C$4,[1]Input!$AG$2:$AI$99,3,0)+IF(C$5="Ida",0,1),1),"")</f>
        <v>#N/A</v>
      </c>
      <c r="K382" s="34" t="str">
        <f>IF(A383&lt;&gt;A382,AVERAGEIF(A$9:A382,A382,J$13:J382),"")</f>
        <v/>
      </c>
      <c r="L382" s="35" t="str">
        <f>IFERROR(IF(A383&lt;&gt;A382,AVERAGEIF(A$9:A382,A382,S$13:S382),""),"")</f>
        <v/>
      </c>
      <c r="M382" s="35" t="str">
        <f>IFERROR(IF(A383&lt;&gt;A382,AVERAGEIF(A$9:A382,A382,T$8:T382),""),"")</f>
        <v/>
      </c>
      <c r="N382" s="35" t="str" cm="1">
        <f t="array" ref="N382">IFERROR(IF(A383&lt;&gt;A382,_xlfn.STDEV.P(IF(A$9:A382=A382,T$7:T382)),""),"")</f>
        <v/>
      </c>
      <c r="O382" s="35" t="str" cm="1">
        <f t="array" ref="O382">IFERROR(IF(A383&lt;&gt;A382,_xlfn.STDEV.P(IF(A$9:A382=A382,S$7:S382)),""),"")</f>
        <v/>
      </c>
      <c r="P382" s="36" t="str">
        <f t="shared" si="80"/>
        <v/>
      </c>
      <c r="Q382" s="36" t="str">
        <f t="shared" si="81"/>
        <v/>
      </c>
      <c r="R382" s="36" t="str">
        <f t="shared" si="88"/>
        <v/>
      </c>
      <c r="S382" s="37" t="str">
        <f t="shared" si="89"/>
        <v/>
      </c>
      <c r="T382" s="37" t="str">
        <f t="shared" si="82"/>
        <v/>
      </c>
      <c r="U382" s="54"/>
      <c r="V382" s="46"/>
      <c r="W382" s="39" t="str">
        <f t="shared" si="90"/>
        <v/>
      </c>
      <c r="X382" s="38"/>
      <c r="Y382" s="48"/>
      <c r="AB382" s="56">
        <f t="shared" si="91"/>
        <v>1</v>
      </c>
      <c r="AC382" s="52"/>
      <c r="AD382" s="52"/>
      <c r="AE382" s="29" t="str">
        <f>IFERROR(
IF(AND(OR(AC382="C",AC382="c"), VLOOKUP(AF382,[1]Diccionario!B:N,13,0)="C"), "OK",IF(AND(OR(AC382="C",AC382="c"), OR(VLOOKUP(AF382,[1]Diccionario!B:N,13,0)="B", VLOOKUP(AF382,[1]Diccionario!B:N,13,0)="A")), "DEFICIT",IF(
AND(OR(AC382="B", AC382="BPAL"), VLOOKUP(AF382,[1]Diccionario!B:N,13,0)="B"), "OK",IF(AND(OR(AC382="B", AC382="BPAL"), VLOOKUP(AF382,[1]Diccionario!B:N,13,0)="A"), "DEFICIT",IF(AND(OR(AC382="B", AC382="BPAL"), VLOOKUP(AF382,[1]Diccionario!B:N,13,0)="C"), "SOBREOFERTA",IF(AND(AC382="A", VLOOKUP(AF382,[1]Diccionario!B:N,13,0)="A"), "OK",IF(
AND(AC382="A", OR(VLOOKUP(AF382,[1]Diccionario!B:N,13,0)="B", VLOOKUP(AF382,[1]Diccionario!B:N,13,0)="C")), "SOBREOFERTA",""
))))))),"")</f>
        <v/>
      </c>
      <c r="AF382" s="48"/>
      <c r="AG382" s="53"/>
      <c r="AH382" s="54"/>
      <c r="AI382" s="55" t="str">
        <f t="shared" si="92"/>
        <v/>
      </c>
      <c r="AJ382" s="46"/>
      <c r="AK382" s="34" t="e">
        <f>IF(AB382&lt;&gt;"",HLOOKUP(VALUE(TEXT(AH382,"h:mm:ss")),IF($C$6="Laboral",[1]Input!$A$4:$Y$227,IF($C$6="Sábado",[1]Input!$A$231:$Y$452,[1]Input!$A$456:$Y$656)),VLOOKUP($C$4,[1]Input!$AG$2:$AI$99,3,0)+IF(AD$5="Ida",0,1),1),"")</f>
        <v>#N/A</v>
      </c>
      <c r="AL382" s="34" t="str">
        <f>IF(AB383&lt;&gt;AB382,AVERAGEIF(AB$9:AB382,AB382,AK$9:AK382),"")</f>
        <v/>
      </c>
      <c r="AM382" s="35" t="str">
        <f>IFERROR(IF(AB383&lt;&gt;AB382,AVERAGEIF(AB$9:AB382,AB382,AT$9:AT382),""),"")</f>
        <v/>
      </c>
      <c r="AN382" s="35" t="str">
        <f>IFERROR(IF(AB383&lt;&gt;AB382,AVERAGEIF(AB$9:AB382,AB382,AU$9:AU382),""),"")</f>
        <v/>
      </c>
      <c r="AO382" s="35" t="str" cm="1">
        <f t="array" ref="AO382">IFERROR(IF(AB383&lt;&gt;AB382,_xlfn.STDEV.P(IF(AB$9:AB382=AB382,AU$9:AU382)),""),"")</f>
        <v/>
      </c>
      <c r="AP382" s="35" t="str" cm="1">
        <f t="array" ref="AP382">IFERROR(IF(AB383&lt;&gt;AB382,_xlfn.STDEV.P(IF(AB$9:AB382=AB382,AT$9:AT382)),""),"")</f>
        <v/>
      </c>
      <c r="AQ382" s="36" t="str">
        <f t="shared" si="83"/>
        <v/>
      </c>
      <c r="AR382" s="36" t="str">
        <f t="shared" si="84"/>
        <v/>
      </c>
      <c r="AS382" s="36" t="str">
        <f t="shared" si="93"/>
        <v/>
      </c>
      <c r="AT382" s="37" t="str">
        <f t="shared" si="85"/>
        <v/>
      </c>
      <c r="AU382" s="37" t="str">
        <f t="shared" si="86"/>
        <v/>
      </c>
      <c r="AV382" s="54"/>
      <c r="AW382" s="46"/>
      <c r="AX382" s="39" t="str" cm="1">
        <f t="array" ref="AX382">IF(AH382&lt;&gt;"",IF(AND(AX380:AX381&lt;&gt;"IE",AQ382&lt;&gt;0,AS382&lt;&gt;""),IF(IFERROR((AQ382/AS382),0) &lt;=1,IFERROR(AQ382/AS382,""),1),""),"")</f>
        <v/>
      </c>
      <c r="AY382" s="46"/>
      <c r="AZ382" s="57"/>
    </row>
    <row r="383" spans="1:52" ht="15.5" x14ac:dyDescent="0.35">
      <c r="A383" s="51">
        <f t="shared" si="94"/>
        <v>1</v>
      </c>
      <c r="B383" s="52"/>
      <c r="C383" s="52"/>
      <c r="D383" s="29" t="str">
        <f>IFERROR(
IF(AND(OR(Planilla!B383="C",Planilla!B383="c"), VLOOKUP(E383,[1]Diccionario!B:N,13,0)="C"), "OK",IF(AND(OR(Planilla!B383="C",Planilla!B383="c"), OR(VLOOKUP(E383,[1]Diccionario!B:N,13,0)="B", VLOOKUP(E383,[1]Diccionario!B:N,13,0)="A")), "DEFICIT",IF(
AND(OR(Planilla!B383="B", Planilla!B383="BPAL"), VLOOKUP(E383,[1]Diccionario!B:N,13,0)="B"), "OK",IF(AND(OR(Planilla!B383="B", Planilla!B383="BPAL"), VLOOKUP(E383,[1]Diccionario!B:N,13,0)="A"), "DEFICIT",IF(AND(OR(Planilla!B383="B", Planilla!B383="BPAL"), VLOOKUP(E383,[1]Diccionario!B:N,13,0)="C"), "SOBREOFERTA",IF(AND(Planilla!B383="A", VLOOKUP(E383,[1]Diccionario!B:N,13,0)="A"), "OK",IF(
AND(Planilla!B383="A", OR(VLOOKUP(E383,[1]Diccionario!B:N,13,0)="B", VLOOKUP(E383,[1]Diccionario!B:N,13,0)="C")), "SOBREOFERTA",""
))))))),"")</f>
        <v/>
      </c>
      <c r="E383" s="48"/>
      <c r="F383" s="53"/>
      <c r="G383" s="54"/>
      <c r="H383" s="55" t="str">
        <f t="shared" si="87"/>
        <v/>
      </c>
      <c r="I383" s="35"/>
      <c r="J383" s="34" t="e">
        <f>IF(A383&lt;&gt;"",HLOOKUP(VALUE(TEXT(G383,"h:mm:ss")),IF($C$6="Laboral",[1]Input!$A$4:$Y$227,IF($C$6="Sábado",[1]Input!$A$231:$Y$452,[1]Input!$A$456:$Y$656)),VLOOKUP($C$4,[1]Input!$AG$2:$AI$99,3,0)+IF(C$5="Ida",0,1),1),"")</f>
        <v>#N/A</v>
      </c>
      <c r="K383" s="34" t="str">
        <f>IF(A384&lt;&gt;A383,AVERAGEIF(A$9:A383,A383,J$13:J383),"")</f>
        <v/>
      </c>
      <c r="L383" s="35" t="str">
        <f>IFERROR(IF(A384&lt;&gt;A383,AVERAGEIF(A$9:A383,A383,S$13:S383),""),"")</f>
        <v/>
      </c>
      <c r="M383" s="35" t="str">
        <f>IFERROR(IF(A384&lt;&gt;A383,AVERAGEIF(A$9:A383,A383,T$8:T383),""),"")</f>
        <v/>
      </c>
      <c r="N383" s="35" t="str" cm="1">
        <f t="array" ref="N383">IFERROR(IF(A384&lt;&gt;A383,_xlfn.STDEV.P(IF(A$9:A383=A383,T$7:T383)),""),"")</f>
        <v/>
      </c>
      <c r="O383" s="35" t="str" cm="1">
        <f t="array" ref="O383">IFERROR(IF(A384&lt;&gt;A383,_xlfn.STDEV.P(IF(A$9:A383=A383,S$7:S383)),""),"")</f>
        <v/>
      </c>
      <c r="P383" s="36" t="str">
        <f t="shared" si="80"/>
        <v/>
      </c>
      <c r="Q383" s="36" t="str">
        <f t="shared" si="81"/>
        <v/>
      </c>
      <c r="R383" s="36" t="str">
        <f t="shared" si="88"/>
        <v/>
      </c>
      <c r="S383" s="37" t="str">
        <f t="shared" si="89"/>
        <v/>
      </c>
      <c r="T383" s="37" t="str">
        <f t="shared" si="82"/>
        <v/>
      </c>
      <c r="U383" s="54"/>
      <c r="V383" s="46"/>
      <c r="W383" s="39" t="str">
        <f t="shared" si="90"/>
        <v/>
      </c>
      <c r="X383" s="38"/>
      <c r="Y383" s="48"/>
      <c r="AB383" s="56">
        <f t="shared" si="91"/>
        <v>1</v>
      </c>
      <c r="AC383" s="52"/>
      <c r="AD383" s="52"/>
      <c r="AE383" s="29" t="str">
        <f>IFERROR(
IF(AND(OR(AC383="C",AC383="c"), VLOOKUP(AF383,[1]Diccionario!B:N,13,0)="C"), "OK",IF(AND(OR(AC383="C",AC383="c"), OR(VLOOKUP(AF383,[1]Diccionario!B:N,13,0)="B", VLOOKUP(AF383,[1]Diccionario!B:N,13,0)="A")), "DEFICIT",IF(
AND(OR(AC383="B", AC383="BPAL"), VLOOKUP(AF383,[1]Diccionario!B:N,13,0)="B"), "OK",IF(AND(OR(AC383="B", AC383="BPAL"), VLOOKUP(AF383,[1]Diccionario!B:N,13,0)="A"), "DEFICIT",IF(AND(OR(AC383="B", AC383="BPAL"), VLOOKUP(AF383,[1]Diccionario!B:N,13,0)="C"), "SOBREOFERTA",IF(AND(AC383="A", VLOOKUP(AF383,[1]Diccionario!B:N,13,0)="A"), "OK",IF(
AND(AC383="A", OR(VLOOKUP(AF383,[1]Diccionario!B:N,13,0)="B", VLOOKUP(AF383,[1]Diccionario!B:N,13,0)="C")), "SOBREOFERTA",""
))))))),"")</f>
        <v/>
      </c>
      <c r="AF383" s="48"/>
      <c r="AG383" s="53"/>
      <c r="AH383" s="54"/>
      <c r="AI383" s="55" t="str">
        <f t="shared" si="92"/>
        <v/>
      </c>
      <c r="AJ383" s="46"/>
      <c r="AK383" s="34" t="e">
        <f>IF(AB383&lt;&gt;"",HLOOKUP(VALUE(TEXT(AH383,"h:mm:ss")),IF($C$6="Laboral",[1]Input!$A$4:$Y$227,IF($C$6="Sábado",[1]Input!$A$231:$Y$452,[1]Input!$A$456:$Y$656)),VLOOKUP($C$4,[1]Input!$AG$2:$AI$99,3,0)+IF(AD$5="Ida",0,1),1),"")</f>
        <v>#N/A</v>
      </c>
      <c r="AL383" s="34" t="str">
        <f>IF(AB384&lt;&gt;AB383,AVERAGEIF(AB$9:AB383,AB383,AK$9:AK383),"")</f>
        <v/>
      </c>
      <c r="AM383" s="35" t="str">
        <f>IFERROR(IF(AB384&lt;&gt;AB383,AVERAGEIF(AB$9:AB383,AB383,AT$9:AT383),""),"")</f>
        <v/>
      </c>
      <c r="AN383" s="35" t="str">
        <f>IFERROR(IF(AB384&lt;&gt;AB383,AVERAGEIF(AB$9:AB383,AB383,AU$9:AU383),""),"")</f>
        <v/>
      </c>
      <c r="AO383" s="35" t="str" cm="1">
        <f t="array" ref="AO383">IFERROR(IF(AB384&lt;&gt;AB383,_xlfn.STDEV.P(IF(AB$9:AB383=AB383,AU$9:AU383)),""),"")</f>
        <v/>
      </c>
      <c r="AP383" s="35" t="str" cm="1">
        <f t="array" ref="AP383">IFERROR(IF(AB384&lt;&gt;AB383,_xlfn.STDEV.P(IF(AB$9:AB383=AB383,AT$9:AT383)),""),"")</f>
        <v/>
      </c>
      <c r="AQ383" s="36" t="str">
        <f t="shared" si="83"/>
        <v/>
      </c>
      <c r="AR383" s="36" t="str">
        <f t="shared" si="84"/>
        <v/>
      </c>
      <c r="AS383" s="36" t="str">
        <f t="shared" si="93"/>
        <v/>
      </c>
      <c r="AT383" s="37" t="str">
        <f t="shared" si="85"/>
        <v/>
      </c>
      <c r="AU383" s="37" t="str">
        <f t="shared" si="86"/>
        <v/>
      </c>
      <c r="AV383" s="54"/>
      <c r="AW383" s="46"/>
      <c r="AX383" s="39" t="str" cm="1">
        <f t="array" ref="AX383">IF(AH383&lt;&gt;"",IF(AND(AX381:AX382&lt;&gt;"IE",AQ383&lt;&gt;0,AS383&lt;&gt;""),IF(IFERROR((AQ383/AS383),0) &lt;=1,IFERROR(AQ383/AS383,""),1),""),"")</f>
        <v/>
      </c>
      <c r="AY383" s="46"/>
      <c r="AZ383" s="57"/>
    </row>
    <row r="384" spans="1:52" ht="15.5" x14ac:dyDescent="0.35">
      <c r="A384" s="51">
        <f t="shared" si="94"/>
        <v>1</v>
      </c>
      <c r="B384" s="52"/>
      <c r="C384" s="52"/>
      <c r="D384" s="29" t="str">
        <f>IFERROR(
IF(AND(OR(Planilla!B384="C",Planilla!B384="c"), VLOOKUP(E384,[1]Diccionario!B:N,13,0)="C"), "OK",IF(AND(OR(Planilla!B384="C",Planilla!B384="c"), OR(VLOOKUP(E384,[1]Diccionario!B:N,13,0)="B", VLOOKUP(E384,[1]Diccionario!B:N,13,0)="A")), "DEFICIT",IF(
AND(OR(Planilla!B384="B", Planilla!B384="BPAL"), VLOOKUP(E384,[1]Diccionario!B:N,13,0)="B"), "OK",IF(AND(OR(Planilla!B384="B", Planilla!B384="BPAL"), VLOOKUP(E384,[1]Diccionario!B:N,13,0)="A"), "DEFICIT",IF(AND(OR(Planilla!B384="B", Planilla!B384="BPAL"), VLOOKUP(E384,[1]Diccionario!B:N,13,0)="C"), "SOBREOFERTA",IF(AND(Planilla!B384="A", VLOOKUP(E384,[1]Diccionario!B:N,13,0)="A"), "OK",IF(
AND(Planilla!B384="A", OR(VLOOKUP(E384,[1]Diccionario!B:N,13,0)="B", VLOOKUP(E384,[1]Diccionario!B:N,13,0)="C")), "SOBREOFERTA",""
))))))),"")</f>
        <v/>
      </c>
      <c r="E384" s="48"/>
      <c r="F384" s="53"/>
      <c r="G384" s="54"/>
      <c r="H384" s="55" t="str">
        <f t="shared" si="87"/>
        <v/>
      </c>
      <c r="I384" s="35"/>
      <c r="J384" s="34" t="e">
        <f>IF(A384&lt;&gt;"",HLOOKUP(VALUE(TEXT(G384,"h:mm:ss")),IF($C$6="Laboral",[1]Input!$A$4:$Y$227,IF($C$6="Sábado",[1]Input!$A$231:$Y$452,[1]Input!$A$456:$Y$656)),VLOOKUP($C$4,[1]Input!$AG$2:$AI$99,3,0)+IF(C$5="Ida",0,1),1),"")</f>
        <v>#N/A</v>
      </c>
      <c r="K384" s="34" t="str">
        <f>IF(A385&lt;&gt;A384,AVERAGEIF(A$9:A384,A384,J$13:J384),"")</f>
        <v/>
      </c>
      <c r="L384" s="35" t="str">
        <f>IFERROR(IF(A385&lt;&gt;A384,AVERAGEIF(A$9:A384,A384,S$13:S384),""),"")</f>
        <v/>
      </c>
      <c r="M384" s="35" t="str">
        <f>IFERROR(IF(A385&lt;&gt;A384,AVERAGEIF(A$9:A384,A384,T$8:T384),""),"")</f>
        <v/>
      </c>
      <c r="N384" s="35" t="str" cm="1">
        <f t="array" ref="N384">IFERROR(IF(A385&lt;&gt;A384,_xlfn.STDEV.P(IF(A$9:A384=A384,T$7:T384)),""),"")</f>
        <v/>
      </c>
      <c r="O384" s="35" t="str" cm="1">
        <f t="array" ref="O384">IFERROR(IF(A385&lt;&gt;A384,_xlfn.STDEV.P(IF(A$9:A384=A384,S$7:S384)),""),"")</f>
        <v/>
      </c>
      <c r="P384" s="36" t="str">
        <f t="shared" si="80"/>
        <v/>
      </c>
      <c r="Q384" s="36" t="str">
        <f t="shared" si="81"/>
        <v/>
      </c>
      <c r="R384" s="36" t="str">
        <f t="shared" si="88"/>
        <v/>
      </c>
      <c r="S384" s="37" t="str">
        <f t="shared" si="89"/>
        <v/>
      </c>
      <c r="T384" s="37" t="str">
        <f t="shared" si="82"/>
        <v/>
      </c>
      <c r="U384" s="54"/>
      <c r="V384" s="46"/>
      <c r="W384" s="39" t="str">
        <f t="shared" si="90"/>
        <v/>
      </c>
      <c r="X384" s="38"/>
      <c r="Y384" s="48"/>
      <c r="AB384" s="56">
        <f t="shared" si="91"/>
        <v>1</v>
      </c>
      <c r="AC384" s="52"/>
      <c r="AD384" s="52"/>
      <c r="AE384" s="29" t="str">
        <f>IFERROR(
IF(AND(OR(AC384="C",AC384="c"), VLOOKUP(AF384,[1]Diccionario!B:N,13,0)="C"), "OK",IF(AND(OR(AC384="C",AC384="c"), OR(VLOOKUP(AF384,[1]Diccionario!B:N,13,0)="B", VLOOKUP(AF384,[1]Diccionario!B:N,13,0)="A")), "DEFICIT",IF(
AND(OR(AC384="B", AC384="BPAL"), VLOOKUP(AF384,[1]Diccionario!B:N,13,0)="B"), "OK",IF(AND(OR(AC384="B", AC384="BPAL"), VLOOKUP(AF384,[1]Diccionario!B:N,13,0)="A"), "DEFICIT",IF(AND(OR(AC384="B", AC384="BPAL"), VLOOKUP(AF384,[1]Diccionario!B:N,13,0)="C"), "SOBREOFERTA",IF(AND(AC384="A", VLOOKUP(AF384,[1]Diccionario!B:N,13,0)="A"), "OK",IF(
AND(AC384="A", OR(VLOOKUP(AF384,[1]Diccionario!B:N,13,0)="B", VLOOKUP(AF384,[1]Diccionario!B:N,13,0)="C")), "SOBREOFERTA",""
))))))),"")</f>
        <v/>
      </c>
      <c r="AF384" s="48"/>
      <c r="AG384" s="53"/>
      <c r="AH384" s="54"/>
      <c r="AI384" s="55" t="str">
        <f t="shared" si="92"/>
        <v/>
      </c>
      <c r="AJ384" s="46"/>
      <c r="AK384" s="34" t="e">
        <f>IF(AB384&lt;&gt;"",HLOOKUP(VALUE(TEXT(AH384,"h:mm:ss")),IF($C$6="Laboral",[1]Input!$A$4:$Y$227,IF($C$6="Sábado",[1]Input!$A$231:$Y$452,[1]Input!$A$456:$Y$656)),VLOOKUP($C$4,[1]Input!$AG$2:$AI$99,3,0)+IF(AD$5="Ida",0,1),1),"")</f>
        <v>#N/A</v>
      </c>
      <c r="AL384" s="34" t="str">
        <f>IF(AB385&lt;&gt;AB384,AVERAGEIF(AB$9:AB384,AB384,AK$9:AK384),"")</f>
        <v/>
      </c>
      <c r="AM384" s="35" t="str">
        <f>IFERROR(IF(AB385&lt;&gt;AB384,AVERAGEIF(AB$9:AB384,AB384,AT$9:AT384),""),"")</f>
        <v/>
      </c>
      <c r="AN384" s="35" t="str">
        <f>IFERROR(IF(AB385&lt;&gt;AB384,AVERAGEIF(AB$9:AB384,AB384,AU$9:AU384),""),"")</f>
        <v/>
      </c>
      <c r="AO384" s="35" t="str" cm="1">
        <f t="array" ref="AO384">IFERROR(IF(AB385&lt;&gt;AB384,_xlfn.STDEV.P(IF(AB$9:AB384=AB384,AU$9:AU384)),""),"")</f>
        <v/>
      </c>
      <c r="AP384" s="35" t="str" cm="1">
        <f t="array" ref="AP384">IFERROR(IF(AB385&lt;&gt;AB384,_xlfn.STDEV.P(IF(AB$9:AB384=AB384,AT$9:AT384)),""),"")</f>
        <v/>
      </c>
      <c r="AQ384" s="36" t="str">
        <f t="shared" si="83"/>
        <v/>
      </c>
      <c r="AR384" s="36" t="str">
        <f t="shared" si="84"/>
        <v/>
      </c>
      <c r="AS384" s="36" t="str">
        <f t="shared" si="93"/>
        <v/>
      </c>
      <c r="AT384" s="37" t="str">
        <f t="shared" si="85"/>
        <v/>
      </c>
      <c r="AU384" s="37" t="str">
        <f t="shared" si="86"/>
        <v/>
      </c>
      <c r="AV384" s="54"/>
      <c r="AW384" s="46"/>
      <c r="AX384" s="39" t="str" cm="1">
        <f t="array" ref="AX384">IF(AH384&lt;&gt;"",IF(AND(AX382:AX383&lt;&gt;"IE",AQ384&lt;&gt;0,AS384&lt;&gt;""),IF(IFERROR((AQ384/AS384),0) &lt;=1,IFERROR(AQ384/AS384,""),1),""),"")</f>
        <v/>
      </c>
      <c r="AY384" s="46"/>
      <c r="AZ384" s="57"/>
    </row>
    <row r="385" spans="1:52" ht="15.5" x14ac:dyDescent="0.35">
      <c r="A385" s="51">
        <f t="shared" si="94"/>
        <v>1</v>
      </c>
      <c r="B385" s="52"/>
      <c r="C385" s="52"/>
      <c r="D385" s="29" t="str">
        <f>IFERROR(
IF(AND(OR(Planilla!B385="C",Planilla!B385="c"), VLOOKUP(E385,[1]Diccionario!B:N,13,0)="C"), "OK",IF(AND(OR(Planilla!B385="C",Planilla!B385="c"), OR(VLOOKUP(E385,[1]Diccionario!B:N,13,0)="B", VLOOKUP(E385,[1]Diccionario!B:N,13,0)="A")), "DEFICIT",IF(
AND(OR(Planilla!B385="B", Planilla!B385="BPAL"), VLOOKUP(E385,[1]Diccionario!B:N,13,0)="B"), "OK",IF(AND(OR(Planilla!B385="B", Planilla!B385="BPAL"), VLOOKUP(E385,[1]Diccionario!B:N,13,0)="A"), "DEFICIT",IF(AND(OR(Planilla!B385="B", Planilla!B385="BPAL"), VLOOKUP(E385,[1]Diccionario!B:N,13,0)="C"), "SOBREOFERTA",IF(AND(Planilla!B385="A", VLOOKUP(E385,[1]Diccionario!B:N,13,0)="A"), "OK",IF(
AND(Planilla!B385="A", OR(VLOOKUP(E385,[1]Diccionario!B:N,13,0)="B", VLOOKUP(E385,[1]Diccionario!B:N,13,0)="C")), "SOBREOFERTA",""
))))))),"")</f>
        <v/>
      </c>
      <c r="E385" s="48"/>
      <c r="F385" s="53"/>
      <c r="G385" s="54"/>
      <c r="H385" s="55" t="str">
        <f t="shared" si="87"/>
        <v/>
      </c>
      <c r="I385" s="35"/>
      <c r="J385" s="34" t="e">
        <f>IF(A385&lt;&gt;"",HLOOKUP(VALUE(TEXT(G385,"h:mm:ss")),IF($C$6="Laboral",[1]Input!$A$4:$Y$227,IF($C$6="Sábado",[1]Input!$A$231:$Y$452,[1]Input!$A$456:$Y$656)),VLOOKUP($C$4,[1]Input!$AG$2:$AI$99,3,0)+IF(C$5="Ida",0,1),1),"")</f>
        <v>#N/A</v>
      </c>
      <c r="K385" s="34" t="str">
        <f>IF(A386&lt;&gt;A385,AVERAGEIF(A$9:A385,A385,J$13:J385),"")</f>
        <v/>
      </c>
      <c r="L385" s="35" t="str">
        <f>IFERROR(IF(A386&lt;&gt;A385,AVERAGEIF(A$9:A385,A385,S$13:S385),""),"")</f>
        <v/>
      </c>
      <c r="M385" s="35" t="str">
        <f>IFERROR(IF(A386&lt;&gt;A385,AVERAGEIF(A$9:A385,A385,T$8:T385),""),"")</f>
        <v/>
      </c>
      <c r="N385" s="35" t="str" cm="1">
        <f t="array" ref="N385">IFERROR(IF(A386&lt;&gt;A385,_xlfn.STDEV.P(IF(A$9:A385=A385,T$7:T385)),""),"")</f>
        <v/>
      </c>
      <c r="O385" s="35" t="str" cm="1">
        <f t="array" ref="O385">IFERROR(IF(A386&lt;&gt;A385,_xlfn.STDEV.P(IF(A$9:A385=A385,S$7:S385)),""),"")</f>
        <v/>
      </c>
      <c r="P385" s="36" t="str">
        <f t="shared" si="80"/>
        <v/>
      </c>
      <c r="Q385" s="36" t="str">
        <f t="shared" si="81"/>
        <v/>
      </c>
      <c r="R385" s="36" t="str">
        <f t="shared" si="88"/>
        <v/>
      </c>
      <c r="S385" s="37" t="str">
        <f t="shared" si="89"/>
        <v/>
      </c>
      <c r="T385" s="37" t="str">
        <f t="shared" si="82"/>
        <v/>
      </c>
      <c r="U385" s="54"/>
      <c r="V385" s="46"/>
      <c r="W385" s="39" t="str">
        <f t="shared" si="90"/>
        <v/>
      </c>
      <c r="X385" s="38"/>
      <c r="Y385" s="48"/>
      <c r="AB385" s="56">
        <f t="shared" si="91"/>
        <v>1</v>
      </c>
      <c r="AC385" s="52"/>
      <c r="AD385" s="52"/>
      <c r="AE385" s="29" t="str">
        <f>IFERROR(
IF(AND(OR(AC385="C",AC385="c"), VLOOKUP(AF385,[1]Diccionario!B:N,13,0)="C"), "OK",IF(AND(OR(AC385="C",AC385="c"), OR(VLOOKUP(AF385,[1]Diccionario!B:N,13,0)="B", VLOOKUP(AF385,[1]Diccionario!B:N,13,0)="A")), "DEFICIT",IF(
AND(OR(AC385="B", AC385="BPAL"), VLOOKUP(AF385,[1]Diccionario!B:N,13,0)="B"), "OK",IF(AND(OR(AC385="B", AC385="BPAL"), VLOOKUP(AF385,[1]Diccionario!B:N,13,0)="A"), "DEFICIT",IF(AND(OR(AC385="B", AC385="BPAL"), VLOOKUP(AF385,[1]Diccionario!B:N,13,0)="C"), "SOBREOFERTA",IF(AND(AC385="A", VLOOKUP(AF385,[1]Diccionario!B:N,13,0)="A"), "OK",IF(
AND(AC385="A", OR(VLOOKUP(AF385,[1]Diccionario!B:N,13,0)="B", VLOOKUP(AF385,[1]Diccionario!B:N,13,0)="C")), "SOBREOFERTA",""
))))))),"")</f>
        <v/>
      </c>
      <c r="AF385" s="48"/>
      <c r="AG385" s="53"/>
      <c r="AH385" s="54"/>
      <c r="AI385" s="55" t="str">
        <f t="shared" si="92"/>
        <v/>
      </c>
      <c r="AJ385" s="46"/>
      <c r="AK385" s="34" t="e">
        <f>IF(AB385&lt;&gt;"",HLOOKUP(VALUE(TEXT(AH385,"h:mm:ss")),IF($C$6="Laboral",[1]Input!$A$4:$Y$227,IF($C$6="Sábado",[1]Input!$A$231:$Y$452,[1]Input!$A$456:$Y$656)),VLOOKUP($C$4,[1]Input!$AG$2:$AI$99,3,0)+IF(AD$5="Ida",0,1),1),"")</f>
        <v>#N/A</v>
      </c>
      <c r="AL385" s="34" t="str">
        <f>IF(AB386&lt;&gt;AB385,AVERAGEIF(AB$9:AB385,AB385,AK$9:AK385),"")</f>
        <v/>
      </c>
      <c r="AM385" s="35" t="str">
        <f>IFERROR(IF(AB386&lt;&gt;AB385,AVERAGEIF(AB$9:AB385,AB385,AT$9:AT385),""),"")</f>
        <v/>
      </c>
      <c r="AN385" s="35" t="str">
        <f>IFERROR(IF(AB386&lt;&gt;AB385,AVERAGEIF(AB$9:AB385,AB385,AU$9:AU385),""),"")</f>
        <v/>
      </c>
      <c r="AO385" s="35" t="str" cm="1">
        <f t="array" ref="AO385">IFERROR(IF(AB386&lt;&gt;AB385,_xlfn.STDEV.P(IF(AB$9:AB385=AB385,AU$9:AU385)),""),"")</f>
        <v/>
      </c>
      <c r="AP385" s="35" t="str" cm="1">
        <f t="array" ref="AP385">IFERROR(IF(AB386&lt;&gt;AB385,_xlfn.STDEV.P(IF(AB$9:AB385=AB385,AT$9:AT385)),""),"")</f>
        <v/>
      </c>
      <c r="AQ385" s="36" t="str">
        <f t="shared" si="83"/>
        <v/>
      </c>
      <c r="AR385" s="36" t="str">
        <f t="shared" si="84"/>
        <v/>
      </c>
      <c r="AS385" s="36" t="str">
        <f t="shared" si="93"/>
        <v/>
      </c>
      <c r="AT385" s="37" t="str">
        <f t="shared" si="85"/>
        <v/>
      </c>
      <c r="AU385" s="37" t="str">
        <f t="shared" si="86"/>
        <v/>
      </c>
      <c r="AV385" s="54"/>
      <c r="AW385" s="46"/>
      <c r="AX385" s="39" t="str" cm="1">
        <f t="array" ref="AX385">IF(AH385&lt;&gt;"",IF(AND(AX383:AX384&lt;&gt;"IE",AQ385&lt;&gt;0,AS385&lt;&gt;""),IF(IFERROR((AQ385/AS385),0) &lt;=1,IFERROR(AQ385/AS385,""),1),""),"")</f>
        <v/>
      </c>
      <c r="AY385" s="46"/>
      <c r="AZ385" s="57"/>
    </row>
    <row r="386" spans="1:52" ht="15.5" x14ac:dyDescent="0.35">
      <c r="A386" s="51">
        <f t="shared" si="94"/>
        <v>1</v>
      </c>
      <c r="B386" s="52"/>
      <c r="C386" s="52"/>
      <c r="D386" s="29" t="str">
        <f>IFERROR(
IF(AND(OR(Planilla!B386="C",Planilla!B386="c"), VLOOKUP(E386,[1]Diccionario!B:N,13,0)="C"), "OK",IF(AND(OR(Planilla!B386="C",Planilla!B386="c"), OR(VLOOKUP(E386,[1]Diccionario!B:N,13,0)="B", VLOOKUP(E386,[1]Diccionario!B:N,13,0)="A")), "DEFICIT",IF(
AND(OR(Planilla!B386="B", Planilla!B386="BPAL"), VLOOKUP(E386,[1]Diccionario!B:N,13,0)="B"), "OK",IF(AND(OR(Planilla!B386="B", Planilla!B386="BPAL"), VLOOKUP(E386,[1]Diccionario!B:N,13,0)="A"), "DEFICIT",IF(AND(OR(Planilla!B386="B", Planilla!B386="BPAL"), VLOOKUP(E386,[1]Diccionario!B:N,13,0)="C"), "SOBREOFERTA",IF(AND(Planilla!B386="A", VLOOKUP(E386,[1]Diccionario!B:N,13,0)="A"), "OK",IF(
AND(Planilla!B386="A", OR(VLOOKUP(E386,[1]Diccionario!B:N,13,0)="B", VLOOKUP(E386,[1]Diccionario!B:N,13,0)="C")), "SOBREOFERTA",""
))))))),"")</f>
        <v/>
      </c>
      <c r="E386" s="48"/>
      <c r="F386" s="53"/>
      <c r="G386" s="54"/>
      <c r="H386" s="55" t="str">
        <f t="shared" si="87"/>
        <v/>
      </c>
      <c r="I386" s="35"/>
      <c r="J386" s="34" t="e">
        <f>IF(A386&lt;&gt;"",HLOOKUP(VALUE(TEXT(G386,"h:mm:ss")),IF($C$6="Laboral",[1]Input!$A$4:$Y$227,IF($C$6="Sábado",[1]Input!$A$231:$Y$452,[1]Input!$A$456:$Y$656)),VLOOKUP($C$4,[1]Input!$AG$2:$AI$99,3,0)+IF(C$5="Ida",0,1),1),"")</f>
        <v>#N/A</v>
      </c>
      <c r="K386" s="34" t="str">
        <f>IF(A387&lt;&gt;A386,AVERAGEIF(A$9:A386,A386,J$13:J386),"")</f>
        <v/>
      </c>
      <c r="L386" s="35" t="str">
        <f>IFERROR(IF(A387&lt;&gt;A386,AVERAGEIF(A$9:A386,A386,S$13:S386),""),"")</f>
        <v/>
      </c>
      <c r="M386" s="35" t="str">
        <f>IFERROR(IF(A387&lt;&gt;A386,AVERAGEIF(A$9:A386,A386,T$8:T386),""),"")</f>
        <v/>
      </c>
      <c r="N386" s="35" t="str" cm="1">
        <f t="array" ref="N386">IFERROR(IF(A387&lt;&gt;A386,_xlfn.STDEV.P(IF(A$9:A386=A386,T$7:T386)),""),"")</f>
        <v/>
      </c>
      <c r="O386" s="35" t="str" cm="1">
        <f t="array" ref="O386">IFERROR(IF(A387&lt;&gt;A386,_xlfn.STDEV.P(IF(A$9:A386=A386,S$7:S386)),""),"")</f>
        <v/>
      </c>
      <c r="P386" s="36" t="str">
        <f t="shared" si="80"/>
        <v/>
      </c>
      <c r="Q386" s="36" t="str">
        <f t="shared" si="81"/>
        <v/>
      </c>
      <c r="R386" s="36" t="str">
        <f t="shared" si="88"/>
        <v/>
      </c>
      <c r="S386" s="37" t="str">
        <f t="shared" si="89"/>
        <v/>
      </c>
      <c r="T386" s="37" t="str">
        <f t="shared" si="82"/>
        <v/>
      </c>
      <c r="U386" s="54"/>
      <c r="V386" s="46"/>
      <c r="W386" s="39" t="str">
        <f t="shared" si="90"/>
        <v/>
      </c>
      <c r="X386" s="38"/>
      <c r="Y386" s="48"/>
      <c r="AB386" s="56">
        <f t="shared" si="91"/>
        <v>1</v>
      </c>
      <c r="AC386" s="52"/>
      <c r="AD386" s="52"/>
      <c r="AE386" s="29" t="str">
        <f>IFERROR(
IF(AND(OR(AC386="C",AC386="c"), VLOOKUP(AF386,[1]Diccionario!B:N,13,0)="C"), "OK",IF(AND(OR(AC386="C",AC386="c"), OR(VLOOKUP(AF386,[1]Diccionario!B:N,13,0)="B", VLOOKUP(AF386,[1]Diccionario!B:N,13,0)="A")), "DEFICIT",IF(
AND(OR(AC386="B", AC386="BPAL"), VLOOKUP(AF386,[1]Diccionario!B:N,13,0)="B"), "OK",IF(AND(OR(AC386="B", AC386="BPAL"), VLOOKUP(AF386,[1]Diccionario!B:N,13,0)="A"), "DEFICIT",IF(AND(OR(AC386="B", AC386="BPAL"), VLOOKUP(AF386,[1]Diccionario!B:N,13,0)="C"), "SOBREOFERTA",IF(AND(AC386="A", VLOOKUP(AF386,[1]Diccionario!B:N,13,0)="A"), "OK",IF(
AND(AC386="A", OR(VLOOKUP(AF386,[1]Diccionario!B:N,13,0)="B", VLOOKUP(AF386,[1]Diccionario!B:N,13,0)="C")), "SOBREOFERTA",""
))))))),"")</f>
        <v/>
      </c>
      <c r="AF386" s="48"/>
      <c r="AG386" s="53"/>
      <c r="AH386" s="54"/>
      <c r="AI386" s="55" t="str">
        <f t="shared" si="92"/>
        <v/>
      </c>
      <c r="AJ386" s="46"/>
      <c r="AK386" s="34" t="e">
        <f>IF(AB386&lt;&gt;"",HLOOKUP(VALUE(TEXT(AH386,"h:mm:ss")),IF($C$6="Laboral",[1]Input!$A$4:$Y$227,IF($C$6="Sábado",[1]Input!$A$231:$Y$452,[1]Input!$A$456:$Y$656)),VLOOKUP($C$4,[1]Input!$AG$2:$AI$99,3,0)+IF(AD$5="Ida",0,1),1),"")</f>
        <v>#N/A</v>
      </c>
      <c r="AL386" s="34" t="str">
        <f>IF(AB387&lt;&gt;AB386,AVERAGEIF(AB$9:AB386,AB386,AK$9:AK386),"")</f>
        <v/>
      </c>
      <c r="AM386" s="35" t="str">
        <f>IFERROR(IF(AB387&lt;&gt;AB386,AVERAGEIF(AB$9:AB386,AB386,AT$9:AT386),""),"")</f>
        <v/>
      </c>
      <c r="AN386" s="35" t="str">
        <f>IFERROR(IF(AB387&lt;&gt;AB386,AVERAGEIF(AB$9:AB386,AB386,AU$9:AU386),""),"")</f>
        <v/>
      </c>
      <c r="AO386" s="35" t="str" cm="1">
        <f t="array" ref="AO386">IFERROR(IF(AB387&lt;&gt;AB386,_xlfn.STDEV.P(IF(AB$9:AB386=AB386,AU$9:AU386)),""),"")</f>
        <v/>
      </c>
      <c r="AP386" s="35" t="str" cm="1">
        <f t="array" ref="AP386">IFERROR(IF(AB387&lt;&gt;AB386,_xlfn.STDEV.P(IF(AB$9:AB386=AB386,AT$9:AT386)),""),"")</f>
        <v/>
      </c>
      <c r="AQ386" s="36" t="str">
        <f t="shared" si="83"/>
        <v/>
      </c>
      <c r="AR386" s="36" t="str">
        <f t="shared" si="84"/>
        <v/>
      </c>
      <c r="AS386" s="36" t="str">
        <f t="shared" si="93"/>
        <v/>
      </c>
      <c r="AT386" s="37" t="str">
        <f t="shared" si="85"/>
        <v/>
      </c>
      <c r="AU386" s="37" t="str">
        <f t="shared" si="86"/>
        <v/>
      </c>
      <c r="AV386" s="54"/>
      <c r="AW386" s="46"/>
      <c r="AX386" s="39" t="str" cm="1">
        <f t="array" ref="AX386">IF(AH386&lt;&gt;"",IF(AND(AX384:AX385&lt;&gt;"IE",AQ386&lt;&gt;0,AS386&lt;&gt;""),IF(IFERROR((AQ386/AS386),0) &lt;=1,IFERROR(AQ386/AS386,""),1),""),"")</f>
        <v/>
      </c>
      <c r="AY386" s="46"/>
      <c r="AZ386" s="57"/>
    </row>
    <row r="387" spans="1:52" ht="15.5" x14ac:dyDescent="0.35">
      <c r="A387" s="51">
        <f t="shared" si="94"/>
        <v>1</v>
      </c>
      <c r="B387" s="52"/>
      <c r="C387" s="52"/>
      <c r="D387" s="29" t="str">
        <f>IFERROR(
IF(AND(OR(Planilla!B387="C",Planilla!B387="c"), VLOOKUP(E387,[1]Diccionario!B:N,13,0)="C"), "OK",IF(AND(OR(Planilla!B387="C",Planilla!B387="c"), OR(VLOOKUP(E387,[1]Diccionario!B:N,13,0)="B", VLOOKUP(E387,[1]Diccionario!B:N,13,0)="A")), "DEFICIT",IF(
AND(OR(Planilla!B387="B", Planilla!B387="BPAL"), VLOOKUP(E387,[1]Diccionario!B:N,13,0)="B"), "OK",IF(AND(OR(Planilla!B387="B", Planilla!B387="BPAL"), VLOOKUP(E387,[1]Diccionario!B:N,13,0)="A"), "DEFICIT",IF(AND(OR(Planilla!B387="B", Planilla!B387="BPAL"), VLOOKUP(E387,[1]Diccionario!B:N,13,0)="C"), "SOBREOFERTA",IF(AND(Planilla!B387="A", VLOOKUP(E387,[1]Diccionario!B:N,13,0)="A"), "OK",IF(
AND(Planilla!B387="A", OR(VLOOKUP(E387,[1]Diccionario!B:N,13,0)="B", VLOOKUP(E387,[1]Diccionario!B:N,13,0)="C")), "SOBREOFERTA",""
))))))),"")</f>
        <v/>
      </c>
      <c r="E387" s="48"/>
      <c r="F387" s="53"/>
      <c r="G387" s="54"/>
      <c r="H387" s="55" t="str">
        <f t="shared" si="87"/>
        <v/>
      </c>
      <c r="I387" s="35"/>
      <c r="J387" s="34" t="e">
        <f>IF(A387&lt;&gt;"",HLOOKUP(VALUE(TEXT(G387,"h:mm:ss")),IF($C$6="Laboral",[1]Input!$A$4:$Y$227,IF($C$6="Sábado",[1]Input!$A$231:$Y$452,[1]Input!$A$456:$Y$656)),VLOOKUP($C$4,[1]Input!$AG$2:$AI$99,3,0)+IF(C$5="Ida",0,1),1),"")</f>
        <v>#N/A</v>
      </c>
      <c r="K387" s="34" t="str">
        <f>IF(A388&lt;&gt;A387,AVERAGEIF(A$9:A387,A387,J$13:J387),"")</f>
        <v/>
      </c>
      <c r="L387" s="35" t="str">
        <f>IFERROR(IF(A388&lt;&gt;A387,AVERAGEIF(A$9:A387,A387,S$13:S387),""),"")</f>
        <v/>
      </c>
      <c r="M387" s="35" t="str">
        <f>IFERROR(IF(A388&lt;&gt;A387,AVERAGEIF(A$9:A387,A387,T$8:T387),""),"")</f>
        <v/>
      </c>
      <c r="N387" s="35" t="str" cm="1">
        <f t="array" ref="N387">IFERROR(IF(A388&lt;&gt;A387,_xlfn.STDEV.P(IF(A$9:A387=A387,T$7:T387)),""),"")</f>
        <v/>
      </c>
      <c r="O387" s="35" t="str" cm="1">
        <f t="array" ref="O387">IFERROR(IF(A388&lt;&gt;A387,_xlfn.STDEV.P(IF(A$9:A387=A387,S$7:S387)),""),"")</f>
        <v/>
      </c>
      <c r="P387" s="36" t="str">
        <f t="shared" si="80"/>
        <v/>
      </c>
      <c r="Q387" s="36" t="str">
        <f t="shared" si="81"/>
        <v/>
      </c>
      <c r="R387" s="36" t="str">
        <f t="shared" si="88"/>
        <v/>
      </c>
      <c r="S387" s="37" t="str">
        <f t="shared" si="89"/>
        <v/>
      </c>
      <c r="T387" s="37" t="str">
        <f t="shared" si="82"/>
        <v/>
      </c>
      <c r="U387" s="54"/>
      <c r="V387" s="46"/>
      <c r="W387" s="39" t="str">
        <f t="shared" si="90"/>
        <v/>
      </c>
      <c r="X387" s="38"/>
      <c r="Y387" s="48"/>
      <c r="AB387" s="56">
        <f t="shared" si="91"/>
        <v>1</v>
      </c>
      <c r="AC387" s="52"/>
      <c r="AD387" s="52"/>
      <c r="AE387" s="29" t="str">
        <f>IFERROR(
IF(AND(OR(AC387="C",AC387="c"), VLOOKUP(AF387,[1]Diccionario!B:N,13,0)="C"), "OK",IF(AND(OR(AC387="C",AC387="c"), OR(VLOOKUP(AF387,[1]Diccionario!B:N,13,0)="B", VLOOKUP(AF387,[1]Diccionario!B:N,13,0)="A")), "DEFICIT",IF(
AND(OR(AC387="B", AC387="BPAL"), VLOOKUP(AF387,[1]Diccionario!B:N,13,0)="B"), "OK",IF(AND(OR(AC387="B", AC387="BPAL"), VLOOKUP(AF387,[1]Diccionario!B:N,13,0)="A"), "DEFICIT",IF(AND(OR(AC387="B", AC387="BPAL"), VLOOKUP(AF387,[1]Diccionario!B:N,13,0)="C"), "SOBREOFERTA",IF(AND(AC387="A", VLOOKUP(AF387,[1]Diccionario!B:N,13,0)="A"), "OK",IF(
AND(AC387="A", OR(VLOOKUP(AF387,[1]Diccionario!B:N,13,0)="B", VLOOKUP(AF387,[1]Diccionario!B:N,13,0)="C")), "SOBREOFERTA",""
))))))),"")</f>
        <v/>
      </c>
      <c r="AF387" s="48"/>
      <c r="AG387" s="53"/>
      <c r="AH387" s="54"/>
      <c r="AI387" s="55" t="str">
        <f t="shared" si="92"/>
        <v/>
      </c>
      <c r="AJ387" s="46"/>
      <c r="AK387" s="34" t="e">
        <f>IF(AB387&lt;&gt;"",HLOOKUP(VALUE(TEXT(AH387,"h:mm:ss")),IF($C$6="Laboral",[1]Input!$A$4:$Y$227,IF($C$6="Sábado",[1]Input!$A$231:$Y$452,[1]Input!$A$456:$Y$656)),VLOOKUP($C$4,[1]Input!$AG$2:$AI$99,3,0)+IF(AD$5="Ida",0,1),1),"")</f>
        <v>#N/A</v>
      </c>
      <c r="AL387" s="34" t="str">
        <f>IF(AB388&lt;&gt;AB387,AVERAGEIF(AB$9:AB387,AB387,AK$9:AK387),"")</f>
        <v/>
      </c>
      <c r="AM387" s="35" t="str">
        <f>IFERROR(IF(AB388&lt;&gt;AB387,AVERAGEIF(AB$9:AB387,AB387,AT$9:AT387),""),"")</f>
        <v/>
      </c>
      <c r="AN387" s="35" t="str">
        <f>IFERROR(IF(AB388&lt;&gt;AB387,AVERAGEIF(AB$9:AB387,AB387,AU$9:AU387),""),"")</f>
        <v/>
      </c>
      <c r="AO387" s="35" t="str" cm="1">
        <f t="array" ref="AO387">IFERROR(IF(AB388&lt;&gt;AB387,_xlfn.STDEV.P(IF(AB$9:AB387=AB387,AU$9:AU387)),""),"")</f>
        <v/>
      </c>
      <c r="AP387" s="35" t="str" cm="1">
        <f t="array" ref="AP387">IFERROR(IF(AB388&lt;&gt;AB387,_xlfn.STDEV.P(IF(AB$9:AB387=AB387,AT$9:AT387)),""),"")</f>
        <v/>
      </c>
      <c r="AQ387" s="36" t="str">
        <f t="shared" si="83"/>
        <v/>
      </c>
      <c r="AR387" s="36" t="str">
        <f t="shared" si="84"/>
        <v/>
      </c>
      <c r="AS387" s="36" t="str">
        <f t="shared" si="93"/>
        <v/>
      </c>
      <c r="AT387" s="37" t="str">
        <f t="shared" si="85"/>
        <v/>
      </c>
      <c r="AU387" s="37" t="str">
        <f t="shared" si="86"/>
        <v/>
      </c>
      <c r="AV387" s="54"/>
      <c r="AW387" s="46"/>
      <c r="AX387" s="39" t="str" cm="1">
        <f t="array" ref="AX387">IF(AH387&lt;&gt;"",IF(AND(AX385:AX386&lt;&gt;"IE",AQ387&lt;&gt;0,AS387&lt;&gt;""),IF(IFERROR((AQ387/AS387),0) &lt;=1,IFERROR(AQ387/AS387,""),1),""),"")</f>
        <v/>
      </c>
      <c r="AY387" s="46"/>
      <c r="AZ387" s="57"/>
    </row>
    <row r="388" spans="1:52" ht="15.5" x14ac:dyDescent="0.35">
      <c r="A388" s="51">
        <f t="shared" si="94"/>
        <v>1</v>
      </c>
      <c r="B388" s="52"/>
      <c r="C388" s="52"/>
      <c r="D388" s="29" t="str">
        <f>IFERROR(
IF(AND(OR(Planilla!B388="C",Planilla!B388="c"), VLOOKUP(E388,[1]Diccionario!B:N,13,0)="C"), "OK",IF(AND(OR(Planilla!B388="C",Planilla!B388="c"), OR(VLOOKUP(E388,[1]Diccionario!B:N,13,0)="B", VLOOKUP(E388,[1]Diccionario!B:N,13,0)="A")), "DEFICIT",IF(
AND(OR(Planilla!B388="B", Planilla!B388="BPAL"), VLOOKUP(E388,[1]Diccionario!B:N,13,0)="B"), "OK",IF(AND(OR(Planilla!B388="B", Planilla!B388="BPAL"), VLOOKUP(E388,[1]Diccionario!B:N,13,0)="A"), "DEFICIT",IF(AND(OR(Planilla!B388="B", Planilla!B388="BPAL"), VLOOKUP(E388,[1]Diccionario!B:N,13,0)="C"), "SOBREOFERTA",IF(AND(Planilla!B388="A", VLOOKUP(E388,[1]Diccionario!B:N,13,0)="A"), "OK",IF(
AND(Planilla!B388="A", OR(VLOOKUP(E388,[1]Diccionario!B:N,13,0)="B", VLOOKUP(E388,[1]Diccionario!B:N,13,0)="C")), "SOBREOFERTA",""
))))))),"")</f>
        <v/>
      </c>
      <c r="E388" s="48"/>
      <c r="F388" s="53"/>
      <c r="G388" s="54"/>
      <c r="H388" s="55" t="str">
        <f t="shared" si="87"/>
        <v/>
      </c>
      <c r="I388" s="35"/>
      <c r="J388" s="34" t="e">
        <f>IF(A388&lt;&gt;"",HLOOKUP(VALUE(TEXT(G388,"h:mm:ss")),IF($C$6="Laboral",[1]Input!$A$4:$Y$227,IF($C$6="Sábado",[1]Input!$A$231:$Y$452,[1]Input!$A$456:$Y$656)),VLOOKUP($C$4,[1]Input!$AG$2:$AI$99,3,0)+IF(C$5="Ida",0,1),1),"")</f>
        <v>#N/A</v>
      </c>
      <c r="K388" s="34" t="str">
        <f>IF(A389&lt;&gt;A388,AVERAGEIF(A$9:A388,A388,J$13:J388),"")</f>
        <v/>
      </c>
      <c r="L388" s="35" t="str">
        <f>IFERROR(IF(A389&lt;&gt;A388,AVERAGEIF(A$9:A388,A388,S$13:S388),""),"")</f>
        <v/>
      </c>
      <c r="M388" s="35" t="str">
        <f>IFERROR(IF(A389&lt;&gt;A388,AVERAGEIF(A$9:A388,A388,T$8:T388),""),"")</f>
        <v/>
      </c>
      <c r="N388" s="35" t="str" cm="1">
        <f t="array" ref="N388">IFERROR(IF(A389&lt;&gt;A388,_xlfn.STDEV.P(IF(A$9:A388=A388,T$7:T388)),""),"")</f>
        <v/>
      </c>
      <c r="O388" s="35" t="str" cm="1">
        <f t="array" ref="O388">IFERROR(IF(A389&lt;&gt;A388,_xlfn.STDEV.P(IF(A$9:A388=A388,S$7:S388)),""),"")</f>
        <v/>
      </c>
      <c r="P388" s="36" t="str">
        <f t="shared" si="80"/>
        <v/>
      </c>
      <c r="Q388" s="36" t="str">
        <f t="shared" si="81"/>
        <v/>
      </c>
      <c r="R388" s="36" t="str">
        <f t="shared" si="88"/>
        <v/>
      </c>
      <c r="S388" s="37" t="str">
        <f t="shared" si="89"/>
        <v/>
      </c>
      <c r="T388" s="37" t="str">
        <f t="shared" si="82"/>
        <v/>
      </c>
      <c r="U388" s="54"/>
      <c r="V388" s="46"/>
      <c r="W388" s="39" t="str">
        <f t="shared" si="90"/>
        <v/>
      </c>
      <c r="X388" s="38"/>
      <c r="Y388" s="48"/>
      <c r="AB388" s="56">
        <f t="shared" si="91"/>
        <v>1</v>
      </c>
      <c r="AC388" s="52"/>
      <c r="AD388" s="52"/>
      <c r="AE388" s="29" t="str">
        <f>IFERROR(
IF(AND(OR(AC388="C",AC388="c"), VLOOKUP(AF388,[1]Diccionario!B:N,13,0)="C"), "OK",IF(AND(OR(AC388="C",AC388="c"), OR(VLOOKUP(AF388,[1]Diccionario!B:N,13,0)="B", VLOOKUP(AF388,[1]Diccionario!B:N,13,0)="A")), "DEFICIT",IF(
AND(OR(AC388="B", AC388="BPAL"), VLOOKUP(AF388,[1]Diccionario!B:N,13,0)="B"), "OK",IF(AND(OR(AC388="B", AC388="BPAL"), VLOOKUP(AF388,[1]Diccionario!B:N,13,0)="A"), "DEFICIT",IF(AND(OR(AC388="B", AC388="BPAL"), VLOOKUP(AF388,[1]Diccionario!B:N,13,0)="C"), "SOBREOFERTA",IF(AND(AC388="A", VLOOKUP(AF388,[1]Diccionario!B:N,13,0)="A"), "OK",IF(
AND(AC388="A", OR(VLOOKUP(AF388,[1]Diccionario!B:N,13,0)="B", VLOOKUP(AF388,[1]Diccionario!B:N,13,0)="C")), "SOBREOFERTA",""
))))))),"")</f>
        <v/>
      </c>
      <c r="AF388" s="48"/>
      <c r="AG388" s="53"/>
      <c r="AH388" s="54"/>
      <c r="AI388" s="55" t="str">
        <f t="shared" si="92"/>
        <v/>
      </c>
      <c r="AJ388" s="46"/>
      <c r="AK388" s="34" t="e">
        <f>IF(AB388&lt;&gt;"",HLOOKUP(VALUE(TEXT(AH388,"h:mm:ss")),IF($C$6="Laboral",[1]Input!$A$4:$Y$227,IF($C$6="Sábado",[1]Input!$A$231:$Y$452,[1]Input!$A$456:$Y$656)),VLOOKUP($C$4,[1]Input!$AG$2:$AI$99,3,0)+IF(AD$5="Ida",0,1),1),"")</f>
        <v>#N/A</v>
      </c>
      <c r="AL388" s="34" t="str">
        <f>IF(AB389&lt;&gt;AB388,AVERAGEIF(AB$9:AB388,AB388,AK$9:AK388),"")</f>
        <v/>
      </c>
      <c r="AM388" s="35" t="str">
        <f>IFERROR(IF(AB389&lt;&gt;AB388,AVERAGEIF(AB$9:AB388,AB388,AT$9:AT388),""),"")</f>
        <v/>
      </c>
      <c r="AN388" s="35" t="str">
        <f>IFERROR(IF(AB389&lt;&gt;AB388,AVERAGEIF(AB$9:AB388,AB388,AU$9:AU388),""),"")</f>
        <v/>
      </c>
      <c r="AO388" s="35" t="str" cm="1">
        <f t="array" ref="AO388">IFERROR(IF(AB389&lt;&gt;AB388,_xlfn.STDEV.P(IF(AB$9:AB388=AB388,AU$9:AU388)),""),"")</f>
        <v/>
      </c>
      <c r="AP388" s="35" t="str" cm="1">
        <f t="array" ref="AP388">IFERROR(IF(AB389&lt;&gt;AB388,_xlfn.STDEV.P(IF(AB$9:AB388=AB388,AT$9:AT388)),""),"")</f>
        <v/>
      </c>
      <c r="AQ388" s="36" t="str">
        <f t="shared" si="83"/>
        <v/>
      </c>
      <c r="AR388" s="36" t="str">
        <f t="shared" si="84"/>
        <v/>
      </c>
      <c r="AS388" s="36" t="str">
        <f t="shared" si="93"/>
        <v/>
      </c>
      <c r="AT388" s="37" t="str">
        <f t="shared" si="85"/>
        <v/>
      </c>
      <c r="AU388" s="37" t="str">
        <f t="shared" si="86"/>
        <v/>
      </c>
      <c r="AV388" s="54"/>
      <c r="AW388" s="46"/>
      <c r="AX388" s="39" t="str" cm="1">
        <f t="array" ref="AX388">IF(AH388&lt;&gt;"",IF(AND(AX386:AX387&lt;&gt;"IE",AQ388&lt;&gt;0,AS388&lt;&gt;""),IF(IFERROR((AQ388/AS388),0) &lt;=1,IFERROR(AQ388/AS388,""),1),""),"")</f>
        <v/>
      </c>
      <c r="AY388" s="46"/>
      <c r="AZ388" s="57"/>
    </row>
    <row r="389" spans="1:52" ht="15.5" x14ac:dyDescent="0.35">
      <c r="A389" s="51">
        <f t="shared" si="94"/>
        <v>1</v>
      </c>
      <c r="B389" s="52"/>
      <c r="C389" s="52"/>
      <c r="D389" s="29" t="str">
        <f>IFERROR(
IF(AND(OR(Planilla!B389="C",Planilla!B389="c"), VLOOKUP(E389,[1]Diccionario!B:N,13,0)="C"), "OK",IF(AND(OR(Planilla!B389="C",Planilla!B389="c"), OR(VLOOKUP(E389,[1]Diccionario!B:N,13,0)="B", VLOOKUP(E389,[1]Diccionario!B:N,13,0)="A")), "DEFICIT",IF(
AND(OR(Planilla!B389="B", Planilla!B389="BPAL"), VLOOKUP(E389,[1]Diccionario!B:N,13,0)="B"), "OK",IF(AND(OR(Planilla!B389="B", Planilla!B389="BPAL"), VLOOKUP(E389,[1]Diccionario!B:N,13,0)="A"), "DEFICIT",IF(AND(OR(Planilla!B389="B", Planilla!B389="BPAL"), VLOOKUP(E389,[1]Diccionario!B:N,13,0)="C"), "SOBREOFERTA",IF(AND(Planilla!B389="A", VLOOKUP(E389,[1]Diccionario!B:N,13,0)="A"), "OK",IF(
AND(Planilla!B389="A", OR(VLOOKUP(E389,[1]Diccionario!B:N,13,0)="B", VLOOKUP(E389,[1]Diccionario!B:N,13,0)="C")), "SOBREOFERTA",""
))))))),"")</f>
        <v/>
      </c>
      <c r="E389" s="48"/>
      <c r="F389" s="53"/>
      <c r="G389" s="54"/>
      <c r="H389" s="55" t="str">
        <f t="shared" si="87"/>
        <v/>
      </c>
      <c r="I389" s="35"/>
      <c r="J389" s="34" t="e">
        <f>IF(A389&lt;&gt;"",HLOOKUP(VALUE(TEXT(G389,"h:mm:ss")),IF($C$6="Laboral",[1]Input!$A$4:$Y$227,IF($C$6="Sábado",[1]Input!$A$231:$Y$452,[1]Input!$A$456:$Y$656)),VLOOKUP($C$4,[1]Input!$AG$2:$AI$99,3,0)+IF(C$5="Ida",0,1),1),"")</f>
        <v>#N/A</v>
      </c>
      <c r="K389" s="34" t="str">
        <f>IF(A390&lt;&gt;A389,AVERAGEIF(A$9:A389,A389,J$13:J389),"")</f>
        <v/>
      </c>
      <c r="L389" s="35" t="str">
        <f>IFERROR(IF(A390&lt;&gt;A389,AVERAGEIF(A$9:A389,A389,S$13:S389),""),"")</f>
        <v/>
      </c>
      <c r="M389" s="35" t="str">
        <f>IFERROR(IF(A390&lt;&gt;A389,AVERAGEIF(A$9:A389,A389,T$8:T389),""),"")</f>
        <v/>
      </c>
      <c r="N389" s="35" t="str" cm="1">
        <f t="array" ref="N389">IFERROR(IF(A390&lt;&gt;A389,_xlfn.STDEV.P(IF(A$9:A389=A389,T$7:T389)),""),"")</f>
        <v/>
      </c>
      <c r="O389" s="35" t="str" cm="1">
        <f t="array" ref="O389">IFERROR(IF(A390&lt;&gt;A389,_xlfn.STDEV.P(IF(A$9:A389=A389,S$7:S389)),""),"")</f>
        <v/>
      </c>
      <c r="P389" s="36" t="str">
        <f t="shared" si="80"/>
        <v/>
      </c>
      <c r="Q389" s="36" t="str">
        <f t="shared" si="81"/>
        <v/>
      </c>
      <c r="R389" s="36" t="str">
        <f t="shared" si="88"/>
        <v/>
      </c>
      <c r="S389" s="37" t="str">
        <f t="shared" si="89"/>
        <v/>
      </c>
      <c r="T389" s="37" t="str">
        <f t="shared" si="82"/>
        <v/>
      </c>
      <c r="U389" s="54"/>
      <c r="V389" s="46"/>
      <c r="W389" s="39" t="str">
        <f t="shared" si="90"/>
        <v/>
      </c>
      <c r="X389" s="38"/>
      <c r="Y389" s="48"/>
      <c r="AB389" s="56">
        <f t="shared" si="91"/>
        <v>1</v>
      </c>
      <c r="AC389" s="52"/>
      <c r="AD389" s="52"/>
      <c r="AE389" s="29" t="str">
        <f>IFERROR(
IF(AND(OR(AC389="C",AC389="c"), VLOOKUP(AF389,[1]Diccionario!B:N,13,0)="C"), "OK",IF(AND(OR(AC389="C",AC389="c"), OR(VLOOKUP(AF389,[1]Diccionario!B:N,13,0)="B", VLOOKUP(AF389,[1]Diccionario!B:N,13,0)="A")), "DEFICIT",IF(
AND(OR(AC389="B", AC389="BPAL"), VLOOKUP(AF389,[1]Diccionario!B:N,13,0)="B"), "OK",IF(AND(OR(AC389="B", AC389="BPAL"), VLOOKUP(AF389,[1]Diccionario!B:N,13,0)="A"), "DEFICIT",IF(AND(OR(AC389="B", AC389="BPAL"), VLOOKUP(AF389,[1]Diccionario!B:N,13,0)="C"), "SOBREOFERTA",IF(AND(AC389="A", VLOOKUP(AF389,[1]Diccionario!B:N,13,0)="A"), "OK",IF(
AND(AC389="A", OR(VLOOKUP(AF389,[1]Diccionario!B:N,13,0)="B", VLOOKUP(AF389,[1]Diccionario!B:N,13,0)="C")), "SOBREOFERTA",""
))))))),"")</f>
        <v/>
      </c>
      <c r="AF389" s="48"/>
      <c r="AG389" s="53"/>
      <c r="AH389" s="54"/>
      <c r="AI389" s="55" t="str">
        <f t="shared" si="92"/>
        <v/>
      </c>
      <c r="AJ389" s="46"/>
      <c r="AK389" s="34" t="e">
        <f>IF(AB389&lt;&gt;"",HLOOKUP(VALUE(TEXT(AH389,"h:mm:ss")),IF($C$6="Laboral",[1]Input!$A$4:$Y$227,IF($C$6="Sábado",[1]Input!$A$231:$Y$452,[1]Input!$A$456:$Y$656)),VLOOKUP($C$4,[1]Input!$AG$2:$AI$99,3,0)+IF(AD$5="Ida",0,1),1),"")</f>
        <v>#N/A</v>
      </c>
      <c r="AL389" s="34" t="str">
        <f>IF(AB390&lt;&gt;AB389,AVERAGEIF(AB$9:AB389,AB389,AK$9:AK389),"")</f>
        <v/>
      </c>
      <c r="AM389" s="35" t="str">
        <f>IFERROR(IF(AB390&lt;&gt;AB389,AVERAGEIF(AB$9:AB389,AB389,AT$9:AT389),""),"")</f>
        <v/>
      </c>
      <c r="AN389" s="35" t="str">
        <f>IFERROR(IF(AB390&lt;&gt;AB389,AVERAGEIF(AB$9:AB389,AB389,AU$9:AU389),""),"")</f>
        <v/>
      </c>
      <c r="AO389" s="35" t="str" cm="1">
        <f t="array" ref="AO389">IFERROR(IF(AB390&lt;&gt;AB389,_xlfn.STDEV.P(IF(AB$9:AB389=AB389,AU$9:AU389)),""),"")</f>
        <v/>
      </c>
      <c r="AP389" s="35" t="str" cm="1">
        <f t="array" ref="AP389">IFERROR(IF(AB390&lt;&gt;AB389,_xlfn.STDEV.P(IF(AB$9:AB389=AB389,AT$9:AT389)),""),"")</f>
        <v/>
      </c>
      <c r="AQ389" s="36" t="str">
        <f t="shared" si="83"/>
        <v/>
      </c>
      <c r="AR389" s="36" t="str">
        <f t="shared" si="84"/>
        <v/>
      </c>
      <c r="AS389" s="36" t="str">
        <f t="shared" si="93"/>
        <v/>
      </c>
      <c r="AT389" s="37" t="str">
        <f t="shared" si="85"/>
        <v/>
      </c>
      <c r="AU389" s="37" t="str">
        <f t="shared" si="86"/>
        <v/>
      </c>
      <c r="AV389" s="54"/>
      <c r="AW389" s="46"/>
      <c r="AX389" s="39" t="str" cm="1">
        <f t="array" ref="AX389">IF(AH389&lt;&gt;"",IF(AND(AX387:AX388&lt;&gt;"IE",AQ389&lt;&gt;0,AS389&lt;&gt;""),IF(IFERROR((AQ389/AS389),0) &lt;=1,IFERROR(AQ389/AS389,""),1),""),"")</f>
        <v/>
      </c>
      <c r="AY389" s="46"/>
      <c r="AZ389" s="57"/>
    </row>
    <row r="390" spans="1:52" ht="15.5" x14ac:dyDescent="0.35">
      <c r="A390" s="51">
        <f t="shared" si="94"/>
        <v>1</v>
      </c>
      <c r="B390" s="52"/>
      <c r="C390" s="52"/>
      <c r="D390" s="29" t="str">
        <f>IFERROR(
IF(AND(OR(Planilla!B390="C",Planilla!B390="c"), VLOOKUP(E390,[1]Diccionario!B:N,13,0)="C"), "OK",IF(AND(OR(Planilla!B390="C",Planilla!B390="c"), OR(VLOOKUP(E390,[1]Diccionario!B:N,13,0)="B", VLOOKUP(E390,[1]Diccionario!B:N,13,0)="A")), "DEFICIT",IF(
AND(OR(Planilla!B390="B", Planilla!B390="BPAL"), VLOOKUP(E390,[1]Diccionario!B:N,13,0)="B"), "OK",IF(AND(OR(Planilla!B390="B", Planilla!B390="BPAL"), VLOOKUP(E390,[1]Diccionario!B:N,13,0)="A"), "DEFICIT",IF(AND(OR(Planilla!B390="B", Planilla!B390="BPAL"), VLOOKUP(E390,[1]Diccionario!B:N,13,0)="C"), "SOBREOFERTA",IF(AND(Planilla!B390="A", VLOOKUP(E390,[1]Diccionario!B:N,13,0)="A"), "OK",IF(
AND(Planilla!B390="A", OR(VLOOKUP(E390,[1]Diccionario!B:N,13,0)="B", VLOOKUP(E390,[1]Diccionario!B:N,13,0)="C")), "SOBREOFERTA",""
))))))),"")</f>
        <v/>
      </c>
      <c r="E390" s="48"/>
      <c r="F390" s="53"/>
      <c r="G390" s="54"/>
      <c r="H390" s="55" t="str">
        <f t="shared" si="87"/>
        <v/>
      </c>
      <c r="I390" s="35"/>
      <c r="J390" s="34" t="e">
        <f>IF(A390&lt;&gt;"",HLOOKUP(VALUE(TEXT(G390,"h:mm:ss")),IF($C$6="Laboral",[1]Input!$A$4:$Y$227,IF($C$6="Sábado",[1]Input!$A$231:$Y$452,[1]Input!$A$456:$Y$656)),VLOOKUP($C$4,[1]Input!$AG$2:$AI$99,3,0)+IF(C$5="Ida",0,1),1),"")</f>
        <v>#N/A</v>
      </c>
      <c r="K390" s="34" t="str">
        <f>IF(A391&lt;&gt;A390,AVERAGEIF(A$9:A390,A390,J$13:J390),"")</f>
        <v/>
      </c>
      <c r="L390" s="35" t="str">
        <f>IFERROR(IF(A391&lt;&gt;A390,AVERAGEIF(A$9:A390,A390,S$13:S390),""),"")</f>
        <v/>
      </c>
      <c r="M390" s="35" t="str">
        <f>IFERROR(IF(A391&lt;&gt;A390,AVERAGEIF(A$9:A390,A390,T$8:T390),""),"")</f>
        <v/>
      </c>
      <c r="N390" s="35" t="str" cm="1">
        <f t="array" ref="N390">IFERROR(IF(A391&lt;&gt;A390,_xlfn.STDEV.P(IF(A$9:A390=A390,T$7:T390)),""),"")</f>
        <v/>
      </c>
      <c r="O390" s="35" t="str" cm="1">
        <f t="array" ref="O390">IFERROR(IF(A391&lt;&gt;A390,_xlfn.STDEV.P(IF(A$9:A390=A390,S$7:S390)),""),"")</f>
        <v/>
      </c>
      <c r="P390" s="36" t="str">
        <f t="shared" si="80"/>
        <v/>
      </c>
      <c r="Q390" s="36" t="str">
        <f t="shared" si="81"/>
        <v/>
      </c>
      <c r="R390" s="36" t="str">
        <f t="shared" si="88"/>
        <v/>
      </c>
      <c r="S390" s="37" t="str">
        <f t="shared" si="89"/>
        <v/>
      </c>
      <c r="T390" s="37" t="str">
        <f t="shared" si="82"/>
        <v/>
      </c>
      <c r="U390" s="54"/>
      <c r="V390" s="46"/>
      <c r="W390" s="39" t="str">
        <f t="shared" si="90"/>
        <v/>
      </c>
      <c r="X390" s="38"/>
      <c r="Y390" s="48"/>
      <c r="AB390" s="56">
        <f t="shared" si="91"/>
        <v>1</v>
      </c>
      <c r="AC390" s="52"/>
      <c r="AD390" s="52"/>
      <c r="AE390" s="29" t="str">
        <f>IFERROR(
IF(AND(OR(AC390="C",AC390="c"), VLOOKUP(AF390,[1]Diccionario!B:N,13,0)="C"), "OK",IF(AND(OR(AC390="C",AC390="c"), OR(VLOOKUP(AF390,[1]Diccionario!B:N,13,0)="B", VLOOKUP(AF390,[1]Diccionario!B:N,13,0)="A")), "DEFICIT",IF(
AND(OR(AC390="B", AC390="BPAL"), VLOOKUP(AF390,[1]Diccionario!B:N,13,0)="B"), "OK",IF(AND(OR(AC390="B", AC390="BPAL"), VLOOKUP(AF390,[1]Diccionario!B:N,13,0)="A"), "DEFICIT",IF(AND(OR(AC390="B", AC390="BPAL"), VLOOKUP(AF390,[1]Diccionario!B:N,13,0)="C"), "SOBREOFERTA",IF(AND(AC390="A", VLOOKUP(AF390,[1]Diccionario!B:N,13,0)="A"), "OK",IF(
AND(AC390="A", OR(VLOOKUP(AF390,[1]Diccionario!B:N,13,0)="B", VLOOKUP(AF390,[1]Diccionario!B:N,13,0)="C")), "SOBREOFERTA",""
))))))),"")</f>
        <v/>
      </c>
      <c r="AF390" s="48"/>
      <c r="AG390" s="53"/>
      <c r="AH390" s="54"/>
      <c r="AI390" s="55" t="str">
        <f t="shared" si="92"/>
        <v/>
      </c>
      <c r="AJ390" s="46"/>
      <c r="AK390" s="34" t="e">
        <f>IF(AB390&lt;&gt;"",HLOOKUP(VALUE(TEXT(AH390,"h:mm:ss")),IF($C$6="Laboral",[1]Input!$A$4:$Y$227,IF($C$6="Sábado",[1]Input!$A$231:$Y$452,[1]Input!$A$456:$Y$656)),VLOOKUP($C$4,[1]Input!$AG$2:$AI$99,3,0)+IF(AD$5="Ida",0,1),1),"")</f>
        <v>#N/A</v>
      </c>
      <c r="AL390" s="34" t="str">
        <f>IF(AB391&lt;&gt;AB390,AVERAGEIF(AB$9:AB390,AB390,AK$9:AK390),"")</f>
        <v/>
      </c>
      <c r="AM390" s="35" t="str">
        <f>IFERROR(IF(AB391&lt;&gt;AB390,AVERAGEIF(AB$9:AB390,AB390,AT$9:AT390),""),"")</f>
        <v/>
      </c>
      <c r="AN390" s="35" t="str">
        <f>IFERROR(IF(AB391&lt;&gt;AB390,AVERAGEIF(AB$9:AB390,AB390,AU$9:AU390),""),"")</f>
        <v/>
      </c>
      <c r="AO390" s="35" t="str" cm="1">
        <f t="array" ref="AO390">IFERROR(IF(AB391&lt;&gt;AB390,_xlfn.STDEV.P(IF(AB$9:AB390=AB390,AU$9:AU390)),""),"")</f>
        <v/>
      </c>
      <c r="AP390" s="35" t="str" cm="1">
        <f t="array" ref="AP390">IFERROR(IF(AB391&lt;&gt;AB390,_xlfn.STDEV.P(IF(AB$9:AB390=AB390,AT$9:AT390)),""),"")</f>
        <v/>
      </c>
      <c r="AQ390" s="36" t="str">
        <f t="shared" si="83"/>
        <v/>
      </c>
      <c r="AR390" s="36" t="str">
        <f t="shared" si="84"/>
        <v/>
      </c>
      <c r="AS390" s="36" t="str">
        <f t="shared" si="93"/>
        <v/>
      </c>
      <c r="AT390" s="37" t="str">
        <f t="shared" si="85"/>
        <v/>
      </c>
      <c r="AU390" s="37" t="str">
        <f t="shared" si="86"/>
        <v/>
      </c>
      <c r="AV390" s="54"/>
      <c r="AW390" s="46"/>
      <c r="AX390" s="39" t="str" cm="1">
        <f t="array" ref="AX390">IF(AH390&lt;&gt;"",IF(AND(AX388:AX389&lt;&gt;"IE",AQ390&lt;&gt;0,AS390&lt;&gt;""),IF(IFERROR((AQ390/AS390),0) &lt;=1,IFERROR(AQ390/AS390,""),1),""),"")</f>
        <v/>
      </c>
      <c r="AY390" s="46"/>
      <c r="AZ390" s="57"/>
    </row>
    <row r="391" spans="1:52" ht="15.5" x14ac:dyDescent="0.35">
      <c r="A391" s="51">
        <f t="shared" si="94"/>
        <v>1</v>
      </c>
      <c r="B391" s="52"/>
      <c r="C391" s="52"/>
      <c r="D391" s="29" t="str">
        <f>IFERROR(
IF(AND(OR(Planilla!B391="C",Planilla!B391="c"), VLOOKUP(E391,[1]Diccionario!B:N,13,0)="C"), "OK",IF(AND(OR(Planilla!B391="C",Planilla!B391="c"), OR(VLOOKUP(E391,[1]Diccionario!B:N,13,0)="B", VLOOKUP(E391,[1]Diccionario!B:N,13,0)="A")), "DEFICIT",IF(
AND(OR(Planilla!B391="B", Planilla!B391="BPAL"), VLOOKUP(E391,[1]Diccionario!B:N,13,0)="B"), "OK",IF(AND(OR(Planilla!B391="B", Planilla!B391="BPAL"), VLOOKUP(E391,[1]Diccionario!B:N,13,0)="A"), "DEFICIT",IF(AND(OR(Planilla!B391="B", Planilla!B391="BPAL"), VLOOKUP(E391,[1]Diccionario!B:N,13,0)="C"), "SOBREOFERTA",IF(AND(Planilla!B391="A", VLOOKUP(E391,[1]Diccionario!B:N,13,0)="A"), "OK",IF(
AND(Planilla!B391="A", OR(VLOOKUP(E391,[1]Diccionario!B:N,13,0)="B", VLOOKUP(E391,[1]Diccionario!B:N,13,0)="C")), "SOBREOFERTA",""
))))))),"")</f>
        <v/>
      </c>
      <c r="E391" s="48"/>
      <c r="F391" s="53"/>
      <c r="G391" s="54"/>
      <c r="H391" s="55" t="str">
        <f t="shared" si="87"/>
        <v/>
      </c>
      <c r="I391" s="35"/>
      <c r="J391" s="34" t="e">
        <f>IF(A391&lt;&gt;"",HLOOKUP(VALUE(TEXT(G391,"h:mm:ss")),IF($C$6="Laboral",[1]Input!$A$4:$Y$227,IF($C$6="Sábado",[1]Input!$A$231:$Y$452,[1]Input!$A$456:$Y$656)),VLOOKUP($C$4,[1]Input!$AG$2:$AI$99,3,0)+IF(C$5="Ida",0,1),1),"")</f>
        <v>#N/A</v>
      </c>
      <c r="K391" s="34" t="str">
        <f>IF(A392&lt;&gt;A391,AVERAGEIF(A$9:A391,A391,J$13:J391),"")</f>
        <v/>
      </c>
      <c r="L391" s="35" t="str">
        <f>IFERROR(IF(A392&lt;&gt;A391,AVERAGEIF(A$9:A391,A391,S$13:S391),""),"")</f>
        <v/>
      </c>
      <c r="M391" s="35" t="str">
        <f>IFERROR(IF(A392&lt;&gt;A391,AVERAGEIF(A$9:A391,A391,T$8:T391),""),"")</f>
        <v/>
      </c>
      <c r="N391" s="35" t="str" cm="1">
        <f t="array" ref="N391">IFERROR(IF(A392&lt;&gt;A391,_xlfn.STDEV.P(IF(A$9:A391=A391,T$7:T391)),""),"")</f>
        <v/>
      </c>
      <c r="O391" s="35" t="str" cm="1">
        <f t="array" ref="O391">IFERROR(IF(A392&lt;&gt;A391,_xlfn.STDEV.P(IF(A$9:A391=A391,S$7:S391)),""),"")</f>
        <v/>
      </c>
      <c r="P391" s="36" t="str">
        <f t="shared" si="80"/>
        <v/>
      </c>
      <c r="Q391" s="36" t="str">
        <f t="shared" si="81"/>
        <v/>
      </c>
      <c r="R391" s="36" t="str">
        <f t="shared" si="88"/>
        <v/>
      </c>
      <c r="S391" s="37" t="str">
        <f t="shared" si="89"/>
        <v/>
      </c>
      <c r="T391" s="37" t="str">
        <f t="shared" si="82"/>
        <v/>
      </c>
      <c r="U391" s="54"/>
      <c r="V391" s="46"/>
      <c r="W391" s="39" t="str">
        <f t="shared" si="90"/>
        <v/>
      </c>
      <c r="X391" s="38"/>
      <c r="Y391" s="48"/>
      <c r="AB391" s="56">
        <f t="shared" si="91"/>
        <v>1</v>
      </c>
      <c r="AC391" s="52"/>
      <c r="AD391" s="52"/>
      <c r="AE391" s="29" t="str">
        <f>IFERROR(
IF(AND(OR(AC391="C",AC391="c"), VLOOKUP(AF391,[1]Diccionario!B:N,13,0)="C"), "OK",IF(AND(OR(AC391="C",AC391="c"), OR(VLOOKUP(AF391,[1]Diccionario!B:N,13,0)="B", VLOOKUP(AF391,[1]Diccionario!B:N,13,0)="A")), "DEFICIT",IF(
AND(OR(AC391="B", AC391="BPAL"), VLOOKUP(AF391,[1]Diccionario!B:N,13,0)="B"), "OK",IF(AND(OR(AC391="B", AC391="BPAL"), VLOOKUP(AF391,[1]Diccionario!B:N,13,0)="A"), "DEFICIT",IF(AND(OR(AC391="B", AC391="BPAL"), VLOOKUP(AF391,[1]Diccionario!B:N,13,0)="C"), "SOBREOFERTA",IF(AND(AC391="A", VLOOKUP(AF391,[1]Diccionario!B:N,13,0)="A"), "OK",IF(
AND(AC391="A", OR(VLOOKUP(AF391,[1]Diccionario!B:N,13,0)="B", VLOOKUP(AF391,[1]Diccionario!B:N,13,0)="C")), "SOBREOFERTA",""
))))))),"")</f>
        <v/>
      </c>
      <c r="AF391" s="48"/>
      <c r="AG391" s="53"/>
      <c r="AH391" s="54"/>
      <c r="AI391" s="55" t="str">
        <f t="shared" si="92"/>
        <v/>
      </c>
      <c r="AJ391" s="46"/>
      <c r="AK391" s="34" t="e">
        <f>IF(AB391&lt;&gt;"",HLOOKUP(VALUE(TEXT(AH391,"h:mm:ss")),IF($C$6="Laboral",[1]Input!$A$4:$Y$227,IF($C$6="Sábado",[1]Input!$A$231:$Y$452,[1]Input!$A$456:$Y$656)),VLOOKUP($C$4,[1]Input!$AG$2:$AI$99,3,0)+IF(AD$5="Ida",0,1),1),"")</f>
        <v>#N/A</v>
      </c>
      <c r="AL391" s="34" t="str">
        <f>IF(AB392&lt;&gt;AB391,AVERAGEIF(AB$9:AB391,AB391,AK$9:AK391),"")</f>
        <v/>
      </c>
      <c r="AM391" s="35" t="str">
        <f>IFERROR(IF(AB392&lt;&gt;AB391,AVERAGEIF(AB$9:AB391,AB391,AT$9:AT391),""),"")</f>
        <v/>
      </c>
      <c r="AN391" s="35" t="str">
        <f>IFERROR(IF(AB392&lt;&gt;AB391,AVERAGEIF(AB$9:AB391,AB391,AU$9:AU391),""),"")</f>
        <v/>
      </c>
      <c r="AO391" s="35" t="str" cm="1">
        <f t="array" ref="AO391">IFERROR(IF(AB392&lt;&gt;AB391,_xlfn.STDEV.P(IF(AB$9:AB391=AB391,AU$9:AU391)),""),"")</f>
        <v/>
      </c>
      <c r="AP391" s="35" t="str" cm="1">
        <f t="array" ref="AP391">IFERROR(IF(AB392&lt;&gt;AB391,_xlfn.STDEV.P(IF(AB$9:AB391=AB391,AT$9:AT391)),""),"")</f>
        <v/>
      </c>
      <c r="AQ391" s="36" t="str">
        <f t="shared" si="83"/>
        <v/>
      </c>
      <c r="AR391" s="36" t="str">
        <f t="shared" si="84"/>
        <v/>
      </c>
      <c r="AS391" s="36" t="str">
        <f t="shared" si="93"/>
        <v/>
      </c>
      <c r="AT391" s="37" t="str">
        <f t="shared" si="85"/>
        <v/>
      </c>
      <c r="AU391" s="37" t="str">
        <f t="shared" si="86"/>
        <v/>
      </c>
      <c r="AV391" s="54"/>
      <c r="AW391" s="46"/>
      <c r="AX391" s="39" t="str" cm="1">
        <f t="array" ref="AX391">IF(AH391&lt;&gt;"",IF(AND(AX389:AX390&lt;&gt;"IE",AQ391&lt;&gt;0,AS391&lt;&gt;""),IF(IFERROR((AQ391/AS391),0) &lt;=1,IFERROR(AQ391/AS391,""),1),""),"")</f>
        <v/>
      </c>
      <c r="AY391" s="46"/>
      <c r="AZ391" s="57"/>
    </row>
    <row r="392" spans="1:52" ht="15.5" x14ac:dyDescent="0.35">
      <c r="A392" s="51">
        <f t="shared" si="94"/>
        <v>1</v>
      </c>
      <c r="B392" s="52"/>
      <c r="C392" s="52"/>
      <c r="D392" s="29" t="str">
        <f>IFERROR(
IF(AND(OR(Planilla!B392="C",Planilla!B392="c"), VLOOKUP(E392,[1]Diccionario!B:N,13,0)="C"), "OK",IF(AND(OR(Planilla!B392="C",Planilla!B392="c"), OR(VLOOKUP(E392,[1]Diccionario!B:N,13,0)="B", VLOOKUP(E392,[1]Diccionario!B:N,13,0)="A")), "DEFICIT",IF(
AND(OR(Planilla!B392="B", Planilla!B392="BPAL"), VLOOKUP(E392,[1]Diccionario!B:N,13,0)="B"), "OK",IF(AND(OR(Planilla!B392="B", Planilla!B392="BPAL"), VLOOKUP(E392,[1]Diccionario!B:N,13,0)="A"), "DEFICIT",IF(AND(OR(Planilla!B392="B", Planilla!B392="BPAL"), VLOOKUP(E392,[1]Diccionario!B:N,13,0)="C"), "SOBREOFERTA",IF(AND(Planilla!B392="A", VLOOKUP(E392,[1]Diccionario!B:N,13,0)="A"), "OK",IF(
AND(Planilla!B392="A", OR(VLOOKUP(E392,[1]Diccionario!B:N,13,0)="B", VLOOKUP(E392,[1]Diccionario!B:N,13,0)="C")), "SOBREOFERTA",""
))))))),"")</f>
        <v/>
      </c>
      <c r="E392" s="48"/>
      <c r="F392" s="53"/>
      <c r="G392" s="54"/>
      <c r="H392" s="55" t="str">
        <f t="shared" si="87"/>
        <v/>
      </c>
      <c r="I392" s="35"/>
      <c r="J392" s="34" t="e">
        <f>IF(A392&lt;&gt;"",HLOOKUP(VALUE(TEXT(G392,"h:mm:ss")),IF($C$6="Laboral",[1]Input!$A$4:$Y$227,IF($C$6="Sábado",[1]Input!$A$231:$Y$452,[1]Input!$A$456:$Y$656)),VLOOKUP($C$4,[1]Input!$AG$2:$AI$99,3,0)+IF(C$5="Ida",0,1),1),"")</f>
        <v>#N/A</v>
      </c>
      <c r="K392" s="34" t="str">
        <f>IF(A393&lt;&gt;A392,AVERAGEIF(A$9:A392,A392,J$13:J392),"")</f>
        <v/>
      </c>
      <c r="L392" s="35" t="str">
        <f>IFERROR(IF(A393&lt;&gt;A392,AVERAGEIF(A$9:A392,A392,S$13:S392),""),"")</f>
        <v/>
      </c>
      <c r="M392" s="35" t="str">
        <f>IFERROR(IF(A393&lt;&gt;A392,AVERAGEIF(A$9:A392,A392,T$8:T392),""),"")</f>
        <v/>
      </c>
      <c r="N392" s="35" t="str" cm="1">
        <f t="array" ref="N392">IFERROR(IF(A393&lt;&gt;A392,_xlfn.STDEV.P(IF(A$9:A392=A392,T$7:T392)),""),"")</f>
        <v/>
      </c>
      <c r="O392" s="35" t="str" cm="1">
        <f t="array" ref="O392">IFERROR(IF(A393&lt;&gt;A392,_xlfn.STDEV.P(IF(A$9:A392=A392,S$7:S392)),""),"")</f>
        <v/>
      </c>
      <c r="P392" s="36" t="str">
        <f t="shared" si="80"/>
        <v/>
      </c>
      <c r="Q392" s="36" t="str">
        <f t="shared" si="81"/>
        <v/>
      </c>
      <c r="R392" s="36" t="str">
        <f t="shared" si="88"/>
        <v/>
      </c>
      <c r="S392" s="37" t="str">
        <f t="shared" si="89"/>
        <v/>
      </c>
      <c r="T392" s="37" t="str">
        <f t="shared" si="82"/>
        <v/>
      </c>
      <c r="U392" s="54"/>
      <c r="V392" s="46"/>
      <c r="W392" s="39" t="str">
        <f t="shared" si="90"/>
        <v/>
      </c>
      <c r="X392" s="38"/>
      <c r="Y392" s="48"/>
      <c r="AB392" s="56">
        <f t="shared" si="91"/>
        <v>1</v>
      </c>
      <c r="AC392" s="52"/>
      <c r="AD392" s="52"/>
      <c r="AE392" s="29" t="str">
        <f>IFERROR(
IF(AND(OR(AC392="C",AC392="c"), VLOOKUP(AF392,[1]Diccionario!B:N,13,0)="C"), "OK",IF(AND(OR(AC392="C",AC392="c"), OR(VLOOKUP(AF392,[1]Diccionario!B:N,13,0)="B", VLOOKUP(AF392,[1]Diccionario!B:N,13,0)="A")), "DEFICIT",IF(
AND(OR(AC392="B", AC392="BPAL"), VLOOKUP(AF392,[1]Diccionario!B:N,13,0)="B"), "OK",IF(AND(OR(AC392="B", AC392="BPAL"), VLOOKUP(AF392,[1]Diccionario!B:N,13,0)="A"), "DEFICIT",IF(AND(OR(AC392="B", AC392="BPAL"), VLOOKUP(AF392,[1]Diccionario!B:N,13,0)="C"), "SOBREOFERTA",IF(AND(AC392="A", VLOOKUP(AF392,[1]Diccionario!B:N,13,0)="A"), "OK",IF(
AND(AC392="A", OR(VLOOKUP(AF392,[1]Diccionario!B:N,13,0)="B", VLOOKUP(AF392,[1]Diccionario!B:N,13,0)="C")), "SOBREOFERTA",""
))))))),"")</f>
        <v/>
      </c>
      <c r="AF392" s="48"/>
      <c r="AG392" s="53"/>
      <c r="AH392" s="54"/>
      <c r="AI392" s="55" t="str">
        <f t="shared" si="92"/>
        <v/>
      </c>
      <c r="AJ392" s="46"/>
      <c r="AK392" s="34" t="e">
        <f>IF(AB392&lt;&gt;"",HLOOKUP(VALUE(TEXT(AH392,"h:mm:ss")),IF($C$6="Laboral",[1]Input!$A$4:$Y$227,IF($C$6="Sábado",[1]Input!$A$231:$Y$452,[1]Input!$A$456:$Y$656)),VLOOKUP($C$4,[1]Input!$AG$2:$AI$99,3,0)+IF(AD$5="Ida",0,1),1),"")</f>
        <v>#N/A</v>
      </c>
      <c r="AL392" s="34" t="str">
        <f>IF(AB393&lt;&gt;AB392,AVERAGEIF(AB$9:AB392,AB392,AK$9:AK392),"")</f>
        <v/>
      </c>
      <c r="AM392" s="35" t="str">
        <f>IFERROR(IF(AB393&lt;&gt;AB392,AVERAGEIF(AB$9:AB392,AB392,AT$9:AT392),""),"")</f>
        <v/>
      </c>
      <c r="AN392" s="35" t="str">
        <f>IFERROR(IF(AB393&lt;&gt;AB392,AVERAGEIF(AB$9:AB392,AB392,AU$9:AU392),""),"")</f>
        <v/>
      </c>
      <c r="AO392" s="35" t="str" cm="1">
        <f t="array" ref="AO392">IFERROR(IF(AB393&lt;&gt;AB392,_xlfn.STDEV.P(IF(AB$9:AB392=AB392,AU$9:AU392)),""),"")</f>
        <v/>
      </c>
      <c r="AP392" s="35" t="str" cm="1">
        <f t="array" ref="AP392">IFERROR(IF(AB393&lt;&gt;AB392,_xlfn.STDEV.P(IF(AB$9:AB392=AB392,AT$9:AT392)),""),"")</f>
        <v/>
      </c>
      <c r="AQ392" s="36" t="str">
        <f t="shared" si="83"/>
        <v/>
      </c>
      <c r="AR392" s="36" t="str">
        <f t="shared" si="84"/>
        <v/>
      </c>
      <c r="AS392" s="36" t="str">
        <f t="shared" si="93"/>
        <v/>
      </c>
      <c r="AT392" s="37" t="str">
        <f t="shared" si="85"/>
        <v/>
      </c>
      <c r="AU392" s="37" t="str">
        <f t="shared" si="86"/>
        <v/>
      </c>
      <c r="AV392" s="54"/>
      <c r="AW392" s="46"/>
      <c r="AX392" s="39" t="str" cm="1">
        <f t="array" ref="AX392">IF(AH392&lt;&gt;"",IF(AND(AX390:AX391&lt;&gt;"IE",AQ392&lt;&gt;0,AS392&lt;&gt;""),IF(IFERROR((AQ392/AS392),0) &lt;=1,IFERROR(AQ392/AS392,""),1),""),"")</f>
        <v/>
      </c>
      <c r="AY392" s="46"/>
      <c r="AZ392" s="57"/>
    </row>
    <row r="393" spans="1:52" ht="15.5" x14ac:dyDescent="0.35">
      <c r="A393" s="51">
        <f t="shared" si="94"/>
        <v>1</v>
      </c>
      <c r="B393" s="52"/>
      <c r="C393" s="52"/>
      <c r="D393" s="29" t="str">
        <f>IFERROR(
IF(AND(OR(Planilla!B393="C",Planilla!B393="c"), VLOOKUP(E393,[1]Diccionario!B:N,13,0)="C"), "OK",IF(AND(OR(Planilla!B393="C",Planilla!B393="c"), OR(VLOOKUP(E393,[1]Diccionario!B:N,13,0)="B", VLOOKUP(E393,[1]Diccionario!B:N,13,0)="A")), "DEFICIT",IF(
AND(OR(Planilla!B393="B", Planilla!B393="BPAL"), VLOOKUP(E393,[1]Diccionario!B:N,13,0)="B"), "OK",IF(AND(OR(Planilla!B393="B", Planilla!B393="BPAL"), VLOOKUP(E393,[1]Diccionario!B:N,13,0)="A"), "DEFICIT",IF(AND(OR(Planilla!B393="B", Planilla!B393="BPAL"), VLOOKUP(E393,[1]Diccionario!B:N,13,0)="C"), "SOBREOFERTA",IF(AND(Planilla!B393="A", VLOOKUP(E393,[1]Diccionario!B:N,13,0)="A"), "OK",IF(
AND(Planilla!B393="A", OR(VLOOKUP(E393,[1]Diccionario!B:N,13,0)="B", VLOOKUP(E393,[1]Diccionario!B:N,13,0)="C")), "SOBREOFERTA",""
))))))),"")</f>
        <v/>
      </c>
      <c r="E393" s="48"/>
      <c r="F393" s="53"/>
      <c r="G393" s="54"/>
      <c r="H393" s="55" t="str">
        <f t="shared" si="87"/>
        <v/>
      </c>
      <c r="I393" s="35"/>
      <c r="J393" s="34" t="e">
        <f>IF(A393&lt;&gt;"",HLOOKUP(VALUE(TEXT(G393,"h:mm:ss")),IF($C$6="Laboral",[1]Input!$A$4:$Y$227,IF($C$6="Sábado",[1]Input!$A$231:$Y$452,[1]Input!$A$456:$Y$656)),VLOOKUP($C$4,[1]Input!$AG$2:$AI$99,3,0)+IF(C$5="Ida",0,1),1),"")</f>
        <v>#N/A</v>
      </c>
      <c r="K393" s="34" t="str">
        <f>IF(A394&lt;&gt;A393,AVERAGEIF(A$9:A393,A393,J$13:J393),"")</f>
        <v/>
      </c>
      <c r="L393" s="35" t="str">
        <f>IFERROR(IF(A394&lt;&gt;A393,AVERAGEIF(A$9:A393,A393,S$13:S393),""),"")</f>
        <v/>
      </c>
      <c r="M393" s="35" t="str">
        <f>IFERROR(IF(A394&lt;&gt;A393,AVERAGEIF(A$9:A393,A393,T$8:T393),""),"")</f>
        <v/>
      </c>
      <c r="N393" s="35" t="str" cm="1">
        <f t="array" ref="N393">IFERROR(IF(A394&lt;&gt;A393,_xlfn.STDEV.P(IF(A$9:A393=A393,T$7:T393)),""),"")</f>
        <v/>
      </c>
      <c r="O393" s="35" t="str" cm="1">
        <f t="array" ref="O393">IFERROR(IF(A394&lt;&gt;A393,_xlfn.STDEV.P(IF(A$9:A393=A393,S$7:S393)),""),"")</f>
        <v/>
      </c>
      <c r="P393" s="36" t="str">
        <f t="shared" si="80"/>
        <v/>
      </c>
      <c r="Q393" s="36" t="str">
        <f t="shared" si="81"/>
        <v/>
      </c>
      <c r="R393" s="36" t="str">
        <f t="shared" si="88"/>
        <v/>
      </c>
      <c r="S393" s="37" t="str">
        <f t="shared" si="89"/>
        <v/>
      </c>
      <c r="T393" s="37" t="str">
        <f t="shared" si="82"/>
        <v/>
      </c>
      <c r="U393" s="54"/>
      <c r="V393" s="46"/>
      <c r="W393" s="39" t="str">
        <f t="shared" si="90"/>
        <v/>
      </c>
      <c r="X393" s="38"/>
      <c r="Y393" s="48"/>
      <c r="AB393" s="56">
        <f t="shared" si="91"/>
        <v>1</v>
      </c>
      <c r="AC393" s="52"/>
      <c r="AD393" s="52"/>
      <c r="AE393" s="29" t="str">
        <f>IFERROR(
IF(AND(OR(AC393="C",AC393="c"), VLOOKUP(AF393,[1]Diccionario!B:N,13,0)="C"), "OK",IF(AND(OR(AC393="C",AC393="c"), OR(VLOOKUP(AF393,[1]Diccionario!B:N,13,0)="B", VLOOKUP(AF393,[1]Diccionario!B:N,13,0)="A")), "DEFICIT",IF(
AND(OR(AC393="B", AC393="BPAL"), VLOOKUP(AF393,[1]Diccionario!B:N,13,0)="B"), "OK",IF(AND(OR(AC393="B", AC393="BPAL"), VLOOKUP(AF393,[1]Diccionario!B:N,13,0)="A"), "DEFICIT",IF(AND(OR(AC393="B", AC393="BPAL"), VLOOKUP(AF393,[1]Diccionario!B:N,13,0)="C"), "SOBREOFERTA",IF(AND(AC393="A", VLOOKUP(AF393,[1]Diccionario!B:N,13,0)="A"), "OK",IF(
AND(AC393="A", OR(VLOOKUP(AF393,[1]Diccionario!B:N,13,0)="B", VLOOKUP(AF393,[1]Diccionario!B:N,13,0)="C")), "SOBREOFERTA",""
))))))),"")</f>
        <v/>
      </c>
      <c r="AF393" s="48"/>
      <c r="AG393" s="53"/>
      <c r="AH393" s="54"/>
      <c r="AI393" s="55" t="str">
        <f t="shared" si="92"/>
        <v/>
      </c>
      <c r="AJ393" s="46"/>
      <c r="AK393" s="34" t="e">
        <f>IF(AB393&lt;&gt;"",HLOOKUP(VALUE(TEXT(AH393,"h:mm:ss")),IF($C$6="Laboral",[1]Input!$A$4:$Y$227,IF($C$6="Sábado",[1]Input!$A$231:$Y$452,[1]Input!$A$456:$Y$656)),VLOOKUP($C$4,[1]Input!$AG$2:$AI$99,3,0)+IF(AD$5="Ida",0,1),1),"")</f>
        <v>#N/A</v>
      </c>
      <c r="AL393" s="34" t="str">
        <f>IF(AB394&lt;&gt;AB393,AVERAGEIF(AB$9:AB393,AB393,AK$9:AK393),"")</f>
        <v/>
      </c>
      <c r="AM393" s="35" t="str">
        <f>IFERROR(IF(AB394&lt;&gt;AB393,AVERAGEIF(AB$9:AB393,AB393,AT$9:AT393),""),"")</f>
        <v/>
      </c>
      <c r="AN393" s="35" t="str">
        <f>IFERROR(IF(AB394&lt;&gt;AB393,AVERAGEIF(AB$9:AB393,AB393,AU$9:AU393),""),"")</f>
        <v/>
      </c>
      <c r="AO393" s="35" t="str" cm="1">
        <f t="array" ref="AO393">IFERROR(IF(AB394&lt;&gt;AB393,_xlfn.STDEV.P(IF(AB$9:AB393=AB393,AU$9:AU393)),""),"")</f>
        <v/>
      </c>
      <c r="AP393" s="35" t="str" cm="1">
        <f t="array" ref="AP393">IFERROR(IF(AB394&lt;&gt;AB393,_xlfn.STDEV.P(IF(AB$9:AB393=AB393,AT$9:AT393)),""),"")</f>
        <v/>
      </c>
      <c r="AQ393" s="36" t="str">
        <f t="shared" si="83"/>
        <v/>
      </c>
      <c r="AR393" s="36" t="str">
        <f t="shared" si="84"/>
        <v/>
      </c>
      <c r="AS393" s="36" t="str">
        <f t="shared" si="93"/>
        <v/>
      </c>
      <c r="AT393" s="37" t="str">
        <f t="shared" si="85"/>
        <v/>
      </c>
      <c r="AU393" s="37" t="str">
        <f t="shared" si="86"/>
        <v/>
      </c>
      <c r="AV393" s="54"/>
      <c r="AW393" s="46"/>
      <c r="AX393" s="39" t="str" cm="1">
        <f t="array" ref="AX393">IF(AH393&lt;&gt;"",IF(AND(AX391:AX392&lt;&gt;"IE",AQ393&lt;&gt;0,AS393&lt;&gt;""),IF(IFERROR((AQ393/AS393),0) &lt;=1,IFERROR(AQ393/AS393,""),1),""),"")</f>
        <v/>
      </c>
      <c r="AY393" s="46"/>
      <c r="AZ393" s="57"/>
    </row>
    <row r="394" spans="1:52" ht="15.5" x14ac:dyDescent="0.35">
      <c r="A394" s="51">
        <f t="shared" si="94"/>
        <v>1</v>
      </c>
      <c r="B394" s="52"/>
      <c r="C394" s="52"/>
      <c r="D394" s="29" t="str">
        <f>IFERROR(
IF(AND(OR(Planilla!B394="C",Planilla!B394="c"), VLOOKUP(E394,[1]Diccionario!B:N,13,0)="C"), "OK",IF(AND(OR(Planilla!B394="C",Planilla!B394="c"), OR(VLOOKUP(E394,[1]Diccionario!B:N,13,0)="B", VLOOKUP(E394,[1]Diccionario!B:N,13,0)="A")), "DEFICIT",IF(
AND(OR(Planilla!B394="B", Planilla!B394="BPAL"), VLOOKUP(E394,[1]Diccionario!B:N,13,0)="B"), "OK",IF(AND(OR(Planilla!B394="B", Planilla!B394="BPAL"), VLOOKUP(E394,[1]Diccionario!B:N,13,0)="A"), "DEFICIT",IF(AND(OR(Planilla!B394="B", Planilla!B394="BPAL"), VLOOKUP(E394,[1]Diccionario!B:N,13,0)="C"), "SOBREOFERTA",IF(AND(Planilla!B394="A", VLOOKUP(E394,[1]Diccionario!B:N,13,0)="A"), "OK",IF(
AND(Planilla!B394="A", OR(VLOOKUP(E394,[1]Diccionario!B:N,13,0)="B", VLOOKUP(E394,[1]Diccionario!B:N,13,0)="C")), "SOBREOFERTA",""
))))))),"")</f>
        <v/>
      </c>
      <c r="E394" s="48"/>
      <c r="F394" s="53"/>
      <c r="G394" s="54"/>
      <c r="H394" s="55" t="str">
        <f t="shared" si="87"/>
        <v/>
      </c>
      <c r="I394" s="35"/>
      <c r="J394" s="34" t="e">
        <f>IF(A394&lt;&gt;"",HLOOKUP(VALUE(TEXT(G394,"h:mm:ss")),IF($C$6="Laboral",[1]Input!$A$4:$Y$227,IF($C$6="Sábado",[1]Input!$A$231:$Y$452,[1]Input!$A$456:$Y$656)),VLOOKUP($C$4,[1]Input!$AG$2:$AI$99,3,0)+IF(C$5="Ida",0,1),1),"")</f>
        <v>#N/A</v>
      </c>
      <c r="K394" s="34" t="str">
        <f>IF(A395&lt;&gt;A394,AVERAGEIF(A$9:A394,A394,J$13:J394),"")</f>
        <v/>
      </c>
      <c r="L394" s="35" t="str">
        <f>IFERROR(IF(A395&lt;&gt;A394,AVERAGEIF(A$9:A394,A394,S$13:S394),""),"")</f>
        <v/>
      </c>
      <c r="M394" s="35" t="str">
        <f>IFERROR(IF(A395&lt;&gt;A394,AVERAGEIF(A$9:A394,A394,T$8:T394),""),"")</f>
        <v/>
      </c>
      <c r="N394" s="35" t="str" cm="1">
        <f t="array" ref="N394">IFERROR(IF(A395&lt;&gt;A394,_xlfn.STDEV.P(IF(A$9:A394=A394,T$7:T394)),""),"")</f>
        <v/>
      </c>
      <c r="O394" s="35" t="str" cm="1">
        <f t="array" ref="O394">IFERROR(IF(A395&lt;&gt;A394,_xlfn.STDEV.P(IF(A$9:A394=A394,S$7:S394)),""),"")</f>
        <v/>
      </c>
      <c r="P394" s="36" t="str">
        <f t="shared" si="80"/>
        <v/>
      </c>
      <c r="Q394" s="36" t="str">
        <f t="shared" si="81"/>
        <v/>
      </c>
      <c r="R394" s="36" t="str">
        <f t="shared" si="88"/>
        <v/>
      </c>
      <c r="S394" s="37" t="str">
        <f t="shared" si="89"/>
        <v/>
      </c>
      <c r="T394" s="37" t="str">
        <f t="shared" si="82"/>
        <v/>
      </c>
      <c r="U394" s="54"/>
      <c r="V394" s="46"/>
      <c r="W394" s="39" t="str">
        <f t="shared" si="90"/>
        <v/>
      </c>
      <c r="X394" s="38"/>
      <c r="Y394" s="48"/>
      <c r="AB394" s="56">
        <f t="shared" si="91"/>
        <v>1</v>
      </c>
      <c r="AC394" s="52"/>
      <c r="AD394" s="52"/>
      <c r="AE394" s="29" t="str">
        <f>IFERROR(
IF(AND(OR(AC394="C",AC394="c"), VLOOKUP(AF394,[1]Diccionario!B:N,13,0)="C"), "OK",IF(AND(OR(AC394="C",AC394="c"), OR(VLOOKUP(AF394,[1]Diccionario!B:N,13,0)="B", VLOOKUP(AF394,[1]Diccionario!B:N,13,0)="A")), "DEFICIT",IF(
AND(OR(AC394="B", AC394="BPAL"), VLOOKUP(AF394,[1]Diccionario!B:N,13,0)="B"), "OK",IF(AND(OR(AC394="B", AC394="BPAL"), VLOOKUP(AF394,[1]Diccionario!B:N,13,0)="A"), "DEFICIT",IF(AND(OR(AC394="B", AC394="BPAL"), VLOOKUP(AF394,[1]Diccionario!B:N,13,0)="C"), "SOBREOFERTA",IF(AND(AC394="A", VLOOKUP(AF394,[1]Diccionario!B:N,13,0)="A"), "OK",IF(
AND(AC394="A", OR(VLOOKUP(AF394,[1]Diccionario!B:N,13,0)="B", VLOOKUP(AF394,[1]Diccionario!B:N,13,0)="C")), "SOBREOFERTA",""
))))))),"")</f>
        <v/>
      </c>
      <c r="AF394" s="48"/>
      <c r="AG394" s="53"/>
      <c r="AH394" s="54"/>
      <c r="AI394" s="55" t="str">
        <f t="shared" si="92"/>
        <v/>
      </c>
      <c r="AJ394" s="46"/>
      <c r="AK394" s="34" t="e">
        <f>IF(AB394&lt;&gt;"",HLOOKUP(VALUE(TEXT(AH394,"h:mm:ss")),IF($C$6="Laboral",[1]Input!$A$4:$Y$227,IF($C$6="Sábado",[1]Input!$A$231:$Y$452,[1]Input!$A$456:$Y$656)),VLOOKUP($C$4,[1]Input!$AG$2:$AI$99,3,0)+IF(AD$5="Ida",0,1),1),"")</f>
        <v>#N/A</v>
      </c>
      <c r="AL394" s="34" t="str">
        <f>IF(AB395&lt;&gt;AB394,AVERAGEIF(AB$9:AB394,AB394,AK$9:AK394),"")</f>
        <v/>
      </c>
      <c r="AM394" s="35" t="str">
        <f>IFERROR(IF(AB395&lt;&gt;AB394,AVERAGEIF(AB$9:AB394,AB394,AT$9:AT394),""),"")</f>
        <v/>
      </c>
      <c r="AN394" s="35" t="str">
        <f>IFERROR(IF(AB395&lt;&gt;AB394,AVERAGEIF(AB$9:AB394,AB394,AU$9:AU394),""),"")</f>
        <v/>
      </c>
      <c r="AO394" s="35" t="str" cm="1">
        <f t="array" ref="AO394">IFERROR(IF(AB395&lt;&gt;AB394,_xlfn.STDEV.P(IF(AB$9:AB394=AB394,AU$9:AU394)),""),"")</f>
        <v/>
      </c>
      <c r="AP394" s="35" t="str" cm="1">
        <f t="array" ref="AP394">IFERROR(IF(AB395&lt;&gt;AB394,_xlfn.STDEV.P(IF(AB$9:AB394=AB394,AT$9:AT394)),""),"")</f>
        <v/>
      </c>
      <c r="AQ394" s="36" t="str">
        <f t="shared" si="83"/>
        <v/>
      </c>
      <c r="AR394" s="36" t="str">
        <f t="shared" si="84"/>
        <v/>
      </c>
      <c r="AS394" s="36" t="str">
        <f t="shared" si="93"/>
        <v/>
      </c>
      <c r="AT394" s="37" t="str">
        <f t="shared" si="85"/>
        <v/>
      </c>
      <c r="AU394" s="37" t="str">
        <f t="shared" si="86"/>
        <v/>
      </c>
      <c r="AV394" s="54"/>
      <c r="AW394" s="46"/>
      <c r="AX394" s="39" t="str" cm="1">
        <f t="array" ref="AX394">IF(AH394&lt;&gt;"",IF(AND(AX392:AX393&lt;&gt;"IE",AQ394&lt;&gt;0,AS394&lt;&gt;""),IF(IFERROR((AQ394/AS394),0) &lt;=1,IFERROR(AQ394/AS394,""),1),""),"")</f>
        <v/>
      </c>
      <c r="AY394" s="46"/>
      <c r="AZ394" s="57"/>
    </row>
    <row r="395" spans="1:52" ht="15.5" x14ac:dyDescent="0.35">
      <c r="A395" s="51">
        <f t="shared" si="94"/>
        <v>1</v>
      </c>
      <c r="B395" s="52"/>
      <c r="C395" s="52"/>
      <c r="D395" s="29" t="str">
        <f>IFERROR(
IF(AND(OR(Planilla!B395="C",Planilla!B395="c"), VLOOKUP(E395,[1]Diccionario!B:N,13,0)="C"), "OK",IF(AND(OR(Planilla!B395="C",Planilla!B395="c"), OR(VLOOKUP(E395,[1]Diccionario!B:N,13,0)="B", VLOOKUP(E395,[1]Diccionario!B:N,13,0)="A")), "DEFICIT",IF(
AND(OR(Planilla!B395="B", Planilla!B395="BPAL"), VLOOKUP(E395,[1]Diccionario!B:N,13,0)="B"), "OK",IF(AND(OR(Planilla!B395="B", Planilla!B395="BPAL"), VLOOKUP(E395,[1]Diccionario!B:N,13,0)="A"), "DEFICIT",IF(AND(OR(Planilla!B395="B", Planilla!B395="BPAL"), VLOOKUP(E395,[1]Diccionario!B:N,13,0)="C"), "SOBREOFERTA",IF(AND(Planilla!B395="A", VLOOKUP(E395,[1]Diccionario!B:N,13,0)="A"), "OK",IF(
AND(Planilla!B395="A", OR(VLOOKUP(E395,[1]Diccionario!B:N,13,0)="B", VLOOKUP(E395,[1]Diccionario!B:N,13,0)="C")), "SOBREOFERTA",""
))))))),"")</f>
        <v/>
      </c>
      <c r="E395" s="48"/>
      <c r="F395" s="53"/>
      <c r="G395" s="54"/>
      <c r="H395" s="55" t="str">
        <f t="shared" si="87"/>
        <v/>
      </c>
      <c r="I395" s="35"/>
      <c r="J395" s="34" t="e">
        <f>IF(A395&lt;&gt;"",HLOOKUP(VALUE(TEXT(G395,"h:mm:ss")),IF($C$6="Laboral",[1]Input!$A$4:$Y$227,IF($C$6="Sábado",[1]Input!$A$231:$Y$452,[1]Input!$A$456:$Y$656)),VLOOKUP($C$4,[1]Input!$AG$2:$AI$99,3,0)+IF(C$5="Ida",0,1),1),"")</f>
        <v>#N/A</v>
      </c>
      <c r="K395" s="34" t="str">
        <f>IF(A396&lt;&gt;A395,AVERAGEIF(A$9:A395,A395,J$13:J395),"")</f>
        <v/>
      </c>
      <c r="L395" s="35" t="str">
        <f>IFERROR(IF(A396&lt;&gt;A395,AVERAGEIF(A$9:A395,A395,S$13:S395),""),"")</f>
        <v/>
      </c>
      <c r="M395" s="35" t="str">
        <f>IFERROR(IF(A396&lt;&gt;A395,AVERAGEIF(A$9:A395,A395,T$8:T395),""),"")</f>
        <v/>
      </c>
      <c r="N395" s="35" t="str" cm="1">
        <f t="array" ref="N395">IFERROR(IF(A396&lt;&gt;A395,_xlfn.STDEV.P(IF(A$9:A395=A395,T$7:T395)),""),"")</f>
        <v/>
      </c>
      <c r="O395" s="35" t="str" cm="1">
        <f t="array" ref="O395">IFERROR(IF(A396&lt;&gt;A395,_xlfn.STDEV.P(IF(A$9:A395=A395,S$7:S395)),""),"")</f>
        <v/>
      </c>
      <c r="P395" s="36" t="str">
        <f t="shared" si="80"/>
        <v/>
      </c>
      <c r="Q395" s="36" t="str">
        <f t="shared" si="81"/>
        <v/>
      </c>
      <c r="R395" s="36" t="str">
        <f t="shared" si="88"/>
        <v/>
      </c>
      <c r="S395" s="37" t="str">
        <f t="shared" si="89"/>
        <v/>
      </c>
      <c r="T395" s="37" t="str">
        <f t="shared" si="82"/>
        <v/>
      </c>
      <c r="U395" s="54"/>
      <c r="V395" s="46"/>
      <c r="W395" s="39" t="str">
        <f t="shared" si="90"/>
        <v/>
      </c>
      <c r="X395" s="38"/>
      <c r="Y395" s="48"/>
      <c r="AB395" s="56">
        <f t="shared" si="91"/>
        <v>1</v>
      </c>
      <c r="AC395" s="52"/>
      <c r="AD395" s="52"/>
      <c r="AE395" s="29" t="str">
        <f>IFERROR(
IF(AND(OR(AC395="C",AC395="c"), VLOOKUP(AF395,[1]Diccionario!B:N,13,0)="C"), "OK",IF(AND(OR(AC395="C",AC395="c"), OR(VLOOKUP(AF395,[1]Diccionario!B:N,13,0)="B", VLOOKUP(AF395,[1]Diccionario!B:N,13,0)="A")), "DEFICIT",IF(
AND(OR(AC395="B", AC395="BPAL"), VLOOKUP(AF395,[1]Diccionario!B:N,13,0)="B"), "OK",IF(AND(OR(AC395="B", AC395="BPAL"), VLOOKUP(AF395,[1]Diccionario!B:N,13,0)="A"), "DEFICIT",IF(AND(OR(AC395="B", AC395="BPAL"), VLOOKUP(AF395,[1]Diccionario!B:N,13,0)="C"), "SOBREOFERTA",IF(AND(AC395="A", VLOOKUP(AF395,[1]Diccionario!B:N,13,0)="A"), "OK",IF(
AND(AC395="A", OR(VLOOKUP(AF395,[1]Diccionario!B:N,13,0)="B", VLOOKUP(AF395,[1]Diccionario!B:N,13,0)="C")), "SOBREOFERTA",""
))))))),"")</f>
        <v/>
      </c>
      <c r="AF395" s="48"/>
      <c r="AG395" s="53"/>
      <c r="AH395" s="54"/>
      <c r="AI395" s="55" t="str">
        <f t="shared" si="92"/>
        <v/>
      </c>
      <c r="AJ395" s="46"/>
      <c r="AK395" s="34" t="e">
        <f>IF(AB395&lt;&gt;"",HLOOKUP(VALUE(TEXT(AH395,"h:mm:ss")),IF($C$6="Laboral",[1]Input!$A$4:$Y$227,IF($C$6="Sábado",[1]Input!$A$231:$Y$452,[1]Input!$A$456:$Y$656)),VLOOKUP($C$4,[1]Input!$AG$2:$AI$99,3,0)+IF(AD$5="Ida",0,1),1),"")</f>
        <v>#N/A</v>
      </c>
      <c r="AL395" s="34" t="str">
        <f>IF(AB396&lt;&gt;AB395,AVERAGEIF(AB$9:AB395,AB395,AK$9:AK395),"")</f>
        <v/>
      </c>
      <c r="AM395" s="35" t="str">
        <f>IFERROR(IF(AB396&lt;&gt;AB395,AVERAGEIF(AB$9:AB395,AB395,AT$9:AT395),""),"")</f>
        <v/>
      </c>
      <c r="AN395" s="35" t="str">
        <f>IFERROR(IF(AB396&lt;&gt;AB395,AVERAGEIF(AB$9:AB395,AB395,AU$9:AU395),""),"")</f>
        <v/>
      </c>
      <c r="AO395" s="35" t="str" cm="1">
        <f t="array" ref="AO395">IFERROR(IF(AB396&lt;&gt;AB395,_xlfn.STDEV.P(IF(AB$9:AB395=AB395,AU$9:AU395)),""),"")</f>
        <v/>
      </c>
      <c r="AP395" s="35" t="str" cm="1">
        <f t="array" ref="AP395">IFERROR(IF(AB396&lt;&gt;AB395,_xlfn.STDEV.P(IF(AB$9:AB395=AB395,AT$9:AT395)),""),"")</f>
        <v/>
      </c>
      <c r="AQ395" s="36" t="str">
        <f t="shared" si="83"/>
        <v/>
      </c>
      <c r="AR395" s="36" t="str">
        <f t="shared" si="84"/>
        <v/>
      </c>
      <c r="AS395" s="36" t="str">
        <f t="shared" si="93"/>
        <v/>
      </c>
      <c r="AT395" s="37" t="str">
        <f t="shared" si="85"/>
        <v/>
      </c>
      <c r="AU395" s="37" t="str">
        <f t="shared" si="86"/>
        <v/>
      </c>
      <c r="AV395" s="54"/>
      <c r="AW395" s="46"/>
      <c r="AX395" s="39" t="str" cm="1">
        <f t="array" ref="AX395">IF(AH395&lt;&gt;"",IF(AND(AX393:AX394&lt;&gt;"IE",AQ395&lt;&gt;0,AS395&lt;&gt;""),IF(IFERROR((AQ395/AS395),0) &lt;=1,IFERROR(AQ395/AS395,""),1),""),"")</f>
        <v/>
      </c>
      <c r="AY395" s="46"/>
      <c r="AZ395" s="57"/>
    </row>
    <row r="396" spans="1:52" ht="15.5" x14ac:dyDescent="0.35">
      <c r="A396" s="51">
        <f t="shared" si="94"/>
        <v>1</v>
      </c>
      <c r="B396" s="52"/>
      <c r="C396" s="52"/>
      <c r="D396" s="29" t="str">
        <f>IFERROR(
IF(AND(OR(Planilla!B396="C",Planilla!B396="c"), VLOOKUP(E396,[1]Diccionario!B:N,13,0)="C"), "OK",IF(AND(OR(Planilla!B396="C",Planilla!B396="c"), OR(VLOOKUP(E396,[1]Diccionario!B:N,13,0)="B", VLOOKUP(E396,[1]Diccionario!B:N,13,0)="A")), "DEFICIT",IF(
AND(OR(Planilla!B396="B", Planilla!B396="BPAL"), VLOOKUP(E396,[1]Diccionario!B:N,13,0)="B"), "OK",IF(AND(OR(Planilla!B396="B", Planilla!B396="BPAL"), VLOOKUP(E396,[1]Diccionario!B:N,13,0)="A"), "DEFICIT",IF(AND(OR(Planilla!B396="B", Planilla!B396="BPAL"), VLOOKUP(E396,[1]Diccionario!B:N,13,0)="C"), "SOBREOFERTA",IF(AND(Planilla!B396="A", VLOOKUP(E396,[1]Diccionario!B:N,13,0)="A"), "OK",IF(
AND(Planilla!B396="A", OR(VLOOKUP(E396,[1]Diccionario!B:N,13,0)="B", VLOOKUP(E396,[1]Diccionario!B:N,13,0)="C")), "SOBREOFERTA",""
))))))),"")</f>
        <v/>
      </c>
      <c r="E396" s="48"/>
      <c r="F396" s="53"/>
      <c r="G396" s="54"/>
      <c r="H396" s="55" t="str">
        <f t="shared" si="87"/>
        <v/>
      </c>
      <c r="I396" s="35"/>
      <c r="J396" s="34" t="e">
        <f>IF(A396&lt;&gt;"",HLOOKUP(VALUE(TEXT(G396,"h:mm:ss")),IF($C$6="Laboral",[1]Input!$A$4:$Y$227,IF($C$6="Sábado",[1]Input!$A$231:$Y$452,[1]Input!$A$456:$Y$656)),VLOOKUP($C$4,[1]Input!$AG$2:$AI$99,3,0)+IF(C$5="Ida",0,1),1),"")</f>
        <v>#N/A</v>
      </c>
      <c r="K396" s="34" t="str">
        <f>IF(A397&lt;&gt;A396,AVERAGEIF(A$9:A396,A396,J$13:J396),"")</f>
        <v/>
      </c>
      <c r="L396" s="35" t="str">
        <f>IFERROR(IF(A397&lt;&gt;A396,AVERAGEIF(A$9:A396,A396,S$13:S396),""),"")</f>
        <v/>
      </c>
      <c r="M396" s="35" t="str">
        <f>IFERROR(IF(A397&lt;&gt;A396,AVERAGEIF(A$9:A396,A396,T$8:T396),""),"")</f>
        <v/>
      </c>
      <c r="N396" s="35" t="str" cm="1">
        <f t="array" ref="N396">IFERROR(IF(A397&lt;&gt;A396,_xlfn.STDEV.P(IF(A$9:A396=A396,T$7:T396)),""),"")</f>
        <v/>
      </c>
      <c r="O396" s="35" t="str" cm="1">
        <f t="array" ref="O396">IFERROR(IF(A397&lt;&gt;A396,_xlfn.STDEV.P(IF(A$9:A396=A396,S$7:S396)),""),"")</f>
        <v/>
      </c>
      <c r="P396" s="36" t="str">
        <f t="shared" si="80"/>
        <v/>
      </c>
      <c r="Q396" s="36" t="str">
        <f t="shared" si="81"/>
        <v/>
      </c>
      <c r="R396" s="36" t="str">
        <f t="shared" si="88"/>
        <v/>
      </c>
      <c r="S396" s="37" t="str">
        <f t="shared" si="89"/>
        <v/>
      </c>
      <c r="T396" s="37" t="str">
        <f t="shared" si="82"/>
        <v/>
      </c>
      <c r="U396" s="54"/>
      <c r="V396" s="46"/>
      <c r="W396" s="39" t="str">
        <f t="shared" si="90"/>
        <v/>
      </c>
      <c r="X396" s="38"/>
      <c r="Y396" s="48"/>
      <c r="AB396" s="56">
        <f t="shared" si="91"/>
        <v>1</v>
      </c>
      <c r="AC396" s="52"/>
      <c r="AD396" s="52"/>
      <c r="AE396" s="29" t="str">
        <f>IFERROR(
IF(AND(OR(AC396="C",AC396="c"), VLOOKUP(AF396,[1]Diccionario!B:N,13,0)="C"), "OK",IF(AND(OR(AC396="C",AC396="c"), OR(VLOOKUP(AF396,[1]Diccionario!B:N,13,0)="B", VLOOKUP(AF396,[1]Diccionario!B:N,13,0)="A")), "DEFICIT",IF(
AND(OR(AC396="B", AC396="BPAL"), VLOOKUP(AF396,[1]Diccionario!B:N,13,0)="B"), "OK",IF(AND(OR(AC396="B", AC396="BPAL"), VLOOKUP(AF396,[1]Diccionario!B:N,13,0)="A"), "DEFICIT",IF(AND(OR(AC396="B", AC396="BPAL"), VLOOKUP(AF396,[1]Diccionario!B:N,13,0)="C"), "SOBREOFERTA",IF(AND(AC396="A", VLOOKUP(AF396,[1]Diccionario!B:N,13,0)="A"), "OK",IF(
AND(AC396="A", OR(VLOOKUP(AF396,[1]Diccionario!B:N,13,0)="B", VLOOKUP(AF396,[1]Diccionario!B:N,13,0)="C")), "SOBREOFERTA",""
))))))),"")</f>
        <v/>
      </c>
      <c r="AF396" s="48"/>
      <c r="AG396" s="53"/>
      <c r="AH396" s="54"/>
      <c r="AI396" s="55" t="str">
        <f t="shared" si="92"/>
        <v/>
      </c>
      <c r="AJ396" s="46"/>
      <c r="AK396" s="34" t="e">
        <f>IF(AB396&lt;&gt;"",HLOOKUP(VALUE(TEXT(AH396,"h:mm:ss")),IF($C$6="Laboral",[1]Input!$A$4:$Y$227,IF($C$6="Sábado",[1]Input!$A$231:$Y$452,[1]Input!$A$456:$Y$656)),VLOOKUP($C$4,[1]Input!$AG$2:$AI$99,3,0)+IF(AD$5="Ida",0,1),1),"")</f>
        <v>#N/A</v>
      </c>
      <c r="AL396" s="34" t="str">
        <f>IF(AB397&lt;&gt;AB396,AVERAGEIF(AB$9:AB396,AB396,AK$9:AK396),"")</f>
        <v/>
      </c>
      <c r="AM396" s="35" t="str">
        <f>IFERROR(IF(AB397&lt;&gt;AB396,AVERAGEIF(AB$9:AB396,AB396,AT$9:AT396),""),"")</f>
        <v/>
      </c>
      <c r="AN396" s="35" t="str">
        <f>IFERROR(IF(AB397&lt;&gt;AB396,AVERAGEIF(AB$9:AB396,AB396,AU$9:AU396),""),"")</f>
        <v/>
      </c>
      <c r="AO396" s="35" t="str" cm="1">
        <f t="array" ref="AO396">IFERROR(IF(AB397&lt;&gt;AB396,_xlfn.STDEV.P(IF(AB$9:AB396=AB396,AU$9:AU396)),""),"")</f>
        <v/>
      </c>
      <c r="AP396" s="35" t="str" cm="1">
        <f t="array" ref="AP396">IFERROR(IF(AB397&lt;&gt;AB396,_xlfn.STDEV.P(IF(AB$9:AB396=AB396,AT$9:AT396)),""),"")</f>
        <v/>
      </c>
      <c r="AQ396" s="36" t="str">
        <f t="shared" si="83"/>
        <v/>
      </c>
      <c r="AR396" s="36" t="str">
        <f t="shared" si="84"/>
        <v/>
      </c>
      <c r="AS396" s="36" t="str">
        <f t="shared" si="93"/>
        <v/>
      </c>
      <c r="AT396" s="37" t="str">
        <f t="shared" si="85"/>
        <v/>
      </c>
      <c r="AU396" s="37" t="str">
        <f t="shared" si="86"/>
        <v/>
      </c>
      <c r="AV396" s="54"/>
      <c r="AW396" s="46"/>
      <c r="AX396" s="39" t="str" cm="1">
        <f t="array" ref="AX396">IF(AH396&lt;&gt;"",IF(AND(AX394:AX395&lt;&gt;"IE",AQ396&lt;&gt;0,AS396&lt;&gt;""),IF(IFERROR((AQ396/AS396),0) &lt;=1,IFERROR(AQ396/AS396,""),1),""),"")</f>
        <v/>
      </c>
      <c r="AY396" s="46"/>
      <c r="AZ396" s="57"/>
    </row>
    <row r="397" spans="1:52" ht="15.5" x14ac:dyDescent="0.35">
      <c r="A397" s="51">
        <f t="shared" si="94"/>
        <v>1</v>
      </c>
      <c r="B397" s="52"/>
      <c r="C397" s="52"/>
      <c r="D397" s="29" t="str">
        <f>IFERROR(
IF(AND(OR(Planilla!B397="C",Planilla!B397="c"), VLOOKUP(E397,[1]Diccionario!B:N,13,0)="C"), "OK",IF(AND(OR(Planilla!B397="C",Planilla!B397="c"), OR(VLOOKUP(E397,[1]Diccionario!B:N,13,0)="B", VLOOKUP(E397,[1]Diccionario!B:N,13,0)="A")), "DEFICIT",IF(
AND(OR(Planilla!B397="B", Planilla!B397="BPAL"), VLOOKUP(E397,[1]Diccionario!B:N,13,0)="B"), "OK",IF(AND(OR(Planilla!B397="B", Planilla!B397="BPAL"), VLOOKUP(E397,[1]Diccionario!B:N,13,0)="A"), "DEFICIT",IF(AND(OR(Planilla!B397="B", Planilla!B397="BPAL"), VLOOKUP(E397,[1]Diccionario!B:N,13,0)="C"), "SOBREOFERTA",IF(AND(Planilla!B397="A", VLOOKUP(E397,[1]Diccionario!B:N,13,0)="A"), "OK",IF(
AND(Planilla!B397="A", OR(VLOOKUP(E397,[1]Diccionario!B:N,13,0)="B", VLOOKUP(E397,[1]Diccionario!B:N,13,0)="C")), "SOBREOFERTA",""
))))))),"")</f>
        <v/>
      </c>
      <c r="E397" s="48"/>
      <c r="F397" s="53"/>
      <c r="G397" s="54"/>
      <c r="H397" s="55" t="str">
        <f t="shared" si="87"/>
        <v/>
      </c>
      <c r="I397" s="35"/>
      <c r="J397" s="34" t="e">
        <f>IF(A397&lt;&gt;"",HLOOKUP(VALUE(TEXT(G397,"h:mm:ss")),IF($C$6="Laboral",[1]Input!$A$4:$Y$227,IF($C$6="Sábado",[1]Input!$A$231:$Y$452,[1]Input!$A$456:$Y$656)),VLOOKUP($C$4,[1]Input!$AG$2:$AI$99,3,0)+IF(C$5="Ida",0,1),1),"")</f>
        <v>#N/A</v>
      </c>
      <c r="K397" s="34" t="str">
        <f>IF(A398&lt;&gt;A397,AVERAGEIF(A$9:A397,A397,J$13:J397),"")</f>
        <v/>
      </c>
      <c r="L397" s="35" t="str">
        <f>IFERROR(IF(A398&lt;&gt;A397,AVERAGEIF(A$9:A397,A397,S$13:S397),""),"")</f>
        <v/>
      </c>
      <c r="M397" s="35" t="str">
        <f>IFERROR(IF(A398&lt;&gt;A397,AVERAGEIF(A$9:A397,A397,T$8:T397),""),"")</f>
        <v/>
      </c>
      <c r="N397" s="35" t="str" cm="1">
        <f t="array" ref="N397">IFERROR(IF(A398&lt;&gt;A397,_xlfn.STDEV.P(IF(A$9:A397=A397,T$7:T397)),""),"")</f>
        <v/>
      </c>
      <c r="O397" s="35" t="str" cm="1">
        <f t="array" ref="O397">IFERROR(IF(A398&lt;&gt;A397,_xlfn.STDEV.P(IF(A$9:A397=A397,S$7:S397)),""),"")</f>
        <v/>
      </c>
      <c r="P397" s="36" t="str">
        <f t="shared" ref="P397:P460" si="95">IFERROR(IF(A397&lt;&gt;A398,MAX((((M397*24*60)/2)*(1+POWER((((N397*24*60) / (M397*24*60) )),2))) + ((M397*24*60 )*-0.1 + (K397*0.015)) +1,(((M397*24*60)/2)*(1+POWER((((N397*24*60) / (M397*24*60 ))),2)))),""),"")</f>
        <v/>
      </c>
      <c r="Q397" s="36" t="str">
        <f t="shared" ref="Q397:Q460" si="96">IF(AND(O397&lt;&gt;"",L397&lt;&gt;""),IF(A397&lt;&gt;A398,((L397*24*60) / 2 ) * (1 + POWER(((O397*24*60) / (L397*24*60)),2)),""),"")</f>
        <v/>
      </c>
      <c r="R397" s="36" t="str">
        <f t="shared" si="88"/>
        <v/>
      </c>
      <c r="S397" s="37" t="str">
        <f t="shared" si="89"/>
        <v/>
      </c>
      <c r="T397" s="37" t="str">
        <f t="shared" ref="T397:T460" si="97">IF(G397&lt;&gt;"H. Sale Real",IF(AND(G398&lt;&gt;"",LEFT(C398,2)&lt;&gt;"NC"),IF(AND(G397&lt;&gt;"",LEFT(C397,2)&lt;&gt;"NC",G397&lt;&gt;"H. Sale Real"),IF(G398-G397&lt;0.208333333333333,G398-G397,""),IF(AND(G396&lt;&gt;"",LEFT(C396,2)&lt;&gt;"NC",G396&lt;&gt;"H. Sale Real"),IF(G398-G396&lt;0.208333333333333,G398-G396,""),IF(AND(G395&lt;&gt;"",LEFT(C395,2)&lt;&gt;"NC",G395&lt;&gt;"H. Sale Real"),IF(G398-G395&lt;0.208333333333333,G398-G395,""),IF(AND(G394&lt;&gt;"",LEFT(C394,2)&lt;&gt;"NC",G394&lt;&gt;"H. Sale Real"),IF(G398-G394&lt;0.208333333333333,G398-G394,""),IF(AND(G393&lt;&gt;"",LEFT(C393,2)&lt;&gt;"NC",G393&lt;&gt;"H. Sale Real"),IF(G398-G393&lt;0.208333333333333,G398-G393,""),""))))),""),"")</f>
        <v/>
      </c>
      <c r="U397" s="54"/>
      <c r="V397" s="46"/>
      <c r="W397" s="39" t="str">
        <f t="shared" si="90"/>
        <v/>
      </c>
      <c r="X397" s="38"/>
      <c r="Y397" s="48"/>
      <c r="AB397" s="56">
        <f t="shared" si="91"/>
        <v>1</v>
      </c>
      <c r="AC397" s="52"/>
      <c r="AD397" s="52"/>
      <c r="AE397" s="29" t="str">
        <f>IFERROR(
IF(AND(OR(AC397="C",AC397="c"), VLOOKUP(AF397,[1]Diccionario!B:N,13,0)="C"), "OK",IF(AND(OR(AC397="C",AC397="c"), OR(VLOOKUP(AF397,[1]Diccionario!B:N,13,0)="B", VLOOKUP(AF397,[1]Diccionario!B:N,13,0)="A")), "DEFICIT",IF(
AND(OR(AC397="B", AC397="BPAL"), VLOOKUP(AF397,[1]Diccionario!B:N,13,0)="B"), "OK",IF(AND(OR(AC397="B", AC397="BPAL"), VLOOKUP(AF397,[1]Diccionario!B:N,13,0)="A"), "DEFICIT",IF(AND(OR(AC397="B", AC397="BPAL"), VLOOKUP(AF397,[1]Diccionario!B:N,13,0)="C"), "SOBREOFERTA",IF(AND(AC397="A", VLOOKUP(AF397,[1]Diccionario!B:N,13,0)="A"), "OK",IF(
AND(AC397="A", OR(VLOOKUP(AF397,[1]Diccionario!B:N,13,0)="B", VLOOKUP(AF397,[1]Diccionario!B:N,13,0)="C")), "SOBREOFERTA",""
))))))),"")</f>
        <v/>
      </c>
      <c r="AF397" s="48"/>
      <c r="AG397" s="53"/>
      <c r="AH397" s="54"/>
      <c r="AI397" s="55" t="str">
        <f t="shared" si="92"/>
        <v/>
      </c>
      <c r="AJ397" s="46"/>
      <c r="AK397" s="34" t="e">
        <f>IF(AB397&lt;&gt;"",HLOOKUP(VALUE(TEXT(AH397,"h:mm:ss")),IF($C$6="Laboral",[1]Input!$A$4:$Y$227,IF($C$6="Sábado",[1]Input!$A$231:$Y$452,[1]Input!$A$456:$Y$656)),VLOOKUP($C$4,[1]Input!$AG$2:$AI$99,3,0)+IF(AD$5="Ida",0,1),1),"")</f>
        <v>#N/A</v>
      </c>
      <c r="AL397" s="34" t="str">
        <f>IF(AB398&lt;&gt;AB397,AVERAGEIF(AB$9:AB397,AB397,AK$9:AK397),"")</f>
        <v/>
      </c>
      <c r="AM397" s="35" t="str">
        <f>IFERROR(IF(AB398&lt;&gt;AB397,AVERAGEIF(AB$9:AB397,AB397,AT$9:AT397),""),"")</f>
        <v/>
      </c>
      <c r="AN397" s="35" t="str">
        <f>IFERROR(IF(AB398&lt;&gt;AB397,AVERAGEIF(AB$9:AB397,AB397,AU$9:AU397),""),"")</f>
        <v/>
      </c>
      <c r="AO397" s="35" t="str" cm="1">
        <f t="array" ref="AO397">IFERROR(IF(AB398&lt;&gt;AB397,_xlfn.STDEV.P(IF(AB$9:AB397=AB397,AU$9:AU397)),""),"")</f>
        <v/>
      </c>
      <c r="AP397" s="35" t="str" cm="1">
        <f t="array" ref="AP397">IFERROR(IF(AB398&lt;&gt;AB397,_xlfn.STDEV.P(IF(AB$9:AB397=AB397,AT$9:AT397)),""),"")</f>
        <v/>
      </c>
      <c r="AQ397" s="36" t="str">
        <f t="shared" ref="AQ397:AQ460" si="98">IFERROR(IF(AB397&lt;&gt;AB398,MAX((((AN397*24*60)/2)*(1+POWER((((AO397*24*60) / (AN397*24*60) )),2))) + ((AN397*24*60 )*-0.1 + (AL397*0.015)) +1,(((AN397*24*60)/2)*(1+POWER((((AO397*24*60) / (AN397*24*60 ))),2)))),""),"")</f>
        <v/>
      </c>
      <c r="AR397" s="36" t="str">
        <f t="shared" ref="AR397:AR460" si="99">IF(AND(AP397&lt;&gt;"",AM397&lt;&gt;""),IF(AB397&lt;&gt;AB398,((AM397*24*60) / 2 ) * (1 + POWER(((AP397*24*60) / (AM397*24*60)),2)),""),"")</f>
        <v/>
      </c>
      <c r="AS397" s="36" t="str">
        <f t="shared" si="93"/>
        <v/>
      </c>
      <c r="AT397" s="37" t="str">
        <f t="shared" ref="AT397:AT460" si="100">IF(AJ397&lt;&gt;"H. Sale Real",IF(AND(AJ398&lt;&gt;"",LEFT(AD398,2)&lt;&gt;"NC"),IF(AND(AJ397&lt;&gt;"",LEFT(AD397,2)&lt;&gt;"NC",AJ397&lt;&gt;"H. Sale Real"),IF(AJ398-AJ397&lt;0.208333333333333,AJ398-AJ397,""),IF(AND(AJ396&lt;&gt;"",LEFT(AD396,2)&lt;&gt;"NC",AJ396&lt;&gt;"H. Sale Real"),IF(AJ398-AJ396&lt;0.208333333333333,AJ398-AJ396,""),IF(AND(AJ395&lt;&gt;"",LEFT(AD395,2)&lt;&gt;"NC",AJ395&lt;&gt;"H. Sale Real"),IF(AJ398-AJ395&lt;0.208333333333333,AJ398-AJ395,""),IF(AND(AJ394&lt;&gt;"",LEFT(AD394,2)&lt;&gt;"NC",AJ394&lt;&gt;"H. Sale Real"),IF(AJ398-AJ394&lt;0.208333333333333,AJ398-AJ394,""),IF(AND(AJ393&lt;&gt;"",LEFT(AD393,2)&lt;&gt;"NC",AJ393&lt;&gt;"H. Sale Real"),IF(AJ398-AJ393&lt;0.208333333333333,AJ398-AJ393,""),""))))),""),"")</f>
        <v/>
      </c>
      <c r="AU397" s="37" t="str">
        <f t="shared" ref="AU397:AU460" si="101">IF(AH397&lt;&gt;"H. Sale Real",IF(AND(AH398&lt;&gt;"",LEFT(AD398,2)&lt;&gt;"NC"),IF(AND(AH397&lt;&gt;"",LEFT(AD397,2)&lt;&gt;"NC",AH397&lt;&gt;"H. Sale Real"),IF(AH398-AH397&lt;0.208333333333333,AH398-AH397,""),IF(AND(AH396&lt;&gt;"",LEFT(AD396,2)&lt;&gt;"NC",AH396&lt;&gt;"H. Sale Real"),IF(AH398-AH396&lt;0.208333333333333,AH398-AH396,""),IF(AND(AH395&lt;&gt;"",LEFT(AD395,2)&lt;&gt;"NC",AH395&lt;&gt;"H. Sale Real"),IF(AH398-AH395&lt;0.208333333333333,AH398-AH395,""),IF(AND(AH394&lt;&gt;"",LEFT(AD394,2)&lt;&gt;"NC",AH394&lt;&gt;"H. Sale Real"),IF(AH398-AH394&lt;0.208333333333333,AH398-AH394,""),IF(AND(AH393&lt;&gt;"",LEFT(AD393,2)&lt;&gt;"NC",AH393&lt;&gt;"H. Sale Real"),IF(AH398-AH393&lt;0.208333333333333,AH398-AH393,""),""))))),""),"")</f>
        <v/>
      </c>
      <c r="AV397" s="54"/>
      <c r="AW397" s="46"/>
      <c r="AX397" s="39" t="str" cm="1">
        <f t="array" ref="AX397">IF(AH397&lt;&gt;"",IF(AND(AX395:AX396&lt;&gt;"IE",AQ397&lt;&gt;0,AS397&lt;&gt;""),IF(IFERROR((AQ397/AS397),0) &lt;=1,IFERROR(AQ397/AS397,""),1),""),"")</f>
        <v/>
      </c>
      <c r="AY397" s="46"/>
      <c r="AZ397" s="57"/>
    </row>
    <row r="398" spans="1:52" ht="15.5" x14ac:dyDescent="0.35">
      <c r="A398" s="51">
        <f t="shared" si="94"/>
        <v>1</v>
      </c>
      <c r="B398" s="52"/>
      <c r="C398" s="52"/>
      <c r="D398" s="29" t="str">
        <f>IFERROR(
IF(AND(OR(Planilla!B398="C",Planilla!B398="c"), VLOOKUP(E398,[1]Diccionario!B:N,13,0)="C"), "OK",IF(AND(OR(Planilla!B398="C",Planilla!B398="c"), OR(VLOOKUP(E398,[1]Diccionario!B:N,13,0)="B", VLOOKUP(E398,[1]Diccionario!B:N,13,0)="A")), "DEFICIT",IF(
AND(OR(Planilla!B398="B", Planilla!B398="BPAL"), VLOOKUP(E398,[1]Diccionario!B:N,13,0)="B"), "OK",IF(AND(OR(Planilla!B398="B", Planilla!B398="BPAL"), VLOOKUP(E398,[1]Diccionario!B:N,13,0)="A"), "DEFICIT",IF(AND(OR(Planilla!B398="B", Planilla!B398="BPAL"), VLOOKUP(E398,[1]Diccionario!B:N,13,0)="C"), "SOBREOFERTA",IF(AND(Planilla!B398="A", VLOOKUP(E398,[1]Diccionario!B:N,13,0)="A"), "OK",IF(
AND(Planilla!B398="A", OR(VLOOKUP(E398,[1]Diccionario!B:N,13,0)="B", VLOOKUP(E398,[1]Diccionario!B:N,13,0)="C")), "SOBREOFERTA",""
))))))),"")</f>
        <v/>
      </c>
      <c r="E398" s="48"/>
      <c r="F398" s="53"/>
      <c r="G398" s="54"/>
      <c r="H398" s="55" t="str">
        <f t="shared" ref="H398:H461" si="102">IF(I398="","",IF(AND((I398-G398)&gt;=TIME(0,0,0),(I398-G398)&lt;TIME(0,3,0)),"OK",IF(AND((I398-G398)&gt;=TIME(0,3,0),(I398-G398)&lt;TIME(0,5,0)),"RETRASO DE 3-5 MIN",IF(AND((I398-G398)&gt;=TIME(0,5,0),(I398-G398)&lt;TIME(0,10,0)),"RETRASO DE 5-10 MIN",IF((I398-G398)&gt;=TIME(0,10,0),"RETRASO &gt;10 MIN",         IF(AND((G398-I398)&gt;=TIME(0,0,0),(G398-I398)&lt;TIME(0,3,0)),"OK",IF((G398-I398)&gt;=TIME(0,3,0),"ADELANTADO")))))))</f>
        <v/>
      </c>
      <c r="I398" s="35"/>
      <c r="J398" s="34" t="e">
        <f>IF(A398&lt;&gt;"",HLOOKUP(VALUE(TEXT(G398,"h:mm:ss")),IF($C$6="Laboral",[1]Input!$A$4:$Y$227,IF($C$6="Sábado",[1]Input!$A$231:$Y$452,[1]Input!$A$456:$Y$656)),VLOOKUP($C$4,[1]Input!$AG$2:$AI$99,3,0)+IF(C$5="Ida",0,1),1),"")</f>
        <v>#N/A</v>
      </c>
      <c r="K398" s="34" t="str">
        <f>IF(A399&lt;&gt;A398,AVERAGEIF(A$9:A398,A398,J$13:J398),"")</f>
        <v/>
      </c>
      <c r="L398" s="35" t="str">
        <f>IFERROR(IF(A399&lt;&gt;A398,AVERAGEIF(A$9:A398,A398,S$13:S398),""),"")</f>
        <v/>
      </c>
      <c r="M398" s="35" t="str">
        <f>IFERROR(IF(A399&lt;&gt;A398,AVERAGEIF(A$9:A398,A398,T$8:T398),""),"")</f>
        <v/>
      </c>
      <c r="N398" s="35" t="str" cm="1">
        <f t="array" ref="N398">IFERROR(IF(A399&lt;&gt;A398,_xlfn.STDEV.P(IF(A$9:A398=A398,T$7:T398)),""),"")</f>
        <v/>
      </c>
      <c r="O398" s="35" t="str" cm="1">
        <f t="array" ref="O398">IFERROR(IF(A399&lt;&gt;A398,_xlfn.STDEV.P(IF(A$9:A398=A398,S$7:S398)),""),"")</f>
        <v/>
      </c>
      <c r="P398" s="36" t="str">
        <f t="shared" si="95"/>
        <v/>
      </c>
      <c r="Q398" s="36" t="str">
        <f t="shared" si="96"/>
        <v/>
      </c>
      <c r="R398" s="36" t="str">
        <f t="shared" ref="R398:R461" si="103">IF(Q398&lt;&gt;"",MAX(P398,Q398),"")</f>
        <v/>
      </c>
      <c r="S398" s="37" t="str">
        <f t="shared" ref="S398:S461" si="104">IF(I398&lt;&gt;"H. Sale Real",IF(AND(I399&lt;&gt;"",LEFT(C399,2)&lt;&gt;"NC"),IF(AND(I398&lt;&gt;"",LEFT(C398,2)&lt;&gt;"NC",I398&lt;&gt;"H. Sale Real"),IF(I399-I398&lt;0.208333333333333,I399-I398,""),IF(AND(I397&lt;&gt;"",LEFT(C397,2)&lt;&gt;"NC",I397&lt;&gt;"H. Sale Real"),IF(I399-I397&lt;0.208333333333333,I399-I397,""),IF(AND(I396&lt;&gt;"",LEFT(C396,2)&lt;&gt;"NC",I396&lt;&gt;"H. Sale Real"),IF(I399-I396&lt;0.208333333333333,I399-I396,""),IF(AND(I395&lt;&gt;"",LEFT(C395,2)&lt;&gt;"NC",I395&lt;&gt;"H. Sale Real"),IF(I399-I395&lt;0.208333333333333,I399-I395,""),IF(AND(I394&lt;&gt;"",LEFT(C394,2)&lt;&gt;"NC",I394&lt;&gt;"H. Sale Real"),IF(I399-I394&lt;0.208333333333333,I399-I394,""),""))))),""),"")</f>
        <v/>
      </c>
      <c r="T398" s="37" t="str">
        <f t="shared" si="97"/>
        <v/>
      </c>
      <c r="U398" s="54"/>
      <c r="V398" s="46"/>
      <c r="W398" s="39" t="str">
        <f t="shared" ref="W398:W461" si="105">IF(G398&lt;&gt;"",IF(AND(W397&lt;&gt;"IE",P398&lt;&gt;0,R398&lt;&gt;""),IF(IFERROR((P398/R398),0) &lt;=1,IFERROR(P398/R398,""),1),""),"")</f>
        <v/>
      </c>
      <c r="X398" s="38"/>
      <c r="Y398" s="48"/>
      <c r="AB398" s="56">
        <f t="shared" ref="AB398:AB461" si="106">HOUR(AH398)+1</f>
        <v>1</v>
      </c>
      <c r="AC398" s="52"/>
      <c r="AD398" s="52"/>
      <c r="AE398" s="29" t="str">
        <f>IFERROR(
IF(AND(OR(AC398="C",AC398="c"), VLOOKUP(AF398,[1]Diccionario!B:N,13,0)="C"), "OK",IF(AND(OR(AC398="C",AC398="c"), OR(VLOOKUP(AF398,[1]Diccionario!B:N,13,0)="B", VLOOKUP(AF398,[1]Diccionario!B:N,13,0)="A")), "DEFICIT",IF(
AND(OR(AC398="B", AC398="BPAL"), VLOOKUP(AF398,[1]Diccionario!B:N,13,0)="B"), "OK",IF(AND(OR(AC398="B", AC398="BPAL"), VLOOKUP(AF398,[1]Diccionario!B:N,13,0)="A"), "DEFICIT",IF(AND(OR(AC398="B", AC398="BPAL"), VLOOKUP(AF398,[1]Diccionario!B:N,13,0)="C"), "SOBREOFERTA",IF(AND(AC398="A", VLOOKUP(AF398,[1]Diccionario!B:N,13,0)="A"), "OK",IF(
AND(AC398="A", OR(VLOOKUP(AF398,[1]Diccionario!B:N,13,0)="B", VLOOKUP(AF398,[1]Diccionario!B:N,13,0)="C")), "SOBREOFERTA",""
))))))),"")</f>
        <v/>
      </c>
      <c r="AF398" s="48"/>
      <c r="AG398" s="53"/>
      <c r="AH398" s="54"/>
      <c r="AI398" s="55" t="str">
        <f t="shared" ref="AI398:AI461" si="107">IF(AJ398="","",IF(AND((AJ398-AH398)&gt;=TIME(0,0,0),(AJ398-AH398)&lt;TIME(0,3,0)),"OK",IF(AND((AJ398-AH398)&gt;=TIME(0,3,0),(AJ398-AH398)&lt;TIME(0,5,0)),"RETRASO DE 3-5 MIN",IF(AND((AJ398-AH398)&gt;=TIME(0,5,0),(AJ398-AH398)&lt;TIME(0,10,0)),"RETRASO DE 5-10 MIN",IF((AJ398-AH398)&gt;=TIME(0,10,0),"RETRASO &gt;10 MIN",         IF(AND((AH398-AJ398)&gt;=TIME(0,0,0),(AH398-AJ398)&lt;TIME(0,3,0)),"OK",IF((AH398-AJ398)&gt;=TIME(0,3,0),"ADELANTADO")))))))</f>
        <v/>
      </c>
      <c r="AJ398" s="46"/>
      <c r="AK398" s="34" t="e">
        <f>IF(AB398&lt;&gt;"",HLOOKUP(VALUE(TEXT(AH398,"h:mm:ss")),IF($C$6="Laboral",[1]Input!$A$4:$Y$227,IF($C$6="Sábado",[1]Input!$A$231:$Y$452,[1]Input!$A$456:$Y$656)),VLOOKUP($C$4,[1]Input!$AG$2:$AI$99,3,0)+IF(AD$5="Ida",0,1),1),"")</f>
        <v>#N/A</v>
      </c>
      <c r="AL398" s="34" t="str">
        <f>IF(AB399&lt;&gt;AB398,AVERAGEIF(AB$9:AB398,AB398,AK$9:AK398),"")</f>
        <v/>
      </c>
      <c r="AM398" s="35" t="str">
        <f>IFERROR(IF(AB399&lt;&gt;AB398,AVERAGEIF(AB$9:AB398,AB398,AT$9:AT398),""),"")</f>
        <v/>
      </c>
      <c r="AN398" s="35" t="str">
        <f>IFERROR(IF(AB399&lt;&gt;AB398,AVERAGEIF(AB$9:AB398,AB398,AU$9:AU398),""),"")</f>
        <v/>
      </c>
      <c r="AO398" s="35" t="str" cm="1">
        <f t="array" ref="AO398">IFERROR(IF(AB399&lt;&gt;AB398,_xlfn.STDEV.P(IF(AB$9:AB398=AB398,AU$9:AU398)),""),"")</f>
        <v/>
      </c>
      <c r="AP398" s="35" t="str" cm="1">
        <f t="array" ref="AP398">IFERROR(IF(AB399&lt;&gt;AB398,_xlfn.STDEV.P(IF(AB$9:AB398=AB398,AT$9:AT398)),""),"")</f>
        <v/>
      </c>
      <c r="AQ398" s="36" t="str">
        <f t="shared" si="98"/>
        <v/>
      </c>
      <c r="AR398" s="36" t="str">
        <f t="shared" si="99"/>
        <v/>
      </c>
      <c r="AS398" s="36" t="str">
        <f t="shared" ref="AS398:AS461" si="108">IF(AR398&lt;&gt;"",MAX(AQ398,AR398),"")</f>
        <v/>
      </c>
      <c r="AT398" s="37" t="str">
        <f t="shared" si="100"/>
        <v/>
      </c>
      <c r="AU398" s="37" t="str">
        <f t="shared" si="101"/>
        <v/>
      </c>
      <c r="AV398" s="54"/>
      <c r="AW398" s="46"/>
      <c r="AX398" s="39" t="str" cm="1">
        <f t="array" ref="AX398">IF(AH398&lt;&gt;"",IF(AND(AX396:AX397&lt;&gt;"IE",AQ398&lt;&gt;0,AS398&lt;&gt;""),IF(IFERROR((AQ398/AS398),0) &lt;=1,IFERROR(AQ398/AS398,""),1),""),"")</f>
        <v/>
      </c>
      <c r="AY398" s="46"/>
      <c r="AZ398" s="57"/>
    </row>
    <row r="399" spans="1:52" ht="15.5" x14ac:dyDescent="0.35">
      <c r="A399" s="51">
        <f t="shared" ref="A399:A462" si="109">HOUR(G399)+1</f>
        <v>1</v>
      </c>
      <c r="B399" s="52"/>
      <c r="C399" s="52"/>
      <c r="D399" s="29" t="str">
        <f>IFERROR(
IF(AND(OR(Planilla!B399="C",Planilla!B399="c"), VLOOKUP(E399,[1]Diccionario!B:N,13,0)="C"), "OK",IF(AND(OR(Planilla!B399="C",Planilla!B399="c"), OR(VLOOKUP(E399,[1]Diccionario!B:N,13,0)="B", VLOOKUP(E399,[1]Diccionario!B:N,13,0)="A")), "DEFICIT",IF(
AND(OR(Planilla!B399="B", Planilla!B399="BPAL"), VLOOKUP(E399,[1]Diccionario!B:N,13,0)="B"), "OK",IF(AND(OR(Planilla!B399="B", Planilla!B399="BPAL"), VLOOKUP(E399,[1]Diccionario!B:N,13,0)="A"), "DEFICIT",IF(AND(OR(Planilla!B399="B", Planilla!B399="BPAL"), VLOOKUP(E399,[1]Diccionario!B:N,13,0)="C"), "SOBREOFERTA",IF(AND(Planilla!B399="A", VLOOKUP(E399,[1]Diccionario!B:N,13,0)="A"), "OK",IF(
AND(Planilla!B399="A", OR(VLOOKUP(E399,[1]Diccionario!B:N,13,0)="B", VLOOKUP(E399,[1]Diccionario!B:N,13,0)="C")), "SOBREOFERTA",""
))))))),"")</f>
        <v/>
      </c>
      <c r="E399" s="48"/>
      <c r="F399" s="53"/>
      <c r="G399" s="54"/>
      <c r="H399" s="55" t="str">
        <f t="shared" si="102"/>
        <v/>
      </c>
      <c r="I399" s="35"/>
      <c r="J399" s="34" t="e">
        <f>IF(A399&lt;&gt;"",HLOOKUP(VALUE(TEXT(G399,"h:mm:ss")),IF($C$6="Laboral",[1]Input!$A$4:$Y$227,IF($C$6="Sábado",[1]Input!$A$231:$Y$452,[1]Input!$A$456:$Y$656)),VLOOKUP($C$4,[1]Input!$AG$2:$AI$99,3,0)+IF(C$5="Ida",0,1),1),"")</f>
        <v>#N/A</v>
      </c>
      <c r="K399" s="34" t="str">
        <f>IF(A400&lt;&gt;A399,AVERAGEIF(A$9:A399,A399,J$13:J399),"")</f>
        <v/>
      </c>
      <c r="L399" s="35" t="str">
        <f>IFERROR(IF(A400&lt;&gt;A399,AVERAGEIF(A$9:A399,A399,S$13:S399),""),"")</f>
        <v/>
      </c>
      <c r="M399" s="35" t="str">
        <f>IFERROR(IF(A400&lt;&gt;A399,AVERAGEIF(A$9:A399,A399,T$8:T399),""),"")</f>
        <v/>
      </c>
      <c r="N399" s="35" t="str" cm="1">
        <f t="array" ref="N399">IFERROR(IF(A400&lt;&gt;A399,_xlfn.STDEV.P(IF(A$9:A399=A399,T$7:T399)),""),"")</f>
        <v/>
      </c>
      <c r="O399" s="35" t="str" cm="1">
        <f t="array" ref="O399">IFERROR(IF(A400&lt;&gt;A399,_xlfn.STDEV.P(IF(A$9:A399=A399,S$7:S399)),""),"")</f>
        <v/>
      </c>
      <c r="P399" s="36" t="str">
        <f t="shared" si="95"/>
        <v/>
      </c>
      <c r="Q399" s="36" t="str">
        <f t="shared" si="96"/>
        <v/>
      </c>
      <c r="R399" s="36" t="str">
        <f t="shared" si="103"/>
        <v/>
      </c>
      <c r="S399" s="37" t="str">
        <f t="shared" si="104"/>
        <v/>
      </c>
      <c r="T399" s="37" t="str">
        <f t="shared" si="97"/>
        <v/>
      </c>
      <c r="U399" s="54"/>
      <c r="V399" s="46"/>
      <c r="W399" s="39" t="str">
        <f t="shared" si="105"/>
        <v/>
      </c>
      <c r="X399" s="38"/>
      <c r="Y399" s="48"/>
      <c r="AB399" s="56">
        <f t="shared" si="106"/>
        <v>1</v>
      </c>
      <c r="AC399" s="52"/>
      <c r="AD399" s="52"/>
      <c r="AE399" s="29" t="str">
        <f>IFERROR(
IF(AND(OR(AC399="C",AC399="c"), VLOOKUP(AF399,[1]Diccionario!B:N,13,0)="C"), "OK",IF(AND(OR(AC399="C",AC399="c"), OR(VLOOKUP(AF399,[1]Diccionario!B:N,13,0)="B", VLOOKUP(AF399,[1]Diccionario!B:N,13,0)="A")), "DEFICIT",IF(
AND(OR(AC399="B", AC399="BPAL"), VLOOKUP(AF399,[1]Diccionario!B:N,13,0)="B"), "OK",IF(AND(OR(AC399="B", AC399="BPAL"), VLOOKUP(AF399,[1]Diccionario!B:N,13,0)="A"), "DEFICIT",IF(AND(OR(AC399="B", AC399="BPAL"), VLOOKUP(AF399,[1]Diccionario!B:N,13,0)="C"), "SOBREOFERTA",IF(AND(AC399="A", VLOOKUP(AF399,[1]Diccionario!B:N,13,0)="A"), "OK",IF(
AND(AC399="A", OR(VLOOKUP(AF399,[1]Diccionario!B:N,13,0)="B", VLOOKUP(AF399,[1]Diccionario!B:N,13,0)="C")), "SOBREOFERTA",""
))))))),"")</f>
        <v/>
      </c>
      <c r="AF399" s="48"/>
      <c r="AG399" s="53"/>
      <c r="AH399" s="54"/>
      <c r="AI399" s="55" t="str">
        <f t="shared" si="107"/>
        <v/>
      </c>
      <c r="AJ399" s="46"/>
      <c r="AK399" s="34" t="e">
        <f>IF(AB399&lt;&gt;"",HLOOKUP(VALUE(TEXT(AH399,"h:mm:ss")),IF($C$6="Laboral",[1]Input!$A$4:$Y$227,IF($C$6="Sábado",[1]Input!$A$231:$Y$452,[1]Input!$A$456:$Y$656)),VLOOKUP($C$4,[1]Input!$AG$2:$AI$99,3,0)+IF(AD$5="Ida",0,1),1),"")</f>
        <v>#N/A</v>
      </c>
      <c r="AL399" s="34" t="str">
        <f>IF(AB400&lt;&gt;AB399,AVERAGEIF(AB$9:AB399,AB399,AK$9:AK399),"")</f>
        <v/>
      </c>
      <c r="AM399" s="35" t="str">
        <f>IFERROR(IF(AB400&lt;&gt;AB399,AVERAGEIF(AB$9:AB399,AB399,AT$9:AT399),""),"")</f>
        <v/>
      </c>
      <c r="AN399" s="35" t="str">
        <f>IFERROR(IF(AB400&lt;&gt;AB399,AVERAGEIF(AB$9:AB399,AB399,AU$9:AU399),""),"")</f>
        <v/>
      </c>
      <c r="AO399" s="35" t="str" cm="1">
        <f t="array" ref="AO399">IFERROR(IF(AB400&lt;&gt;AB399,_xlfn.STDEV.P(IF(AB$9:AB399=AB399,AU$9:AU399)),""),"")</f>
        <v/>
      </c>
      <c r="AP399" s="35" t="str" cm="1">
        <f t="array" ref="AP399">IFERROR(IF(AB400&lt;&gt;AB399,_xlfn.STDEV.P(IF(AB$9:AB399=AB399,AT$9:AT399)),""),"")</f>
        <v/>
      </c>
      <c r="AQ399" s="36" t="str">
        <f t="shared" si="98"/>
        <v/>
      </c>
      <c r="AR399" s="36" t="str">
        <f t="shared" si="99"/>
        <v/>
      </c>
      <c r="AS399" s="36" t="str">
        <f t="shared" si="108"/>
        <v/>
      </c>
      <c r="AT399" s="37" t="str">
        <f t="shared" si="100"/>
        <v/>
      </c>
      <c r="AU399" s="37" t="str">
        <f t="shared" si="101"/>
        <v/>
      </c>
      <c r="AV399" s="54"/>
      <c r="AW399" s="46"/>
      <c r="AX399" s="39" t="str" cm="1">
        <f t="array" ref="AX399">IF(AH399&lt;&gt;"",IF(AND(AX397:AX398&lt;&gt;"IE",AQ399&lt;&gt;0,AS399&lt;&gt;""),IF(IFERROR((AQ399/AS399),0) &lt;=1,IFERROR(AQ399/AS399,""),1),""),"")</f>
        <v/>
      </c>
      <c r="AY399" s="46"/>
      <c r="AZ399" s="57"/>
    </row>
    <row r="400" spans="1:52" ht="15.5" x14ac:dyDescent="0.35">
      <c r="A400" s="51">
        <f t="shared" si="109"/>
        <v>1</v>
      </c>
      <c r="B400" s="52"/>
      <c r="C400" s="52"/>
      <c r="D400" s="29" t="str">
        <f>IFERROR(
IF(AND(OR(Planilla!B400="C",Planilla!B400="c"), VLOOKUP(E400,[1]Diccionario!B:N,13,0)="C"), "OK",IF(AND(OR(Planilla!B400="C",Planilla!B400="c"), OR(VLOOKUP(E400,[1]Diccionario!B:N,13,0)="B", VLOOKUP(E400,[1]Diccionario!B:N,13,0)="A")), "DEFICIT",IF(
AND(OR(Planilla!B400="B", Planilla!B400="BPAL"), VLOOKUP(E400,[1]Diccionario!B:N,13,0)="B"), "OK",IF(AND(OR(Planilla!B400="B", Planilla!B400="BPAL"), VLOOKUP(E400,[1]Diccionario!B:N,13,0)="A"), "DEFICIT",IF(AND(OR(Planilla!B400="B", Planilla!B400="BPAL"), VLOOKUP(E400,[1]Diccionario!B:N,13,0)="C"), "SOBREOFERTA",IF(AND(Planilla!B400="A", VLOOKUP(E400,[1]Diccionario!B:N,13,0)="A"), "OK",IF(
AND(Planilla!B400="A", OR(VLOOKUP(E400,[1]Diccionario!B:N,13,0)="B", VLOOKUP(E400,[1]Diccionario!B:N,13,0)="C")), "SOBREOFERTA",""
))))))),"")</f>
        <v/>
      </c>
      <c r="E400" s="48"/>
      <c r="F400" s="53"/>
      <c r="G400" s="54"/>
      <c r="H400" s="55" t="str">
        <f t="shared" si="102"/>
        <v/>
      </c>
      <c r="I400" s="35"/>
      <c r="J400" s="34" t="e">
        <f>IF(A400&lt;&gt;"",HLOOKUP(VALUE(TEXT(G400,"h:mm:ss")),IF($C$6="Laboral",[1]Input!$A$4:$Y$227,IF($C$6="Sábado",[1]Input!$A$231:$Y$452,[1]Input!$A$456:$Y$656)),VLOOKUP($C$4,[1]Input!$AG$2:$AI$99,3,0)+IF(C$5="Ida",0,1),1),"")</f>
        <v>#N/A</v>
      </c>
      <c r="K400" s="34" t="str">
        <f>IF(A401&lt;&gt;A400,AVERAGEIF(A$9:A400,A400,J$13:J400),"")</f>
        <v/>
      </c>
      <c r="L400" s="35" t="str">
        <f>IFERROR(IF(A401&lt;&gt;A400,AVERAGEIF(A$9:A400,A400,S$13:S400),""),"")</f>
        <v/>
      </c>
      <c r="M400" s="35" t="str">
        <f>IFERROR(IF(A401&lt;&gt;A400,AVERAGEIF(A$9:A400,A400,T$8:T400),""),"")</f>
        <v/>
      </c>
      <c r="N400" s="35" t="str" cm="1">
        <f t="array" ref="N400">IFERROR(IF(A401&lt;&gt;A400,_xlfn.STDEV.P(IF(A$9:A400=A400,T$7:T400)),""),"")</f>
        <v/>
      </c>
      <c r="O400" s="35" t="str" cm="1">
        <f t="array" ref="O400">IFERROR(IF(A401&lt;&gt;A400,_xlfn.STDEV.P(IF(A$9:A400=A400,S$7:S400)),""),"")</f>
        <v/>
      </c>
      <c r="P400" s="36" t="str">
        <f t="shared" si="95"/>
        <v/>
      </c>
      <c r="Q400" s="36" t="str">
        <f t="shared" si="96"/>
        <v/>
      </c>
      <c r="R400" s="36" t="str">
        <f t="shared" si="103"/>
        <v/>
      </c>
      <c r="S400" s="37" t="str">
        <f t="shared" si="104"/>
        <v/>
      </c>
      <c r="T400" s="37" t="str">
        <f t="shared" si="97"/>
        <v/>
      </c>
      <c r="U400" s="54"/>
      <c r="V400" s="46"/>
      <c r="W400" s="39" t="str">
        <f t="shared" si="105"/>
        <v/>
      </c>
      <c r="X400" s="38"/>
      <c r="Y400" s="48"/>
      <c r="AB400" s="56">
        <f t="shared" si="106"/>
        <v>1</v>
      </c>
      <c r="AC400" s="52"/>
      <c r="AD400" s="52"/>
      <c r="AE400" s="29" t="str">
        <f>IFERROR(
IF(AND(OR(AC400="C",AC400="c"), VLOOKUP(AF400,[1]Diccionario!B:N,13,0)="C"), "OK",IF(AND(OR(AC400="C",AC400="c"), OR(VLOOKUP(AF400,[1]Diccionario!B:N,13,0)="B", VLOOKUP(AF400,[1]Diccionario!B:N,13,0)="A")), "DEFICIT",IF(
AND(OR(AC400="B", AC400="BPAL"), VLOOKUP(AF400,[1]Diccionario!B:N,13,0)="B"), "OK",IF(AND(OR(AC400="B", AC400="BPAL"), VLOOKUP(AF400,[1]Diccionario!B:N,13,0)="A"), "DEFICIT",IF(AND(OR(AC400="B", AC400="BPAL"), VLOOKUP(AF400,[1]Diccionario!B:N,13,0)="C"), "SOBREOFERTA",IF(AND(AC400="A", VLOOKUP(AF400,[1]Diccionario!B:N,13,0)="A"), "OK",IF(
AND(AC400="A", OR(VLOOKUP(AF400,[1]Diccionario!B:N,13,0)="B", VLOOKUP(AF400,[1]Diccionario!B:N,13,0)="C")), "SOBREOFERTA",""
))))))),"")</f>
        <v/>
      </c>
      <c r="AF400" s="48"/>
      <c r="AG400" s="53"/>
      <c r="AH400" s="54"/>
      <c r="AI400" s="55" t="str">
        <f t="shared" si="107"/>
        <v/>
      </c>
      <c r="AJ400" s="46"/>
      <c r="AK400" s="34" t="e">
        <f>IF(AB400&lt;&gt;"",HLOOKUP(VALUE(TEXT(AH400,"h:mm:ss")),IF($C$6="Laboral",[1]Input!$A$4:$Y$227,IF($C$6="Sábado",[1]Input!$A$231:$Y$452,[1]Input!$A$456:$Y$656)),VLOOKUP($C$4,[1]Input!$AG$2:$AI$99,3,0)+IF(AD$5="Ida",0,1),1),"")</f>
        <v>#N/A</v>
      </c>
      <c r="AL400" s="34" t="str">
        <f>IF(AB401&lt;&gt;AB400,AVERAGEIF(AB$9:AB400,AB400,AK$9:AK400),"")</f>
        <v/>
      </c>
      <c r="AM400" s="35" t="str">
        <f>IFERROR(IF(AB401&lt;&gt;AB400,AVERAGEIF(AB$9:AB400,AB400,AT$9:AT400),""),"")</f>
        <v/>
      </c>
      <c r="AN400" s="35" t="str">
        <f>IFERROR(IF(AB401&lt;&gt;AB400,AVERAGEIF(AB$9:AB400,AB400,AU$9:AU400),""),"")</f>
        <v/>
      </c>
      <c r="AO400" s="35" t="str" cm="1">
        <f t="array" ref="AO400">IFERROR(IF(AB401&lt;&gt;AB400,_xlfn.STDEV.P(IF(AB$9:AB400=AB400,AU$9:AU400)),""),"")</f>
        <v/>
      </c>
      <c r="AP400" s="35" t="str" cm="1">
        <f t="array" ref="AP400">IFERROR(IF(AB401&lt;&gt;AB400,_xlfn.STDEV.P(IF(AB$9:AB400=AB400,AT$9:AT400)),""),"")</f>
        <v/>
      </c>
      <c r="AQ400" s="36" t="str">
        <f t="shared" si="98"/>
        <v/>
      </c>
      <c r="AR400" s="36" t="str">
        <f t="shared" si="99"/>
        <v/>
      </c>
      <c r="AS400" s="36" t="str">
        <f t="shared" si="108"/>
        <v/>
      </c>
      <c r="AT400" s="37" t="str">
        <f t="shared" si="100"/>
        <v/>
      </c>
      <c r="AU400" s="37" t="str">
        <f t="shared" si="101"/>
        <v/>
      </c>
      <c r="AV400" s="54"/>
      <c r="AW400" s="46"/>
      <c r="AX400" s="39" t="str" cm="1">
        <f t="array" ref="AX400">IF(AH400&lt;&gt;"",IF(AND(AX398:AX399&lt;&gt;"IE",AQ400&lt;&gt;0,AS400&lt;&gt;""),IF(IFERROR((AQ400/AS400),0) &lt;=1,IFERROR(AQ400/AS400,""),1),""),"")</f>
        <v/>
      </c>
      <c r="AY400" s="46"/>
      <c r="AZ400" s="57"/>
    </row>
    <row r="401" spans="1:52" ht="15.5" x14ac:dyDescent="0.35">
      <c r="A401" s="51">
        <f t="shared" si="109"/>
        <v>1</v>
      </c>
      <c r="B401" s="52"/>
      <c r="C401" s="52"/>
      <c r="D401" s="29" t="str">
        <f>IFERROR(
IF(AND(OR(Planilla!B401="C",Planilla!B401="c"), VLOOKUP(E401,[1]Diccionario!B:N,13,0)="C"), "OK",IF(AND(OR(Planilla!B401="C",Planilla!B401="c"), OR(VLOOKUP(E401,[1]Diccionario!B:N,13,0)="B", VLOOKUP(E401,[1]Diccionario!B:N,13,0)="A")), "DEFICIT",IF(
AND(OR(Planilla!B401="B", Planilla!B401="BPAL"), VLOOKUP(E401,[1]Diccionario!B:N,13,0)="B"), "OK",IF(AND(OR(Planilla!B401="B", Planilla!B401="BPAL"), VLOOKUP(E401,[1]Diccionario!B:N,13,0)="A"), "DEFICIT",IF(AND(OR(Planilla!B401="B", Planilla!B401="BPAL"), VLOOKUP(E401,[1]Diccionario!B:N,13,0)="C"), "SOBREOFERTA",IF(AND(Planilla!B401="A", VLOOKUP(E401,[1]Diccionario!B:N,13,0)="A"), "OK",IF(
AND(Planilla!B401="A", OR(VLOOKUP(E401,[1]Diccionario!B:N,13,0)="B", VLOOKUP(E401,[1]Diccionario!B:N,13,0)="C")), "SOBREOFERTA",""
))))))),"")</f>
        <v/>
      </c>
      <c r="E401" s="48"/>
      <c r="F401" s="53"/>
      <c r="G401" s="54"/>
      <c r="H401" s="55" t="str">
        <f t="shared" si="102"/>
        <v/>
      </c>
      <c r="I401" s="35"/>
      <c r="J401" s="34" t="e">
        <f>IF(A401&lt;&gt;"",HLOOKUP(VALUE(TEXT(G401,"h:mm:ss")),IF($C$6="Laboral",[1]Input!$A$4:$Y$227,IF($C$6="Sábado",[1]Input!$A$231:$Y$452,[1]Input!$A$456:$Y$656)),VLOOKUP($C$4,[1]Input!$AG$2:$AI$99,3,0)+IF(C$5="Ida",0,1),1),"")</f>
        <v>#N/A</v>
      </c>
      <c r="K401" s="34" t="str">
        <f>IF(A402&lt;&gt;A401,AVERAGEIF(A$9:A401,A401,J$13:J401),"")</f>
        <v/>
      </c>
      <c r="L401" s="35" t="str">
        <f>IFERROR(IF(A402&lt;&gt;A401,AVERAGEIF(A$9:A401,A401,S$13:S401),""),"")</f>
        <v/>
      </c>
      <c r="M401" s="35" t="str">
        <f>IFERROR(IF(A402&lt;&gt;A401,AVERAGEIF(A$9:A401,A401,T$8:T401),""),"")</f>
        <v/>
      </c>
      <c r="N401" s="35" t="str" cm="1">
        <f t="array" ref="N401">IFERROR(IF(A402&lt;&gt;A401,_xlfn.STDEV.P(IF(A$9:A401=A401,T$7:T401)),""),"")</f>
        <v/>
      </c>
      <c r="O401" s="35" t="str" cm="1">
        <f t="array" ref="O401">IFERROR(IF(A402&lt;&gt;A401,_xlfn.STDEV.P(IF(A$9:A401=A401,S$7:S401)),""),"")</f>
        <v/>
      </c>
      <c r="P401" s="36" t="str">
        <f t="shared" si="95"/>
        <v/>
      </c>
      <c r="Q401" s="36" t="str">
        <f t="shared" si="96"/>
        <v/>
      </c>
      <c r="R401" s="36" t="str">
        <f t="shared" si="103"/>
        <v/>
      </c>
      <c r="S401" s="37" t="str">
        <f t="shared" si="104"/>
        <v/>
      </c>
      <c r="T401" s="37" t="str">
        <f t="shared" si="97"/>
        <v/>
      </c>
      <c r="U401" s="54"/>
      <c r="V401" s="46"/>
      <c r="W401" s="39" t="str">
        <f t="shared" si="105"/>
        <v/>
      </c>
      <c r="X401" s="38"/>
      <c r="Y401" s="48"/>
      <c r="AB401" s="56">
        <f t="shared" si="106"/>
        <v>1</v>
      </c>
      <c r="AC401" s="52"/>
      <c r="AD401" s="52"/>
      <c r="AE401" s="29" t="str">
        <f>IFERROR(
IF(AND(OR(AC401="C",AC401="c"), VLOOKUP(AF401,[1]Diccionario!B:N,13,0)="C"), "OK",IF(AND(OR(AC401="C",AC401="c"), OR(VLOOKUP(AF401,[1]Diccionario!B:N,13,0)="B", VLOOKUP(AF401,[1]Diccionario!B:N,13,0)="A")), "DEFICIT",IF(
AND(OR(AC401="B", AC401="BPAL"), VLOOKUP(AF401,[1]Diccionario!B:N,13,0)="B"), "OK",IF(AND(OR(AC401="B", AC401="BPAL"), VLOOKUP(AF401,[1]Diccionario!B:N,13,0)="A"), "DEFICIT",IF(AND(OR(AC401="B", AC401="BPAL"), VLOOKUP(AF401,[1]Diccionario!B:N,13,0)="C"), "SOBREOFERTA",IF(AND(AC401="A", VLOOKUP(AF401,[1]Diccionario!B:N,13,0)="A"), "OK",IF(
AND(AC401="A", OR(VLOOKUP(AF401,[1]Diccionario!B:N,13,0)="B", VLOOKUP(AF401,[1]Diccionario!B:N,13,0)="C")), "SOBREOFERTA",""
))))))),"")</f>
        <v/>
      </c>
      <c r="AF401" s="48"/>
      <c r="AG401" s="53"/>
      <c r="AH401" s="54"/>
      <c r="AI401" s="55" t="str">
        <f t="shared" si="107"/>
        <v/>
      </c>
      <c r="AJ401" s="46"/>
      <c r="AK401" s="34" t="e">
        <f>IF(AB401&lt;&gt;"",HLOOKUP(VALUE(TEXT(AH401,"h:mm:ss")),IF($C$6="Laboral",[1]Input!$A$4:$Y$227,IF($C$6="Sábado",[1]Input!$A$231:$Y$452,[1]Input!$A$456:$Y$656)),VLOOKUP($C$4,[1]Input!$AG$2:$AI$99,3,0)+IF(AD$5="Ida",0,1),1),"")</f>
        <v>#N/A</v>
      </c>
      <c r="AL401" s="34" t="str">
        <f>IF(AB402&lt;&gt;AB401,AVERAGEIF(AB$9:AB401,AB401,AK$9:AK401),"")</f>
        <v/>
      </c>
      <c r="AM401" s="35" t="str">
        <f>IFERROR(IF(AB402&lt;&gt;AB401,AVERAGEIF(AB$9:AB401,AB401,AT$9:AT401),""),"")</f>
        <v/>
      </c>
      <c r="AN401" s="35" t="str">
        <f>IFERROR(IF(AB402&lt;&gt;AB401,AVERAGEIF(AB$9:AB401,AB401,AU$9:AU401),""),"")</f>
        <v/>
      </c>
      <c r="AO401" s="35" t="str" cm="1">
        <f t="array" ref="AO401">IFERROR(IF(AB402&lt;&gt;AB401,_xlfn.STDEV.P(IF(AB$9:AB401=AB401,AU$9:AU401)),""),"")</f>
        <v/>
      </c>
      <c r="AP401" s="35" t="str" cm="1">
        <f t="array" ref="AP401">IFERROR(IF(AB402&lt;&gt;AB401,_xlfn.STDEV.P(IF(AB$9:AB401=AB401,AT$9:AT401)),""),"")</f>
        <v/>
      </c>
      <c r="AQ401" s="36" t="str">
        <f t="shared" si="98"/>
        <v/>
      </c>
      <c r="AR401" s="36" t="str">
        <f t="shared" si="99"/>
        <v/>
      </c>
      <c r="AS401" s="36" t="str">
        <f t="shared" si="108"/>
        <v/>
      </c>
      <c r="AT401" s="37" t="str">
        <f t="shared" si="100"/>
        <v/>
      </c>
      <c r="AU401" s="37" t="str">
        <f t="shared" si="101"/>
        <v/>
      </c>
      <c r="AV401" s="54"/>
      <c r="AW401" s="46"/>
      <c r="AX401" s="39" t="str" cm="1">
        <f t="array" ref="AX401">IF(AH401&lt;&gt;"",IF(AND(AX399:AX400&lt;&gt;"IE",AQ401&lt;&gt;0,AS401&lt;&gt;""),IF(IFERROR((AQ401/AS401),0) &lt;=1,IFERROR(AQ401/AS401,""),1),""),"")</f>
        <v/>
      </c>
      <c r="AY401" s="46"/>
      <c r="AZ401" s="57"/>
    </row>
    <row r="402" spans="1:52" ht="15.5" x14ac:dyDescent="0.35">
      <c r="A402" s="51">
        <f t="shared" si="109"/>
        <v>1</v>
      </c>
      <c r="B402" s="52"/>
      <c r="C402" s="52"/>
      <c r="D402" s="29" t="str">
        <f>IFERROR(
IF(AND(OR(Planilla!B402="C",Planilla!B402="c"), VLOOKUP(E402,[1]Diccionario!B:N,13,0)="C"), "OK",IF(AND(OR(Planilla!B402="C",Planilla!B402="c"), OR(VLOOKUP(E402,[1]Diccionario!B:N,13,0)="B", VLOOKUP(E402,[1]Diccionario!B:N,13,0)="A")), "DEFICIT",IF(
AND(OR(Planilla!B402="B", Planilla!B402="BPAL"), VLOOKUP(E402,[1]Diccionario!B:N,13,0)="B"), "OK",IF(AND(OR(Planilla!B402="B", Planilla!B402="BPAL"), VLOOKUP(E402,[1]Diccionario!B:N,13,0)="A"), "DEFICIT",IF(AND(OR(Planilla!B402="B", Planilla!B402="BPAL"), VLOOKUP(E402,[1]Diccionario!B:N,13,0)="C"), "SOBREOFERTA",IF(AND(Planilla!B402="A", VLOOKUP(E402,[1]Diccionario!B:N,13,0)="A"), "OK",IF(
AND(Planilla!B402="A", OR(VLOOKUP(E402,[1]Diccionario!B:N,13,0)="B", VLOOKUP(E402,[1]Diccionario!B:N,13,0)="C")), "SOBREOFERTA",""
))))))),"")</f>
        <v/>
      </c>
      <c r="E402" s="48"/>
      <c r="F402" s="53"/>
      <c r="G402" s="54"/>
      <c r="H402" s="55" t="str">
        <f t="shared" si="102"/>
        <v/>
      </c>
      <c r="I402" s="35"/>
      <c r="J402" s="34" t="e">
        <f>IF(A402&lt;&gt;"",HLOOKUP(VALUE(TEXT(G402,"h:mm:ss")),IF($C$6="Laboral",[1]Input!$A$4:$Y$227,IF($C$6="Sábado",[1]Input!$A$231:$Y$452,[1]Input!$A$456:$Y$656)),VLOOKUP($C$4,[1]Input!$AG$2:$AI$99,3,0)+IF(C$5="Ida",0,1),1),"")</f>
        <v>#N/A</v>
      </c>
      <c r="K402" s="34" t="str">
        <f>IF(A403&lt;&gt;A402,AVERAGEIF(A$9:A402,A402,J$13:J402),"")</f>
        <v/>
      </c>
      <c r="L402" s="35" t="str">
        <f>IFERROR(IF(A403&lt;&gt;A402,AVERAGEIF(A$9:A402,A402,S$13:S402),""),"")</f>
        <v/>
      </c>
      <c r="M402" s="35" t="str">
        <f>IFERROR(IF(A403&lt;&gt;A402,AVERAGEIF(A$9:A402,A402,T$8:T402),""),"")</f>
        <v/>
      </c>
      <c r="N402" s="35" t="str" cm="1">
        <f t="array" ref="N402">IFERROR(IF(A403&lt;&gt;A402,_xlfn.STDEV.P(IF(A$9:A402=A402,T$7:T402)),""),"")</f>
        <v/>
      </c>
      <c r="O402" s="35" t="str" cm="1">
        <f t="array" ref="O402">IFERROR(IF(A403&lt;&gt;A402,_xlfn.STDEV.P(IF(A$9:A402=A402,S$7:S402)),""),"")</f>
        <v/>
      </c>
      <c r="P402" s="36" t="str">
        <f t="shared" si="95"/>
        <v/>
      </c>
      <c r="Q402" s="36" t="str">
        <f t="shared" si="96"/>
        <v/>
      </c>
      <c r="R402" s="36" t="str">
        <f t="shared" si="103"/>
        <v/>
      </c>
      <c r="S402" s="37" t="str">
        <f t="shared" si="104"/>
        <v/>
      </c>
      <c r="T402" s="37" t="str">
        <f t="shared" si="97"/>
        <v/>
      </c>
      <c r="U402" s="54"/>
      <c r="V402" s="46"/>
      <c r="W402" s="39" t="str">
        <f t="shared" si="105"/>
        <v/>
      </c>
      <c r="X402" s="38"/>
      <c r="Y402" s="48"/>
      <c r="AB402" s="56">
        <f t="shared" si="106"/>
        <v>1</v>
      </c>
      <c r="AC402" s="52"/>
      <c r="AD402" s="52"/>
      <c r="AE402" s="29" t="str">
        <f>IFERROR(
IF(AND(OR(AC402="C",AC402="c"), VLOOKUP(AF402,[1]Diccionario!B:N,13,0)="C"), "OK",IF(AND(OR(AC402="C",AC402="c"), OR(VLOOKUP(AF402,[1]Diccionario!B:N,13,0)="B", VLOOKUP(AF402,[1]Diccionario!B:N,13,0)="A")), "DEFICIT",IF(
AND(OR(AC402="B", AC402="BPAL"), VLOOKUP(AF402,[1]Diccionario!B:N,13,0)="B"), "OK",IF(AND(OR(AC402="B", AC402="BPAL"), VLOOKUP(AF402,[1]Diccionario!B:N,13,0)="A"), "DEFICIT",IF(AND(OR(AC402="B", AC402="BPAL"), VLOOKUP(AF402,[1]Diccionario!B:N,13,0)="C"), "SOBREOFERTA",IF(AND(AC402="A", VLOOKUP(AF402,[1]Diccionario!B:N,13,0)="A"), "OK",IF(
AND(AC402="A", OR(VLOOKUP(AF402,[1]Diccionario!B:N,13,0)="B", VLOOKUP(AF402,[1]Diccionario!B:N,13,0)="C")), "SOBREOFERTA",""
))))))),"")</f>
        <v/>
      </c>
      <c r="AF402" s="48"/>
      <c r="AG402" s="53"/>
      <c r="AH402" s="54"/>
      <c r="AI402" s="55" t="str">
        <f t="shared" si="107"/>
        <v/>
      </c>
      <c r="AJ402" s="46"/>
      <c r="AK402" s="34" t="e">
        <f>IF(AB402&lt;&gt;"",HLOOKUP(VALUE(TEXT(AH402,"h:mm:ss")),IF($C$6="Laboral",[1]Input!$A$4:$Y$227,IF($C$6="Sábado",[1]Input!$A$231:$Y$452,[1]Input!$A$456:$Y$656)),VLOOKUP($C$4,[1]Input!$AG$2:$AI$99,3,0)+IF(AD$5="Ida",0,1),1),"")</f>
        <v>#N/A</v>
      </c>
      <c r="AL402" s="34" t="str">
        <f>IF(AB403&lt;&gt;AB402,AVERAGEIF(AB$9:AB402,AB402,AK$9:AK402),"")</f>
        <v/>
      </c>
      <c r="AM402" s="35" t="str">
        <f>IFERROR(IF(AB403&lt;&gt;AB402,AVERAGEIF(AB$9:AB402,AB402,AT$9:AT402),""),"")</f>
        <v/>
      </c>
      <c r="AN402" s="35" t="str">
        <f>IFERROR(IF(AB403&lt;&gt;AB402,AVERAGEIF(AB$9:AB402,AB402,AU$9:AU402),""),"")</f>
        <v/>
      </c>
      <c r="AO402" s="35" t="str" cm="1">
        <f t="array" ref="AO402">IFERROR(IF(AB403&lt;&gt;AB402,_xlfn.STDEV.P(IF(AB$9:AB402=AB402,AU$9:AU402)),""),"")</f>
        <v/>
      </c>
      <c r="AP402" s="35" t="str" cm="1">
        <f t="array" ref="AP402">IFERROR(IF(AB403&lt;&gt;AB402,_xlfn.STDEV.P(IF(AB$9:AB402=AB402,AT$9:AT402)),""),"")</f>
        <v/>
      </c>
      <c r="AQ402" s="36" t="str">
        <f t="shared" si="98"/>
        <v/>
      </c>
      <c r="AR402" s="36" t="str">
        <f t="shared" si="99"/>
        <v/>
      </c>
      <c r="AS402" s="36" t="str">
        <f t="shared" si="108"/>
        <v/>
      </c>
      <c r="AT402" s="37" t="str">
        <f t="shared" si="100"/>
        <v/>
      </c>
      <c r="AU402" s="37" t="str">
        <f t="shared" si="101"/>
        <v/>
      </c>
      <c r="AV402" s="54"/>
      <c r="AW402" s="46"/>
      <c r="AX402" s="39" t="str" cm="1">
        <f t="array" ref="AX402">IF(AH402&lt;&gt;"",IF(AND(AX400:AX401&lt;&gt;"IE",AQ402&lt;&gt;0,AS402&lt;&gt;""),IF(IFERROR((AQ402/AS402),0) &lt;=1,IFERROR(AQ402/AS402,""),1),""),"")</f>
        <v/>
      </c>
      <c r="AY402" s="46"/>
      <c r="AZ402" s="57"/>
    </row>
    <row r="403" spans="1:52" ht="15.5" x14ac:dyDescent="0.35">
      <c r="A403" s="51">
        <f t="shared" si="109"/>
        <v>1</v>
      </c>
      <c r="B403" s="52"/>
      <c r="C403" s="52"/>
      <c r="D403" s="29" t="str">
        <f>IFERROR(
IF(AND(OR(Planilla!B403="C",Planilla!B403="c"), VLOOKUP(E403,[1]Diccionario!B:N,13,0)="C"), "OK",IF(AND(OR(Planilla!B403="C",Planilla!B403="c"), OR(VLOOKUP(E403,[1]Diccionario!B:N,13,0)="B", VLOOKUP(E403,[1]Diccionario!B:N,13,0)="A")), "DEFICIT",IF(
AND(OR(Planilla!B403="B", Planilla!B403="BPAL"), VLOOKUP(E403,[1]Diccionario!B:N,13,0)="B"), "OK",IF(AND(OR(Planilla!B403="B", Planilla!B403="BPAL"), VLOOKUP(E403,[1]Diccionario!B:N,13,0)="A"), "DEFICIT",IF(AND(OR(Planilla!B403="B", Planilla!B403="BPAL"), VLOOKUP(E403,[1]Diccionario!B:N,13,0)="C"), "SOBREOFERTA",IF(AND(Planilla!B403="A", VLOOKUP(E403,[1]Diccionario!B:N,13,0)="A"), "OK",IF(
AND(Planilla!B403="A", OR(VLOOKUP(E403,[1]Diccionario!B:N,13,0)="B", VLOOKUP(E403,[1]Diccionario!B:N,13,0)="C")), "SOBREOFERTA",""
))))))),"")</f>
        <v/>
      </c>
      <c r="E403" s="48"/>
      <c r="F403" s="53"/>
      <c r="G403" s="54"/>
      <c r="H403" s="55" t="str">
        <f t="shared" si="102"/>
        <v/>
      </c>
      <c r="I403" s="35"/>
      <c r="J403" s="34" t="e">
        <f>IF(A403&lt;&gt;"",HLOOKUP(VALUE(TEXT(G403,"h:mm:ss")),IF($C$6="Laboral",[1]Input!$A$4:$Y$227,IF($C$6="Sábado",[1]Input!$A$231:$Y$452,[1]Input!$A$456:$Y$656)),VLOOKUP($C$4,[1]Input!$AG$2:$AI$99,3,0)+IF(C$5="Ida",0,1),1),"")</f>
        <v>#N/A</v>
      </c>
      <c r="K403" s="34" t="str">
        <f>IF(A404&lt;&gt;A403,AVERAGEIF(A$9:A403,A403,J$13:J403),"")</f>
        <v/>
      </c>
      <c r="L403" s="35" t="str">
        <f>IFERROR(IF(A404&lt;&gt;A403,AVERAGEIF(A$9:A403,A403,S$13:S403),""),"")</f>
        <v/>
      </c>
      <c r="M403" s="35" t="str">
        <f>IFERROR(IF(A404&lt;&gt;A403,AVERAGEIF(A$9:A403,A403,T$8:T403),""),"")</f>
        <v/>
      </c>
      <c r="N403" s="35" t="str" cm="1">
        <f t="array" ref="N403">IFERROR(IF(A404&lt;&gt;A403,_xlfn.STDEV.P(IF(A$9:A403=A403,T$7:T403)),""),"")</f>
        <v/>
      </c>
      <c r="O403" s="35" t="str" cm="1">
        <f t="array" ref="O403">IFERROR(IF(A404&lt;&gt;A403,_xlfn.STDEV.P(IF(A$9:A403=A403,S$7:S403)),""),"")</f>
        <v/>
      </c>
      <c r="P403" s="36" t="str">
        <f t="shared" si="95"/>
        <v/>
      </c>
      <c r="Q403" s="36" t="str">
        <f t="shared" si="96"/>
        <v/>
      </c>
      <c r="R403" s="36" t="str">
        <f t="shared" si="103"/>
        <v/>
      </c>
      <c r="S403" s="37" t="str">
        <f t="shared" si="104"/>
        <v/>
      </c>
      <c r="T403" s="37" t="str">
        <f t="shared" si="97"/>
        <v/>
      </c>
      <c r="U403" s="54"/>
      <c r="V403" s="46"/>
      <c r="W403" s="39" t="str">
        <f t="shared" si="105"/>
        <v/>
      </c>
      <c r="X403" s="38"/>
      <c r="Y403" s="48"/>
      <c r="AB403" s="56">
        <f t="shared" si="106"/>
        <v>1</v>
      </c>
      <c r="AC403" s="52"/>
      <c r="AD403" s="52"/>
      <c r="AE403" s="29" t="str">
        <f>IFERROR(
IF(AND(OR(AC403="C",AC403="c"), VLOOKUP(AF403,[1]Diccionario!B:N,13,0)="C"), "OK",IF(AND(OR(AC403="C",AC403="c"), OR(VLOOKUP(AF403,[1]Diccionario!B:N,13,0)="B", VLOOKUP(AF403,[1]Diccionario!B:N,13,0)="A")), "DEFICIT",IF(
AND(OR(AC403="B", AC403="BPAL"), VLOOKUP(AF403,[1]Diccionario!B:N,13,0)="B"), "OK",IF(AND(OR(AC403="B", AC403="BPAL"), VLOOKUP(AF403,[1]Diccionario!B:N,13,0)="A"), "DEFICIT",IF(AND(OR(AC403="B", AC403="BPAL"), VLOOKUP(AF403,[1]Diccionario!B:N,13,0)="C"), "SOBREOFERTA",IF(AND(AC403="A", VLOOKUP(AF403,[1]Diccionario!B:N,13,0)="A"), "OK",IF(
AND(AC403="A", OR(VLOOKUP(AF403,[1]Diccionario!B:N,13,0)="B", VLOOKUP(AF403,[1]Diccionario!B:N,13,0)="C")), "SOBREOFERTA",""
))))))),"")</f>
        <v/>
      </c>
      <c r="AF403" s="48"/>
      <c r="AG403" s="53"/>
      <c r="AH403" s="54"/>
      <c r="AI403" s="55" t="str">
        <f t="shared" si="107"/>
        <v/>
      </c>
      <c r="AJ403" s="46"/>
      <c r="AK403" s="34" t="e">
        <f>IF(AB403&lt;&gt;"",HLOOKUP(VALUE(TEXT(AH403,"h:mm:ss")),IF($C$6="Laboral",[1]Input!$A$4:$Y$227,IF($C$6="Sábado",[1]Input!$A$231:$Y$452,[1]Input!$A$456:$Y$656)),VLOOKUP($C$4,[1]Input!$AG$2:$AI$99,3,0)+IF(AD$5="Ida",0,1),1),"")</f>
        <v>#N/A</v>
      </c>
      <c r="AL403" s="34" t="str">
        <f>IF(AB404&lt;&gt;AB403,AVERAGEIF(AB$9:AB403,AB403,AK$9:AK403),"")</f>
        <v/>
      </c>
      <c r="AM403" s="35" t="str">
        <f>IFERROR(IF(AB404&lt;&gt;AB403,AVERAGEIF(AB$9:AB403,AB403,AT$9:AT403),""),"")</f>
        <v/>
      </c>
      <c r="AN403" s="35" t="str">
        <f>IFERROR(IF(AB404&lt;&gt;AB403,AVERAGEIF(AB$9:AB403,AB403,AU$9:AU403),""),"")</f>
        <v/>
      </c>
      <c r="AO403" s="35" t="str" cm="1">
        <f t="array" ref="AO403">IFERROR(IF(AB404&lt;&gt;AB403,_xlfn.STDEV.P(IF(AB$9:AB403=AB403,AU$9:AU403)),""),"")</f>
        <v/>
      </c>
      <c r="AP403" s="35" t="str" cm="1">
        <f t="array" ref="AP403">IFERROR(IF(AB404&lt;&gt;AB403,_xlfn.STDEV.P(IF(AB$9:AB403=AB403,AT$9:AT403)),""),"")</f>
        <v/>
      </c>
      <c r="AQ403" s="36" t="str">
        <f t="shared" si="98"/>
        <v/>
      </c>
      <c r="AR403" s="36" t="str">
        <f t="shared" si="99"/>
        <v/>
      </c>
      <c r="AS403" s="36" t="str">
        <f t="shared" si="108"/>
        <v/>
      </c>
      <c r="AT403" s="37" t="str">
        <f t="shared" si="100"/>
        <v/>
      </c>
      <c r="AU403" s="37" t="str">
        <f t="shared" si="101"/>
        <v/>
      </c>
      <c r="AV403" s="54"/>
      <c r="AW403" s="46"/>
      <c r="AX403" s="39" t="str" cm="1">
        <f t="array" ref="AX403">IF(AH403&lt;&gt;"",IF(AND(AX401:AX402&lt;&gt;"IE",AQ403&lt;&gt;0,AS403&lt;&gt;""),IF(IFERROR((AQ403/AS403),0) &lt;=1,IFERROR(AQ403/AS403,""),1),""),"")</f>
        <v/>
      </c>
      <c r="AY403" s="46"/>
      <c r="AZ403" s="57"/>
    </row>
    <row r="404" spans="1:52" ht="15.5" x14ac:dyDescent="0.35">
      <c r="A404" s="51">
        <f t="shared" si="109"/>
        <v>1</v>
      </c>
      <c r="B404" s="52"/>
      <c r="C404" s="52"/>
      <c r="D404" s="29" t="str">
        <f>IFERROR(
IF(AND(OR(Planilla!B404="C",Planilla!B404="c"), VLOOKUP(E404,[1]Diccionario!B:N,13,0)="C"), "OK",IF(AND(OR(Planilla!B404="C",Planilla!B404="c"), OR(VLOOKUP(E404,[1]Diccionario!B:N,13,0)="B", VLOOKUP(E404,[1]Diccionario!B:N,13,0)="A")), "DEFICIT",IF(
AND(OR(Planilla!B404="B", Planilla!B404="BPAL"), VLOOKUP(E404,[1]Diccionario!B:N,13,0)="B"), "OK",IF(AND(OR(Planilla!B404="B", Planilla!B404="BPAL"), VLOOKUP(E404,[1]Diccionario!B:N,13,0)="A"), "DEFICIT",IF(AND(OR(Planilla!B404="B", Planilla!B404="BPAL"), VLOOKUP(E404,[1]Diccionario!B:N,13,0)="C"), "SOBREOFERTA",IF(AND(Planilla!B404="A", VLOOKUP(E404,[1]Diccionario!B:N,13,0)="A"), "OK",IF(
AND(Planilla!B404="A", OR(VLOOKUP(E404,[1]Diccionario!B:N,13,0)="B", VLOOKUP(E404,[1]Diccionario!B:N,13,0)="C")), "SOBREOFERTA",""
))))))),"")</f>
        <v/>
      </c>
      <c r="E404" s="48"/>
      <c r="F404" s="53"/>
      <c r="G404" s="54"/>
      <c r="H404" s="55" t="str">
        <f t="shared" si="102"/>
        <v/>
      </c>
      <c r="I404" s="35"/>
      <c r="J404" s="34" t="e">
        <f>IF(A404&lt;&gt;"",HLOOKUP(VALUE(TEXT(G404,"h:mm:ss")),IF($C$6="Laboral",[1]Input!$A$4:$Y$227,IF($C$6="Sábado",[1]Input!$A$231:$Y$452,[1]Input!$A$456:$Y$656)),VLOOKUP($C$4,[1]Input!$AG$2:$AI$99,3,0)+IF(C$5="Ida",0,1),1),"")</f>
        <v>#N/A</v>
      </c>
      <c r="K404" s="34" t="str">
        <f>IF(A405&lt;&gt;A404,AVERAGEIF(A$9:A404,A404,J$13:J404),"")</f>
        <v/>
      </c>
      <c r="L404" s="35" t="str">
        <f>IFERROR(IF(A405&lt;&gt;A404,AVERAGEIF(A$9:A404,A404,S$13:S404),""),"")</f>
        <v/>
      </c>
      <c r="M404" s="35" t="str">
        <f>IFERROR(IF(A405&lt;&gt;A404,AVERAGEIF(A$9:A404,A404,T$8:T404),""),"")</f>
        <v/>
      </c>
      <c r="N404" s="35" t="str" cm="1">
        <f t="array" ref="N404">IFERROR(IF(A405&lt;&gt;A404,_xlfn.STDEV.P(IF(A$9:A404=A404,T$7:T404)),""),"")</f>
        <v/>
      </c>
      <c r="O404" s="35" t="str" cm="1">
        <f t="array" ref="O404">IFERROR(IF(A405&lt;&gt;A404,_xlfn.STDEV.P(IF(A$9:A404=A404,S$7:S404)),""),"")</f>
        <v/>
      </c>
      <c r="P404" s="36" t="str">
        <f t="shared" si="95"/>
        <v/>
      </c>
      <c r="Q404" s="36" t="str">
        <f t="shared" si="96"/>
        <v/>
      </c>
      <c r="R404" s="36" t="str">
        <f t="shared" si="103"/>
        <v/>
      </c>
      <c r="S404" s="37" t="str">
        <f t="shared" si="104"/>
        <v/>
      </c>
      <c r="T404" s="37" t="str">
        <f t="shared" si="97"/>
        <v/>
      </c>
      <c r="U404" s="54"/>
      <c r="V404" s="46"/>
      <c r="W404" s="39" t="str">
        <f t="shared" si="105"/>
        <v/>
      </c>
      <c r="X404" s="38"/>
      <c r="Y404" s="48"/>
      <c r="AB404" s="56">
        <f t="shared" si="106"/>
        <v>1</v>
      </c>
      <c r="AC404" s="52"/>
      <c r="AD404" s="52"/>
      <c r="AE404" s="29" t="str">
        <f>IFERROR(
IF(AND(OR(AC404="C",AC404="c"), VLOOKUP(AF404,[1]Diccionario!B:N,13,0)="C"), "OK",IF(AND(OR(AC404="C",AC404="c"), OR(VLOOKUP(AF404,[1]Diccionario!B:N,13,0)="B", VLOOKUP(AF404,[1]Diccionario!B:N,13,0)="A")), "DEFICIT",IF(
AND(OR(AC404="B", AC404="BPAL"), VLOOKUP(AF404,[1]Diccionario!B:N,13,0)="B"), "OK",IF(AND(OR(AC404="B", AC404="BPAL"), VLOOKUP(AF404,[1]Diccionario!B:N,13,0)="A"), "DEFICIT",IF(AND(OR(AC404="B", AC404="BPAL"), VLOOKUP(AF404,[1]Diccionario!B:N,13,0)="C"), "SOBREOFERTA",IF(AND(AC404="A", VLOOKUP(AF404,[1]Diccionario!B:N,13,0)="A"), "OK",IF(
AND(AC404="A", OR(VLOOKUP(AF404,[1]Diccionario!B:N,13,0)="B", VLOOKUP(AF404,[1]Diccionario!B:N,13,0)="C")), "SOBREOFERTA",""
))))))),"")</f>
        <v/>
      </c>
      <c r="AF404" s="48"/>
      <c r="AG404" s="53"/>
      <c r="AH404" s="54"/>
      <c r="AI404" s="55" t="str">
        <f t="shared" si="107"/>
        <v/>
      </c>
      <c r="AJ404" s="46"/>
      <c r="AK404" s="34" t="e">
        <f>IF(AB404&lt;&gt;"",HLOOKUP(VALUE(TEXT(AH404,"h:mm:ss")),IF($C$6="Laboral",[1]Input!$A$4:$Y$227,IF($C$6="Sábado",[1]Input!$A$231:$Y$452,[1]Input!$A$456:$Y$656)),VLOOKUP($C$4,[1]Input!$AG$2:$AI$99,3,0)+IF(AD$5="Ida",0,1),1),"")</f>
        <v>#N/A</v>
      </c>
      <c r="AL404" s="34" t="str">
        <f>IF(AB405&lt;&gt;AB404,AVERAGEIF(AB$9:AB404,AB404,AK$9:AK404),"")</f>
        <v/>
      </c>
      <c r="AM404" s="35" t="str">
        <f>IFERROR(IF(AB405&lt;&gt;AB404,AVERAGEIF(AB$9:AB404,AB404,AT$9:AT404),""),"")</f>
        <v/>
      </c>
      <c r="AN404" s="35" t="str">
        <f>IFERROR(IF(AB405&lt;&gt;AB404,AVERAGEIF(AB$9:AB404,AB404,AU$9:AU404),""),"")</f>
        <v/>
      </c>
      <c r="AO404" s="35" t="str" cm="1">
        <f t="array" ref="AO404">IFERROR(IF(AB405&lt;&gt;AB404,_xlfn.STDEV.P(IF(AB$9:AB404=AB404,AU$9:AU404)),""),"")</f>
        <v/>
      </c>
      <c r="AP404" s="35" t="str" cm="1">
        <f t="array" ref="AP404">IFERROR(IF(AB405&lt;&gt;AB404,_xlfn.STDEV.P(IF(AB$9:AB404=AB404,AT$9:AT404)),""),"")</f>
        <v/>
      </c>
      <c r="AQ404" s="36" t="str">
        <f t="shared" si="98"/>
        <v/>
      </c>
      <c r="AR404" s="36" t="str">
        <f t="shared" si="99"/>
        <v/>
      </c>
      <c r="AS404" s="36" t="str">
        <f t="shared" si="108"/>
        <v/>
      </c>
      <c r="AT404" s="37" t="str">
        <f t="shared" si="100"/>
        <v/>
      </c>
      <c r="AU404" s="37" t="str">
        <f t="shared" si="101"/>
        <v/>
      </c>
      <c r="AV404" s="54"/>
      <c r="AW404" s="46"/>
      <c r="AX404" s="39" t="str" cm="1">
        <f t="array" ref="AX404">IF(AH404&lt;&gt;"",IF(AND(AX402:AX403&lt;&gt;"IE",AQ404&lt;&gt;0,AS404&lt;&gt;""),IF(IFERROR((AQ404/AS404),0) &lt;=1,IFERROR(AQ404/AS404,""),1),""),"")</f>
        <v/>
      </c>
      <c r="AY404" s="46"/>
      <c r="AZ404" s="57"/>
    </row>
    <row r="405" spans="1:52" ht="15.5" x14ac:dyDescent="0.35">
      <c r="A405" s="51">
        <f t="shared" si="109"/>
        <v>1</v>
      </c>
      <c r="B405" s="52"/>
      <c r="C405" s="52"/>
      <c r="D405" s="29" t="str">
        <f>IFERROR(
IF(AND(OR(Planilla!B405="C",Planilla!B405="c"), VLOOKUP(E405,[1]Diccionario!B:N,13,0)="C"), "OK",IF(AND(OR(Planilla!B405="C",Planilla!B405="c"), OR(VLOOKUP(E405,[1]Diccionario!B:N,13,0)="B", VLOOKUP(E405,[1]Diccionario!B:N,13,0)="A")), "DEFICIT",IF(
AND(OR(Planilla!B405="B", Planilla!B405="BPAL"), VLOOKUP(E405,[1]Diccionario!B:N,13,0)="B"), "OK",IF(AND(OR(Planilla!B405="B", Planilla!B405="BPAL"), VLOOKUP(E405,[1]Diccionario!B:N,13,0)="A"), "DEFICIT",IF(AND(OR(Planilla!B405="B", Planilla!B405="BPAL"), VLOOKUP(E405,[1]Diccionario!B:N,13,0)="C"), "SOBREOFERTA",IF(AND(Planilla!B405="A", VLOOKUP(E405,[1]Diccionario!B:N,13,0)="A"), "OK",IF(
AND(Planilla!B405="A", OR(VLOOKUP(E405,[1]Diccionario!B:N,13,0)="B", VLOOKUP(E405,[1]Diccionario!B:N,13,0)="C")), "SOBREOFERTA",""
))))))),"")</f>
        <v/>
      </c>
      <c r="E405" s="48"/>
      <c r="F405" s="53"/>
      <c r="G405" s="54"/>
      <c r="H405" s="55" t="str">
        <f t="shared" si="102"/>
        <v/>
      </c>
      <c r="I405" s="35"/>
      <c r="J405" s="34" t="e">
        <f>IF(A405&lt;&gt;"",HLOOKUP(VALUE(TEXT(G405,"h:mm:ss")),IF($C$6="Laboral",[1]Input!$A$4:$Y$227,IF($C$6="Sábado",[1]Input!$A$231:$Y$452,[1]Input!$A$456:$Y$656)),VLOOKUP($C$4,[1]Input!$AG$2:$AI$99,3,0)+IF(C$5="Ida",0,1),1),"")</f>
        <v>#N/A</v>
      </c>
      <c r="K405" s="34" t="str">
        <f>IF(A406&lt;&gt;A405,AVERAGEIF(A$9:A405,A405,J$13:J405),"")</f>
        <v/>
      </c>
      <c r="L405" s="35" t="str">
        <f>IFERROR(IF(A406&lt;&gt;A405,AVERAGEIF(A$9:A405,A405,S$13:S405),""),"")</f>
        <v/>
      </c>
      <c r="M405" s="35" t="str">
        <f>IFERROR(IF(A406&lt;&gt;A405,AVERAGEIF(A$9:A405,A405,T$8:T405),""),"")</f>
        <v/>
      </c>
      <c r="N405" s="35" t="str" cm="1">
        <f t="array" ref="N405">IFERROR(IF(A406&lt;&gt;A405,_xlfn.STDEV.P(IF(A$9:A405=A405,T$7:T405)),""),"")</f>
        <v/>
      </c>
      <c r="O405" s="35" t="str" cm="1">
        <f t="array" ref="O405">IFERROR(IF(A406&lt;&gt;A405,_xlfn.STDEV.P(IF(A$9:A405=A405,S$7:S405)),""),"")</f>
        <v/>
      </c>
      <c r="P405" s="36" t="str">
        <f t="shared" si="95"/>
        <v/>
      </c>
      <c r="Q405" s="36" t="str">
        <f t="shared" si="96"/>
        <v/>
      </c>
      <c r="R405" s="36" t="str">
        <f t="shared" si="103"/>
        <v/>
      </c>
      <c r="S405" s="37" t="str">
        <f t="shared" si="104"/>
        <v/>
      </c>
      <c r="T405" s="37" t="str">
        <f t="shared" si="97"/>
        <v/>
      </c>
      <c r="U405" s="54"/>
      <c r="V405" s="46"/>
      <c r="W405" s="39" t="str">
        <f t="shared" si="105"/>
        <v/>
      </c>
      <c r="X405" s="38"/>
      <c r="Y405" s="48"/>
      <c r="AB405" s="56">
        <f t="shared" si="106"/>
        <v>1</v>
      </c>
      <c r="AC405" s="52"/>
      <c r="AD405" s="52"/>
      <c r="AE405" s="29" t="str">
        <f>IFERROR(
IF(AND(OR(AC405="C",AC405="c"), VLOOKUP(AF405,[1]Diccionario!B:N,13,0)="C"), "OK",IF(AND(OR(AC405="C",AC405="c"), OR(VLOOKUP(AF405,[1]Diccionario!B:N,13,0)="B", VLOOKUP(AF405,[1]Diccionario!B:N,13,0)="A")), "DEFICIT",IF(
AND(OR(AC405="B", AC405="BPAL"), VLOOKUP(AF405,[1]Diccionario!B:N,13,0)="B"), "OK",IF(AND(OR(AC405="B", AC405="BPAL"), VLOOKUP(AF405,[1]Diccionario!B:N,13,0)="A"), "DEFICIT",IF(AND(OR(AC405="B", AC405="BPAL"), VLOOKUP(AF405,[1]Diccionario!B:N,13,0)="C"), "SOBREOFERTA",IF(AND(AC405="A", VLOOKUP(AF405,[1]Diccionario!B:N,13,0)="A"), "OK",IF(
AND(AC405="A", OR(VLOOKUP(AF405,[1]Diccionario!B:N,13,0)="B", VLOOKUP(AF405,[1]Diccionario!B:N,13,0)="C")), "SOBREOFERTA",""
))))))),"")</f>
        <v/>
      </c>
      <c r="AF405" s="48"/>
      <c r="AG405" s="53"/>
      <c r="AH405" s="54"/>
      <c r="AI405" s="55" t="str">
        <f t="shared" si="107"/>
        <v/>
      </c>
      <c r="AJ405" s="46"/>
      <c r="AK405" s="34" t="e">
        <f>IF(AB405&lt;&gt;"",HLOOKUP(VALUE(TEXT(AH405,"h:mm:ss")),IF($C$6="Laboral",[1]Input!$A$4:$Y$227,IF($C$6="Sábado",[1]Input!$A$231:$Y$452,[1]Input!$A$456:$Y$656)),VLOOKUP($C$4,[1]Input!$AG$2:$AI$99,3,0)+IF(AD$5="Ida",0,1),1),"")</f>
        <v>#N/A</v>
      </c>
      <c r="AL405" s="34" t="str">
        <f>IF(AB406&lt;&gt;AB405,AVERAGEIF(AB$9:AB405,AB405,AK$9:AK405),"")</f>
        <v/>
      </c>
      <c r="AM405" s="35" t="str">
        <f>IFERROR(IF(AB406&lt;&gt;AB405,AVERAGEIF(AB$9:AB405,AB405,AT$9:AT405),""),"")</f>
        <v/>
      </c>
      <c r="AN405" s="35" t="str">
        <f>IFERROR(IF(AB406&lt;&gt;AB405,AVERAGEIF(AB$9:AB405,AB405,AU$9:AU405),""),"")</f>
        <v/>
      </c>
      <c r="AO405" s="35" t="str" cm="1">
        <f t="array" ref="AO405">IFERROR(IF(AB406&lt;&gt;AB405,_xlfn.STDEV.P(IF(AB$9:AB405=AB405,AU$9:AU405)),""),"")</f>
        <v/>
      </c>
      <c r="AP405" s="35" t="str" cm="1">
        <f t="array" ref="AP405">IFERROR(IF(AB406&lt;&gt;AB405,_xlfn.STDEV.P(IF(AB$9:AB405=AB405,AT$9:AT405)),""),"")</f>
        <v/>
      </c>
      <c r="AQ405" s="36" t="str">
        <f t="shared" si="98"/>
        <v/>
      </c>
      <c r="AR405" s="36" t="str">
        <f t="shared" si="99"/>
        <v/>
      </c>
      <c r="AS405" s="36" t="str">
        <f t="shared" si="108"/>
        <v/>
      </c>
      <c r="AT405" s="37" t="str">
        <f t="shared" si="100"/>
        <v/>
      </c>
      <c r="AU405" s="37" t="str">
        <f t="shared" si="101"/>
        <v/>
      </c>
      <c r="AV405" s="54"/>
      <c r="AW405" s="46"/>
      <c r="AX405" s="39" t="str" cm="1">
        <f t="array" ref="AX405">IF(AH405&lt;&gt;"",IF(AND(AX403:AX404&lt;&gt;"IE",AQ405&lt;&gt;0,AS405&lt;&gt;""),IF(IFERROR((AQ405/AS405),0) &lt;=1,IFERROR(AQ405/AS405,""),1),""),"")</f>
        <v/>
      </c>
      <c r="AY405" s="46"/>
      <c r="AZ405" s="57"/>
    </row>
    <row r="406" spans="1:52" ht="15.5" x14ac:dyDescent="0.35">
      <c r="A406" s="51">
        <f t="shared" si="109"/>
        <v>1</v>
      </c>
      <c r="B406" s="52"/>
      <c r="C406" s="52"/>
      <c r="D406" s="29" t="str">
        <f>IFERROR(
IF(AND(OR(Planilla!B406="C",Planilla!B406="c"), VLOOKUP(E406,[1]Diccionario!B:N,13,0)="C"), "OK",IF(AND(OR(Planilla!B406="C",Planilla!B406="c"), OR(VLOOKUP(E406,[1]Diccionario!B:N,13,0)="B", VLOOKUP(E406,[1]Diccionario!B:N,13,0)="A")), "DEFICIT",IF(
AND(OR(Planilla!B406="B", Planilla!B406="BPAL"), VLOOKUP(E406,[1]Diccionario!B:N,13,0)="B"), "OK",IF(AND(OR(Planilla!B406="B", Planilla!B406="BPAL"), VLOOKUP(E406,[1]Diccionario!B:N,13,0)="A"), "DEFICIT",IF(AND(OR(Planilla!B406="B", Planilla!B406="BPAL"), VLOOKUP(E406,[1]Diccionario!B:N,13,0)="C"), "SOBREOFERTA",IF(AND(Planilla!B406="A", VLOOKUP(E406,[1]Diccionario!B:N,13,0)="A"), "OK",IF(
AND(Planilla!B406="A", OR(VLOOKUP(E406,[1]Diccionario!B:N,13,0)="B", VLOOKUP(E406,[1]Diccionario!B:N,13,0)="C")), "SOBREOFERTA",""
))))))),"")</f>
        <v/>
      </c>
      <c r="E406" s="48"/>
      <c r="F406" s="53"/>
      <c r="G406" s="54"/>
      <c r="H406" s="55" t="str">
        <f t="shared" si="102"/>
        <v/>
      </c>
      <c r="I406" s="35"/>
      <c r="J406" s="34" t="e">
        <f>IF(A406&lt;&gt;"",HLOOKUP(VALUE(TEXT(G406,"h:mm:ss")),IF($C$6="Laboral",[1]Input!$A$4:$Y$227,IF($C$6="Sábado",[1]Input!$A$231:$Y$452,[1]Input!$A$456:$Y$656)),VLOOKUP($C$4,[1]Input!$AG$2:$AI$99,3,0)+IF(C$5="Ida",0,1),1),"")</f>
        <v>#N/A</v>
      </c>
      <c r="K406" s="34" t="str">
        <f>IF(A407&lt;&gt;A406,AVERAGEIF(A$9:A406,A406,J$13:J406),"")</f>
        <v/>
      </c>
      <c r="L406" s="35" t="str">
        <f>IFERROR(IF(A407&lt;&gt;A406,AVERAGEIF(A$9:A406,A406,S$13:S406),""),"")</f>
        <v/>
      </c>
      <c r="M406" s="35" t="str">
        <f>IFERROR(IF(A407&lt;&gt;A406,AVERAGEIF(A$9:A406,A406,T$8:T406),""),"")</f>
        <v/>
      </c>
      <c r="N406" s="35" t="str" cm="1">
        <f t="array" ref="N406">IFERROR(IF(A407&lt;&gt;A406,_xlfn.STDEV.P(IF(A$9:A406=A406,T$7:T406)),""),"")</f>
        <v/>
      </c>
      <c r="O406" s="35" t="str" cm="1">
        <f t="array" ref="O406">IFERROR(IF(A407&lt;&gt;A406,_xlfn.STDEV.P(IF(A$9:A406=A406,S$7:S406)),""),"")</f>
        <v/>
      </c>
      <c r="P406" s="36" t="str">
        <f t="shared" si="95"/>
        <v/>
      </c>
      <c r="Q406" s="36" t="str">
        <f t="shared" si="96"/>
        <v/>
      </c>
      <c r="R406" s="36" t="str">
        <f t="shared" si="103"/>
        <v/>
      </c>
      <c r="S406" s="37" t="str">
        <f t="shared" si="104"/>
        <v/>
      </c>
      <c r="T406" s="37" t="str">
        <f t="shared" si="97"/>
        <v/>
      </c>
      <c r="U406" s="54"/>
      <c r="V406" s="46"/>
      <c r="W406" s="39" t="str">
        <f t="shared" si="105"/>
        <v/>
      </c>
      <c r="X406" s="38"/>
      <c r="Y406" s="48"/>
      <c r="AB406" s="56">
        <f t="shared" si="106"/>
        <v>1</v>
      </c>
      <c r="AC406" s="52"/>
      <c r="AD406" s="52"/>
      <c r="AE406" s="29" t="str">
        <f>IFERROR(
IF(AND(OR(AC406="C",AC406="c"), VLOOKUP(AF406,[1]Diccionario!B:N,13,0)="C"), "OK",IF(AND(OR(AC406="C",AC406="c"), OR(VLOOKUP(AF406,[1]Diccionario!B:N,13,0)="B", VLOOKUP(AF406,[1]Diccionario!B:N,13,0)="A")), "DEFICIT",IF(
AND(OR(AC406="B", AC406="BPAL"), VLOOKUP(AF406,[1]Diccionario!B:N,13,0)="B"), "OK",IF(AND(OR(AC406="B", AC406="BPAL"), VLOOKUP(AF406,[1]Diccionario!B:N,13,0)="A"), "DEFICIT",IF(AND(OR(AC406="B", AC406="BPAL"), VLOOKUP(AF406,[1]Diccionario!B:N,13,0)="C"), "SOBREOFERTA",IF(AND(AC406="A", VLOOKUP(AF406,[1]Diccionario!B:N,13,0)="A"), "OK",IF(
AND(AC406="A", OR(VLOOKUP(AF406,[1]Diccionario!B:N,13,0)="B", VLOOKUP(AF406,[1]Diccionario!B:N,13,0)="C")), "SOBREOFERTA",""
))))))),"")</f>
        <v/>
      </c>
      <c r="AF406" s="48"/>
      <c r="AG406" s="53"/>
      <c r="AH406" s="54"/>
      <c r="AI406" s="55" t="str">
        <f t="shared" si="107"/>
        <v/>
      </c>
      <c r="AJ406" s="46"/>
      <c r="AK406" s="34" t="e">
        <f>IF(AB406&lt;&gt;"",HLOOKUP(VALUE(TEXT(AH406,"h:mm:ss")),IF($C$6="Laboral",[1]Input!$A$4:$Y$227,IF($C$6="Sábado",[1]Input!$A$231:$Y$452,[1]Input!$A$456:$Y$656)),VLOOKUP($C$4,[1]Input!$AG$2:$AI$99,3,0)+IF(AD$5="Ida",0,1),1),"")</f>
        <v>#N/A</v>
      </c>
      <c r="AL406" s="34" t="str">
        <f>IF(AB407&lt;&gt;AB406,AVERAGEIF(AB$9:AB406,AB406,AK$9:AK406),"")</f>
        <v/>
      </c>
      <c r="AM406" s="35" t="str">
        <f>IFERROR(IF(AB407&lt;&gt;AB406,AVERAGEIF(AB$9:AB406,AB406,AT$9:AT406),""),"")</f>
        <v/>
      </c>
      <c r="AN406" s="35" t="str">
        <f>IFERROR(IF(AB407&lt;&gt;AB406,AVERAGEIF(AB$9:AB406,AB406,AU$9:AU406),""),"")</f>
        <v/>
      </c>
      <c r="AO406" s="35" t="str" cm="1">
        <f t="array" ref="AO406">IFERROR(IF(AB407&lt;&gt;AB406,_xlfn.STDEV.P(IF(AB$9:AB406=AB406,AU$9:AU406)),""),"")</f>
        <v/>
      </c>
      <c r="AP406" s="35" t="str" cm="1">
        <f t="array" ref="AP406">IFERROR(IF(AB407&lt;&gt;AB406,_xlfn.STDEV.P(IF(AB$9:AB406=AB406,AT$9:AT406)),""),"")</f>
        <v/>
      </c>
      <c r="AQ406" s="36" t="str">
        <f t="shared" si="98"/>
        <v/>
      </c>
      <c r="AR406" s="36" t="str">
        <f t="shared" si="99"/>
        <v/>
      </c>
      <c r="AS406" s="36" t="str">
        <f t="shared" si="108"/>
        <v/>
      </c>
      <c r="AT406" s="37" t="str">
        <f t="shared" si="100"/>
        <v/>
      </c>
      <c r="AU406" s="37" t="str">
        <f t="shared" si="101"/>
        <v/>
      </c>
      <c r="AV406" s="54"/>
      <c r="AW406" s="46"/>
      <c r="AX406" s="39" t="str" cm="1">
        <f t="array" ref="AX406">IF(AH406&lt;&gt;"",IF(AND(AX404:AX405&lt;&gt;"IE",AQ406&lt;&gt;0,AS406&lt;&gt;""),IF(IFERROR((AQ406/AS406),0) &lt;=1,IFERROR(AQ406/AS406,""),1),""),"")</f>
        <v/>
      </c>
      <c r="AY406" s="46"/>
      <c r="AZ406" s="57"/>
    </row>
    <row r="407" spans="1:52" ht="15.5" x14ac:dyDescent="0.35">
      <c r="A407" s="51">
        <f t="shared" si="109"/>
        <v>1</v>
      </c>
      <c r="B407" s="52"/>
      <c r="C407" s="52"/>
      <c r="D407" s="29" t="str">
        <f>IFERROR(
IF(AND(OR(Planilla!B407="C",Planilla!B407="c"), VLOOKUP(E407,[1]Diccionario!B:N,13,0)="C"), "OK",IF(AND(OR(Planilla!B407="C",Planilla!B407="c"), OR(VLOOKUP(E407,[1]Diccionario!B:N,13,0)="B", VLOOKUP(E407,[1]Diccionario!B:N,13,0)="A")), "DEFICIT",IF(
AND(OR(Planilla!B407="B", Planilla!B407="BPAL"), VLOOKUP(E407,[1]Diccionario!B:N,13,0)="B"), "OK",IF(AND(OR(Planilla!B407="B", Planilla!B407="BPAL"), VLOOKUP(E407,[1]Diccionario!B:N,13,0)="A"), "DEFICIT",IF(AND(OR(Planilla!B407="B", Planilla!B407="BPAL"), VLOOKUP(E407,[1]Diccionario!B:N,13,0)="C"), "SOBREOFERTA",IF(AND(Planilla!B407="A", VLOOKUP(E407,[1]Diccionario!B:N,13,0)="A"), "OK",IF(
AND(Planilla!B407="A", OR(VLOOKUP(E407,[1]Diccionario!B:N,13,0)="B", VLOOKUP(E407,[1]Diccionario!B:N,13,0)="C")), "SOBREOFERTA",""
))))))),"")</f>
        <v/>
      </c>
      <c r="E407" s="48"/>
      <c r="F407" s="53"/>
      <c r="G407" s="54"/>
      <c r="H407" s="55" t="str">
        <f t="shared" si="102"/>
        <v/>
      </c>
      <c r="I407" s="35"/>
      <c r="J407" s="34" t="e">
        <f>IF(A407&lt;&gt;"",HLOOKUP(VALUE(TEXT(G407,"h:mm:ss")),IF($C$6="Laboral",[1]Input!$A$4:$Y$227,IF($C$6="Sábado",[1]Input!$A$231:$Y$452,[1]Input!$A$456:$Y$656)),VLOOKUP($C$4,[1]Input!$AG$2:$AI$99,3,0)+IF(C$5="Ida",0,1),1),"")</f>
        <v>#N/A</v>
      </c>
      <c r="K407" s="34" t="str">
        <f>IF(A408&lt;&gt;A407,AVERAGEIF(A$9:A407,A407,J$13:J407),"")</f>
        <v/>
      </c>
      <c r="L407" s="35" t="str">
        <f>IFERROR(IF(A408&lt;&gt;A407,AVERAGEIF(A$9:A407,A407,S$13:S407),""),"")</f>
        <v/>
      </c>
      <c r="M407" s="35" t="str">
        <f>IFERROR(IF(A408&lt;&gt;A407,AVERAGEIF(A$9:A407,A407,T$8:T407),""),"")</f>
        <v/>
      </c>
      <c r="N407" s="35" t="str" cm="1">
        <f t="array" ref="N407">IFERROR(IF(A408&lt;&gt;A407,_xlfn.STDEV.P(IF(A$9:A407=A407,T$7:T407)),""),"")</f>
        <v/>
      </c>
      <c r="O407" s="35" t="str" cm="1">
        <f t="array" ref="O407">IFERROR(IF(A408&lt;&gt;A407,_xlfn.STDEV.P(IF(A$9:A407=A407,S$7:S407)),""),"")</f>
        <v/>
      </c>
      <c r="P407" s="36" t="str">
        <f t="shared" si="95"/>
        <v/>
      </c>
      <c r="Q407" s="36" t="str">
        <f t="shared" si="96"/>
        <v/>
      </c>
      <c r="R407" s="36" t="str">
        <f t="shared" si="103"/>
        <v/>
      </c>
      <c r="S407" s="37" t="str">
        <f t="shared" si="104"/>
        <v/>
      </c>
      <c r="T407" s="37" t="str">
        <f t="shared" si="97"/>
        <v/>
      </c>
      <c r="U407" s="54"/>
      <c r="V407" s="46"/>
      <c r="W407" s="39" t="str">
        <f t="shared" si="105"/>
        <v/>
      </c>
      <c r="X407" s="38"/>
      <c r="Y407" s="48"/>
      <c r="AB407" s="56">
        <f t="shared" si="106"/>
        <v>1</v>
      </c>
      <c r="AC407" s="52"/>
      <c r="AD407" s="52"/>
      <c r="AE407" s="29" t="str">
        <f>IFERROR(
IF(AND(OR(AC407="C",AC407="c"), VLOOKUP(AF407,[1]Diccionario!B:N,13,0)="C"), "OK",IF(AND(OR(AC407="C",AC407="c"), OR(VLOOKUP(AF407,[1]Diccionario!B:N,13,0)="B", VLOOKUP(AF407,[1]Diccionario!B:N,13,0)="A")), "DEFICIT",IF(
AND(OR(AC407="B", AC407="BPAL"), VLOOKUP(AF407,[1]Diccionario!B:N,13,0)="B"), "OK",IF(AND(OR(AC407="B", AC407="BPAL"), VLOOKUP(AF407,[1]Diccionario!B:N,13,0)="A"), "DEFICIT",IF(AND(OR(AC407="B", AC407="BPAL"), VLOOKUP(AF407,[1]Diccionario!B:N,13,0)="C"), "SOBREOFERTA",IF(AND(AC407="A", VLOOKUP(AF407,[1]Diccionario!B:N,13,0)="A"), "OK",IF(
AND(AC407="A", OR(VLOOKUP(AF407,[1]Diccionario!B:N,13,0)="B", VLOOKUP(AF407,[1]Diccionario!B:N,13,0)="C")), "SOBREOFERTA",""
))))))),"")</f>
        <v/>
      </c>
      <c r="AF407" s="48"/>
      <c r="AG407" s="53"/>
      <c r="AH407" s="54"/>
      <c r="AI407" s="55" t="str">
        <f t="shared" si="107"/>
        <v/>
      </c>
      <c r="AJ407" s="46"/>
      <c r="AK407" s="34" t="e">
        <f>IF(AB407&lt;&gt;"",HLOOKUP(VALUE(TEXT(AH407,"h:mm:ss")),IF($C$6="Laboral",[1]Input!$A$4:$Y$227,IF($C$6="Sábado",[1]Input!$A$231:$Y$452,[1]Input!$A$456:$Y$656)),VLOOKUP($C$4,[1]Input!$AG$2:$AI$99,3,0)+IF(AD$5="Ida",0,1),1),"")</f>
        <v>#N/A</v>
      </c>
      <c r="AL407" s="34" t="str">
        <f>IF(AB408&lt;&gt;AB407,AVERAGEIF(AB$9:AB407,AB407,AK$9:AK407),"")</f>
        <v/>
      </c>
      <c r="AM407" s="35" t="str">
        <f>IFERROR(IF(AB408&lt;&gt;AB407,AVERAGEIF(AB$9:AB407,AB407,AT$9:AT407),""),"")</f>
        <v/>
      </c>
      <c r="AN407" s="35" t="str">
        <f>IFERROR(IF(AB408&lt;&gt;AB407,AVERAGEIF(AB$9:AB407,AB407,AU$9:AU407),""),"")</f>
        <v/>
      </c>
      <c r="AO407" s="35" t="str" cm="1">
        <f t="array" ref="AO407">IFERROR(IF(AB408&lt;&gt;AB407,_xlfn.STDEV.P(IF(AB$9:AB407=AB407,AU$9:AU407)),""),"")</f>
        <v/>
      </c>
      <c r="AP407" s="35" t="str" cm="1">
        <f t="array" ref="AP407">IFERROR(IF(AB408&lt;&gt;AB407,_xlfn.STDEV.P(IF(AB$9:AB407=AB407,AT$9:AT407)),""),"")</f>
        <v/>
      </c>
      <c r="AQ407" s="36" t="str">
        <f t="shared" si="98"/>
        <v/>
      </c>
      <c r="AR407" s="36" t="str">
        <f t="shared" si="99"/>
        <v/>
      </c>
      <c r="AS407" s="36" t="str">
        <f t="shared" si="108"/>
        <v/>
      </c>
      <c r="AT407" s="37" t="str">
        <f t="shared" si="100"/>
        <v/>
      </c>
      <c r="AU407" s="37" t="str">
        <f t="shared" si="101"/>
        <v/>
      </c>
      <c r="AV407" s="54"/>
      <c r="AW407" s="46"/>
      <c r="AX407" s="39" t="str" cm="1">
        <f t="array" ref="AX407">IF(AH407&lt;&gt;"",IF(AND(AX405:AX406&lt;&gt;"IE",AQ407&lt;&gt;0,AS407&lt;&gt;""),IF(IFERROR((AQ407/AS407),0) &lt;=1,IFERROR(AQ407/AS407,""),1),""),"")</f>
        <v/>
      </c>
      <c r="AY407" s="46"/>
      <c r="AZ407" s="57"/>
    </row>
    <row r="408" spans="1:52" ht="15.5" x14ac:dyDescent="0.35">
      <c r="A408" s="51">
        <f t="shared" si="109"/>
        <v>1</v>
      </c>
      <c r="B408" s="52"/>
      <c r="C408" s="52"/>
      <c r="D408" s="29" t="str">
        <f>IFERROR(
IF(AND(OR(Planilla!B408="C",Planilla!B408="c"), VLOOKUP(E408,[1]Diccionario!B:N,13,0)="C"), "OK",IF(AND(OR(Planilla!B408="C",Planilla!B408="c"), OR(VLOOKUP(E408,[1]Diccionario!B:N,13,0)="B", VLOOKUP(E408,[1]Diccionario!B:N,13,0)="A")), "DEFICIT",IF(
AND(OR(Planilla!B408="B", Planilla!B408="BPAL"), VLOOKUP(E408,[1]Diccionario!B:N,13,0)="B"), "OK",IF(AND(OR(Planilla!B408="B", Planilla!B408="BPAL"), VLOOKUP(E408,[1]Diccionario!B:N,13,0)="A"), "DEFICIT",IF(AND(OR(Planilla!B408="B", Planilla!B408="BPAL"), VLOOKUP(E408,[1]Diccionario!B:N,13,0)="C"), "SOBREOFERTA",IF(AND(Planilla!B408="A", VLOOKUP(E408,[1]Diccionario!B:N,13,0)="A"), "OK",IF(
AND(Planilla!B408="A", OR(VLOOKUP(E408,[1]Diccionario!B:N,13,0)="B", VLOOKUP(E408,[1]Diccionario!B:N,13,0)="C")), "SOBREOFERTA",""
))))))),"")</f>
        <v/>
      </c>
      <c r="E408" s="48"/>
      <c r="F408" s="53"/>
      <c r="G408" s="54"/>
      <c r="H408" s="55" t="str">
        <f t="shared" si="102"/>
        <v/>
      </c>
      <c r="I408" s="35"/>
      <c r="J408" s="34" t="e">
        <f>IF(A408&lt;&gt;"",HLOOKUP(VALUE(TEXT(G408,"h:mm:ss")),IF($C$6="Laboral",[1]Input!$A$4:$Y$227,IF($C$6="Sábado",[1]Input!$A$231:$Y$452,[1]Input!$A$456:$Y$656)),VLOOKUP($C$4,[1]Input!$AG$2:$AI$99,3,0)+IF(C$5="Ida",0,1),1),"")</f>
        <v>#N/A</v>
      </c>
      <c r="K408" s="34" t="str">
        <f>IF(A409&lt;&gt;A408,AVERAGEIF(A$9:A408,A408,J$13:J408),"")</f>
        <v/>
      </c>
      <c r="L408" s="35" t="str">
        <f>IFERROR(IF(A409&lt;&gt;A408,AVERAGEIF(A$9:A408,A408,S$13:S408),""),"")</f>
        <v/>
      </c>
      <c r="M408" s="35" t="str">
        <f>IFERROR(IF(A409&lt;&gt;A408,AVERAGEIF(A$9:A408,A408,T$8:T408),""),"")</f>
        <v/>
      </c>
      <c r="N408" s="35" t="str" cm="1">
        <f t="array" ref="N408">IFERROR(IF(A409&lt;&gt;A408,_xlfn.STDEV.P(IF(A$9:A408=A408,T$7:T408)),""),"")</f>
        <v/>
      </c>
      <c r="O408" s="35" t="str" cm="1">
        <f t="array" ref="O408">IFERROR(IF(A409&lt;&gt;A408,_xlfn.STDEV.P(IF(A$9:A408=A408,S$7:S408)),""),"")</f>
        <v/>
      </c>
      <c r="P408" s="36" t="str">
        <f t="shared" si="95"/>
        <v/>
      </c>
      <c r="Q408" s="36" t="str">
        <f t="shared" si="96"/>
        <v/>
      </c>
      <c r="R408" s="36" t="str">
        <f t="shared" si="103"/>
        <v/>
      </c>
      <c r="S408" s="37" t="str">
        <f t="shared" si="104"/>
        <v/>
      </c>
      <c r="T408" s="37" t="str">
        <f t="shared" si="97"/>
        <v/>
      </c>
      <c r="U408" s="54"/>
      <c r="V408" s="46"/>
      <c r="W408" s="39" t="str">
        <f t="shared" si="105"/>
        <v/>
      </c>
      <c r="X408" s="38"/>
      <c r="Y408" s="48"/>
      <c r="AB408" s="56">
        <f t="shared" si="106"/>
        <v>1</v>
      </c>
      <c r="AC408" s="52"/>
      <c r="AD408" s="52"/>
      <c r="AE408" s="29" t="str">
        <f>IFERROR(
IF(AND(OR(AC408="C",AC408="c"), VLOOKUP(AF408,[1]Diccionario!B:N,13,0)="C"), "OK",IF(AND(OR(AC408="C",AC408="c"), OR(VLOOKUP(AF408,[1]Diccionario!B:N,13,0)="B", VLOOKUP(AF408,[1]Diccionario!B:N,13,0)="A")), "DEFICIT",IF(
AND(OR(AC408="B", AC408="BPAL"), VLOOKUP(AF408,[1]Diccionario!B:N,13,0)="B"), "OK",IF(AND(OR(AC408="B", AC408="BPAL"), VLOOKUP(AF408,[1]Diccionario!B:N,13,0)="A"), "DEFICIT",IF(AND(OR(AC408="B", AC408="BPAL"), VLOOKUP(AF408,[1]Diccionario!B:N,13,0)="C"), "SOBREOFERTA",IF(AND(AC408="A", VLOOKUP(AF408,[1]Diccionario!B:N,13,0)="A"), "OK",IF(
AND(AC408="A", OR(VLOOKUP(AF408,[1]Diccionario!B:N,13,0)="B", VLOOKUP(AF408,[1]Diccionario!B:N,13,0)="C")), "SOBREOFERTA",""
))))))),"")</f>
        <v/>
      </c>
      <c r="AF408" s="48"/>
      <c r="AG408" s="53"/>
      <c r="AH408" s="54"/>
      <c r="AI408" s="55" t="str">
        <f t="shared" si="107"/>
        <v/>
      </c>
      <c r="AJ408" s="46"/>
      <c r="AK408" s="34" t="e">
        <f>IF(AB408&lt;&gt;"",HLOOKUP(VALUE(TEXT(AH408,"h:mm:ss")),IF($C$6="Laboral",[1]Input!$A$4:$Y$227,IF($C$6="Sábado",[1]Input!$A$231:$Y$452,[1]Input!$A$456:$Y$656)),VLOOKUP($C$4,[1]Input!$AG$2:$AI$99,3,0)+IF(AD$5="Ida",0,1),1),"")</f>
        <v>#N/A</v>
      </c>
      <c r="AL408" s="34" t="str">
        <f>IF(AB409&lt;&gt;AB408,AVERAGEIF(AB$9:AB408,AB408,AK$9:AK408),"")</f>
        <v/>
      </c>
      <c r="AM408" s="35" t="str">
        <f>IFERROR(IF(AB409&lt;&gt;AB408,AVERAGEIF(AB$9:AB408,AB408,AT$9:AT408),""),"")</f>
        <v/>
      </c>
      <c r="AN408" s="35" t="str">
        <f>IFERROR(IF(AB409&lt;&gt;AB408,AVERAGEIF(AB$9:AB408,AB408,AU$9:AU408),""),"")</f>
        <v/>
      </c>
      <c r="AO408" s="35" t="str" cm="1">
        <f t="array" ref="AO408">IFERROR(IF(AB409&lt;&gt;AB408,_xlfn.STDEV.P(IF(AB$9:AB408=AB408,AU$9:AU408)),""),"")</f>
        <v/>
      </c>
      <c r="AP408" s="35" t="str" cm="1">
        <f t="array" ref="AP408">IFERROR(IF(AB409&lt;&gt;AB408,_xlfn.STDEV.P(IF(AB$9:AB408=AB408,AT$9:AT408)),""),"")</f>
        <v/>
      </c>
      <c r="AQ408" s="36" t="str">
        <f t="shared" si="98"/>
        <v/>
      </c>
      <c r="AR408" s="36" t="str">
        <f t="shared" si="99"/>
        <v/>
      </c>
      <c r="AS408" s="36" t="str">
        <f t="shared" si="108"/>
        <v/>
      </c>
      <c r="AT408" s="37" t="str">
        <f t="shared" si="100"/>
        <v/>
      </c>
      <c r="AU408" s="37" t="str">
        <f t="shared" si="101"/>
        <v/>
      </c>
      <c r="AV408" s="54"/>
      <c r="AW408" s="46"/>
      <c r="AX408" s="39" t="str" cm="1">
        <f t="array" ref="AX408">IF(AH408&lt;&gt;"",IF(AND(AX406:AX407&lt;&gt;"IE",AQ408&lt;&gt;0,AS408&lt;&gt;""),IF(IFERROR((AQ408/AS408),0) &lt;=1,IFERROR(AQ408/AS408,""),1),""),"")</f>
        <v/>
      </c>
      <c r="AY408" s="46"/>
      <c r="AZ408" s="57"/>
    </row>
    <row r="409" spans="1:52" ht="15.5" x14ac:dyDescent="0.35">
      <c r="A409" s="51">
        <f t="shared" si="109"/>
        <v>1</v>
      </c>
      <c r="B409" s="52"/>
      <c r="C409" s="52"/>
      <c r="D409" s="29" t="str">
        <f>IFERROR(
IF(AND(OR(Planilla!B409="C",Planilla!B409="c"), VLOOKUP(E409,[1]Diccionario!B:N,13,0)="C"), "OK",IF(AND(OR(Planilla!B409="C",Planilla!B409="c"), OR(VLOOKUP(E409,[1]Diccionario!B:N,13,0)="B", VLOOKUP(E409,[1]Diccionario!B:N,13,0)="A")), "DEFICIT",IF(
AND(OR(Planilla!B409="B", Planilla!B409="BPAL"), VLOOKUP(E409,[1]Diccionario!B:N,13,0)="B"), "OK",IF(AND(OR(Planilla!B409="B", Planilla!B409="BPAL"), VLOOKUP(E409,[1]Diccionario!B:N,13,0)="A"), "DEFICIT",IF(AND(OR(Planilla!B409="B", Planilla!B409="BPAL"), VLOOKUP(E409,[1]Diccionario!B:N,13,0)="C"), "SOBREOFERTA",IF(AND(Planilla!B409="A", VLOOKUP(E409,[1]Diccionario!B:N,13,0)="A"), "OK",IF(
AND(Planilla!B409="A", OR(VLOOKUP(E409,[1]Diccionario!B:N,13,0)="B", VLOOKUP(E409,[1]Diccionario!B:N,13,0)="C")), "SOBREOFERTA",""
))))))),"")</f>
        <v/>
      </c>
      <c r="E409" s="48"/>
      <c r="F409" s="53"/>
      <c r="G409" s="54"/>
      <c r="H409" s="55" t="str">
        <f t="shared" si="102"/>
        <v/>
      </c>
      <c r="I409" s="35"/>
      <c r="J409" s="34" t="e">
        <f>IF(A409&lt;&gt;"",HLOOKUP(VALUE(TEXT(G409,"h:mm:ss")),IF($C$6="Laboral",[1]Input!$A$4:$Y$227,IF($C$6="Sábado",[1]Input!$A$231:$Y$452,[1]Input!$A$456:$Y$656)),VLOOKUP($C$4,[1]Input!$AG$2:$AI$99,3,0)+IF(C$5="Ida",0,1),1),"")</f>
        <v>#N/A</v>
      </c>
      <c r="K409" s="34" t="str">
        <f>IF(A410&lt;&gt;A409,AVERAGEIF(A$9:A409,A409,J$13:J409),"")</f>
        <v/>
      </c>
      <c r="L409" s="35" t="str">
        <f>IFERROR(IF(A410&lt;&gt;A409,AVERAGEIF(A$9:A409,A409,S$13:S409),""),"")</f>
        <v/>
      </c>
      <c r="M409" s="35" t="str">
        <f>IFERROR(IF(A410&lt;&gt;A409,AVERAGEIF(A$9:A409,A409,T$8:T409),""),"")</f>
        <v/>
      </c>
      <c r="N409" s="35" t="str" cm="1">
        <f t="array" ref="N409">IFERROR(IF(A410&lt;&gt;A409,_xlfn.STDEV.P(IF(A$9:A409=A409,T$7:T409)),""),"")</f>
        <v/>
      </c>
      <c r="O409" s="35" t="str" cm="1">
        <f t="array" ref="O409">IFERROR(IF(A410&lt;&gt;A409,_xlfn.STDEV.P(IF(A$9:A409=A409,S$7:S409)),""),"")</f>
        <v/>
      </c>
      <c r="P409" s="36" t="str">
        <f t="shared" si="95"/>
        <v/>
      </c>
      <c r="Q409" s="36" t="str">
        <f t="shared" si="96"/>
        <v/>
      </c>
      <c r="R409" s="36" t="str">
        <f t="shared" si="103"/>
        <v/>
      </c>
      <c r="S409" s="37" t="str">
        <f t="shared" si="104"/>
        <v/>
      </c>
      <c r="T409" s="37" t="str">
        <f t="shared" si="97"/>
        <v/>
      </c>
      <c r="U409" s="54"/>
      <c r="V409" s="46"/>
      <c r="W409" s="39" t="str">
        <f t="shared" si="105"/>
        <v/>
      </c>
      <c r="X409" s="38"/>
      <c r="Y409" s="48"/>
      <c r="AB409" s="56">
        <f t="shared" si="106"/>
        <v>1</v>
      </c>
      <c r="AC409" s="52"/>
      <c r="AD409" s="52"/>
      <c r="AE409" s="29" t="str">
        <f>IFERROR(
IF(AND(OR(AC409="C",AC409="c"), VLOOKUP(AF409,[1]Diccionario!B:N,13,0)="C"), "OK",IF(AND(OR(AC409="C",AC409="c"), OR(VLOOKUP(AF409,[1]Diccionario!B:N,13,0)="B", VLOOKUP(AF409,[1]Diccionario!B:N,13,0)="A")), "DEFICIT",IF(
AND(OR(AC409="B", AC409="BPAL"), VLOOKUP(AF409,[1]Diccionario!B:N,13,0)="B"), "OK",IF(AND(OR(AC409="B", AC409="BPAL"), VLOOKUP(AF409,[1]Diccionario!B:N,13,0)="A"), "DEFICIT",IF(AND(OR(AC409="B", AC409="BPAL"), VLOOKUP(AF409,[1]Diccionario!B:N,13,0)="C"), "SOBREOFERTA",IF(AND(AC409="A", VLOOKUP(AF409,[1]Diccionario!B:N,13,0)="A"), "OK",IF(
AND(AC409="A", OR(VLOOKUP(AF409,[1]Diccionario!B:N,13,0)="B", VLOOKUP(AF409,[1]Diccionario!B:N,13,0)="C")), "SOBREOFERTA",""
))))))),"")</f>
        <v/>
      </c>
      <c r="AF409" s="48"/>
      <c r="AG409" s="53"/>
      <c r="AH409" s="54"/>
      <c r="AI409" s="55" t="str">
        <f t="shared" si="107"/>
        <v/>
      </c>
      <c r="AJ409" s="46"/>
      <c r="AK409" s="34" t="e">
        <f>IF(AB409&lt;&gt;"",HLOOKUP(VALUE(TEXT(AH409,"h:mm:ss")),IF($C$6="Laboral",[1]Input!$A$4:$Y$227,IF($C$6="Sábado",[1]Input!$A$231:$Y$452,[1]Input!$A$456:$Y$656)),VLOOKUP($C$4,[1]Input!$AG$2:$AI$99,3,0)+IF(AD$5="Ida",0,1),1),"")</f>
        <v>#N/A</v>
      </c>
      <c r="AL409" s="34" t="str">
        <f>IF(AB410&lt;&gt;AB409,AVERAGEIF(AB$9:AB409,AB409,AK$9:AK409),"")</f>
        <v/>
      </c>
      <c r="AM409" s="35" t="str">
        <f>IFERROR(IF(AB410&lt;&gt;AB409,AVERAGEIF(AB$9:AB409,AB409,AT$9:AT409),""),"")</f>
        <v/>
      </c>
      <c r="AN409" s="35" t="str">
        <f>IFERROR(IF(AB410&lt;&gt;AB409,AVERAGEIF(AB$9:AB409,AB409,AU$9:AU409),""),"")</f>
        <v/>
      </c>
      <c r="AO409" s="35" t="str" cm="1">
        <f t="array" ref="AO409">IFERROR(IF(AB410&lt;&gt;AB409,_xlfn.STDEV.P(IF(AB$9:AB409=AB409,AU$9:AU409)),""),"")</f>
        <v/>
      </c>
      <c r="AP409" s="35" t="str" cm="1">
        <f t="array" ref="AP409">IFERROR(IF(AB410&lt;&gt;AB409,_xlfn.STDEV.P(IF(AB$9:AB409=AB409,AT$9:AT409)),""),"")</f>
        <v/>
      </c>
      <c r="AQ409" s="36" t="str">
        <f t="shared" si="98"/>
        <v/>
      </c>
      <c r="AR409" s="36" t="str">
        <f t="shared" si="99"/>
        <v/>
      </c>
      <c r="AS409" s="36" t="str">
        <f t="shared" si="108"/>
        <v/>
      </c>
      <c r="AT409" s="37" t="str">
        <f t="shared" si="100"/>
        <v/>
      </c>
      <c r="AU409" s="37" t="str">
        <f t="shared" si="101"/>
        <v/>
      </c>
      <c r="AV409" s="54"/>
      <c r="AW409" s="46"/>
      <c r="AX409" s="39" t="str" cm="1">
        <f t="array" ref="AX409">IF(AH409&lt;&gt;"",IF(AND(AX407:AX408&lt;&gt;"IE",AQ409&lt;&gt;0,AS409&lt;&gt;""),IF(IFERROR((AQ409/AS409),0) &lt;=1,IFERROR(AQ409/AS409,""),1),""),"")</f>
        <v/>
      </c>
      <c r="AY409" s="46"/>
      <c r="AZ409" s="57"/>
    </row>
    <row r="410" spans="1:52" ht="15.5" x14ac:dyDescent="0.35">
      <c r="A410" s="51">
        <f t="shared" si="109"/>
        <v>1</v>
      </c>
      <c r="B410" s="52"/>
      <c r="C410" s="52"/>
      <c r="D410" s="29" t="str">
        <f>IFERROR(
IF(AND(OR(Planilla!B410="C",Planilla!B410="c"), VLOOKUP(E410,[1]Diccionario!B:N,13,0)="C"), "OK",IF(AND(OR(Planilla!B410="C",Planilla!B410="c"), OR(VLOOKUP(E410,[1]Diccionario!B:N,13,0)="B", VLOOKUP(E410,[1]Diccionario!B:N,13,0)="A")), "DEFICIT",IF(
AND(OR(Planilla!B410="B", Planilla!B410="BPAL"), VLOOKUP(E410,[1]Diccionario!B:N,13,0)="B"), "OK",IF(AND(OR(Planilla!B410="B", Planilla!B410="BPAL"), VLOOKUP(E410,[1]Diccionario!B:N,13,0)="A"), "DEFICIT",IF(AND(OR(Planilla!B410="B", Planilla!B410="BPAL"), VLOOKUP(E410,[1]Diccionario!B:N,13,0)="C"), "SOBREOFERTA",IF(AND(Planilla!B410="A", VLOOKUP(E410,[1]Diccionario!B:N,13,0)="A"), "OK",IF(
AND(Planilla!B410="A", OR(VLOOKUP(E410,[1]Diccionario!B:N,13,0)="B", VLOOKUP(E410,[1]Diccionario!B:N,13,0)="C")), "SOBREOFERTA",""
))))))),"")</f>
        <v/>
      </c>
      <c r="E410" s="48"/>
      <c r="F410" s="53"/>
      <c r="G410" s="54"/>
      <c r="H410" s="55" t="str">
        <f t="shared" si="102"/>
        <v/>
      </c>
      <c r="I410" s="35"/>
      <c r="J410" s="34" t="e">
        <f>IF(A410&lt;&gt;"",HLOOKUP(VALUE(TEXT(G410,"h:mm:ss")),IF($C$6="Laboral",[1]Input!$A$4:$Y$227,IF($C$6="Sábado",[1]Input!$A$231:$Y$452,[1]Input!$A$456:$Y$656)),VLOOKUP($C$4,[1]Input!$AG$2:$AI$99,3,0)+IF(C$5="Ida",0,1),1),"")</f>
        <v>#N/A</v>
      </c>
      <c r="K410" s="34" t="str">
        <f>IF(A411&lt;&gt;A410,AVERAGEIF(A$9:A410,A410,J$13:J410),"")</f>
        <v/>
      </c>
      <c r="L410" s="35" t="str">
        <f>IFERROR(IF(A411&lt;&gt;A410,AVERAGEIF(A$9:A410,A410,S$13:S410),""),"")</f>
        <v/>
      </c>
      <c r="M410" s="35" t="str">
        <f>IFERROR(IF(A411&lt;&gt;A410,AVERAGEIF(A$9:A410,A410,T$8:T410),""),"")</f>
        <v/>
      </c>
      <c r="N410" s="35" t="str" cm="1">
        <f t="array" ref="N410">IFERROR(IF(A411&lt;&gt;A410,_xlfn.STDEV.P(IF(A$9:A410=A410,T$7:T410)),""),"")</f>
        <v/>
      </c>
      <c r="O410" s="35" t="str" cm="1">
        <f t="array" ref="O410">IFERROR(IF(A411&lt;&gt;A410,_xlfn.STDEV.P(IF(A$9:A410=A410,S$7:S410)),""),"")</f>
        <v/>
      </c>
      <c r="P410" s="36" t="str">
        <f t="shared" si="95"/>
        <v/>
      </c>
      <c r="Q410" s="36" t="str">
        <f t="shared" si="96"/>
        <v/>
      </c>
      <c r="R410" s="36" t="str">
        <f t="shared" si="103"/>
        <v/>
      </c>
      <c r="S410" s="37" t="str">
        <f t="shared" si="104"/>
        <v/>
      </c>
      <c r="T410" s="37" t="str">
        <f t="shared" si="97"/>
        <v/>
      </c>
      <c r="U410" s="54"/>
      <c r="V410" s="46"/>
      <c r="W410" s="39" t="str">
        <f t="shared" si="105"/>
        <v/>
      </c>
      <c r="X410" s="38"/>
      <c r="Y410" s="48"/>
      <c r="AB410" s="56">
        <f t="shared" si="106"/>
        <v>1</v>
      </c>
      <c r="AC410" s="52"/>
      <c r="AD410" s="52"/>
      <c r="AE410" s="29" t="str">
        <f>IFERROR(
IF(AND(OR(AC410="C",AC410="c"), VLOOKUP(AF410,[1]Diccionario!B:N,13,0)="C"), "OK",IF(AND(OR(AC410="C",AC410="c"), OR(VLOOKUP(AF410,[1]Diccionario!B:N,13,0)="B", VLOOKUP(AF410,[1]Diccionario!B:N,13,0)="A")), "DEFICIT",IF(
AND(OR(AC410="B", AC410="BPAL"), VLOOKUP(AF410,[1]Diccionario!B:N,13,0)="B"), "OK",IF(AND(OR(AC410="B", AC410="BPAL"), VLOOKUP(AF410,[1]Diccionario!B:N,13,0)="A"), "DEFICIT",IF(AND(OR(AC410="B", AC410="BPAL"), VLOOKUP(AF410,[1]Diccionario!B:N,13,0)="C"), "SOBREOFERTA",IF(AND(AC410="A", VLOOKUP(AF410,[1]Diccionario!B:N,13,0)="A"), "OK",IF(
AND(AC410="A", OR(VLOOKUP(AF410,[1]Diccionario!B:N,13,0)="B", VLOOKUP(AF410,[1]Diccionario!B:N,13,0)="C")), "SOBREOFERTA",""
))))))),"")</f>
        <v/>
      </c>
      <c r="AF410" s="48"/>
      <c r="AG410" s="53"/>
      <c r="AH410" s="54"/>
      <c r="AI410" s="55" t="str">
        <f t="shared" si="107"/>
        <v/>
      </c>
      <c r="AJ410" s="46"/>
      <c r="AK410" s="34" t="e">
        <f>IF(AB410&lt;&gt;"",HLOOKUP(VALUE(TEXT(AH410,"h:mm:ss")),IF($C$6="Laboral",[1]Input!$A$4:$Y$227,IF($C$6="Sábado",[1]Input!$A$231:$Y$452,[1]Input!$A$456:$Y$656)),VLOOKUP($C$4,[1]Input!$AG$2:$AI$99,3,0)+IF(AD$5="Ida",0,1),1),"")</f>
        <v>#N/A</v>
      </c>
      <c r="AL410" s="34" t="str">
        <f>IF(AB411&lt;&gt;AB410,AVERAGEIF(AB$9:AB410,AB410,AK$9:AK410),"")</f>
        <v/>
      </c>
      <c r="AM410" s="35" t="str">
        <f>IFERROR(IF(AB411&lt;&gt;AB410,AVERAGEIF(AB$9:AB410,AB410,AT$9:AT410),""),"")</f>
        <v/>
      </c>
      <c r="AN410" s="35" t="str">
        <f>IFERROR(IF(AB411&lt;&gt;AB410,AVERAGEIF(AB$9:AB410,AB410,AU$9:AU410),""),"")</f>
        <v/>
      </c>
      <c r="AO410" s="35" t="str" cm="1">
        <f t="array" ref="AO410">IFERROR(IF(AB411&lt;&gt;AB410,_xlfn.STDEV.P(IF(AB$9:AB410=AB410,AU$9:AU410)),""),"")</f>
        <v/>
      </c>
      <c r="AP410" s="35" t="str" cm="1">
        <f t="array" ref="AP410">IFERROR(IF(AB411&lt;&gt;AB410,_xlfn.STDEV.P(IF(AB$9:AB410=AB410,AT$9:AT410)),""),"")</f>
        <v/>
      </c>
      <c r="AQ410" s="36" t="str">
        <f t="shared" si="98"/>
        <v/>
      </c>
      <c r="AR410" s="36" t="str">
        <f t="shared" si="99"/>
        <v/>
      </c>
      <c r="AS410" s="36" t="str">
        <f t="shared" si="108"/>
        <v/>
      </c>
      <c r="AT410" s="37" t="str">
        <f t="shared" si="100"/>
        <v/>
      </c>
      <c r="AU410" s="37" t="str">
        <f t="shared" si="101"/>
        <v/>
      </c>
      <c r="AV410" s="54"/>
      <c r="AW410" s="46"/>
      <c r="AX410" s="39" t="str" cm="1">
        <f t="array" ref="AX410">IF(AH410&lt;&gt;"",IF(AND(AX408:AX409&lt;&gt;"IE",AQ410&lt;&gt;0,AS410&lt;&gt;""),IF(IFERROR((AQ410/AS410),0) &lt;=1,IFERROR(AQ410/AS410,""),1),""),"")</f>
        <v/>
      </c>
      <c r="AY410" s="46"/>
      <c r="AZ410" s="57"/>
    </row>
    <row r="411" spans="1:52" ht="15.5" x14ac:dyDescent="0.35">
      <c r="A411" s="51">
        <f t="shared" si="109"/>
        <v>1</v>
      </c>
      <c r="B411" s="52"/>
      <c r="C411" s="52"/>
      <c r="D411" s="29" t="str">
        <f>IFERROR(
IF(AND(OR(Planilla!B411="C",Planilla!B411="c"), VLOOKUP(E411,[1]Diccionario!B:N,13,0)="C"), "OK",IF(AND(OR(Planilla!B411="C",Planilla!B411="c"), OR(VLOOKUP(E411,[1]Diccionario!B:N,13,0)="B", VLOOKUP(E411,[1]Diccionario!B:N,13,0)="A")), "DEFICIT",IF(
AND(OR(Planilla!B411="B", Planilla!B411="BPAL"), VLOOKUP(E411,[1]Diccionario!B:N,13,0)="B"), "OK",IF(AND(OR(Planilla!B411="B", Planilla!B411="BPAL"), VLOOKUP(E411,[1]Diccionario!B:N,13,0)="A"), "DEFICIT",IF(AND(OR(Planilla!B411="B", Planilla!B411="BPAL"), VLOOKUP(E411,[1]Diccionario!B:N,13,0)="C"), "SOBREOFERTA",IF(AND(Planilla!B411="A", VLOOKUP(E411,[1]Diccionario!B:N,13,0)="A"), "OK",IF(
AND(Planilla!B411="A", OR(VLOOKUP(E411,[1]Diccionario!B:N,13,0)="B", VLOOKUP(E411,[1]Diccionario!B:N,13,0)="C")), "SOBREOFERTA",""
))))))),"")</f>
        <v/>
      </c>
      <c r="E411" s="48"/>
      <c r="F411" s="53"/>
      <c r="G411" s="54"/>
      <c r="H411" s="55" t="str">
        <f t="shared" si="102"/>
        <v/>
      </c>
      <c r="I411" s="35"/>
      <c r="J411" s="34" t="e">
        <f>IF(A411&lt;&gt;"",HLOOKUP(VALUE(TEXT(G411,"h:mm:ss")),IF($C$6="Laboral",[1]Input!$A$4:$Y$227,IF($C$6="Sábado",[1]Input!$A$231:$Y$452,[1]Input!$A$456:$Y$656)),VLOOKUP($C$4,[1]Input!$AG$2:$AI$99,3,0)+IF(C$5="Ida",0,1),1),"")</f>
        <v>#N/A</v>
      </c>
      <c r="K411" s="34" t="str">
        <f>IF(A412&lt;&gt;A411,AVERAGEIF(A$9:A411,A411,J$13:J411),"")</f>
        <v/>
      </c>
      <c r="L411" s="35" t="str">
        <f>IFERROR(IF(A412&lt;&gt;A411,AVERAGEIF(A$9:A411,A411,S$13:S411),""),"")</f>
        <v/>
      </c>
      <c r="M411" s="35" t="str">
        <f>IFERROR(IF(A412&lt;&gt;A411,AVERAGEIF(A$9:A411,A411,T$8:T411),""),"")</f>
        <v/>
      </c>
      <c r="N411" s="35" t="str" cm="1">
        <f t="array" ref="N411">IFERROR(IF(A412&lt;&gt;A411,_xlfn.STDEV.P(IF(A$9:A411=A411,T$7:T411)),""),"")</f>
        <v/>
      </c>
      <c r="O411" s="35" t="str" cm="1">
        <f t="array" ref="O411">IFERROR(IF(A412&lt;&gt;A411,_xlfn.STDEV.P(IF(A$9:A411=A411,S$7:S411)),""),"")</f>
        <v/>
      </c>
      <c r="P411" s="36" t="str">
        <f t="shared" si="95"/>
        <v/>
      </c>
      <c r="Q411" s="36" t="str">
        <f t="shared" si="96"/>
        <v/>
      </c>
      <c r="R411" s="36" t="str">
        <f t="shared" si="103"/>
        <v/>
      </c>
      <c r="S411" s="37" t="str">
        <f t="shared" si="104"/>
        <v/>
      </c>
      <c r="T411" s="37" t="str">
        <f t="shared" si="97"/>
        <v/>
      </c>
      <c r="U411" s="54"/>
      <c r="V411" s="46"/>
      <c r="W411" s="39" t="str">
        <f t="shared" si="105"/>
        <v/>
      </c>
      <c r="X411" s="38"/>
      <c r="Y411" s="48"/>
      <c r="AB411" s="56">
        <f t="shared" si="106"/>
        <v>1</v>
      </c>
      <c r="AC411" s="52"/>
      <c r="AD411" s="52"/>
      <c r="AE411" s="29" t="str">
        <f>IFERROR(
IF(AND(OR(AC411="C",AC411="c"), VLOOKUP(AF411,[1]Diccionario!B:N,13,0)="C"), "OK",IF(AND(OR(AC411="C",AC411="c"), OR(VLOOKUP(AF411,[1]Diccionario!B:N,13,0)="B", VLOOKUP(AF411,[1]Diccionario!B:N,13,0)="A")), "DEFICIT",IF(
AND(OR(AC411="B", AC411="BPAL"), VLOOKUP(AF411,[1]Diccionario!B:N,13,0)="B"), "OK",IF(AND(OR(AC411="B", AC411="BPAL"), VLOOKUP(AF411,[1]Diccionario!B:N,13,0)="A"), "DEFICIT",IF(AND(OR(AC411="B", AC411="BPAL"), VLOOKUP(AF411,[1]Diccionario!B:N,13,0)="C"), "SOBREOFERTA",IF(AND(AC411="A", VLOOKUP(AF411,[1]Diccionario!B:N,13,0)="A"), "OK",IF(
AND(AC411="A", OR(VLOOKUP(AF411,[1]Diccionario!B:N,13,0)="B", VLOOKUP(AF411,[1]Diccionario!B:N,13,0)="C")), "SOBREOFERTA",""
))))))),"")</f>
        <v/>
      </c>
      <c r="AF411" s="48"/>
      <c r="AG411" s="53"/>
      <c r="AH411" s="54"/>
      <c r="AI411" s="55" t="str">
        <f t="shared" si="107"/>
        <v/>
      </c>
      <c r="AJ411" s="46"/>
      <c r="AK411" s="34" t="e">
        <f>IF(AB411&lt;&gt;"",HLOOKUP(VALUE(TEXT(AH411,"h:mm:ss")),IF($C$6="Laboral",[1]Input!$A$4:$Y$227,IF($C$6="Sábado",[1]Input!$A$231:$Y$452,[1]Input!$A$456:$Y$656)),VLOOKUP($C$4,[1]Input!$AG$2:$AI$99,3,0)+IF(AD$5="Ida",0,1),1),"")</f>
        <v>#N/A</v>
      </c>
      <c r="AL411" s="34" t="str">
        <f>IF(AB412&lt;&gt;AB411,AVERAGEIF(AB$9:AB411,AB411,AK$9:AK411),"")</f>
        <v/>
      </c>
      <c r="AM411" s="35" t="str">
        <f>IFERROR(IF(AB412&lt;&gt;AB411,AVERAGEIF(AB$9:AB411,AB411,AT$9:AT411),""),"")</f>
        <v/>
      </c>
      <c r="AN411" s="35" t="str">
        <f>IFERROR(IF(AB412&lt;&gt;AB411,AVERAGEIF(AB$9:AB411,AB411,AU$9:AU411),""),"")</f>
        <v/>
      </c>
      <c r="AO411" s="35" t="str" cm="1">
        <f t="array" ref="AO411">IFERROR(IF(AB412&lt;&gt;AB411,_xlfn.STDEV.P(IF(AB$9:AB411=AB411,AU$9:AU411)),""),"")</f>
        <v/>
      </c>
      <c r="AP411" s="35" t="str" cm="1">
        <f t="array" ref="AP411">IFERROR(IF(AB412&lt;&gt;AB411,_xlfn.STDEV.P(IF(AB$9:AB411=AB411,AT$9:AT411)),""),"")</f>
        <v/>
      </c>
      <c r="AQ411" s="36" t="str">
        <f t="shared" si="98"/>
        <v/>
      </c>
      <c r="AR411" s="36" t="str">
        <f t="shared" si="99"/>
        <v/>
      </c>
      <c r="AS411" s="36" t="str">
        <f t="shared" si="108"/>
        <v/>
      </c>
      <c r="AT411" s="37" t="str">
        <f t="shared" si="100"/>
        <v/>
      </c>
      <c r="AU411" s="37" t="str">
        <f t="shared" si="101"/>
        <v/>
      </c>
      <c r="AV411" s="54"/>
      <c r="AW411" s="46"/>
      <c r="AX411" s="39" t="str" cm="1">
        <f t="array" ref="AX411">IF(AH411&lt;&gt;"",IF(AND(AX409:AX410&lt;&gt;"IE",AQ411&lt;&gt;0,AS411&lt;&gt;""),IF(IFERROR((AQ411/AS411),0) &lt;=1,IFERROR(AQ411/AS411,""),1),""),"")</f>
        <v/>
      </c>
      <c r="AY411" s="46"/>
      <c r="AZ411" s="57"/>
    </row>
    <row r="412" spans="1:52" ht="15.5" x14ac:dyDescent="0.35">
      <c r="A412" s="51">
        <f t="shared" si="109"/>
        <v>1</v>
      </c>
      <c r="B412" s="52"/>
      <c r="C412" s="52"/>
      <c r="D412" s="29" t="str">
        <f>IFERROR(
IF(AND(OR(Planilla!B412="C",Planilla!B412="c"), VLOOKUP(E412,[1]Diccionario!B:N,13,0)="C"), "OK",IF(AND(OR(Planilla!B412="C",Planilla!B412="c"), OR(VLOOKUP(E412,[1]Diccionario!B:N,13,0)="B", VLOOKUP(E412,[1]Diccionario!B:N,13,0)="A")), "DEFICIT",IF(
AND(OR(Planilla!B412="B", Planilla!B412="BPAL"), VLOOKUP(E412,[1]Diccionario!B:N,13,0)="B"), "OK",IF(AND(OR(Planilla!B412="B", Planilla!B412="BPAL"), VLOOKUP(E412,[1]Diccionario!B:N,13,0)="A"), "DEFICIT",IF(AND(OR(Planilla!B412="B", Planilla!B412="BPAL"), VLOOKUP(E412,[1]Diccionario!B:N,13,0)="C"), "SOBREOFERTA",IF(AND(Planilla!B412="A", VLOOKUP(E412,[1]Diccionario!B:N,13,0)="A"), "OK",IF(
AND(Planilla!B412="A", OR(VLOOKUP(E412,[1]Diccionario!B:N,13,0)="B", VLOOKUP(E412,[1]Diccionario!B:N,13,0)="C")), "SOBREOFERTA",""
))))))),"")</f>
        <v/>
      </c>
      <c r="E412" s="48"/>
      <c r="F412" s="53"/>
      <c r="G412" s="54"/>
      <c r="H412" s="55" t="str">
        <f t="shared" si="102"/>
        <v/>
      </c>
      <c r="I412" s="35"/>
      <c r="J412" s="34" t="e">
        <f>IF(A412&lt;&gt;"",HLOOKUP(VALUE(TEXT(G412,"h:mm:ss")),IF($C$6="Laboral",[1]Input!$A$4:$Y$227,IF($C$6="Sábado",[1]Input!$A$231:$Y$452,[1]Input!$A$456:$Y$656)),VLOOKUP($C$4,[1]Input!$AG$2:$AI$99,3,0)+IF(C$5="Ida",0,1),1),"")</f>
        <v>#N/A</v>
      </c>
      <c r="K412" s="34" t="str">
        <f>IF(A413&lt;&gt;A412,AVERAGEIF(A$9:A412,A412,J$13:J412),"")</f>
        <v/>
      </c>
      <c r="L412" s="35" t="str">
        <f>IFERROR(IF(A413&lt;&gt;A412,AVERAGEIF(A$9:A412,A412,S$13:S412),""),"")</f>
        <v/>
      </c>
      <c r="M412" s="35" t="str">
        <f>IFERROR(IF(A413&lt;&gt;A412,AVERAGEIF(A$9:A412,A412,T$8:T412),""),"")</f>
        <v/>
      </c>
      <c r="N412" s="35" t="str" cm="1">
        <f t="array" ref="N412">IFERROR(IF(A413&lt;&gt;A412,_xlfn.STDEV.P(IF(A$9:A412=A412,T$7:T412)),""),"")</f>
        <v/>
      </c>
      <c r="O412" s="35" t="str" cm="1">
        <f t="array" ref="O412">IFERROR(IF(A413&lt;&gt;A412,_xlfn.STDEV.P(IF(A$9:A412=A412,S$7:S412)),""),"")</f>
        <v/>
      </c>
      <c r="P412" s="36" t="str">
        <f t="shared" si="95"/>
        <v/>
      </c>
      <c r="Q412" s="36" t="str">
        <f t="shared" si="96"/>
        <v/>
      </c>
      <c r="R412" s="36" t="str">
        <f t="shared" si="103"/>
        <v/>
      </c>
      <c r="S412" s="37" t="str">
        <f t="shared" si="104"/>
        <v/>
      </c>
      <c r="T412" s="37" t="str">
        <f t="shared" si="97"/>
        <v/>
      </c>
      <c r="U412" s="54"/>
      <c r="V412" s="46"/>
      <c r="W412" s="39" t="str">
        <f t="shared" si="105"/>
        <v/>
      </c>
      <c r="X412" s="38"/>
      <c r="Y412" s="48"/>
      <c r="AB412" s="56">
        <f t="shared" si="106"/>
        <v>1</v>
      </c>
      <c r="AC412" s="52"/>
      <c r="AD412" s="52"/>
      <c r="AE412" s="29" t="str">
        <f>IFERROR(
IF(AND(OR(AC412="C",AC412="c"), VLOOKUP(AF412,[1]Diccionario!B:N,13,0)="C"), "OK",IF(AND(OR(AC412="C",AC412="c"), OR(VLOOKUP(AF412,[1]Diccionario!B:N,13,0)="B", VLOOKUP(AF412,[1]Diccionario!B:N,13,0)="A")), "DEFICIT",IF(
AND(OR(AC412="B", AC412="BPAL"), VLOOKUP(AF412,[1]Diccionario!B:N,13,0)="B"), "OK",IF(AND(OR(AC412="B", AC412="BPAL"), VLOOKUP(AF412,[1]Diccionario!B:N,13,0)="A"), "DEFICIT",IF(AND(OR(AC412="B", AC412="BPAL"), VLOOKUP(AF412,[1]Diccionario!B:N,13,0)="C"), "SOBREOFERTA",IF(AND(AC412="A", VLOOKUP(AF412,[1]Diccionario!B:N,13,0)="A"), "OK",IF(
AND(AC412="A", OR(VLOOKUP(AF412,[1]Diccionario!B:N,13,0)="B", VLOOKUP(AF412,[1]Diccionario!B:N,13,0)="C")), "SOBREOFERTA",""
))))))),"")</f>
        <v/>
      </c>
      <c r="AF412" s="48"/>
      <c r="AG412" s="53"/>
      <c r="AH412" s="54"/>
      <c r="AI412" s="55" t="str">
        <f t="shared" si="107"/>
        <v/>
      </c>
      <c r="AJ412" s="46"/>
      <c r="AK412" s="34" t="e">
        <f>IF(AB412&lt;&gt;"",HLOOKUP(VALUE(TEXT(AH412,"h:mm:ss")),IF($C$6="Laboral",[1]Input!$A$4:$Y$227,IF($C$6="Sábado",[1]Input!$A$231:$Y$452,[1]Input!$A$456:$Y$656)),VLOOKUP($C$4,[1]Input!$AG$2:$AI$99,3,0)+IF(AD$5="Ida",0,1),1),"")</f>
        <v>#N/A</v>
      </c>
      <c r="AL412" s="34" t="str">
        <f>IF(AB413&lt;&gt;AB412,AVERAGEIF(AB$9:AB412,AB412,AK$9:AK412),"")</f>
        <v/>
      </c>
      <c r="AM412" s="35" t="str">
        <f>IFERROR(IF(AB413&lt;&gt;AB412,AVERAGEIF(AB$9:AB412,AB412,AT$9:AT412),""),"")</f>
        <v/>
      </c>
      <c r="AN412" s="35" t="str">
        <f>IFERROR(IF(AB413&lt;&gt;AB412,AVERAGEIF(AB$9:AB412,AB412,AU$9:AU412),""),"")</f>
        <v/>
      </c>
      <c r="AO412" s="35" t="str" cm="1">
        <f t="array" ref="AO412">IFERROR(IF(AB413&lt;&gt;AB412,_xlfn.STDEV.P(IF(AB$9:AB412=AB412,AU$9:AU412)),""),"")</f>
        <v/>
      </c>
      <c r="AP412" s="35" t="str" cm="1">
        <f t="array" ref="AP412">IFERROR(IF(AB413&lt;&gt;AB412,_xlfn.STDEV.P(IF(AB$9:AB412=AB412,AT$9:AT412)),""),"")</f>
        <v/>
      </c>
      <c r="AQ412" s="36" t="str">
        <f t="shared" si="98"/>
        <v/>
      </c>
      <c r="AR412" s="36" t="str">
        <f t="shared" si="99"/>
        <v/>
      </c>
      <c r="AS412" s="36" t="str">
        <f t="shared" si="108"/>
        <v/>
      </c>
      <c r="AT412" s="37" t="str">
        <f t="shared" si="100"/>
        <v/>
      </c>
      <c r="AU412" s="37" t="str">
        <f t="shared" si="101"/>
        <v/>
      </c>
      <c r="AV412" s="54"/>
      <c r="AW412" s="46"/>
      <c r="AX412" s="39" t="str" cm="1">
        <f t="array" ref="AX412">IF(AH412&lt;&gt;"",IF(AND(AX410:AX411&lt;&gt;"IE",AQ412&lt;&gt;0,AS412&lt;&gt;""),IF(IFERROR((AQ412/AS412),0) &lt;=1,IFERROR(AQ412/AS412,""),1),""),"")</f>
        <v/>
      </c>
      <c r="AY412" s="46"/>
      <c r="AZ412" s="57"/>
    </row>
    <row r="413" spans="1:52" ht="15.5" x14ac:dyDescent="0.35">
      <c r="A413" s="51">
        <f t="shared" si="109"/>
        <v>1</v>
      </c>
      <c r="B413" s="52"/>
      <c r="C413" s="52"/>
      <c r="D413" s="29" t="str">
        <f>IFERROR(
IF(AND(OR(Planilla!B413="C",Planilla!B413="c"), VLOOKUP(E413,[1]Diccionario!B:N,13,0)="C"), "OK",IF(AND(OR(Planilla!B413="C",Planilla!B413="c"), OR(VLOOKUP(E413,[1]Diccionario!B:N,13,0)="B", VLOOKUP(E413,[1]Diccionario!B:N,13,0)="A")), "DEFICIT",IF(
AND(OR(Planilla!B413="B", Planilla!B413="BPAL"), VLOOKUP(E413,[1]Diccionario!B:N,13,0)="B"), "OK",IF(AND(OR(Planilla!B413="B", Planilla!B413="BPAL"), VLOOKUP(E413,[1]Diccionario!B:N,13,0)="A"), "DEFICIT",IF(AND(OR(Planilla!B413="B", Planilla!B413="BPAL"), VLOOKUP(E413,[1]Diccionario!B:N,13,0)="C"), "SOBREOFERTA",IF(AND(Planilla!B413="A", VLOOKUP(E413,[1]Diccionario!B:N,13,0)="A"), "OK",IF(
AND(Planilla!B413="A", OR(VLOOKUP(E413,[1]Diccionario!B:N,13,0)="B", VLOOKUP(E413,[1]Diccionario!B:N,13,0)="C")), "SOBREOFERTA",""
))))))),"")</f>
        <v/>
      </c>
      <c r="E413" s="48"/>
      <c r="F413" s="53"/>
      <c r="G413" s="54"/>
      <c r="H413" s="55" t="str">
        <f t="shared" si="102"/>
        <v/>
      </c>
      <c r="I413" s="35"/>
      <c r="J413" s="34" t="e">
        <f>IF(A413&lt;&gt;"",HLOOKUP(VALUE(TEXT(G413,"h:mm:ss")),IF($C$6="Laboral",[1]Input!$A$4:$Y$227,IF($C$6="Sábado",[1]Input!$A$231:$Y$452,[1]Input!$A$456:$Y$656)),VLOOKUP($C$4,[1]Input!$AG$2:$AI$99,3,0)+IF(C$5="Ida",0,1),1),"")</f>
        <v>#N/A</v>
      </c>
      <c r="K413" s="34" t="str">
        <f>IF(A414&lt;&gt;A413,AVERAGEIF(A$9:A413,A413,J$13:J413),"")</f>
        <v/>
      </c>
      <c r="L413" s="35" t="str">
        <f>IFERROR(IF(A414&lt;&gt;A413,AVERAGEIF(A$9:A413,A413,S$13:S413),""),"")</f>
        <v/>
      </c>
      <c r="M413" s="35" t="str">
        <f>IFERROR(IF(A414&lt;&gt;A413,AVERAGEIF(A$9:A413,A413,T$8:T413),""),"")</f>
        <v/>
      </c>
      <c r="N413" s="35" t="str" cm="1">
        <f t="array" ref="N413">IFERROR(IF(A414&lt;&gt;A413,_xlfn.STDEV.P(IF(A$9:A413=A413,T$7:T413)),""),"")</f>
        <v/>
      </c>
      <c r="O413" s="35" t="str" cm="1">
        <f t="array" ref="O413">IFERROR(IF(A414&lt;&gt;A413,_xlfn.STDEV.P(IF(A$9:A413=A413,S$7:S413)),""),"")</f>
        <v/>
      </c>
      <c r="P413" s="36" t="str">
        <f t="shared" si="95"/>
        <v/>
      </c>
      <c r="Q413" s="36" t="str">
        <f t="shared" si="96"/>
        <v/>
      </c>
      <c r="R413" s="36" t="str">
        <f t="shared" si="103"/>
        <v/>
      </c>
      <c r="S413" s="37" t="str">
        <f t="shared" si="104"/>
        <v/>
      </c>
      <c r="T413" s="37" t="str">
        <f t="shared" si="97"/>
        <v/>
      </c>
      <c r="U413" s="54"/>
      <c r="V413" s="46"/>
      <c r="W413" s="39" t="str">
        <f t="shared" si="105"/>
        <v/>
      </c>
      <c r="X413" s="38"/>
      <c r="Y413" s="48"/>
      <c r="AB413" s="56">
        <f t="shared" si="106"/>
        <v>1</v>
      </c>
      <c r="AC413" s="52"/>
      <c r="AD413" s="52"/>
      <c r="AE413" s="29" t="str">
        <f>IFERROR(
IF(AND(OR(AC413="C",AC413="c"), VLOOKUP(AF413,[1]Diccionario!B:N,13,0)="C"), "OK",IF(AND(OR(AC413="C",AC413="c"), OR(VLOOKUP(AF413,[1]Diccionario!B:N,13,0)="B", VLOOKUP(AF413,[1]Diccionario!B:N,13,0)="A")), "DEFICIT",IF(
AND(OR(AC413="B", AC413="BPAL"), VLOOKUP(AF413,[1]Diccionario!B:N,13,0)="B"), "OK",IF(AND(OR(AC413="B", AC413="BPAL"), VLOOKUP(AF413,[1]Diccionario!B:N,13,0)="A"), "DEFICIT",IF(AND(OR(AC413="B", AC413="BPAL"), VLOOKUP(AF413,[1]Diccionario!B:N,13,0)="C"), "SOBREOFERTA",IF(AND(AC413="A", VLOOKUP(AF413,[1]Diccionario!B:N,13,0)="A"), "OK",IF(
AND(AC413="A", OR(VLOOKUP(AF413,[1]Diccionario!B:N,13,0)="B", VLOOKUP(AF413,[1]Diccionario!B:N,13,0)="C")), "SOBREOFERTA",""
))))))),"")</f>
        <v/>
      </c>
      <c r="AF413" s="48"/>
      <c r="AG413" s="53"/>
      <c r="AH413" s="54"/>
      <c r="AI413" s="55" t="str">
        <f t="shared" si="107"/>
        <v/>
      </c>
      <c r="AJ413" s="46"/>
      <c r="AK413" s="34" t="e">
        <f>IF(AB413&lt;&gt;"",HLOOKUP(VALUE(TEXT(AH413,"h:mm:ss")),IF($C$6="Laboral",[1]Input!$A$4:$Y$227,IF($C$6="Sábado",[1]Input!$A$231:$Y$452,[1]Input!$A$456:$Y$656)),VLOOKUP($C$4,[1]Input!$AG$2:$AI$99,3,0)+IF(AD$5="Ida",0,1),1),"")</f>
        <v>#N/A</v>
      </c>
      <c r="AL413" s="34" t="str">
        <f>IF(AB414&lt;&gt;AB413,AVERAGEIF(AB$9:AB413,AB413,AK$9:AK413),"")</f>
        <v/>
      </c>
      <c r="AM413" s="35" t="str">
        <f>IFERROR(IF(AB414&lt;&gt;AB413,AVERAGEIF(AB$9:AB413,AB413,AT$9:AT413),""),"")</f>
        <v/>
      </c>
      <c r="AN413" s="35" t="str">
        <f>IFERROR(IF(AB414&lt;&gt;AB413,AVERAGEIF(AB$9:AB413,AB413,AU$9:AU413),""),"")</f>
        <v/>
      </c>
      <c r="AO413" s="35" t="str" cm="1">
        <f t="array" ref="AO413">IFERROR(IF(AB414&lt;&gt;AB413,_xlfn.STDEV.P(IF(AB$9:AB413=AB413,AU$9:AU413)),""),"")</f>
        <v/>
      </c>
      <c r="AP413" s="35" t="str" cm="1">
        <f t="array" ref="AP413">IFERROR(IF(AB414&lt;&gt;AB413,_xlfn.STDEV.P(IF(AB$9:AB413=AB413,AT$9:AT413)),""),"")</f>
        <v/>
      </c>
      <c r="AQ413" s="36" t="str">
        <f t="shared" si="98"/>
        <v/>
      </c>
      <c r="AR413" s="36" t="str">
        <f t="shared" si="99"/>
        <v/>
      </c>
      <c r="AS413" s="36" t="str">
        <f t="shared" si="108"/>
        <v/>
      </c>
      <c r="AT413" s="37" t="str">
        <f t="shared" si="100"/>
        <v/>
      </c>
      <c r="AU413" s="37" t="str">
        <f t="shared" si="101"/>
        <v/>
      </c>
      <c r="AV413" s="54"/>
      <c r="AW413" s="46"/>
      <c r="AX413" s="39" t="str" cm="1">
        <f t="array" ref="AX413">IF(AH413&lt;&gt;"",IF(AND(AX411:AX412&lt;&gt;"IE",AQ413&lt;&gt;0,AS413&lt;&gt;""),IF(IFERROR((AQ413/AS413),0) &lt;=1,IFERROR(AQ413/AS413,""),1),""),"")</f>
        <v/>
      </c>
      <c r="AY413" s="46"/>
      <c r="AZ413" s="57"/>
    </row>
    <row r="414" spans="1:52" ht="15.5" x14ac:dyDescent="0.35">
      <c r="A414" s="51">
        <f t="shared" si="109"/>
        <v>1</v>
      </c>
      <c r="B414" s="52"/>
      <c r="C414" s="52"/>
      <c r="D414" s="29" t="str">
        <f>IFERROR(
IF(AND(OR(Planilla!B414="C",Planilla!B414="c"), VLOOKUP(E414,[1]Diccionario!B:N,13,0)="C"), "OK",IF(AND(OR(Planilla!B414="C",Planilla!B414="c"), OR(VLOOKUP(E414,[1]Diccionario!B:N,13,0)="B", VLOOKUP(E414,[1]Diccionario!B:N,13,0)="A")), "DEFICIT",IF(
AND(OR(Planilla!B414="B", Planilla!B414="BPAL"), VLOOKUP(E414,[1]Diccionario!B:N,13,0)="B"), "OK",IF(AND(OR(Planilla!B414="B", Planilla!B414="BPAL"), VLOOKUP(E414,[1]Diccionario!B:N,13,0)="A"), "DEFICIT",IF(AND(OR(Planilla!B414="B", Planilla!B414="BPAL"), VLOOKUP(E414,[1]Diccionario!B:N,13,0)="C"), "SOBREOFERTA",IF(AND(Planilla!B414="A", VLOOKUP(E414,[1]Diccionario!B:N,13,0)="A"), "OK",IF(
AND(Planilla!B414="A", OR(VLOOKUP(E414,[1]Diccionario!B:N,13,0)="B", VLOOKUP(E414,[1]Diccionario!B:N,13,0)="C")), "SOBREOFERTA",""
))))))),"")</f>
        <v/>
      </c>
      <c r="E414" s="48"/>
      <c r="F414" s="53"/>
      <c r="G414" s="54"/>
      <c r="H414" s="55" t="str">
        <f t="shared" si="102"/>
        <v/>
      </c>
      <c r="I414" s="35"/>
      <c r="J414" s="34" t="e">
        <f>IF(A414&lt;&gt;"",HLOOKUP(VALUE(TEXT(G414,"h:mm:ss")),IF($C$6="Laboral",[1]Input!$A$4:$Y$227,IF($C$6="Sábado",[1]Input!$A$231:$Y$452,[1]Input!$A$456:$Y$656)),VLOOKUP($C$4,[1]Input!$AG$2:$AI$99,3,0)+IF(C$5="Ida",0,1),1),"")</f>
        <v>#N/A</v>
      </c>
      <c r="K414" s="34" t="str">
        <f>IF(A415&lt;&gt;A414,AVERAGEIF(A$9:A414,A414,J$13:J414),"")</f>
        <v/>
      </c>
      <c r="L414" s="35" t="str">
        <f>IFERROR(IF(A415&lt;&gt;A414,AVERAGEIF(A$9:A414,A414,S$13:S414),""),"")</f>
        <v/>
      </c>
      <c r="M414" s="35" t="str">
        <f>IFERROR(IF(A415&lt;&gt;A414,AVERAGEIF(A$9:A414,A414,T$8:T414),""),"")</f>
        <v/>
      </c>
      <c r="N414" s="35" t="str" cm="1">
        <f t="array" ref="N414">IFERROR(IF(A415&lt;&gt;A414,_xlfn.STDEV.P(IF(A$9:A414=A414,T$7:T414)),""),"")</f>
        <v/>
      </c>
      <c r="O414" s="35" t="str" cm="1">
        <f t="array" ref="O414">IFERROR(IF(A415&lt;&gt;A414,_xlfn.STDEV.P(IF(A$9:A414=A414,S$7:S414)),""),"")</f>
        <v/>
      </c>
      <c r="P414" s="36" t="str">
        <f t="shared" si="95"/>
        <v/>
      </c>
      <c r="Q414" s="36" t="str">
        <f t="shared" si="96"/>
        <v/>
      </c>
      <c r="R414" s="36" t="str">
        <f t="shared" si="103"/>
        <v/>
      </c>
      <c r="S414" s="37" t="str">
        <f t="shared" si="104"/>
        <v/>
      </c>
      <c r="T414" s="37" t="str">
        <f t="shared" si="97"/>
        <v/>
      </c>
      <c r="U414" s="54"/>
      <c r="V414" s="46"/>
      <c r="W414" s="39" t="str">
        <f t="shared" si="105"/>
        <v/>
      </c>
      <c r="X414" s="38"/>
      <c r="Y414" s="48"/>
      <c r="AB414" s="56">
        <f t="shared" si="106"/>
        <v>1</v>
      </c>
      <c r="AC414" s="52"/>
      <c r="AD414" s="52"/>
      <c r="AE414" s="29" t="str">
        <f>IFERROR(
IF(AND(OR(AC414="C",AC414="c"), VLOOKUP(AF414,[1]Diccionario!B:N,13,0)="C"), "OK",IF(AND(OR(AC414="C",AC414="c"), OR(VLOOKUP(AF414,[1]Diccionario!B:N,13,0)="B", VLOOKUP(AF414,[1]Diccionario!B:N,13,0)="A")), "DEFICIT",IF(
AND(OR(AC414="B", AC414="BPAL"), VLOOKUP(AF414,[1]Diccionario!B:N,13,0)="B"), "OK",IF(AND(OR(AC414="B", AC414="BPAL"), VLOOKUP(AF414,[1]Diccionario!B:N,13,0)="A"), "DEFICIT",IF(AND(OR(AC414="B", AC414="BPAL"), VLOOKUP(AF414,[1]Diccionario!B:N,13,0)="C"), "SOBREOFERTA",IF(AND(AC414="A", VLOOKUP(AF414,[1]Diccionario!B:N,13,0)="A"), "OK",IF(
AND(AC414="A", OR(VLOOKUP(AF414,[1]Diccionario!B:N,13,0)="B", VLOOKUP(AF414,[1]Diccionario!B:N,13,0)="C")), "SOBREOFERTA",""
))))))),"")</f>
        <v/>
      </c>
      <c r="AF414" s="48"/>
      <c r="AG414" s="53"/>
      <c r="AH414" s="54"/>
      <c r="AI414" s="55" t="str">
        <f t="shared" si="107"/>
        <v/>
      </c>
      <c r="AJ414" s="46"/>
      <c r="AK414" s="34" t="e">
        <f>IF(AB414&lt;&gt;"",HLOOKUP(VALUE(TEXT(AH414,"h:mm:ss")),IF($C$6="Laboral",[1]Input!$A$4:$Y$227,IF($C$6="Sábado",[1]Input!$A$231:$Y$452,[1]Input!$A$456:$Y$656)),VLOOKUP($C$4,[1]Input!$AG$2:$AI$99,3,0)+IF(AD$5="Ida",0,1),1),"")</f>
        <v>#N/A</v>
      </c>
      <c r="AL414" s="34" t="str">
        <f>IF(AB415&lt;&gt;AB414,AVERAGEIF(AB$9:AB414,AB414,AK$9:AK414),"")</f>
        <v/>
      </c>
      <c r="AM414" s="35" t="str">
        <f>IFERROR(IF(AB415&lt;&gt;AB414,AVERAGEIF(AB$9:AB414,AB414,AT$9:AT414),""),"")</f>
        <v/>
      </c>
      <c r="AN414" s="35" t="str">
        <f>IFERROR(IF(AB415&lt;&gt;AB414,AVERAGEIF(AB$9:AB414,AB414,AU$9:AU414),""),"")</f>
        <v/>
      </c>
      <c r="AO414" s="35" t="str" cm="1">
        <f t="array" ref="AO414">IFERROR(IF(AB415&lt;&gt;AB414,_xlfn.STDEV.P(IF(AB$9:AB414=AB414,AU$9:AU414)),""),"")</f>
        <v/>
      </c>
      <c r="AP414" s="35" t="str" cm="1">
        <f t="array" ref="AP414">IFERROR(IF(AB415&lt;&gt;AB414,_xlfn.STDEV.P(IF(AB$9:AB414=AB414,AT$9:AT414)),""),"")</f>
        <v/>
      </c>
      <c r="AQ414" s="36" t="str">
        <f t="shared" si="98"/>
        <v/>
      </c>
      <c r="AR414" s="36" t="str">
        <f t="shared" si="99"/>
        <v/>
      </c>
      <c r="AS414" s="36" t="str">
        <f t="shared" si="108"/>
        <v/>
      </c>
      <c r="AT414" s="37" t="str">
        <f t="shared" si="100"/>
        <v/>
      </c>
      <c r="AU414" s="37" t="str">
        <f t="shared" si="101"/>
        <v/>
      </c>
      <c r="AV414" s="54"/>
      <c r="AW414" s="46"/>
      <c r="AX414" s="39" t="str" cm="1">
        <f t="array" ref="AX414">IF(AH414&lt;&gt;"",IF(AND(AX412:AX413&lt;&gt;"IE",AQ414&lt;&gt;0,AS414&lt;&gt;""),IF(IFERROR((AQ414/AS414),0) &lt;=1,IFERROR(AQ414/AS414,""),1),""),"")</f>
        <v/>
      </c>
      <c r="AY414" s="46"/>
      <c r="AZ414" s="57"/>
    </row>
    <row r="415" spans="1:52" ht="15.5" x14ac:dyDescent="0.35">
      <c r="A415" s="51">
        <f t="shared" si="109"/>
        <v>1</v>
      </c>
      <c r="B415" s="52"/>
      <c r="C415" s="52"/>
      <c r="D415" s="29" t="str">
        <f>IFERROR(
IF(AND(OR(Planilla!B415="C",Planilla!B415="c"), VLOOKUP(E415,[1]Diccionario!B:N,13,0)="C"), "OK",IF(AND(OR(Planilla!B415="C",Planilla!B415="c"), OR(VLOOKUP(E415,[1]Diccionario!B:N,13,0)="B", VLOOKUP(E415,[1]Diccionario!B:N,13,0)="A")), "DEFICIT",IF(
AND(OR(Planilla!B415="B", Planilla!B415="BPAL"), VLOOKUP(E415,[1]Diccionario!B:N,13,0)="B"), "OK",IF(AND(OR(Planilla!B415="B", Planilla!B415="BPAL"), VLOOKUP(E415,[1]Diccionario!B:N,13,0)="A"), "DEFICIT",IF(AND(OR(Planilla!B415="B", Planilla!B415="BPAL"), VLOOKUP(E415,[1]Diccionario!B:N,13,0)="C"), "SOBREOFERTA",IF(AND(Planilla!B415="A", VLOOKUP(E415,[1]Diccionario!B:N,13,0)="A"), "OK",IF(
AND(Planilla!B415="A", OR(VLOOKUP(E415,[1]Diccionario!B:N,13,0)="B", VLOOKUP(E415,[1]Diccionario!B:N,13,0)="C")), "SOBREOFERTA",""
))))))),"")</f>
        <v/>
      </c>
      <c r="E415" s="48"/>
      <c r="F415" s="53"/>
      <c r="G415" s="54"/>
      <c r="H415" s="55" t="str">
        <f t="shared" si="102"/>
        <v/>
      </c>
      <c r="I415" s="35"/>
      <c r="J415" s="34" t="e">
        <f>IF(A415&lt;&gt;"",HLOOKUP(VALUE(TEXT(G415,"h:mm:ss")),IF($C$6="Laboral",[1]Input!$A$4:$Y$227,IF($C$6="Sábado",[1]Input!$A$231:$Y$452,[1]Input!$A$456:$Y$656)),VLOOKUP($C$4,[1]Input!$AG$2:$AI$99,3,0)+IF(C$5="Ida",0,1),1),"")</f>
        <v>#N/A</v>
      </c>
      <c r="K415" s="34" t="str">
        <f>IF(A416&lt;&gt;A415,AVERAGEIF(A$9:A415,A415,J$13:J415),"")</f>
        <v/>
      </c>
      <c r="L415" s="35" t="str">
        <f>IFERROR(IF(A416&lt;&gt;A415,AVERAGEIF(A$9:A415,A415,S$13:S415),""),"")</f>
        <v/>
      </c>
      <c r="M415" s="35" t="str">
        <f>IFERROR(IF(A416&lt;&gt;A415,AVERAGEIF(A$9:A415,A415,T$8:T415),""),"")</f>
        <v/>
      </c>
      <c r="N415" s="35" t="str" cm="1">
        <f t="array" ref="N415">IFERROR(IF(A416&lt;&gt;A415,_xlfn.STDEV.P(IF(A$9:A415=A415,T$7:T415)),""),"")</f>
        <v/>
      </c>
      <c r="O415" s="35" t="str" cm="1">
        <f t="array" ref="O415">IFERROR(IF(A416&lt;&gt;A415,_xlfn.STDEV.P(IF(A$9:A415=A415,S$7:S415)),""),"")</f>
        <v/>
      </c>
      <c r="P415" s="36" t="str">
        <f t="shared" si="95"/>
        <v/>
      </c>
      <c r="Q415" s="36" t="str">
        <f t="shared" si="96"/>
        <v/>
      </c>
      <c r="R415" s="36" t="str">
        <f t="shared" si="103"/>
        <v/>
      </c>
      <c r="S415" s="37" t="str">
        <f t="shared" si="104"/>
        <v/>
      </c>
      <c r="T415" s="37" t="str">
        <f t="shared" si="97"/>
        <v/>
      </c>
      <c r="U415" s="54"/>
      <c r="V415" s="46"/>
      <c r="W415" s="39" t="str">
        <f t="shared" si="105"/>
        <v/>
      </c>
      <c r="X415" s="38"/>
      <c r="Y415" s="48"/>
      <c r="AB415" s="56">
        <f t="shared" si="106"/>
        <v>1</v>
      </c>
      <c r="AC415" s="52"/>
      <c r="AD415" s="52"/>
      <c r="AE415" s="29" t="str">
        <f>IFERROR(
IF(AND(OR(AC415="C",AC415="c"), VLOOKUP(AF415,[1]Diccionario!B:N,13,0)="C"), "OK",IF(AND(OR(AC415="C",AC415="c"), OR(VLOOKUP(AF415,[1]Diccionario!B:N,13,0)="B", VLOOKUP(AF415,[1]Diccionario!B:N,13,0)="A")), "DEFICIT",IF(
AND(OR(AC415="B", AC415="BPAL"), VLOOKUP(AF415,[1]Diccionario!B:N,13,0)="B"), "OK",IF(AND(OR(AC415="B", AC415="BPAL"), VLOOKUP(AF415,[1]Diccionario!B:N,13,0)="A"), "DEFICIT",IF(AND(OR(AC415="B", AC415="BPAL"), VLOOKUP(AF415,[1]Diccionario!B:N,13,0)="C"), "SOBREOFERTA",IF(AND(AC415="A", VLOOKUP(AF415,[1]Diccionario!B:N,13,0)="A"), "OK",IF(
AND(AC415="A", OR(VLOOKUP(AF415,[1]Diccionario!B:N,13,0)="B", VLOOKUP(AF415,[1]Diccionario!B:N,13,0)="C")), "SOBREOFERTA",""
))))))),"")</f>
        <v/>
      </c>
      <c r="AF415" s="48"/>
      <c r="AG415" s="53"/>
      <c r="AH415" s="54"/>
      <c r="AI415" s="55" t="str">
        <f t="shared" si="107"/>
        <v/>
      </c>
      <c r="AJ415" s="46"/>
      <c r="AK415" s="34" t="e">
        <f>IF(AB415&lt;&gt;"",HLOOKUP(VALUE(TEXT(AH415,"h:mm:ss")),IF($C$6="Laboral",[1]Input!$A$4:$Y$227,IF($C$6="Sábado",[1]Input!$A$231:$Y$452,[1]Input!$A$456:$Y$656)),VLOOKUP($C$4,[1]Input!$AG$2:$AI$99,3,0)+IF(AD$5="Ida",0,1),1),"")</f>
        <v>#N/A</v>
      </c>
      <c r="AL415" s="34" t="str">
        <f>IF(AB416&lt;&gt;AB415,AVERAGEIF(AB$9:AB415,AB415,AK$9:AK415),"")</f>
        <v/>
      </c>
      <c r="AM415" s="35" t="str">
        <f>IFERROR(IF(AB416&lt;&gt;AB415,AVERAGEIF(AB$9:AB415,AB415,AT$9:AT415),""),"")</f>
        <v/>
      </c>
      <c r="AN415" s="35" t="str">
        <f>IFERROR(IF(AB416&lt;&gt;AB415,AVERAGEIF(AB$9:AB415,AB415,AU$9:AU415),""),"")</f>
        <v/>
      </c>
      <c r="AO415" s="35" t="str" cm="1">
        <f t="array" ref="AO415">IFERROR(IF(AB416&lt;&gt;AB415,_xlfn.STDEV.P(IF(AB$9:AB415=AB415,AU$9:AU415)),""),"")</f>
        <v/>
      </c>
      <c r="AP415" s="35" t="str" cm="1">
        <f t="array" ref="AP415">IFERROR(IF(AB416&lt;&gt;AB415,_xlfn.STDEV.P(IF(AB$9:AB415=AB415,AT$9:AT415)),""),"")</f>
        <v/>
      </c>
      <c r="AQ415" s="36" t="str">
        <f t="shared" si="98"/>
        <v/>
      </c>
      <c r="AR415" s="36" t="str">
        <f t="shared" si="99"/>
        <v/>
      </c>
      <c r="AS415" s="36" t="str">
        <f t="shared" si="108"/>
        <v/>
      </c>
      <c r="AT415" s="37" t="str">
        <f t="shared" si="100"/>
        <v/>
      </c>
      <c r="AU415" s="37" t="str">
        <f t="shared" si="101"/>
        <v/>
      </c>
      <c r="AV415" s="54"/>
      <c r="AW415" s="46"/>
      <c r="AX415" s="39" t="str" cm="1">
        <f t="array" ref="AX415">IF(AH415&lt;&gt;"",IF(AND(AX413:AX414&lt;&gt;"IE",AQ415&lt;&gt;0,AS415&lt;&gt;""),IF(IFERROR((AQ415/AS415),0) &lt;=1,IFERROR(AQ415/AS415,""),1),""),"")</f>
        <v/>
      </c>
      <c r="AY415" s="46"/>
      <c r="AZ415" s="57"/>
    </row>
    <row r="416" spans="1:52" ht="15.5" x14ac:dyDescent="0.35">
      <c r="A416" s="51">
        <f t="shared" si="109"/>
        <v>1</v>
      </c>
      <c r="B416" s="52"/>
      <c r="C416" s="52"/>
      <c r="D416" s="29" t="str">
        <f>IFERROR(
IF(AND(OR(Planilla!B416="C",Planilla!B416="c"), VLOOKUP(E416,[1]Diccionario!B:N,13,0)="C"), "OK",IF(AND(OR(Planilla!B416="C",Planilla!B416="c"), OR(VLOOKUP(E416,[1]Diccionario!B:N,13,0)="B", VLOOKUP(E416,[1]Diccionario!B:N,13,0)="A")), "DEFICIT",IF(
AND(OR(Planilla!B416="B", Planilla!B416="BPAL"), VLOOKUP(E416,[1]Diccionario!B:N,13,0)="B"), "OK",IF(AND(OR(Planilla!B416="B", Planilla!B416="BPAL"), VLOOKUP(E416,[1]Diccionario!B:N,13,0)="A"), "DEFICIT",IF(AND(OR(Planilla!B416="B", Planilla!B416="BPAL"), VLOOKUP(E416,[1]Diccionario!B:N,13,0)="C"), "SOBREOFERTA",IF(AND(Planilla!B416="A", VLOOKUP(E416,[1]Diccionario!B:N,13,0)="A"), "OK",IF(
AND(Planilla!B416="A", OR(VLOOKUP(E416,[1]Diccionario!B:N,13,0)="B", VLOOKUP(E416,[1]Diccionario!B:N,13,0)="C")), "SOBREOFERTA",""
))))))),"")</f>
        <v/>
      </c>
      <c r="E416" s="48"/>
      <c r="F416" s="53"/>
      <c r="G416" s="54"/>
      <c r="H416" s="55" t="str">
        <f t="shared" si="102"/>
        <v/>
      </c>
      <c r="I416" s="35"/>
      <c r="J416" s="34" t="e">
        <f>IF(A416&lt;&gt;"",HLOOKUP(VALUE(TEXT(G416,"h:mm:ss")),IF($C$6="Laboral",[1]Input!$A$4:$Y$227,IF($C$6="Sábado",[1]Input!$A$231:$Y$452,[1]Input!$A$456:$Y$656)),VLOOKUP($C$4,[1]Input!$AG$2:$AI$99,3,0)+IF(C$5="Ida",0,1),1),"")</f>
        <v>#N/A</v>
      </c>
      <c r="K416" s="34" t="str">
        <f>IF(A417&lt;&gt;A416,AVERAGEIF(A$9:A416,A416,J$13:J416),"")</f>
        <v/>
      </c>
      <c r="L416" s="35" t="str">
        <f>IFERROR(IF(A417&lt;&gt;A416,AVERAGEIF(A$9:A416,A416,S$13:S416),""),"")</f>
        <v/>
      </c>
      <c r="M416" s="35" t="str">
        <f>IFERROR(IF(A417&lt;&gt;A416,AVERAGEIF(A$9:A416,A416,T$8:T416),""),"")</f>
        <v/>
      </c>
      <c r="N416" s="35" t="str" cm="1">
        <f t="array" ref="N416">IFERROR(IF(A417&lt;&gt;A416,_xlfn.STDEV.P(IF(A$9:A416=A416,T$7:T416)),""),"")</f>
        <v/>
      </c>
      <c r="O416" s="35" t="str" cm="1">
        <f t="array" ref="O416">IFERROR(IF(A417&lt;&gt;A416,_xlfn.STDEV.P(IF(A$9:A416=A416,S$7:S416)),""),"")</f>
        <v/>
      </c>
      <c r="P416" s="36" t="str">
        <f t="shared" si="95"/>
        <v/>
      </c>
      <c r="Q416" s="36" t="str">
        <f t="shared" si="96"/>
        <v/>
      </c>
      <c r="R416" s="36" t="str">
        <f t="shared" si="103"/>
        <v/>
      </c>
      <c r="S416" s="37" t="str">
        <f t="shared" si="104"/>
        <v/>
      </c>
      <c r="T416" s="37" t="str">
        <f t="shared" si="97"/>
        <v/>
      </c>
      <c r="U416" s="54"/>
      <c r="V416" s="46"/>
      <c r="W416" s="39" t="str">
        <f t="shared" si="105"/>
        <v/>
      </c>
      <c r="X416" s="38"/>
      <c r="Y416" s="48"/>
      <c r="AB416" s="56">
        <f t="shared" si="106"/>
        <v>1</v>
      </c>
      <c r="AC416" s="52"/>
      <c r="AD416" s="52"/>
      <c r="AE416" s="29" t="str">
        <f>IFERROR(
IF(AND(OR(AC416="C",AC416="c"), VLOOKUP(AF416,[1]Diccionario!B:N,13,0)="C"), "OK",IF(AND(OR(AC416="C",AC416="c"), OR(VLOOKUP(AF416,[1]Diccionario!B:N,13,0)="B", VLOOKUP(AF416,[1]Diccionario!B:N,13,0)="A")), "DEFICIT",IF(
AND(OR(AC416="B", AC416="BPAL"), VLOOKUP(AF416,[1]Diccionario!B:N,13,0)="B"), "OK",IF(AND(OR(AC416="B", AC416="BPAL"), VLOOKUP(AF416,[1]Diccionario!B:N,13,0)="A"), "DEFICIT",IF(AND(OR(AC416="B", AC416="BPAL"), VLOOKUP(AF416,[1]Diccionario!B:N,13,0)="C"), "SOBREOFERTA",IF(AND(AC416="A", VLOOKUP(AF416,[1]Diccionario!B:N,13,0)="A"), "OK",IF(
AND(AC416="A", OR(VLOOKUP(AF416,[1]Diccionario!B:N,13,0)="B", VLOOKUP(AF416,[1]Diccionario!B:N,13,0)="C")), "SOBREOFERTA",""
))))))),"")</f>
        <v/>
      </c>
      <c r="AF416" s="48"/>
      <c r="AG416" s="53"/>
      <c r="AH416" s="54"/>
      <c r="AI416" s="55" t="str">
        <f t="shared" si="107"/>
        <v/>
      </c>
      <c r="AJ416" s="46"/>
      <c r="AK416" s="34" t="e">
        <f>IF(AB416&lt;&gt;"",HLOOKUP(VALUE(TEXT(AH416,"h:mm:ss")),IF($C$6="Laboral",[1]Input!$A$4:$Y$227,IF($C$6="Sábado",[1]Input!$A$231:$Y$452,[1]Input!$A$456:$Y$656)),VLOOKUP($C$4,[1]Input!$AG$2:$AI$99,3,0)+IF(AD$5="Ida",0,1),1),"")</f>
        <v>#N/A</v>
      </c>
      <c r="AL416" s="34" t="str">
        <f>IF(AB417&lt;&gt;AB416,AVERAGEIF(AB$9:AB416,AB416,AK$9:AK416),"")</f>
        <v/>
      </c>
      <c r="AM416" s="35" t="str">
        <f>IFERROR(IF(AB417&lt;&gt;AB416,AVERAGEIF(AB$9:AB416,AB416,AT$9:AT416),""),"")</f>
        <v/>
      </c>
      <c r="AN416" s="35" t="str">
        <f>IFERROR(IF(AB417&lt;&gt;AB416,AVERAGEIF(AB$9:AB416,AB416,AU$9:AU416),""),"")</f>
        <v/>
      </c>
      <c r="AO416" s="35" t="str" cm="1">
        <f t="array" ref="AO416">IFERROR(IF(AB417&lt;&gt;AB416,_xlfn.STDEV.P(IF(AB$9:AB416=AB416,AU$9:AU416)),""),"")</f>
        <v/>
      </c>
      <c r="AP416" s="35" t="str" cm="1">
        <f t="array" ref="AP416">IFERROR(IF(AB417&lt;&gt;AB416,_xlfn.STDEV.P(IF(AB$9:AB416=AB416,AT$9:AT416)),""),"")</f>
        <v/>
      </c>
      <c r="AQ416" s="36" t="str">
        <f t="shared" si="98"/>
        <v/>
      </c>
      <c r="AR416" s="36" t="str">
        <f t="shared" si="99"/>
        <v/>
      </c>
      <c r="AS416" s="36" t="str">
        <f t="shared" si="108"/>
        <v/>
      </c>
      <c r="AT416" s="37" t="str">
        <f t="shared" si="100"/>
        <v/>
      </c>
      <c r="AU416" s="37" t="str">
        <f t="shared" si="101"/>
        <v/>
      </c>
      <c r="AV416" s="54"/>
      <c r="AW416" s="46"/>
      <c r="AX416" s="39" t="str" cm="1">
        <f t="array" ref="AX416">IF(AH416&lt;&gt;"",IF(AND(AX414:AX415&lt;&gt;"IE",AQ416&lt;&gt;0,AS416&lt;&gt;""),IF(IFERROR((AQ416/AS416),0) &lt;=1,IFERROR(AQ416/AS416,""),1),""),"")</f>
        <v/>
      </c>
      <c r="AY416" s="46"/>
      <c r="AZ416" s="57"/>
    </row>
    <row r="417" spans="1:52" ht="15.5" x14ac:dyDescent="0.35">
      <c r="A417" s="51">
        <f t="shared" si="109"/>
        <v>1</v>
      </c>
      <c r="B417" s="52"/>
      <c r="C417" s="52"/>
      <c r="D417" s="29" t="str">
        <f>IFERROR(
IF(AND(OR(Planilla!B417="C",Planilla!B417="c"), VLOOKUP(E417,[1]Diccionario!B:N,13,0)="C"), "OK",IF(AND(OR(Planilla!B417="C",Planilla!B417="c"), OR(VLOOKUP(E417,[1]Diccionario!B:N,13,0)="B", VLOOKUP(E417,[1]Diccionario!B:N,13,0)="A")), "DEFICIT",IF(
AND(OR(Planilla!B417="B", Planilla!B417="BPAL"), VLOOKUP(E417,[1]Diccionario!B:N,13,0)="B"), "OK",IF(AND(OR(Planilla!B417="B", Planilla!B417="BPAL"), VLOOKUP(E417,[1]Diccionario!B:N,13,0)="A"), "DEFICIT",IF(AND(OR(Planilla!B417="B", Planilla!B417="BPAL"), VLOOKUP(E417,[1]Diccionario!B:N,13,0)="C"), "SOBREOFERTA",IF(AND(Planilla!B417="A", VLOOKUP(E417,[1]Diccionario!B:N,13,0)="A"), "OK",IF(
AND(Planilla!B417="A", OR(VLOOKUP(E417,[1]Diccionario!B:N,13,0)="B", VLOOKUP(E417,[1]Diccionario!B:N,13,0)="C")), "SOBREOFERTA",""
))))))),"")</f>
        <v/>
      </c>
      <c r="E417" s="48"/>
      <c r="F417" s="53"/>
      <c r="G417" s="54"/>
      <c r="H417" s="55" t="str">
        <f t="shared" si="102"/>
        <v/>
      </c>
      <c r="I417" s="35"/>
      <c r="J417" s="34" t="e">
        <f>IF(A417&lt;&gt;"",HLOOKUP(VALUE(TEXT(G417,"h:mm:ss")),IF($C$6="Laboral",[1]Input!$A$4:$Y$227,IF($C$6="Sábado",[1]Input!$A$231:$Y$452,[1]Input!$A$456:$Y$656)),VLOOKUP($C$4,[1]Input!$AG$2:$AI$99,3,0)+IF(C$5="Ida",0,1),1),"")</f>
        <v>#N/A</v>
      </c>
      <c r="K417" s="34" t="str">
        <f>IF(A418&lt;&gt;A417,AVERAGEIF(A$9:A417,A417,J$13:J417),"")</f>
        <v/>
      </c>
      <c r="L417" s="35" t="str">
        <f>IFERROR(IF(A418&lt;&gt;A417,AVERAGEIF(A$9:A417,A417,S$13:S417),""),"")</f>
        <v/>
      </c>
      <c r="M417" s="35" t="str">
        <f>IFERROR(IF(A418&lt;&gt;A417,AVERAGEIF(A$9:A417,A417,T$8:T417),""),"")</f>
        <v/>
      </c>
      <c r="N417" s="35" t="str" cm="1">
        <f t="array" ref="N417">IFERROR(IF(A418&lt;&gt;A417,_xlfn.STDEV.P(IF(A$9:A417=A417,T$7:T417)),""),"")</f>
        <v/>
      </c>
      <c r="O417" s="35" t="str" cm="1">
        <f t="array" ref="O417">IFERROR(IF(A418&lt;&gt;A417,_xlfn.STDEV.P(IF(A$9:A417=A417,S$7:S417)),""),"")</f>
        <v/>
      </c>
      <c r="P417" s="36" t="str">
        <f t="shared" si="95"/>
        <v/>
      </c>
      <c r="Q417" s="36" t="str">
        <f t="shared" si="96"/>
        <v/>
      </c>
      <c r="R417" s="36" t="str">
        <f t="shared" si="103"/>
        <v/>
      </c>
      <c r="S417" s="37" t="str">
        <f t="shared" si="104"/>
        <v/>
      </c>
      <c r="T417" s="37" t="str">
        <f t="shared" si="97"/>
        <v/>
      </c>
      <c r="U417" s="54"/>
      <c r="V417" s="46"/>
      <c r="W417" s="39" t="str">
        <f t="shared" si="105"/>
        <v/>
      </c>
      <c r="X417" s="38"/>
      <c r="Y417" s="48"/>
      <c r="AB417" s="56">
        <f t="shared" si="106"/>
        <v>1</v>
      </c>
      <c r="AC417" s="52"/>
      <c r="AD417" s="52"/>
      <c r="AE417" s="29" t="str">
        <f>IFERROR(
IF(AND(OR(AC417="C",AC417="c"), VLOOKUP(AF417,[1]Diccionario!B:N,13,0)="C"), "OK",IF(AND(OR(AC417="C",AC417="c"), OR(VLOOKUP(AF417,[1]Diccionario!B:N,13,0)="B", VLOOKUP(AF417,[1]Diccionario!B:N,13,0)="A")), "DEFICIT",IF(
AND(OR(AC417="B", AC417="BPAL"), VLOOKUP(AF417,[1]Diccionario!B:N,13,0)="B"), "OK",IF(AND(OR(AC417="B", AC417="BPAL"), VLOOKUP(AF417,[1]Diccionario!B:N,13,0)="A"), "DEFICIT",IF(AND(OR(AC417="B", AC417="BPAL"), VLOOKUP(AF417,[1]Diccionario!B:N,13,0)="C"), "SOBREOFERTA",IF(AND(AC417="A", VLOOKUP(AF417,[1]Diccionario!B:N,13,0)="A"), "OK",IF(
AND(AC417="A", OR(VLOOKUP(AF417,[1]Diccionario!B:N,13,0)="B", VLOOKUP(AF417,[1]Diccionario!B:N,13,0)="C")), "SOBREOFERTA",""
))))))),"")</f>
        <v/>
      </c>
      <c r="AF417" s="48"/>
      <c r="AG417" s="53"/>
      <c r="AH417" s="54"/>
      <c r="AI417" s="55" t="str">
        <f t="shared" si="107"/>
        <v/>
      </c>
      <c r="AJ417" s="46"/>
      <c r="AK417" s="34" t="e">
        <f>IF(AB417&lt;&gt;"",HLOOKUP(VALUE(TEXT(AH417,"h:mm:ss")),IF($C$6="Laboral",[1]Input!$A$4:$Y$227,IF($C$6="Sábado",[1]Input!$A$231:$Y$452,[1]Input!$A$456:$Y$656)),VLOOKUP($C$4,[1]Input!$AG$2:$AI$99,3,0)+IF(AD$5="Ida",0,1),1),"")</f>
        <v>#N/A</v>
      </c>
      <c r="AL417" s="34" t="str">
        <f>IF(AB418&lt;&gt;AB417,AVERAGEIF(AB$9:AB417,AB417,AK$9:AK417),"")</f>
        <v/>
      </c>
      <c r="AM417" s="35" t="str">
        <f>IFERROR(IF(AB418&lt;&gt;AB417,AVERAGEIF(AB$9:AB417,AB417,AT$9:AT417),""),"")</f>
        <v/>
      </c>
      <c r="AN417" s="35" t="str">
        <f>IFERROR(IF(AB418&lt;&gt;AB417,AVERAGEIF(AB$9:AB417,AB417,AU$9:AU417),""),"")</f>
        <v/>
      </c>
      <c r="AO417" s="35" t="str" cm="1">
        <f t="array" ref="AO417">IFERROR(IF(AB418&lt;&gt;AB417,_xlfn.STDEV.P(IF(AB$9:AB417=AB417,AU$9:AU417)),""),"")</f>
        <v/>
      </c>
      <c r="AP417" s="35" t="str" cm="1">
        <f t="array" ref="AP417">IFERROR(IF(AB418&lt;&gt;AB417,_xlfn.STDEV.P(IF(AB$9:AB417=AB417,AT$9:AT417)),""),"")</f>
        <v/>
      </c>
      <c r="AQ417" s="36" t="str">
        <f t="shared" si="98"/>
        <v/>
      </c>
      <c r="AR417" s="36" t="str">
        <f t="shared" si="99"/>
        <v/>
      </c>
      <c r="AS417" s="36" t="str">
        <f t="shared" si="108"/>
        <v/>
      </c>
      <c r="AT417" s="37" t="str">
        <f t="shared" si="100"/>
        <v/>
      </c>
      <c r="AU417" s="37" t="str">
        <f t="shared" si="101"/>
        <v/>
      </c>
      <c r="AV417" s="54"/>
      <c r="AW417" s="46"/>
      <c r="AX417" s="39" t="str" cm="1">
        <f t="array" ref="AX417">IF(AH417&lt;&gt;"",IF(AND(AX415:AX416&lt;&gt;"IE",AQ417&lt;&gt;0,AS417&lt;&gt;""),IF(IFERROR((AQ417/AS417),0) &lt;=1,IFERROR(AQ417/AS417,""),1),""),"")</f>
        <v/>
      </c>
      <c r="AY417" s="46"/>
      <c r="AZ417" s="57"/>
    </row>
    <row r="418" spans="1:52" ht="15.5" x14ac:dyDescent="0.35">
      <c r="A418" s="51">
        <f t="shared" si="109"/>
        <v>1</v>
      </c>
      <c r="B418" s="52"/>
      <c r="C418" s="52"/>
      <c r="D418" s="29" t="str">
        <f>IFERROR(
IF(AND(OR(Planilla!B418="C",Planilla!B418="c"), VLOOKUP(E418,[1]Diccionario!B:N,13,0)="C"), "OK",IF(AND(OR(Planilla!B418="C",Planilla!B418="c"), OR(VLOOKUP(E418,[1]Diccionario!B:N,13,0)="B", VLOOKUP(E418,[1]Diccionario!B:N,13,0)="A")), "DEFICIT",IF(
AND(OR(Planilla!B418="B", Planilla!B418="BPAL"), VLOOKUP(E418,[1]Diccionario!B:N,13,0)="B"), "OK",IF(AND(OR(Planilla!B418="B", Planilla!B418="BPAL"), VLOOKUP(E418,[1]Diccionario!B:N,13,0)="A"), "DEFICIT",IF(AND(OR(Planilla!B418="B", Planilla!B418="BPAL"), VLOOKUP(E418,[1]Diccionario!B:N,13,0)="C"), "SOBREOFERTA",IF(AND(Planilla!B418="A", VLOOKUP(E418,[1]Diccionario!B:N,13,0)="A"), "OK",IF(
AND(Planilla!B418="A", OR(VLOOKUP(E418,[1]Diccionario!B:N,13,0)="B", VLOOKUP(E418,[1]Diccionario!B:N,13,0)="C")), "SOBREOFERTA",""
))))))),"")</f>
        <v/>
      </c>
      <c r="E418" s="48"/>
      <c r="F418" s="53"/>
      <c r="G418" s="54"/>
      <c r="H418" s="55" t="str">
        <f t="shared" si="102"/>
        <v/>
      </c>
      <c r="I418" s="35"/>
      <c r="J418" s="34" t="e">
        <f>IF(A418&lt;&gt;"",HLOOKUP(VALUE(TEXT(G418,"h:mm:ss")),IF($C$6="Laboral",[1]Input!$A$4:$Y$227,IF($C$6="Sábado",[1]Input!$A$231:$Y$452,[1]Input!$A$456:$Y$656)),VLOOKUP($C$4,[1]Input!$AG$2:$AI$99,3,0)+IF(C$5="Ida",0,1),1),"")</f>
        <v>#N/A</v>
      </c>
      <c r="K418" s="34" t="str">
        <f>IF(A419&lt;&gt;A418,AVERAGEIF(A$9:A418,A418,J$13:J418),"")</f>
        <v/>
      </c>
      <c r="L418" s="35" t="str">
        <f>IFERROR(IF(A419&lt;&gt;A418,AVERAGEIF(A$9:A418,A418,S$13:S418),""),"")</f>
        <v/>
      </c>
      <c r="M418" s="35" t="str">
        <f>IFERROR(IF(A419&lt;&gt;A418,AVERAGEIF(A$9:A418,A418,T$8:T418),""),"")</f>
        <v/>
      </c>
      <c r="N418" s="35" t="str" cm="1">
        <f t="array" ref="N418">IFERROR(IF(A419&lt;&gt;A418,_xlfn.STDEV.P(IF(A$9:A418=A418,T$7:T418)),""),"")</f>
        <v/>
      </c>
      <c r="O418" s="35" t="str" cm="1">
        <f t="array" ref="O418">IFERROR(IF(A419&lt;&gt;A418,_xlfn.STDEV.P(IF(A$9:A418=A418,S$7:S418)),""),"")</f>
        <v/>
      </c>
      <c r="P418" s="36" t="str">
        <f t="shared" si="95"/>
        <v/>
      </c>
      <c r="Q418" s="36" t="str">
        <f t="shared" si="96"/>
        <v/>
      </c>
      <c r="R418" s="36" t="str">
        <f t="shared" si="103"/>
        <v/>
      </c>
      <c r="S418" s="37" t="str">
        <f t="shared" si="104"/>
        <v/>
      </c>
      <c r="T418" s="37" t="str">
        <f t="shared" si="97"/>
        <v/>
      </c>
      <c r="U418" s="54"/>
      <c r="V418" s="46"/>
      <c r="W418" s="39" t="str">
        <f t="shared" si="105"/>
        <v/>
      </c>
      <c r="X418" s="38"/>
      <c r="Y418" s="48"/>
      <c r="AB418" s="56">
        <f t="shared" si="106"/>
        <v>1</v>
      </c>
      <c r="AC418" s="52"/>
      <c r="AD418" s="52"/>
      <c r="AE418" s="29" t="str">
        <f>IFERROR(
IF(AND(OR(AC418="C",AC418="c"), VLOOKUP(AF418,[1]Diccionario!B:N,13,0)="C"), "OK",IF(AND(OR(AC418="C",AC418="c"), OR(VLOOKUP(AF418,[1]Diccionario!B:N,13,0)="B", VLOOKUP(AF418,[1]Diccionario!B:N,13,0)="A")), "DEFICIT",IF(
AND(OR(AC418="B", AC418="BPAL"), VLOOKUP(AF418,[1]Diccionario!B:N,13,0)="B"), "OK",IF(AND(OR(AC418="B", AC418="BPAL"), VLOOKUP(AF418,[1]Diccionario!B:N,13,0)="A"), "DEFICIT",IF(AND(OR(AC418="B", AC418="BPAL"), VLOOKUP(AF418,[1]Diccionario!B:N,13,0)="C"), "SOBREOFERTA",IF(AND(AC418="A", VLOOKUP(AF418,[1]Diccionario!B:N,13,0)="A"), "OK",IF(
AND(AC418="A", OR(VLOOKUP(AF418,[1]Diccionario!B:N,13,0)="B", VLOOKUP(AF418,[1]Diccionario!B:N,13,0)="C")), "SOBREOFERTA",""
))))))),"")</f>
        <v/>
      </c>
      <c r="AF418" s="48"/>
      <c r="AG418" s="53"/>
      <c r="AH418" s="54"/>
      <c r="AI418" s="55" t="str">
        <f t="shared" si="107"/>
        <v/>
      </c>
      <c r="AJ418" s="46"/>
      <c r="AK418" s="34" t="e">
        <f>IF(AB418&lt;&gt;"",HLOOKUP(VALUE(TEXT(AH418,"h:mm:ss")),IF($C$6="Laboral",[1]Input!$A$4:$Y$227,IF($C$6="Sábado",[1]Input!$A$231:$Y$452,[1]Input!$A$456:$Y$656)),VLOOKUP($C$4,[1]Input!$AG$2:$AI$99,3,0)+IF(AD$5="Ida",0,1),1),"")</f>
        <v>#N/A</v>
      </c>
      <c r="AL418" s="34" t="str">
        <f>IF(AB419&lt;&gt;AB418,AVERAGEIF(AB$9:AB418,AB418,AK$9:AK418),"")</f>
        <v/>
      </c>
      <c r="AM418" s="35" t="str">
        <f>IFERROR(IF(AB419&lt;&gt;AB418,AVERAGEIF(AB$9:AB418,AB418,AT$9:AT418),""),"")</f>
        <v/>
      </c>
      <c r="AN418" s="35" t="str">
        <f>IFERROR(IF(AB419&lt;&gt;AB418,AVERAGEIF(AB$9:AB418,AB418,AU$9:AU418),""),"")</f>
        <v/>
      </c>
      <c r="AO418" s="35" t="str" cm="1">
        <f t="array" ref="AO418">IFERROR(IF(AB419&lt;&gt;AB418,_xlfn.STDEV.P(IF(AB$9:AB418=AB418,AU$9:AU418)),""),"")</f>
        <v/>
      </c>
      <c r="AP418" s="35" t="str" cm="1">
        <f t="array" ref="AP418">IFERROR(IF(AB419&lt;&gt;AB418,_xlfn.STDEV.P(IF(AB$9:AB418=AB418,AT$9:AT418)),""),"")</f>
        <v/>
      </c>
      <c r="AQ418" s="36" t="str">
        <f t="shared" si="98"/>
        <v/>
      </c>
      <c r="AR418" s="36" t="str">
        <f t="shared" si="99"/>
        <v/>
      </c>
      <c r="AS418" s="36" t="str">
        <f t="shared" si="108"/>
        <v/>
      </c>
      <c r="AT418" s="37" t="str">
        <f t="shared" si="100"/>
        <v/>
      </c>
      <c r="AU418" s="37" t="str">
        <f t="shared" si="101"/>
        <v/>
      </c>
      <c r="AV418" s="54"/>
      <c r="AW418" s="46"/>
      <c r="AX418" s="39" t="str" cm="1">
        <f t="array" ref="AX418">IF(AH418&lt;&gt;"",IF(AND(AX416:AX417&lt;&gt;"IE",AQ418&lt;&gt;0,AS418&lt;&gt;""),IF(IFERROR((AQ418/AS418),0) &lt;=1,IFERROR(AQ418/AS418,""),1),""),"")</f>
        <v/>
      </c>
      <c r="AY418" s="46"/>
      <c r="AZ418" s="57"/>
    </row>
    <row r="419" spans="1:52" ht="15.5" x14ac:dyDescent="0.35">
      <c r="A419" s="51">
        <f t="shared" si="109"/>
        <v>1</v>
      </c>
      <c r="B419" s="52"/>
      <c r="C419" s="52"/>
      <c r="D419" s="29" t="str">
        <f>IFERROR(
IF(AND(OR(Planilla!B419="C",Planilla!B419="c"), VLOOKUP(E419,[1]Diccionario!B:N,13,0)="C"), "OK",IF(AND(OR(Planilla!B419="C",Planilla!B419="c"), OR(VLOOKUP(E419,[1]Diccionario!B:N,13,0)="B", VLOOKUP(E419,[1]Diccionario!B:N,13,0)="A")), "DEFICIT",IF(
AND(OR(Planilla!B419="B", Planilla!B419="BPAL"), VLOOKUP(E419,[1]Diccionario!B:N,13,0)="B"), "OK",IF(AND(OR(Planilla!B419="B", Planilla!B419="BPAL"), VLOOKUP(E419,[1]Diccionario!B:N,13,0)="A"), "DEFICIT",IF(AND(OR(Planilla!B419="B", Planilla!B419="BPAL"), VLOOKUP(E419,[1]Diccionario!B:N,13,0)="C"), "SOBREOFERTA",IF(AND(Planilla!B419="A", VLOOKUP(E419,[1]Diccionario!B:N,13,0)="A"), "OK",IF(
AND(Planilla!B419="A", OR(VLOOKUP(E419,[1]Diccionario!B:N,13,0)="B", VLOOKUP(E419,[1]Diccionario!B:N,13,0)="C")), "SOBREOFERTA",""
))))))),"")</f>
        <v/>
      </c>
      <c r="E419" s="48"/>
      <c r="F419" s="53"/>
      <c r="G419" s="54"/>
      <c r="H419" s="55" t="str">
        <f t="shared" si="102"/>
        <v/>
      </c>
      <c r="I419" s="35"/>
      <c r="J419" s="34" t="e">
        <f>IF(A419&lt;&gt;"",HLOOKUP(VALUE(TEXT(G419,"h:mm:ss")),IF($C$6="Laboral",[1]Input!$A$4:$Y$227,IF($C$6="Sábado",[1]Input!$A$231:$Y$452,[1]Input!$A$456:$Y$656)),VLOOKUP($C$4,[1]Input!$AG$2:$AI$99,3,0)+IF(C$5="Ida",0,1),1),"")</f>
        <v>#N/A</v>
      </c>
      <c r="K419" s="34" t="str">
        <f>IF(A420&lt;&gt;A419,AVERAGEIF(A$9:A419,A419,J$13:J419),"")</f>
        <v/>
      </c>
      <c r="L419" s="35" t="str">
        <f>IFERROR(IF(A420&lt;&gt;A419,AVERAGEIF(A$9:A419,A419,S$13:S419),""),"")</f>
        <v/>
      </c>
      <c r="M419" s="35" t="str">
        <f>IFERROR(IF(A420&lt;&gt;A419,AVERAGEIF(A$9:A419,A419,T$8:T419),""),"")</f>
        <v/>
      </c>
      <c r="N419" s="35" t="str" cm="1">
        <f t="array" ref="N419">IFERROR(IF(A420&lt;&gt;A419,_xlfn.STDEV.P(IF(A$9:A419=A419,T$7:T419)),""),"")</f>
        <v/>
      </c>
      <c r="O419" s="35" t="str" cm="1">
        <f t="array" ref="O419">IFERROR(IF(A420&lt;&gt;A419,_xlfn.STDEV.P(IF(A$9:A419=A419,S$7:S419)),""),"")</f>
        <v/>
      </c>
      <c r="P419" s="36" t="str">
        <f t="shared" si="95"/>
        <v/>
      </c>
      <c r="Q419" s="36" t="str">
        <f t="shared" si="96"/>
        <v/>
      </c>
      <c r="R419" s="36" t="str">
        <f t="shared" si="103"/>
        <v/>
      </c>
      <c r="S419" s="37" t="str">
        <f t="shared" si="104"/>
        <v/>
      </c>
      <c r="T419" s="37" t="str">
        <f t="shared" si="97"/>
        <v/>
      </c>
      <c r="U419" s="54"/>
      <c r="V419" s="46"/>
      <c r="W419" s="39" t="str">
        <f t="shared" si="105"/>
        <v/>
      </c>
      <c r="X419" s="38"/>
      <c r="Y419" s="48"/>
      <c r="AB419" s="56">
        <f t="shared" si="106"/>
        <v>1</v>
      </c>
      <c r="AC419" s="52"/>
      <c r="AD419" s="52"/>
      <c r="AE419" s="29" t="str">
        <f>IFERROR(
IF(AND(OR(AC419="C",AC419="c"), VLOOKUP(AF419,[1]Diccionario!B:N,13,0)="C"), "OK",IF(AND(OR(AC419="C",AC419="c"), OR(VLOOKUP(AF419,[1]Diccionario!B:N,13,0)="B", VLOOKUP(AF419,[1]Diccionario!B:N,13,0)="A")), "DEFICIT",IF(
AND(OR(AC419="B", AC419="BPAL"), VLOOKUP(AF419,[1]Diccionario!B:N,13,0)="B"), "OK",IF(AND(OR(AC419="B", AC419="BPAL"), VLOOKUP(AF419,[1]Diccionario!B:N,13,0)="A"), "DEFICIT",IF(AND(OR(AC419="B", AC419="BPAL"), VLOOKUP(AF419,[1]Diccionario!B:N,13,0)="C"), "SOBREOFERTA",IF(AND(AC419="A", VLOOKUP(AF419,[1]Diccionario!B:N,13,0)="A"), "OK",IF(
AND(AC419="A", OR(VLOOKUP(AF419,[1]Diccionario!B:N,13,0)="B", VLOOKUP(AF419,[1]Diccionario!B:N,13,0)="C")), "SOBREOFERTA",""
))))))),"")</f>
        <v/>
      </c>
      <c r="AF419" s="48"/>
      <c r="AG419" s="53"/>
      <c r="AH419" s="54"/>
      <c r="AI419" s="55" t="str">
        <f t="shared" si="107"/>
        <v/>
      </c>
      <c r="AJ419" s="46"/>
      <c r="AK419" s="34" t="e">
        <f>IF(AB419&lt;&gt;"",HLOOKUP(VALUE(TEXT(AH419,"h:mm:ss")),IF($C$6="Laboral",[1]Input!$A$4:$Y$227,IF($C$6="Sábado",[1]Input!$A$231:$Y$452,[1]Input!$A$456:$Y$656)),VLOOKUP($C$4,[1]Input!$AG$2:$AI$99,3,0)+IF(AD$5="Ida",0,1),1),"")</f>
        <v>#N/A</v>
      </c>
      <c r="AL419" s="34" t="str">
        <f>IF(AB420&lt;&gt;AB419,AVERAGEIF(AB$9:AB419,AB419,AK$9:AK419),"")</f>
        <v/>
      </c>
      <c r="AM419" s="35" t="str">
        <f>IFERROR(IF(AB420&lt;&gt;AB419,AVERAGEIF(AB$9:AB419,AB419,AT$9:AT419),""),"")</f>
        <v/>
      </c>
      <c r="AN419" s="35" t="str">
        <f>IFERROR(IF(AB420&lt;&gt;AB419,AVERAGEIF(AB$9:AB419,AB419,AU$9:AU419),""),"")</f>
        <v/>
      </c>
      <c r="AO419" s="35" t="str" cm="1">
        <f t="array" ref="AO419">IFERROR(IF(AB420&lt;&gt;AB419,_xlfn.STDEV.P(IF(AB$9:AB419=AB419,AU$9:AU419)),""),"")</f>
        <v/>
      </c>
      <c r="AP419" s="35" t="str" cm="1">
        <f t="array" ref="AP419">IFERROR(IF(AB420&lt;&gt;AB419,_xlfn.STDEV.P(IF(AB$9:AB419=AB419,AT$9:AT419)),""),"")</f>
        <v/>
      </c>
      <c r="AQ419" s="36" t="str">
        <f t="shared" si="98"/>
        <v/>
      </c>
      <c r="AR419" s="36" t="str">
        <f t="shared" si="99"/>
        <v/>
      </c>
      <c r="AS419" s="36" t="str">
        <f t="shared" si="108"/>
        <v/>
      </c>
      <c r="AT419" s="37" t="str">
        <f t="shared" si="100"/>
        <v/>
      </c>
      <c r="AU419" s="37" t="str">
        <f t="shared" si="101"/>
        <v/>
      </c>
      <c r="AV419" s="54"/>
      <c r="AW419" s="46"/>
      <c r="AX419" s="39" t="str" cm="1">
        <f t="array" ref="AX419">IF(AH419&lt;&gt;"",IF(AND(AX417:AX418&lt;&gt;"IE",AQ419&lt;&gt;0,AS419&lt;&gt;""),IF(IFERROR((AQ419/AS419),0) &lt;=1,IFERROR(AQ419/AS419,""),1),""),"")</f>
        <v/>
      </c>
      <c r="AY419" s="46"/>
      <c r="AZ419" s="57"/>
    </row>
    <row r="420" spans="1:52" ht="15.5" x14ac:dyDescent="0.35">
      <c r="A420" s="51">
        <f t="shared" si="109"/>
        <v>1</v>
      </c>
      <c r="B420" s="52"/>
      <c r="C420" s="52"/>
      <c r="D420" s="29" t="str">
        <f>IFERROR(
IF(AND(OR(Planilla!B420="C",Planilla!B420="c"), VLOOKUP(E420,[1]Diccionario!B:N,13,0)="C"), "OK",IF(AND(OR(Planilla!B420="C",Planilla!B420="c"), OR(VLOOKUP(E420,[1]Diccionario!B:N,13,0)="B", VLOOKUP(E420,[1]Diccionario!B:N,13,0)="A")), "DEFICIT",IF(
AND(OR(Planilla!B420="B", Planilla!B420="BPAL"), VLOOKUP(E420,[1]Diccionario!B:N,13,0)="B"), "OK",IF(AND(OR(Planilla!B420="B", Planilla!B420="BPAL"), VLOOKUP(E420,[1]Diccionario!B:N,13,0)="A"), "DEFICIT",IF(AND(OR(Planilla!B420="B", Planilla!B420="BPAL"), VLOOKUP(E420,[1]Diccionario!B:N,13,0)="C"), "SOBREOFERTA",IF(AND(Planilla!B420="A", VLOOKUP(E420,[1]Diccionario!B:N,13,0)="A"), "OK",IF(
AND(Planilla!B420="A", OR(VLOOKUP(E420,[1]Diccionario!B:N,13,0)="B", VLOOKUP(E420,[1]Diccionario!B:N,13,0)="C")), "SOBREOFERTA",""
))))))),"")</f>
        <v/>
      </c>
      <c r="E420" s="48"/>
      <c r="F420" s="53"/>
      <c r="G420" s="54"/>
      <c r="H420" s="55" t="str">
        <f t="shared" si="102"/>
        <v/>
      </c>
      <c r="I420" s="35"/>
      <c r="J420" s="34" t="e">
        <f>IF(A420&lt;&gt;"",HLOOKUP(VALUE(TEXT(G420,"h:mm:ss")),IF($C$6="Laboral",[1]Input!$A$4:$Y$227,IF($C$6="Sábado",[1]Input!$A$231:$Y$452,[1]Input!$A$456:$Y$656)),VLOOKUP($C$4,[1]Input!$AG$2:$AI$99,3,0)+IF(C$5="Ida",0,1),1),"")</f>
        <v>#N/A</v>
      </c>
      <c r="K420" s="34" t="str">
        <f>IF(A421&lt;&gt;A420,AVERAGEIF(A$9:A420,A420,J$13:J420),"")</f>
        <v/>
      </c>
      <c r="L420" s="35" t="str">
        <f>IFERROR(IF(A421&lt;&gt;A420,AVERAGEIF(A$9:A420,A420,S$13:S420),""),"")</f>
        <v/>
      </c>
      <c r="M420" s="35" t="str">
        <f>IFERROR(IF(A421&lt;&gt;A420,AVERAGEIF(A$9:A420,A420,T$8:T420),""),"")</f>
        <v/>
      </c>
      <c r="N420" s="35" t="str" cm="1">
        <f t="array" ref="N420">IFERROR(IF(A421&lt;&gt;A420,_xlfn.STDEV.P(IF(A$9:A420=A420,T$7:T420)),""),"")</f>
        <v/>
      </c>
      <c r="O420" s="35" t="str" cm="1">
        <f t="array" ref="O420">IFERROR(IF(A421&lt;&gt;A420,_xlfn.STDEV.P(IF(A$9:A420=A420,S$7:S420)),""),"")</f>
        <v/>
      </c>
      <c r="P420" s="36" t="str">
        <f t="shared" si="95"/>
        <v/>
      </c>
      <c r="Q420" s="36" t="str">
        <f t="shared" si="96"/>
        <v/>
      </c>
      <c r="R420" s="36" t="str">
        <f t="shared" si="103"/>
        <v/>
      </c>
      <c r="S420" s="37" t="str">
        <f t="shared" si="104"/>
        <v/>
      </c>
      <c r="T420" s="37" t="str">
        <f t="shared" si="97"/>
        <v/>
      </c>
      <c r="U420" s="54"/>
      <c r="V420" s="46"/>
      <c r="W420" s="39" t="str">
        <f t="shared" si="105"/>
        <v/>
      </c>
      <c r="X420" s="38"/>
      <c r="Y420" s="48"/>
      <c r="AB420" s="56">
        <f t="shared" si="106"/>
        <v>1</v>
      </c>
      <c r="AC420" s="52"/>
      <c r="AD420" s="52"/>
      <c r="AE420" s="29" t="str">
        <f>IFERROR(
IF(AND(OR(AC420="C",AC420="c"), VLOOKUP(AF420,[1]Diccionario!B:N,13,0)="C"), "OK",IF(AND(OR(AC420="C",AC420="c"), OR(VLOOKUP(AF420,[1]Diccionario!B:N,13,0)="B", VLOOKUP(AF420,[1]Diccionario!B:N,13,0)="A")), "DEFICIT",IF(
AND(OR(AC420="B", AC420="BPAL"), VLOOKUP(AF420,[1]Diccionario!B:N,13,0)="B"), "OK",IF(AND(OR(AC420="B", AC420="BPAL"), VLOOKUP(AF420,[1]Diccionario!B:N,13,0)="A"), "DEFICIT",IF(AND(OR(AC420="B", AC420="BPAL"), VLOOKUP(AF420,[1]Diccionario!B:N,13,0)="C"), "SOBREOFERTA",IF(AND(AC420="A", VLOOKUP(AF420,[1]Diccionario!B:N,13,0)="A"), "OK",IF(
AND(AC420="A", OR(VLOOKUP(AF420,[1]Diccionario!B:N,13,0)="B", VLOOKUP(AF420,[1]Diccionario!B:N,13,0)="C")), "SOBREOFERTA",""
))))))),"")</f>
        <v/>
      </c>
      <c r="AF420" s="48"/>
      <c r="AG420" s="53"/>
      <c r="AH420" s="54"/>
      <c r="AI420" s="55" t="str">
        <f t="shared" si="107"/>
        <v/>
      </c>
      <c r="AJ420" s="46"/>
      <c r="AK420" s="34" t="e">
        <f>IF(AB420&lt;&gt;"",HLOOKUP(VALUE(TEXT(AH420,"h:mm:ss")),IF($C$6="Laboral",[1]Input!$A$4:$Y$227,IF($C$6="Sábado",[1]Input!$A$231:$Y$452,[1]Input!$A$456:$Y$656)),VLOOKUP($C$4,[1]Input!$AG$2:$AI$99,3,0)+IF(AD$5="Ida",0,1),1),"")</f>
        <v>#N/A</v>
      </c>
      <c r="AL420" s="34" t="str">
        <f>IF(AB421&lt;&gt;AB420,AVERAGEIF(AB$9:AB420,AB420,AK$9:AK420),"")</f>
        <v/>
      </c>
      <c r="AM420" s="35" t="str">
        <f>IFERROR(IF(AB421&lt;&gt;AB420,AVERAGEIF(AB$9:AB420,AB420,AT$9:AT420),""),"")</f>
        <v/>
      </c>
      <c r="AN420" s="35" t="str">
        <f>IFERROR(IF(AB421&lt;&gt;AB420,AVERAGEIF(AB$9:AB420,AB420,AU$9:AU420),""),"")</f>
        <v/>
      </c>
      <c r="AO420" s="35" t="str" cm="1">
        <f t="array" ref="AO420">IFERROR(IF(AB421&lt;&gt;AB420,_xlfn.STDEV.P(IF(AB$9:AB420=AB420,AU$9:AU420)),""),"")</f>
        <v/>
      </c>
      <c r="AP420" s="35" t="str" cm="1">
        <f t="array" ref="AP420">IFERROR(IF(AB421&lt;&gt;AB420,_xlfn.STDEV.P(IF(AB$9:AB420=AB420,AT$9:AT420)),""),"")</f>
        <v/>
      </c>
      <c r="AQ420" s="36" t="str">
        <f t="shared" si="98"/>
        <v/>
      </c>
      <c r="AR420" s="36" t="str">
        <f t="shared" si="99"/>
        <v/>
      </c>
      <c r="AS420" s="36" t="str">
        <f t="shared" si="108"/>
        <v/>
      </c>
      <c r="AT420" s="37" t="str">
        <f t="shared" si="100"/>
        <v/>
      </c>
      <c r="AU420" s="37" t="str">
        <f t="shared" si="101"/>
        <v/>
      </c>
      <c r="AV420" s="54"/>
      <c r="AW420" s="46"/>
      <c r="AX420" s="39" t="str" cm="1">
        <f t="array" ref="AX420">IF(AH420&lt;&gt;"",IF(AND(AX418:AX419&lt;&gt;"IE",AQ420&lt;&gt;0,AS420&lt;&gt;""),IF(IFERROR((AQ420/AS420),0) &lt;=1,IFERROR(AQ420/AS420,""),1),""),"")</f>
        <v/>
      </c>
      <c r="AY420" s="46"/>
      <c r="AZ420" s="57"/>
    </row>
    <row r="421" spans="1:52" ht="15.5" x14ac:dyDescent="0.35">
      <c r="A421" s="51">
        <f t="shared" si="109"/>
        <v>1</v>
      </c>
      <c r="B421" s="52"/>
      <c r="C421" s="52"/>
      <c r="D421" s="29" t="str">
        <f>IFERROR(
IF(AND(OR(Planilla!B421="C",Planilla!B421="c"), VLOOKUP(E421,[1]Diccionario!B:N,13,0)="C"), "OK",IF(AND(OR(Planilla!B421="C",Planilla!B421="c"), OR(VLOOKUP(E421,[1]Diccionario!B:N,13,0)="B", VLOOKUP(E421,[1]Diccionario!B:N,13,0)="A")), "DEFICIT",IF(
AND(OR(Planilla!B421="B", Planilla!B421="BPAL"), VLOOKUP(E421,[1]Diccionario!B:N,13,0)="B"), "OK",IF(AND(OR(Planilla!B421="B", Planilla!B421="BPAL"), VLOOKUP(E421,[1]Diccionario!B:N,13,0)="A"), "DEFICIT",IF(AND(OR(Planilla!B421="B", Planilla!B421="BPAL"), VLOOKUP(E421,[1]Diccionario!B:N,13,0)="C"), "SOBREOFERTA",IF(AND(Planilla!B421="A", VLOOKUP(E421,[1]Diccionario!B:N,13,0)="A"), "OK",IF(
AND(Planilla!B421="A", OR(VLOOKUP(E421,[1]Diccionario!B:N,13,0)="B", VLOOKUP(E421,[1]Diccionario!B:N,13,0)="C")), "SOBREOFERTA",""
))))))),"")</f>
        <v/>
      </c>
      <c r="E421" s="48"/>
      <c r="F421" s="53"/>
      <c r="G421" s="54"/>
      <c r="H421" s="55" t="str">
        <f t="shared" si="102"/>
        <v/>
      </c>
      <c r="I421" s="35"/>
      <c r="J421" s="34" t="e">
        <f>IF(A421&lt;&gt;"",HLOOKUP(VALUE(TEXT(G421,"h:mm:ss")),IF($C$6="Laboral",[1]Input!$A$4:$Y$227,IF($C$6="Sábado",[1]Input!$A$231:$Y$452,[1]Input!$A$456:$Y$656)),VLOOKUP($C$4,[1]Input!$AG$2:$AI$99,3,0)+IF(C$5="Ida",0,1),1),"")</f>
        <v>#N/A</v>
      </c>
      <c r="K421" s="34" t="str">
        <f>IF(A422&lt;&gt;A421,AVERAGEIF(A$9:A421,A421,J$13:J421),"")</f>
        <v/>
      </c>
      <c r="L421" s="35" t="str">
        <f>IFERROR(IF(A422&lt;&gt;A421,AVERAGEIF(A$9:A421,A421,S$13:S421),""),"")</f>
        <v/>
      </c>
      <c r="M421" s="35" t="str">
        <f>IFERROR(IF(A422&lt;&gt;A421,AVERAGEIF(A$9:A421,A421,T$8:T421),""),"")</f>
        <v/>
      </c>
      <c r="N421" s="35" t="str" cm="1">
        <f t="array" ref="N421">IFERROR(IF(A422&lt;&gt;A421,_xlfn.STDEV.P(IF(A$9:A421=A421,T$7:T421)),""),"")</f>
        <v/>
      </c>
      <c r="O421" s="35" t="str" cm="1">
        <f t="array" ref="O421">IFERROR(IF(A422&lt;&gt;A421,_xlfn.STDEV.P(IF(A$9:A421=A421,S$7:S421)),""),"")</f>
        <v/>
      </c>
      <c r="P421" s="36" t="str">
        <f t="shared" si="95"/>
        <v/>
      </c>
      <c r="Q421" s="36" t="str">
        <f t="shared" si="96"/>
        <v/>
      </c>
      <c r="R421" s="36" t="str">
        <f t="shared" si="103"/>
        <v/>
      </c>
      <c r="S421" s="37" t="str">
        <f t="shared" si="104"/>
        <v/>
      </c>
      <c r="T421" s="37" t="str">
        <f t="shared" si="97"/>
        <v/>
      </c>
      <c r="U421" s="54"/>
      <c r="V421" s="46"/>
      <c r="W421" s="39" t="str">
        <f t="shared" si="105"/>
        <v/>
      </c>
      <c r="X421" s="38"/>
      <c r="Y421" s="48"/>
      <c r="AB421" s="56">
        <f t="shared" si="106"/>
        <v>1</v>
      </c>
      <c r="AC421" s="52"/>
      <c r="AD421" s="52"/>
      <c r="AE421" s="29" t="str">
        <f>IFERROR(
IF(AND(OR(AC421="C",AC421="c"), VLOOKUP(AF421,[1]Diccionario!B:N,13,0)="C"), "OK",IF(AND(OR(AC421="C",AC421="c"), OR(VLOOKUP(AF421,[1]Diccionario!B:N,13,0)="B", VLOOKUP(AF421,[1]Diccionario!B:N,13,0)="A")), "DEFICIT",IF(
AND(OR(AC421="B", AC421="BPAL"), VLOOKUP(AF421,[1]Diccionario!B:N,13,0)="B"), "OK",IF(AND(OR(AC421="B", AC421="BPAL"), VLOOKUP(AF421,[1]Diccionario!B:N,13,0)="A"), "DEFICIT",IF(AND(OR(AC421="B", AC421="BPAL"), VLOOKUP(AF421,[1]Diccionario!B:N,13,0)="C"), "SOBREOFERTA",IF(AND(AC421="A", VLOOKUP(AF421,[1]Diccionario!B:N,13,0)="A"), "OK",IF(
AND(AC421="A", OR(VLOOKUP(AF421,[1]Diccionario!B:N,13,0)="B", VLOOKUP(AF421,[1]Diccionario!B:N,13,0)="C")), "SOBREOFERTA",""
))))))),"")</f>
        <v/>
      </c>
      <c r="AF421" s="48"/>
      <c r="AG421" s="53"/>
      <c r="AH421" s="54"/>
      <c r="AI421" s="55" t="str">
        <f t="shared" si="107"/>
        <v/>
      </c>
      <c r="AJ421" s="46"/>
      <c r="AK421" s="34" t="e">
        <f>IF(AB421&lt;&gt;"",HLOOKUP(VALUE(TEXT(AH421,"h:mm:ss")),IF($C$6="Laboral",[1]Input!$A$4:$Y$227,IF($C$6="Sábado",[1]Input!$A$231:$Y$452,[1]Input!$A$456:$Y$656)),VLOOKUP($C$4,[1]Input!$AG$2:$AI$99,3,0)+IF(AD$5="Ida",0,1),1),"")</f>
        <v>#N/A</v>
      </c>
      <c r="AL421" s="34" t="str">
        <f>IF(AB422&lt;&gt;AB421,AVERAGEIF(AB$9:AB421,AB421,AK$9:AK421),"")</f>
        <v/>
      </c>
      <c r="AM421" s="35" t="str">
        <f>IFERROR(IF(AB422&lt;&gt;AB421,AVERAGEIF(AB$9:AB421,AB421,AT$9:AT421),""),"")</f>
        <v/>
      </c>
      <c r="AN421" s="35" t="str">
        <f>IFERROR(IF(AB422&lt;&gt;AB421,AVERAGEIF(AB$9:AB421,AB421,AU$9:AU421),""),"")</f>
        <v/>
      </c>
      <c r="AO421" s="35" t="str" cm="1">
        <f t="array" ref="AO421">IFERROR(IF(AB422&lt;&gt;AB421,_xlfn.STDEV.P(IF(AB$9:AB421=AB421,AU$9:AU421)),""),"")</f>
        <v/>
      </c>
      <c r="AP421" s="35" t="str" cm="1">
        <f t="array" ref="AP421">IFERROR(IF(AB422&lt;&gt;AB421,_xlfn.STDEV.P(IF(AB$9:AB421=AB421,AT$9:AT421)),""),"")</f>
        <v/>
      </c>
      <c r="AQ421" s="36" t="str">
        <f t="shared" si="98"/>
        <v/>
      </c>
      <c r="AR421" s="36" t="str">
        <f t="shared" si="99"/>
        <v/>
      </c>
      <c r="AS421" s="36" t="str">
        <f t="shared" si="108"/>
        <v/>
      </c>
      <c r="AT421" s="37" t="str">
        <f t="shared" si="100"/>
        <v/>
      </c>
      <c r="AU421" s="37" t="str">
        <f t="shared" si="101"/>
        <v/>
      </c>
      <c r="AV421" s="54"/>
      <c r="AW421" s="46"/>
      <c r="AX421" s="39" t="str" cm="1">
        <f t="array" ref="AX421">IF(AH421&lt;&gt;"",IF(AND(AX419:AX420&lt;&gt;"IE",AQ421&lt;&gt;0,AS421&lt;&gt;""),IF(IFERROR((AQ421/AS421),0) &lt;=1,IFERROR(AQ421/AS421,""),1),""),"")</f>
        <v/>
      </c>
      <c r="AY421" s="46"/>
      <c r="AZ421" s="57"/>
    </row>
    <row r="422" spans="1:52" ht="15.5" x14ac:dyDescent="0.35">
      <c r="A422" s="51">
        <f t="shared" si="109"/>
        <v>1</v>
      </c>
      <c r="B422" s="52"/>
      <c r="C422" s="52"/>
      <c r="D422" s="29" t="str">
        <f>IFERROR(
IF(AND(OR(Planilla!B422="C",Planilla!B422="c"), VLOOKUP(E422,[1]Diccionario!B:N,13,0)="C"), "OK",IF(AND(OR(Planilla!B422="C",Planilla!B422="c"), OR(VLOOKUP(E422,[1]Diccionario!B:N,13,0)="B", VLOOKUP(E422,[1]Diccionario!B:N,13,0)="A")), "DEFICIT",IF(
AND(OR(Planilla!B422="B", Planilla!B422="BPAL"), VLOOKUP(E422,[1]Diccionario!B:N,13,0)="B"), "OK",IF(AND(OR(Planilla!B422="B", Planilla!B422="BPAL"), VLOOKUP(E422,[1]Diccionario!B:N,13,0)="A"), "DEFICIT",IF(AND(OR(Planilla!B422="B", Planilla!B422="BPAL"), VLOOKUP(E422,[1]Diccionario!B:N,13,0)="C"), "SOBREOFERTA",IF(AND(Planilla!B422="A", VLOOKUP(E422,[1]Diccionario!B:N,13,0)="A"), "OK",IF(
AND(Planilla!B422="A", OR(VLOOKUP(E422,[1]Diccionario!B:N,13,0)="B", VLOOKUP(E422,[1]Diccionario!B:N,13,0)="C")), "SOBREOFERTA",""
))))))),"")</f>
        <v/>
      </c>
      <c r="E422" s="48"/>
      <c r="F422" s="53"/>
      <c r="G422" s="54"/>
      <c r="H422" s="55" t="str">
        <f t="shared" si="102"/>
        <v/>
      </c>
      <c r="I422" s="35"/>
      <c r="J422" s="34" t="e">
        <f>IF(A422&lt;&gt;"",HLOOKUP(VALUE(TEXT(G422,"h:mm:ss")),IF($C$6="Laboral",[1]Input!$A$4:$Y$227,IF($C$6="Sábado",[1]Input!$A$231:$Y$452,[1]Input!$A$456:$Y$656)),VLOOKUP($C$4,[1]Input!$AG$2:$AI$99,3,0)+IF(C$5="Ida",0,1),1),"")</f>
        <v>#N/A</v>
      </c>
      <c r="K422" s="34" t="str">
        <f>IF(A423&lt;&gt;A422,AVERAGEIF(A$9:A422,A422,J$13:J422),"")</f>
        <v/>
      </c>
      <c r="L422" s="35" t="str">
        <f>IFERROR(IF(A423&lt;&gt;A422,AVERAGEIF(A$9:A422,A422,S$13:S422),""),"")</f>
        <v/>
      </c>
      <c r="M422" s="35" t="str">
        <f>IFERROR(IF(A423&lt;&gt;A422,AVERAGEIF(A$9:A422,A422,T$8:T422),""),"")</f>
        <v/>
      </c>
      <c r="N422" s="35" t="str" cm="1">
        <f t="array" ref="N422">IFERROR(IF(A423&lt;&gt;A422,_xlfn.STDEV.P(IF(A$9:A422=A422,T$7:T422)),""),"")</f>
        <v/>
      </c>
      <c r="O422" s="35" t="str" cm="1">
        <f t="array" ref="O422">IFERROR(IF(A423&lt;&gt;A422,_xlfn.STDEV.P(IF(A$9:A422=A422,S$7:S422)),""),"")</f>
        <v/>
      </c>
      <c r="P422" s="36" t="str">
        <f t="shared" si="95"/>
        <v/>
      </c>
      <c r="Q422" s="36" t="str">
        <f t="shared" si="96"/>
        <v/>
      </c>
      <c r="R422" s="36" t="str">
        <f t="shared" si="103"/>
        <v/>
      </c>
      <c r="S422" s="37" t="str">
        <f t="shared" si="104"/>
        <v/>
      </c>
      <c r="T422" s="37" t="str">
        <f t="shared" si="97"/>
        <v/>
      </c>
      <c r="U422" s="54"/>
      <c r="V422" s="46"/>
      <c r="W422" s="39" t="str">
        <f t="shared" si="105"/>
        <v/>
      </c>
      <c r="X422" s="38"/>
      <c r="Y422" s="48"/>
      <c r="AB422" s="56">
        <f t="shared" si="106"/>
        <v>1</v>
      </c>
      <c r="AC422" s="52"/>
      <c r="AD422" s="52"/>
      <c r="AE422" s="29" t="str">
        <f>IFERROR(
IF(AND(OR(AC422="C",AC422="c"), VLOOKUP(AF422,[1]Diccionario!B:N,13,0)="C"), "OK",IF(AND(OR(AC422="C",AC422="c"), OR(VLOOKUP(AF422,[1]Diccionario!B:N,13,0)="B", VLOOKUP(AF422,[1]Diccionario!B:N,13,0)="A")), "DEFICIT",IF(
AND(OR(AC422="B", AC422="BPAL"), VLOOKUP(AF422,[1]Diccionario!B:N,13,0)="B"), "OK",IF(AND(OR(AC422="B", AC422="BPAL"), VLOOKUP(AF422,[1]Diccionario!B:N,13,0)="A"), "DEFICIT",IF(AND(OR(AC422="B", AC422="BPAL"), VLOOKUP(AF422,[1]Diccionario!B:N,13,0)="C"), "SOBREOFERTA",IF(AND(AC422="A", VLOOKUP(AF422,[1]Diccionario!B:N,13,0)="A"), "OK",IF(
AND(AC422="A", OR(VLOOKUP(AF422,[1]Diccionario!B:N,13,0)="B", VLOOKUP(AF422,[1]Diccionario!B:N,13,0)="C")), "SOBREOFERTA",""
))))))),"")</f>
        <v/>
      </c>
      <c r="AF422" s="48"/>
      <c r="AG422" s="53"/>
      <c r="AH422" s="54"/>
      <c r="AI422" s="55" t="str">
        <f t="shared" si="107"/>
        <v/>
      </c>
      <c r="AJ422" s="46"/>
      <c r="AK422" s="34" t="e">
        <f>IF(AB422&lt;&gt;"",HLOOKUP(VALUE(TEXT(AH422,"h:mm:ss")),IF($C$6="Laboral",[1]Input!$A$4:$Y$227,IF($C$6="Sábado",[1]Input!$A$231:$Y$452,[1]Input!$A$456:$Y$656)),VLOOKUP($C$4,[1]Input!$AG$2:$AI$99,3,0)+IF(AD$5="Ida",0,1),1),"")</f>
        <v>#N/A</v>
      </c>
      <c r="AL422" s="34" t="str">
        <f>IF(AB423&lt;&gt;AB422,AVERAGEIF(AB$9:AB422,AB422,AK$9:AK422),"")</f>
        <v/>
      </c>
      <c r="AM422" s="35" t="str">
        <f>IFERROR(IF(AB423&lt;&gt;AB422,AVERAGEIF(AB$9:AB422,AB422,AT$9:AT422),""),"")</f>
        <v/>
      </c>
      <c r="AN422" s="35" t="str">
        <f>IFERROR(IF(AB423&lt;&gt;AB422,AVERAGEIF(AB$9:AB422,AB422,AU$9:AU422),""),"")</f>
        <v/>
      </c>
      <c r="AO422" s="35" t="str" cm="1">
        <f t="array" ref="AO422">IFERROR(IF(AB423&lt;&gt;AB422,_xlfn.STDEV.P(IF(AB$9:AB422=AB422,AU$9:AU422)),""),"")</f>
        <v/>
      </c>
      <c r="AP422" s="35" t="str" cm="1">
        <f t="array" ref="AP422">IFERROR(IF(AB423&lt;&gt;AB422,_xlfn.STDEV.P(IF(AB$9:AB422=AB422,AT$9:AT422)),""),"")</f>
        <v/>
      </c>
      <c r="AQ422" s="36" t="str">
        <f t="shared" si="98"/>
        <v/>
      </c>
      <c r="AR422" s="36" t="str">
        <f t="shared" si="99"/>
        <v/>
      </c>
      <c r="AS422" s="36" t="str">
        <f t="shared" si="108"/>
        <v/>
      </c>
      <c r="AT422" s="37" t="str">
        <f t="shared" si="100"/>
        <v/>
      </c>
      <c r="AU422" s="37" t="str">
        <f t="shared" si="101"/>
        <v/>
      </c>
      <c r="AV422" s="54"/>
      <c r="AW422" s="46"/>
      <c r="AX422" s="39" t="str" cm="1">
        <f t="array" ref="AX422">IF(AH422&lt;&gt;"",IF(AND(AX420:AX421&lt;&gt;"IE",AQ422&lt;&gt;0,AS422&lt;&gt;""),IF(IFERROR((AQ422/AS422),0) &lt;=1,IFERROR(AQ422/AS422,""),1),""),"")</f>
        <v/>
      </c>
      <c r="AY422" s="46"/>
      <c r="AZ422" s="57"/>
    </row>
    <row r="423" spans="1:52" ht="15.5" x14ac:dyDescent="0.35">
      <c r="A423" s="51">
        <f t="shared" si="109"/>
        <v>1</v>
      </c>
      <c r="B423" s="52"/>
      <c r="C423" s="52"/>
      <c r="D423" s="29" t="str">
        <f>IFERROR(
IF(AND(OR(Planilla!B423="C",Planilla!B423="c"), VLOOKUP(E423,[1]Diccionario!B:N,13,0)="C"), "OK",IF(AND(OR(Planilla!B423="C",Planilla!B423="c"), OR(VLOOKUP(E423,[1]Diccionario!B:N,13,0)="B", VLOOKUP(E423,[1]Diccionario!B:N,13,0)="A")), "DEFICIT",IF(
AND(OR(Planilla!B423="B", Planilla!B423="BPAL"), VLOOKUP(E423,[1]Diccionario!B:N,13,0)="B"), "OK",IF(AND(OR(Planilla!B423="B", Planilla!B423="BPAL"), VLOOKUP(E423,[1]Diccionario!B:N,13,0)="A"), "DEFICIT",IF(AND(OR(Planilla!B423="B", Planilla!B423="BPAL"), VLOOKUP(E423,[1]Diccionario!B:N,13,0)="C"), "SOBREOFERTA",IF(AND(Planilla!B423="A", VLOOKUP(E423,[1]Diccionario!B:N,13,0)="A"), "OK",IF(
AND(Planilla!B423="A", OR(VLOOKUP(E423,[1]Diccionario!B:N,13,0)="B", VLOOKUP(E423,[1]Diccionario!B:N,13,0)="C")), "SOBREOFERTA",""
))))))),"")</f>
        <v/>
      </c>
      <c r="E423" s="48"/>
      <c r="F423" s="53"/>
      <c r="G423" s="54"/>
      <c r="H423" s="55" t="str">
        <f t="shared" si="102"/>
        <v/>
      </c>
      <c r="I423" s="35"/>
      <c r="J423" s="34" t="e">
        <f>IF(A423&lt;&gt;"",HLOOKUP(VALUE(TEXT(G423,"h:mm:ss")),IF($C$6="Laboral",[1]Input!$A$4:$Y$227,IF($C$6="Sábado",[1]Input!$A$231:$Y$452,[1]Input!$A$456:$Y$656)),VLOOKUP($C$4,[1]Input!$AG$2:$AI$99,3,0)+IF(C$5="Ida",0,1),1),"")</f>
        <v>#N/A</v>
      </c>
      <c r="K423" s="34" t="str">
        <f>IF(A424&lt;&gt;A423,AVERAGEIF(A$9:A423,A423,J$13:J423),"")</f>
        <v/>
      </c>
      <c r="L423" s="35" t="str">
        <f>IFERROR(IF(A424&lt;&gt;A423,AVERAGEIF(A$9:A423,A423,S$13:S423),""),"")</f>
        <v/>
      </c>
      <c r="M423" s="35" t="str">
        <f>IFERROR(IF(A424&lt;&gt;A423,AVERAGEIF(A$9:A423,A423,T$8:T423),""),"")</f>
        <v/>
      </c>
      <c r="N423" s="35" t="str" cm="1">
        <f t="array" ref="N423">IFERROR(IF(A424&lt;&gt;A423,_xlfn.STDEV.P(IF(A$9:A423=A423,T$7:T423)),""),"")</f>
        <v/>
      </c>
      <c r="O423" s="35" t="str" cm="1">
        <f t="array" ref="O423">IFERROR(IF(A424&lt;&gt;A423,_xlfn.STDEV.P(IF(A$9:A423=A423,S$7:S423)),""),"")</f>
        <v/>
      </c>
      <c r="P423" s="36" t="str">
        <f t="shared" si="95"/>
        <v/>
      </c>
      <c r="Q423" s="36" t="str">
        <f t="shared" si="96"/>
        <v/>
      </c>
      <c r="R423" s="36" t="str">
        <f t="shared" si="103"/>
        <v/>
      </c>
      <c r="S423" s="37" t="str">
        <f t="shared" si="104"/>
        <v/>
      </c>
      <c r="T423" s="37" t="str">
        <f t="shared" si="97"/>
        <v/>
      </c>
      <c r="U423" s="54"/>
      <c r="V423" s="46"/>
      <c r="W423" s="39" t="str">
        <f t="shared" si="105"/>
        <v/>
      </c>
      <c r="X423" s="38"/>
      <c r="Y423" s="48"/>
      <c r="AB423" s="56">
        <f t="shared" si="106"/>
        <v>1</v>
      </c>
      <c r="AC423" s="52"/>
      <c r="AD423" s="52"/>
      <c r="AE423" s="29" t="str">
        <f>IFERROR(
IF(AND(OR(AC423="C",AC423="c"), VLOOKUP(AF423,[1]Diccionario!B:N,13,0)="C"), "OK",IF(AND(OR(AC423="C",AC423="c"), OR(VLOOKUP(AF423,[1]Diccionario!B:N,13,0)="B", VLOOKUP(AF423,[1]Diccionario!B:N,13,0)="A")), "DEFICIT",IF(
AND(OR(AC423="B", AC423="BPAL"), VLOOKUP(AF423,[1]Diccionario!B:N,13,0)="B"), "OK",IF(AND(OR(AC423="B", AC423="BPAL"), VLOOKUP(AF423,[1]Diccionario!B:N,13,0)="A"), "DEFICIT",IF(AND(OR(AC423="B", AC423="BPAL"), VLOOKUP(AF423,[1]Diccionario!B:N,13,0)="C"), "SOBREOFERTA",IF(AND(AC423="A", VLOOKUP(AF423,[1]Diccionario!B:N,13,0)="A"), "OK",IF(
AND(AC423="A", OR(VLOOKUP(AF423,[1]Diccionario!B:N,13,0)="B", VLOOKUP(AF423,[1]Diccionario!B:N,13,0)="C")), "SOBREOFERTA",""
))))))),"")</f>
        <v/>
      </c>
      <c r="AF423" s="48"/>
      <c r="AG423" s="53"/>
      <c r="AH423" s="54"/>
      <c r="AI423" s="55" t="str">
        <f t="shared" si="107"/>
        <v/>
      </c>
      <c r="AJ423" s="46"/>
      <c r="AK423" s="34" t="e">
        <f>IF(AB423&lt;&gt;"",HLOOKUP(VALUE(TEXT(AH423,"h:mm:ss")),IF($C$6="Laboral",[1]Input!$A$4:$Y$227,IF($C$6="Sábado",[1]Input!$A$231:$Y$452,[1]Input!$A$456:$Y$656)),VLOOKUP($C$4,[1]Input!$AG$2:$AI$99,3,0)+IF(AD$5="Ida",0,1),1),"")</f>
        <v>#N/A</v>
      </c>
      <c r="AL423" s="34" t="str">
        <f>IF(AB424&lt;&gt;AB423,AVERAGEIF(AB$9:AB423,AB423,AK$9:AK423),"")</f>
        <v/>
      </c>
      <c r="AM423" s="35" t="str">
        <f>IFERROR(IF(AB424&lt;&gt;AB423,AVERAGEIF(AB$9:AB423,AB423,AT$9:AT423),""),"")</f>
        <v/>
      </c>
      <c r="AN423" s="35" t="str">
        <f>IFERROR(IF(AB424&lt;&gt;AB423,AVERAGEIF(AB$9:AB423,AB423,AU$9:AU423),""),"")</f>
        <v/>
      </c>
      <c r="AO423" s="35" t="str" cm="1">
        <f t="array" ref="AO423">IFERROR(IF(AB424&lt;&gt;AB423,_xlfn.STDEV.P(IF(AB$9:AB423=AB423,AU$9:AU423)),""),"")</f>
        <v/>
      </c>
      <c r="AP423" s="35" t="str" cm="1">
        <f t="array" ref="AP423">IFERROR(IF(AB424&lt;&gt;AB423,_xlfn.STDEV.P(IF(AB$9:AB423=AB423,AT$9:AT423)),""),"")</f>
        <v/>
      </c>
      <c r="AQ423" s="36" t="str">
        <f t="shared" si="98"/>
        <v/>
      </c>
      <c r="AR423" s="36" t="str">
        <f t="shared" si="99"/>
        <v/>
      </c>
      <c r="AS423" s="36" t="str">
        <f t="shared" si="108"/>
        <v/>
      </c>
      <c r="AT423" s="37" t="str">
        <f t="shared" si="100"/>
        <v/>
      </c>
      <c r="AU423" s="37" t="str">
        <f t="shared" si="101"/>
        <v/>
      </c>
      <c r="AV423" s="54"/>
      <c r="AW423" s="46"/>
      <c r="AX423" s="39" t="str" cm="1">
        <f t="array" ref="AX423">IF(AH423&lt;&gt;"",IF(AND(AX421:AX422&lt;&gt;"IE",AQ423&lt;&gt;0,AS423&lt;&gt;""),IF(IFERROR((AQ423/AS423),0) &lt;=1,IFERROR(AQ423/AS423,""),1),""),"")</f>
        <v/>
      </c>
      <c r="AY423" s="46"/>
      <c r="AZ423" s="57"/>
    </row>
    <row r="424" spans="1:52" ht="15.5" x14ac:dyDescent="0.35">
      <c r="A424" s="51">
        <f t="shared" si="109"/>
        <v>1</v>
      </c>
      <c r="B424" s="52"/>
      <c r="C424" s="52"/>
      <c r="D424" s="29" t="str">
        <f>IFERROR(
IF(AND(OR(Planilla!B424="C",Planilla!B424="c"), VLOOKUP(E424,[1]Diccionario!B:N,13,0)="C"), "OK",IF(AND(OR(Planilla!B424="C",Planilla!B424="c"), OR(VLOOKUP(E424,[1]Diccionario!B:N,13,0)="B", VLOOKUP(E424,[1]Diccionario!B:N,13,0)="A")), "DEFICIT",IF(
AND(OR(Planilla!B424="B", Planilla!B424="BPAL"), VLOOKUP(E424,[1]Diccionario!B:N,13,0)="B"), "OK",IF(AND(OR(Planilla!B424="B", Planilla!B424="BPAL"), VLOOKUP(E424,[1]Diccionario!B:N,13,0)="A"), "DEFICIT",IF(AND(OR(Planilla!B424="B", Planilla!B424="BPAL"), VLOOKUP(E424,[1]Diccionario!B:N,13,0)="C"), "SOBREOFERTA",IF(AND(Planilla!B424="A", VLOOKUP(E424,[1]Diccionario!B:N,13,0)="A"), "OK",IF(
AND(Planilla!B424="A", OR(VLOOKUP(E424,[1]Diccionario!B:N,13,0)="B", VLOOKUP(E424,[1]Diccionario!B:N,13,0)="C")), "SOBREOFERTA",""
))))))),"")</f>
        <v/>
      </c>
      <c r="E424" s="48"/>
      <c r="F424" s="53"/>
      <c r="G424" s="54"/>
      <c r="H424" s="55" t="str">
        <f t="shared" si="102"/>
        <v/>
      </c>
      <c r="I424" s="35"/>
      <c r="J424" s="34" t="e">
        <f>IF(A424&lt;&gt;"",HLOOKUP(VALUE(TEXT(G424,"h:mm:ss")),IF($C$6="Laboral",[1]Input!$A$4:$Y$227,IF($C$6="Sábado",[1]Input!$A$231:$Y$452,[1]Input!$A$456:$Y$656)),VLOOKUP($C$4,[1]Input!$AG$2:$AI$99,3,0)+IF(C$5="Ida",0,1),1),"")</f>
        <v>#N/A</v>
      </c>
      <c r="K424" s="34" t="str">
        <f>IF(A425&lt;&gt;A424,AVERAGEIF(A$9:A424,A424,J$13:J424),"")</f>
        <v/>
      </c>
      <c r="L424" s="35" t="str">
        <f>IFERROR(IF(A425&lt;&gt;A424,AVERAGEIF(A$9:A424,A424,S$13:S424),""),"")</f>
        <v/>
      </c>
      <c r="M424" s="35" t="str">
        <f>IFERROR(IF(A425&lt;&gt;A424,AVERAGEIF(A$9:A424,A424,T$8:T424),""),"")</f>
        <v/>
      </c>
      <c r="N424" s="35" t="str" cm="1">
        <f t="array" ref="N424">IFERROR(IF(A425&lt;&gt;A424,_xlfn.STDEV.P(IF(A$9:A424=A424,T$7:T424)),""),"")</f>
        <v/>
      </c>
      <c r="O424" s="35" t="str" cm="1">
        <f t="array" ref="O424">IFERROR(IF(A425&lt;&gt;A424,_xlfn.STDEV.P(IF(A$9:A424=A424,S$7:S424)),""),"")</f>
        <v/>
      </c>
      <c r="P424" s="36" t="str">
        <f t="shared" si="95"/>
        <v/>
      </c>
      <c r="Q424" s="36" t="str">
        <f t="shared" si="96"/>
        <v/>
      </c>
      <c r="R424" s="36" t="str">
        <f t="shared" si="103"/>
        <v/>
      </c>
      <c r="S424" s="37" t="str">
        <f t="shared" si="104"/>
        <v/>
      </c>
      <c r="T424" s="37" t="str">
        <f t="shared" si="97"/>
        <v/>
      </c>
      <c r="U424" s="54"/>
      <c r="V424" s="46"/>
      <c r="W424" s="39" t="str">
        <f t="shared" si="105"/>
        <v/>
      </c>
      <c r="X424" s="38"/>
      <c r="Y424" s="48"/>
      <c r="AB424" s="56">
        <f t="shared" si="106"/>
        <v>1</v>
      </c>
      <c r="AC424" s="52"/>
      <c r="AD424" s="52"/>
      <c r="AE424" s="29" t="str">
        <f>IFERROR(
IF(AND(OR(AC424="C",AC424="c"), VLOOKUP(AF424,[1]Diccionario!B:N,13,0)="C"), "OK",IF(AND(OR(AC424="C",AC424="c"), OR(VLOOKUP(AF424,[1]Diccionario!B:N,13,0)="B", VLOOKUP(AF424,[1]Diccionario!B:N,13,0)="A")), "DEFICIT",IF(
AND(OR(AC424="B", AC424="BPAL"), VLOOKUP(AF424,[1]Diccionario!B:N,13,0)="B"), "OK",IF(AND(OR(AC424="B", AC424="BPAL"), VLOOKUP(AF424,[1]Diccionario!B:N,13,0)="A"), "DEFICIT",IF(AND(OR(AC424="B", AC424="BPAL"), VLOOKUP(AF424,[1]Diccionario!B:N,13,0)="C"), "SOBREOFERTA",IF(AND(AC424="A", VLOOKUP(AF424,[1]Diccionario!B:N,13,0)="A"), "OK",IF(
AND(AC424="A", OR(VLOOKUP(AF424,[1]Diccionario!B:N,13,0)="B", VLOOKUP(AF424,[1]Diccionario!B:N,13,0)="C")), "SOBREOFERTA",""
))))))),"")</f>
        <v/>
      </c>
      <c r="AF424" s="48"/>
      <c r="AG424" s="53"/>
      <c r="AH424" s="54"/>
      <c r="AI424" s="55" t="str">
        <f t="shared" si="107"/>
        <v/>
      </c>
      <c r="AJ424" s="46"/>
      <c r="AK424" s="34" t="e">
        <f>IF(AB424&lt;&gt;"",HLOOKUP(VALUE(TEXT(AH424,"h:mm:ss")),IF($C$6="Laboral",[1]Input!$A$4:$Y$227,IF($C$6="Sábado",[1]Input!$A$231:$Y$452,[1]Input!$A$456:$Y$656)),VLOOKUP($C$4,[1]Input!$AG$2:$AI$99,3,0)+IF(AD$5="Ida",0,1),1),"")</f>
        <v>#N/A</v>
      </c>
      <c r="AL424" s="34" t="str">
        <f>IF(AB425&lt;&gt;AB424,AVERAGEIF(AB$9:AB424,AB424,AK$9:AK424),"")</f>
        <v/>
      </c>
      <c r="AM424" s="35" t="str">
        <f>IFERROR(IF(AB425&lt;&gt;AB424,AVERAGEIF(AB$9:AB424,AB424,AT$9:AT424),""),"")</f>
        <v/>
      </c>
      <c r="AN424" s="35" t="str">
        <f>IFERROR(IF(AB425&lt;&gt;AB424,AVERAGEIF(AB$9:AB424,AB424,AU$9:AU424),""),"")</f>
        <v/>
      </c>
      <c r="AO424" s="35" t="str" cm="1">
        <f t="array" ref="AO424">IFERROR(IF(AB425&lt;&gt;AB424,_xlfn.STDEV.P(IF(AB$9:AB424=AB424,AU$9:AU424)),""),"")</f>
        <v/>
      </c>
      <c r="AP424" s="35" t="str" cm="1">
        <f t="array" ref="AP424">IFERROR(IF(AB425&lt;&gt;AB424,_xlfn.STDEV.P(IF(AB$9:AB424=AB424,AT$9:AT424)),""),"")</f>
        <v/>
      </c>
      <c r="AQ424" s="36" t="str">
        <f t="shared" si="98"/>
        <v/>
      </c>
      <c r="AR424" s="36" t="str">
        <f t="shared" si="99"/>
        <v/>
      </c>
      <c r="AS424" s="36" t="str">
        <f t="shared" si="108"/>
        <v/>
      </c>
      <c r="AT424" s="37" t="str">
        <f t="shared" si="100"/>
        <v/>
      </c>
      <c r="AU424" s="37" t="str">
        <f t="shared" si="101"/>
        <v/>
      </c>
      <c r="AV424" s="54"/>
      <c r="AW424" s="46"/>
      <c r="AX424" s="39" t="str" cm="1">
        <f t="array" ref="AX424">IF(AH424&lt;&gt;"",IF(AND(AX422:AX423&lt;&gt;"IE",AQ424&lt;&gt;0,AS424&lt;&gt;""),IF(IFERROR((AQ424/AS424),0) &lt;=1,IFERROR(AQ424/AS424,""),1),""),"")</f>
        <v/>
      </c>
      <c r="AY424" s="46"/>
      <c r="AZ424" s="57"/>
    </row>
    <row r="425" spans="1:52" ht="15.5" x14ac:dyDescent="0.35">
      <c r="A425" s="51">
        <f t="shared" si="109"/>
        <v>1</v>
      </c>
      <c r="B425" s="52"/>
      <c r="C425" s="52"/>
      <c r="D425" s="29" t="str">
        <f>IFERROR(
IF(AND(OR(Planilla!B425="C",Planilla!B425="c"), VLOOKUP(E425,[1]Diccionario!B:N,13,0)="C"), "OK",IF(AND(OR(Planilla!B425="C",Planilla!B425="c"), OR(VLOOKUP(E425,[1]Diccionario!B:N,13,0)="B", VLOOKUP(E425,[1]Diccionario!B:N,13,0)="A")), "DEFICIT",IF(
AND(OR(Planilla!B425="B", Planilla!B425="BPAL"), VLOOKUP(E425,[1]Diccionario!B:N,13,0)="B"), "OK",IF(AND(OR(Planilla!B425="B", Planilla!B425="BPAL"), VLOOKUP(E425,[1]Diccionario!B:N,13,0)="A"), "DEFICIT",IF(AND(OR(Planilla!B425="B", Planilla!B425="BPAL"), VLOOKUP(E425,[1]Diccionario!B:N,13,0)="C"), "SOBREOFERTA",IF(AND(Planilla!B425="A", VLOOKUP(E425,[1]Diccionario!B:N,13,0)="A"), "OK",IF(
AND(Planilla!B425="A", OR(VLOOKUP(E425,[1]Diccionario!B:N,13,0)="B", VLOOKUP(E425,[1]Diccionario!B:N,13,0)="C")), "SOBREOFERTA",""
))))))),"")</f>
        <v/>
      </c>
      <c r="E425" s="48"/>
      <c r="F425" s="53"/>
      <c r="G425" s="54"/>
      <c r="H425" s="55" t="str">
        <f t="shared" si="102"/>
        <v/>
      </c>
      <c r="I425" s="35"/>
      <c r="J425" s="34" t="e">
        <f>IF(A425&lt;&gt;"",HLOOKUP(VALUE(TEXT(G425,"h:mm:ss")),IF($C$6="Laboral",[1]Input!$A$4:$Y$227,IF($C$6="Sábado",[1]Input!$A$231:$Y$452,[1]Input!$A$456:$Y$656)),VLOOKUP($C$4,[1]Input!$AG$2:$AI$99,3,0)+IF(C$5="Ida",0,1),1),"")</f>
        <v>#N/A</v>
      </c>
      <c r="K425" s="34" t="str">
        <f>IF(A426&lt;&gt;A425,AVERAGEIF(A$9:A425,A425,J$13:J425),"")</f>
        <v/>
      </c>
      <c r="L425" s="35" t="str">
        <f>IFERROR(IF(A426&lt;&gt;A425,AVERAGEIF(A$9:A425,A425,S$13:S425),""),"")</f>
        <v/>
      </c>
      <c r="M425" s="35" t="str">
        <f>IFERROR(IF(A426&lt;&gt;A425,AVERAGEIF(A$9:A425,A425,T$8:T425),""),"")</f>
        <v/>
      </c>
      <c r="N425" s="35" t="str" cm="1">
        <f t="array" ref="N425">IFERROR(IF(A426&lt;&gt;A425,_xlfn.STDEV.P(IF(A$9:A425=A425,T$7:T425)),""),"")</f>
        <v/>
      </c>
      <c r="O425" s="35" t="str" cm="1">
        <f t="array" ref="O425">IFERROR(IF(A426&lt;&gt;A425,_xlfn.STDEV.P(IF(A$9:A425=A425,S$7:S425)),""),"")</f>
        <v/>
      </c>
      <c r="P425" s="36" t="str">
        <f t="shared" si="95"/>
        <v/>
      </c>
      <c r="Q425" s="36" t="str">
        <f t="shared" si="96"/>
        <v/>
      </c>
      <c r="R425" s="36" t="str">
        <f t="shared" si="103"/>
        <v/>
      </c>
      <c r="S425" s="37" t="str">
        <f t="shared" si="104"/>
        <v/>
      </c>
      <c r="T425" s="37" t="str">
        <f t="shared" si="97"/>
        <v/>
      </c>
      <c r="U425" s="54"/>
      <c r="V425" s="46"/>
      <c r="W425" s="39" t="str">
        <f t="shared" si="105"/>
        <v/>
      </c>
      <c r="X425" s="38"/>
      <c r="Y425" s="48"/>
      <c r="AB425" s="56">
        <f t="shared" si="106"/>
        <v>1</v>
      </c>
      <c r="AC425" s="52"/>
      <c r="AD425" s="52"/>
      <c r="AE425" s="29" t="str">
        <f>IFERROR(
IF(AND(OR(AC425="C",AC425="c"), VLOOKUP(AF425,[1]Diccionario!B:N,13,0)="C"), "OK",IF(AND(OR(AC425="C",AC425="c"), OR(VLOOKUP(AF425,[1]Diccionario!B:N,13,0)="B", VLOOKUP(AF425,[1]Diccionario!B:N,13,0)="A")), "DEFICIT",IF(
AND(OR(AC425="B", AC425="BPAL"), VLOOKUP(AF425,[1]Diccionario!B:N,13,0)="B"), "OK",IF(AND(OR(AC425="B", AC425="BPAL"), VLOOKUP(AF425,[1]Diccionario!B:N,13,0)="A"), "DEFICIT",IF(AND(OR(AC425="B", AC425="BPAL"), VLOOKUP(AF425,[1]Diccionario!B:N,13,0)="C"), "SOBREOFERTA",IF(AND(AC425="A", VLOOKUP(AF425,[1]Diccionario!B:N,13,0)="A"), "OK",IF(
AND(AC425="A", OR(VLOOKUP(AF425,[1]Diccionario!B:N,13,0)="B", VLOOKUP(AF425,[1]Diccionario!B:N,13,0)="C")), "SOBREOFERTA",""
))))))),"")</f>
        <v/>
      </c>
      <c r="AF425" s="48"/>
      <c r="AG425" s="53"/>
      <c r="AH425" s="54"/>
      <c r="AI425" s="55" t="str">
        <f t="shared" si="107"/>
        <v/>
      </c>
      <c r="AJ425" s="46"/>
      <c r="AK425" s="34" t="e">
        <f>IF(AB425&lt;&gt;"",HLOOKUP(VALUE(TEXT(AH425,"h:mm:ss")),IF($C$6="Laboral",[1]Input!$A$4:$Y$227,IF($C$6="Sábado",[1]Input!$A$231:$Y$452,[1]Input!$A$456:$Y$656)),VLOOKUP($C$4,[1]Input!$AG$2:$AI$99,3,0)+IF(AD$5="Ida",0,1),1),"")</f>
        <v>#N/A</v>
      </c>
      <c r="AL425" s="34" t="str">
        <f>IF(AB426&lt;&gt;AB425,AVERAGEIF(AB$9:AB425,AB425,AK$9:AK425),"")</f>
        <v/>
      </c>
      <c r="AM425" s="35" t="str">
        <f>IFERROR(IF(AB426&lt;&gt;AB425,AVERAGEIF(AB$9:AB425,AB425,AT$9:AT425),""),"")</f>
        <v/>
      </c>
      <c r="AN425" s="35" t="str">
        <f>IFERROR(IF(AB426&lt;&gt;AB425,AVERAGEIF(AB$9:AB425,AB425,AU$9:AU425),""),"")</f>
        <v/>
      </c>
      <c r="AO425" s="35" t="str" cm="1">
        <f t="array" ref="AO425">IFERROR(IF(AB426&lt;&gt;AB425,_xlfn.STDEV.P(IF(AB$9:AB425=AB425,AU$9:AU425)),""),"")</f>
        <v/>
      </c>
      <c r="AP425" s="35" t="str" cm="1">
        <f t="array" ref="AP425">IFERROR(IF(AB426&lt;&gt;AB425,_xlfn.STDEV.P(IF(AB$9:AB425=AB425,AT$9:AT425)),""),"")</f>
        <v/>
      </c>
      <c r="AQ425" s="36" t="str">
        <f t="shared" si="98"/>
        <v/>
      </c>
      <c r="AR425" s="36" t="str">
        <f t="shared" si="99"/>
        <v/>
      </c>
      <c r="AS425" s="36" t="str">
        <f t="shared" si="108"/>
        <v/>
      </c>
      <c r="AT425" s="37" t="str">
        <f t="shared" si="100"/>
        <v/>
      </c>
      <c r="AU425" s="37" t="str">
        <f t="shared" si="101"/>
        <v/>
      </c>
      <c r="AV425" s="54"/>
      <c r="AW425" s="46"/>
      <c r="AX425" s="39" t="str" cm="1">
        <f t="array" ref="AX425">IF(AH425&lt;&gt;"",IF(AND(AX423:AX424&lt;&gt;"IE",AQ425&lt;&gt;0,AS425&lt;&gt;""),IF(IFERROR((AQ425/AS425),0) &lt;=1,IFERROR(AQ425/AS425,""),1),""),"")</f>
        <v/>
      </c>
      <c r="AY425" s="46"/>
      <c r="AZ425" s="57"/>
    </row>
    <row r="426" spans="1:52" ht="15.5" x14ac:dyDescent="0.35">
      <c r="A426" s="51">
        <f t="shared" si="109"/>
        <v>1</v>
      </c>
      <c r="B426" s="52"/>
      <c r="C426" s="52"/>
      <c r="D426" s="29" t="str">
        <f>IFERROR(
IF(AND(OR(Planilla!B426="C",Planilla!B426="c"), VLOOKUP(E426,[1]Diccionario!B:N,13,0)="C"), "OK",IF(AND(OR(Planilla!B426="C",Planilla!B426="c"), OR(VLOOKUP(E426,[1]Diccionario!B:N,13,0)="B", VLOOKUP(E426,[1]Diccionario!B:N,13,0)="A")), "DEFICIT",IF(
AND(OR(Planilla!B426="B", Planilla!B426="BPAL"), VLOOKUP(E426,[1]Diccionario!B:N,13,0)="B"), "OK",IF(AND(OR(Planilla!B426="B", Planilla!B426="BPAL"), VLOOKUP(E426,[1]Diccionario!B:N,13,0)="A"), "DEFICIT",IF(AND(OR(Planilla!B426="B", Planilla!B426="BPAL"), VLOOKUP(E426,[1]Diccionario!B:N,13,0)="C"), "SOBREOFERTA",IF(AND(Planilla!B426="A", VLOOKUP(E426,[1]Diccionario!B:N,13,0)="A"), "OK",IF(
AND(Planilla!B426="A", OR(VLOOKUP(E426,[1]Diccionario!B:N,13,0)="B", VLOOKUP(E426,[1]Diccionario!B:N,13,0)="C")), "SOBREOFERTA",""
))))))),"")</f>
        <v/>
      </c>
      <c r="E426" s="48"/>
      <c r="F426" s="53"/>
      <c r="G426" s="54"/>
      <c r="H426" s="55" t="str">
        <f t="shared" si="102"/>
        <v/>
      </c>
      <c r="I426" s="35"/>
      <c r="J426" s="34" t="e">
        <f>IF(A426&lt;&gt;"",HLOOKUP(VALUE(TEXT(G426,"h:mm:ss")),IF($C$6="Laboral",[1]Input!$A$4:$Y$227,IF($C$6="Sábado",[1]Input!$A$231:$Y$452,[1]Input!$A$456:$Y$656)),VLOOKUP($C$4,[1]Input!$AG$2:$AI$99,3,0)+IF(C$5="Ida",0,1),1),"")</f>
        <v>#N/A</v>
      </c>
      <c r="K426" s="34" t="str">
        <f>IF(A427&lt;&gt;A426,AVERAGEIF(A$9:A426,A426,J$13:J426),"")</f>
        <v/>
      </c>
      <c r="L426" s="35" t="str">
        <f>IFERROR(IF(A427&lt;&gt;A426,AVERAGEIF(A$9:A426,A426,S$13:S426),""),"")</f>
        <v/>
      </c>
      <c r="M426" s="35" t="str">
        <f>IFERROR(IF(A427&lt;&gt;A426,AVERAGEIF(A$9:A426,A426,T$8:T426),""),"")</f>
        <v/>
      </c>
      <c r="N426" s="35" t="str" cm="1">
        <f t="array" ref="N426">IFERROR(IF(A427&lt;&gt;A426,_xlfn.STDEV.P(IF(A$9:A426=A426,T$7:T426)),""),"")</f>
        <v/>
      </c>
      <c r="O426" s="35" t="str" cm="1">
        <f t="array" ref="O426">IFERROR(IF(A427&lt;&gt;A426,_xlfn.STDEV.P(IF(A$9:A426=A426,S$7:S426)),""),"")</f>
        <v/>
      </c>
      <c r="P426" s="36" t="str">
        <f t="shared" si="95"/>
        <v/>
      </c>
      <c r="Q426" s="36" t="str">
        <f t="shared" si="96"/>
        <v/>
      </c>
      <c r="R426" s="36" t="str">
        <f t="shared" si="103"/>
        <v/>
      </c>
      <c r="S426" s="37" t="str">
        <f t="shared" si="104"/>
        <v/>
      </c>
      <c r="T426" s="37" t="str">
        <f t="shared" si="97"/>
        <v/>
      </c>
      <c r="U426" s="54"/>
      <c r="V426" s="46"/>
      <c r="W426" s="39" t="str">
        <f t="shared" si="105"/>
        <v/>
      </c>
      <c r="X426" s="38"/>
      <c r="Y426" s="48"/>
      <c r="AB426" s="56">
        <f t="shared" si="106"/>
        <v>1</v>
      </c>
      <c r="AC426" s="52"/>
      <c r="AD426" s="52"/>
      <c r="AE426" s="29" t="str">
        <f>IFERROR(
IF(AND(OR(AC426="C",AC426="c"), VLOOKUP(AF426,[1]Diccionario!B:N,13,0)="C"), "OK",IF(AND(OR(AC426="C",AC426="c"), OR(VLOOKUP(AF426,[1]Diccionario!B:N,13,0)="B", VLOOKUP(AF426,[1]Diccionario!B:N,13,0)="A")), "DEFICIT",IF(
AND(OR(AC426="B", AC426="BPAL"), VLOOKUP(AF426,[1]Diccionario!B:N,13,0)="B"), "OK",IF(AND(OR(AC426="B", AC426="BPAL"), VLOOKUP(AF426,[1]Diccionario!B:N,13,0)="A"), "DEFICIT",IF(AND(OR(AC426="B", AC426="BPAL"), VLOOKUP(AF426,[1]Diccionario!B:N,13,0)="C"), "SOBREOFERTA",IF(AND(AC426="A", VLOOKUP(AF426,[1]Diccionario!B:N,13,0)="A"), "OK",IF(
AND(AC426="A", OR(VLOOKUP(AF426,[1]Diccionario!B:N,13,0)="B", VLOOKUP(AF426,[1]Diccionario!B:N,13,0)="C")), "SOBREOFERTA",""
))))))),"")</f>
        <v/>
      </c>
      <c r="AF426" s="48"/>
      <c r="AG426" s="53"/>
      <c r="AH426" s="54"/>
      <c r="AI426" s="55" t="str">
        <f t="shared" si="107"/>
        <v/>
      </c>
      <c r="AJ426" s="46"/>
      <c r="AK426" s="34" t="e">
        <f>IF(AB426&lt;&gt;"",HLOOKUP(VALUE(TEXT(AH426,"h:mm:ss")),IF($C$6="Laboral",[1]Input!$A$4:$Y$227,IF($C$6="Sábado",[1]Input!$A$231:$Y$452,[1]Input!$A$456:$Y$656)),VLOOKUP($C$4,[1]Input!$AG$2:$AI$99,3,0)+IF(AD$5="Ida",0,1),1),"")</f>
        <v>#N/A</v>
      </c>
      <c r="AL426" s="34" t="str">
        <f>IF(AB427&lt;&gt;AB426,AVERAGEIF(AB$9:AB426,AB426,AK$9:AK426),"")</f>
        <v/>
      </c>
      <c r="AM426" s="35" t="str">
        <f>IFERROR(IF(AB427&lt;&gt;AB426,AVERAGEIF(AB$9:AB426,AB426,AT$9:AT426),""),"")</f>
        <v/>
      </c>
      <c r="AN426" s="35" t="str">
        <f>IFERROR(IF(AB427&lt;&gt;AB426,AVERAGEIF(AB$9:AB426,AB426,AU$9:AU426),""),"")</f>
        <v/>
      </c>
      <c r="AO426" s="35" t="str" cm="1">
        <f t="array" ref="AO426">IFERROR(IF(AB427&lt;&gt;AB426,_xlfn.STDEV.P(IF(AB$9:AB426=AB426,AU$9:AU426)),""),"")</f>
        <v/>
      </c>
      <c r="AP426" s="35" t="str" cm="1">
        <f t="array" ref="AP426">IFERROR(IF(AB427&lt;&gt;AB426,_xlfn.STDEV.P(IF(AB$9:AB426=AB426,AT$9:AT426)),""),"")</f>
        <v/>
      </c>
      <c r="AQ426" s="36" t="str">
        <f t="shared" si="98"/>
        <v/>
      </c>
      <c r="AR426" s="36" t="str">
        <f t="shared" si="99"/>
        <v/>
      </c>
      <c r="AS426" s="36" t="str">
        <f t="shared" si="108"/>
        <v/>
      </c>
      <c r="AT426" s="37" t="str">
        <f t="shared" si="100"/>
        <v/>
      </c>
      <c r="AU426" s="37" t="str">
        <f t="shared" si="101"/>
        <v/>
      </c>
      <c r="AV426" s="54"/>
      <c r="AW426" s="46"/>
      <c r="AX426" s="39" t="str" cm="1">
        <f t="array" ref="AX426">IF(AH426&lt;&gt;"",IF(AND(AX424:AX425&lt;&gt;"IE",AQ426&lt;&gt;0,AS426&lt;&gt;""),IF(IFERROR((AQ426/AS426),0) &lt;=1,IFERROR(AQ426/AS426,""),1),""),"")</f>
        <v/>
      </c>
      <c r="AY426" s="46"/>
      <c r="AZ426" s="57"/>
    </row>
    <row r="427" spans="1:52" ht="15.5" x14ac:dyDescent="0.35">
      <c r="A427" s="51">
        <f t="shared" si="109"/>
        <v>1</v>
      </c>
      <c r="B427" s="52"/>
      <c r="C427" s="52"/>
      <c r="D427" s="29" t="str">
        <f>IFERROR(
IF(AND(OR(Planilla!B427="C",Planilla!B427="c"), VLOOKUP(E427,[1]Diccionario!B:N,13,0)="C"), "OK",IF(AND(OR(Planilla!B427="C",Planilla!B427="c"), OR(VLOOKUP(E427,[1]Diccionario!B:N,13,0)="B", VLOOKUP(E427,[1]Diccionario!B:N,13,0)="A")), "DEFICIT",IF(
AND(OR(Planilla!B427="B", Planilla!B427="BPAL"), VLOOKUP(E427,[1]Diccionario!B:N,13,0)="B"), "OK",IF(AND(OR(Planilla!B427="B", Planilla!B427="BPAL"), VLOOKUP(E427,[1]Diccionario!B:N,13,0)="A"), "DEFICIT",IF(AND(OR(Planilla!B427="B", Planilla!B427="BPAL"), VLOOKUP(E427,[1]Diccionario!B:N,13,0)="C"), "SOBREOFERTA",IF(AND(Planilla!B427="A", VLOOKUP(E427,[1]Diccionario!B:N,13,0)="A"), "OK",IF(
AND(Planilla!B427="A", OR(VLOOKUP(E427,[1]Diccionario!B:N,13,0)="B", VLOOKUP(E427,[1]Diccionario!B:N,13,0)="C")), "SOBREOFERTA",""
))))))),"")</f>
        <v/>
      </c>
      <c r="E427" s="48"/>
      <c r="F427" s="53"/>
      <c r="G427" s="54"/>
      <c r="H427" s="55" t="str">
        <f t="shared" si="102"/>
        <v/>
      </c>
      <c r="I427" s="35"/>
      <c r="J427" s="34" t="e">
        <f>IF(A427&lt;&gt;"",HLOOKUP(VALUE(TEXT(G427,"h:mm:ss")),IF($C$6="Laboral",[1]Input!$A$4:$Y$227,IF($C$6="Sábado",[1]Input!$A$231:$Y$452,[1]Input!$A$456:$Y$656)),VLOOKUP($C$4,[1]Input!$AG$2:$AI$99,3,0)+IF(C$5="Ida",0,1),1),"")</f>
        <v>#N/A</v>
      </c>
      <c r="K427" s="34" t="str">
        <f>IF(A428&lt;&gt;A427,AVERAGEIF(A$9:A427,A427,J$13:J427),"")</f>
        <v/>
      </c>
      <c r="L427" s="35" t="str">
        <f>IFERROR(IF(A428&lt;&gt;A427,AVERAGEIF(A$9:A427,A427,S$13:S427),""),"")</f>
        <v/>
      </c>
      <c r="M427" s="35" t="str">
        <f>IFERROR(IF(A428&lt;&gt;A427,AVERAGEIF(A$9:A427,A427,T$8:T427),""),"")</f>
        <v/>
      </c>
      <c r="N427" s="35" t="str" cm="1">
        <f t="array" ref="N427">IFERROR(IF(A428&lt;&gt;A427,_xlfn.STDEV.P(IF(A$9:A427=A427,T$7:T427)),""),"")</f>
        <v/>
      </c>
      <c r="O427" s="35" t="str" cm="1">
        <f t="array" ref="O427">IFERROR(IF(A428&lt;&gt;A427,_xlfn.STDEV.P(IF(A$9:A427=A427,S$7:S427)),""),"")</f>
        <v/>
      </c>
      <c r="P427" s="36" t="str">
        <f t="shared" si="95"/>
        <v/>
      </c>
      <c r="Q427" s="36" t="str">
        <f t="shared" si="96"/>
        <v/>
      </c>
      <c r="R427" s="36" t="str">
        <f t="shared" si="103"/>
        <v/>
      </c>
      <c r="S427" s="37" t="str">
        <f t="shared" si="104"/>
        <v/>
      </c>
      <c r="T427" s="37" t="str">
        <f t="shared" si="97"/>
        <v/>
      </c>
      <c r="U427" s="54"/>
      <c r="V427" s="46"/>
      <c r="W427" s="39" t="str">
        <f t="shared" si="105"/>
        <v/>
      </c>
      <c r="X427" s="38"/>
      <c r="Y427" s="48"/>
      <c r="AB427" s="56">
        <f t="shared" si="106"/>
        <v>1</v>
      </c>
      <c r="AC427" s="52"/>
      <c r="AD427" s="52"/>
      <c r="AE427" s="29" t="str">
        <f>IFERROR(
IF(AND(OR(AC427="C",AC427="c"), VLOOKUP(AF427,[1]Diccionario!B:N,13,0)="C"), "OK",IF(AND(OR(AC427="C",AC427="c"), OR(VLOOKUP(AF427,[1]Diccionario!B:N,13,0)="B", VLOOKUP(AF427,[1]Diccionario!B:N,13,0)="A")), "DEFICIT",IF(
AND(OR(AC427="B", AC427="BPAL"), VLOOKUP(AF427,[1]Diccionario!B:N,13,0)="B"), "OK",IF(AND(OR(AC427="B", AC427="BPAL"), VLOOKUP(AF427,[1]Diccionario!B:N,13,0)="A"), "DEFICIT",IF(AND(OR(AC427="B", AC427="BPAL"), VLOOKUP(AF427,[1]Diccionario!B:N,13,0)="C"), "SOBREOFERTA",IF(AND(AC427="A", VLOOKUP(AF427,[1]Diccionario!B:N,13,0)="A"), "OK",IF(
AND(AC427="A", OR(VLOOKUP(AF427,[1]Diccionario!B:N,13,0)="B", VLOOKUP(AF427,[1]Diccionario!B:N,13,0)="C")), "SOBREOFERTA",""
))))))),"")</f>
        <v/>
      </c>
      <c r="AF427" s="48"/>
      <c r="AG427" s="53"/>
      <c r="AH427" s="54"/>
      <c r="AI427" s="55" t="str">
        <f t="shared" si="107"/>
        <v/>
      </c>
      <c r="AJ427" s="46"/>
      <c r="AK427" s="34" t="e">
        <f>IF(AB427&lt;&gt;"",HLOOKUP(VALUE(TEXT(AH427,"h:mm:ss")),IF($C$6="Laboral",[1]Input!$A$4:$Y$227,IF($C$6="Sábado",[1]Input!$A$231:$Y$452,[1]Input!$A$456:$Y$656)),VLOOKUP($C$4,[1]Input!$AG$2:$AI$99,3,0)+IF(AD$5="Ida",0,1),1),"")</f>
        <v>#N/A</v>
      </c>
      <c r="AL427" s="34" t="str">
        <f>IF(AB428&lt;&gt;AB427,AVERAGEIF(AB$9:AB427,AB427,AK$9:AK427),"")</f>
        <v/>
      </c>
      <c r="AM427" s="35" t="str">
        <f>IFERROR(IF(AB428&lt;&gt;AB427,AVERAGEIF(AB$9:AB427,AB427,AT$9:AT427),""),"")</f>
        <v/>
      </c>
      <c r="AN427" s="35" t="str">
        <f>IFERROR(IF(AB428&lt;&gt;AB427,AVERAGEIF(AB$9:AB427,AB427,AU$9:AU427),""),"")</f>
        <v/>
      </c>
      <c r="AO427" s="35" t="str" cm="1">
        <f t="array" ref="AO427">IFERROR(IF(AB428&lt;&gt;AB427,_xlfn.STDEV.P(IF(AB$9:AB427=AB427,AU$9:AU427)),""),"")</f>
        <v/>
      </c>
      <c r="AP427" s="35" t="str" cm="1">
        <f t="array" ref="AP427">IFERROR(IF(AB428&lt;&gt;AB427,_xlfn.STDEV.P(IF(AB$9:AB427=AB427,AT$9:AT427)),""),"")</f>
        <v/>
      </c>
      <c r="AQ427" s="36" t="str">
        <f t="shared" si="98"/>
        <v/>
      </c>
      <c r="AR427" s="36" t="str">
        <f t="shared" si="99"/>
        <v/>
      </c>
      <c r="AS427" s="36" t="str">
        <f t="shared" si="108"/>
        <v/>
      </c>
      <c r="AT427" s="37" t="str">
        <f t="shared" si="100"/>
        <v/>
      </c>
      <c r="AU427" s="37" t="str">
        <f t="shared" si="101"/>
        <v/>
      </c>
      <c r="AV427" s="54"/>
      <c r="AW427" s="46"/>
      <c r="AX427" s="39" t="str" cm="1">
        <f t="array" ref="AX427">IF(AH427&lt;&gt;"",IF(AND(AX425:AX426&lt;&gt;"IE",AQ427&lt;&gt;0,AS427&lt;&gt;""),IF(IFERROR((AQ427/AS427),0) &lt;=1,IFERROR(AQ427/AS427,""),1),""),"")</f>
        <v/>
      </c>
      <c r="AY427" s="46"/>
      <c r="AZ427" s="57"/>
    </row>
    <row r="428" spans="1:52" ht="15.5" x14ac:dyDescent="0.35">
      <c r="A428" s="51">
        <f t="shared" si="109"/>
        <v>1</v>
      </c>
      <c r="B428" s="52"/>
      <c r="C428" s="52"/>
      <c r="D428" s="29" t="str">
        <f>IFERROR(
IF(AND(OR(Planilla!B428="C",Planilla!B428="c"), VLOOKUP(E428,[1]Diccionario!B:N,13,0)="C"), "OK",IF(AND(OR(Planilla!B428="C",Planilla!B428="c"), OR(VLOOKUP(E428,[1]Diccionario!B:N,13,0)="B", VLOOKUP(E428,[1]Diccionario!B:N,13,0)="A")), "DEFICIT",IF(
AND(OR(Planilla!B428="B", Planilla!B428="BPAL"), VLOOKUP(E428,[1]Diccionario!B:N,13,0)="B"), "OK",IF(AND(OR(Planilla!B428="B", Planilla!B428="BPAL"), VLOOKUP(E428,[1]Diccionario!B:N,13,0)="A"), "DEFICIT",IF(AND(OR(Planilla!B428="B", Planilla!B428="BPAL"), VLOOKUP(E428,[1]Diccionario!B:N,13,0)="C"), "SOBREOFERTA",IF(AND(Planilla!B428="A", VLOOKUP(E428,[1]Diccionario!B:N,13,0)="A"), "OK",IF(
AND(Planilla!B428="A", OR(VLOOKUP(E428,[1]Diccionario!B:N,13,0)="B", VLOOKUP(E428,[1]Diccionario!B:N,13,0)="C")), "SOBREOFERTA",""
))))))),"")</f>
        <v/>
      </c>
      <c r="E428" s="48"/>
      <c r="F428" s="53"/>
      <c r="G428" s="54"/>
      <c r="H428" s="55" t="str">
        <f t="shared" si="102"/>
        <v/>
      </c>
      <c r="I428" s="35"/>
      <c r="J428" s="34" t="e">
        <f>IF(A428&lt;&gt;"",HLOOKUP(VALUE(TEXT(G428,"h:mm:ss")),IF($C$6="Laboral",[1]Input!$A$4:$Y$227,IF($C$6="Sábado",[1]Input!$A$231:$Y$452,[1]Input!$A$456:$Y$656)),VLOOKUP($C$4,[1]Input!$AG$2:$AI$99,3,0)+IF(C$5="Ida",0,1),1),"")</f>
        <v>#N/A</v>
      </c>
      <c r="K428" s="34" t="str">
        <f>IF(A429&lt;&gt;A428,AVERAGEIF(A$9:A428,A428,J$13:J428),"")</f>
        <v/>
      </c>
      <c r="L428" s="35" t="str">
        <f>IFERROR(IF(A429&lt;&gt;A428,AVERAGEIF(A$9:A428,A428,S$13:S428),""),"")</f>
        <v/>
      </c>
      <c r="M428" s="35" t="str">
        <f>IFERROR(IF(A429&lt;&gt;A428,AVERAGEIF(A$9:A428,A428,T$8:T428),""),"")</f>
        <v/>
      </c>
      <c r="N428" s="35" t="str" cm="1">
        <f t="array" ref="N428">IFERROR(IF(A429&lt;&gt;A428,_xlfn.STDEV.P(IF(A$9:A428=A428,T$7:T428)),""),"")</f>
        <v/>
      </c>
      <c r="O428" s="35" t="str" cm="1">
        <f t="array" ref="O428">IFERROR(IF(A429&lt;&gt;A428,_xlfn.STDEV.P(IF(A$9:A428=A428,S$7:S428)),""),"")</f>
        <v/>
      </c>
      <c r="P428" s="36" t="str">
        <f t="shared" si="95"/>
        <v/>
      </c>
      <c r="Q428" s="36" t="str">
        <f t="shared" si="96"/>
        <v/>
      </c>
      <c r="R428" s="36" t="str">
        <f t="shared" si="103"/>
        <v/>
      </c>
      <c r="S428" s="37" t="str">
        <f t="shared" si="104"/>
        <v/>
      </c>
      <c r="T428" s="37" t="str">
        <f t="shared" si="97"/>
        <v/>
      </c>
      <c r="U428" s="54"/>
      <c r="V428" s="46"/>
      <c r="W428" s="39" t="str">
        <f t="shared" si="105"/>
        <v/>
      </c>
      <c r="X428" s="38"/>
      <c r="Y428" s="48"/>
      <c r="AB428" s="56">
        <f t="shared" si="106"/>
        <v>1</v>
      </c>
      <c r="AC428" s="52"/>
      <c r="AD428" s="52"/>
      <c r="AE428" s="29" t="str">
        <f>IFERROR(
IF(AND(OR(AC428="C",AC428="c"), VLOOKUP(AF428,[1]Diccionario!B:N,13,0)="C"), "OK",IF(AND(OR(AC428="C",AC428="c"), OR(VLOOKUP(AF428,[1]Diccionario!B:N,13,0)="B", VLOOKUP(AF428,[1]Diccionario!B:N,13,0)="A")), "DEFICIT",IF(
AND(OR(AC428="B", AC428="BPAL"), VLOOKUP(AF428,[1]Diccionario!B:N,13,0)="B"), "OK",IF(AND(OR(AC428="B", AC428="BPAL"), VLOOKUP(AF428,[1]Diccionario!B:N,13,0)="A"), "DEFICIT",IF(AND(OR(AC428="B", AC428="BPAL"), VLOOKUP(AF428,[1]Diccionario!B:N,13,0)="C"), "SOBREOFERTA",IF(AND(AC428="A", VLOOKUP(AF428,[1]Diccionario!B:N,13,0)="A"), "OK",IF(
AND(AC428="A", OR(VLOOKUP(AF428,[1]Diccionario!B:N,13,0)="B", VLOOKUP(AF428,[1]Diccionario!B:N,13,0)="C")), "SOBREOFERTA",""
))))))),"")</f>
        <v/>
      </c>
      <c r="AF428" s="48"/>
      <c r="AG428" s="53"/>
      <c r="AH428" s="54"/>
      <c r="AI428" s="55" t="str">
        <f t="shared" si="107"/>
        <v/>
      </c>
      <c r="AJ428" s="46"/>
      <c r="AK428" s="34" t="e">
        <f>IF(AB428&lt;&gt;"",HLOOKUP(VALUE(TEXT(AH428,"h:mm:ss")),IF($C$6="Laboral",[1]Input!$A$4:$Y$227,IF($C$6="Sábado",[1]Input!$A$231:$Y$452,[1]Input!$A$456:$Y$656)),VLOOKUP($C$4,[1]Input!$AG$2:$AI$99,3,0)+IF(AD$5="Ida",0,1),1),"")</f>
        <v>#N/A</v>
      </c>
      <c r="AL428" s="34" t="str">
        <f>IF(AB429&lt;&gt;AB428,AVERAGEIF(AB$9:AB428,AB428,AK$9:AK428),"")</f>
        <v/>
      </c>
      <c r="AM428" s="35" t="str">
        <f>IFERROR(IF(AB429&lt;&gt;AB428,AVERAGEIF(AB$9:AB428,AB428,AT$9:AT428),""),"")</f>
        <v/>
      </c>
      <c r="AN428" s="35" t="str">
        <f>IFERROR(IF(AB429&lt;&gt;AB428,AVERAGEIF(AB$9:AB428,AB428,AU$9:AU428),""),"")</f>
        <v/>
      </c>
      <c r="AO428" s="35" t="str" cm="1">
        <f t="array" ref="AO428">IFERROR(IF(AB429&lt;&gt;AB428,_xlfn.STDEV.P(IF(AB$9:AB428=AB428,AU$9:AU428)),""),"")</f>
        <v/>
      </c>
      <c r="AP428" s="35" t="str" cm="1">
        <f t="array" ref="AP428">IFERROR(IF(AB429&lt;&gt;AB428,_xlfn.STDEV.P(IF(AB$9:AB428=AB428,AT$9:AT428)),""),"")</f>
        <v/>
      </c>
      <c r="AQ428" s="36" t="str">
        <f t="shared" si="98"/>
        <v/>
      </c>
      <c r="AR428" s="36" t="str">
        <f t="shared" si="99"/>
        <v/>
      </c>
      <c r="AS428" s="36" t="str">
        <f t="shared" si="108"/>
        <v/>
      </c>
      <c r="AT428" s="37" t="str">
        <f t="shared" si="100"/>
        <v/>
      </c>
      <c r="AU428" s="37" t="str">
        <f t="shared" si="101"/>
        <v/>
      </c>
      <c r="AV428" s="54"/>
      <c r="AW428" s="46"/>
      <c r="AX428" s="39" t="str" cm="1">
        <f t="array" ref="AX428">IF(AH428&lt;&gt;"",IF(AND(AX426:AX427&lt;&gt;"IE",AQ428&lt;&gt;0,AS428&lt;&gt;""),IF(IFERROR((AQ428/AS428),0) &lt;=1,IFERROR(AQ428/AS428,""),1),""),"")</f>
        <v/>
      </c>
      <c r="AY428" s="46"/>
      <c r="AZ428" s="57"/>
    </row>
    <row r="429" spans="1:52" ht="15.5" x14ac:dyDescent="0.35">
      <c r="A429" s="51">
        <f t="shared" si="109"/>
        <v>1</v>
      </c>
      <c r="B429" s="52"/>
      <c r="C429" s="52"/>
      <c r="D429" s="29" t="str">
        <f>IFERROR(
IF(AND(OR(Planilla!B429="C",Planilla!B429="c"), VLOOKUP(E429,[1]Diccionario!B:N,13,0)="C"), "OK",IF(AND(OR(Planilla!B429="C",Planilla!B429="c"), OR(VLOOKUP(E429,[1]Diccionario!B:N,13,0)="B", VLOOKUP(E429,[1]Diccionario!B:N,13,0)="A")), "DEFICIT",IF(
AND(OR(Planilla!B429="B", Planilla!B429="BPAL"), VLOOKUP(E429,[1]Diccionario!B:N,13,0)="B"), "OK",IF(AND(OR(Planilla!B429="B", Planilla!B429="BPAL"), VLOOKUP(E429,[1]Diccionario!B:N,13,0)="A"), "DEFICIT",IF(AND(OR(Planilla!B429="B", Planilla!B429="BPAL"), VLOOKUP(E429,[1]Diccionario!B:N,13,0)="C"), "SOBREOFERTA",IF(AND(Planilla!B429="A", VLOOKUP(E429,[1]Diccionario!B:N,13,0)="A"), "OK",IF(
AND(Planilla!B429="A", OR(VLOOKUP(E429,[1]Diccionario!B:N,13,0)="B", VLOOKUP(E429,[1]Diccionario!B:N,13,0)="C")), "SOBREOFERTA",""
))))))),"")</f>
        <v/>
      </c>
      <c r="E429" s="48"/>
      <c r="F429" s="53"/>
      <c r="G429" s="54"/>
      <c r="H429" s="55" t="str">
        <f t="shared" si="102"/>
        <v/>
      </c>
      <c r="I429" s="35"/>
      <c r="J429" s="34" t="e">
        <f>IF(A429&lt;&gt;"",HLOOKUP(VALUE(TEXT(G429,"h:mm:ss")),IF($C$6="Laboral",[1]Input!$A$4:$Y$227,IF($C$6="Sábado",[1]Input!$A$231:$Y$452,[1]Input!$A$456:$Y$656)),VLOOKUP($C$4,[1]Input!$AG$2:$AI$99,3,0)+IF(C$5="Ida",0,1),1),"")</f>
        <v>#N/A</v>
      </c>
      <c r="K429" s="34" t="str">
        <f>IF(A430&lt;&gt;A429,AVERAGEIF(A$9:A429,A429,J$13:J429),"")</f>
        <v/>
      </c>
      <c r="L429" s="35" t="str">
        <f>IFERROR(IF(A430&lt;&gt;A429,AVERAGEIF(A$9:A429,A429,S$13:S429),""),"")</f>
        <v/>
      </c>
      <c r="M429" s="35" t="str">
        <f>IFERROR(IF(A430&lt;&gt;A429,AVERAGEIF(A$9:A429,A429,T$8:T429),""),"")</f>
        <v/>
      </c>
      <c r="N429" s="35" t="str" cm="1">
        <f t="array" ref="N429">IFERROR(IF(A430&lt;&gt;A429,_xlfn.STDEV.P(IF(A$9:A429=A429,T$7:T429)),""),"")</f>
        <v/>
      </c>
      <c r="O429" s="35" t="str" cm="1">
        <f t="array" ref="O429">IFERROR(IF(A430&lt;&gt;A429,_xlfn.STDEV.P(IF(A$9:A429=A429,S$7:S429)),""),"")</f>
        <v/>
      </c>
      <c r="P429" s="36" t="str">
        <f t="shared" si="95"/>
        <v/>
      </c>
      <c r="Q429" s="36" t="str">
        <f t="shared" si="96"/>
        <v/>
      </c>
      <c r="R429" s="36" t="str">
        <f t="shared" si="103"/>
        <v/>
      </c>
      <c r="S429" s="37" t="str">
        <f t="shared" si="104"/>
        <v/>
      </c>
      <c r="T429" s="37" t="str">
        <f t="shared" si="97"/>
        <v/>
      </c>
      <c r="U429" s="54"/>
      <c r="V429" s="46"/>
      <c r="W429" s="39" t="str">
        <f t="shared" si="105"/>
        <v/>
      </c>
      <c r="X429" s="38"/>
      <c r="Y429" s="48"/>
      <c r="AB429" s="56">
        <f t="shared" si="106"/>
        <v>1</v>
      </c>
      <c r="AC429" s="52"/>
      <c r="AD429" s="52"/>
      <c r="AE429" s="29" t="str">
        <f>IFERROR(
IF(AND(OR(AC429="C",AC429="c"), VLOOKUP(AF429,[1]Diccionario!B:N,13,0)="C"), "OK",IF(AND(OR(AC429="C",AC429="c"), OR(VLOOKUP(AF429,[1]Diccionario!B:N,13,0)="B", VLOOKUP(AF429,[1]Diccionario!B:N,13,0)="A")), "DEFICIT",IF(
AND(OR(AC429="B", AC429="BPAL"), VLOOKUP(AF429,[1]Diccionario!B:N,13,0)="B"), "OK",IF(AND(OR(AC429="B", AC429="BPAL"), VLOOKUP(AF429,[1]Diccionario!B:N,13,0)="A"), "DEFICIT",IF(AND(OR(AC429="B", AC429="BPAL"), VLOOKUP(AF429,[1]Diccionario!B:N,13,0)="C"), "SOBREOFERTA",IF(AND(AC429="A", VLOOKUP(AF429,[1]Diccionario!B:N,13,0)="A"), "OK",IF(
AND(AC429="A", OR(VLOOKUP(AF429,[1]Diccionario!B:N,13,0)="B", VLOOKUP(AF429,[1]Diccionario!B:N,13,0)="C")), "SOBREOFERTA",""
))))))),"")</f>
        <v/>
      </c>
      <c r="AF429" s="48"/>
      <c r="AG429" s="53"/>
      <c r="AH429" s="54"/>
      <c r="AI429" s="55" t="str">
        <f t="shared" si="107"/>
        <v/>
      </c>
      <c r="AJ429" s="46"/>
      <c r="AK429" s="34" t="e">
        <f>IF(AB429&lt;&gt;"",HLOOKUP(VALUE(TEXT(AH429,"h:mm:ss")),IF($C$6="Laboral",[1]Input!$A$4:$Y$227,IF($C$6="Sábado",[1]Input!$A$231:$Y$452,[1]Input!$A$456:$Y$656)),VLOOKUP($C$4,[1]Input!$AG$2:$AI$99,3,0)+IF(AD$5="Ida",0,1),1),"")</f>
        <v>#N/A</v>
      </c>
      <c r="AL429" s="34" t="str">
        <f>IF(AB430&lt;&gt;AB429,AVERAGEIF(AB$9:AB429,AB429,AK$9:AK429),"")</f>
        <v/>
      </c>
      <c r="AM429" s="35" t="str">
        <f>IFERROR(IF(AB430&lt;&gt;AB429,AVERAGEIF(AB$9:AB429,AB429,AT$9:AT429),""),"")</f>
        <v/>
      </c>
      <c r="AN429" s="35" t="str">
        <f>IFERROR(IF(AB430&lt;&gt;AB429,AVERAGEIF(AB$9:AB429,AB429,AU$9:AU429),""),"")</f>
        <v/>
      </c>
      <c r="AO429" s="35" t="str" cm="1">
        <f t="array" ref="AO429">IFERROR(IF(AB430&lt;&gt;AB429,_xlfn.STDEV.P(IF(AB$9:AB429=AB429,AU$9:AU429)),""),"")</f>
        <v/>
      </c>
      <c r="AP429" s="35" t="str" cm="1">
        <f t="array" ref="AP429">IFERROR(IF(AB430&lt;&gt;AB429,_xlfn.STDEV.P(IF(AB$9:AB429=AB429,AT$9:AT429)),""),"")</f>
        <v/>
      </c>
      <c r="AQ429" s="36" t="str">
        <f t="shared" si="98"/>
        <v/>
      </c>
      <c r="AR429" s="36" t="str">
        <f t="shared" si="99"/>
        <v/>
      </c>
      <c r="AS429" s="36" t="str">
        <f t="shared" si="108"/>
        <v/>
      </c>
      <c r="AT429" s="37" t="str">
        <f t="shared" si="100"/>
        <v/>
      </c>
      <c r="AU429" s="37" t="str">
        <f t="shared" si="101"/>
        <v/>
      </c>
      <c r="AV429" s="54"/>
      <c r="AW429" s="46"/>
      <c r="AX429" s="39" t="str" cm="1">
        <f t="array" ref="AX429">IF(AH429&lt;&gt;"",IF(AND(AX427:AX428&lt;&gt;"IE",AQ429&lt;&gt;0,AS429&lt;&gt;""),IF(IFERROR((AQ429/AS429),0) &lt;=1,IFERROR(AQ429/AS429,""),1),""),"")</f>
        <v/>
      </c>
      <c r="AY429" s="46"/>
      <c r="AZ429" s="57"/>
    </row>
    <row r="430" spans="1:52" ht="15.5" x14ac:dyDescent="0.35">
      <c r="A430" s="51">
        <f t="shared" si="109"/>
        <v>1</v>
      </c>
      <c r="B430" s="52"/>
      <c r="C430" s="52"/>
      <c r="D430" s="29" t="str">
        <f>IFERROR(
IF(AND(OR(Planilla!B430="C",Planilla!B430="c"), VLOOKUP(E430,[1]Diccionario!B:N,13,0)="C"), "OK",IF(AND(OR(Planilla!B430="C",Planilla!B430="c"), OR(VLOOKUP(E430,[1]Diccionario!B:N,13,0)="B", VLOOKUP(E430,[1]Diccionario!B:N,13,0)="A")), "DEFICIT",IF(
AND(OR(Planilla!B430="B", Planilla!B430="BPAL"), VLOOKUP(E430,[1]Diccionario!B:N,13,0)="B"), "OK",IF(AND(OR(Planilla!B430="B", Planilla!B430="BPAL"), VLOOKUP(E430,[1]Diccionario!B:N,13,0)="A"), "DEFICIT",IF(AND(OR(Planilla!B430="B", Planilla!B430="BPAL"), VLOOKUP(E430,[1]Diccionario!B:N,13,0)="C"), "SOBREOFERTA",IF(AND(Planilla!B430="A", VLOOKUP(E430,[1]Diccionario!B:N,13,0)="A"), "OK",IF(
AND(Planilla!B430="A", OR(VLOOKUP(E430,[1]Diccionario!B:N,13,0)="B", VLOOKUP(E430,[1]Diccionario!B:N,13,0)="C")), "SOBREOFERTA",""
))))))),"")</f>
        <v/>
      </c>
      <c r="E430" s="48"/>
      <c r="F430" s="53"/>
      <c r="G430" s="54"/>
      <c r="H430" s="55" t="str">
        <f t="shared" si="102"/>
        <v/>
      </c>
      <c r="I430" s="35"/>
      <c r="J430" s="34" t="e">
        <f>IF(A430&lt;&gt;"",HLOOKUP(VALUE(TEXT(G430,"h:mm:ss")),IF($C$6="Laboral",[1]Input!$A$4:$Y$227,IF($C$6="Sábado",[1]Input!$A$231:$Y$452,[1]Input!$A$456:$Y$656)),VLOOKUP($C$4,[1]Input!$AG$2:$AI$99,3,0)+IF(C$5="Ida",0,1),1),"")</f>
        <v>#N/A</v>
      </c>
      <c r="K430" s="34" t="str">
        <f>IF(A431&lt;&gt;A430,AVERAGEIF(A$9:A430,A430,J$13:J430),"")</f>
        <v/>
      </c>
      <c r="L430" s="35" t="str">
        <f>IFERROR(IF(A431&lt;&gt;A430,AVERAGEIF(A$9:A430,A430,S$13:S430),""),"")</f>
        <v/>
      </c>
      <c r="M430" s="35" t="str">
        <f>IFERROR(IF(A431&lt;&gt;A430,AVERAGEIF(A$9:A430,A430,T$8:T430),""),"")</f>
        <v/>
      </c>
      <c r="N430" s="35" t="str" cm="1">
        <f t="array" ref="N430">IFERROR(IF(A431&lt;&gt;A430,_xlfn.STDEV.P(IF(A$9:A430=A430,T$7:T430)),""),"")</f>
        <v/>
      </c>
      <c r="O430" s="35" t="str" cm="1">
        <f t="array" ref="O430">IFERROR(IF(A431&lt;&gt;A430,_xlfn.STDEV.P(IF(A$9:A430=A430,S$7:S430)),""),"")</f>
        <v/>
      </c>
      <c r="P430" s="36" t="str">
        <f t="shared" si="95"/>
        <v/>
      </c>
      <c r="Q430" s="36" t="str">
        <f t="shared" si="96"/>
        <v/>
      </c>
      <c r="R430" s="36" t="str">
        <f t="shared" si="103"/>
        <v/>
      </c>
      <c r="S430" s="37" t="str">
        <f t="shared" si="104"/>
        <v/>
      </c>
      <c r="T430" s="37" t="str">
        <f t="shared" si="97"/>
        <v/>
      </c>
      <c r="U430" s="54"/>
      <c r="V430" s="46"/>
      <c r="W430" s="39" t="str">
        <f t="shared" si="105"/>
        <v/>
      </c>
      <c r="X430" s="38"/>
      <c r="Y430" s="48"/>
      <c r="AB430" s="56">
        <f t="shared" si="106"/>
        <v>1</v>
      </c>
      <c r="AC430" s="52"/>
      <c r="AD430" s="52"/>
      <c r="AE430" s="29" t="str">
        <f>IFERROR(
IF(AND(OR(AC430="C",AC430="c"), VLOOKUP(AF430,[1]Diccionario!B:N,13,0)="C"), "OK",IF(AND(OR(AC430="C",AC430="c"), OR(VLOOKUP(AF430,[1]Diccionario!B:N,13,0)="B", VLOOKUP(AF430,[1]Diccionario!B:N,13,0)="A")), "DEFICIT",IF(
AND(OR(AC430="B", AC430="BPAL"), VLOOKUP(AF430,[1]Diccionario!B:N,13,0)="B"), "OK",IF(AND(OR(AC430="B", AC430="BPAL"), VLOOKUP(AF430,[1]Diccionario!B:N,13,0)="A"), "DEFICIT",IF(AND(OR(AC430="B", AC430="BPAL"), VLOOKUP(AF430,[1]Diccionario!B:N,13,0)="C"), "SOBREOFERTA",IF(AND(AC430="A", VLOOKUP(AF430,[1]Diccionario!B:N,13,0)="A"), "OK",IF(
AND(AC430="A", OR(VLOOKUP(AF430,[1]Diccionario!B:N,13,0)="B", VLOOKUP(AF430,[1]Diccionario!B:N,13,0)="C")), "SOBREOFERTA",""
))))))),"")</f>
        <v/>
      </c>
      <c r="AF430" s="48"/>
      <c r="AG430" s="53"/>
      <c r="AH430" s="54"/>
      <c r="AI430" s="55" t="str">
        <f t="shared" si="107"/>
        <v/>
      </c>
      <c r="AJ430" s="46"/>
      <c r="AK430" s="34" t="e">
        <f>IF(AB430&lt;&gt;"",HLOOKUP(VALUE(TEXT(AH430,"h:mm:ss")),IF($C$6="Laboral",[1]Input!$A$4:$Y$227,IF($C$6="Sábado",[1]Input!$A$231:$Y$452,[1]Input!$A$456:$Y$656)),VLOOKUP($C$4,[1]Input!$AG$2:$AI$99,3,0)+IF(AD$5="Ida",0,1),1),"")</f>
        <v>#N/A</v>
      </c>
      <c r="AL430" s="34" t="str">
        <f>IF(AB431&lt;&gt;AB430,AVERAGEIF(AB$9:AB430,AB430,AK$9:AK430),"")</f>
        <v/>
      </c>
      <c r="AM430" s="35" t="str">
        <f>IFERROR(IF(AB431&lt;&gt;AB430,AVERAGEIF(AB$9:AB430,AB430,AT$9:AT430),""),"")</f>
        <v/>
      </c>
      <c r="AN430" s="35" t="str">
        <f>IFERROR(IF(AB431&lt;&gt;AB430,AVERAGEIF(AB$9:AB430,AB430,AU$9:AU430),""),"")</f>
        <v/>
      </c>
      <c r="AO430" s="35" t="str" cm="1">
        <f t="array" ref="AO430">IFERROR(IF(AB431&lt;&gt;AB430,_xlfn.STDEV.P(IF(AB$9:AB430=AB430,AU$9:AU430)),""),"")</f>
        <v/>
      </c>
      <c r="AP430" s="35" t="str" cm="1">
        <f t="array" ref="AP430">IFERROR(IF(AB431&lt;&gt;AB430,_xlfn.STDEV.P(IF(AB$9:AB430=AB430,AT$9:AT430)),""),"")</f>
        <v/>
      </c>
      <c r="AQ430" s="36" t="str">
        <f t="shared" si="98"/>
        <v/>
      </c>
      <c r="AR430" s="36" t="str">
        <f t="shared" si="99"/>
        <v/>
      </c>
      <c r="AS430" s="36" t="str">
        <f t="shared" si="108"/>
        <v/>
      </c>
      <c r="AT430" s="37" t="str">
        <f t="shared" si="100"/>
        <v/>
      </c>
      <c r="AU430" s="37" t="str">
        <f t="shared" si="101"/>
        <v/>
      </c>
      <c r="AV430" s="54"/>
      <c r="AW430" s="46"/>
      <c r="AX430" s="39" t="str" cm="1">
        <f t="array" ref="AX430">IF(AH430&lt;&gt;"",IF(AND(AX428:AX429&lt;&gt;"IE",AQ430&lt;&gt;0,AS430&lt;&gt;""),IF(IFERROR((AQ430/AS430),0) &lt;=1,IFERROR(AQ430/AS430,""),1),""),"")</f>
        <v/>
      </c>
      <c r="AY430" s="46"/>
      <c r="AZ430" s="57"/>
    </row>
    <row r="431" spans="1:52" ht="15.5" x14ac:dyDescent="0.35">
      <c r="A431" s="51">
        <f t="shared" si="109"/>
        <v>1</v>
      </c>
      <c r="B431" s="52"/>
      <c r="C431" s="52"/>
      <c r="D431" s="29" t="str">
        <f>IFERROR(
IF(AND(OR(Planilla!B431="C",Planilla!B431="c"), VLOOKUP(E431,[1]Diccionario!B:N,13,0)="C"), "OK",IF(AND(OR(Planilla!B431="C",Planilla!B431="c"), OR(VLOOKUP(E431,[1]Diccionario!B:N,13,0)="B", VLOOKUP(E431,[1]Diccionario!B:N,13,0)="A")), "DEFICIT",IF(
AND(OR(Planilla!B431="B", Planilla!B431="BPAL"), VLOOKUP(E431,[1]Diccionario!B:N,13,0)="B"), "OK",IF(AND(OR(Planilla!B431="B", Planilla!B431="BPAL"), VLOOKUP(E431,[1]Diccionario!B:N,13,0)="A"), "DEFICIT",IF(AND(OR(Planilla!B431="B", Planilla!B431="BPAL"), VLOOKUP(E431,[1]Diccionario!B:N,13,0)="C"), "SOBREOFERTA",IF(AND(Planilla!B431="A", VLOOKUP(E431,[1]Diccionario!B:N,13,0)="A"), "OK",IF(
AND(Planilla!B431="A", OR(VLOOKUP(E431,[1]Diccionario!B:N,13,0)="B", VLOOKUP(E431,[1]Diccionario!B:N,13,0)="C")), "SOBREOFERTA",""
))))))),"")</f>
        <v/>
      </c>
      <c r="E431" s="48"/>
      <c r="F431" s="53"/>
      <c r="G431" s="54"/>
      <c r="H431" s="55" t="str">
        <f t="shared" si="102"/>
        <v/>
      </c>
      <c r="I431" s="35"/>
      <c r="J431" s="34" t="e">
        <f>IF(A431&lt;&gt;"",HLOOKUP(VALUE(TEXT(G431,"h:mm:ss")),IF($C$6="Laboral",[1]Input!$A$4:$Y$227,IF($C$6="Sábado",[1]Input!$A$231:$Y$452,[1]Input!$A$456:$Y$656)),VLOOKUP($C$4,[1]Input!$AG$2:$AI$99,3,0)+IF(C$5="Ida",0,1),1),"")</f>
        <v>#N/A</v>
      </c>
      <c r="K431" s="34" t="str">
        <f>IF(A432&lt;&gt;A431,AVERAGEIF(A$9:A431,A431,J$13:J431),"")</f>
        <v/>
      </c>
      <c r="L431" s="35" t="str">
        <f>IFERROR(IF(A432&lt;&gt;A431,AVERAGEIF(A$9:A431,A431,S$13:S431),""),"")</f>
        <v/>
      </c>
      <c r="M431" s="35" t="str">
        <f>IFERROR(IF(A432&lt;&gt;A431,AVERAGEIF(A$9:A431,A431,T$8:T431),""),"")</f>
        <v/>
      </c>
      <c r="N431" s="35" t="str" cm="1">
        <f t="array" ref="N431">IFERROR(IF(A432&lt;&gt;A431,_xlfn.STDEV.P(IF(A$9:A431=A431,T$7:T431)),""),"")</f>
        <v/>
      </c>
      <c r="O431" s="35" t="str" cm="1">
        <f t="array" ref="O431">IFERROR(IF(A432&lt;&gt;A431,_xlfn.STDEV.P(IF(A$9:A431=A431,S$7:S431)),""),"")</f>
        <v/>
      </c>
      <c r="P431" s="36" t="str">
        <f t="shared" si="95"/>
        <v/>
      </c>
      <c r="Q431" s="36" t="str">
        <f t="shared" si="96"/>
        <v/>
      </c>
      <c r="R431" s="36" t="str">
        <f t="shared" si="103"/>
        <v/>
      </c>
      <c r="S431" s="37" t="str">
        <f t="shared" si="104"/>
        <v/>
      </c>
      <c r="T431" s="37" t="str">
        <f t="shared" si="97"/>
        <v/>
      </c>
      <c r="U431" s="54"/>
      <c r="V431" s="46"/>
      <c r="W431" s="39" t="str">
        <f t="shared" si="105"/>
        <v/>
      </c>
      <c r="X431" s="38"/>
      <c r="Y431" s="48"/>
      <c r="AB431" s="56">
        <f t="shared" si="106"/>
        <v>1</v>
      </c>
      <c r="AC431" s="52"/>
      <c r="AD431" s="52"/>
      <c r="AE431" s="29" t="str">
        <f>IFERROR(
IF(AND(OR(AC431="C",AC431="c"), VLOOKUP(AF431,[1]Diccionario!B:N,13,0)="C"), "OK",IF(AND(OR(AC431="C",AC431="c"), OR(VLOOKUP(AF431,[1]Diccionario!B:N,13,0)="B", VLOOKUP(AF431,[1]Diccionario!B:N,13,0)="A")), "DEFICIT",IF(
AND(OR(AC431="B", AC431="BPAL"), VLOOKUP(AF431,[1]Diccionario!B:N,13,0)="B"), "OK",IF(AND(OR(AC431="B", AC431="BPAL"), VLOOKUP(AF431,[1]Diccionario!B:N,13,0)="A"), "DEFICIT",IF(AND(OR(AC431="B", AC431="BPAL"), VLOOKUP(AF431,[1]Diccionario!B:N,13,0)="C"), "SOBREOFERTA",IF(AND(AC431="A", VLOOKUP(AF431,[1]Diccionario!B:N,13,0)="A"), "OK",IF(
AND(AC431="A", OR(VLOOKUP(AF431,[1]Diccionario!B:N,13,0)="B", VLOOKUP(AF431,[1]Diccionario!B:N,13,0)="C")), "SOBREOFERTA",""
))))))),"")</f>
        <v/>
      </c>
      <c r="AF431" s="48"/>
      <c r="AG431" s="53"/>
      <c r="AH431" s="54"/>
      <c r="AI431" s="55" t="str">
        <f t="shared" si="107"/>
        <v/>
      </c>
      <c r="AJ431" s="46"/>
      <c r="AK431" s="34" t="e">
        <f>IF(AB431&lt;&gt;"",HLOOKUP(VALUE(TEXT(AH431,"h:mm:ss")),IF($C$6="Laboral",[1]Input!$A$4:$Y$227,IF($C$6="Sábado",[1]Input!$A$231:$Y$452,[1]Input!$A$456:$Y$656)),VLOOKUP($C$4,[1]Input!$AG$2:$AI$99,3,0)+IF(AD$5="Ida",0,1),1),"")</f>
        <v>#N/A</v>
      </c>
      <c r="AL431" s="34" t="str">
        <f>IF(AB432&lt;&gt;AB431,AVERAGEIF(AB$9:AB431,AB431,AK$9:AK431),"")</f>
        <v/>
      </c>
      <c r="AM431" s="35" t="str">
        <f>IFERROR(IF(AB432&lt;&gt;AB431,AVERAGEIF(AB$9:AB431,AB431,AT$9:AT431),""),"")</f>
        <v/>
      </c>
      <c r="AN431" s="35" t="str">
        <f>IFERROR(IF(AB432&lt;&gt;AB431,AVERAGEIF(AB$9:AB431,AB431,AU$9:AU431),""),"")</f>
        <v/>
      </c>
      <c r="AO431" s="35" t="str" cm="1">
        <f t="array" ref="AO431">IFERROR(IF(AB432&lt;&gt;AB431,_xlfn.STDEV.P(IF(AB$9:AB431=AB431,AU$9:AU431)),""),"")</f>
        <v/>
      </c>
      <c r="AP431" s="35" t="str" cm="1">
        <f t="array" ref="AP431">IFERROR(IF(AB432&lt;&gt;AB431,_xlfn.STDEV.P(IF(AB$9:AB431=AB431,AT$9:AT431)),""),"")</f>
        <v/>
      </c>
      <c r="AQ431" s="36" t="str">
        <f t="shared" si="98"/>
        <v/>
      </c>
      <c r="AR431" s="36" t="str">
        <f t="shared" si="99"/>
        <v/>
      </c>
      <c r="AS431" s="36" t="str">
        <f t="shared" si="108"/>
        <v/>
      </c>
      <c r="AT431" s="37" t="str">
        <f t="shared" si="100"/>
        <v/>
      </c>
      <c r="AU431" s="37" t="str">
        <f t="shared" si="101"/>
        <v/>
      </c>
      <c r="AV431" s="54"/>
      <c r="AW431" s="46"/>
      <c r="AX431" s="39" t="str" cm="1">
        <f t="array" ref="AX431">IF(AH431&lt;&gt;"",IF(AND(AX429:AX430&lt;&gt;"IE",AQ431&lt;&gt;0,AS431&lt;&gt;""),IF(IFERROR((AQ431/AS431),0) &lt;=1,IFERROR(AQ431/AS431,""),1),""),"")</f>
        <v/>
      </c>
      <c r="AY431" s="46"/>
      <c r="AZ431" s="57"/>
    </row>
    <row r="432" spans="1:52" ht="15.5" x14ac:dyDescent="0.35">
      <c r="A432" s="51">
        <f t="shared" si="109"/>
        <v>1</v>
      </c>
      <c r="B432" s="52"/>
      <c r="C432" s="52"/>
      <c r="D432" s="29" t="str">
        <f>IFERROR(
IF(AND(OR(Planilla!B432="C",Planilla!B432="c"), VLOOKUP(E432,[1]Diccionario!B:N,13,0)="C"), "OK",IF(AND(OR(Planilla!B432="C",Planilla!B432="c"), OR(VLOOKUP(E432,[1]Diccionario!B:N,13,0)="B", VLOOKUP(E432,[1]Diccionario!B:N,13,0)="A")), "DEFICIT",IF(
AND(OR(Planilla!B432="B", Planilla!B432="BPAL"), VLOOKUP(E432,[1]Diccionario!B:N,13,0)="B"), "OK",IF(AND(OR(Planilla!B432="B", Planilla!B432="BPAL"), VLOOKUP(E432,[1]Diccionario!B:N,13,0)="A"), "DEFICIT",IF(AND(OR(Planilla!B432="B", Planilla!B432="BPAL"), VLOOKUP(E432,[1]Diccionario!B:N,13,0)="C"), "SOBREOFERTA",IF(AND(Planilla!B432="A", VLOOKUP(E432,[1]Diccionario!B:N,13,0)="A"), "OK",IF(
AND(Planilla!B432="A", OR(VLOOKUP(E432,[1]Diccionario!B:N,13,0)="B", VLOOKUP(E432,[1]Diccionario!B:N,13,0)="C")), "SOBREOFERTA",""
))))))),"")</f>
        <v/>
      </c>
      <c r="E432" s="48"/>
      <c r="F432" s="53"/>
      <c r="G432" s="54"/>
      <c r="H432" s="55" t="str">
        <f t="shared" si="102"/>
        <v/>
      </c>
      <c r="I432" s="35"/>
      <c r="J432" s="34" t="e">
        <f>IF(A432&lt;&gt;"",HLOOKUP(VALUE(TEXT(G432,"h:mm:ss")),IF($C$6="Laboral",[1]Input!$A$4:$Y$227,IF($C$6="Sábado",[1]Input!$A$231:$Y$452,[1]Input!$A$456:$Y$656)),VLOOKUP($C$4,[1]Input!$AG$2:$AI$99,3,0)+IF(C$5="Ida",0,1),1),"")</f>
        <v>#N/A</v>
      </c>
      <c r="K432" s="34" t="str">
        <f>IF(A433&lt;&gt;A432,AVERAGEIF(A$9:A432,A432,J$13:J432),"")</f>
        <v/>
      </c>
      <c r="L432" s="35" t="str">
        <f>IFERROR(IF(A433&lt;&gt;A432,AVERAGEIF(A$9:A432,A432,S$13:S432),""),"")</f>
        <v/>
      </c>
      <c r="M432" s="35" t="str">
        <f>IFERROR(IF(A433&lt;&gt;A432,AVERAGEIF(A$9:A432,A432,T$8:T432),""),"")</f>
        <v/>
      </c>
      <c r="N432" s="35" t="str" cm="1">
        <f t="array" ref="N432">IFERROR(IF(A433&lt;&gt;A432,_xlfn.STDEV.P(IF(A$9:A432=A432,T$7:T432)),""),"")</f>
        <v/>
      </c>
      <c r="O432" s="35" t="str" cm="1">
        <f t="array" ref="O432">IFERROR(IF(A433&lt;&gt;A432,_xlfn.STDEV.P(IF(A$9:A432=A432,S$7:S432)),""),"")</f>
        <v/>
      </c>
      <c r="P432" s="36" t="str">
        <f t="shared" si="95"/>
        <v/>
      </c>
      <c r="Q432" s="36" t="str">
        <f t="shared" si="96"/>
        <v/>
      </c>
      <c r="R432" s="36" t="str">
        <f t="shared" si="103"/>
        <v/>
      </c>
      <c r="S432" s="37" t="str">
        <f t="shared" si="104"/>
        <v/>
      </c>
      <c r="T432" s="37" t="str">
        <f t="shared" si="97"/>
        <v/>
      </c>
      <c r="U432" s="54"/>
      <c r="V432" s="46"/>
      <c r="W432" s="39" t="str">
        <f t="shared" si="105"/>
        <v/>
      </c>
      <c r="X432" s="38"/>
      <c r="Y432" s="48"/>
      <c r="AB432" s="56">
        <f t="shared" si="106"/>
        <v>1</v>
      </c>
      <c r="AC432" s="52"/>
      <c r="AD432" s="52"/>
      <c r="AE432" s="29" t="str">
        <f>IFERROR(
IF(AND(OR(AC432="C",AC432="c"), VLOOKUP(AF432,[1]Diccionario!B:N,13,0)="C"), "OK",IF(AND(OR(AC432="C",AC432="c"), OR(VLOOKUP(AF432,[1]Diccionario!B:N,13,0)="B", VLOOKUP(AF432,[1]Diccionario!B:N,13,0)="A")), "DEFICIT",IF(
AND(OR(AC432="B", AC432="BPAL"), VLOOKUP(AF432,[1]Diccionario!B:N,13,0)="B"), "OK",IF(AND(OR(AC432="B", AC432="BPAL"), VLOOKUP(AF432,[1]Diccionario!B:N,13,0)="A"), "DEFICIT",IF(AND(OR(AC432="B", AC432="BPAL"), VLOOKUP(AF432,[1]Diccionario!B:N,13,0)="C"), "SOBREOFERTA",IF(AND(AC432="A", VLOOKUP(AF432,[1]Diccionario!B:N,13,0)="A"), "OK",IF(
AND(AC432="A", OR(VLOOKUP(AF432,[1]Diccionario!B:N,13,0)="B", VLOOKUP(AF432,[1]Diccionario!B:N,13,0)="C")), "SOBREOFERTA",""
))))))),"")</f>
        <v/>
      </c>
      <c r="AF432" s="48"/>
      <c r="AG432" s="53"/>
      <c r="AH432" s="54"/>
      <c r="AI432" s="55" t="str">
        <f t="shared" si="107"/>
        <v/>
      </c>
      <c r="AJ432" s="46"/>
      <c r="AK432" s="34" t="e">
        <f>IF(AB432&lt;&gt;"",HLOOKUP(VALUE(TEXT(AH432,"h:mm:ss")),IF($C$6="Laboral",[1]Input!$A$4:$Y$227,IF($C$6="Sábado",[1]Input!$A$231:$Y$452,[1]Input!$A$456:$Y$656)),VLOOKUP($C$4,[1]Input!$AG$2:$AI$99,3,0)+IF(AD$5="Ida",0,1),1),"")</f>
        <v>#N/A</v>
      </c>
      <c r="AL432" s="34" t="str">
        <f>IF(AB433&lt;&gt;AB432,AVERAGEIF(AB$9:AB432,AB432,AK$9:AK432),"")</f>
        <v/>
      </c>
      <c r="AM432" s="35" t="str">
        <f>IFERROR(IF(AB433&lt;&gt;AB432,AVERAGEIF(AB$9:AB432,AB432,AT$9:AT432),""),"")</f>
        <v/>
      </c>
      <c r="AN432" s="35" t="str">
        <f>IFERROR(IF(AB433&lt;&gt;AB432,AVERAGEIF(AB$9:AB432,AB432,AU$9:AU432),""),"")</f>
        <v/>
      </c>
      <c r="AO432" s="35" t="str" cm="1">
        <f t="array" ref="AO432">IFERROR(IF(AB433&lt;&gt;AB432,_xlfn.STDEV.P(IF(AB$9:AB432=AB432,AU$9:AU432)),""),"")</f>
        <v/>
      </c>
      <c r="AP432" s="35" t="str" cm="1">
        <f t="array" ref="AP432">IFERROR(IF(AB433&lt;&gt;AB432,_xlfn.STDEV.P(IF(AB$9:AB432=AB432,AT$9:AT432)),""),"")</f>
        <v/>
      </c>
      <c r="AQ432" s="36" t="str">
        <f t="shared" si="98"/>
        <v/>
      </c>
      <c r="AR432" s="36" t="str">
        <f t="shared" si="99"/>
        <v/>
      </c>
      <c r="AS432" s="36" t="str">
        <f t="shared" si="108"/>
        <v/>
      </c>
      <c r="AT432" s="37" t="str">
        <f t="shared" si="100"/>
        <v/>
      </c>
      <c r="AU432" s="37" t="str">
        <f t="shared" si="101"/>
        <v/>
      </c>
      <c r="AV432" s="54"/>
      <c r="AW432" s="46"/>
      <c r="AX432" s="39" t="str" cm="1">
        <f t="array" ref="AX432">IF(AH432&lt;&gt;"",IF(AND(AX430:AX431&lt;&gt;"IE",AQ432&lt;&gt;0,AS432&lt;&gt;""),IF(IFERROR((AQ432/AS432),0) &lt;=1,IFERROR(AQ432/AS432,""),1),""),"")</f>
        <v/>
      </c>
      <c r="AY432" s="46"/>
      <c r="AZ432" s="57"/>
    </row>
    <row r="433" spans="1:52" ht="15.5" x14ac:dyDescent="0.35">
      <c r="A433" s="51">
        <f t="shared" si="109"/>
        <v>1</v>
      </c>
      <c r="B433" s="52"/>
      <c r="C433" s="52"/>
      <c r="D433" s="29" t="str">
        <f>IFERROR(
IF(AND(OR(Planilla!B433="C",Planilla!B433="c"), VLOOKUP(E433,[1]Diccionario!B:N,13,0)="C"), "OK",IF(AND(OR(Planilla!B433="C",Planilla!B433="c"), OR(VLOOKUP(E433,[1]Diccionario!B:N,13,0)="B", VLOOKUP(E433,[1]Diccionario!B:N,13,0)="A")), "DEFICIT",IF(
AND(OR(Planilla!B433="B", Planilla!B433="BPAL"), VLOOKUP(E433,[1]Diccionario!B:N,13,0)="B"), "OK",IF(AND(OR(Planilla!B433="B", Planilla!B433="BPAL"), VLOOKUP(E433,[1]Diccionario!B:N,13,0)="A"), "DEFICIT",IF(AND(OR(Planilla!B433="B", Planilla!B433="BPAL"), VLOOKUP(E433,[1]Diccionario!B:N,13,0)="C"), "SOBREOFERTA",IF(AND(Planilla!B433="A", VLOOKUP(E433,[1]Diccionario!B:N,13,0)="A"), "OK",IF(
AND(Planilla!B433="A", OR(VLOOKUP(E433,[1]Diccionario!B:N,13,0)="B", VLOOKUP(E433,[1]Diccionario!B:N,13,0)="C")), "SOBREOFERTA",""
))))))),"")</f>
        <v/>
      </c>
      <c r="E433" s="48"/>
      <c r="F433" s="53"/>
      <c r="G433" s="54"/>
      <c r="H433" s="55" t="str">
        <f t="shared" si="102"/>
        <v/>
      </c>
      <c r="I433" s="35"/>
      <c r="J433" s="34" t="e">
        <f>IF(A433&lt;&gt;"",HLOOKUP(VALUE(TEXT(G433,"h:mm:ss")),IF($C$6="Laboral",[1]Input!$A$4:$Y$227,IF($C$6="Sábado",[1]Input!$A$231:$Y$452,[1]Input!$A$456:$Y$656)),VLOOKUP($C$4,[1]Input!$AG$2:$AI$99,3,0)+IF(C$5="Ida",0,1),1),"")</f>
        <v>#N/A</v>
      </c>
      <c r="K433" s="34" t="str">
        <f>IF(A434&lt;&gt;A433,AVERAGEIF(A$9:A433,A433,J$13:J433),"")</f>
        <v/>
      </c>
      <c r="L433" s="35" t="str">
        <f>IFERROR(IF(A434&lt;&gt;A433,AVERAGEIF(A$9:A433,A433,S$13:S433),""),"")</f>
        <v/>
      </c>
      <c r="M433" s="35" t="str">
        <f>IFERROR(IF(A434&lt;&gt;A433,AVERAGEIF(A$9:A433,A433,T$8:T433),""),"")</f>
        <v/>
      </c>
      <c r="N433" s="35" t="str" cm="1">
        <f t="array" ref="N433">IFERROR(IF(A434&lt;&gt;A433,_xlfn.STDEV.P(IF(A$9:A433=A433,T$7:T433)),""),"")</f>
        <v/>
      </c>
      <c r="O433" s="35" t="str" cm="1">
        <f t="array" ref="O433">IFERROR(IF(A434&lt;&gt;A433,_xlfn.STDEV.P(IF(A$9:A433=A433,S$7:S433)),""),"")</f>
        <v/>
      </c>
      <c r="P433" s="36" t="str">
        <f t="shared" si="95"/>
        <v/>
      </c>
      <c r="Q433" s="36" t="str">
        <f t="shared" si="96"/>
        <v/>
      </c>
      <c r="R433" s="36" t="str">
        <f t="shared" si="103"/>
        <v/>
      </c>
      <c r="S433" s="37" t="str">
        <f t="shared" si="104"/>
        <v/>
      </c>
      <c r="T433" s="37" t="str">
        <f t="shared" si="97"/>
        <v/>
      </c>
      <c r="U433" s="54"/>
      <c r="V433" s="46"/>
      <c r="W433" s="39" t="str">
        <f t="shared" si="105"/>
        <v/>
      </c>
      <c r="X433" s="38"/>
      <c r="Y433" s="48"/>
      <c r="AB433" s="56">
        <f t="shared" si="106"/>
        <v>1</v>
      </c>
      <c r="AC433" s="52"/>
      <c r="AD433" s="52"/>
      <c r="AE433" s="29" t="str">
        <f>IFERROR(
IF(AND(OR(AC433="C",AC433="c"), VLOOKUP(AF433,[1]Diccionario!B:N,13,0)="C"), "OK",IF(AND(OR(AC433="C",AC433="c"), OR(VLOOKUP(AF433,[1]Diccionario!B:N,13,0)="B", VLOOKUP(AF433,[1]Diccionario!B:N,13,0)="A")), "DEFICIT",IF(
AND(OR(AC433="B", AC433="BPAL"), VLOOKUP(AF433,[1]Diccionario!B:N,13,0)="B"), "OK",IF(AND(OR(AC433="B", AC433="BPAL"), VLOOKUP(AF433,[1]Diccionario!B:N,13,0)="A"), "DEFICIT",IF(AND(OR(AC433="B", AC433="BPAL"), VLOOKUP(AF433,[1]Diccionario!B:N,13,0)="C"), "SOBREOFERTA",IF(AND(AC433="A", VLOOKUP(AF433,[1]Diccionario!B:N,13,0)="A"), "OK",IF(
AND(AC433="A", OR(VLOOKUP(AF433,[1]Diccionario!B:N,13,0)="B", VLOOKUP(AF433,[1]Diccionario!B:N,13,0)="C")), "SOBREOFERTA",""
))))))),"")</f>
        <v/>
      </c>
      <c r="AF433" s="48"/>
      <c r="AG433" s="53"/>
      <c r="AH433" s="54"/>
      <c r="AI433" s="55" t="str">
        <f t="shared" si="107"/>
        <v/>
      </c>
      <c r="AJ433" s="46"/>
      <c r="AK433" s="34" t="e">
        <f>IF(AB433&lt;&gt;"",HLOOKUP(VALUE(TEXT(AH433,"h:mm:ss")),IF($C$6="Laboral",[1]Input!$A$4:$Y$227,IF($C$6="Sábado",[1]Input!$A$231:$Y$452,[1]Input!$A$456:$Y$656)),VLOOKUP($C$4,[1]Input!$AG$2:$AI$99,3,0)+IF(AD$5="Ida",0,1),1),"")</f>
        <v>#N/A</v>
      </c>
      <c r="AL433" s="34" t="str">
        <f>IF(AB434&lt;&gt;AB433,AVERAGEIF(AB$9:AB433,AB433,AK$9:AK433),"")</f>
        <v/>
      </c>
      <c r="AM433" s="35" t="str">
        <f>IFERROR(IF(AB434&lt;&gt;AB433,AVERAGEIF(AB$9:AB433,AB433,AT$9:AT433),""),"")</f>
        <v/>
      </c>
      <c r="AN433" s="35" t="str">
        <f>IFERROR(IF(AB434&lt;&gt;AB433,AVERAGEIF(AB$9:AB433,AB433,AU$9:AU433),""),"")</f>
        <v/>
      </c>
      <c r="AO433" s="35" t="str" cm="1">
        <f t="array" ref="AO433">IFERROR(IF(AB434&lt;&gt;AB433,_xlfn.STDEV.P(IF(AB$9:AB433=AB433,AU$9:AU433)),""),"")</f>
        <v/>
      </c>
      <c r="AP433" s="35" t="str" cm="1">
        <f t="array" ref="AP433">IFERROR(IF(AB434&lt;&gt;AB433,_xlfn.STDEV.P(IF(AB$9:AB433=AB433,AT$9:AT433)),""),"")</f>
        <v/>
      </c>
      <c r="AQ433" s="36" t="str">
        <f t="shared" si="98"/>
        <v/>
      </c>
      <c r="AR433" s="36" t="str">
        <f t="shared" si="99"/>
        <v/>
      </c>
      <c r="AS433" s="36" t="str">
        <f t="shared" si="108"/>
        <v/>
      </c>
      <c r="AT433" s="37" t="str">
        <f t="shared" si="100"/>
        <v/>
      </c>
      <c r="AU433" s="37" t="str">
        <f t="shared" si="101"/>
        <v/>
      </c>
      <c r="AV433" s="54"/>
      <c r="AW433" s="46"/>
      <c r="AX433" s="39" t="str" cm="1">
        <f t="array" ref="AX433">IF(AH433&lt;&gt;"",IF(AND(AX431:AX432&lt;&gt;"IE",AQ433&lt;&gt;0,AS433&lt;&gt;""),IF(IFERROR((AQ433/AS433),0) &lt;=1,IFERROR(AQ433/AS433,""),1),""),"")</f>
        <v/>
      </c>
      <c r="AY433" s="46"/>
      <c r="AZ433" s="57"/>
    </row>
    <row r="434" spans="1:52" ht="15.5" x14ac:dyDescent="0.35">
      <c r="A434" s="51">
        <f t="shared" si="109"/>
        <v>1</v>
      </c>
      <c r="B434" s="52"/>
      <c r="C434" s="52"/>
      <c r="D434" s="29" t="str">
        <f>IFERROR(
IF(AND(OR(Planilla!B434="C",Planilla!B434="c"), VLOOKUP(E434,[1]Diccionario!B:N,13,0)="C"), "OK",IF(AND(OR(Planilla!B434="C",Planilla!B434="c"), OR(VLOOKUP(E434,[1]Diccionario!B:N,13,0)="B", VLOOKUP(E434,[1]Diccionario!B:N,13,0)="A")), "DEFICIT",IF(
AND(OR(Planilla!B434="B", Planilla!B434="BPAL"), VLOOKUP(E434,[1]Diccionario!B:N,13,0)="B"), "OK",IF(AND(OR(Planilla!B434="B", Planilla!B434="BPAL"), VLOOKUP(E434,[1]Diccionario!B:N,13,0)="A"), "DEFICIT",IF(AND(OR(Planilla!B434="B", Planilla!B434="BPAL"), VLOOKUP(E434,[1]Diccionario!B:N,13,0)="C"), "SOBREOFERTA",IF(AND(Planilla!B434="A", VLOOKUP(E434,[1]Diccionario!B:N,13,0)="A"), "OK",IF(
AND(Planilla!B434="A", OR(VLOOKUP(E434,[1]Diccionario!B:N,13,0)="B", VLOOKUP(E434,[1]Diccionario!B:N,13,0)="C")), "SOBREOFERTA",""
))))))),"")</f>
        <v/>
      </c>
      <c r="E434" s="48"/>
      <c r="F434" s="53"/>
      <c r="G434" s="54"/>
      <c r="H434" s="55" t="str">
        <f t="shared" si="102"/>
        <v/>
      </c>
      <c r="I434" s="35"/>
      <c r="J434" s="34" t="e">
        <f>IF(A434&lt;&gt;"",HLOOKUP(VALUE(TEXT(G434,"h:mm:ss")),IF($C$6="Laboral",[1]Input!$A$4:$Y$227,IF($C$6="Sábado",[1]Input!$A$231:$Y$452,[1]Input!$A$456:$Y$656)),VLOOKUP($C$4,[1]Input!$AG$2:$AI$99,3,0)+IF(C$5="Ida",0,1),1),"")</f>
        <v>#N/A</v>
      </c>
      <c r="K434" s="34" t="str">
        <f>IF(A435&lt;&gt;A434,AVERAGEIF(A$9:A434,A434,J$13:J434),"")</f>
        <v/>
      </c>
      <c r="L434" s="35" t="str">
        <f>IFERROR(IF(A435&lt;&gt;A434,AVERAGEIF(A$9:A434,A434,S$13:S434),""),"")</f>
        <v/>
      </c>
      <c r="M434" s="35" t="str">
        <f>IFERROR(IF(A435&lt;&gt;A434,AVERAGEIF(A$9:A434,A434,T$8:T434),""),"")</f>
        <v/>
      </c>
      <c r="N434" s="35" t="str" cm="1">
        <f t="array" ref="N434">IFERROR(IF(A435&lt;&gt;A434,_xlfn.STDEV.P(IF(A$9:A434=A434,T$7:T434)),""),"")</f>
        <v/>
      </c>
      <c r="O434" s="35" t="str" cm="1">
        <f t="array" ref="O434">IFERROR(IF(A435&lt;&gt;A434,_xlfn.STDEV.P(IF(A$9:A434=A434,S$7:S434)),""),"")</f>
        <v/>
      </c>
      <c r="P434" s="36" t="str">
        <f t="shared" si="95"/>
        <v/>
      </c>
      <c r="Q434" s="36" t="str">
        <f t="shared" si="96"/>
        <v/>
      </c>
      <c r="R434" s="36" t="str">
        <f t="shared" si="103"/>
        <v/>
      </c>
      <c r="S434" s="37" t="str">
        <f t="shared" si="104"/>
        <v/>
      </c>
      <c r="T434" s="37" t="str">
        <f t="shared" si="97"/>
        <v/>
      </c>
      <c r="U434" s="54"/>
      <c r="V434" s="46"/>
      <c r="W434" s="39" t="str">
        <f t="shared" si="105"/>
        <v/>
      </c>
      <c r="X434" s="38"/>
      <c r="Y434" s="48"/>
      <c r="AB434" s="56">
        <f t="shared" si="106"/>
        <v>1</v>
      </c>
      <c r="AC434" s="52"/>
      <c r="AD434" s="52"/>
      <c r="AE434" s="29" t="str">
        <f>IFERROR(
IF(AND(OR(AC434="C",AC434="c"), VLOOKUP(AF434,[1]Diccionario!B:N,13,0)="C"), "OK",IF(AND(OR(AC434="C",AC434="c"), OR(VLOOKUP(AF434,[1]Diccionario!B:N,13,0)="B", VLOOKUP(AF434,[1]Diccionario!B:N,13,0)="A")), "DEFICIT",IF(
AND(OR(AC434="B", AC434="BPAL"), VLOOKUP(AF434,[1]Diccionario!B:N,13,0)="B"), "OK",IF(AND(OR(AC434="B", AC434="BPAL"), VLOOKUP(AF434,[1]Diccionario!B:N,13,0)="A"), "DEFICIT",IF(AND(OR(AC434="B", AC434="BPAL"), VLOOKUP(AF434,[1]Diccionario!B:N,13,0)="C"), "SOBREOFERTA",IF(AND(AC434="A", VLOOKUP(AF434,[1]Diccionario!B:N,13,0)="A"), "OK",IF(
AND(AC434="A", OR(VLOOKUP(AF434,[1]Diccionario!B:N,13,0)="B", VLOOKUP(AF434,[1]Diccionario!B:N,13,0)="C")), "SOBREOFERTA",""
))))))),"")</f>
        <v/>
      </c>
      <c r="AF434" s="48"/>
      <c r="AG434" s="53"/>
      <c r="AH434" s="54"/>
      <c r="AI434" s="55" t="str">
        <f t="shared" si="107"/>
        <v/>
      </c>
      <c r="AJ434" s="46"/>
      <c r="AK434" s="34" t="e">
        <f>IF(AB434&lt;&gt;"",HLOOKUP(VALUE(TEXT(AH434,"h:mm:ss")),IF($C$6="Laboral",[1]Input!$A$4:$Y$227,IF($C$6="Sábado",[1]Input!$A$231:$Y$452,[1]Input!$A$456:$Y$656)),VLOOKUP($C$4,[1]Input!$AG$2:$AI$99,3,0)+IF(AD$5="Ida",0,1),1),"")</f>
        <v>#N/A</v>
      </c>
      <c r="AL434" s="34" t="str">
        <f>IF(AB435&lt;&gt;AB434,AVERAGEIF(AB$9:AB434,AB434,AK$9:AK434),"")</f>
        <v/>
      </c>
      <c r="AM434" s="35" t="str">
        <f>IFERROR(IF(AB435&lt;&gt;AB434,AVERAGEIF(AB$9:AB434,AB434,AT$9:AT434),""),"")</f>
        <v/>
      </c>
      <c r="AN434" s="35" t="str">
        <f>IFERROR(IF(AB435&lt;&gt;AB434,AVERAGEIF(AB$9:AB434,AB434,AU$9:AU434),""),"")</f>
        <v/>
      </c>
      <c r="AO434" s="35" t="str" cm="1">
        <f t="array" ref="AO434">IFERROR(IF(AB435&lt;&gt;AB434,_xlfn.STDEV.P(IF(AB$9:AB434=AB434,AU$9:AU434)),""),"")</f>
        <v/>
      </c>
      <c r="AP434" s="35" t="str" cm="1">
        <f t="array" ref="AP434">IFERROR(IF(AB435&lt;&gt;AB434,_xlfn.STDEV.P(IF(AB$9:AB434=AB434,AT$9:AT434)),""),"")</f>
        <v/>
      </c>
      <c r="AQ434" s="36" t="str">
        <f t="shared" si="98"/>
        <v/>
      </c>
      <c r="AR434" s="36" t="str">
        <f t="shared" si="99"/>
        <v/>
      </c>
      <c r="AS434" s="36" t="str">
        <f t="shared" si="108"/>
        <v/>
      </c>
      <c r="AT434" s="37" t="str">
        <f t="shared" si="100"/>
        <v/>
      </c>
      <c r="AU434" s="37" t="str">
        <f t="shared" si="101"/>
        <v/>
      </c>
      <c r="AV434" s="54"/>
      <c r="AW434" s="46"/>
      <c r="AX434" s="39" t="str" cm="1">
        <f t="array" ref="AX434">IF(AH434&lt;&gt;"",IF(AND(AX432:AX433&lt;&gt;"IE",AQ434&lt;&gt;0,AS434&lt;&gt;""),IF(IFERROR((AQ434/AS434),0) &lt;=1,IFERROR(AQ434/AS434,""),1),""),"")</f>
        <v/>
      </c>
      <c r="AY434" s="46"/>
      <c r="AZ434" s="57"/>
    </row>
    <row r="435" spans="1:52" ht="15.5" x14ac:dyDescent="0.35">
      <c r="A435" s="51">
        <f t="shared" si="109"/>
        <v>1</v>
      </c>
      <c r="B435" s="52"/>
      <c r="C435" s="52"/>
      <c r="D435" s="29" t="str">
        <f>IFERROR(
IF(AND(OR(Planilla!B435="C",Planilla!B435="c"), VLOOKUP(E435,[1]Diccionario!B:N,13,0)="C"), "OK",IF(AND(OR(Planilla!B435="C",Planilla!B435="c"), OR(VLOOKUP(E435,[1]Diccionario!B:N,13,0)="B", VLOOKUP(E435,[1]Diccionario!B:N,13,0)="A")), "DEFICIT",IF(
AND(OR(Planilla!B435="B", Planilla!B435="BPAL"), VLOOKUP(E435,[1]Diccionario!B:N,13,0)="B"), "OK",IF(AND(OR(Planilla!B435="B", Planilla!B435="BPAL"), VLOOKUP(E435,[1]Diccionario!B:N,13,0)="A"), "DEFICIT",IF(AND(OR(Planilla!B435="B", Planilla!B435="BPAL"), VLOOKUP(E435,[1]Diccionario!B:N,13,0)="C"), "SOBREOFERTA",IF(AND(Planilla!B435="A", VLOOKUP(E435,[1]Diccionario!B:N,13,0)="A"), "OK",IF(
AND(Planilla!B435="A", OR(VLOOKUP(E435,[1]Diccionario!B:N,13,0)="B", VLOOKUP(E435,[1]Diccionario!B:N,13,0)="C")), "SOBREOFERTA",""
))))))),"")</f>
        <v/>
      </c>
      <c r="E435" s="48"/>
      <c r="F435" s="53"/>
      <c r="G435" s="54"/>
      <c r="H435" s="55" t="str">
        <f t="shared" si="102"/>
        <v/>
      </c>
      <c r="I435" s="35"/>
      <c r="J435" s="34" t="e">
        <f>IF(A435&lt;&gt;"",HLOOKUP(VALUE(TEXT(G435,"h:mm:ss")),IF($C$6="Laboral",[1]Input!$A$4:$Y$227,IF($C$6="Sábado",[1]Input!$A$231:$Y$452,[1]Input!$A$456:$Y$656)),VLOOKUP($C$4,[1]Input!$AG$2:$AI$99,3,0)+IF(C$5="Ida",0,1),1),"")</f>
        <v>#N/A</v>
      </c>
      <c r="K435" s="34" t="str">
        <f>IF(A436&lt;&gt;A435,AVERAGEIF(A$9:A435,A435,J$13:J435),"")</f>
        <v/>
      </c>
      <c r="L435" s="35" t="str">
        <f>IFERROR(IF(A436&lt;&gt;A435,AVERAGEIF(A$9:A435,A435,S$13:S435),""),"")</f>
        <v/>
      </c>
      <c r="M435" s="35" t="str">
        <f>IFERROR(IF(A436&lt;&gt;A435,AVERAGEIF(A$9:A435,A435,T$8:T435),""),"")</f>
        <v/>
      </c>
      <c r="N435" s="35" t="str" cm="1">
        <f t="array" ref="N435">IFERROR(IF(A436&lt;&gt;A435,_xlfn.STDEV.P(IF(A$9:A435=A435,T$7:T435)),""),"")</f>
        <v/>
      </c>
      <c r="O435" s="35" t="str" cm="1">
        <f t="array" ref="O435">IFERROR(IF(A436&lt;&gt;A435,_xlfn.STDEV.P(IF(A$9:A435=A435,S$7:S435)),""),"")</f>
        <v/>
      </c>
      <c r="P435" s="36" t="str">
        <f t="shared" si="95"/>
        <v/>
      </c>
      <c r="Q435" s="36" t="str">
        <f t="shared" si="96"/>
        <v/>
      </c>
      <c r="R435" s="36" t="str">
        <f t="shared" si="103"/>
        <v/>
      </c>
      <c r="S435" s="37" t="str">
        <f t="shared" si="104"/>
        <v/>
      </c>
      <c r="T435" s="37" t="str">
        <f t="shared" si="97"/>
        <v/>
      </c>
      <c r="U435" s="54"/>
      <c r="V435" s="46"/>
      <c r="W435" s="39" t="str">
        <f t="shared" si="105"/>
        <v/>
      </c>
      <c r="X435" s="38"/>
      <c r="Y435" s="48"/>
      <c r="AB435" s="56">
        <f t="shared" si="106"/>
        <v>1</v>
      </c>
      <c r="AC435" s="52"/>
      <c r="AD435" s="52"/>
      <c r="AE435" s="29" t="str">
        <f>IFERROR(
IF(AND(OR(AC435="C",AC435="c"), VLOOKUP(AF435,[1]Diccionario!B:N,13,0)="C"), "OK",IF(AND(OR(AC435="C",AC435="c"), OR(VLOOKUP(AF435,[1]Diccionario!B:N,13,0)="B", VLOOKUP(AF435,[1]Diccionario!B:N,13,0)="A")), "DEFICIT",IF(
AND(OR(AC435="B", AC435="BPAL"), VLOOKUP(AF435,[1]Diccionario!B:N,13,0)="B"), "OK",IF(AND(OR(AC435="B", AC435="BPAL"), VLOOKUP(AF435,[1]Diccionario!B:N,13,0)="A"), "DEFICIT",IF(AND(OR(AC435="B", AC435="BPAL"), VLOOKUP(AF435,[1]Diccionario!B:N,13,0)="C"), "SOBREOFERTA",IF(AND(AC435="A", VLOOKUP(AF435,[1]Diccionario!B:N,13,0)="A"), "OK",IF(
AND(AC435="A", OR(VLOOKUP(AF435,[1]Diccionario!B:N,13,0)="B", VLOOKUP(AF435,[1]Diccionario!B:N,13,0)="C")), "SOBREOFERTA",""
))))))),"")</f>
        <v/>
      </c>
      <c r="AF435" s="48"/>
      <c r="AG435" s="53"/>
      <c r="AH435" s="54"/>
      <c r="AI435" s="55" t="str">
        <f t="shared" si="107"/>
        <v/>
      </c>
      <c r="AJ435" s="46"/>
      <c r="AK435" s="34" t="e">
        <f>IF(AB435&lt;&gt;"",HLOOKUP(VALUE(TEXT(AH435,"h:mm:ss")),IF($C$6="Laboral",[1]Input!$A$4:$Y$227,IF($C$6="Sábado",[1]Input!$A$231:$Y$452,[1]Input!$A$456:$Y$656)),VLOOKUP($C$4,[1]Input!$AG$2:$AI$99,3,0)+IF(AD$5="Ida",0,1),1),"")</f>
        <v>#N/A</v>
      </c>
      <c r="AL435" s="34" t="str">
        <f>IF(AB436&lt;&gt;AB435,AVERAGEIF(AB$9:AB435,AB435,AK$9:AK435),"")</f>
        <v/>
      </c>
      <c r="AM435" s="35" t="str">
        <f>IFERROR(IF(AB436&lt;&gt;AB435,AVERAGEIF(AB$9:AB435,AB435,AT$9:AT435),""),"")</f>
        <v/>
      </c>
      <c r="AN435" s="35" t="str">
        <f>IFERROR(IF(AB436&lt;&gt;AB435,AVERAGEIF(AB$9:AB435,AB435,AU$9:AU435),""),"")</f>
        <v/>
      </c>
      <c r="AO435" s="35" t="str" cm="1">
        <f t="array" ref="AO435">IFERROR(IF(AB436&lt;&gt;AB435,_xlfn.STDEV.P(IF(AB$9:AB435=AB435,AU$9:AU435)),""),"")</f>
        <v/>
      </c>
      <c r="AP435" s="35" t="str" cm="1">
        <f t="array" ref="AP435">IFERROR(IF(AB436&lt;&gt;AB435,_xlfn.STDEV.P(IF(AB$9:AB435=AB435,AT$9:AT435)),""),"")</f>
        <v/>
      </c>
      <c r="AQ435" s="36" t="str">
        <f t="shared" si="98"/>
        <v/>
      </c>
      <c r="AR435" s="36" t="str">
        <f t="shared" si="99"/>
        <v/>
      </c>
      <c r="AS435" s="36" t="str">
        <f t="shared" si="108"/>
        <v/>
      </c>
      <c r="AT435" s="37" t="str">
        <f t="shared" si="100"/>
        <v/>
      </c>
      <c r="AU435" s="37" t="str">
        <f t="shared" si="101"/>
        <v/>
      </c>
      <c r="AV435" s="54"/>
      <c r="AW435" s="46"/>
      <c r="AX435" s="39" t="str" cm="1">
        <f t="array" ref="AX435">IF(AH435&lt;&gt;"",IF(AND(AX433:AX434&lt;&gt;"IE",AQ435&lt;&gt;0,AS435&lt;&gt;""),IF(IFERROR((AQ435/AS435),0) &lt;=1,IFERROR(AQ435/AS435,""),1),""),"")</f>
        <v/>
      </c>
      <c r="AY435" s="46"/>
      <c r="AZ435" s="57"/>
    </row>
    <row r="436" spans="1:52" ht="15.5" x14ac:dyDescent="0.35">
      <c r="A436" s="51">
        <f t="shared" si="109"/>
        <v>1</v>
      </c>
      <c r="B436" s="52"/>
      <c r="C436" s="52"/>
      <c r="D436" s="29" t="str">
        <f>IFERROR(
IF(AND(OR(Planilla!B436="C",Planilla!B436="c"), VLOOKUP(E436,[1]Diccionario!B:N,13,0)="C"), "OK",IF(AND(OR(Planilla!B436="C",Planilla!B436="c"), OR(VLOOKUP(E436,[1]Diccionario!B:N,13,0)="B", VLOOKUP(E436,[1]Diccionario!B:N,13,0)="A")), "DEFICIT",IF(
AND(OR(Planilla!B436="B", Planilla!B436="BPAL"), VLOOKUP(E436,[1]Diccionario!B:N,13,0)="B"), "OK",IF(AND(OR(Planilla!B436="B", Planilla!B436="BPAL"), VLOOKUP(E436,[1]Diccionario!B:N,13,0)="A"), "DEFICIT",IF(AND(OR(Planilla!B436="B", Planilla!B436="BPAL"), VLOOKUP(E436,[1]Diccionario!B:N,13,0)="C"), "SOBREOFERTA",IF(AND(Planilla!B436="A", VLOOKUP(E436,[1]Diccionario!B:N,13,0)="A"), "OK",IF(
AND(Planilla!B436="A", OR(VLOOKUP(E436,[1]Diccionario!B:N,13,0)="B", VLOOKUP(E436,[1]Diccionario!B:N,13,0)="C")), "SOBREOFERTA",""
))))))),"")</f>
        <v/>
      </c>
      <c r="E436" s="48"/>
      <c r="F436" s="53"/>
      <c r="G436" s="54"/>
      <c r="H436" s="55" t="str">
        <f t="shared" si="102"/>
        <v/>
      </c>
      <c r="I436" s="35"/>
      <c r="J436" s="34" t="e">
        <f>IF(A436&lt;&gt;"",HLOOKUP(VALUE(TEXT(G436,"h:mm:ss")),IF($C$6="Laboral",[1]Input!$A$4:$Y$227,IF($C$6="Sábado",[1]Input!$A$231:$Y$452,[1]Input!$A$456:$Y$656)),VLOOKUP($C$4,[1]Input!$AG$2:$AI$99,3,0)+IF(C$5="Ida",0,1),1),"")</f>
        <v>#N/A</v>
      </c>
      <c r="K436" s="34" t="str">
        <f>IF(A437&lt;&gt;A436,AVERAGEIF(A$9:A436,A436,J$13:J436),"")</f>
        <v/>
      </c>
      <c r="L436" s="35" t="str">
        <f>IFERROR(IF(A437&lt;&gt;A436,AVERAGEIF(A$9:A436,A436,S$13:S436),""),"")</f>
        <v/>
      </c>
      <c r="M436" s="35" t="str">
        <f>IFERROR(IF(A437&lt;&gt;A436,AVERAGEIF(A$9:A436,A436,T$8:T436),""),"")</f>
        <v/>
      </c>
      <c r="N436" s="35" t="str" cm="1">
        <f t="array" ref="N436">IFERROR(IF(A437&lt;&gt;A436,_xlfn.STDEV.P(IF(A$9:A436=A436,T$7:T436)),""),"")</f>
        <v/>
      </c>
      <c r="O436" s="35" t="str" cm="1">
        <f t="array" ref="O436">IFERROR(IF(A437&lt;&gt;A436,_xlfn.STDEV.P(IF(A$9:A436=A436,S$7:S436)),""),"")</f>
        <v/>
      </c>
      <c r="P436" s="36" t="str">
        <f t="shared" si="95"/>
        <v/>
      </c>
      <c r="Q436" s="36" t="str">
        <f t="shared" si="96"/>
        <v/>
      </c>
      <c r="R436" s="36" t="str">
        <f t="shared" si="103"/>
        <v/>
      </c>
      <c r="S436" s="37" t="str">
        <f t="shared" si="104"/>
        <v/>
      </c>
      <c r="T436" s="37" t="str">
        <f t="shared" si="97"/>
        <v/>
      </c>
      <c r="U436" s="54"/>
      <c r="V436" s="46"/>
      <c r="W436" s="39" t="str">
        <f t="shared" si="105"/>
        <v/>
      </c>
      <c r="X436" s="38"/>
      <c r="Y436" s="48"/>
      <c r="AB436" s="56">
        <f t="shared" si="106"/>
        <v>1</v>
      </c>
      <c r="AC436" s="52"/>
      <c r="AD436" s="52"/>
      <c r="AE436" s="29" t="str">
        <f>IFERROR(
IF(AND(OR(AC436="C",AC436="c"), VLOOKUP(AF436,[1]Diccionario!B:N,13,0)="C"), "OK",IF(AND(OR(AC436="C",AC436="c"), OR(VLOOKUP(AF436,[1]Diccionario!B:N,13,0)="B", VLOOKUP(AF436,[1]Diccionario!B:N,13,0)="A")), "DEFICIT",IF(
AND(OR(AC436="B", AC436="BPAL"), VLOOKUP(AF436,[1]Diccionario!B:N,13,0)="B"), "OK",IF(AND(OR(AC436="B", AC436="BPAL"), VLOOKUP(AF436,[1]Diccionario!B:N,13,0)="A"), "DEFICIT",IF(AND(OR(AC436="B", AC436="BPAL"), VLOOKUP(AF436,[1]Diccionario!B:N,13,0)="C"), "SOBREOFERTA",IF(AND(AC436="A", VLOOKUP(AF436,[1]Diccionario!B:N,13,0)="A"), "OK",IF(
AND(AC436="A", OR(VLOOKUP(AF436,[1]Diccionario!B:N,13,0)="B", VLOOKUP(AF436,[1]Diccionario!B:N,13,0)="C")), "SOBREOFERTA",""
))))))),"")</f>
        <v/>
      </c>
      <c r="AF436" s="48"/>
      <c r="AG436" s="53"/>
      <c r="AH436" s="54"/>
      <c r="AI436" s="55" t="str">
        <f t="shared" si="107"/>
        <v/>
      </c>
      <c r="AJ436" s="46"/>
      <c r="AK436" s="34" t="e">
        <f>IF(AB436&lt;&gt;"",HLOOKUP(VALUE(TEXT(AH436,"h:mm:ss")),IF($C$6="Laboral",[1]Input!$A$4:$Y$227,IF($C$6="Sábado",[1]Input!$A$231:$Y$452,[1]Input!$A$456:$Y$656)),VLOOKUP($C$4,[1]Input!$AG$2:$AI$99,3,0)+IF(AD$5="Ida",0,1),1),"")</f>
        <v>#N/A</v>
      </c>
      <c r="AL436" s="34" t="str">
        <f>IF(AB437&lt;&gt;AB436,AVERAGEIF(AB$9:AB436,AB436,AK$9:AK436),"")</f>
        <v/>
      </c>
      <c r="AM436" s="35" t="str">
        <f>IFERROR(IF(AB437&lt;&gt;AB436,AVERAGEIF(AB$9:AB436,AB436,AT$9:AT436),""),"")</f>
        <v/>
      </c>
      <c r="AN436" s="35" t="str">
        <f>IFERROR(IF(AB437&lt;&gt;AB436,AVERAGEIF(AB$9:AB436,AB436,AU$9:AU436),""),"")</f>
        <v/>
      </c>
      <c r="AO436" s="35" t="str" cm="1">
        <f t="array" ref="AO436">IFERROR(IF(AB437&lt;&gt;AB436,_xlfn.STDEV.P(IF(AB$9:AB436=AB436,AU$9:AU436)),""),"")</f>
        <v/>
      </c>
      <c r="AP436" s="35" t="str" cm="1">
        <f t="array" ref="AP436">IFERROR(IF(AB437&lt;&gt;AB436,_xlfn.STDEV.P(IF(AB$9:AB436=AB436,AT$9:AT436)),""),"")</f>
        <v/>
      </c>
      <c r="AQ436" s="36" t="str">
        <f t="shared" si="98"/>
        <v/>
      </c>
      <c r="AR436" s="36" t="str">
        <f t="shared" si="99"/>
        <v/>
      </c>
      <c r="AS436" s="36" t="str">
        <f t="shared" si="108"/>
        <v/>
      </c>
      <c r="AT436" s="37" t="str">
        <f t="shared" si="100"/>
        <v/>
      </c>
      <c r="AU436" s="37" t="str">
        <f t="shared" si="101"/>
        <v/>
      </c>
      <c r="AV436" s="54"/>
      <c r="AW436" s="46"/>
      <c r="AX436" s="39" t="str" cm="1">
        <f t="array" ref="AX436">IF(AH436&lt;&gt;"",IF(AND(AX434:AX435&lt;&gt;"IE",AQ436&lt;&gt;0,AS436&lt;&gt;""),IF(IFERROR((AQ436/AS436),0) &lt;=1,IFERROR(AQ436/AS436,""),1),""),"")</f>
        <v/>
      </c>
      <c r="AY436" s="46"/>
      <c r="AZ436" s="57"/>
    </row>
    <row r="437" spans="1:52" ht="15.5" x14ac:dyDescent="0.35">
      <c r="A437" s="51">
        <f t="shared" si="109"/>
        <v>1</v>
      </c>
      <c r="B437" s="52"/>
      <c r="C437" s="52"/>
      <c r="D437" s="29" t="str">
        <f>IFERROR(
IF(AND(OR(Planilla!B437="C",Planilla!B437="c"), VLOOKUP(E437,[1]Diccionario!B:N,13,0)="C"), "OK",IF(AND(OR(Planilla!B437="C",Planilla!B437="c"), OR(VLOOKUP(E437,[1]Diccionario!B:N,13,0)="B", VLOOKUP(E437,[1]Diccionario!B:N,13,0)="A")), "DEFICIT",IF(
AND(OR(Planilla!B437="B", Planilla!B437="BPAL"), VLOOKUP(E437,[1]Diccionario!B:N,13,0)="B"), "OK",IF(AND(OR(Planilla!B437="B", Planilla!B437="BPAL"), VLOOKUP(E437,[1]Diccionario!B:N,13,0)="A"), "DEFICIT",IF(AND(OR(Planilla!B437="B", Planilla!B437="BPAL"), VLOOKUP(E437,[1]Diccionario!B:N,13,0)="C"), "SOBREOFERTA",IF(AND(Planilla!B437="A", VLOOKUP(E437,[1]Diccionario!B:N,13,0)="A"), "OK",IF(
AND(Planilla!B437="A", OR(VLOOKUP(E437,[1]Diccionario!B:N,13,0)="B", VLOOKUP(E437,[1]Diccionario!B:N,13,0)="C")), "SOBREOFERTA",""
))))))),"")</f>
        <v/>
      </c>
      <c r="E437" s="48"/>
      <c r="F437" s="53"/>
      <c r="G437" s="54"/>
      <c r="H437" s="55" t="str">
        <f t="shared" si="102"/>
        <v/>
      </c>
      <c r="I437" s="35"/>
      <c r="J437" s="34" t="e">
        <f>IF(A437&lt;&gt;"",HLOOKUP(VALUE(TEXT(G437,"h:mm:ss")),IF($C$6="Laboral",[1]Input!$A$4:$Y$227,IF($C$6="Sábado",[1]Input!$A$231:$Y$452,[1]Input!$A$456:$Y$656)),VLOOKUP($C$4,[1]Input!$AG$2:$AI$99,3,0)+IF(C$5="Ida",0,1),1),"")</f>
        <v>#N/A</v>
      </c>
      <c r="K437" s="34" t="str">
        <f>IF(A438&lt;&gt;A437,AVERAGEIF(A$9:A437,A437,J$13:J437),"")</f>
        <v/>
      </c>
      <c r="L437" s="35" t="str">
        <f>IFERROR(IF(A438&lt;&gt;A437,AVERAGEIF(A$9:A437,A437,S$13:S437),""),"")</f>
        <v/>
      </c>
      <c r="M437" s="35" t="str">
        <f>IFERROR(IF(A438&lt;&gt;A437,AVERAGEIF(A$9:A437,A437,T$8:T437),""),"")</f>
        <v/>
      </c>
      <c r="N437" s="35" t="str" cm="1">
        <f t="array" ref="N437">IFERROR(IF(A438&lt;&gt;A437,_xlfn.STDEV.P(IF(A$9:A437=A437,T$7:T437)),""),"")</f>
        <v/>
      </c>
      <c r="O437" s="35" t="str" cm="1">
        <f t="array" ref="O437">IFERROR(IF(A438&lt;&gt;A437,_xlfn.STDEV.P(IF(A$9:A437=A437,S$7:S437)),""),"")</f>
        <v/>
      </c>
      <c r="P437" s="36" t="str">
        <f t="shared" si="95"/>
        <v/>
      </c>
      <c r="Q437" s="36" t="str">
        <f t="shared" si="96"/>
        <v/>
      </c>
      <c r="R437" s="36" t="str">
        <f t="shared" si="103"/>
        <v/>
      </c>
      <c r="S437" s="37" t="str">
        <f t="shared" si="104"/>
        <v/>
      </c>
      <c r="T437" s="37" t="str">
        <f t="shared" si="97"/>
        <v/>
      </c>
      <c r="U437" s="54"/>
      <c r="V437" s="46"/>
      <c r="W437" s="39" t="str">
        <f t="shared" si="105"/>
        <v/>
      </c>
      <c r="X437" s="38"/>
      <c r="Y437" s="48"/>
      <c r="AB437" s="56">
        <f t="shared" si="106"/>
        <v>1</v>
      </c>
      <c r="AC437" s="52"/>
      <c r="AD437" s="52"/>
      <c r="AE437" s="29" t="str">
        <f>IFERROR(
IF(AND(OR(AC437="C",AC437="c"), VLOOKUP(AF437,[1]Diccionario!B:N,13,0)="C"), "OK",IF(AND(OR(AC437="C",AC437="c"), OR(VLOOKUP(AF437,[1]Diccionario!B:N,13,0)="B", VLOOKUP(AF437,[1]Diccionario!B:N,13,0)="A")), "DEFICIT",IF(
AND(OR(AC437="B", AC437="BPAL"), VLOOKUP(AF437,[1]Diccionario!B:N,13,0)="B"), "OK",IF(AND(OR(AC437="B", AC437="BPAL"), VLOOKUP(AF437,[1]Diccionario!B:N,13,0)="A"), "DEFICIT",IF(AND(OR(AC437="B", AC437="BPAL"), VLOOKUP(AF437,[1]Diccionario!B:N,13,0)="C"), "SOBREOFERTA",IF(AND(AC437="A", VLOOKUP(AF437,[1]Diccionario!B:N,13,0)="A"), "OK",IF(
AND(AC437="A", OR(VLOOKUP(AF437,[1]Diccionario!B:N,13,0)="B", VLOOKUP(AF437,[1]Diccionario!B:N,13,0)="C")), "SOBREOFERTA",""
))))))),"")</f>
        <v/>
      </c>
      <c r="AF437" s="48"/>
      <c r="AG437" s="53"/>
      <c r="AH437" s="54"/>
      <c r="AI437" s="55" t="str">
        <f t="shared" si="107"/>
        <v/>
      </c>
      <c r="AJ437" s="46"/>
      <c r="AK437" s="34" t="e">
        <f>IF(AB437&lt;&gt;"",HLOOKUP(VALUE(TEXT(AH437,"h:mm:ss")),IF($C$6="Laboral",[1]Input!$A$4:$Y$227,IF($C$6="Sábado",[1]Input!$A$231:$Y$452,[1]Input!$A$456:$Y$656)),VLOOKUP($C$4,[1]Input!$AG$2:$AI$99,3,0)+IF(AD$5="Ida",0,1),1),"")</f>
        <v>#N/A</v>
      </c>
      <c r="AL437" s="34" t="str">
        <f>IF(AB438&lt;&gt;AB437,AVERAGEIF(AB$9:AB437,AB437,AK$9:AK437),"")</f>
        <v/>
      </c>
      <c r="AM437" s="35" t="str">
        <f>IFERROR(IF(AB438&lt;&gt;AB437,AVERAGEIF(AB$9:AB437,AB437,AT$9:AT437),""),"")</f>
        <v/>
      </c>
      <c r="AN437" s="35" t="str">
        <f>IFERROR(IF(AB438&lt;&gt;AB437,AVERAGEIF(AB$9:AB437,AB437,AU$9:AU437),""),"")</f>
        <v/>
      </c>
      <c r="AO437" s="35" t="str" cm="1">
        <f t="array" ref="AO437">IFERROR(IF(AB438&lt;&gt;AB437,_xlfn.STDEV.P(IF(AB$9:AB437=AB437,AU$9:AU437)),""),"")</f>
        <v/>
      </c>
      <c r="AP437" s="35" t="str" cm="1">
        <f t="array" ref="AP437">IFERROR(IF(AB438&lt;&gt;AB437,_xlfn.STDEV.P(IF(AB$9:AB437=AB437,AT$9:AT437)),""),"")</f>
        <v/>
      </c>
      <c r="AQ437" s="36" t="str">
        <f t="shared" si="98"/>
        <v/>
      </c>
      <c r="AR437" s="36" t="str">
        <f t="shared" si="99"/>
        <v/>
      </c>
      <c r="AS437" s="36" t="str">
        <f t="shared" si="108"/>
        <v/>
      </c>
      <c r="AT437" s="37" t="str">
        <f t="shared" si="100"/>
        <v/>
      </c>
      <c r="AU437" s="37" t="str">
        <f t="shared" si="101"/>
        <v/>
      </c>
      <c r="AV437" s="54"/>
      <c r="AW437" s="46"/>
      <c r="AX437" s="39" t="str" cm="1">
        <f t="array" ref="AX437">IF(AH437&lt;&gt;"",IF(AND(AX435:AX436&lt;&gt;"IE",AQ437&lt;&gt;0,AS437&lt;&gt;""),IF(IFERROR((AQ437/AS437),0) &lt;=1,IFERROR(AQ437/AS437,""),1),""),"")</f>
        <v/>
      </c>
      <c r="AY437" s="46"/>
      <c r="AZ437" s="57"/>
    </row>
    <row r="438" spans="1:52" ht="15.5" x14ac:dyDescent="0.35">
      <c r="A438" s="51">
        <f t="shared" si="109"/>
        <v>1</v>
      </c>
      <c r="B438" s="52"/>
      <c r="C438" s="52"/>
      <c r="D438" s="29" t="str">
        <f>IFERROR(
IF(AND(OR(Planilla!B438="C",Planilla!B438="c"), VLOOKUP(E438,[1]Diccionario!B:N,13,0)="C"), "OK",IF(AND(OR(Planilla!B438="C",Planilla!B438="c"), OR(VLOOKUP(E438,[1]Diccionario!B:N,13,0)="B", VLOOKUP(E438,[1]Diccionario!B:N,13,0)="A")), "DEFICIT",IF(
AND(OR(Planilla!B438="B", Planilla!B438="BPAL"), VLOOKUP(E438,[1]Diccionario!B:N,13,0)="B"), "OK",IF(AND(OR(Planilla!B438="B", Planilla!B438="BPAL"), VLOOKUP(E438,[1]Diccionario!B:N,13,0)="A"), "DEFICIT",IF(AND(OR(Planilla!B438="B", Planilla!B438="BPAL"), VLOOKUP(E438,[1]Diccionario!B:N,13,0)="C"), "SOBREOFERTA",IF(AND(Planilla!B438="A", VLOOKUP(E438,[1]Diccionario!B:N,13,0)="A"), "OK",IF(
AND(Planilla!B438="A", OR(VLOOKUP(E438,[1]Diccionario!B:N,13,0)="B", VLOOKUP(E438,[1]Diccionario!B:N,13,0)="C")), "SOBREOFERTA",""
))))))),"")</f>
        <v/>
      </c>
      <c r="E438" s="48"/>
      <c r="F438" s="53"/>
      <c r="G438" s="54"/>
      <c r="H438" s="55" t="str">
        <f t="shared" si="102"/>
        <v/>
      </c>
      <c r="I438" s="35"/>
      <c r="J438" s="34" t="e">
        <f>IF(A438&lt;&gt;"",HLOOKUP(VALUE(TEXT(G438,"h:mm:ss")),IF($C$6="Laboral",[1]Input!$A$4:$Y$227,IF($C$6="Sábado",[1]Input!$A$231:$Y$452,[1]Input!$A$456:$Y$656)),VLOOKUP($C$4,[1]Input!$AG$2:$AI$99,3,0)+IF(C$5="Ida",0,1),1),"")</f>
        <v>#N/A</v>
      </c>
      <c r="K438" s="34" t="str">
        <f>IF(A439&lt;&gt;A438,AVERAGEIF(A$9:A438,A438,J$13:J438),"")</f>
        <v/>
      </c>
      <c r="L438" s="35" t="str">
        <f>IFERROR(IF(A439&lt;&gt;A438,AVERAGEIF(A$9:A438,A438,S$13:S438),""),"")</f>
        <v/>
      </c>
      <c r="M438" s="35" t="str">
        <f>IFERROR(IF(A439&lt;&gt;A438,AVERAGEIF(A$9:A438,A438,T$8:T438),""),"")</f>
        <v/>
      </c>
      <c r="N438" s="35" t="str" cm="1">
        <f t="array" ref="N438">IFERROR(IF(A439&lt;&gt;A438,_xlfn.STDEV.P(IF(A$9:A438=A438,T$7:T438)),""),"")</f>
        <v/>
      </c>
      <c r="O438" s="35" t="str" cm="1">
        <f t="array" ref="O438">IFERROR(IF(A439&lt;&gt;A438,_xlfn.STDEV.P(IF(A$9:A438=A438,S$7:S438)),""),"")</f>
        <v/>
      </c>
      <c r="P438" s="36" t="str">
        <f t="shared" si="95"/>
        <v/>
      </c>
      <c r="Q438" s="36" t="str">
        <f t="shared" si="96"/>
        <v/>
      </c>
      <c r="R438" s="36" t="str">
        <f t="shared" si="103"/>
        <v/>
      </c>
      <c r="S438" s="37" t="str">
        <f t="shared" si="104"/>
        <v/>
      </c>
      <c r="T438" s="37" t="str">
        <f t="shared" si="97"/>
        <v/>
      </c>
      <c r="U438" s="54"/>
      <c r="V438" s="46"/>
      <c r="W438" s="39" t="str">
        <f t="shared" si="105"/>
        <v/>
      </c>
      <c r="X438" s="38"/>
      <c r="Y438" s="48"/>
      <c r="AB438" s="56">
        <f t="shared" si="106"/>
        <v>1</v>
      </c>
      <c r="AC438" s="52"/>
      <c r="AD438" s="52"/>
      <c r="AE438" s="29" t="str">
        <f>IFERROR(
IF(AND(OR(AC438="C",AC438="c"), VLOOKUP(AF438,[1]Diccionario!B:N,13,0)="C"), "OK",IF(AND(OR(AC438="C",AC438="c"), OR(VLOOKUP(AF438,[1]Diccionario!B:N,13,0)="B", VLOOKUP(AF438,[1]Diccionario!B:N,13,0)="A")), "DEFICIT",IF(
AND(OR(AC438="B", AC438="BPAL"), VLOOKUP(AF438,[1]Diccionario!B:N,13,0)="B"), "OK",IF(AND(OR(AC438="B", AC438="BPAL"), VLOOKUP(AF438,[1]Diccionario!B:N,13,0)="A"), "DEFICIT",IF(AND(OR(AC438="B", AC438="BPAL"), VLOOKUP(AF438,[1]Diccionario!B:N,13,0)="C"), "SOBREOFERTA",IF(AND(AC438="A", VLOOKUP(AF438,[1]Diccionario!B:N,13,0)="A"), "OK",IF(
AND(AC438="A", OR(VLOOKUP(AF438,[1]Diccionario!B:N,13,0)="B", VLOOKUP(AF438,[1]Diccionario!B:N,13,0)="C")), "SOBREOFERTA",""
))))))),"")</f>
        <v/>
      </c>
      <c r="AF438" s="48"/>
      <c r="AG438" s="53"/>
      <c r="AH438" s="54"/>
      <c r="AI438" s="55" t="str">
        <f t="shared" si="107"/>
        <v/>
      </c>
      <c r="AJ438" s="46"/>
      <c r="AK438" s="34" t="e">
        <f>IF(AB438&lt;&gt;"",HLOOKUP(VALUE(TEXT(AH438,"h:mm:ss")),IF($C$6="Laboral",[1]Input!$A$4:$Y$227,IF($C$6="Sábado",[1]Input!$A$231:$Y$452,[1]Input!$A$456:$Y$656)),VLOOKUP($C$4,[1]Input!$AG$2:$AI$99,3,0)+IF(AD$5="Ida",0,1),1),"")</f>
        <v>#N/A</v>
      </c>
      <c r="AL438" s="34" t="str">
        <f>IF(AB439&lt;&gt;AB438,AVERAGEIF(AB$9:AB438,AB438,AK$9:AK438),"")</f>
        <v/>
      </c>
      <c r="AM438" s="35" t="str">
        <f>IFERROR(IF(AB439&lt;&gt;AB438,AVERAGEIF(AB$9:AB438,AB438,AT$9:AT438),""),"")</f>
        <v/>
      </c>
      <c r="AN438" s="35" t="str">
        <f>IFERROR(IF(AB439&lt;&gt;AB438,AVERAGEIF(AB$9:AB438,AB438,AU$9:AU438),""),"")</f>
        <v/>
      </c>
      <c r="AO438" s="35" t="str" cm="1">
        <f t="array" ref="AO438">IFERROR(IF(AB439&lt;&gt;AB438,_xlfn.STDEV.P(IF(AB$9:AB438=AB438,AU$9:AU438)),""),"")</f>
        <v/>
      </c>
      <c r="AP438" s="35" t="str" cm="1">
        <f t="array" ref="AP438">IFERROR(IF(AB439&lt;&gt;AB438,_xlfn.STDEV.P(IF(AB$9:AB438=AB438,AT$9:AT438)),""),"")</f>
        <v/>
      </c>
      <c r="AQ438" s="36" t="str">
        <f t="shared" si="98"/>
        <v/>
      </c>
      <c r="AR438" s="36" t="str">
        <f t="shared" si="99"/>
        <v/>
      </c>
      <c r="AS438" s="36" t="str">
        <f t="shared" si="108"/>
        <v/>
      </c>
      <c r="AT438" s="37" t="str">
        <f t="shared" si="100"/>
        <v/>
      </c>
      <c r="AU438" s="37" t="str">
        <f t="shared" si="101"/>
        <v/>
      </c>
      <c r="AV438" s="54"/>
      <c r="AW438" s="46"/>
      <c r="AX438" s="39" t="str" cm="1">
        <f t="array" ref="AX438">IF(AH438&lt;&gt;"",IF(AND(AX436:AX437&lt;&gt;"IE",AQ438&lt;&gt;0,AS438&lt;&gt;""),IF(IFERROR((AQ438/AS438),0) &lt;=1,IFERROR(AQ438/AS438,""),1),""),"")</f>
        <v/>
      </c>
      <c r="AY438" s="46"/>
      <c r="AZ438" s="57"/>
    </row>
    <row r="439" spans="1:52" ht="15.5" x14ac:dyDescent="0.35">
      <c r="A439" s="51">
        <f t="shared" si="109"/>
        <v>1</v>
      </c>
      <c r="B439" s="52"/>
      <c r="C439" s="52"/>
      <c r="D439" s="29" t="str">
        <f>IFERROR(
IF(AND(OR(Planilla!B439="C",Planilla!B439="c"), VLOOKUP(E439,[1]Diccionario!B:N,13,0)="C"), "OK",IF(AND(OR(Planilla!B439="C",Planilla!B439="c"), OR(VLOOKUP(E439,[1]Diccionario!B:N,13,0)="B", VLOOKUP(E439,[1]Diccionario!B:N,13,0)="A")), "DEFICIT",IF(
AND(OR(Planilla!B439="B", Planilla!B439="BPAL"), VLOOKUP(E439,[1]Diccionario!B:N,13,0)="B"), "OK",IF(AND(OR(Planilla!B439="B", Planilla!B439="BPAL"), VLOOKUP(E439,[1]Diccionario!B:N,13,0)="A"), "DEFICIT",IF(AND(OR(Planilla!B439="B", Planilla!B439="BPAL"), VLOOKUP(E439,[1]Diccionario!B:N,13,0)="C"), "SOBREOFERTA",IF(AND(Planilla!B439="A", VLOOKUP(E439,[1]Diccionario!B:N,13,0)="A"), "OK",IF(
AND(Planilla!B439="A", OR(VLOOKUP(E439,[1]Diccionario!B:N,13,0)="B", VLOOKUP(E439,[1]Diccionario!B:N,13,0)="C")), "SOBREOFERTA",""
))))))),"")</f>
        <v/>
      </c>
      <c r="E439" s="48"/>
      <c r="F439" s="53"/>
      <c r="G439" s="54"/>
      <c r="H439" s="55" t="str">
        <f t="shared" si="102"/>
        <v/>
      </c>
      <c r="I439" s="35"/>
      <c r="J439" s="34" t="e">
        <f>IF(A439&lt;&gt;"",HLOOKUP(VALUE(TEXT(G439,"h:mm:ss")),IF($C$6="Laboral",[1]Input!$A$4:$Y$227,IF($C$6="Sábado",[1]Input!$A$231:$Y$452,[1]Input!$A$456:$Y$656)),VLOOKUP($C$4,[1]Input!$AG$2:$AI$99,3,0)+IF(C$5="Ida",0,1),1),"")</f>
        <v>#N/A</v>
      </c>
      <c r="K439" s="34" t="str">
        <f>IF(A440&lt;&gt;A439,AVERAGEIF(A$9:A439,A439,J$13:J439),"")</f>
        <v/>
      </c>
      <c r="L439" s="35" t="str">
        <f>IFERROR(IF(A440&lt;&gt;A439,AVERAGEIF(A$9:A439,A439,S$13:S439),""),"")</f>
        <v/>
      </c>
      <c r="M439" s="35" t="str">
        <f>IFERROR(IF(A440&lt;&gt;A439,AVERAGEIF(A$9:A439,A439,T$8:T439),""),"")</f>
        <v/>
      </c>
      <c r="N439" s="35" t="str" cm="1">
        <f t="array" ref="N439">IFERROR(IF(A440&lt;&gt;A439,_xlfn.STDEV.P(IF(A$9:A439=A439,T$7:T439)),""),"")</f>
        <v/>
      </c>
      <c r="O439" s="35" t="str" cm="1">
        <f t="array" ref="O439">IFERROR(IF(A440&lt;&gt;A439,_xlfn.STDEV.P(IF(A$9:A439=A439,S$7:S439)),""),"")</f>
        <v/>
      </c>
      <c r="P439" s="36" t="str">
        <f t="shared" si="95"/>
        <v/>
      </c>
      <c r="Q439" s="36" t="str">
        <f t="shared" si="96"/>
        <v/>
      </c>
      <c r="R439" s="36" t="str">
        <f t="shared" si="103"/>
        <v/>
      </c>
      <c r="S439" s="37" t="str">
        <f t="shared" si="104"/>
        <v/>
      </c>
      <c r="T439" s="37" t="str">
        <f t="shared" si="97"/>
        <v/>
      </c>
      <c r="U439" s="54"/>
      <c r="V439" s="46"/>
      <c r="W439" s="39" t="str">
        <f t="shared" si="105"/>
        <v/>
      </c>
      <c r="X439" s="38"/>
      <c r="Y439" s="48"/>
      <c r="AB439" s="56">
        <f t="shared" si="106"/>
        <v>1</v>
      </c>
      <c r="AC439" s="52"/>
      <c r="AD439" s="52"/>
      <c r="AE439" s="29" t="str">
        <f>IFERROR(
IF(AND(OR(AC439="C",AC439="c"), VLOOKUP(AF439,[1]Diccionario!B:N,13,0)="C"), "OK",IF(AND(OR(AC439="C",AC439="c"), OR(VLOOKUP(AF439,[1]Diccionario!B:N,13,0)="B", VLOOKUP(AF439,[1]Diccionario!B:N,13,0)="A")), "DEFICIT",IF(
AND(OR(AC439="B", AC439="BPAL"), VLOOKUP(AF439,[1]Diccionario!B:N,13,0)="B"), "OK",IF(AND(OR(AC439="B", AC439="BPAL"), VLOOKUP(AF439,[1]Diccionario!B:N,13,0)="A"), "DEFICIT",IF(AND(OR(AC439="B", AC439="BPAL"), VLOOKUP(AF439,[1]Diccionario!B:N,13,0)="C"), "SOBREOFERTA",IF(AND(AC439="A", VLOOKUP(AF439,[1]Diccionario!B:N,13,0)="A"), "OK",IF(
AND(AC439="A", OR(VLOOKUP(AF439,[1]Diccionario!B:N,13,0)="B", VLOOKUP(AF439,[1]Diccionario!B:N,13,0)="C")), "SOBREOFERTA",""
))))))),"")</f>
        <v/>
      </c>
      <c r="AF439" s="48"/>
      <c r="AG439" s="53"/>
      <c r="AH439" s="54"/>
      <c r="AI439" s="55" t="str">
        <f t="shared" si="107"/>
        <v/>
      </c>
      <c r="AJ439" s="46"/>
      <c r="AK439" s="34" t="e">
        <f>IF(AB439&lt;&gt;"",HLOOKUP(VALUE(TEXT(AH439,"h:mm:ss")),IF($C$6="Laboral",[1]Input!$A$4:$Y$227,IF($C$6="Sábado",[1]Input!$A$231:$Y$452,[1]Input!$A$456:$Y$656)),VLOOKUP($C$4,[1]Input!$AG$2:$AI$99,3,0)+IF(AD$5="Ida",0,1),1),"")</f>
        <v>#N/A</v>
      </c>
      <c r="AL439" s="34" t="str">
        <f>IF(AB440&lt;&gt;AB439,AVERAGEIF(AB$9:AB439,AB439,AK$9:AK439),"")</f>
        <v/>
      </c>
      <c r="AM439" s="35" t="str">
        <f>IFERROR(IF(AB440&lt;&gt;AB439,AVERAGEIF(AB$9:AB439,AB439,AT$9:AT439),""),"")</f>
        <v/>
      </c>
      <c r="AN439" s="35" t="str">
        <f>IFERROR(IF(AB440&lt;&gt;AB439,AVERAGEIF(AB$9:AB439,AB439,AU$9:AU439),""),"")</f>
        <v/>
      </c>
      <c r="AO439" s="35" t="str" cm="1">
        <f t="array" ref="AO439">IFERROR(IF(AB440&lt;&gt;AB439,_xlfn.STDEV.P(IF(AB$9:AB439=AB439,AU$9:AU439)),""),"")</f>
        <v/>
      </c>
      <c r="AP439" s="35" t="str" cm="1">
        <f t="array" ref="AP439">IFERROR(IF(AB440&lt;&gt;AB439,_xlfn.STDEV.P(IF(AB$9:AB439=AB439,AT$9:AT439)),""),"")</f>
        <v/>
      </c>
      <c r="AQ439" s="36" t="str">
        <f t="shared" si="98"/>
        <v/>
      </c>
      <c r="AR439" s="36" t="str">
        <f t="shared" si="99"/>
        <v/>
      </c>
      <c r="AS439" s="36" t="str">
        <f t="shared" si="108"/>
        <v/>
      </c>
      <c r="AT439" s="37" t="str">
        <f t="shared" si="100"/>
        <v/>
      </c>
      <c r="AU439" s="37" t="str">
        <f t="shared" si="101"/>
        <v/>
      </c>
      <c r="AV439" s="54"/>
      <c r="AW439" s="46"/>
      <c r="AX439" s="39" t="str" cm="1">
        <f t="array" ref="AX439">IF(AH439&lt;&gt;"",IF(AND(AX437:AX438&lt;&gt;"IE",AQ439&lt;&gt;0,AS439&lt;&gt;""),IF(IFERROR((AQ439/AS439),0) &lt;=1,IFERROR(AQ439/AS439,""),1),""),"")</f>
        <v/>
      </c>
      <c r="AY439" s="46"/>
      <c r="AZ439" s="57"/>
    </row>
    <row r="440" spans="1:52" ht="15.5" x14ac:dyDescent="0.35">
      <c r="A440" s="51">
        <f t="shared" si="109"/>
        <v>1</v>
      </c>
      <c r="B440" s="52"/>
      <c r="C440" s="52"/>
      <c r="D440" s="29" t="str">
        <f>IFERROR(
IF(AND(OR(Planilla!B440="C",Planilla!B440="c"), VLOOKUP(E440,[1]Diccionario!B:N,13,0)="C"), "OK",IF(AND(OR(Planilla!B440="C",Planilla!B440="c"), OR(VLOOKUP(E440,[1]Diccionario!B:N,13,0)="B", VLOOKUP(E440,[1]Diccionario!B:N,13,0)="A")), "DEFICIT",IF(
AND(OR(Planilla!B440="B", Planilla!B440="BPAL"), VLOOKUP(E440,[1]Diccionario!B:N,13,0)="B"), "OK",IF(AND(OR(Planilla!B440="B", Planilla!B440="BPAL"), VLOOKUP(E440,[1]Diccionario!B:N,13,0)="A"), "DEFICIT",IF(AND(OR(Planilla!B440="B", Planilla!B440="BPAL"), VLOOKUP(E440,[1]Diccionario!B:N,13,0)="C"), "SOBREOFERTA",IF(AND(Planilla!B440="A", VLOOKUP(E440,[1]Diccionario!B:N,13,0)="A"), "OK",IF(
AND(Planilla!B440="A", OR(VLOOKUP(E440,[1]Diccionario!B:N,13,0)="B", VLOOKUP(E440,[1]Diccionario!B:N,13,0)="C")), "SOBREOFERTA",""
))))))),"")</f>
        <v/>
      </c>
      <c r="E440" s="48"/>
      <c r="F440" s="53"/>
      <c r="G440" s="54"/>
      <c r="H440" s="55" t="str">
        <f t="shared" si="102"/>
        <v/>
      </c>
      <c r="I440" s="35"/>
      <c r="J440" s="34" t="e">
        <f>IF(A440&lt;&gt;"",HLOOKUP(VALUE(TEXT(G440,"h:mm:ss")),IF($C$6="Laboral",[1]Input!$A$4:$Y$227,IF($C$6="Sábado",[1]Input!$A$231:$Y$452,[1]Input!$A$456:$Y$656)),VLOOKUP($C$4,[1]Input!$AG$2:$AI$99,3,0)+IF(C$5="Ida",0,1),1),"")</f>
        <v>#N/A</v>
      </c>
      <c r="K440" s="34" t="str">
        <f>IF(A441&lt;&gt;A440,AVERAGEIF(A$9:A440,A440,J$13:J440),"")</f>
        <v/>
      </c>
      <c r="L440" s="35" t="str">
        <f>IFERROR(IF(A441&lt;&gt;A440,AVERAGEIF(A$9:A440,A440,S$13:S440),""),"")</f>
        <v/>
      </c>
      <c r="M440" s="35" t="str">
        <f>IFERROR(IF(A441&lt;&gt;A440,AVERAGEIF(A$9:A440,A440,T$8:T440),""),"")</f>
        <v/>
      </c>
      <c r="N440" s="35" t="str" cm="1">
        <f t="array" ref="N440">IFERROR(IF(A441&lt;&gt;A440,_xlfn.STDEV.P(IF(A$9:A440=A440,T$7:T440)),""),"")</f>
        <v/>
      </c>
      <c r="O440" s="35" t="str" cm="1">
        <f t="array" ref="O440">IFERROR(IF(A441&lt;&gt;A440,_xlfn.STDEV.P(IF(A$9:A440=A440,S$7:S440)),""),"")</f>
        <v/>
      </c>
      <c r="P440" s="36" t="str">
        <f t="shared" si="95"/>
        <v/>
      </c>
      <c r="Q440" s="36" t="str">
        <f t="shared" si="96"/>
        <v/>
      </c>
      <c r="R440" s="36" t="str">
        <f t="shared" si="103"/>
        <v/>
      </c>
      <c r="S440" s="37" t="str">
        <f t="shared" si="104"/>
        <v/>
      </c>
      <c r="T440" s="37" t="str">
        <f t="shared" si="97"/>
        <v/>
      </c>
      <c r="U440" s="54"/>
      <c r="V440" s="46"/>
      <c r="W440" s="39" t="str">
        <f t="shared" si="105"/>
        <v/>
      </c>
      <c r="X440" s="38"/>
      <c r="Y440" s="48"/>
      <c r="AB440" s="56">
        <f t="shared" si="106"/>
        <v>1</v>
      </c>
      <c r="AC440" s="52"/>
      <c r="AD440" s="52"/>
      <c r="AE440" s="29" t="str">
        <f>IFERROR(
IF(AND(OR(AC440="C",AC440="c"), VLOOKUP(AF440,[1]Diccionario!B:N,13,0)="C"), "OK",IF(AND(OR(AC440="C",AC440="c"), OR(VLOOKUP(AF440,[1]Diccionario!B:N,13,0)="B", VLOOKUP(AF440,[1]Diccionario!B:N,13,0)="A")), "DEFICIT",IF(
AND(OR(AC440="B", AC440="BPAL"), VLOOKUP(AF440,[1]Diccionario!B:N,13,0)="B"), "OK",IF(AND(OR(AC440="B", AC440="BPAL"), VLOOKUP(AF440,[1]Diccionario!B:N,13,0)="A"), "DEFICIT",IF(AND(OR(AC440="B", AC440="BPAL"), VLOOKUP(AF440,[1]Diccionario!B:N,13,0)="C"), "SOBREOFERTA",IF(AND(AC440="A", VLOOKUP(AF440,[1]Diccionario!B:N,13,0)="A"), "OK",IF(
AND(AC440="A", OR(VLOOKUP(AF440,[1]Diccionario!B:N,13,0)="B", VLOOKUP(AF440,[1]Diccionario!B:N,13,0)="C")), "SOBREOFERTA",""
))))))),"")</f>
        <v/>
      </c>
      <c r="AF440" s="48"/>
      <c r="AG440" s="53"/>
      <c r="AH440" s="54"/>
      <c r="AI440" s="55" t="str">
        <f t="shared" si="107"/>
        <v/>
      </c>
      <c r="AJ440" s="46"/>
      <c r="AK440" s="34" t="e">
        <f>IF(AB440&lt;&gt;"",HLOOKUP(VALUE(TEXT(AH440,"h:mm:ss")),IF($C$6="Laboral",[1]Input!$A$4:$Y$227,IF($C$6="Sábado",[1]Input!$A$231:$Y$452,[1]Input!$A$456:$Y$656)),VLOOKUP($C$4,[1]Input!$AG$2:$AI$99,3,0)+IF(AD$5="Ida",0,1),1),"")</f>
        <v>#N/A</v>
      </c>
      <c r="AL440" s="34" t="str">
        <f>IF(AB441&lt;&gt;AB440,AVERAGEIF(AB$9:AB440,AB440,AK$9:AK440),"")</f>
        <v/>
      </c>
      <c r="AM440" s="35" t="str">
        <f>IFERROR(IF(AB441&lt;&gt;AB440,AVERAGEIF(AB$9:AB440,AB440,AT$9:AT440),""),"")</f>
        <v/>
      </c>
      <c r="AN440" s="35" t="str">
        <f>IFERROR(IF(AB441&lt;&gt;AB440,AVERAGEIF(AB$9:AB440,AB440,AU$9:AU440),""),"")</f>
        <v/>
      </c>
      <c r="AO440" s="35" t="str" cm="1">
        <f t="array" ref="AO440">IFERROR(IF(AB441&lt;&gt;AB440,_xlfn.STDEV.P(IF(AB$9:AB440=AB440,AU$9:AU440)),""),"")</f>
        <v/>
      </c>
      <c r="AP440" s="35" t="str" cm="1">
        <f t="array" ref="AP440">IFERROR(IF(AB441&lt;&gt;AB440,_xlfn.STDEV.P(IF(AB$9:AB440=AB440,AT$9:AT440)),""),"")</f>
        <v/>
      </c>
      <c r="AQ440" s="36" t="str">
        <f t="shared" si="98"/>
        <v/>
      </c>
      <c r="AR440" s="36" t="str">
        <f t="shared" si="99"/>
        <v/>
      </c>
      <c r="AS440" s="36" t="str">
        <f t="shared" si="108"/>
        <v/>
      </c>
      <c r="AT440" s="37" t="str">
        <f t="shared" si="100"/>
        <v/>
      </c>
      <c r="AU440" s="37" t="str">
        <f t="shared" si="101"/>
        <v/>
      </c>
      <c r="AV440" s="54"/>
      <c r="AW440" s="46"/>
      <c r="AX440" s="39" t="str" cm="1">
        <f t="array" ref="AX440">IF(AH440&lt;&gt;"",IF(AND(AX438:AX439&lt;&gt;"IE",AQ440&lt;&gt;0,AS440&lt;&gt;""),IF(IFERROR((AQ440/AS440),0) &lt;=1,IFERROR(AQ440/AS440,""),1),""),"")</f>
        <v/>
      </c>
      <c r="AY440" s="46"/>
      <c r="AZ440" s="57"/>
    </row>
    <row r="441" spans="1:52" ht="15.5" x14ac:dyDescent="0.35">
      <c r="A441" s="51">
        <f t="shared" si="109"/>
        <v>1</v>
      </c>
      <c r="B441" s="52"/>
      <c r="C441" s="52"/>
      <c r="D441" s="29" t="str">
        <f>IFERROR(
IF(AND(OR(Planilla!B441="C",Planilla!B441="c"), VLOOKUP(E441,[1]Diccionario!B:N,13,0)="C"), "OK",IF(AND(OR(Planilla!B441="C",Planilla!B441="c"), OR(VLOOKUP(E441,[1]Diccionario!B:N,13,0)="B", VLOOKUP(E441,[1]Diccionario!B:N,13,0)="A")), "DEFICIT",IF(
AND(OR(Planilla!B441="B", Planilla!B441="BPAL"), VLOOKUP(E441,[1]Diccionario!B:N,13,0)="B"), "OK",IF(AND(OR(Planilla!B441="B", Planilla!B441="BPAL"), VLOOKUP(E441,[1]Diccionario!B:N,13,0)="A"), "DEFICIT",IF(AND(OR(Planilla!B441="B", Planilla!B441="BPAL"), VLOOKUP(E441,[1]Diccionario!B:N,13,0)="C"), "SOBREOFERTA",IF(AND(Planilla!B441="A", VLOOKUP(E441,[1]Diccionario!B:N,13,0)="A"), "OK",IF(
AND(Planilla!B441="A", OR(VLOOKUP(E441,[1]Diccionario!B:N,13,0)="B", VLOOKUP(E441,[1]Diccionario!B:N,13,0)="C")), "SOBREOFERTA",""
))))))),"")</f>
        <v/>
      </c>
      <c r="E441" s="48"/>
      <c r="F441" s="53"/>
      <c r="G441" s="54"/>
      <c r="H441" s="55" t="str">
        <f t="shared" si="102"/>
        <v/>
      </c>
      <c r="I441" s="35"/>
      <c r="J441" s="34" t="e">
        <f>IF(A441&lt;&gt;"",HLOOKUP(VALUE(TEXT(G441,"h:mm:ss")),IF($C$6="Laboral",[1]Input!$A$4:$Y$227,IF($C$6="Sábado",[1]Input!$A$231:$Y$452,[1]Input!$A$456:$Y$656)),VLOOKUP($C$4,[1]Input!$AG$2:$AI$99,3,0)+IF(C$5="Ida",0,1),1),"")</f>
        <v>#N/A</v>
      </c>
      <c r="K441" s="34" t="str">
        <f>IF(A442&lt;&gt;A441,AVERAGEIF(A$9:A441,A441,J$13:J441),"")</f>
        <v/>
      </c>
      <c r="L441" s="35" t="str">
        <f>IFERROR(IF(A442&lt;&gt;A441,AVERAGEIF(A$9:A441,A441,S$13:S441),""),"")</f>
        <v/>
      </c>
      <c r="M441" s="35" t="str">
        <f>IFERROR(IF(A442&lt;&gt;A441,AVERAGEIF(A$9:A441,A441,T$8:T441),""),"")</f>
        <v/>
      </c>
      <c r="N441" s="35" t="str" cm="1">
        <f t="array" ref="N441">IFERROR(IF(A442&lt;&gt;A441,_xlfn.STDEV.P(IF(A$9:A441=A441,T$7:T441)),""),"")</f>
        <v/>
      </c>
      <c r="O441" s="35" t="str" cm="1">
        <f t="array" ref="O441">IFERROR(IF(A442&lt;&gt;A441,_xlfn.STDEV.P(IF(A$9:A441=A441,S$7:S441)),""),"")</f>
        <v/>
      </c>
      <c r="P441" s="36" t="str">
        <f t="shared" si="95"/>
        <v/>
      </c>
      <c r="Q441" s="36" t="str">
        <f t="shared" si="96"/>
        <v/>
      </c>
      <c r="R441" s="36" t="str">
        <f t="shared" si="103"/>
        <v/>
      </c>
      <c r="S441" s="37" t="str">
        <f t="shared" si="104"/>
        <v/>
      </c>
      <c r="T441" s="37" t="str">
        <f t="shared" si="97"/>
        <v/>
      </c>
      <c r="U441" s="54"/>
      <c r="V441" s="46"/>
      <c r="W441" s="39" t="str">
        <f t="shared" si="105"/>
        <v/>
      </c>
      <c r="X441" s="38"/>
      <c r="Y441" s="48"/>
      <c r="AB441" s="56">
        <f t="shared" si="106"/>
        <v>1</v>
      </c>
      <c r="AC441" s="52"/>
      <c r="AD441" s="52"/>
      <c r="AE441" s="29" t="str">
        <f>IFERROR(
IF(AND(OR(AC441="C",AC441="c"), VLOOKUP(AF441,[1]Diccionario!B:N,13,0)="C"), "OK",IF(AND(OR(AC441="C",AC441="c"), OR(VLOOKUP(AF441,[1]Diccionario!B:N,13,0)="B", VLOOKUP(AF441,[1]Diccionario!B:N,13,0)="A")), "DEFICIT",IF(
AND(OR(AC441="B", AC441="BPAL"), VLOOKUP(AF441,[1]Diccionario!B:N,13,0)="B"), "OK",IF(AND(OR(AC441="B", AC441="BPAL"), VLOOKUP(AF441,[1]Diccionario!B:N,13,0)="A"), "DEFICIT",IF(AND(OR(AC441="B", AC441="BPAL"), VLOOKUP(AF441,[1]Diccionario!B:N,13,0)="C"), "SOBREOFERTA",IF(AND(AC441="A", VLOOKUP(AF441,[1]Diccionario!B:N,13,0)="A"), "OK",IF(
AND(AC441="A", OR(VLOOKUP(AF441,[1]Diccionario!B:N,13,0)="B", VLOOKUP(AF441,[1]Diccionario!B:N,13,0)="C")), "SOBREOFERTA",""
))))))),"")</f>
        <v/>
      </c>
      <c r="AF441" s="48"/>
      <c r="AG441" s="53"/>
      <c r="AH441" s="54"/>
      <c r="AI441" s="55" t="str">
        <f t="shared" si="107"/>
        <v/>
      </c>
      <c r="AJ441" s="46"/>
      <c r="AK441" s="34" t="e">
        <f>IF(AB441&lt;&gt;"",HLOOKUP(VALUE(TEXT(AH441,"h:mm:ss")),IF($C$6="Laboral",[1]Input!$A$4:$Y$227,IF($C$6="Sábado",[1]Input!$A$231:$Y$452,[1]Input!$A$456:$Y$656)),VLOOKUP($C$4,[1]Input!$AG$2:$AI$99,3,0)+IF(AD$5="Ida",0,1),1),"")</f>
        <v>#N/A</v>
      </c>
      <c r="AL441" s="34" t="str">
        <f>IF(AB442&lt;&gt;AB441,AVERAGEIF(AB$9:AB441,AB441,AK$9:AK441),"")</f>
        <v/>
      </c>
      <c r="AM441" s="35" t="str">
        <f>IFERROR(IF(AB442&lt;&gt;AB441,AVERAGEIF(AB$9:AB441,AB441,AT$9:AT441),""),"")</f>
        <v/>
      </c>
      <c r="AN441" s="35" t="str">
        <f>IFERROR(IF(AB442&lt;&gt;AB441,AVERAGEIF(AB$9:AB441,AB441,AU$9:AU441),""),"")</f>
        <v/>
      </c>
      <c r="AO441" s="35" t="str" cm="1">
        <f t="array" ref="AO441">IFERROR(IF(AB442&lt;&gt;AB441,_xlfn.STDEV.P(IF(AB$9:AB441=AB441,AU$9:AU441)),""),"")</f>
        <v/>
      </c>
      <c r="AP441" s="35" t="str" cm="1">
        <f t="array" ref="AP441">IFERROR(IF(AB442&lt;&gt;AB441,_xlfn.STDEV.P(IF(AB$9:AB441=AB441,AT$9:AT441)),""),"")</f>
        <v/>
      </c>
      <c r="AQ441" s="36" t="str">
        <f t="shared" si="98"/>
        <v/>
      </c>
      <c r="AR441" s="36" t="str">
        <f t="shared" si="99"/>
        <v/>
      </c>
      <c r="AS441" s="36" t="str">
        <f t="shared" si="108"/>
        <v/>
      </c>
      <c r="AT441" s="37" t="str">
        <f t="shared" si="100"/>
        <v/>
      </c>
      <c r="AU441" s="37" t="str">
        <f t="shared" si="101"/>
        <v/>
      </c>
      <c r="AV441" s="54"/>
      <c r="AW441" s="46"/>
      <c r="AX441" s="39" t="str" cm="1">
        <f t="array" ref="AX441">IF(AH441&lt;&gt;"",IF(AND(AX439:AX440&lt;&gt;"IE",AQ441&lt;&gt;0,AS441&lt;&gt;""),IF(IFERROR((AQ441/AS441),0) &lt;=1,IFERROR(AQ441/AS441,""),1),""),"")</f>
        <v/>
      </c>
      <c r="AY441" s="46"/>
      <c r="AZ441" s="57"/>
    </row>
    <row r="442" spans="1:52" ht="15.5" x14ac:dyDescent="0.35">
      <c r="A442" s="51">
        <f t="shared" si="109"/>
        <v>1</v>
      </c>
      <c r="B442" s="52"/>
      <c r="C442" s="52"/>
      <c r="D442" s="29" t="str">
        <f>IFERROR(
IF(AND(OR(Planilla!B442="C",Planilla!B442="c"), VLOOKUP(E442,[1]Diccionario!B:N,13,0)="C"), "OK",IF(AND(OR(Planilla!B442="C",Planilla!B442="c"), OR(VLOOKUP(E442,[1]Diccionario!B:N,13,0)="B", VLOOKUP(E442,[1]Diccionario!B:N,13,0)="A")), "DEFICIT",IF(
AND(OR(Planilla!B442="B", Planilla!B442="BPAL"), VLOOKUP(E442,[1]Diccionario!B:N,13,0)="B"), "OK",IF(AND(OR(Planilla!B442="B", Planilla!B442="BPAL"), VLOOKUP(E442,[1]Diccionario!B:N,13,0)="A"), "DEFICIT",IF(AND(OR(Planilla!B442="B", Planilla!B442="BPAL"), VLOOKUP(E442,[1]Diccionario!B:N,13,0)="C"), "SOBREOFERTA",IF(AND(Planilla!B442="A", VLOOKUP(E442,[1]Diccionario!B:N,13,0)="A"), "OK",IF(
AND(Planilla!B442="A", OR(VLOOKUP(E442,[1]Diccionario!B:N,13,0)="B", VLOOKUP(E442,[1]Diccionario!B:N,13,0)="C")), "SOBREOFERTA",""
))))))),"")</f>
        <v/>
      </c>
      <c r="E442" s="48"/>
      <c r="F442" s="53"/>
      <c r="G442" s="54"/>
      <c r="H442" s="55" t="str">
        <f t="shared" si="102"/>
        <v/>
      </c>
      <c r="I442" s="35"/>
      <c r="J442" s="34" t="e">
        <f>IF(A442&lt;&gt;"",HLOOKUP(VALUE(TEXT(G442,"h:mm:ss")),IF($C$6="Laboral",[1]Input!$A$4:$Y$227,IF($C$6="Sábado",[1]Input!$A$231:$Y$452,[1]Input!$A$456:$Y$656)),VLOOKUP($C$4,[1]Input!$AG$2:$AI$99,3,0)+IF(C$5="Ida",0,1),1),"")</f>
        <v>#N/A</v>
      </c>
      <c r="K442" s="34" t="str">
        <f>IF(A443&lt;&gt;A442,AVERAGEIF(A$9:A442,A442,J$13:J442),"")</f>
        <v/>
      </c>
      <c r="L442" s="35" t="str">
        <f>IFERROR(IF(A443&lt;&gt;A442,AVERAGEIF(A$9:A442,A442,S$13:S442),""),"")</f>
        <v/>
      </c>
      <c r="M442" s="35" t="str">
        <f>IFERROR(IF(A443&lt;&gt;A442,AVERAGEIF(A$9:A442,A442,T$8:T442),""),"")</f>
        <v/>
      </c>
      <c r="N442" s="35" t="str" cm="1">
        <f t="array" ref="N442">IFERROR(IF(A443&lt;&gt;A442,_xlfn.STDEV.P(IF(A$9:A442=A442,T$7:T442)),""),"")</f>
        <v/>
      </c>
      <c r="O442" s="35" t="str" cm="1">
        <f t="array" ref="O442">IFERROR(IF(A443&lt;&gt;A442,_xlfn.STDEV.P(IF(A$9:A442=A442,S$7:S442)),""),"")</f>
        <v/>
      </c>
      <c r="P442" s="36" t="str">
        <f t="shared" si="95"/>
        <v/>
      </c>
      <c r="Q442" s="36" t="str">
        <f t="shared" si="96"/>
        <v/>
      </c>
      <c r="R442" s="36" t="str">
        <f t="shared" si="103"/>
        <v/>
      </c>
      <c r="S442" s="37" t="str">
        <f t="shared" si="104"/>
        <v/>
      </c>
      <c r="T442" s="37" t="str">
        <f t="shared" si="97"/>
        <v/>
      </c>
      <c r="U442" s="54"/>
      <c r="V442" s="46"/>
      <c r="W442" s="39" t="str">
        <f t="shared" si="105"/>
        <v/>
      </c>
      <c r="X442" s="38"/>
      <c r="Y442" s="48"/>
      <c r="AB442" s="56">
        <f t="shared" si="106"/>
        <v>1</v>
      </c>
      <c r="AC442" s="52"/>
      <c r="AD442" s="52"/>
      <c r="AE442" s="29" t="str">
        <f>IFERROR(
IF(AND(OR(AC442="C",AC442="c"), VLOOKUP(AF442,[1]Diccionario!B:N,13,0)="C"), "OK",IF(AND(OR(AC442="C",AC442="c"), OR(VLOOKUP(AF442,[1]Diccionario!B:N,13,0)="B", VLOOKUP(AF442,[1]Diccionario!B:N,13,0)="A")), "DEFICIT",IF(
AND(OR(AC442="B", AC442="BPAL"), VLOOKUP(AF442,[1]Diccionario!B:N,13,0)="B"), "OK",IF(AND(OR(AC442="B", AC442="BPAL"), VLOOKUP(AF442,[1]Diccionario!B:N,13,0)="A"), "DEFICIT",IF(AND(OR(AC442="B", AC442="BPAL"), VLOOKUP(AF442,[1]Diccionario!B:N,13,0)="C"), "SOBREOFERTA",IF(AND(AC442="A", VLOOKUP(AF442,[1]Diccionario!B:N,13,0)="A"), "OK",IF(
AND(AC442="A", OR(VLOOKUP(AF442,[1]Diccionario!B:N,13,0)="B", VLOOKUP(AF442,[1]Diccionario!B:N,13,0)="C")), "SOBREOFERTA",""
))))))),"")</f>
        <v/>
      </c>
      <c r="AF442" s="48"/>
      <c r="AG442" s="53"/>
      <c r="AH442" s="54"/>
      <c r="AI442" s="55" t="str">
        <f t="shared" si="107"/>
        <v/>
      </c>
      <c r="AJ442" s="46"/>
      <c r="AK442" s="34" t="e">
        <f>IF(AB442&lt;&gt;"",HLOOKUP(VALUE(TEXT(AH442,"h:mm:ss")),IF($C$6="Laboral",[1]Input!$A$4:$Y$227,IF($C$6="Sábado",[1]Input!$A$231:$Y$452,[1]Input!$A$456:$Y$656)),VLOOKUP($C$4,[1]Input!$AG$2:$AI$99,3,0)+IF(AD$5="Ida",0,1),1),"")</f>
        <v>#N/A</v>
      </c>
      <c r="AL442" s="34" t="str">
        <f>IF(AB443&lt;&gt;AB442,AVERAGEIF(AB$9:AB442,AB442,AK$9:AK442),"")</f>
        <v/>
      </c>
      <c r="AM442" s="35" t="str">
        <f>IFERROR(IF(AB443&lt;&gt;AB442,AVERAGEIF(AB$9:AB442,AB442,AT$9:AT442),""),"")</f>
        <v/>
      </c>
      <c r="AN442" s="35" t="str">
        <f>IFERROR(IF(AB443&lt;&gt;AB442,AVERAGEIF(AB$9:AB442,AB442,AU$9:AU442),""),"")</f>
        <v/>
      </c>
      <c r="AO442" s="35" t="str" cm="1">
        <f t="array" ref="AO442">IFERROR(IF(AB443&lt;&gt;AB442,_xlfn.STDEV.P(IF(AB$9:AB442=AB442,AU$9:AU442)),""),"")</f>
        <v/>
      </c>
      <c r="AP442" s="35" t="str" cm="1">
        <f t="array" ref="AP442">IFERROR(IF(AB443&lt;&gt;AB442,_xlfn.STDEV.P(IF(AB$9:AB442=AB442,AT$9:AT442)),""),"")</f>
        <v/>
      </c>
      <c r="AQ442" s="36" t="str">
        <f t="shared" si="98"/>
        <v/>
      </c>
      <c r="AR442" s="36" t="str">
        <f t="shared" si="99"/>
        <v/>
      </c>
      <c r="AS442" s="36" t="str">
        <f t="shared" si="108"/>
        <v/>
      </c>
      <c r="AT442" s="37" t="str">
        <f t="shared" si="100"/>
        <v/>
      </c>
      <c r="AU442" s="37" t="str">
        <f t="shared" si="101"/>
        <v/>
      </c>
      <c r="AV442" s="54"/>
      <c r="AW442" s="46"/>
      <c r="AX442" s="39" t="str" cm="1">
        <f t="array" ref="AX442">IF(AH442&lt;&gt;"",IF(AND(AX440:AX441&lt;&gt;"IE",AQ442&lt;&gt;0,AS442&lt;&gt;""),IF(IFERROR((AQ442/AS442),0) &lt;=1,IFERROR(AQ442/AS442,""),1),""),"")</f>
        <v/>
      </c>
      <c r="AY442" s="46"/>
      <c r="AZ442" s="57"/>
    </row>
    <row r="443" spans="1:52" ht="15.5" x14ac:dyDescent="0.35">
      <c r="A443" s="51">
        <f t="shared" si="109"/>
        <v>1</v>
      </c>
      <c r="B443" s="52"/>
      <c r="C443" s="52"/>
      <c r="D443" s="29" t="str">
        <f>IFERROR(
IF(AND(OR(Planilla!B443="C",Planilla!B443="c"), VLOOKUP(E443,[1]Diccionario!B:N,13,0)="C"), "OK",IF(AND(OR(Planilla!B443="C",Planilla!B443="c"), OR(VLOOKUP(E443,[1]Diccionario!B:N,13,0)="B", VLOOKUP(E443,[1]Diccionario!B:N,13,0)="A")), "DEFICIT",IF(
AND(OR(Planilla!B443="B", Planilla!B443="BPAL"), VLOOKUP(E443,[1]Diccionario!B:N,13,0)="B"), "OK",IF(AND(OR(Planilla!B443="B", Planilla!B443="BPAL"), VLOOKUP(E443,[1]Diccionario!B:N,13,0)="A"), "DEFICIT",IF(AND(OR(Planilla!B443="B", Planilla!B443="BPAL"), VLOOKUP(E443,[1]Diccionario!B:N,13,0)="C"), "SOBREOFERTA",IF(AND(Planilla!B443="A", VLOOKUP(E443,[1]Diccionario!B:N,13,0)="A"), "OK",IF(
AND(Planilla!B443="A", OR(VLOOKUP(E443,[1]Diccionario!B:N,13,0)="B", VLOOKUP(E443,[1]Diccionario!B:N,13,0)="C")), "SOBREOFERTA",""
))))))),"")</f>
        <v/>
      </c>
      <c r="E443" s="48"/>
      <c r="F443" s="53"/>
      <c r="G443" s="54"/>
      <c r="H443" s="55" t="str">
        <f t="shared" si="102"/>
        <v/>
      </c>
      <c r="I443" s="35"/>
      <c r="J443" s="34" t="e">
        <f>IF(A443&lt;&gt;"",HLOOKUP(VALUE(TEXT(G443,"h:mm:ss")),IF($C$6="Laboral",[1]Input!$A$4:$Y$227,IF($C$6="Sábado",[1]Input!$A$231:$Y$452,[1]Input!$A$456:$Y$656)),VLOOKUP($C$4,[1]Input!$AG$2:$AI$99,3,0)+IF(C$5="Ida",0,1),1),"")</f>
        <v>#N/A</v>
      </c>
      <c r="K443" s="34" t="str">
        <f>IF(A444&lt;&gt;A443,AVERAGEIF(A$9:A443,A443,J$13:J443),"")</f>
        <v/>
      </c>
      <c r="L443" s="35" t="str">
        <f>IFERROR(IF(A444&lt;&gt;A443,AVERAGEIF(A$9:A443,A443,S$13:S443),""),"")</f>
        <v/>
      </c>
      <c r="M443" s="35" t="str">
        <f>IFERROR(IF(A444&lt;&gt;A443,AVERAGEIF(A$9:A443,A443,T$8:T443),""),"")</f>
        <v/>
      </c>
      <c r="N443" s="35" t="str" cm="1">
        <f t="array" ref="N443">IFERROR(IF(A444&lt;&gt;A443,_xlfn.STDEV.P(IF(A$9:A443=A443,T$7:T443)),""),"")</f>
        <v/>
      </c>
      <c r="O443" s="35" t="str" cm="1">
        <f t="array" ref="O443">IFERROR(IF(A444&lt;&gt;A443,_xlfn.STDEV.P(IF(A$9:A443=A443,S$7:S443)),""),"")</f>
        <v/>
      </c>
      <c r="P443" s="36" t="str">
        <f t="shared" si="95"/>
        <v/>
      </c>
      <c r="Q443" s="36" t="str">
        <f t="shared" si="96"/>
        <v/>
      </c>
      <c r="R443" s="36" t="str">
        <f t="shared" si="103"/>
        <v/>
      </c>
      <c r="S443" s="37" t="str">
        <f t="shared" si="104"/>
        <v/>
      </c>
      <c r="T443" s="37" t="str">
        <f t="shared" si="97"/>
        <v/>
      </c>
      <c r="U443" s="54"/>
      <c r="V443" s="46"/>
      <c r="W443" s="39" t="str">
        <f t="shared" si="105"/>
        <v/>
      </c>
      <c r="X443" s="38"/>
      <c r="Y443" s="48"/>
      <c r="AB443" s="56">
        <f t="shared" si="106"/>
        <v>1</v>
      </c>
      <c r="AC443" s="52"/>
      <c r="AD443" s="52"/>
      <c r="AE443" s="29" t="str">
        <f>IFERROR(
IF(AND(OR(AC443="C",AC443="c"), VLOOKUP(AF443,[1]Diccionario!B:N,13,0)="C"), "OK",IF(AND(OR(AC443="C",AC443="c"), OR(VLOOKUP(AF443,[1]Diccionario!B:N,13,0)="B", VLOOKUP(AF443,[1]Diccionario!B:N,13,0)="A")), "DEFICIT",IF(
AND(OR(AC443="B", AC443="BPAL"), VLOOKUP(AF443,[1]Diccionario!B:N,13,0)="B"), "OK",IF(AND(OR(AC443="B", AC443="BPAL"), VLOOKUP(AF443,[1]Diccionario!B:N,13,0)="A"), "DEFICIT",IF(AND(OR(AC443="B", AC443="BPAL"), VLOOKUP(AF443,[1]Diccionario!B:N,13,0)="C"), "SOBREOFERTA",IF(AND(AC443="A", VLOOKUP(AF443,[1]Diccionario!B:N,13,0)="A"), "OK",IF(
AND(AC443="A", OR(VLOOKUP(AF443,[1]Diccionario!B:N,13,0)="B", VLOOKUP(AF443,[1]Diccionario!B:N,13,0)="C")), "SOBREOFERTA",""
))))))),"")</f>
        <v/>
      </c>
      <c r="AF443" s="48"/>
      <c r="AG443" s="53"/>
      <c r="AH443" s="54"/>
      <c r="AI443" s="55" t="str">
        <f t="shared" si="107"/>
        <v/>
      </c>
      <c r="AJ443" s="46"/>
      <c r="AK443" s="34" t="e">
        <f>IF(AB443&lt;&gt;"",HLOOKUP(VALUE(TEXT(AH443,"h:mm:ss")),IF($C$6="Laboral",[1]Input!$A$4:$Y$227,IF($C$6="Sábado",[1]Input!$A$231:$Y$452,[1]Input!$A$456:$Y$656)),VLOOKUP($C$4,[1]Input!$AG$2:$AI$99,3,0)+IF(AD$5="Ida",0,1),1),"")</f>
        <v>#N/A</v>
      </c>
      <c r="AL443" s="34" t="str">
        <f>IF(AB444&lt;&gt;AB443,AVERAGEIF(AB$9:AB443,AB443,AK$9:AK443),"")</f>
        <v/>
      </c>
      <c r="AM443" s="35" t="str">
        <f>IFERROR(IF(AB444&lt;&gt;AB443,AVERAGEIF(AB$9:AB443,AB443,AT$9:AT443),""),"")</f>
        <v/>
      </c>
      <c r="AN443" s="35" t="str">
        <f>IFERROR(IF(AB444&lt;&gt;AB443,AVERAGEIF(AB$9:AB443,AB443,AU$9:AU443),""),"")</f>
        <v/>
      </c>
      <c r="AO443" s="35" t="str" cm="1">
        <f t="array" ref="AO443">IFERROR(IF(AB444&lt;&gt;AB443,_xlfn.STDEV.P(IF(AB$9:AB443=AB443,AU$9:AU443)),""),"")</f>
        <v/>
      </c>
      <c r="AP443" s="35" t="str" cm="1">
        <f t="array" ref="AP443">IFERROR(IF(AB444&lt;&gt;AB443,_xlfn.STDEV.P(IF(AB$9:AB443=AB443,AT$9:AT443)),""),"")</f>
        <v/>
      </c>
      <c r="AQ443" s="36" t="str">
        <f t="shared" si="98"/>
        <v/>
      </c>
      <c r="AR443" s="36" t="str">
        <f t="shared" si="99"/>
        <v/>
      </c>
      <c r="AS443" s="36" t="str">
        <f t="shared" si="108"/>
        <v/>
      </c>
      <c r="AT443" s="37" t="str">
        <f t="shared" si="100"/>
        <v/>
      </c>
      <c r="AU443" s="37" t="str">
        <f t="shared" si="101"/>
        <v/>
      </c>
      <c r="AV443" s="54"/>
      <c r="AW443" s="46"/>
      <c r="AX443" s="39" t="str" cm="1">
        <f t="array" ref="AX443">IF(AH443&lt;&gt;"",IF(AND(AX441:AX442&lt;&gt;"IE",AQ443&lt;&gt;0,AS443&lt;&gt;""),IF(IFERROR((AQ443/AS443),0) &lt;=1,IFERROR(AQ443/AS443,""),1),""),"")</f>
        <v/>
      </c>
      <c r="AY443" s="46"/>
      <c r="AZ443" s="57"/>
    </row>
    <row r="444" spans="1:52" ht="15.5" x14ac:dyDescent="0.35">
      <c r="A444" s="51">
        <f t="shared" si="109"/>
        <v>1</v>
      </c>
      <c r="B444" s="52"/>
      <c r="C444" s="52"/>
      <c r="D444" s="29" t="str">
        <f>IFERROR(
IF(AND(OR(Planilla!B444="C",Planilla!B444="c"), VLOOKUP(E444,[1]Diccionario!B:N,13,0)="C"), "OK",IF(AND(OR(Planilla!B444="C",Planilla!B444="c"), OR(VLOOKUP(E444,[1]Diccionario!B:N,13,0)="B", VLOOKUP(E444,[1]Diccionario!B:N,13,0)="A")), "DEFICIT",IF(
AND(OR(Planilla!B444="B", Planilla!B444="BPAL"), VLOOKUP(E444,[1]Diccionario!B:N,13,0)="B"), "OK",IF(AND(OR(Planilla!B444="B", Planilla!B444="BPAL"), VLOOKUP(E444,[1]Diccionario!B:N,13,0)="A"), "DEFICIT",IF(AND(OR(Planilla!B444="B", Planilla!B444="BPAL"), VLOOKUP(E444,[1]Diccionario!B:N,13,0)="C"), "SOBREOFERTA",IF(AND(Planilla!B444="A", VLOOKUP(E444,[1]Diccionario!B:N,13,0)="A"), "OK",IF(
AND(Planilla!B444="A", OR(VLOOKUP(E444,[1]Diccionario!B:N,13,0)="B", VLOOKUP(E444,[1]Diccionario!B:N,13,0)="C")), "SOBREOFERTA",""
))))))),"")</f>
        <v/>
      </c>
      <c r="E444" s="48"/>
      <c r="F444" s="53"/>
      <c r="G444" s="54"/>
      <c r="H444" s="55" t="str">
        <f t="shared" si="102"/>
        <v/>
      </c>
      <c r="I444" s="35"/>
      <c r="J444" s="34" t="e">
        <f>IF(A444&lt;&gt;"",HLOOKUP(VALUE(TEXT(G444,"h:mm:ss")),IF($C$6="Laboral",[1]Input!$A$4:$Y$227,IF($C$6="Sábado",[1]Input!$A$231:$Y$452,[1]Input!$A$456:$Y$656)),VLOOKUP($C$4,[1]Input!$AG$2:$AI$99,3,0)+IF(C$5="Ida",0,1),1),"")</f>
        <v>#N/A</v>
      </c>
      <c r="K444" s="34" t="str">
        <f>IF(A445&lt;&gt;A444,AVERAGEIF(A$9:A444,A444,J$13:J444),"")</f>
        <v/>
      </c>
      <c r="L444" s="35" t="str">
        <f>IFERROR(IF(A445&lt;&gt;A444,AVERAGEIF(A$9:A444,A444,S$13:S444),""),"")</f>
        <v/>
      </c>
      <c r="M444" s="35" t="str">
        <f>IFERROR(IF(A445&lt;&gt;A444,AVERAGEIF(A$9:A444,A444,T$8:T444),""),"")</f>
        <v/>
      </c>
      <c r="N444" s="35" t="str" cm="1">
        <f t="array" ref="N444">IFERROR(IF(A445&lt;&gt;A444,_xlfn.STDEV.P(IF(A$9:A444=A444,T$7:T444)),""),"")</f>
        <v/>
      </c>
      <c r="O444" s="35" t="str" cm="1">
        <f t="array" ref="O444">IFERROR(IF(A445&lt;&gt;A444,_xlfn.STDEV.P(IF(A$9:A444=A444,S$7:S444)),""),"")</f>
        <v/>
      </c>
      <c r="P444" s="36" t="str">
        <f t="shared" si="95"/>
        <v/>
      </c>
      <c r="Q444" s="36" t="str">
        <f t="shared" si="96"/>
        <v/>
      </c>
      <c r="R444" s="36" t="str">
        <f t="shared" si="103"/>
        <v/>
      </c>
      <c r="S444" s="37" t="str">
        <f t="shared" si="104"/>
        <v/>
      </c>
      <c r="T444" s="37" t="str">
        <f t="shared" si="97"/>
        <v/>
      </c>
      <c r="U444" s="54"/>
      <c r="V444" s="46"/>
      <c r="W444" s="39" t="str">
        <f t="shared" si="105"/>
        <v/>
      </c>
      <c r="X444" s="38"/>
      <c r="Y444" s="48"/>
      <c r="AB444" s="56">
        <f t="shared" si="106"/>
        <v>1</v>
      </c>
      <c r="AC444" s="52"/>
      <c r="AD444" s="52"/>
      <c r="AE444" s="29" t="str">
        <f>IFERROR(
IF(AND(OR(AC444="C",AC444="c"), VLOOKUP(AF444,[1]Diccionario!B:N,13,0)="C"), "OK",IF(AND(OR(AC444="C",AC444="c"), OR(VLOOKUP(AF444,[1]Diccionario!B:N,13,0)="B", VLOOKUP(AF444,[1]Diccionario!B:N,13,0)="A")), "DEFICIT",IF(
AND(OR(AC444="B", AC444="BPAL"), VLOOKUP(AF444,[1]Diccionario!B:N,13,0)="B"), "OK",IF(AND(OR(AC444="B", AC444="BPAL"), VLOOKUP(AF444,[1]Diccionario!B:N,13,0)="A"), "DEFICIT",IF(AND(OR(AC444="B", AC444="BPAL"), VLOOKUP(AF444,[1]Diccionario!B:N,13,0)="C"), "SOBREOFERTA",IF(AND(AC444="A", VLOOKUP(AF444,[1]Diccionario!B:N,13,0)="A"), "OK",IF(
AND(AC444="A", OR(VLOOKUP(AF444,[1]Diccionario!B:N,13,0)="B", VLOOKUP(AF444,[1]Diccionario!B:N,13,0)="C")), "SOBREOFERTA",""
))))))),"")</f>
        <v/>
      </c>
      <c r="AF444" s="48"/>
      <c r="AG444" s="53"/>
      <c r="AH444" s="54"/>
      <c r="AI444" s="55" t="str">
        <f t="shared" si="107"/>
        <v/>
      </c>
      <c r="AJ444" s="46"/>
      <c r="AK444" s="34" t="e">
        <f>IF(AB444&lt;&gt;"",HLOOKUP(VALUE(TEXT(AH444,"h:mm:ss")),IF($C$6="Laboral",[1]Input!$A$4:$Y$227,IF($C$6="Sábado",[1]Input!$A$231:$Y$452,[1]Input!$A$456:$Y$656)),VLOOKUP($C$4,[1]Input!$AG$2:$AI$99,3,0)+IF(AD$5="Ida",0,1),1),"")</f>
        <v>#N/A</v>
      </c>
      <c r="AL444" s="34" t="str">
        <f>IF(AB445&lt;&gt;AB444,AVERAGEIF(AB$9:AB444,AB444,AK$9:AK444),"")</f>
        <v/>
      </c>
      <c r="AM444" s="35" t="str">
        <f>IFERROR(IF(AB445&lt;&gt;AB444,AVERAGEIF(AB$9:AB444,AB444,AT$9:AT444),""),"")</f>
        <v/>
      </c>
      <c r="AN444" s="35" t="str">
        <f>IFERROR(IF(AB445&lt;&gt;AB444,AVERAGEIF(AB$9:AB444,AB444,AU$9:AU444),""),"")</f>
        <v/>
      </c>
      <c r="AO444" s="35" t="str" cm="1">
        <f t="array" ref="AO444">IFERROR(IF(AB445&lt;&gt;AB444,_xlfn.STDEV.P(IF(AB$9:AB444=AB444,AU$9:AU444)),""),"")</f>
        <v/>
      </c>
      <c r="AP444" s="35" t="str" cm="1">
        <f t="array" ref="AP444">IFERROR(IF(AB445&lt;&gt;AB444,_xlfn.STDEV.P(IF(AB$9:AB444=AB444,AT$9:AT444)),""),"")</f>
        <v/>
      </c>
      <c r="AQ444" s="36" t="str">
        <f t="shared" si="98"/>
        <v/>
      </c>
      <c r="AR444" s="36" t="str">
        <f t="shared" si="99"/>
        <v/>
      </c>
      <c r="AS444" s="36" t="str">
        <f t="shared" si="108"/>
        <v/>
      </c>
      <c r="AT444" s="37" t="str">
        <f t="shared" si="100"/>
        <v/>
      </c>
      <c r="AU444" s="37" t="str">
        <f t="shared" si="101"/>
        <v/>
      </c>
      <c r="AV444" s="54"/>
      <c r="AW444" s="46"/>
      <c r="AX444" s="39" t="str" cm="1">
        <f t="array" ref="AX444">IF(AH444&lt;&gt;"",IF(AND(AX442:AX443&lt;&gt;"IE",AQ444&lt;&gt;0,AS444&lt;&gt;""),IF(IFERROR((AQ444/AS444),0) &lt;=1,IFERROR(AQ444/AS444,""),1),""),"")</f>
        <v/>
      </c>
      <c r="AY444" s="46"/>
      <c r="AZ444" s="57"/>
    </row>
    <row r="445" spans="1:52" ht="15.5" x14ac:dyDescent="0.35">
      <c r="A445" s="51">
        <f t="shared" si="109"/>
        <v>1</v>
      </c>
      <c r="B445" s="52"/>
      <c r="C445" s="52"/>
      <c r="D445" s="29" t="str">
        <f>IFERROR(
IF(AND(OR(Planilla!B445="C",Planilla!B445="c"), VLOOKUP(E445,[1]Diccionario!B:N,13,0)="C"), "OK",IF(AND(OR(Planilla!B445="C",Planilla!B445="c"), OR(VLOOKUP(E445,[1]Diccionario!B:N,13,0)="B", VLOOKUP(E445,[1]Diccionario!B:N,13,0)="A")), "DEFICIT",IF(
AND(OR(Planilla!B445="B", Planilla!B445="BPAL"), VLOOKUP(E445,[1]Diccionario!B:N,13,0)="B"), "OK",IF(AND(OR(Planilla!B445="B", Planilla!B445="BPAL"), VLOOKUP(E445,[1]Diccionario!B:N,13,0)="A"), "DEFICIT",IF(AND(OR(Planilla!B445="B", Planilla!B445="BPAL"), VLOOKUP(E445,[1]Diccionario!B:N,13,0)="C"), "SOBREOFERTA",IF(AND(Planilla!B445="A", VLOOKUP(E445,[1]Diccionario!B:N,13,0)="A"), "OK",IF(
AND(Planilla!B445="A", OR(VLOOKUP(E445,[1]Diccionario!B:N,13,0)="B", VLOOKUP(E445,[1]Diccionario!B:N,13,0)="C")), "SOBREOFERTA",""
))))))),"")</f>
        <v/>
      </c>
      <c r="E445" s="48"/>
      <c r="F445" s="53"/>
      <c r="G445" s="54"/>
      <c r="H445" s="55" t="str">
        <f t="shared" si="102"/>
        <v/>
      </c>
      <c r="I445" s="35"/>
      <c r="J445" s="34" t="e">
        <f>IF(A445&lt;&gt;"",HLOOKUP(VALUE(TEXT(G445,"h:mm:ss")),IF($C$6="Laboral",[1]Input!$A$4:$Y$227,IF($C$6="Sábado",[1]Input!$A$231:$Y$452,[1]Input!$A$456:$Y$656)),VLOOKUP($C$4,[1]Input!$AG$2:$AI$99,3,0)+IF(C$5="Ida",0,1),1),"")</f>
        <v>#N/A</v>
      </c>
      <c r="K445" s="34" t="str">
        <f>IF(A446&lt;&gt;A445,AVERAGEIF(A$9:A445,A445,J$13:J445),"")</f>
        <v/>
      </c>
      <c r="L445" s="35" t="str">
        <f>IFERROR(IF(A446&lt;&gt;A445,AVERAGEIF(A$9:A445,A445,S$13:S445),""),"")</f>
        <v/>
      </c>
      <c r="M445" s="35" t="str">
        <f>IFERROR(IF(A446&lt;&gt;A445,AVERAGEIF(A$9:A445,A445,T$8:T445),""),"")</f>
        <v/>
      </c>
      <c r="N445" s="35" t="str" cm="1">
        <f t="array" ref="N445">IFERROR(IF(A446&lt;&gt;A445,_xlfn.STDEV.P(IF(A$9:A445=A445,T$7:T445)),""),"")</f>
        <v/>
      </c>
      <c r="O445" s="35" t="str" cm="1">
        <f t="array" ref="O445">IFERROR(IF(A446&lt;&gt;A445,_xlfn.STDEV.P(IF(A$9:A445=A445,S$7:S445)),""),"")</f>
        <v/>
      </c>
      <c r="P445" s="36" t="str">
        <f t="shared" si="95"/>
        <v/>
      </c>
      <c r="Q445" s="36" t="str">
        <f t="shared" si="96"/>
        <v/>
      </c>
      <c r="R445" s="36" t="str">
        <f t="shared" si="103"/>
        <v/>
      </c>
      <c r="S445" s="37" t="str">
        <f t="shared" si="104"/>
        <v/>
      </c>
      <c r="T445" s="37" t="str">
        <f t="shared" si="97"/>
        <v/>
      </c>
      <c r="U445" s="54"/>
      <c r="V445" s="46"/>
      <c r="W445" s="39" t="str">
        <f t="shared" si="105"/>
        <v/>
      </c>
      <c r="X445" s="38"/>
      <c r="Y445" s="48"/>
      <c r="AB445" s="56">
        <f t="shared" si="106"/>
        <v>1</v>
      </c>
      <c r="AC445" s="52"/>
      <c r="AD445" s="52"/>
      <c r="AE445" s="29" t="str">
        <f>IFERROR(
IF(AND(OR(AC445="C",AC445="c"), VLOOKUP(AF445,[1]Diccionario!B:N,13,0)="C"), "OK",IF(AND(OR(AC445="C",AC445="c"), OR(VLOOKUP(AF445,[1]Diccionario!B:N,13,0)="B", VLOOKUP(AF445,[1]Diccionario!B:N,13,0)="A")), "DEFICIT",IF(
AND(OR(AC445="B", AC445="BPAL"), VLOOKUP(AF445,[1]Diccionario!B:N,13,0)="B"), "OK",IF(AND(OR(AC445="B", AC445="BPAL"), VLOOKUP(AF445,[1]Diccionario!B:N,13,0)="A"), "DEFICIT",IF(AND(OR(AC445="B", AC445="BPAL"), VLOOKUP(AF445,[1]Diccionario!B:N,13,0)="C"), "SOBREOFERTA",IF(AND(AC445="A", VLOOKUP(AF445,[1]Diccionario!B:N,13,0)="A"), "OK",IF(
AND(AC445="A", OR(VLOOKUP(AF445,[1]Diccionario!B:N,13,0)="B", VLOOKUP(AF445,[1]Diccionario!B:N,13,0)="C")), "SOBREOFERTA",""
))))))),"")</f>
        <v/>
      </c>
      <c r="AF445" s="48"/>
      <c r="AG445" s="53"/>
      <c r="AH445" s="54"/>
      <c r="AI445" s="55" t="str">
        <f t="shared" si="107"/>
        <v/>
      </c>
      <c r="AJ445" s="46"/>
      <c r="AK445" s="34" t="e">
        <f>IF(AB445&lt;&gt;"",HLOOKUP(VALUE(TEXT(AH445,"h:mm:ss")),IF($C$6="Laboral",[1]Input!$A$4:$Y$227,IF($C$6="Sábado",[1]Input!$A$231:$Y$452,[1]Input!$A$456:$Y$656)),VLOOKUP($C$4,[1]Input!$AG$2:$AI$99,3,0)+IF(AD$5="Ida",0,1),1),"")</f>
        <v>#N/A</v>
      </c>
      <c r="AL445" s="34" t="str">
        <f>IF(AB446&lt;&gt;AB445,AVERAGEIF(AB$9:AB445,AB445,AK$9:AK445),"")</f>
        <v/>
      </c>
      <c r="AM445" s="35" t="str">
        <f>IFERROR(IF(AB446&lt;&gt;AB445,AVERAGEIF(AB$9:AB445,AB445,AT$9:AT445),""),"")</f>
        <v/>
      </c>
      <c r="AN445" s="35" t="str">
        <f>IFERROR(IF(AB446&lt;&gt;AB445,AVERAGEIF(AB$9:AB445,AB445,AU$9:AU445),""),"")</f>
        <v/>
      </c>
      <c r="AO445" s="35" t="str" cm="1">
        <f t="array" ref="AO445">IFERROR(IF(AB446&lt;&gt;AB445,_xlfn.STDEV.P(IF(AB$9:AB445=AB445,AU$9:AU445)),""),"")</f>
        <v/>
      </c>
      <c r="AP445" s="35" t="str" cm="1">
        <f t="array" ref="AP445">IFERROR(IF(AB446&lt;&gt;AB445,_xlfn.STDEV.P(IF(AB$9:AB445=AB445,AT$9:AT445)),""),"")</f>
        <v/>
      </c>
      <c r="AQ445" s="36" t="str">
        <f t="shared" si="98"/>
        <v/>
      </c>
      <c r="AR445" s="36" t="str">
        <f t="shared" si="99"/>
        <v/>
      </c>
      <c r="AS445" s="36" t="str">
        <f t="shared" si="108"/>
        <v/>
      </c>
      <c r="AT445" s="37" t="str">
        <f t="shared" si="100"/>
        <v/>
      </c>
      <c r="AU445" s="37" t="str">
        <f t="shared" si="101"/>
        <v/>
      </c>
      <c r="AV445" s="54"/>
      <c r="AW445" s="46"/>
      <c r="AX445" s="39" t="str" cm="1">
        <f t="array" ref="AX445">IF(AH445&lt;&gt;"",IF(AND(AX443:AX444&lt;&gt;"IE",AQ445&lt;&gt;0,AS445&lt;&gt;""),IF(IFERROR((AQ445/AS445),0) &lt;=1,IFERROR(AQ445/AS445,""),1),""),"")</f>
        <v/>
      </c>
      <c r="AY445" s="46"/>
      <c r="AZ445" s="57"/>
    </row>
    <row r="446" spans="1:52" ht="15.5" x14ac:dyDescent="0.35">
      <c r="A446" s="51">
        <f t="shared" si="109"/>
        <v>1</v>
      </c>
      <c r="B446" s="52"/>
      <c r="C446" s="52"/>
      <c r="D446" s="29" t="str">
        <f>IFERROR(
IF(AND(OR(Planilla!B446="C",Planilla!B446="c"), VLOOKUP(E446,[1]Diccionario!B:N,13,0)="C"), "OK",IF(AND(OR(Planilla!B446="C",Planilla!B446="c"), OR(VLOOKUP(E446,[1]Diccionario!B:N,13,0)="B", VLOOKUP(E446,[1]Diccionario!B:N,13,0)="A")), "DEFICIT",IF(
AND(OR(Planilla!B446="B", Planilla!B446="BPAL"), VLOOKUP(E446,[1]Diccionario!B:N,13,0)="B"), "OK",IF(AND(OR(Planilla!B446="B", Planilla!B446="BPAL"), VLOOKUP(E446,[1]Diccionario!B:N,13,0)="A"), "DEFICIT",IF(AND(OR(Planilla!B446="B", Planilla!B446="BPAL"), VLOOKUP(E446,[1]Diccionario!B:N,13,0)="C"), "SOBREOFERTA",IF(AND(Planilla!B446="A", VLOOKUP(E446,[1]Diccionario!B:N,13,0)="A"), "OK",IF(
AND(Planilla!B446="A", OR(VLOOKUP(E446,[1]Diccionario!B:N,13,0)="B", VLOOKUP(E446,[1]Diccionario!B:N,13,0)="C")), "SOBREOFERTA",""
))))))),"")</f>
        <v/>
      </c>
      <c r="E446" s="48"/>
      <c r="F446" s="53"/>
      <c r="G446" s="54"/>
      <c r="H446" s="55" t="str">
        <f t="shared" si="102"/>
        <v/>
      </c>
      <c r="I446" s="35"/>
      <c r="J446" s="34" t="e">
        <f>IF(A446&lt;&gt;"",HLOOKUP(VALUE(TEXT(G446,"h:mm:ss")),IF($C$6="Laboral",[1]Input!$A$4:$Y$227,IF($C$6="Sábado",[1]Input!$A$231:$Y$452,[1]Input!$A$456:$Y$656)),VLOOKUP($C$4,[1]Input!$AG$2:$AI$99,3,0)+IF(C$5="Ida",0,1),1),"")</f>
        <v>#N/A</v>
      </c>
      <c r="K446" s="34" t="str">
        <f>IF(A447&lt;&gt;A446,AVERAGEIF(A$9:A446,A446,J$13:J446),"")</f>
        <v/>
      </c>
      <c r="L446" s="35" t="str">
        <f>IFERROR(IF(A447&lt;&gt;A446,AVERAGEIF(A$9:A446,A446,S$13:S446),""),"")</f>
        <v/>
      </c>
      <c r="M446" s="35" t="str">
        <f>IFERROR(IF(A447&lt;&gt;A446,AVERAGEIF(A$9:A446,A446,T$8:T446),""),"")</f>
        <v/>
      </c>
      <c r="N446" s="35" t="str" cm="1">
        <f t="array" ref="N446">IFERROR(IF(A447&lt;&gt;A446,_xlfn.STDEV.P(IF(A$9:A446=A446,T$7:T446)),""),"")</f>
        <v/>
      </c>
      <c r="O446" s="35" t="str" cm="1">
        <f t="array" ref="O446">IFERROR(IF(A447&lt;&gt;A446,_xlfn.STDEV.P(IF(A$9:A446=A446,S$7:S446)),""),"")</f>
        <v/>
      </c>
      <c r="P446" s="36" t="str">
        <f t="shared" si="95"/>
        <v/>
      </c>
      <c r="Q446" s="36" t="str">
        <f t="shared" si="96"/>
        <v/>
      </c>
      <c r="R446" s="36" t="str">
        <f t="shared" si="103"/>
        <v/>
      </c>
      <c r="S446" s="37" t="str">
        <f t="shared" si="104"/>
        <v/>
      </c>
      <c r="T446" s="37" t="str">
        <f t="shared" si="97"/>
        <v/>
      </c>
      <c r="U446" s="54"/>
      <c r="V446" s="46"/>
      <c r="W446" s="39" t="str">
        <f t="shared" si="105"/>
        <v/>
      </c>
      <c r="X446" s="38"/>
      <c r="Y446" s="48"/>
      <c r="AB446" s="56">
        <f t="shared" si="106"/>
        <v>1</v>
      </c>
      <c r="AC446" s="52"/>
      <c r="AD446" s="52"/>
      <c r="AE446" s="29" t="str">
        <f>IFERROR(
IF(AND(OR(AC446="C",AC446="c"), VLOOKUP(AF446,[1]Diccionario!B:N,13,0)="C"), "OK",IF(AND(OR(AC446="C",AC446="c"), OR(VLOOKUP(AF446,[1]Diccionario!B:N,13,0)="B", VLOOKUP(AF446,[1]Diccionario!B:N,13,0)="A")), "DEFICIT",IF(
AND(OR(AC446="B", AC446="BPAL"), VLOOKUP(AF446,[1]Diccionario!B:N,13,0)="B"), "OK",IF(AND(OR(AC446="B", AC446="BPAL"), VLOOKUP(AF446,[1]Diccionario!B:N,13,0)="A"), "DEFICIT",IF(AND(OR(AC446="B", AC446="BPAL"), VLOOKUP(AF446,[1]Diccionario!B:N,13,0)="C"), "SOBREOFERTA",IF(AND(AC446="A", VLOOKUP(AF446,[1]Diccionario!B:N,13,0)="A"), "OK",IF(
AND(AC446="A", OR(VLOOKUP(AF446,[1]Diccionario!B:N,13,0)="B", VLOOKUP(AF446,[1]Diccionario!B:N,13,0)="C")), "SOBREOFERTA",""
))))))),"")</f>
        <v/>
      </c>
      <c r="AF446" s="48"/>
      <c r="AG446" s="53"/>
      <c r="AH446" s="54"/>
      <c r="AI446" s="55" t="str">
        <f t="shared" si="107"/>
        <v/>
      </c>
      <c r="AJ446" s="46"/>
      <c r="AK446" s="34" t="e">
        <f>IF(AB446&lt;&gt;"",HLOOKUP(VALUE(TEXT(AH446,"h:mm:ss")),IF($C$6="Laboral",[1]Input!$A$4:$Y$227,IF($C$6="Sábado",[1]Input!$A$231:$Y$452,[1]Input!$A$456:$Y$656)),VLOOKUP($C$4,[1]Input!$AG$2:$AI$99,3,0)+IF(AD$5="Ida",0,1),1),"")</f>
        <v>#N/A</v>
      </c>
      <c r="AL446" s="34" t="str">
        <f>IF(AB447&lt;&gt;AB446,AVERAGEIF(AB$9:AB446,AB446,AK$9:AK446),"")</f>
        <v/>
      </c>
      <c r="AM446" s="35" t="str">
        <f>IFERROR(IF(AB447&lt;&gt;AB446,AVERAGEIF(AB$9:AB446,AB446,AT$9:AT446),""),"")</f>
        <v/>
      </c>
      <c r="AN446" s="35" t="str">
        <f>IFERROR(IF(AB447&lt;&gt;AB446,AVERAGEIF(AB$9:AB446,AB446,AU$9:AU446),""),"")</f>
        <v/>
      </c>
      <c r="AO446" s="35" t="str" cm="1">
        <f t="array" ref="AO446">IFERROR(IF(AB447&lt;&gt;AB446,_xlfn.STDEV.P(IF(AB$9:AB446=AB446,AU$9:AU446)),""),"")</f>
        <v/>
      </c>
      <c r="AP446" s="35" t="str" cm="1">
        <f t="array" ref="AP446">IFERROR(IF(AB447&lt;&gt;AB446,_xlfn.STDEV.P(IF(AB$9:AB446=AB446,AT$9:AT446)),""),"")</f>
        <v/>
      </c>
      <c r="AQ446" s="36" t="str">
        <f t="shared" si="98"/>
        <v/>
      </c>
      <c r="AR446" s="36" t="str">
        <f t="shared" si="99"/>
        <v/>
      </c>
      <c r="AS446" s="36" t="str">
        <f t="shared" si="108"/>
        <v/>
      </c>
      <c r="AT446" s="37" t="str">
        <f t="shared" si="100"/>
        <v/>
      </c>
      <c r="AU446" s="37" t="str">
        <f t="shared" si="101"/>
        <v/>
      </c>
      <c r="AV446" s="54"/>
      <c r="AW446" s="46"/>
      <c r="AX446" s="39" t="str" cm="1">
        <f t="array" ref="AX446">IF(AH446&lt;&gt;"",IF(AND(AX444:AX445&lt;&gt;"IE",AQ446&lt;&gt;0,AS446&lt;&gt;""),IF(IFERROR((AQ446/AS446),0) &lt;=1,IFERROR(AQ446/AS446,""),1),""),"")</f>
        <v/>
      </c>
      <c r="AY446" s="46"/>
      <c r="AZ446" s="57"/>
    </row>
    <row r="447" spans="1:52" ht="15.5" x14ac:dyDescent="0.35">
      <c r="A447" s="51">
        <f t="shared" si="109"/>
        <v>1</v>
      </c>
      <c r="B447" s="52"/>
      <c r="C447" s="52"/>
      <c r="D447" s="29" t="str">
        <f>IFERROR(
IF(AND(OR(Planilla!B447="C",Planilla!B447="c"), VLOOKUP(E447,[1]Diccionario!B:N,13,0)="C"), "OK",IF(AND(OR(Planilla!B447="C",Planilla!B447="c"), OR(VLOOKUP(E447,[1]Diccionario!B:N,13,0)="B", VLOOKUP(E447,[1]Diccionario!B:N,13,0)="A")), "DEFICIT",IF(
AND(OR(Planilla!B447="B", Planilla!B447="BPAL"), VLOOKUP(E447,[1]Diccionario!B:N,13,0)="B"), "OK",IF(AND(OR(Planilla!B447="B", Planilla!B447="BPAL"), VLOOKUP(E447,[1]Diccionario!B:N,13,0)="A"), "DEFICIT",IF(AND(OR(Planilla!B447="B", Planilla!B447="BPAL"), VLOOKUP(E447,[1]Diccionario!B:N,13,0)="C"), "SOBREOFERTA",IF(AND(Planilla!B447="A", VLOOKUP(E447,[1]Diccionario!B:N,13,0)="A"), "OK",IF(
AND(Planilla!B447="A", OR(VLOOKUP(E447,[1]Diccionario!B:N,13,0)="B", VLOOKUP(E447,[1]Diccionario!B:N,13,0)="C")), "SOBREOFERTA",""
))))))),"")</f>
        <v/>
      </c>
      <c r="E447" s="48"/>
      <c r="F447" s="53"/>
      <c r="G447" s="54"/>
      <c r="H447" s="55" t="str">
        <f t="shared" si="102"/>
        <v/>
      </c>
      <c r="I447" s="35"/>
      <c r="J447" s="34" t="e">
        <f>IF(A447&lt;&gt;"",HLOOKUP(VALUE(TEXT(G447,"h:mm:ss")),IF($C$6="Laboral",[1]Input!$A$4:$Y$227,IF($C$6="Sábado",[1]Input!$A$231:$Y$452,[1]Input!$A$456:$Y$656)),VLOOKUP($C$4,[1]Input!$AG$2:$AI$99,3,0)+IF(C$5="Ida",0,1),1),"")</f>
        <v>#N/A</v>
      </c>
      <c r="K447" s="34" t="str">
        <f>IF(A448&lt;&gt;A447,AVERAGEIF(A$9:A447,A447,J$13:J447),"")</f>
        <v/>
      </c>
      <c r="L447" s="35" t="str">
        <f>IFERROR(IF(A448&lt;&gt;A447,AVERAGEIF(A$9:A447,A447,S$13:S447),""),"")</f>
        <v/>
      </c>
      <c r="M447" s="35" t="str">
        <f>IFERROR(IF(A448&lt;&gt;A447,AVERAGEIF(A$9:A447,A447,T$8:T447),""),"")</f>
        <v/>
      </c>
      <c r="N447" s="35" t="str" cm="1">
        <f t="array" ref="N447">IFERROR(IF(A448&lt;&gt;A447,_xlfn.STDEV.P(IF(A$9:A447=A447,T$7:T447)),""),"")</f>
        <v/>
      </c>
      <c r="O447" s="35" t="str" cm="1">
        <f t="array" ref="O447">IFERROR(IF(A448&lt;&gt;A447,_xlfn.STDEV.P(IF(A$9:A447=A447,S$7:S447)),""),"")</f>
        <v/>
      </c>
      <c r="P447" s="36" t="str">
        <f t="shared" si="95"/>
        <v/>
      </c>
      <c r="Q447" s="36" t="str">
        <f t="shared" si="96"/>
        <v/>
      </c>
      <c r="R447" s="36" t="str">
        <f t="shared" si="103"/>
        <v/>
      </c>
      <c r="S447" s="37" t="str">
        <f t="shared" si="104"/>
        <v/>
      </c>
      <c r="T447" s="37" t="str">
        <f t="shared" si="97"/>
        <v/>
      </c>
      <c r="U447" s="54"/>
      <c r="V447" s="46"/>
      <c r="W447" s="39" t="str">
        <f t="shared" si="105"/>
        <v/>
      </c>
      <c r="X447" s="38"/>
      <c r="Y447" s="48"/>
      <c r="AB447" s="56">
        <f t="shared" si="106"/>
        <v>1</v>
      </c>
      <c r="AC447" s="52"/>
      <c r="AD447" s="52"/>
      <c r="AE447" s="29" t="str">
        <f>IFERROR(
IF(AND(OR(AC447="C",AC447="c"), VLOOKUP(AF447,[1]Diccionario!B:N,13,0)="C"), "OK",IF(AND(OR(AC447="C",AC447="c"), OR(VLOOKUP(AF447,[1]Diccionario!B:N,13,0)="B", VLOOKUP(AF447,[1]Diccionario!B:N,13,0)="A")), "DEFICIT",IF(
AND(OR(AC447="B", AC447="BPAL"), VLOOKUP(AF447,[1]Diccionario!B:N,13,0)="B"), "OK",IF(AND(OR(AC447="B", AC447="BPAL"), VLOOKUP(AF447,[1]Diccionario!B:N,13,0)="A"), "DEFICIT",IF(AND(OR(AC447="B", AC447="BPAL"), VLOOKUP(AF447,[1]Diccionario!B:N,13,0)="C"), "SOBREOFERTA",IF(AND(AC447="A", VLOOKUP(AF447,[1]Diccionario!B:N,13,0)="A"), "OK",IF(
AND(AC447="A", OR(VLOOKUP(AF447,[1]Diccionario!B:N,13,0)="B", VLOOKUP(AF447,[1]Diccionario!B:N,13,0)="C")), "SOBREOFERTA",""
))))))),"")</f>
        <v/>
      </c>
      <c r="AF447" s="48"/>
      <c r="AG447" s="53"/>
      <c r="AH447" s="54"/>
      <c r="AI447" s="55" t="str">
        <f t="shared" si="107"/>
        <v/>
      </c>
      <c r="AJ447" s="46"/>
      <c r="AK447" s="34" t="e">
        <f>IF(AB447&lt;&gt;"",HLOOKUP(VALUE(TEXT(AH447,"h:mm:ss")),IF($C$6="Laboral",[1]Input!$A$4:$Y$227,IF($C$6="Sábado",[1]Input!$A$231:$Y$452,[1]Input!$A$456:$Y$656)),VLOOKUP($C$4,[1]Input!$AG$2:$AI$99,3,0)+IF(AD$5="Ida",0,1),1),"")</f>
        <v>#N/A</v>
      </c>
      <c r="AL447" s="34" t="str">
        <f>IF(AB448&lt;&gt;AB447,AVERAGEIF(AB$9:AB447,AB447,AK$9:AK447),"")</f>
        <v/>
      </c>
      <c r="AM447" s="35" t="str">
        <f>IFERROR(IF(AB448&lt;&gt;AB447,AVERAGEIF(AB$9:AB447,AB447,AT$9:AT447),""),"")</f>
        <v/>
      </c>
      <c r="AN447" s="35" t="str">
        <f>IFERROR(IF(AB448&lt;&gt;AB447,AVERAGEIF(AB$9:AB447,AB447,AU$9:AU447),""),"")</f>
        <v/>
      </c>
      <c r="AO447" s="35" t="str" cm="1">
        <f t="array" ref="AO447">IFERROR(IF(AB448&lt;&gt;AB447,_xlfn.STDEV.P(IF(AB$9:AB447=AB447,AU$9:AU447)),""),"")</f>
        <v/>
      </c>
      <c r="AP447" s="35" t="str" cm="1">
        <f t="array" ref="AP447">IFERROR(IF(AB448&lt;&gt;AB447,_xlfn.STDEV.P(IF(AB$9:AB447=AB447,AT$9:AT447)),""),"")</f>
        <v/>
      </c>
      <c r="AQ447" s="36" t="str">
        <f t="shared" si="98"/>
        <v/>
      </c>
      <c r="AR447" s="36" t="str">
        <f t="shared" si="99"/>
        <v/>
      </c>
      <c r="AS447" s="36" t="str">
        <f t="shared" si="108"/>
        <v/>
      </c>
      <c r="AT447" s="37" t="str">
        <f t="shared" si="100"/>
        <v/>
      </c>
      <c r="AU447" s="37" t="str">
        <f t="shared" si="101"/>
        <v/>
      </c>
      <c r="AV447" s="54"/>
      <c r="AW447" s="46"/>
      <c r="AX447" s="39" t="str" cm="1">
        <f t="array" ref="AX447">IF(AH447&lt;&gt;"",IF(AND(AX445:AX446&lt;&gt;"IE",AQ447&lt;&gt;0,AS447&lt;&gt;""),IF(IFERROR((AQ447/AS447),0) &lt;=1,IFERROR(AQ447/AS447,""),1),""),"")</f>
        <v/>
      </c>
      <c r="AY447" s="46"/>
      <c r="AZ447" s="57"/>
    </row>
    <row r="448" spans="1:52" ht="15.5" x14ac:dyDescent="0.35">
      <c r="A448" s="51">
        <f t="shared" si="109"/>
        <v>1</v>
      </c>
      <c r="B448" s="52"/>
      <c r="C448" s="52"/>
      <c r="D448" s="29" t="str">
        <f>IFERROR(
IF(AND(OR(Planilla!B448="C",Planilla!B448="c"), VLOOKUP(E448,[1]Diccionario!B:N,13,0)="C"), "OK",IF(AND(OR(Planilla!B448="C",Planilla!B448="c"), OR(VLOOKUP(E448,[1]Diccionario!B:N,13,0)="B", VLOOKUP(E448,[1]Diccionario!B:N,13,0)="A")), "DEFICIT",IF(
AND(OR(Planilla!B448="B", Planilla!B448="BPAL"), VLOOKUP(E448,[1]Diccionario!B:N,13,0)="B"), "OK",IF(AND(OR(Planilla!B448="B", Planilla!B448="BPAL"), VLOOKUP(E448,[1]Diccionario!B:N,13,0)="A"), "DEFICIT",IF(AND(OR(Planilla!B448="B", Planilla!B448="BPAL"), VLOOKUP(E448,[1]Diccionario!B:N,13,0)="C"), "SOBREOFERTA",IF(AND(Planilla!B448="A", VLOOKUP(E448,[1]Diccionario!B:N,13,0)="A"), "OK",IF(
AND(Planilla!B448="A", OR(VLOOKUP(E448,[1]Diccionario!B:N,13,0)="B", VLOOKUP(E448,[1]Diccionario!B:N,13,0)="C")), "SOBREOFERTA",""
))))))),"")</f>
        <v/>
      </c>
      <c r="E448" s="48"/>
      <c r="F448" s="53"/>
      <c r="G448" s="54"/>
      <c r="H448" s="55" t="str">
        <f t="shared" si="102"/>
        <v/>
      </c>
      <c r="I448" s="35"/>
      <c r="J448" s="34" t="e">
        <f>IF(A448&lt;&gt;"",HLOOKUP(VALUE(TEXT(G448,"h:mm:ss")),IF($C$6="Laboral",[1]Input!$A$4:$Y$227,IF($C$6="Sábado",[1]Input!$A$231:$Y$452,[1]Input!$A$456:$Y$656)),VLOOKUP($C$4,[1]Input!$AG$2:$AI$99,3,0)+IF(C$5="Ida",0,1),1),"")</f>
        <v>#N/A</v>
      </c>
      <c r="K448" s="34" t="str">
        <f>IF(A449&lt;&gt;A448,AVERAGEIF(A$9:A448,A448,J$13:J448),"")</f>
        <v/>
      </c>
      <c r="L448" s="35" t="str">
        <f>IFERROR(IF(A449&lt;&gt;A448,AVERAGEIF(A$9:A448,A448,S$13:S448),""),"")</f>
        <v/>
      </c>
      <c r="M448" s="35" t="str">
        <f>IFERROR(IF(A449&lt;&gt;A448,AVERAGEIF(A$9:A448,A448,T$8:T448),""),"")</f>
        <v/>
      </c>
      <c r="N448" s="35" t="str" cm="1">
        <f t="array" ref="N448">IFERROR(IF(A449&lt;&gt;A448,_xlfn.STDEV.P(IF(A$9:A448=A448,T$7:T448)),""),"")</f>
        <v/>
      </c>
      <c r="O448" s="35" t="str" cm="1">
        <f t="array" ref="O448">IFERROR(IF(A449&lt;&gt;A448,_xlfn.STDEV.P(IF(A$9:A448=A448,S$7:S448)),""),"")</f>
        <v/>
      </c>
      <c r="P448" s="36" t="str">
        <f t="shared" si="95"/>
        <v/>
      </c>
      <c r="Q448" s="36" t="str">
        <f t="shared" si="96"/>
        <v/>
      </c>
      <c r="R448" s="36" t="str">
        <f t="shared" si="103"/>
        <v/>
      </c>
      <c r="S448" s="37" t="str">
        <f t="shared" si="104"/>
        <v/>
      </c>
      <c r="T448" s="37" t="str">
        <f t="shared" si="97"/>
        <v/>
      </c>
      <c r="U448" s="54"/>
      <c r="V448" s="46"/>
      <c r="W448" s="39" t="str">
        <f t="shared" si="105"/>
        <v/>
      </c>
      <c r="X448" s="38"/>
      <c r="Y448" s="48"/>
      <c r="AB448" s="56">
        <f t="shared" si="106"/>
        <v>1</v>
      </c>
      <c r="AC448" s="52"/>
      <c r="AD448" s="52"/>
      <c r="AE448" s="29" t="str">
        <f>IFERROR(
IF(AND(OR(AC448="C",AC448="c"), VLOOKUP(AF448,[1]Diccionario!B:N,13,0)="C"), "OK",IF(AND(OR(AC448="C",AC448="c"), OR(VLOOKUP(AF448,[1]Diccionario!B:N,13,0)="B", VLOOKUP(AF448,[1]Diccionario!B:N,13,0)="A")), "DEFICIT",IF(
AND(OR(AC448="B", AC448="BPAL"), VLOOKUP(AF448,[1]Diccionario!B:N,13,0)="B"), "OK",IF(AND(OR(AC448="B", AC448="BPAL"), VLOOKUP(AF448,[1]Diccionario!B:N,13,0)="A"), "DEFICIT",IF(AND(OR(AC448="B", AC448="BPAL"), VLOOKUP(AF448,[1]Diccionario!B:N,13,0)="C"), "SOBREOFERTA",IF(AND(AC448="A", VLOOKUP(AF448,[1]Diccionario!B:N,13,0)="A"), "OK",IF(
AND(AC448="A", OR(VLOOKUP(AF448,[1]Diccionario!B:N,13,0)="B", VLOOKUP(AF448,[1]Diccionario!B:N,13,0)="C")), "SOBREOFERTA",""
))))))),"")</f>
        <v/>
      </c>
      <c r="AF448" s="48"/>
      <c r="AG448" s="53"/>
      <c r="AH448" s="54"/>
      <c r="AI448" s="55" t="str">
        <f t="shared" si="107"/>
        <v/>
      </c>
      <c r="AJ448" s="46"/>
      <c r="AK448" s="34" t="e">
        <f>IF(AB448&lt;&gt;"",HLOOKUP(VALUE(TEXT(AH448,"h:mm:ss")),IF($C$6="Laboral",[1]Input!$A$4:$Y$227,IF($C$6="Sábado",[1]Input!$A$231:$Y$452,[1]Input!$A$456:$Y$656)),VLOOKUP($C$4,[1]Input!$AG$2:$AI$99,3,0)+IF(AD$5="Ida",0,1),1),"")</f>
        <v>#N/A</v>
      </c>
      <c r="AL448" s="34" t="str">
        <f>IF(AB449&lt;&gt;AB448,AVERAGEIF(AB$9:AB448,AB448,AK$9:AK448),"")</f>
        <v/>
      </c>
      <c r="AM448" s="35" t="str">
        <f>IFERROR(IF(AB449&lt;&gt;AB448,AVERAGEIF(AB$9:AB448,AB448,AT$9:AT448),""),"")</f>
        <v/>
      </c>
      <c r="AN448" s="35" t="str">
        <f>IFERROR(IF(AB449&lt;&gt;AB448,AVERAGEIF(AB$9:AB448,AB448,AU$9:AU448),""),"")</f>
        <v/>
      </c>
      <c r="AO448" s="35" t="str" cm="1">
        <f t="array" ref="AO448">IFERROR(IF(AB449&lt;&gt;AB448,_xlfn.STDEV.P(IF(AB$9:AB448=AB448,AU$9:AU448)),""),"")</f>
        <v/>
      </c>
      <c r="AP448" s="35" t="str" cm="1">
        <f t="array" ref="AP448">IFERROR(IF(AB449&lt;&gt;AB448,_xlfn.STDEV.P(IF(AB$9:AB448=AB448,AT$9:AT448)),""),"")</f>
        <v/>
      </c>
      <c r="AQ448" s="36" t="str">
        <f t="shared" si="98"/>
        <v/>
      </c>
      <c r="AR448" s="36" t="str">
        <f t="shared" si="99"/>
        <v/>
      </c>
      <c r="AS448" s="36" t="str">
        <f t="shared" si="108"/>
        <v/>
      </c>
      <c r="AT448" s="37" t="str">
        <f t="shared" si="100"/>
        <v/>
      </c>
      <c r="AU448" s="37" t="str">
        <f t="shared" si="101"/>
        <v/>
      </c>
      <c r="AV448" s="54"/>
      <c r="AW448" s="46"/>
      <c r="AX448" s="39" t="str" cm="1">
        <f t="array" ref="AX448">IF(AH448&lt;&gt;"",IF(AND(AX446:AX447&lt;&gt;"IE",AQ448&lt;&gt;0,AS448&lt;&gt;""),IF(IFERROR((AQ448/AS448),0) &lt;=1,IFERROR(AQ448/AS448,""),1),""),"")</f>
        <v/>
      </c>
      <c r="AY448" s="46"/>
      <c r="AZ448" s="57"/>
    </row>
    <row r="449" spans="1:52" ht="15.5" x14ac:dyDescent="0.35">
      <c r="A449" s="51">
        <f t="shared" si="109"/>
        <v>1</v>
      </c>
      <c r="B449" s="52"/>
      <c r="C449" s="52"/>
      <c r="D449" s="29" t="str">
        <f>IFERROR(
IF(AND(OR(Planilla!B449="C",Planilla!B449="c"), VLOOKUP(E449,[1]Diccionario!B:N,13,0)="C"), "OK",IF(AND(OR(Planilla!B449="C",Planilla!B449="c"), OR(VLOOKUP(E449,[1]Diccionario!B:N,13,0)="B", VLOOKUP(E449,[1]Diccionario!B:N,13,0)="A")), "DEFICIT",IF(
AND(OR(Planilla!B449="B", Planilla!B449="BPAL"), VLOOKUP(E449,[1]Diccionario!B:N,13,0)="B"), "OK",IF(AND(OR(Planilla!B449="B", Planilla!B449="BPAL"), VLOOKUP(E449,[1]Diccionario!B:N,13,0)="A"), "DEFICIT",IF(AND(OR(Planilla!B449="B", Planilla!B449="BPAL"), VLOOKUP(E449,[1]Diccionario!B:N,13,0)="C"), "SOBREOFERTA",IF(AND(Planilla!B449="A", VLOOKUP(E449,[1]Diccionario!B:N,13,0)="A"), "OK",IF(
AND(Planilla!B449="A", OR(VLOOKUP(E449,[1]Diccionario!B:N,13,0)="B", VLOOKUP(E449,[1]Diccionario!B:N,13,0)="C")), "SOBREOFERTA",""
))))))),"")</f>
        <v/>
      </c>
      <c r="E449" s="48"/>
      <c r="F449" s="53"/>
      <c r="G449" s="54"/>
      <c r="H449" s="55" t="str">
        <f t="shared" si="102"/>
        <v/>
      </c>
      <c r="I449" s="35"/>
      <c r="J449" s="34" t="e">
        <f>IF(A449&lt;&gt;"",HLOOKUP(VALUE(TEXT(G449,"h:mm:ss")),IF($C$6="Laboral",[1]Input!$A$4:$Y$227,IF($C$6="Sábado",[1]Input!$A$231:$Y$452,[1]Input!$A$456:$Y$656)),VLOOKUP($C$4,[1]Input!$AG$2:$AI$99,3,0)+IF(C$5="Ida",0,1),1),"")</f>
        <v>#N/A</v>
      </c>
      <c r="K449" s="34" t="str">
        <f>IF(A450&lt;&gt;A449,AVERAGEIF(A$9:A449,A449,J$13:J449),"")</f>
        <v/>
      </c>
      <c r="L449" s="35" t="str">
        <f>IFERROR(IF(A450&lt;&gt;A449,AVERAGEIF(A$9:A449,A449,S$13:S449),""),"")</f>
        <v/>
      </c>
      <c r="M449" s="35" t="str">
        <f>IFERROR(IF(A450&lt;&gt;A449,AVERAGEIF(A$9:A449,A449,T$8:T449),""),"")</f>
        <v/>
      </c>
      <c r="N449" s="35" t="str" cm="1">
        <f t="array" ref="N449">IFERROR(IF(A450&lt;&gt;A449,_xlfn.STDEV.P(IF(A$9:A449=A449,T$7:T449)),""),"")</f>
        <v/>
      </c>
      <c r="O449" s="35" t="str" cm="1">
        <f t="array" ref="O449">IFERROR(IF(A450&lt;&gt;A449,_xlfn.STDEV.P(IF(A$9:A449=A449,S$7:S449)),""),"")</f>
        <v/>
      </c>
      <c r="P449" s="36" t="str">
        <f t="shared" si="95"/>
        <v/>
      </c>
      <c r="Q449" s="36" t="str">
        <f t="shared" si="96"/>
        <v/>
      </c>
      <c r="R449" s="36" t="str">
        <f t="shared" si="103"/>
        <v/>
      </c>
      <c r="S449" s="37" t="str">
        <f t="shared" si="104"/>
        <v/>
      </c>
      <c r="T449" s="37" t="str">
        <f t="shared" si="97"/>
        <v/>
      </c>
      <c r="U449" s="54"/>
      <c r="V449" s="46"/>
      <c r="W449" s="39" t="str">
        <f t="shared" si="105"/>
        <v/>
      </c>
      <c r="X449" s="38"/>
      <c r="Y449" s="48"/>
      <c r="AB449" s="56">
        <f t="shared" si="106"/>
        <v>1</v>
      </c>
      <c r="AC449" s="52"/>
      <c r="AD449" s="52"/>
      <c r="AE449" s="29" t="str">
        <f>IFERROR(
IF(AND(OR(AC449="C",AC449="c"), VLOOKUP(AF449,[1]Diccionario!B:N,13,0)="C"), "OK",IF(AND(OR(AC449="C",AC449="c"), OR(VLOOKUP(AF449,[1]Diccionario!B:N,13,0)="B", VLOOKUP(AF449,[1]Diccionario!B:N,13,0)="A")), "DEFICIT",IF(
AND(OR(AC449="B", AC449="BPAL"), VLOOKUP(AF449,[1]Diccionario!B:N,13,0)="B"), "OK",IF(AND(OR(AC449="B", AC449="BPAL"), VLOOKUP(AF449,[1]Diccionario!B:N,13,0)="A"), "DEFICIT",IF(AND(OR(AC449="B", AC449="BPAL"), VLOOKUP(AF449,[1]Diccionario!B:N,13,0)="C"), "SOBREOFERTA",IF(AND(AC449="A", VLOOKUP(AF449,[1]Diccionario!B:N,13,0)="A"), "OK",IF(
AND(AC449="A", OR(VLOOKUP(AF449,[1]Diccionario!B:N,13,0)="B", VLOOKUP(AF449,[1]Diccionario!B:N,13,0)="C")), "SOBREOFERTA",""
))))))),"")</f>
        <v/>
      </c>
      <c r="AF449" s="48"/>
      <c r="AG449" s="53"/>
      <c r="AH449" s="54"/>
      <c r="AI449" s="55" t="str">
        <f t="shared" si="107"/>
        <v/>
      </c>
      <c r="AJ449" s="46"/>
      <c r="AK449" s="34" t="e">
        <f>IF(AB449&lt;&gt;"",HLOOKUP(VALUE(TEXT(AH449,"h:mm:ss")),IF($C$6="Laboral",[1]Input!$A$4:$Y$227,IF($C$6="Sábado",[1]Input!$A$231:$Y$452,[1]Input!$A$456:$Y$656)),VLOOKUP($C$4,[1]Input!$AG$2:$AI$99,3,0)+IF(AD$5="Ida",0,1),1),"")</f>
        <v>#N/A</v>
      </c>
      <c r="AL449" s="34" t="str">
        <f>IF(AB450&lt;&gt;AB449,AVERAGEIF(AB$9:AB449,AB449,AK$9:AK449),"")</f>
        <v/>
      </c>
      <c r="AM449" s="35" t="str">
        <f>IFERROR(IF(AB450&lt;&gt;AB449,AVERAGEIF(AB$9:AB449,AB449,AT$9:AT449),""),"")</f>
        <v/>
      </c>
      <c r="AN449" s="35" t="str">
        <f>IFERROR(IF(AB450&lt;&gt;AB449,AVERAGEIF(AB$9:AB449,AB449,AU$9:AU449),""),"")</f>
        <v/>
      </c>
      <c r="AO449" s="35" t="str" cm="1">
        <f t="array" ref="AO449">IFERROR(IF(AB450&lt;&gt;AB449,_xlfn.STDEV.P(IF(AB$9:AB449=AB449,AU$9:AU449)),""),"")</f>
        <v/>
      </c>
      <c r="AP449" s="35" t="str" cm="1">
        <f t="array" ref="AP449">IFERROR(IF(AB450&lt;&gt;AB449,_xlfn.STDEV.P(IF(AB$9:AB449=AB449,AT$9:AT449)),""),"")</f>
        <v/>
      </c>
      <c r="AQ449" s="36" t="str">
        <f t="shared" si="98"/>
        <v/>
      </c>
      <c r="AR449" s="36" t="str">
        <f t="shared" si="99"/>
        <v/>
      </c>
      <c r="AS449" s="36" t="str">
        <f t="shared" si="108"/>
        <v/>
      </c>
      <c r="AT449" s="37" t="str">
        <f t="shared" si="100"/>
        <v/>
      </c>
      <c r="AU449" s="37" t="str">
        <f t="shared" si="101"/>
        <v/>
      </c>
      <c r="AV449" s="54"/>
      <c r="AW449" s="46"/>
      <c r="AX449" s="39" t="str" cm="1">
        <f t="array" ref="AX449">IF(AH449&lt;&gt;"",IF(AND(AX447:AX448&lt;&gt;"IE",AQ449&lt;&gt;0,AS449&lt;&gt;""),IF(IFERROR((AQ449/AS449),0) &lt;=1,IFERROR(AQ449/AS449,""),1),""),"")</f>
        <v/>
      </c>
      <c r="AY449" s="46"/>
      <c r="AZ449" s="57"/>
    </row>
    <row r="450" spans="1:52" ht="15.5" x14ac:dyDescent="0.35">
      <c r="A450" s="51">
        <f t="shared" si="109"/>
        <v>1</v>
      </c>
      <c r="B450" s="52"/>
      <c r="C450" s="52"/>
      <c r="D450" s="29" t="str">
        <f>IFERROR(
IF(AND(OR(Planilla!B450="C",Planilla!B450="c"), VLOOKUP(E450,[1]Diccionario!B:N,13,0)="C"), "OK",IF(AND(OR(Planilla!B450="C",Planilla!B450="c"), OR(VLOOKUP(E450,[1]Diccionario!B:N,13,0)="B", VLOOKUP(E450,[1]Diccionario!B:N,13,0)="A")), "DEFICIT",IF(
AND(OR(Planilla!B450="B", Planilla!B450="BPAL"), VLOOKUP(E450,[1]Diccionario!B:N,13,0)="B"), "OK",IF(AND(OR(Planilla!B450="B", Planilla!B450="BPAL"), VLOOKUP(E450,[1]Diccionario!B:N,13,0)="A"), "DEFICIT",IF(AND(OR(Planilla!B450="B", Planilla!B450="BPAL"), VLOOKUP(E450,[1]Diccionario!B:N,13,0)="C"), "SOBREOFERTA",IF(AND(Planilla!B450="A", VLOOKUP(E450,[1]Diccionario!B:N,13,0)="A"), "OK",IF(
AND(Planilla!B450="A", OR(VLOOKUP(E450,[1]Diccionario!B:N,13,0)="B", VLOOKUP(E450,[1]Diccionario!B:N,13,0)="C")), "SOBREOFERTA",""
))))))),"")</f>
        <v/>
      </c>
      <c r="E450" s="48"/>
      <c r="F450" s="53"/>
      <c r="G450" s="54"/>
      <c r="H450" s="55" t="str">
        <f t="shared" si="102"/>
        <v/>
      </c>
      <c r="I450" s="35"/>
      <c r="J450" s="34" t="e">
        <f>IF(A450&lt;&gt;"",HLOOKUP(VALUE(TEXT(G450,"h:mm:ss")),IF($C$6="Laboral",[1]Input!$A$4:$Y$227,IF($C$6="Sábado",[1]Input!$A$231:$Y$452,[1]Input!$A$456:$Y$656)),VLOOKUP($C$4,[1]Input!$AG$2:$AI$99,3,0)+IF(C$5="Ida",0,1),1),"")</f>
        <v>#N/A</v>
      </c>
      <c r="K450" s="34" t="str">
        <f>IF(A451&lt;&gt;A450,AVERAGEIF(A$9:A450,A450,J$13:J450),"")</f>
        <v/>
      </c>
      <c r="L450" s="35" t="str">
        <f>IFERROR(IF(A451&lt;&gt;A450,AVERAGEIF(A$9:A450,A450,S$13:S450),""),"")</f>
        <v/>
      </c>
      <c r="M450" s="35" t="str">
        <f>IFERROR(IF(A451&lt;&gt;A450,AVERAGEIF(A$9:A450,A450,T$8:T450),""),"")</f>
        <v/>
      </c>
      <c r="N450" s="35" t="str" cm="1">
        <f t="array" ref="N450">IFERROR(IF(A451&lt;&gt;A450,_xlfn.STDEV.P(IF(A$9:A450=A450,T$7:T450)),""),"")</f>
        <v/>
      </c>
      <c r="O450" s="35" t="str" cm="1">
        <f t="array" ref="O450">IFERROR(IF(A451&lt;&gt;A450,_xlfn.STDEV.P(IF(A$9:A450=A450,S$7:S450)),""),"")</f>
        <v/>
      </c>
      <c r="P450" s="36" t="str">
        <f t="shared" si="95"/>
        <v/>
      </c>
      <c r="Q450" s="36" t="str">
        <f t="shared" si="96"/>
        <v/>
      </c>
      <c r="R450" s="36" t="str">
        <f t="shared" si="103"/>
        <v/>
      </c>
      <c r="S450" s="37" t="str">
        <f t="shared" si="104"/>
        <v/>
      </c>
      <c r="T450" s="37" t="str">
        <f t="shared" si="97"/>
        <v/>
      </c>
      <c r="U450" s="54"/>
      <c r="V450" s="46"/>
      <c r="W450" s="39" t="str">
        <f t="shared" si="105"/>
        <v/>
      </c>
      <c r="X450" s="38"/>
      <c r="Y450" s="48"/>
      <c r="AB450" s="56">
        <f t="shared" si="106"/>
        <v>1</v>
      </c>
      <c r="AC450" s="52"/>
      <c r="AD450" s="52"/>
      <c r="AE450" s="29" t="str">
        <f>IFERROR(
IF(AND(OR(AC450="C",AC450="c"), VLOOKUP(AF450,[1]Diccionario!B:N,13,0)="C"), "OK",IF(AND(OR(AC450="C",AC450="c"), OR(VLOOKUP(AF450,[1]Diccionario!B:N,13,0)="B", VLOOKUP(AF450,[1]Diccionario!B:N,13,0)="A")), "DEFICIT",IF(
AND(OR(AC450="B", AC450="BPAL"), VLOOKUP(AF450,[1]Diccionario!B:N,13,0)="B"), "OK",IF(AND(OR(AC450="B", AC450="BPAL"), VLOOKUP(AF450,[1]Diccionario!B:N,13,0)="A"), "DEFICIT",IF(AND(OR(AC450="B", AC450="BPAL"), VLOOKUP(AF450,[1]Diccionario!B:N,13,0)="C"), "SOBREOFERTA",IF(AND(AC450="A", VLOOKUP(AF450,[1]Diccionario!B:N,13,0)="A"), "OK",IF(
AND(AC450="A", OR(VLOOKUP(AF450,[1]Diccionario!B:N,13,0)="B", VLOOKUP(AF450,[1]Diccionario!B:N,13,0)="C")), "SOBREOFERTA",""
))))))),"")</f>
        <v/>
      </c>
      <c r="AF450" s="48"/>
      <c r="AG450" s="53"/>
      <c r="AH450" s="54"/>
      <c r="AI450" s="55" t="str">
        <f t="shared" si="107"/>
        <v/>
      </c>
      <c r="AJ450" s="46"/>
      <c r="AK450" s="34" t="e">
        <f>IF(AB450&lt;&gt;"",HLOOKUP(VALUE(TEXT(AH450,"h:mm:ss")),IF($C$6="Laboral",[1]Input!$A$4:$Y$227,IF($C$6="Sábado",[1]Input!$A$231:$Y$452,[1]Input!$A$456:$Y$656)),VLOOKUP($C$4,[1]Input!$AG$2:$AI$99,3,0)+IF(AD$5="Ida",0,1),1),"")</f>
        <v>#N/A</v>
      </c>
      <c r="AL450" s="34" t="str">
        <f>IF(AB451&lt;&gt;AB450,AVERAGEIF(AB$9:AB450,AB450,AK$9:AK450),"")</f>
        <v/>
      </c>
      <c r="AM450" s="35" t="str">
        <f>IFERROR(IF(AB451&lt;&gt;AB450,AVERAGEIF(AB$9:AB450,AB450,AT$9:AT450),""),"")</f>
        <v/>
      </c>
      <c r="AN450" s="35" t="str">
        <f>IFERROR(IF(AB451&lt;&gt;AB450,AVERAGEIF(AB$9:AB450,AB450,AU$9:AU450),""),"")</f>
        <v/>
      </c>
      <c r="AO450" s="35" t="str" cm="1">
        <f t="array" ref="AO450">IFERROR(IF(AB451&lt;&gt;AB450,_xlfn.STDEV.P(IF(AB$9:AB450=AB450,AU$9:AU450)),""),"")</f>
        <v/>
      </c>
      <c r="AP450" s="35" t="str" cm="1">
        <f t="array" ref="AP450">IFERROR(IF(AB451&lt;&gt;AB450,_xlfn.STDEV.P(IF(AB$9:AB450=AB450,AT$9:AT450)),""),"")</f>
        <v/>
      </c>
      <c r="AQ450" s="36" t="str">
        <f t="shared" si="98"/>
        <v/>
      </c>
      <c r="AR450" s="36" t="str">
        <f t="shared" si="99"/>
        <v/>
      </c>
      <c r="AS450" s="36" t="str">
        <f t="shared" si="108"/>
        <v/>
      </c>
      <c r="AT450" s="37" t="str">
        <f t="shared" si="100"/>
        <v/>
      </c>
      <c r="AU450" s="37" t="str">
        <f t="shared" si="101"/>
        <v/>
      </c>
      <c r="AV450" s="54"/>
      <c r="AW450" s="46"/>
      <c r="AX450" s="39" t="str" cm="1">
        <f t="array" ref="AX450">IF(AH450&lt;&gt;"",IF(AND(AX448:AX449&lt;&gt;"IE",AQ450&lt;&gt;0,AS450&lt;&gt;""),IF(IFERROR((AQ450/AS450),0) &lt;=1,IFERROR(AQ450/AS450,""),1),""),"")</f>
        <v/>
      </c>
      <c r="AY450" s="46"/>
      <c r="AZ450" s="57"/>
    </row>
    <row r="451" spans="1:52" ht="15.5" x14ac:dyDescent="0.35">
      <c r="A451" s="51">
        <f t="shared" si="109"/>
        <v>1</v>
      </c>
      <c r="B451" s="52"/>
      <c r="C451" s="52"/>
      <c r="D451" s="29" t="str">
        <f>IFERROR(
IF(AND(OR(Planilla!B451="C",Planilla!B451="c"), VLOOKUP(E451,[1]Diccionario!B:N,13,0)="C"), "OK",IF(AND(OR(Planilla!B451="C",Planilla!B451="c"), OR(VLOOKUP(E451,[1]Diccionario!B:N,13,0)="B", VLOOKUP(E451,[1]Diccionario!B:N,13,0)="A")), "DEFICIT",IF(
AND(OR(Planilla!B451="B", Planilla!B451="BPAL"), VLOOKUP(E451,[1]Diccionario!B:N,13,0)="B"), "OK",IF(AND(OR(Planilla!B451="B", Planilla!B451="BPAL"), VLOOKUP(E451,[1]Diccionario!B:N,13,0)="A"), "DEFICIT",IF(AND(OR(Planilla!B451="B", Planilla!B451="BPAL"), VLOOKUP(E451,[1]Diccionario!B:N,13,0)="C"), "SOBREOFERTA",IF(AND(Planilla!B451="A", VLOOKUP(E451,[1]Diccionario!B:N,13,0)="A"), "OK",IF(
AND(Planilla!B451="A", OR(VLOOKUP(E451,[1]Diccionario!B:N,13,0)="B", VLOOKUP(E451,[1]Diccionario!B:N,13,0)="C")), "SOBREOFERTA",""
))))))),"")</f>
        <v/>
      </c>
      <c r="E451" s="48"/>
      <c r="F451" s="53"/>
      <c r="G451" s="54"/>
      <c r="H451" s="55" t="str">
        <f t="shared" si="102"/>
        <v/>
      </c>
      <c r="I451" s="35"/>
      <c r="J451" s="34" t="e">
        <f>IF(A451&lt;&gt;"",HLOOKUP(VALUE(TEXT(G451,"h:mm:ss")),IF($C$6="Laboral",[1]Input!$A$4:$Y$227,IF($C$6="Sábado",[1]Input!$A$231:$Y$452,[1]Input!$A$456:$Y$656)),VLOOKUP($C$4,[1]Input!$AG$2:$AI$99,3,0)+IF(C$5="Ida",0,1),1),"")</f>
        <v>#N/A</v>
      </c>
      <c r="K451" s="34" t="str">
        <f>IF(A452&lt;&gt;A451,AVERAGEIF(A$9:A451,A451,J$13:J451),"")</f>
        <v/>
      </c>
      <c r="L451" s="35" t="str">
        <f>IFERROR(IF(A452&lt;&gt;A451,AVERAGEIF(A$9:A451,A451,S$13:S451),""),"")</f>
        <v/>
      </c>
      <c r="M451" s="35" t="str">
        <f>IFERROR(IF(A452&lt;&gt;A451,AVERAGEIF(A$9:A451,A451,T$8:T451),""),"")</f>
        <v/>
      </c>
      <c r="N451" s="35" t="str" cm="1">
        <f t="array" ref="N451">IFERROR(IF(A452&lt;&gt;A451,_xlfn.STDEV.P(IF(A$9:A451=A451,T$7:T451)),""),"")</f>
        <v/>
      </c>
      <c r="O451" s="35" t="str" cm="1">
        <f t="array" ref="O451">IFERROR(IF(A452&lt;&gt;A451,_xlfn.STDEV.P(IF(A$9:A451=A451,S$7:S451)),""),"")</f>
        <v/>
      </c>
      <c r="P451" s="36" t="str">
        <f t="shared" si="95"/>
        <v/>
      </c>
      <c r="Q451" s="36" t="str">
        <f t="shared" si="96"/>
        <v/>
      </c>
      <c r="R451" s="36" t="str">
        <f t="shared" si="103"/>
        <v/>
      </c>
      <c r="S451" s="37" t="str">
        <f t="shared" si="104"/>
        <v/>
      </c>
      <c r="T451" s="37" t="str">
        <f t="shared" si="97"/>
        <v/>
      </c>
      <c r="U451" s="54"/>
      <c r="V451" s="46"/>
      <c r="W451" s="39" t="str">
        <f t="shared" si="105"/>
        <v/>
      </c>
      <c r="X451" s="38"/>
      <c r="Y451" s="48"/>
      <c r="AB451" s="56">
        <f t="shared" si="106"/>
        <v>1</v>
      </c>
      <c r="AC451" s="52"/>
      <c r="AD451" s="52"/>
      <c r="AE451" s="29" t="str">
        <f>IFERROR(
IF(AND(OR(AC451="C",AC451="c"), VLOOKUP(AF451,[1]Diccionario!B:N,13,0)="C"), "OK",IF(AND(OR(AC451="C",AC451="c"), OR(VLOOKUP(AF451,[1]Diccionario!B:N,13,0)="B", VLOOKUP(AF451,[1]Diccionario!B:N,13,0)="A")), "DEFICIT",IF(
AND(OR(AC451="B", AC451="BPAL"), VLOOKUP(AF451,[1]Diccionario!B:N,13,0)="B"), "OK",IF(AND(OR(AC451="B", AC451="BPAL"), VLOOKUP(AF451,[1]Diccionario!B:N,13,0)="A"), "DEFICIT",IF(AND(OR(AC451="B", AC451="BPAL"), VLOOKUP(AF451,[1]Diccionario!B:N,13,0)="C"), "SOBREOFERTA",IF(AND(AC451="A", VLOOKUP(AF451,[1]Diccionario!B:N,13,0)="A"), "OK",IF(
AND(AC451="A", OR(VLOOKUP(AF451,[1]Diccionario!B:N,13,0)="B", VLOOKUP(AF451,[1]Diccionario!B:N,13,0)="C")), "SOBREOFERTA",""
))))))),"")</f>
        <v/>
      </c>
      <c r="AF451" s="48"/>
      <c r="AG451" s="53"/>
      <c r="AH451" s="54"/>
      <c r="AI451" s="55" t="str">
        <f t="shared" si="107"/>
        <v/>
      </c>
      <c r="AJ451" s="46"/>
      <c r="AK451" s="34" t="e">
        <f>IF(AB451&lt;&gt;"",HLOOKUP(VALUE(TEXT(AH451,"h:mm:ss")),IF($C$6="Laboral",[1]Input!$A$4:$Y$227,IF($C$6="Sábado",[1]Input!$A$231:$Y$452,[1]Input!$A$456:$Y$656)),VLOOKUP($C$4,[1]Input!$AG$2:$AI$99,3,0)+IF(AD$5="Ida",0,1),1),"")</f>
        <v>#N/A</v>
      </c>
      <c r="AL451" s="34" t="str">
        <f>IF(AB452&lt;&gt;AB451,AVERAGEIF(AB$9:AB451,AB451,AK$9:AK451),"")</f>
        <v/>
      </c>
      <c r="AM451" s="35" t="str">
        <f>IFERROR(IF(AB452&lt;&gt;AB451,AVERAGEIF(AB$9:AB451,AB451,AT$9:AT451),""),"")</f>
        <v/>
      </c>
      <c r="AN451" s="35" t="str">
        <f>IFERROR(IF(AB452&lt;&gt;AB451,AVERAGEIF(AB$9:AB451,AB451,AU$9:AU451),""),"")</f>
        <v/>
      </c>
      <c r="AO451" s="35" t="str" cm="1">
        <f t="array" ref="AO451">IFERROR(IF(AB452&lt;&gt;AB451,_xlfn.STDEV.P(IF(AB$9:AB451=AB451,AU$9:AU451)),""),"")</f>
        <v/>
      </c>
      <c r="AP451" s="35" t="str" cm="1">
        <f t="array" ref="AP451">IFERROR(IF(AB452&lt;&gt;AB451,_xlfn.STDEV.P(IF(AB$9:AB451=AB451,AT$9:AT451)),""),"")</f>
        <v/>
      </c>
      <c r="AQ451" s="36" t="str">
        <f t="shared" si="98"/>
        <v/>
      </c>
      <c r="AR451" s="36" t="str">
        <f t="shared" si="99"/>
        <v/>
      </c>
      <c r="AS451" s="36" t="str">
        <f t="shared" si="108"/>
        <v/>
      </c>
      <c r="AT451" s="37" t="str">
        <f t="shared" si="100"/>
        <v/>
      </c>
      <c r="AU451" s="37" t="str">
        <f t="shared" si="101"/>
        <v/>
      </c>
      <c r="AV451" s="54"/>
      <c r="AW451" s="46"/>
      <c r="AX451" s="39" t="str" cm="1">
        <f t="array" ref="AX451">IF(AH451&lt;&gt;"",IF(AND(AX449:AX450&lt;&gt;"IE",AQ451&lt;&gt;0,AS451&lt;&gt;""),IF(IFERROR((AQ451/AS451),0) &lt;=1,IFERROR(AQ451/AS451,""),1),""),"")</f>
        <v/>
      </c>
      <c r="AY451" s="46"/>
      <c r="AZ451" s="57"/>
    </row>
    <row r="452" spans="1:52" ht="15.5" x14ac:dyDescent="0.35">
      <c r="A452" s="51">
        <f t="shared" si="109"/>
        <v>1</v>
      </c>
      <c r="B452" s="52"/>
      <c r="C452" s="52"/>
      <c r="D452" s="29" t="str">
        <f>IFERROR(
IF(AND(OR(Planilla!B452="C",Planilla!B452="c"), VLOOKUP(E452,[1]Diccionario!B:N,13,0)="C"), "OK",IF(AND(OR(Planilla!B452="C",Planilla!B452="c"), OR(VLOOKUP(E452,[1]Diccionario!B:N,13,0)="B", VLOOKUP(E452,[1]Diccionario!B:N,13,0)="A")), "DEFICIT",IF(
AND(OR(Planilla!B452="B", Planilla!B452="BPAL"), VLOOKUP(E452,[1]Diccionario!B:N,13,0)="B"), "OK",IF(AND(OR(Planilla!B452="B", Planilla!B452="BPAL"), VLOOKUP(E452,[1]Diccionario!B:N,13,0)="A"), "DEFICIT",IF(AND(OR(Planilla!B452="B", Planilla!B452="BPAL"), VLOOKUP(E452,[1]Diccionario!B:N,13,0)="C"), "SOBREOFERTA",IF(AND(Planilla!B452="A", VLOOKUP(E452,[1]Diccionario!B:N,13,0)="A"), "OK",IF(
AND(Planilla!B452="A", OR(VLOOKUP(E452,[1]Diccionario!B:N,13,0)="B", VLOOKUP(E452,[1]Diccionario!B:N,13,0)="C")), "SOBREOFERTA",""
))))))),"")</f>
        <v/>
      </c>
      <c r="E452" s="48"/>
      <c r="F452" s="53"/>
      <c r="G452" s="54"/>
      <c r="H452" s="55" t="str">
        <f t="shared" si="102"/>
        <v/>
      </c>
      <c r="I452" s="35"/>
      <c r="J452" s="34" t="e">
        <f>IF(A452&lt;&gt;"",HLOOKUP(VALUE(TEXT(G452,"h:mm:ss")),IF($C$6="Laboral",[1]Input!$A$4:$Y$227,IF($C$6="Sábado",[1]Input!$A$231:$Y$452,[1]Input!$A$456:$Y$656)),VLOOKUP($C$4,[1]Input!$AG$2:$AI$99,3,0)+IF(C$5="Ida",0,1),1),"")</f>
        <v>#N/A</v>
      </c>
      <c r="K452" s="34" t="str">
        <f>IF(A453&lt;&gt;A452,AVERAGEIF(A$9:A452,A452,J$13:J452),"")</f>
        <v/>
      </c>
      <c r="L452" s="35" t="str">
        <f>IFERROR(IF(A453&lt;&gt;A452,AVERAGEIF(A$9:A452,A452,S$13:S452),""),"")</f>
        <v/>
      </c>
      <c r="M452" s="35" t="str">
        <f>IFERROR(IF(A453&lt;&gt;A452,AVERAGEIF(A$9:A452,A452,T$8:T452),""),"")</f>
        <v/>
      </c>
      <c r="N452" s="35" t="str" cm="1">
        <f t="array" ref="N452">IFERROR(IF(A453&lt;&gt;A452,_xlfn.STDEV.P(IF(A$9:A452=A452,T$7:T452)),""),"")</f>
        <v/>
      </c>
      <c r="O452" s="35" t="str" cm="1">
        <f t="array" ref="O452">IFERROR(IF(A453&lt;&gt;A452,_xlfn.STDEV.P(IF(A$9:A452=A452,S$7:S452)),""),"")</f>
        <v/>
      </c>
      <c r="P452" s="36" t="str">
        <f t="shared" si="95"/>
        <v/>
      </c>
      <c r="Q452" s="36" t="str">
        <f t="shared" si="96"/>
        <v/>
      </c>
      <c r="R452" s="36" t="str">
        <f t="shared" si="103"/>
        <v/>
      </c>
      <c r="S452" s="37" t="str">
        <f t="shared" si="104"/>
        <v/>
      </c>
      <c r="T452" s="37" t="str">
        <f t="shared" si="97"/>
        <v/>
      </c>
      <c r="U452" s="54"/>
      <c r="V452" s="46"/>
      <c r="W452" s="39" t="str">
        <f t="shared" si="105"/>
        <v/>
      </c>
      <c r="X452" s="38"/>
      <c r="Y452" s="48"/>
      <c r="AB452" s="56">
        <f t="shared" si="106"/>
        <v>1</v>
      </c>
      <c r="AC452" s="52"/>
      <c r="AD452" s="52"/>
      <c r="AE452" s="29" t="str">
        <f>IFERROR(
IF(AND(OR(AC452="C",AC452="c"), VLOOKUP(AF452,[1]Diccionario!B:N,13,0)="C"), "OK",IF(AND(OR(AC452="C",AC452="c"), OR(VLOOKUP(AF452,[1]Diccionario!B:N,13,0)="B", VLOOKUP(AF452,[1]Diccionario!B:N,13,0)="A")), "DEFICIT",IF(
AND(OR(AC452="B", AC452="BPAL"), VLOOKUP(AF452,[1]Diccionario!B:N,13,0)="B"), "OK",IF(AND(OR(AC452="B", AC452="BPAL"), VLOOKUP(AF452,[1]Diccionario!B:N,13,0)="A"), "DEFICIT",IF(AND(OR(AC452="B", AC452="BPAL"), VLOOKUP(AF452,[1]Diccionario!B:N,13,0)="C"), "SOBREOFERTA",IF(AND(AC452="A", VLOOKUP(AF452,[1]Diccionario!B:N,13,0)="A"), "OK",IF(
AND(AC452="A", OR(VLOOKUP(AF452,[1]Diccionario!B:N,13,0)="B", VLOOKUP(AF452,[1]Diccionario!B:N,13,0)="C")), "SOBREOFERTA",""
))))))),"")</f>
        <v/>
      </c>
      <c r="AF452" s="48"/>
      <c r="AG452" s="53"/>
      <c r="AH452" s="54"/>
      <c r="AI452" s="55" t="str">
        <f t="shared" si="107"/>
        <v/>
      </c>
      <c r="AJ452" s="46"/>
      <c r="AK452" s="34" t="e">
        <f>IF(AB452&lt;&gt;"",HLOOKUP(VALUE(TEXT(AH452,"h:mm:ss")),IF($C$6="Laboral",[1]Input!$A$4:$Y$227,IF($C$6="Sábado",[1]Input!$A$231:$Y$452,[1]Input!$A$456:$Y$656)),VLOOKUP($C$4,[1]Input!$AG$2:$AI$99,3,0)+IF(AD$5="Ida",0,1),1),"")</f>
        <v>#N/A</v>
      </c>
      <c r="AL452" s="34" t="str">
        <f>IF(AB453&lt;&gt;AB452,AVERAGEIF(AB$9:AB452,AB452,AK$9:AK452),"")</f>
        <v/>
      </c>
      <c r="AM452" s="35" t="str">
        <f>IFERROR(IF(AB453&lt;&gt;AB452,AVERAGEIF(AB$9:AB452,AB452,AT$9:AT452),""),"")</f>
        <v/>
      </c>
      <c r="AN452" s="35" t="str">
        <f>IFERROR(IF(AB453&lt;&gt;AB452,AVERAGEIF(AB$9:AB452,AB452,AU$9:AU452),""),"")</f>
        <v/>
      </c>
      <c r="AO452" s="35" t="str" cm="1">
        <f t="array" ref="AO452">IFERROR(IF(AB453&lt;&gt;AB452,_xlfn.STDEV.P(IF(AB$9:AB452=AB452,AU$9:AU452)),""),"")</f>
        <v/>
      </c>
      <c r="AP452" s="35" t="str" cm="1">
        <f t="array" ref="AP452">IFERROR(IF(AB453&lt;&gt;AB452,_xlfn.STDEV.P(IF(AB$9:AB452=AB452,AT$9:AT452)),""),"")</f>
        <v/>
      </c>
      <c r="AQ452" s="36" t="str">
        <f t="shared" si="98"/>
        <v/>
      </c>
      <c r="AR452" s="36" t="str">
        <f t="shared" si="99"/>
        <v/>
      </c>
      <c r="AS452" s="36" t="str">
        <f t="shared" si="108"/>
        <v/>
      </c>
      <c r="AT452" s="37" t="str">
        <f t="shared" si="100"/>
        <v/>
      </c>
      <c r="AU452" s="37" t="str">
        <f t="shared" si="101"/>
        <v/>
      </c>
      <c r="AV452" s="54"/>
      <c r="AW452" s="46"/>
      <c r="AX452" s="39" t="str" cm="1">
        <f t="array" ref="AX452">IF(AH452&lt;&gt;"",IF(AND(AX450:AX451&lt;&gt;"IE",AQ452&lt;&gt;0,AS452&lt;&gt;""),IF(IFERROR((AQ452/AS452),0) &lt;=1,IFERROR(AQ452/AS452,""),1),""),"")</f>
        <v/>
      </c>
      <c r="AY452" s="46"/>
      <c r="AZ452" s="57"/>
    </row>
    <row r="453" spans="1:52" ht="15.5" x14ac:dyDescent="0.35">
      <c r="A453" s="51">
        <f t="shared" si="109"/>
        <v>1</v>
      </c>
      <c r="B453" s="52"/>
      <c r="C453" s="52"/>
      <c r="D453" s="29" t="str">
        <f>IFERROR(
IF(AND(OR(Planilla!B453="C",Planilla!B453="c"), VLOOKUP(E453,[1]Diccionario!B:N,13,0)="C"), "OK",IF(AND(OR(Planilla!B453="C",Planilla!B453="c"), OR(VLOOKUP(E453,[1]Diccionario!B:N,13,0)="B", VLOOKUP(E453,[1]Diccionario!B:N,13,0)="A")), "DEFICIT",IF(
AND(OR(Planilla!B453="B", Planilla!B453="BPAL"), VLOOKUP(E453,[1]Diccionario!B:N,13,0)="B"), "OK",IF(AND(OR(Planilla!B453="B", Planilla!B453="BPAL"), VLOOKUP(E453,[1]Diccionario!B:N,13,0)="A"), "DEFICIT",IF(AND(OR(Planilla!B453="B", Planilla!B453="BPAL"), VLOOKUP(E453,[1]Diccionario!B:N,13,0)="C"), "SOBREOFERTA",IF(AND(Planilla!B453="A", VLOOKUP(E453,[1]Diccionario!B:N,13,0)="A"), "OK",IF(
AND(Planilla!B453="A", OR(VLOOKUP(E453,[1]Diccionario!B:N,13,0)="B", VLOOKUP(E453,[1]Diccionario!B:N,13,0)="C")), "SOBREOFERTA",""
))))))),"")</f>
        <v/>
      </c>
      <c r="E453" s="48"/>
      <c r="F453" s="53"/>
      <c r="G453" s="54"/>
      <c r="H453" s="55" t="str">
        <f t="shared" si="102"/>
        <v/>
      </c>
      <c r="I453" s="35"/>
      <c r="J453" s="34" t="e">
        <f>IF(A453&lt;&gt;"",HLOOKUP(VALUE(TEXT(G453,"h:mm:ss")),IF($C$6="Laboral",[1]Input!$A$4:$Y$227,IF($C$6="Sábado",[1]Input!$A$231:$Y$452,[1]Input!$A$456:$Y$656)),VLOOKUP($C$4,[1]Input!$AG$2:$AI$99,3,0)+IF(C$5="Ida",0,1),1),"")</f>
        <v>#N/A</v>
      </c>
      <c r="K453" s="34" t="str">
        <f>IF(A454&lt;&gt;A453,AVERAGEIF(A$9:A453,A453,J$13:J453),"")</f>
        <v/>
      </c>
      <c r="L453" s="35" t="str">
        <f>IFERROR(IF(A454&lt;&gt;A453,AVERAGEIF(A$9:A453,A453,S$13:S453),""),"")</f>
        <v/>
      </c>
      <c r="M453" s="35" t="str">
        <f>IFERROR(IF(A454&lt;&gt;A453,AVERAGEIF(A$9:A453,A453,T$8:T453),""),"")</f>
        <v/>
      </c>
      <c r="N453" s="35" t="str" cm="1">
        <f t="array" ref="N453">IFERROR(IF(A454&lt;&gt;A453,_xlfn.STDEV.P(IF(A$9:A453=A453,T$7:T453)),""),"")</f>
        <v/>
      </c>
      <c r="O453" s="35" t="str" cm="1">
        <f t="array" ref="O453">IFERROR(IF(A454&lt;&gt;A453,_xlfn.STDEV.P(IF(A$9:A453=A453,S$7:S453)),""),"")</f>
        <v/>
      </c>
      <c r="P453" s="36" t="str">
        <f t="shared" si="95"/>
        <v/>
      </c>
      <c r="Q453" s="36" t="str">
        <f t="shared" si="96"/>
        <v/>
      </c>
      <c r="R453" s="36" t="str">
        <f t="shared" si="103"/>
        <v/>
      </c>
      <c r="S453" s="37" t="str">
        <f t="shared" si="104"/>
        <v/>
      </c>
      <c r="T453" s="37" t="str">
        <f t="shared" si="97"/>
        <v/>
      </c>
      <c r="U453" s="54"/>
      <c r="V453" s="46"/>
      <c r="W453" s="39" t="str">
        <f t="shared" si="105"/>
        <v/>
      </c>
      <c r="X453" s="38"/>
      <c r="Y453" s="48"/>
      <c r="AB453" s="56">
        <f t="shared" si="106"/>
        <v>1</v>
      </c>
      <c r="AC453" s="52"/>
      <c r="AD453" s="52"/>
      <c r="AE453" s="29" t="str">
        <f>IFERROR(
IF(AND(OR(AC453="C",AC453="c"), VLOOKUP(AF453,[1]Diccionario!B:N,13,0)="C"), "OK",IF(AND(OR(AC453="C",AC453="c"), OR(VLOOKUP(AF453,[1]Diccionario!B:N,13,0)="B", VLOOKUP(AF453,[1]Diccionario!B:N,13,0)="A")), "DEFICIT",IF(
AND(OR(AC453="B", AC453="BPAL"), VLOOKUP(AF453,[1]Diccionario!B:N,13,0)="B"), "OK",IF(AND(OR(AC453="B", AC453="BPAL"), VLOOKUP(AF453,[1]Diccionario!B:N,13,0)="A"), "DEFICIT",IF(AND(OR(AC453="B", AC453="BPAL"), VLOOKUP(AF453,[1]Diccionario!B:N,13,0)="C"), "SOBREOFERTA",IF(AND(AC453="A", VLOOKUP(AF453,[1]Diccionario!B:N,13,0)="A"), "OK",IF(
AND(AC453="A", OR(VLOOKUP(AF453,[1]Diccionario!B:N,13,0)="B", VLOOKUP(AF453,[1]Diccionario!B:N,13,0)="C")), "SOBREOFERTA",""
))))))),"")</f>
        <v/>
      </c>
      <c r="AF453" s="48"/>
      <c r="AG453" s="53"/>
      <c r="AH453" s="54"/>
      <c r="AI453" s="55" t="str">
        <f t="shared" si="107"/>
        <v/>
      </c>
      <c r="AJ453" s="46"/>
      <c r="AK453" s="34" t="e">
        <f>IF(AB453&lt;&gt;"",HLOOKUP(VALUE(TEXT(AH453,"h:mm:ss")),IF($C$6="Laboral",[1]Input!$A$4:$Y$227,IF($C$6="Sábado",[1]Input!$A$231:$Y$452,[1]Input!$A$456:$Y$656)),VLOOKUP($C$4,[1]Input!$AG$2:$AI$99,3,0)+IF(AD$5="Ida",0,1),1),"")</f>
        <v>#N/A</v>
      </c>
      <c r="AL453" s="34" t="str">
        <f>IF(AB454&lt;&gt;AB453,AVERAGEIF(AB$9:AB453,AB453,AK$9:AK453),"")</f>
        <v/>
      </c>
      <c r="AM453" s="35" t="str">
        <f>IFERROR(IF(AB454&lt;&gt;AB453,AVERAGEIF(AB$9:AB453,AB453,AT$9:AT453),""),"")</f>
        <v/>
      </c>
      <c r="AN453" s="35" t="str">
        <f>IFERROR(IF(AB454&lt;&gt;AB453,AVERAGEIF(AB$9:AB453,AB453,AU$9:AU453),""),"")</f>
        <v/>
      </c>
      <c r="AO453" s="35" t="str" cm="1">
        <f t="array" ref="AO453">IFERROR(IF(AB454&lt;&gt;AB453,_xlfn.STDEV.P(IF(AB$9:AB453=AB453,AU$9:AU453)),""),"")</f>
        <v/>
      </c>
      <c r="AP453" s="35" t="str" cm="1">
        <f t="array" ref="AP453">IFERROR(IF(AB454&lt;&gt;AB453,_xlfn.STDEV.P(IF(AB$9:AB453=AB453,AT$9:AT453)),""),"")</f>
        <v/>
      </c>
      <c r="AQ453" s="36" t="str">
        <f t="shared" si="98"/>
        <v/>
      </c>
      <c r="AR453" s="36" t="str">
        <f t="shared" si="99"/>
        <v/>
      </c>
      <c r="AS453" s="36" t="str">
        <f t="shared" si="108"/>
        <v/>
      </c>
      <c r="AT453" s="37" t="str">
        <f t="shared" si="100"/>
        <v/>
      </c>
      <c r="AU453" s="37" t="str">
        <f t="shared" si="101"/>
        <v/>
      </c>
      <c r="AV453" s="54"/>
      <c r="AW453" s="46"/>
      <c r="AX453" s="39" t="str" cm="1">
        <f t="array" ref="AX453">IF(AH453&lt;&gt;"",IF(AND(AX451:AX452&lt;&gt;"IE",AQ453&lt;&gt;0,AS453&lt;&gt;""),IF(IFERROR((AQ453/AS453),0) &lt;=1,IFERROR(AQ453/AS453,""),1),""),"")</f>
        <v/>
      </c>
      <c r="AY453" s="46"/>
      <c r="AZ453" s="57"/>
    </row>
    <row r="454" spans="1:52" ht="15.5" x14ac:dyDescent="0.35">
      <c r="A454" s="51">
        <f t="shared" si="109"/>
        <v>1</v>
      </c>
      <c r="B454" s="52"/>
      <c r="C454" s="52"/>
      <c r="D454" s="29" t="str">
        <f>IFERROR(
IF(AND(OR(Planilla!B454="C",Planilla!B454="c"), VLOOKUP(E454,[1]Diccionario!B:N,13,0)="C"), "OK",IF(AND(OR(Planilla!B454="C",Planilla!B454="c"), OR(VLOOKUP(E454,[1]Diccionario!B:N,13,0)="B", VLOOKUP(E454,[1]Diccionario!B:N,13,0)="A")), "DEFICIT",IF(
AND(OR(Planilla!B454="B", Planilla!B454="BPAL"), VLOOKUP(E454,[1]Diccionario!B:N,13,0)="B"), "OK",IF(AND(OR(Planilla!B454="B", Planilla!B454="BPAL"), VLOOKUP(E454,[1]Diccionario!B:N,13,0)="A"), "DEFICIT",IF(AND(OR(Planilla!B454="B", Planilla!B454="BPAL"), VLOOKUP(E454,[1]Diccionario!B:N,13,0)="C"), "SOBREOFERTA",IF(AND(Planilla!B454="A", VLOOKUP(E454,[1]Diccionario!B:N,13,0)="A"), "OK",IF(
AND(Planilla!B454="A", OR(VLOOKUP(E454,[1]Diccionario!B:N,13,0)="B", VLOOKUP(E454,[1]Diccionario!B:N,13,0)="C")), "SOBREOFERTA",""
))))))),"")</f>
        <v/>
      </c>
      <c r="E454" s="48"/>
      <c r="F454" s="53"/>
      <c r="G454" s="54"/>
      <c r="H454" s="55" t="str">
        <f t="shared" si="102"/>
        <v/>
      </c>
      <c r="I454" s="35"/>
      <c r="J454" s="34" t="e">
        <f>IF(A454&lt;&gt;"",HLOOKUP(VALUE(TEXT(G454,"h:mm:ss")),IF($C$6="Laboral",[1]Input!$A$4:$Y$227,IF($C$6="Sábado",[1]Input!$A$231:$Y$452,[1]Input!$A$456:$Y$656)),VLOOKUP($C$4,[1]Input!$AG$2:$AI$99,3,0)+IF(C$5="Ida",0,1),1),"")</f>
        <v>#N/A</v>
      </c>
      <c r="K454" s="34" t="str">
        <f>IF(A455&lt;&gt;A454,AVERAGEIF(A$9:A454,A454,J$13:J454),"")</f>
        <v/>
      </c>
      <c r="L454" s="35" t="str">
        <f>IFERROR(IF(A455&lt;&gt;A454,AVERAGEIF(A$9:A454,A454,S$13:S454),""),"")</f>
        <v/>
      </c>
      <c r="M454" s="35" t="str">
        <f>IFERROR(IF(A455&lt;&gt;A454,AVERAGEIF(A$9:A454,A454,T$8:T454),""),"")</f>
        <v/>
      </c>
      <c r="N454" s="35" t="str" cm="1">
        <f t="array" ref="N454">IFERROR(IF(A455&lt;&gt;A454,_xlfn.STDEV.P(IF(A$9:A454=A454,T$7:T454)),""),"")</f>
        <v/>
      </c>
      <c r="O454" s="35" t="str" cm="1">
        <f t="array" ref="O454">IFERROR(IF(A455&lt;&gt;A454,_xlfn.STDEV.P(IF(A$9:A454=A454,S$7:S454)),""),"")</f>
        <v/>
      </c>
      <c r="P454" s="36" t="str">
        <f t="shared" si="95"/>
        <v/>
      </c>
      <c r="Q454" s="36" t="str">
        <f t="shared" si="96"/>
        <v/>
      </c>
      <c r="R454" s="36" t="str">
        <f t="shared" si="103"/>
        <v/>
      </c>
      <c r="S454" s="37" t="str">
        <f t="shared" si="104"/>
        <v/>
      </c>
      <c r="T454" s="37" t="str">
        <f t="shared" si="97"/>
        <v/>
      </c>
      <c r="U454" s="54"/>
      <c r="V454" s="46"/>
      <c r="W454" s="39" t="str">
        <f t="shared" si="105"/>
        <v/>
      </c>
      <c r="X454" s="38"/>
      <c r="Y454" s="48"/>
      <c r="AB454" s="56">
        <f t="shared" si="106"/>
        <v>1</v>
      </c>
      <c r="AC454" s="52"/>
      <c r="AD454" s="52"/>
      <c r="AE454" s="29" t="str">
        <f>IFERROR(
IF(AND(OR(AC454="C",AC454="c"), VLOOKUP(AF454,[1]Diccionario!B:N,13,0)="C"), "OK",IF(AND(OR(AC454="C",AC454="c"), OR(VLOOKUP(AF454,[1]Diccionario!B:N,13,0)="B", VLOOKUP(AF454,[1]Diccionario!B:N,13,0)="A")), "DEFICIT",IF(
AND(OR(AC454="B", AC454="BPAL"), VLOOKUP(AF454,[1]Diccionario!B:N,13,0)="B"), "OK",IF(AND(OR(AC454="B", AC454="BPAL"), VLOOKUP(AF454,[1]Diccionario!B:N,13,0)="A"), "DEFICIT",IF(AND(OR(AC454="B", AC454="BPAL"), VLOOKUP(AF454,[1]Diccionario!B:N,13,0)="C"), "SOBREOFERTA",IF(AND(AC454="A", VLOOKUP(AF454,[1]Diccionario!B:N,13,0)="A"), "OK",IF(
AND(AC454="A", OR(VLOOKUP(AF454,[1]Diccionario!B:N,13,0)="B", VLOOKUP(AF454,[1]Diccionario!B:N,13,0)="C")), "SOBREOFERTA",""
))))))),"")</f>
        <v/>
      </c>
      <c r="AF454" s="48"/>
      <c r="AG454" s="53"/>
      <c r="AH454" s="54"/>
      <c r="AI454" s="55" t="str">
        <f t="shared" si="107"/>
        <v/>
      </c>
      <c r="AJ454" s="46"/>
      <c r="AK454" s="34" t="e">
        <f>IF(AB454&lt;&gt;"",HLOOKUP(VALUE(TEXT(AH454,"h:mm:ss")),IF($C$6="Laboral",[1]Input!$A$4:$Y$227,IF($C$6="Sábado",[1]Input!$A$231:$Y$452,[1]Input!$A$456:$Y$656)),VLOOKUP($C$4,[1]Input!$AG$2:$AI$99,3,0)+IF(AD$5="Ida",0,1),1),"")</f>
        <v>#N/A</v>
      </c>
      <c r="AL454" s="34" t="str">
        <f>IF(AB455&lt;&gt;AB454,AVERAGEIF(AB$9:AB454,AB454,AK$9:AK454),"")</f>
        <v/>
      </c>
      <c r="AM454" s="35" t="str">
        <f>IFERROR(IF(AB455&lt;&gt;AB454,AVERAGEIF(AB$9:AB454,AB454,AT$9:AT454),""),"")</f>
        <v/>
      </c>
      <c r="AN454" s="35" t="str">
        <f>IFERROR(IF(AB455&lt;&gt;AB454,AVERAGEIF(AB$9:AB454,AB454,AU$9:AU454),""),"")</f>
        <v/>
      </c>
      <c r="AO454" s="35" t="str" cm="1">
        <f t="array" ref="AO454">IFERROR(IF(AB455&lt;&gt;AB454,_xlfn.STDEV.P(IF(AB$9:AB454=AB454,AU$9:AU454)),""),"")</f>
        <v/>
      </c>
      <c r="AP454" s="35" t="str" cm="1">
        <f t="array" ref="AP454">IFERROR(IF(AB455&lt;&gt;AB454,_xlfn.STDEV.P(IF(AB$9:AB454=AB454,AT$9:AT454)),""),"")</f>
        <v/>
      </c>
      <c r="AQ454" s="36" t="str">
        <f t="shared" si="98"/>
        <v/>
      </c>
      <c r="AR454" s="36" t="str">
        <f t="shared" si="99"/>
        <v/>
      </c>
      <c r="AS454" s="36" t="str">
        <f t="shared" si="108"/>
        <v/>
      </c>
      <c r="AT454" s="37" t="str">
        <f t="shared" si="100"/>
        <v/>
      </c>
      <c r="AU454" s="37" t="str">
        <f t="shared" si="101"/>
        <v/>
      </c>
      <c r="AV454" s="54"/>
      <c r="AW454" s="46"/>
      <c r="AX454" s="39" t="str" cm="1">
        <f t="array" ref="AX454">IF(AH454&lt;&gt;"",IF(AND(AX452:AX453&lt;&gt;"IE",AQ454&lt;&gt;0,AS454&lt;&gt;""),IF(IFERROR((AQ454/AS454),0) &lt;=1,IFERROR(AQ454/AS454,""),1),""),"")</f>
        <v/>
      </c>
      <c r="AY454" s="46"/>
      <c r="AZ454" s="57"/>
    </row>
    <row r="455" spans="1:52" ht="15.5" x14ac:dyDescent="0.35">
      <c r="A455" s="51">
        <f t="shared" si="109"/>
        <v>1</v>
      </c>
      <c r="B455" s="52"/>
      <c r="C455" s="52"/>
      <c r="D455" s="29" t="str">
        <f>IFERROR(
IF(AND(OR(Planilla!B455="C",Planilla!B455="c"), VLOOKUP(E455,[1]Diccionario!B:N,13,0)="C"), "OK",IF(AND(OR(Planilla!B455="C",Planilla!B455="c"), OR(VLOOKUP(E455,[1]Diccionario!B:N,13,0)="B", VLOOKUP(E455,[1]Diccionario!B:N,13,0)="A")), "DEFICIT",IF(
AND(OR(Planilla!B455="B", Planilla!B455="BPAL"), VLOOKUP(E455,[1]Diccionario!B:N,13,0)="B"), "OK",IF(AND(OR(Planilla!B455="B", Planilla!B455="BPAL"), VLOOKUP(E455,[1]Diccionario!B:N,13,0)="A"), "DEFICIT",IF(AND(OR(Planilla!B455="B", Planilla!B455="BPAL"), VLOOKUP(E455,[1]Diccionario!B:N,13,0)="C"), "SOBREOFERTA",IF(AND(Planilla!B455="A", VLOOKUP(E455,[1]Diccionario!B:N,13,0)="A"), "OK",IF(
AND(Planilla!B455="A", OR(VLOOKUP(E455,[1]Diccionario!B:N,13,0)="B", VLOOKUP(E455,[1]Diccionario!B:N,13,0)="C")), "SOBREOFERTA",""
))))))),"")</f>
        <v/>
      </c>
      <c r="E455" s="48"/>
      <c r="F455" s="53"/>
      <c r="G455" s="54"/>
      <c r="H455" s="55" t="str">
        <f t="shared" si="102"/>
        <v/>
      </c>
      <c r="I455" s="35"/>
      <c r="J455" s="34" t="e">
        <f>IF(A455&lt;&gt;"",HLOOKUP(VALUE(TEXT(G455,"h:mm:ss")),IF($C$6="Laboral",[1]Input!$A$4:$Y$227,IF($C$6="Sábado",[1]Input!$A$231:$Y$452,[1]Input!$A$456:$Y$656)),VLOOKUP($C$4,[1]Input!$AG$2:$AI$99,3,0)+IF(C$5="Ida",0,1),1),"")</f>
        <v>#N/A</v>
      </c>
      <c r="K455" s="34" t="str">
        <f>IF(A456&lt;&gt;A455,AVERAGEIF(A$9:A455,A455,J$13:J455),"")</f>
        <v/>
      </c>
      <c r="L455" s="35" t="str">
        <f>IFERROR(IF(A456&lt;&gt;A455,AVERAGEIF(A$9:A455,A455,S$13:S455),""),"")</f>
        <v/>
      </c>
      <c r="M455" s="35" t="str">
        <f>IFERROR(IF(A456&lt;&gt;A455,AVERAGEIF(A$9:A455,A455,T$8:T455),""),"")</f>
        <v/>
      </c>
      <c r="N455" s="35" t="str" cm="1">
        <f t="array" ref="N455">IFERROR(IF(A456&lt;&gt;A455,_xlfn.STDEV.P(IF(A$9:A455=A455,T$7:T455)),""),"")</f>
        <v/>
      </c>
      <c r="O455" s="35" t="str" cm="1">
        <f t="array" ref="O455">IFERROR(IF(A456&lt;&gt;A455,_xlfn.STDEV.P(IF(A$9:A455=A455,S$7:S455)),""),"")</f>
        <v/>
      </c>
      <c r="P455" s="36" t="str">
        <f t="shared" si="95"/>
        <v/>
      </c>
      <c r="Q455" s="36" t="str">
        <f t="shared" si="96"/>
        <v/>
      </c>
      <c r="R455" s="36" t="str">
        <f t="shared" si="103"/>
        <v/>
      </c>
      <c r="S455" s="37" t="str">
        <f t="shared" si="104"/>
        <v/>
      </c>
      <c r="T455" s="37" t="str">
        <f t="shared" si="97"/>
        <v/>
      </c>
      <c r="U455" s="54"/>
      <c r="V455" s="46"/>
      <c r="W455" s="39" t="str">
        <f t="shared" si="105"/>
        <v/>
      </c>
      <c r="X455" s="38"/>
      <c r="Y455" s="48"/>
      <c r="AB455" s="56">
        <f t="shared" si="106"/>
        <v>1</v>
      </c>
      <c r="AC455" s="52"/>
      <c r="AD455" s="52"/>
      <c r="AE455" s="29" t="str">
        <f>IFERROR(
IF(AND(OR(AC455="C",AC455="c"), VLOOKUP(AF455,[1]Diccionario!B:N,13,0)="C"), "OK",IF(AND(OR(AC455="C",AC455="c"), OR(VLOOKUP(AF455,[1]Diccionario!B:N,13,0)="B", VLOOKUP(AF455,[1]Diccionario!B:N,13,0)="A")), "DEFICIT",IF(
AND(OR(AC455="B", AC455="BPAL"), VLOOKUP(AF455,[1]Diccionario!B:N,13,0)="B"), "OK",IF(AND(OR(AC455="B", AC455="BPAL"), VLOOKUP(AF455,[1]Diccionario!B:N,13,0)="A"), "DEFICIT",IF(AND(OR(AC455="B", AC455="BPAL"), VLOOKUP(AF455,[1]Diccionario!B:N,13,0)="C"), "SOBREOFERTA",IF(AND(AC455="A", VLOOKUP(AF455,[1]Diccionario!B:N,13,0)="A"), "OK",IF(
AND(AC455="A", OR(VLOOKUP(AF455,[1]Diccionario!B:N,13,0)="B", VLOOKUP(AF455,[1]Diccionario!B:N,13,0)="C")), "SOBREOFERTA",""
))))))),"")</f>
        <v/>
      </c>
      <c r="AF455" s="48"/>
      <c r="AG455" s="53"/>
      <c r="AH455" s="54"/>
      <c r="AI455" s="55" t="str">
        <f t="shared" si="107"/>
        <v/>
      </c>
      <c r="AJ455" s="46"/>
      <c r="AK455" s="34" t="e">
        <f>IF(AB455&lt;&gt;"",HLOOKUP(VALUE(TEXT(AH455,"h:mm:ss")),IF($C$6="Laboral",[1]Input!$A$4:$Y$227,IF($C$6="Sábado",[1]Input!$A$231:$Y$452,[1]Input!$A$456:$Y$656)),VLOOKUP($C$4,[1]Input!$AG$2:$AI$99,3,0)+IF(AD$5="Ida",0,1),1),"")</f>
        <v>#N/A</v>
      </c>
      <c r="AL455" s="34" t="str">
        <f>IF(AB456&lt;&gt;AB455,AVERAGEIF(AB$9:AB455,AB455,AK$9:AK455),"")</f>
        <v/>
      </c>
      <c r="AM455" s="35" t="str">
        <f>IFERROR(IF(AB456&lt;&gt;AB455,AVERAGEIF(AB$9:AB455,AB455,AT$9:AT455),""),"")</f>
        <v/>
      </c>
      <c r="AN455" s="35" t="str">
        <f>IFERROR(IF(AB456&lt;&gt;AB455,AVERAGEIF(AB$9:AB455,AB455,AU$9:AU455),""),"")</f>
        <v/>
      </c>
      <c r="AO455" s="35" t="str" cm="1">
        <f t="array" ref="AO455">IFERROR(IF(AB456&lt;&gt;AB455,_xlfn.STDEV.P(IF(AB$9:AB455=AB455,AU$9:AU455)),""),"")</f>
        <v/>
      </c>
      <c r="AP455" s="35" t="str" cm="1">
        <f t="array" ref="AP455">IFERROR(IF(AB456&lt;&gt;AB455,_xlfn.STDEV.P(IF(AB$9:AB455=AB455,AT$9:AT455)),""),"")</f>
        <v/>
      </c>
      <c r="AQ455" s="36" t="str">
        <f t="shared" si="98"/>
        <v/>
      </c>
      <c r="AR455" s="36" t="str">
        <f t="shared" si="99"/>
        <v/>
      </c>
      <c r="AS455" s="36" t="str">
        <f t="shared" si="108"/>
        <v/>
      </c>
      <c r="AT455" s="37" t="str">
        <f t="shared" si="100"/>
        <v/>
      </c>
      <c r="AU455" s="37" t="str">
        <f t="shared" si="101"/>
        <v/>
      </c>
      <c r="AV455" s="54"/>
      <c r="AW455" s="46"/>
      <c r="AX455" s="39" t="str" cm="1">
        <f t="array" ref="AX455">IF(AH455&lt;&gt;"",IF(AND(AX453:AX454&lt;&gt;"IE",AQ455&lt;&gt;0,AS455&lt;&gt;""),IF(IFERROR((AQ455/AS455),0) &lt;=1,IFERROR(AQ455/AS455,""),1),""),"")</f>
        <v/>
      </c>
      <c r="AY455" s="46"/>
      <c r="AZ455" s="57"/>
    </row>
    <row r="456" spans="1:52" ht="15.5" x14ac:dyDescent="0.35">
      <c r="A456" s="51">
        <f t="shared" si="109"/>
        <v>1</v>
      </c>
      <c r="B456" s="52"/>
      <c r="C456" s="52"/>
      <c r="D456" s="29" t="str">
        <f>IFERROR(
IF(AND(OR(Planilla!B456="C",Planilla!B456="c"), VLOOKUP(E456,[1]Diccionario!B:N,13,0)="C"), "OK",IF(AND(OR(Planilla!B456="C",Planilla!B456="c"), OR(VLOOKUP(E456,[1]Diccionario!B:N,13,0)="B", VLOOKUP(E456,[1]Diccionario!B:N,13,0)="A")), "DEFICIT",IF(
AND(OR(Planilla!B456="B", Planilla!B456="BPAL"), VLOOKUP(E456,[1]Diccionario!B:N,13,0)="B"), "OK",IF(AND(OR(Planilla!B456="B", Planilla!B456="BPAL"), VLOOKUP(E456,[1]Diccionario!B:N,13,0)="A"), "DEFICIT",IF(AND(OR(Planilla!B456="B", Planilla!B456="BPAL"), VLOOKUP(E456,[1]Diccionario!B:N,13,0)="C"), "SOBREOFERTA",IF(AND(Planilla!B456="A", VLOOKUP(E456,[1]Diccionario!B:N,13,0)="A"), "OK",IF(
AND(Planilla!B456="A", OR(VLOOKUP(E456,[1]Diccionario!B:N,13,0)="B", VLOOKUP(E456,[1]Diccionario!B:N,13,0)="C")), "SOBREOFERTA",""
))))))),"")</f>
        <v/>
      </c>
      <c r="E456" s="48"/>
      <c r="F456" s="53"/>
      <c r="G456" s="54"/>
      <c r="H456" s="55" t="str">
        <f t="shared" si="102"/>
        <v/>
      </c>
      <c r="I456" s="35"/>
      <c r="J456" s="34" t="e">
        <f>IF(A456&lt;&gt;"",HLOOKUP(VALUE(TEXT(G456,"h:mm:ss")),IF($C$6="Laboral",[1]Input!$A$4:$Y$227,IF($C$6="Sábado",[1]Input!$A$231:$Y$452,[1]Input!$A$456:$Y$656)),VLOOKUP($C$4,[1]Input!$AG$2:$AI$99,3,0)+IF(C$5="Ida",0,1),1),"")</f>
        <v>#N/A</v>
      </c>
      <c r="K456" s="34" t="str">
        <f>IF(A457&lt;&gt;A456,AVERAGEIF(A$9:A456,A456,J$13:J456),"")</f>
        <v/>
      </c>
      <c r="L456" s="35" t="str">
        <f>IFERROR(IF(A457&lt;&gt;A456,AVERAGEIF(A$9:A456,A456,S$13:S456),""),"")</f>
        <v/>
      </c>
      <c r="M456" s="35" t="str">
        <f>IFERROR(IF(A457&lt;&gt;A456,AVERAGEIF(A$9:A456,A456,T$8:T456),""),"")</f>
        <v/>
      </c>
      <c r="N456" s="35" t="str" cm="1">
        <f t="array" ref="N456">IFERROR(IF(A457&lt;&gt;A456,_xlfn.STDEV.P(IF(A$9:A456=A456,T$7:T456)),""),"")</f>
        <v/>
      </c>
      <c r="O456" s="35" t="str" cm="1">
        <f t="array" ref="O456">IFERROR(IF(A457&lt;&gt;A456,_xlfn.STDEV.P(IF(A$9:A456=A456,S$7:S456)),""),"")</f>
        <v/>
      </c>
      <c r="P456" s="36" t="str">
        <f t="shared" si="95"/>
        <v/>
      </c>
      <c r="Q456" s="36" t="str">
        <f t="shared" si="96"/>
        <v/>
      </c>
      <c r="R456" s="36" t="str">
        <f t="shared" si="103"/>
        <v/>
      </c>
      <c r="S456" s="37" t="str">
        <f t="shared" si="104"/>
        <v/>
      </c>
      <c r="T456" s="37" t="str">
        <f t="shared" si="97"/>
        <v/>
      </c>
      <c r="U456" s="54"/>
      <c r="V456" s="46"/>
      <c r="W456" s="39" t="str">
        <f t="shared" si="105"/>
        <v/>
      </c>
      <c r="X456" s="38"/>
      <c r="Y456" s="48"/>
      <c r="AB456" s="56">
        <f t="shared" si="106"/>
        <v>1</v>
      </c>
      <c r="AC456" s="52"/>
      <c r="AD456" s="52"/>
      <c r="AE456" s="29" t="str">
        <f>IFERROR(
IF(AND(OR(AC456="C",AC456="c"), VLOOKUP(AF456,[1]Diccionario!B:N,13,0)="C"), "OK",IF(AND(OR(AC456="C",AC456="c"), OR(VLOOKUP(AF456,[1]Diccionario!B:N,13,0)="B", VLOOKUP(AF456,[1]Diccionario!B:N,13,0)="A")), "DEFICIT",IF(
AND(OR(AC456="B", AC456="BPAL"), VLOOKUP(AF456,[1]Diccionario!B:N,13,0)="B"), "OK",IF(AND(OR(AC456="B", AC456="BPAL"), VLOOKUP(AF456,[1]Diccionario!B:N,13,0)="A"), "DEFICIT",IF(AND(OR(AC456="B", AC456="BPAL"), VLOOKUP(AF456,[1]Diccionario!B:N,13,0)="C"), "SOBREOFERTA",IF(AND(AC456="A", VLOOKUP(AF456,[1]Diccionario!B:N,13,0)="A"), "OK",IF(
AND(AC456="A", OR(VLOOKUP(AF456,[1]Diccionario!B:N,13,0)="B", VLOOKUP(AF456,[1]Diccionario!B:N,13,0)="C")), "SOBREOFERTA",""
))))))),"")</f>
        <v/>
      </c>
      <c r="AF456" s="48"/>
      <c r="AG456" s="53"/>
      <c r="AH456" s="54"/>
      <c r="AI456" s="55" t="str">
        <f t="shared" si="107"/>
        <v/>
      </c>
      <c r="AJ456" s="46"/>
      <c r="AK456" s="34" t="e">
        <f>IF(AB456&lt;&gt;"",HLOOKUP(VALUE(TEXT(AH456,"h:mm:ss")),IF($C$6="Laboral",[1]Input!$A$4:$Y$227,IF($C$6="Sábado",[1]Input!$A$231:$Y$452,[1]Input!$A$456:$Y$656)),VLOOKUP($C$4,[1]Input!$AG$2:$AI$99,3,0)+IF(AD$5="Ida",0,1),1),"")</f>
        <v>#N/A</v>
      </c>
      <c r="AL456" s="34" t="str">
        <f>IF(AB457&lt;&gt;AB456,AVERAGEIF(AB$9:AB456,AB456,AK$9:AK456),"")</f>
        <v/>
      </c>
      <c r="AM456" s="35" t="str">
        <f>IFERROR(IF(AB457&lt;&gt;AB456,AVERAGEIF(AB$9:AB456,AB456,AT$9:AT456),""),"")</f>
        <v/>
      </c>
      <c r="AN456" s="35" t="str">
        <f>IFERROR(IF(AB457&lt;&gt;AB456,AVERAGEIF(AB$9:AB456,AB456,AU$9:AU456),""),"")</f>
        <v/>
      </c>
      <c r="AO456" s="35" t="str" cm="1">
        <f t="array" ref="AO456">IFERROR(IF(AB457&lt;&gt;AB456,_xlfn.STDEV.P(IF(AB$9:AB456=AB456,AU$9:AU456)),""),"")</f>
        <v/>
      </c>
      <c r="AP456" s="35" t="str" cm="1">
        <f t="array" ref="AP456">IFERROR(IF(AB457&lt;&gt;AB456,_xlfn.STDEV.P(IF(AB$9:AB456=AB456,AT$9:AT456)),""),"")</f>
        <v/>
      </c>
      <c r="AQ456" s="36" t="str">
        <f t="shared" si="98"/>
        <v/>
      </c>
      <c r="AR456" s="36" t="str">
        <f t="shared" si="99"/>
        <v/>
      </c>
      <c r="AS456" s="36" t="str">
        <f t="shared" si="108"/>
        <v/>
      </c>
      <c r="AT456" s="37" t="str">
        <f t="shared" si="100"/>
        <v/>
      </c>
      <c r="AU456" s="37" t="str">
        <f t="shared" si="101"/>
        <v/>
      </c>
      <c r="AV456" s="54"/>
      <c r="AW456" s="46"/>
      <c r="AX456" s="39" t="str" cm="1">
        <f t="array" ref="AX456">IF(AH456&lt;&gt;"",IF(AND(AX454:AX455&lt;&gt;"IE",AQ456&lt;&gt;0,AS456&lt;&gt;""),IF(IFERROR((AQ456/AS456),0) &lt;=1,IFERROR(AQ456/AS456,""),1),""),"")</f>
        <v/>
      </c>
      <c r="AY456" s="46"/>
      <c r="AZ456" s="57"/>
    </row>
    <row r="457" spans="1:52" ht="15.5" x14ac:dyDescent="0.35">
      <c r="A457" s="51">
        <f t="shared" si="109"/>
        <v>1</v>
      </c>
      <c r="B457" s="52"/>
      <c r="C457" s="52"/>
      <c r="D457" s="29" t="str">
        <f>IFERROR(
IF(AND(OR(Planilla!B457="C",Planilla!B457="c"), VLOOKUP(E457,[1]Diccionario!B:N,13,0)="C"), "OK",IF(AND(OR(Planilla!B457="C",Planilla!B457="c"), OR(VLOOKUP(E457,[1]Diccionario!B:N,13,0)="B", VLOOKUP(E457,[1]Diccionario!B:N,13,0)="A")), "DEFICIT",IF(
AND(OR(Planilla!B457="B", Planilla!B457="BPAL"), VLOOKUP(E457,[1]Diccionario!B:N,13,0)="B"), "OK",IF(AND(OR(Planilla!B457="B", Planilla!B457="BPAL"), VLOOKUP(E457,[1]Diccionario!B:N,13,0)="A"), "DEFICIT",IF(AND(OR(Planilla!B457="B", Planilla!B457="BPAL"), VLOOKUP(E457,[1]Diccionario!B:N,13,0)="C"), "SOBREOFERTA",IF(AND(Planilla!B457="A", VLOOKUP(E457,[1]Diccionario!B:N,13,0)="A"), "OK",IF(
AND(Planilla!B457="A", OR(VLOOKUP(E457,[1]Diccionario!B:N,13,0)="B", VLOOKUP(E457,[1]Diccionario!B:N,13,0)="C")), "SOBREOFERTA",""
))))))),"")</f>
        <v/>
      </c>
      <c r="E457" s="48"/>
      <c r="F457" s="53"/>
      <c r="G457" s="54"/>
      <c r="H457" s="55" t="str">
        <f t="shared" si="102"/>
        <v/>
      </c>
      <c r="I457" s="35"/>
      <c r="J457" s="34" t="e">
        <f>IF(A457&lt;&gt;"",HLOOKUP(VALUE(TEXT(G457,"h:mm:ss")),IF($C$6="Laboral",[1]Input!$A$4:$Y$227,IF($C$6="Sábado",[1]Input!$A$231:$Y$452,[1]Input!$A$456:$Y$656)),VLOOKUP($C$4,[1]Input!$AG$2:$AI$99,3,0)+IF(C$5="Ida",0,1),1),"")</f>
        <v>#N/A</v>
      </c>
      <c r="K457" s="34" t="str">
        <f>IF(A458&lt;&gt;A457,AVERAGEIF(A$9:A457,A457,J$13:J457),"")</f>
        <v/>
      </c>
      <c r="L457" s="35" t="str">
        <f>IFERROR(IF(A458&lt;&gt;A457,AVERAGEIF(A$9:A457,A457,S$13:S457),""),"")</f>
        <v/>
      </c>
      <c r="M457" s="35" t="str">
        <f>IFERROR(IF(A458&lt;&gt;A457,AVERAGEIF(A$9:A457,A457,T$8:T457),""),"")</f>
        <v/>
      </c>
      <c r="N457" s="35" t="str" cm="1">
        <f t="array" ref="N457">IFERROR(IF(A458&lt;&gt;A457,_xlfn.STDEV.P(IF(A$9:A457=A457,T$7:T457)),""),"")</f>
        <v/>
      </c>
      <c r="O457" s="35" t="str" cm="1">
        <f t="array" ref="O457">IFERROR(IF(A458&lt;&gt;A457,_xlfn.STDEV.P(IF(A$9:A457=A457,S$7:S457)),""),"")</f>
        <v/>
      </c>
      <c r="P457" s="36" t="str">
        <f t="shared" si="95"/>
        <v/>
      </c>
      <c r="Q457" s="36" t="str">
        <f t="shared" si="96"/>
        <v/>
      </c>
      <c r="R457" s="36" t="str">
        <f t="shared" si="103"/>
        <v/>
      </c>
      <c r="S457" s="37" t="str">
        <f t="shared" si="104"/>
        <v/>
      </c>
      <c r="T457" s="37" t="str">
        <f t="shared" si="97"/>
        <v/>
      </c>
      <c r="U457" s="54"/>
      <c r="V457" s="46"/>
      <c r="W457" s="39" t="str">
        <f t="shared" si="105"/>
        <v/>
      </c>
      <c r="X457" s="38"/>
      <c r="Y457" s="48"/>
      <c r="AB457" s="56">
        <f t="shared" si="106"/>
        <v>1</v>
      </c>
      <c r="AC457" s="52"/>
      <c r="AD457" s="52"/>
      <c r="AE457" s="29" t="str">
        <f>IFERROR(
IF(AND(OR(AC457="C",AC457="c"), VLOOKUP(AF457,[1]Diccionario!B:N,13,0)="C"), "OK",IF(AND(OR(AC457="C",AC457="c"), OR(VLOOKUP(AF457,[1]Diccionario!B:N,13,0)="B", VLOOKUP(AF457,[1]Diccionario!B:N,13,0)="A")), "DEFICIT",IF(
AND(OR(AC457="B", AC457="BPAL"), VLOOKUP(AF457,[1]Diccionario!B:N,13,0)="B"), "OK",IF(AND(OR(AC457="B", AC457="BPAL"), VLOOKUP(AF457,[1]Diccionario!B:N,13,0)="A"), "DEFICIT",IF(AND(OR(AC457="B", AC457="BPAL"), VLOOKUP(AF457,[1]Diccionario!B:N,13,0)="C"), "SOBREOFERTA",IF(AND(AC457="A", VLOOKUP(AF457,[1]Diccionario!B:N,13,0)="A"), "OK",IF(
AND(AC457="A", OR(VLOOKUP(AF457,[1]Diccionario!B:N,13,0)="B", VLOOKUP(AF457,[1]Diccionario!B:N,13,0)="C")), "SOBREOFERTA",""
))))))),"")</f>
        <v/>
      </c>
      <c r="AF457" s="48"/>
      <c r="AG457" s="53"/>
      <c r="AH457" s="54"/>
      <c r="AI457" s="55" t="str">
        <f t="shared" si="107"/>
        <v/>
      </c>
      <c r="AJ457" s="46"/>
      <c r="AK457" s="34" t="e">
        <f>IF(AB457&lt;&gt;"",HLOOKUP(VALUE(TEXT(AH457,"h:mm:ss")),IF($C$6="Laboral",[1]Input!$A$4:$Y$227,IF($C$6="Sábado",[1]Input!$A$231:$Y$452,[1]Input!$A$456:$Y$656)),VLOOKUP($C$4,[1]Input!$AG$2:$AI$99,3,0)+IF(AD$5="Ida",0,1),1),"")</f>
        <v>#N/A</v>
      </c>
      <c r="AL457" s="34" t="str">
        <f>IF(AB458&lt;&gt;AB457,AVERAGEIF(AB$9:AB457,AB457,AK$9:AK457),"")</f>
        <v/>
      </c>
      <c r="AM457" s="35" t="str">
        <f>IFERROR(IF(AB458&lt;&gt;AB457,AVERAGEIF(AB$9:AB457,AB457,AT$9:AT457),""),"")</f>
        <v/>
      </c>
      <c r="AN457" s="35" t="str">
        <f>IFERROR(IF(AB458&lt;&gt;AB457,AVERAGEIF(AB$9:AB457,AB457,AU$9:AU457),""),"")</f>
        <v/>
      </c>
      <c r="AO457" s="35" t="str" cm="1">
        <f t="array" ref="AO457">IFERROR(IF(AB458&lt;&gt;AB457,_xlfn.STDEV.P(IF(AB$9:AB457=AB457,AU$9:AU457)),""),"")</f>
        <v/>
      </c>
      <c r="AP457" s="35" t="str" cm="1">
        <f t="array" ref="AP457">IFERROR(IF(AB458&lt;&gt;AB457,_xlfn.STDEV.P(IF(AB$9:AB457=AB457,AT$9:AT457)),""),"")</f>
        <v/>
      </c>
      <c r="AQ457" s="36" t="str">
        <f t="shared" si="98"/>
        <v/>
      </c>
      <c r="AR457" s="36" t="str">
        <f t="shared" si="99"/>
        <v/>
      </c>
      <c r="AS457" s="36" t="str">
        <f t="shared" si="108"/>
        <v/>
      </c>
      <c r="AT457" s="37" t="str">
        <f t="shared" si="100"/>
        <v/>
      </c>
      <c r="AU457" s="37" t="str">
        <f t="shared" si="101"/>
        <v/>
      </c>
      <c r="AV457" s="54"/>
      <c r="AW457" s="46"/>
      <c r="AX457" s="39" t="str" cm="1">
        <f t="array" ref="AX457">IF(AH457&lt;&gt;"",IF(AND(AX455:AX456&lt;&gt;"IE",AQ457&lt;&gt;0,AS457&lt;&gt;""),IF(IFERROR((AQ457/AS457),0) &lt;=1,IFERROR(AQ457/AS457,""),1),""),"")</f>
        <v/>
      </c>
      <c r="AY457" s="46"/>
      <c r="AZ457" s="57"/>
    </row>
    <row r="458" spans="1:52" ht="15.5" x14ac:dyDescent="0.35">
      <c r="A458" s="51">
        <f t="shared" si="109"/>
        <v>1</v>
      </c>
      <c r="B458" s="52"/>
      <c r="C458" s="52"/>
      <c r="D458" s="29" t="str">
        <f>IFERROR(
IF(AND(OR(Planilla!B458="C",Planilla!B458="c"), VLOOKUP(E458,[1]Diccionario!B:N,13,0)="C"), "OK",IF(AND(OR(Planilla!B458="C",Planilla!B458="c"), OR(VLOOKUP(E458,[1]Diccionario!B:N,13,0)="B", VLOOKUP(E458,[1]Diccionario!B:N,13,0)="A")), "DEFICIT",IF(
AND(OR(Planilla!B458="B", Planilla!B458="BPAL"), VLOOKUP(E458,[1]Diccionario!B:N,13,0)="B"), "OK",IF(AND(OR(Planilla!B458="B", Planilla!B458="BPAL"), VLOOKUP(E458,[1]Diccionario!B:N,13,0)="A"), "DEFICIT",IF(AND(OR(Planilla!B458="B", Planilla!B458="BPAL"), VLOOKUP(E458,[1]Diccionario!B:N,13,0)="C"), "SOBREOFERTA",IF(AND(Planilla!B458="A", VLOOKUP(E458,[1]Diccionario!B:N,13,0)="A"), "OK",IF(
AND(Planilla!B458="A", OR(VLOOKUP(E458,[1]Diccionario!B:N,13,0)="B", VLOOKUP(E458,[1]Diccionario!B:N,13,0)="C")), "SOBREOFERTA",""
))))))),"")</f>
        <v/>
      </c>
      <c r="E458" s="48"/>
      <c r="F458" s="53"/>
      <c r="G458" s="54"/>
      <c r="H458" s="55" t="str">
        <f t="shared" si="102"/>
        <v/>
      </c>
      <c r="I458" s="35"/>
      <c r="J458" s="34" t="e">
        <f>IF(A458&lt;&gt;"",HLOOKUP(VALUE(TEXT(G458,"h:mm:ss")),IF($C$6="Laboral",[1]Input!$A$4:$Y$227,IF($C$6="Sábado",[1]Input!$A$231:$Y$452,[1]Input!$A$456:$Y$656)),VLOOKUP($C$4,[1]Input!$AG$2:$AI$99,3,0)+IF(C$5="Ida",0,1),1),"")</f>
        <v>#N/A</v>
      </c>
      <c r="K458" s="34" t="str">
        <f>IF(A459&lt;&gt;A458,AVERAGEIF(A$9:A458,A458,J$13:J458),"")</f>
        <v/>
      </c>
      <c r="L458" s="35" t="str">
        <f>IFERROR(IF(A459&lt;&gt;A458,AVERAGEIF(A$9:A458,A458,S$13:S458),""),"")</f>
        <v/>
      </c>
      <c r="M458" s="35" t="str">
        <f>IFERROR(IF(A459&lt;&gt;A458,AVERAGEIF(A$9:A458,A458,T$8:T458),""),"")</f>
        <v/>
      </c>
      <c r="N458" s="35" t="str" cm="1">
        <f t="array" ref="N458">IFERROR(IF(A459&lt;&gt;A458,_xlfn.STDEV.P(IF(A$9:A458=A458,T$7:T458)),""),"")</f>
        <v/>
      </c>
      <c r="O458" s="35" t="str" cm="1">
        <f t="array" ref="O458">IFERROR(IF(A459&lt;&gt;A458,_xlfn.STDEV.P(IF(A$9:A458=A458,S$7:S458)),""),"")</f>
        <v/>
      </c>
      <c r="P458" s="36" t="str">
        <f t="shared" si="95"/>
        <v/>
      </c>
      <c r="Q458" s="36" t="str">
        <f t="shared" si="96"/>
        <v/>
      </c>
      <c r="R458" s="36" t="str">
        <f t="shared" si="103"/>
        <v/>
      </c>
      <c r="S458" s="37" t="str">
        <f t="shared" si="104"/>
        <v/>
      </c>
      <c r="T458" s="37" t="str">
        <f t="shared" si="97"/>
        <v/>
      </c>
      <c r="U458" s="54"/>
      <c r="V458" s="46"/>
      <c r="W458" s="39" t="str">
        <f t="shared" si="105"/>
        <v/>
      </c>
      <c r="X458" s="38"/>
      <c r="Y458" s="48"/>
      <c r="AB458" s="56">
        <f t="shared" si="106"/>
        <v>1</v>
      </c>
      <c r="AC458" s="52"/>
      <c r="AD458" s="52"/>
      <c r="AE458" s="29" t="str">
        <f>IFERROR(
IF(AND(OR(AC458="C",AC458="c"), VLOOKUP(AF458,[1]Diccionario!B:N,13,0)="C"), "OK",IF(AND(OR(AC458="C",AC458="c"), OR(VLOOKUP(AF458,[1]Diccionario!B:N,13,0)="B", VLOOKUP(AF458,[1]Diccionario!B:N,13,0)="A")), "DEFICIT",IF(
AND(OR(AC458="B", AC458="BPAL"), VLOOKUP(AF458,[1]Diccionario!B:N,13,0)="B"), "OK",IF(AND(OR(AC458="B", AC458="BPAL"), VLOOKUP(AF458,[1]Diccionario!B:N,13,0)="A"), "DEFICIT",IF(AND(OR(AC458="B", AC458="BPAL"), VLOOKUP(AF458,[1]Diccionario!B:N,13,0)="C"), "SOBREOFERTA",IF(AND(AC458="A", VLOOKUP(AF458,[1]Diccionario!B:N,13,0)="A"), "OK",IF(
AND(AC458="A", OR(VLOOKUP(AF458,[1]Diccionario!B:N,13,0)="B", VLOOKUP(AF458,[1]Diccionario!B:N,13,0)="C")), "SOBREOFERTA",""
))))))),"")</f>
        <v/>
      </c>
      <c r="AF458" s="48"/>
      <c r="AG458" s="53"/>
      <c r="AH458" s="54"/>
      <c r="AI458" s="55" t="str">
        <f t="shared" si="107"/>
        <v/>
      </c>
      <c r="AJ458" s="46"/>
      <c r="AK458" s="34" t="e">
        <f>IF(AB458&lt;&gt;"",HLOOKUP(VALUE(TEXT(AH458,"h:mm:ss")),IF($C$6="Laboral",[1]Input!$A$4:$Y$227,IF($C$6="Sábado",[1]Input!$A$231:$Y$452,[1]Input!$A$456:$Y$656)),VLOOKUP($C$4,[1]Input!$AG$2:$AI$99,3,0)+IF(AD$5="Ida",0,1),1),"")</f>
        <v>#N/A</v>
      </c>
      <c r="AL458" s="34" t="str">
        <f>IF(AB459&lt;&gt;AB458,AVERAGEIF(AB$9:AB458,AB458,AK$9:AK458),"")</f>
        <v/>
      </c>
      <c r="AM458" s="35" t="str">
        <f>IFERROR(IF(AB459&lt;&gt;AB458,AVERAGEIF(AB$9:AB458,AB458,AT$9:AT458),""),"")</f>
        <v/>
      </c>
      <c r="AN458" s="35" t="str">
        <f>IFERROR(IF(AB459&lt;&gt;AB458,AVERAGEIF(AB$9:AB458,AB458,AU$9:AU458),""),"")</f>
        <v/>
      </c>
      <c r="AO458" s="35" t="str" cm="1">
        <f t="array" ref="AO458">IFERROR(IF(AB459&lt;&gt;AB458,_xlfn.STDEV.P(IF(AB$9:AB458=AB458,AU$9:AU458)),""),"")</f>
        <v/>
      </c>
      <c r="AP458" s="35" t="str" cm="1">
        <f t="array" ref="AP458">IFERROR(IF(AB459&lt;&gt;AB458,_xlfn.STDEV.P(IF(AB$9:AB458=AB458,AT$9:AT458)),""),"")</f>
        <v/>
      </c>
      <c r="AQ458" s="36" t="str">
        <f t="shared" si="98"/>
        <v/>
      </c>
      <c r="AR458" s="36" t="str">
        <f t="shared" si="99"/>
        <v/>
      </c>
      <c r="AS458" s="36" t="str">
        <f t="shared" si="108"/>
        <v/>
      </c>
      <c r="AT458" s="37" t="str">
        <f t="shared" si="100"/>
        <v/>
      </c>
      <c r="AU458" s="37" t="str">
        <f t="shared" si="101"/>
        <v/>
      </c>
      <c r="AV458" s="54"/>
      <c r="AW458" s="46"/>
      <c r="AX458" s="39" t="str" cm="1">
        <f t="array" ref="AX458">IF(AH458&lt;&gt;"",IF(AND(AX456:AX457&lt;&gt;"IE",AQ458&lt;&gt;0,AS458&lt;&gt;""),IF(IFERROR((AQ458/AS458),0) &lt;=1,IFERROR(AQ458/AS458,""),1),""),"")</f>
        <v/>
      </c>
      <c r="AY458" s="46"/>
      <c r="AZ458" s="57"/>
    </row>
    <row r="459" spans="1:52" ht="15.5" x14ac:dyDescent="0.35">
      <c r="A459" s="51">
        <f t="shared" si="109"/>
        <v>1</v>
      </c>
      <c r="B459" s="52"/>
      <c r="C459" s="52"/>
      <c r="D459" s="29" t="str">
        <f>IFERROR(
IF(AND(OR(Planilla!B459="C",Planilla!B459="c"), VLOOKUP(E459,[1]Diccionario!B:N,13,0)="C"), "OK",IF(AND(OR(Planilla!B459="C",Planilla!B459="c"), OR(VLOOKUP(E459,[1]Diccionario!B:N,13,0)="B", VLOOKUP(E459,[1]Diccionario!B:N,13,0)="A")), "DEFICIT",IF(
AND(OR(Planilla!B459="B", Planilla!B459="BPAL"), VLOOKUP(E459,[1]Diccionario!B:N,13,0)="B"), "OK",IF(AND(OR(Planilla!B459="B", Planilla!B459="BPAL"), VLOOKUP(E459,[1]Diccionario!B:N,13,0)="A"), "DEFICIT",IF(AND(OR(Planilla!B459="B", Planilla!B459="BPAL"), VLOOKUP(E459,[1]Diccionario!B:N,13,0)="C"), "SOBREOFERTA",IF(AND(Planilla!B459="A", VLOOKUP(E459,[1]Diccionario!B:N,13,0)="A"), "OK",IF(
AND(Planilla!B459="A", OR(VLOOKUP(E459,[1]Diccionario!B:N,13,0)="B", VLOOKUP(E459,[1]Diccionario!B:N,13,0)="C")), "SOBREOFERTA",""
))))))),"")</f>
        <v/>
      </c>
      <c r="E459" s="48"/>
      <c r="F459" s="53"/>
      <c r="G459" s="54"/>
      <c r="H459" s="55" t="str">
        <f t="shared" si="102"/>
        <v/>
      </c>
      <c r="I459" s="35"/>
      <c r="J459" s="34" t="e">
        <f>IF(A459&lt;&gt;"",HLOOKUP(VALUE(TEXT(G459,"h:mm:ss")),IF($C$6="Laboral",[1]Input!$A$4:$Y$227,IF($C$6="Sábado",[1]Input!$A$231:$Y$452,[1]Input!$A$456:$Y$656)),VLOOKUP($C$4,[1]Input!$AG$2:$AI$99,3,0)+IF(C$5="Ida",0,1),1),"")</f>
        <v>#N/A</v>
      </c>
      <c r="K459" s="34" t="str">
        <f>IF(A460&lt;&gt;A459,AVERAGEIF(A$9:A459,A459,J$13:J459),"")</f>
        <v/>
      </c>
      <c r="L459" s="35" t="str">
        <f>IFERROR(IF(A460&lt;&gt;A459,AVERAGEIF(A$9:A459,A459,S$13:S459),""),"")</f>
        <v/>
      </c>
      <c r="M459" s="35" t="str">
        <f>IFERROR(IF(A460&lt;&gt;A459,AVERAGEIF(A$9:A459,A459,T$8:T459),""),"")</f>
        <v/>
      </c>
      <c r="N459" s="35" t="str" cm="1">
        <f t="array" ref="N459">IFERROR(IF(A460&lt;&gt;A459,_xlfn.STDEV.P(IF(A$9:A459=A459,T$7:T459)),""),"")</f>
        <v/>
      </c>
      <c r="O459" s="35" t="str" cm="1">
        <f t="array" ref="O459">IFERROR(IF(A460&lt;&gt;A459,_xlfn.STDEV.P(IF(A$9:A459=A459,S$7:S459)),""),"")</f>
        <v/>
      </c>
      <c r="P459" s="36" t="str">
        <f t="shared" si="95"/>
        <v/>
      </c>
      <c r="Q459" s="36" t="str">
        <f t="shared" si="96"/>
        <v/>
      </c>
      <c r="R459" s="36" t="str">
        <f t="shared" si="103"/>
        <v/>
      </c>
      <c r="S459" s="37" t="str">
        <f t="shared" si="104"/>
        <v/>
      </c>
      <c r="T459" s="37" t="str">
        <f t="shared" si="97"/>
        <v/>
      </c>
      <c r="U459" s="54"/>
      <c r="V459" s="46"/>
      <c r="W459" s="39" t="str">
        <f t="shared" si="105"/>
        <v/>
      </c>
      <c r="X459" s="38"/>
      <c r="Y459" s="48"/>
      <c r="AB459" s="56">
        <f t="shared" si="106"/>
        <v>1</v>
      </c>
      <c r="AC459" s="52"/>
      <c r="AD459" s="52"/>
      <c r="AE459" s="29" t="str">
        <f>IFERROR(
IF(AND(OR(AC459="C",AC459="c"), VLOOKUP(AF459,[1]Diccionario!B:N,13,0)="C"), "OK",IF(AND(OR(AC459="C",AC459="c"), OR(VLOOKUP(AF459,[1]Diccionario!B:N,13,0)="B", VLOOKUP(AF459,[1]Diccionario!B:N,13,0)="A")), "DEFICIT",IF(
AND(OR(AC459="B", AC459="BPAL"), VLOOKUP(AF459,[1]Diccionario!B:N,13,0)="B"), "OK",IF(AND(OR(AC459="B", AC459="BPAL"), VLOOKUP(AF459,[1]Diccionario!B:N,13,0)="A"), "DEFICIT",IF(AND(OR(AC459="B", AC459="BPAL"), VLOOKUP(AF459,[1]Diccionario!B:N,13,0)="C"), "SOBREOFERTA",IF(AND(AC459="A", VLOOKUP(AF459,[1]Diccionario!B:N,13,0)="A"), "OK",IF(
AND(AC459="A", OR(VLOOKUP(AF459,[1]Diccionario!B:N,13,0)="B", VLOOKUP(AF459,[1]Diccionario!B:N,13,0)="C")), "SOBREOFERTA",""
))))))),"")</f>
        <v/>
      </c>
      <c r="AF459" s="48"/>
      <c r="AG459" s="53"/>
      <c r="AH459" s="54"/>
      <c r="AI459" s="55" t="str">
        <f t="shared" si="107"/>
        <v/>
      </c>
      <c r="AJ459" s="46"/>
      <c r="AK459" s="34" t="e">
        <f>IF(AB459&lt;&gt;"",HLOOKUP(VALUE(TEXT(AH459,"h:mm:ss")),IF($C$6="Laboral",[1]Input!$A$4:$Y$227,IF($C$6="Sábado",[1]Input!$A$231:$Y$452,[1]Input!$A$456:$Y$656)),VLOOKUP($C$4,[1]Input!$AG$2:$AI$99,3,0)+IF(AD$5="Ida",0,1),1),"")</f>
        <v>#N/A</v>
      </c>
      <c r="AL459" s="34" t="str">
        <f>IF(AB460&lt;&gt;AB459,AVERAGEIF(AB$9:AB459,AB459,AK$9:AK459),"")</f>
        <v/>
      </c>
      <c r="AM459" s="35" t="str">
        <f>IFERROR(IF(AB460&lt;&gt;AB459,AVERAGEIF(AB$9:AB459,AB459,AT$9:AT459),""),"")</f>
        <v/>
      </c>
      <c r="AN459" s="35" t="str">
        <f>IFERROR(IF(AB460&lt;&gt;AB459,AVERAGEIF(AB$9:AB459,AB459,AU$9:AU459),""),"")</f>
        <v/>
      </c>
      <c r="AO459" s="35" t="str" cm="1">
        <f t="array" ref="AO459">IFERROR(IF(AB460&lt;&gt;AB459,_xlfn.STDEV.P(IF(AB$9:AB459=AB459,AU$9:AU459)),""),"")</f>
        <v/>
      </c>
      <c r="AP459" s="35" t="str" cm="1">
        <f t="array" ref="AP459">IFERROR(IF(AB460&lt;&gt;AB459,_xlfn.STDEV.P(IF(AB$9:AB459=AB459,AT$9:AT459)),""),"")</f>
        <v/>
      </c>
      <c r="AQ459" s="36" t="str">
        <f t="shared" si="98"/>
        <v/>
      </c>
      <c r="AR459" s="36" t="str">
        <f t="shared" si="99"/>
        <v/>
      </c>
      <c r="AS459" s="36" t="str">
        <f t="shared" si="108"/>
        <v/>
      </c>
      <c r="AT459" s="37" t="str">
        <f t="shared" si="100"/>
        <v/>
      </c>
      <c r="AU459" s="37" t="str">
        <f t="shared" si="101"/>
        <v/>
      </c>
      <c r="AV459" s="54"/>
      <c r="AW459" s="46"/>
      <c r="AX459" s="39" t="str" cm="1">
        <f t="array" ref="AX459">IF(AH459&lt;&gt;"",IF(AND(AX457:AX458&lt;&gt;"IE",AQ459&lt;&gt;0,AS459&lt;&gt;""),IF(IFERROR((AQ459/AS459),0) &lt;=1,IFERROR(AQ459/AS459,""),1),""),"")</f>
        <v/>
      </c>
      <c r="AY459" s="46"/>
      <c r="AZ459" s="57"/>
    </row>
    <row r="460" spans="1:52" ht="15.5" x14ac:dyDescent="0.35">
      <c r="A460" s="51">
        <f t="shared" si="109"/>
        <v>1</v>
      </c>
      <c r="B460" s="52"/>
      <c r="C460" s="52"/>
      <c r="D460" s="29" t="str">
        <f>IFERROR(
IF(AND(OR(Planilla!B460="C",Planilla!B460="c"), VLOOKUP(E460,[1]Diccionario!B:N,13,0)="C"), "OK",IF(AND(OR(Planilla!B460="C",Planilla!B460="c"), OR(VLOOKUP(E460,[1]Diccionario!B:N,13,0)="B", VLOOKUP(E460,[1]Diccionario!B:N,13,0)="A")), "DEFICIT",IF(
AND(OR(Planilla!B460="B", Planilla!B460="BPAL"), VLOOKUP(E460,[1]Diccionario!B:N,13,0)="B"), "OK",IF(AND(OR(Planilla!B460="B", Planilla!B460="BPAL"), VLOOKUP(E460,[1]Diccionario!B:N,13,0)="A"), "DEFICIT",IF(AND(OR(Planilla!B460="B", Planilla!B460="BPAL"), VLOOKUP(E460,[1]Diccionario!B:N,13,0)="C"), "SOBREOFERTA",IF(AND(Planilla!B460="A", VLOOKUP(E460,[1]Diccionario!B:N,13,0)="A"), "OK",IF(
AND(Planilla!B460="A", OR(VLOOKUP(E460,[1]Diccionario!B:N,13,0)="B", VLOOKUP(E460,[1]Diccionario!B:N,13,0)="C")), "SOBREOFERTA",""
))))))),"")</f>
        <v/>
      </c>
      <c r="E460" s="48"/>
      <c r="F460" s="53"/>
      <c r="G460" s="54"/>
      <c r="H460" s="55" t="str">
        <f t="shared" si="102"/>
        <v/>
      </c>
      <c r="I460" s="35"/>
      <c r="J460" s="34" t="e">
        <f>IF(A460&lt;&gt;"",HLOOKUP(VALUE(TEXT(G460,"h:mm:ss")),IF($C$6="Laboral",[1]Input!$A$4:$Y$227,IF($C$6="Sábado",[1]Input!$A$231:$Y$452,[1]Input!$A$456:$Y$656)),VLOOKUP($C$4,[1]Input!$AG$2:$AI$99,3,0)+IF(C$5="Ida",0,1),1),"")</f>
        <v>#N/A</v>
      </c>
      <c r="K460" s="34" t="str">
        <f>IF(A461&lt;&gt;A460,AVERAGEIF(A$9:A460,A460,J$13:J460),"")</f>
        <v/>
      </c>
      <c r="L460" s="35" t="str">
        <f>IFERROR(IF(A461&lt;&gt;A460,AVERAGEIF(A$9:A460,A460,S$13:S460),""),"")</f>
        <v/>
      </c>
      <c r="M460" s="35" t="str">
        <f>IFERROR(IF(A461&lt;&gt;A460,AVERAGEIF(A$9:A460,A460,T$8:T460),""),"")</f>
        <v/>
      </c>
      <c r="N460" s="35" t="str" cm="1">
        <f t="array" ref="N460">IFERROR(IF(A461&lt;&gt;A460,_xlfn.STDEV.P(IF(A$9:A460=A460,T$7:T460)),""),"")</f>
        <v/>
      </c>
      <c r="O460" s="35" t="str" cm="1">
        <f t="array" ref="O460">IFERROR(IF(A461&lt;&gt;A460,_xlfn.STDEV.P(IF(A$9:A460=A460,S$7:S460)),""),"")</f>
        <v/>
      </c>
      <c r="P460" s="36" t="str">
        <f t="shared" si="95"/>
        <v/>
      </c>
      <c r="Q460" s="36" t="str">
        <f t="shared" si="96"/>
        <v/>
      </c>
      <c r="R460" s="36" t="str">
        <f t="shared" si="103"/>
        <v/>
      </c>
      <c r="S460" s="37" t="str">
        <f t="shared" si="104"/>
        <v/>
      </c>
      <c r="T460" s="37" t="str">
        <f t="shared" si="97"/>
        <v/>
      </c>
      <c r="U460" s="54"/>
      <c r="V460" s="46"/>
      <c r="W460" s="39" t="str">
        <f t="shared" si="105"/>
        <v/>
      </c>
      <c r="X460" s="38"/>
      <c r="Y460" s="48"/>
      <c r="AB460" s="56">
        <f t="shared" si="106"/>
        <v>1</v>
      </c>
      <c r="AC460" s="52"/>
      <c r="AD460" s="52"/>
      <c r="AE460" s="29" t="str">
        <f>IFERROR(
IF(AND(OR(AC460="C",AC460="c"), VLOOKUP(AF460,[1]Diccionario!B:N,13,0)="C"), "OK",IF(AND(OR(AC460="C",AC460="c"), OR(VLOOKUP(AF460,[1]Diccionario!B:N,13,0)="B", VLOOKUP(AF460,[1]Diccionario!B:N,13,0)="A")), "DEFICIT",IF(
AND(OR(AC460="B", AC460="BPAL"), VLOOKUP(AF460,[1]Diccionario!B:N,13,0)="B"), "OK",IF(AND(OR(AC460="B", AC460="BPAL"), VLOOKUP(AF460,[1]Diccionario!B:N,13,0)="A"), "DEFICIT",IF(AND(OR(AC460="B", AC460="BPAL"), VLOOKUP(AF460,[1]Diccionario!B:N,13,0)="C"), "SOBREOFERTA",IF(AND(AC460="A", VLOOKUP(AF460,[1]Diccionario!B:N,13,0)="A"), "OK",IF(
AND(AC460="A", OR(VLOOKUP(AF460,[1]Diccionario!B:N,13,0)="B", VLOOKUP(AF460,[1]Diccionario!B:N,13,0)="C")), "SOBREOFERTA",""
))))))),"")</f>
        <v/>
      </c>
      <c r="AF460" s="48"/>
      <c r="AG460" s="53"/>
      <c r="AH460" s="54"/>
      <c r="AI460" s="55" t="str">
        <f t="shared" si="107"/>
        <v/>
      </c>
      <c r="AJ460" s="46"/>
      <c r="AK460" s="34" t="e">
        <f>IF(AB460&lt;&gt;"",HLOOKUP(VALUE(TEXT(AH460,"h:mm:ss")),IF($C$6="Laboral",[1]Input!$A$4:$Y$227,IF($C$6="Sábado",[1]Input!$A$231:$Y$452,[1]Input!$A$456:$Y$656)),VLOOKUP($C$4,[1]Input!$AG$2:$AI$99,3,0)+IF(AD$5="Ida",0,1),1),"")</f>
        <v>#N/A</v>
      </c>
      <c r="AL460" s="34" t="str">
        <f>IF(AB461&lt;&gt;AB460,AVERAGEIF(AB$9:AB460,AB460,AK$9:AK460),"")</f>
        <v/>
      </c>
      <c r="AM460" s="35" t="str">
        <f>IFERROR(IF(AB461&lt;&gt;AB460,AVERAGEIF(AB$9:AB460,AB460,AT$9:AT460),""),"")</f>
        <v/>
      </c>
      <c r="AN460" s="35" t="str">
        <f>IFERROR(IF(AB461&lt;&gt;AB460,AVERAGEIF(AB$9:AB460,AB460,AU$9:AU460),""),"")</f>
        <v/>
      </c>
      <c r="AO460" s="35" t="str" cm="1">
        <f t="array" ref="AO460">IFERROR(IF(AB461&lt;&gt;AB460,_xlfn.STDEV.P(IF(AB$9:AB460=AB460,AU$9:AU460)),""),"")</f>
        <v/>
      </c>
      <c r="AP460" s="35" t="str" cm="1">
        <f t="array" ref="AP460">IFERROR(IF(AB461&lt;&gt;AB460,_xlfn.STDEV.P(IF(AB$9:AB460=AB460,AT$9:AT460)),""),"")</f>
        <v/>
      </c>
      <c r="AQ460" s="36" t="str">
        <f t="shared" si="98"/>
        <v/>
      </c>
      <c r="AR460" s="36" t="str">
        <f t="shared" si="99"/>
        <v/>
      </c>
      <c r="AS460" s="36" t="str">
        <f t="shared" si="108"/>
        <v/>
      </c>
      <c r="AT460" s="37" t="str">
        <f t="shared" si="100"/>
        <v/>
      </c>
      <c r="AU460" s="37" t="str">
        <f t="shared" si="101"/>
        <v/>
      </c>
      <c r="AV460" s="54"/>
      <c r="AW460" s="46"/>
      <c r="AX460" s="39" t="str" cm="1">
        <f t="array" ref="AX460">IF(AH460&lt;&gt;"",IF(AND(AX458:AX459&lt;&gt;"IE",AQ460&lt;&gt;0,AS460&lt;&gt;""),IF(IFERROR((AQ460/AS460),0) &lt;=1,IFERROR(AQ460/AS460,""),1),""),"")</f>
        <v/>
      </c>
      <c r="AY460" s="46"/>
      <c r="AZ460" s="57"/>
    </row>
    <row r="461" spans="1:52" ht="15.5" x14ac:dyDescent="0.35">
      <c r="A461" s="51">
        <f t="shared" si="109"/>
        <v>1</v>
      </c>
      <c r="B461" s="52"/>
      <c r="C461" s="52"/>
      <c r="D461" s="29" t="str">
        <f>IFERROR(
IF(AND(OR(Planilla!B461="C",Planilla!B461="c"), VLOOKUP(E461,[1]Diccionario!B:N,13,0)="C"), "OK",IF(AND(OR(Planilla!B461="C",Planilla!B461="c"), OR(VLOOKUP(E461,[1]Diccionario!B:N,13,0)="B", VLOOKUP(E461,[1]Diccionario!B:N,13,0)="A")), "DEFICIT",IF(
AND(OR(Planilla!B461="B", Planilla!B461="BPAL"), VLOOKUP(E461,[1]Diccionario!B:N,13,0)="B"), "OK",IF(AND(OR(Planilla!B461="B", Planilla!B461="BPAL"), VLOOKUP(E461,[1]Diccionario!B:N,13,0)="A"), "DEFICIT",IF(AND(OR(Planilla!B461="B", Planilla!B461="BPAL"), VLOOKUP(E461,[1]Diccionario!B:N,13,0)="C"), "SOBREOFERTA",IF(AND(Planilla!B461="A", VLOOKUP(E461,[1]Diccionario!B:N,13,0)="A"), "OK",IF(
AND(Planilla!B461="A", OR(VLOOKUP(E461,[1]Diccionario!B:N,13,0)="B", VLOOKUP(E461,[1]Diccionario!B:N,13,0)="C")), "SOBREOFERTA",""
))))))),"")</f>
        <v/>
      </c>
      <c r="E461" s="48"/>
      <c r="F461" s="53"/>
      <c r="G461" s="54"/>
      <c r="H461" s="55" t="str">
        <f t="shared" si="102"/>
        <v/>
      </c>
      <c r="I461" s="35"/>
      <c r="J461" s="34" t="e">
        <f>IF(A461&lt;&gt;"",HLOOKUP(VALUE(TEXT(G461,"h:mm:ss")),IF($C$6="Laboral",[1]Input!$A$4:$Y$227,IF($C$6="Sábado",[1]Input!$A$231:$Y$452,[1]Input!$A$456:$Y$656)),VLOOKUP($C$4,[1]Input!$AG$2:$AI$99,3,0)+IF(C$5="Ida",0,1),1),"")</f>
        <v>#N/A</v>
      </c>
      <c r="K461" s="34" t="str">
        <f>IF(A462&lt;&gt;A461,AVERAGEIF(A$9:A461,A461,J$13:J461),"")</f>
        <v/>
      </c>
      <c r="L461" s="35" t="str">
        <f>IFERROR(IF(A462&lt;&gt;A461,AVERAGEIF(A$9:A461,A461,S$13:S461),""),"")</f>
        <v/>
      </c>
      <c r="M461" s="35" t="str">
        <f>IFERROR(IF(A462&lt;&gt;A461,AVERAGEIF(A$9:A461,A461,T$8:T461),""),"")</f>
        <v/>
      </c>
      <c r="N461" s="35" t="str" cm="1">
        <f t="array" ref="N461">IFERROR(IF(A462&lt;&gt;A461,_xlfn.STDEV.P(IF(A$9:A461=A461,T$7:T461)),""),"")</f>
        <v/>
      </c>
      <c r="O461" s="35" t="str" cm="1">
        <f t="array" ref="O461">IFERROR(IF(A462&lt;&gt;A461,_xlfn.STDEV.P(IF(A$9:A461=A461,S$7:S461)),""),"")</f>
        <v/>
      </c>
      <c r="P461" s="36" t="str">
        <f t="shared" ref="P461:P524" si="110">IFERROR(IF(A461&lt;&gt;A462,MAX((((M461*24*60)/2)*(1+POWER((((N461*24*60) / (M461*24*60) )),2))) + ((M461*24*60 )*-0.1 + (K461*0.015)) +1,(((M461*24*60)/2)*(1+POWER((((N461*24*60) / (M461*24*60 ))),2)))),""),"")</f>
        <v/>
      </c>
      <c r="Q461" s="36" t="str">
        <f t="shared" ref="Q461:Q524" si="111">IF(AND(O461&lt;&gt;"",L461&lt;&gt;""),IF(A461&lt;&gt;A462,((L461*24*60) / 2 ) * (1 + POWER(((O461*24*60) / (L461*24*60)),2)),""),"")</f>
        <v/>
      </c>
      <c r="R461" s="36" t="str">
        <f t="shared" si="103"/>
        <v/>
      </c>
      <c r="S461" s="37" t="str">
        <f t="shared" si="104"/>
        <v/>
      </c>
      <c r="T461" s="37" t="str">
        <f t="shared" ref="T461:T524" si="112">IF(G461&lt;&gt;"H. Sale Real",IF(AND(G462&lt;&gt;"",LEFT(C462,2)&lt;&gt;"NC"),IF(AND(G461&lt;&gt;"",LEFT(C461,2)&lt;&gt;"NC",G461&lt;&gt;"H. Sale Real"),IF(G462-G461&lt;0.208333333333333,G462-G461,""),IF(AND(G460&lt;&gt;"",LEFT(C460,2)&lt;&gt;"NC",G460&lt;&gt;"H. Sale Real"),IF(G462-G460&lt;0.208333333333333,G462-G460,""),IF(AND(G459&lt;&gt;"",LEFT(C459,2)&lt;&gt;"NC",G459&lt;&gt;"H. Sale Real"),IF(G462-G459&lt;0.208333333333333,G462-G459,""),IF(AND(G458&lt;&gt;"",LEFT(C458,2)&lt;&gt;"NC",G458&lt;&gt;"H. Sale Real"),IF(G462-G458&lt;0.208333333333333,G462-G458,""),IF(AND(G457&lt;&gt;"",LEFT(C457,2)&lt;&gt;"NC",G457&lt;&gt;"H. Sale Real"),IF(G462-G457&lt;0.208333333333333,G462-G457,""),""))))),""),"")</f>
        <v/>
      </c>
      <c r="U461" s="54"/>
      <c r="V461" s="46"/>
      <c r="W461" s="39" t="str">
        <f t="shared" si="105"/>
        <v/>
      </c>
      <c r="X461" s="38"/>
      <c r="Y461" s="48"/>
      <c r="AB461" s="56">
        <f t="shared" si="106"/>
        <v>1</v>
      </c>
      <c r="AC461" s="52"/>
      <c r="AD461" s="52"/>
      <c r="AE461" s="29" t="str">
        <f>IFERROR(
IF(AND(OR(AC461="C",AC461="c"), VLOOKUP(AF461,[1]Diccionario!B:N,13,0)="C"), "OK",IF(AND(OR(AC461="C",AC461="c"), OR(VLOOKUP(AF461,[1]Diccionario!B:N,13,0)="B", VLOOKUP(AF461,[1]Diccionario!B:N,13,0)="A")), "DEFICIT",IF(
AND(OR(AC461="B", AC461="BPAL"), VLOOKUP(AF461,[1]Diccionario!B:N,13,0)="B"), "OK",IF(AND(OR(AC461="B", AC461="BPAL"), VLOOKUP(AF461,[1]Diccionario!B:N,13,0)="A"), "DEFICIT",IF(AND(OR(AC461="B", AC461="BPAL"), VLOOKUP(AF461,[1]Diccionario!B:N,13,0)="C"), "SOBREOFERTA",IF(AND(AC461="A", VLOOKUP(AF461,[1]Diccionario!B:N,13,0)="A"), "OK",IF(
AND(AC461="A", OR(VLOOKUP(AF461,[1]Diccionario!B:N,13,0)="B", VLOOKUP(AF461,[1]Diccionario!B:N,13,0)="C")), "SOBREOFERTA",""
))))))),"")</f>
        <v/>
      </c>
      <c r="AF461" s="48"/>
      <c r="AG461" s="53"/>
      <c r="AH461" s="54"/>
      <c r="AI461" s="55" t="str">
        <f t="shared" si="107"/>
        <v/>
      </c>
      <c r="AJ461" s="46"/>
      <c r="AK461" s="34" t="e">
        <f>IF(AB461&lt;&gt;"",HLOOKUP(VALUE(TEXT(AH461,"h:mm:ss")),IF($C$6="Laboral",[1]Input!$A$4:$Y$227,IF($C$6="Sábado",[1]Input!$A$231:$Y$452,[1]Input!$A$456:$Y$656)),VLOOKUP($C$4,[1]Input!$AG$2:$AI$99,3,0)+IF(AD$5="Ida",0,1),1),"")</f>
        <v>#N/A</v>
      </c>
      <c r="AL461" s="34" t="str">
        <f>IF(AB462&lt;&gt;AB461,AVERAGEIF(AB$9:AB461,AB461,AK$9:AK461),"")</f>
        <v/>
      </c>
      <c r="AM461" s="35" t="str">
        <f>IFERROR(IF(AB462&lt;&gt;AB461,AVERAGEIF(AB$9:AB461,AB461,AT$9:AT461),""),"")</f>
        <v/>
      </c>
      <c r="AN461" s="35" t="str">
        <f>IFERROR(IF(AB462&lt;&gt;AB461,AVERAGEIF(AB$9:AB461,AB461,AU$9:AU461),""),"")</f>
        <v/>
      </c>
      <c r="AO461" s="35" t="str" cm="1">
        <f t="array" ref="AO461">IFERROR(IF(AB462&lt;&gt;AB461,_xlfn.STDEV.P(IF(AB$9:AB461=AB461,AU$9:AU461)),""),"")</f>
        <v/>
      </c>
      <c r="AP461" s="35" t="str" cm="1">
        <f t="array" ref="AP461">IFERROR(IF(AB462&lt;&gt;AB461,_xlfn.STDEV.P(IF(AB$9:AB461=AB461,AT$9:AT461)),""),"")</f>
        <v/>
      </c>
      <c r="AQ461" s="36" t="str">
        <f t="shared" ref="AQ461:AQ524" si="113">IFERROR(IF(AB461&lt;&gt;AB462,MAX((((AN461*24*60)/2)*(1+POWER((((AO461*24*60) / (AN461*24*60) )),2))) + ((AN461*24*60 )*-0.1 + (AL461*0.015)) +1,(((AN461*24*60)/2)*(1+POWER((((AO461*24*60) / (AN461*24*60 ))),2)))),""),"")</f>
        <v/>
      </c>
      <c r="AR461" s="36" t="str">
        <f t="shared" ref="AR461:AR524" si="114">IF(AND(AP461&lt;&gt;"",AM461&lt;&gt;""),IF(AB461&lt;&gt;AB462,((AM461*24*60) / 2 ) * (1 + POWER(((AP461*24*60) / (AM461*24*60)),2)),""),"")</f>
        <v/>
      </c>
      <c r="AS461" s="36" t="str">
        <f t="shared" si="108"/>
        <v/>
      </c>
      <c r="AT461" s="37" t="str">
        <f t="shared" ref="AT461:AT524" si="115">IF(AJ461&lt;&gt;"H. Sale Real",IF(AND(AJ462&lt;&gt;"",LEFT(AD462,2)&lt;&gt;"NC"),IF(AND(AJ461&lt;&gt;"",LEFT(AD461,2)&lt;&gt;"NC",AJ461&lt;&gt;"H. Sale Real"),IF(AJ462-AJ461&lt;0.208333333333333,AJ462-AJ461,""),IF(AND(AJ460&lt;&gt;"",LEFT(AD460,2)&lt;&gt;"NC",AJ460&lt;&gt;"H. Sale Real"),IF(AJ462-AJ460&lt;0.208333333333333,AJ462-AJ460,""),IF(AND(AJ459&lt;&gt;"",LEFT(AD459,2)&lt;&gt;"NC",AJ459&lt;&gt;"H. Sale Real"),IF(AJ462-AJ459&lt;0.208333333333333,AJ462-AJ459,""),IF(AND(AJ458&lt;&gt;"",LEFT(AD458,2)&lt;&gt;"NC",AJ458&lt;&gt;"H. Sale Real"),IF(AJ462-AJ458&lt;0.208333333333333,AJ462-AJ458,""),IF(AND(AJ457&lt;&gt;"",LEFT(AD457,2)&lt;&gt;"NC",AJ457&lt;&gt;"H. Sale Real"),IF(AJ462-AJ457&lt;0.208333333333333,AJ462-AJ457,""),""))))),""),"")</f>
        <v/>
      </c>
      <c r="AU461" s="37" t="str">
        <f t="shared" ref="AU461:AU524" si="116">IF(AH461&lt;&gt;"H. Sale Real",IF(AND(AH462&lt;&gt;"",LEFT(AD462,2)&lt;&gt;"NC"),IF(AND(AH461&lt;&gt;"",LEFT(AD461,2)&lt;&gt;"NC",AH461&lt;&gt;"H. Sale Real"),IF(AH462-AH461&lt;0.208333333333333,AH462-AH461,""),IF(AND(AH460&lt;&gt;"",LEFT(AD460,2)&lt;&gt;"NC",AH460&lt;&gt;"H. Sale Real"),IF(AH462-AH460&lt;0.208333333333333,AH462-AH460,""),IF(AND(AH459&lt;&gt;"",LEFT(AD459,2)&lt;&gt;"NC",AH459&lt;&gt;"H. Sale Real"),IF(AH462-AH459&lt;0.208333333333333,AH462-AH459,""),IF(AND(AH458&lt;&gt;"",LEFT(AD458,2)&lt;&gt;"NC",AH458&lt;&gt;"H. Sale Real"),IF(AH462-AH458&lt;0.208333333333333,AH462-AH458,""),IF(AND(AH457&lt;&gt;"",LEFT(AD457,2)&lt;&gt;"NC",AH457&lt;&gt;"H. Sale Real"),IF(AH462-AH457&lt;0.208333333333333,AH462-AH457,""),""))))),""),"")</f>
        <v/>
      </c>
      <c r="AV461" s="54"/>
      <c r="AW461" s="46"/>
      <c r="AX461" s="39" t="str" cm="1">
        <f t="array" ref="AX461">IF(AH461&lt;&gt;"",IF(AND(AX459:AX460&lt;&gt;"IE",AQ461&lt;&gt;0,AS461&lt;&gt;""),IF(IFERROR((AQ461/AS461),0) &lt;=1,IFERROR(AQ461/AS461,""),1),""),"")</f>
        <v/>
      </c>
      <c r="AY461" s="46"/>
      <c r="AZ461" s="57"/>
    </row>
    <row r="462" spans="1:52" ht="15.5" x14ac:dyDescent="0.35">
      <c r="A462" s="51">
        <f t="shared" si="109"/>
        <v>1</v>
      </c>
      <c r="B462" s="52"/>
      <c r="C462" s="52"/>
      <c r="D462" s="29" t="str">
        <f>IFERROR(
IF(AND(OR(Planilla!B462="C",Planilla!B462="c"), VLOOKUP(E462,[1]Diccionario!B:N,13,0)="C"), "OK",IF(AND(OR(Planilla!B462="C",Planilla!B462="c"), OR(VLOOKUP(E462,[1]Diccionario!B:N,13,0)="B", VLOOKUP(E462,[1]Diccionario!B:N,13,0)="A")), "DEFICIT",IF(
AND(OR(Planilla!B462="B", Planilla!B462="BPAL"), VLOOKUP(E462,[1]Diccionario!B:N,13,0)="B"), "OK",IF(AND(OR(Planilla!B462="B", Planilla!B462="BPAL"), VLOOKUP(E462,[1]Diccionario!B:N,13,0)="A"), "DEFICIT",IF(AND(OR(Planilla!B462="B", Planilla!B462="BPAL"), VLOOKUP(E462,[1]Diccionario!B:N,13,0)="C"), "SOBREOFERTA",IF(AND(Planilla!B462="A", VLOOKUP(E462,[1]Diccionario!B:N,13,0)="A"), "OK",IF(
AND(Planilla!B462="A", OR(VLOOKUP(E462,[1]Diccionario!B:N,13,0)="B", VLOOKUP(E462,[1]Diccionario!B:N,13,0)="C")), "SOBREOFERTA",""
))))))),"")</f>
        <v/>
      </c>
      <c r="E462" s="48"/>
      <c r="F462" s="53"/>
      <c r="G462" s="54"/>
      <c r="H462" s="55" t="str">
        <f t="shared" ref="H462:H525" si="117">IF(I462="","",IF(AND((I462-G462)&gt;=TIME(0,0,0),(I462-G462)&lt;TIME(0,3,0)),"OK",IF(AND((I462-G462)&gt;=TIME(0,3,0),(I462-G462)&lt;TIME(0,5,0)),"RETRASO DE 3-5 MIN",IF(AND((I462-G462)&gt;=TIME(0,5,0),(I462-G462)&lt;TIME(0,10,0)),"RETRASO DE 5-10 MIN",IF((I462-G462)&gt;=TIME(0,10,0),"RETRASO &gt;10 MIN",         IF(AND((G462-I462)&gt;=TIME(0,0,0),(G462-I462)&lt;TIME(0,3,0)),"OK",IF((G462-I462)&gt;=TIME(0,3,0),"ADELANTADO")))))))</f>
        <v/>
      </c>
      <c r="I462" s="35"/>
      <c r="J462" s="34" t="e">
        <f>IF(A462&lt;&gt;"",HLOOKUP(VALUE(TEXT(G462,"h:mm:ss")),IF($C$6="Laboral",[1]Input!$A$4:$Y$227,IF($C$6="Sábado",[1]Input!$A$231:$Y$452,[1]Input!$A$456:$Y$656)),VLOOKUP($C$4,[1]Input!$AG$2:$AI$99,3,0)+IF(C$5="Ida",0,1),1),"")</f>
        <v>#N/A</v>
      </c>
      <c r="K462" s="34" t="str">
        <f>IF(A463&lt;&gt;A462,AVERAGEIF(A$9:A462,A462,J$13:J462),"")</f>
        <v/>
      </c>
      <c r="L462" s="35" t="str">
        <f>IFERROR(IF(A463&lt;&gt;A462,AVERAGEIF(A$9:A462,A462,S$13:S462),""),"")</f>
        <v/>
      </c>
      <c r="M462" s="35" t="str">
        <f>IFERROR(IF(A463&lt;&gt;A462,AVERAGEIF(A$9:A462,A462,T$8:T462),""),"")</f>
        <v/>
      </c>
      <c r="N462" s="35" t="str" cm="1">
        <f t="array" ref="N462">IFERROR(IF(A463&lt;&gt;A462,_xlfn.STDEV.P(IF(A$9:A462=A462,T$7:T462)),""),"")</f>
        <v/>
      </c>
      <c r="O462" s="35" t="str" cm="1">
        <f t="array" ref="O462">IFERROR(IF(A463&lt;&gt;A462,_xlfn.STDEV.P(IF(A$9:A462=A462,S$7:S462)),""),"")</f>
        <v/>
      </c>
      <c r="P462" s="36" t="str">
        <f t="shared" si="110"/>
        <v/>
      </c>
      <c r="Q462" s="36" t="str">
        <f t="shared" si="111"/>
        <v/>
      </c>
      <c r="R462" s="36" t="str">
        <f t="shared" ref="R462:R525" si="118">IF(Q462&lt;&gt;"",MAX(P462,Q462),"")</f>
        <v/>
      </c>
      <c r="S462" s="37" t="str">
        <f t="shared" ref="S462:S525" si="119">IF(I462&lt;&gt;"H. Sale Real",IF(AND(I463&lt;&gt;"",LEFT(C463,2)&lt;&gt;"NC"),IF(AND(I462&lt;&gt;"",LEFT(C462,2)&lt;&gt;"NC",I462&lt;&gt;"H. Sale Real"),IF(I463-I462&lt;0.208333333333333,I463-I462,""),IF(AND(I461&lt;&gt;"",LEFT(C461,2)&lt;&gt;"NC",I461&lt;&gt;"H. Sale Real"),IF(I463-I461&lt;0.208333333333333,I463-I461,""),IF(AND(I460&lt;&gt;"",LEFT(C460,2)&lt;&gt;"NC",I460&lt;&gt;"H. Sale Real"),IF(I463-I460&lt;0.208333333333333,I463-I460,""),IF(AND(I459&lt;&gt;"",LEFT(C459,2)&lt;&gt;"NC",I459&lt;&gt;"H. Sale Real"),IF(I463-I459&lt;0.208333333333333,I463-I459,""),IF(AND(I458&lt;&gt;"",LEFT(C458,2)&lt;&gt;"NC",I458&lt;&gt;"H. Sale Real"),IF(I463-I458&lt;0.208333333333333,I463-I458,""),""))))),""),"")</f>
        <v/>
      </c>
      <c r="T462" s="37" t="str">
        <f t="shared" si="112"/>
        <v/>
      </c>
      <c r="U462" s="54"/>
      <c r="V462" s="46"/>
      <c r="W462" s="39" t="str">
        <f t="shared" ref="W462:W525" si="120">IF(G462&lt;&gt;"",IF(AND(W461&lt;&gt;"IE",P462&lt;&gt;0,R462&lt;&gt;""),IF(IFERROR((P462/R462),0) &lt;=1,IFERROR(P462/R462,""),1),""),"")</f>
        <v/>
      </c>
      <c r="X462" s="38"/>
      <c r="Y462" s="48"/>
      <c r="AB462" s="56">
        <f t="shared" ref="AB462:AB525" si="121">HOUR(AH462)+1</f>
        <v>1</v>
      </c>
      <c r="AC462" s="52"/>
      <c r="AD462" s="52"/>
      <c r="AE462" s="29" t="str">
        <f>IFERROR(
IF(AND(OR(AC462="C",AC462="c"), VLOOKUP(AF462,[1]Diccionario!B:N,13,0)="C"), "OK",IF(AND(OR(AC462="C",AC462="c"), OR(VLOOKUP(AF462,[1]Diccionario!B:N,13,0)="B", VLOOKUP(AF462,[1]Diccionario!B:N,13,0)="A")), "DEFICIT",IF(
AND(OR(AC462="B", AC462="BPAL"), VLOOKUP(AF462,[1]Diccionario!B:N,13,0)="B"), "OK",IF(AND(OR(AC462="B", AC462="BPAL"), VLOOKUP(AF462,[1]Diccionario!B:N,13,0)="A"), "DEFICIT",IF(AND(OR(AC462="B", AC462="BPAL"), VLOOKUP(AF462,[1]Diccionario!B:N,13,0)="C"), "SOBREOFERTA",IF(AND(AC462="A", VLOOKUP(AF462,[1]Diccionario!B:N,13,0)="A"), "OK",IF(
AND(AC462="A", OR(VLOOKUP(AF462,[1]Diccionario!B:N,13,0)="B", VLOOKUP(AF462,[1]Diccionario!B:N,13,0)="C")), "SOBREOFERTA",""
))))))),"")</f>
        <v/>
      </c>
      <c r="AF462" s="48"/>
      <c r="AG462" s="53"/>
      <c r="AH462" s="54"/>
      <c r="AI462" s="55" t="str">
        <f t="shared" ref="AI462:AI525" si="122">IF(AJ462="","",IF(AND((AJ462-AH462)&gt;=TIME(0,0,0),(AJ462-AH462)&lt;TIME(0,3,0)),"OK",IF(AND((AJ462-AH462)&gt;=TIME(0,3,0),(AJ462-AH462)&lt;TIME(0,5,0)),"RETRASO DE 3-5 MIN",IF(AND((AJ462-AH462)&gt;=TIME(0,5,0),(AJ462-AH462)&lt;TIME(0,10,0)),"RETRASO DE 5-10 MIN",IF((AJ462-AH462)&gt;=TIME(0,10,0),"RETRASO &gt;10 MIN",         IF(AND((AH462-AJ462)&gt;=TIME(0,0,0),(AH462-AJ462)&lt;TIME(0,3,0)),"OK",IF((AH462-AJ462)&gt;=TIME(0,3,0),"ADELANTADO")))))))</f>
        <v/>
      </c>
      <c r="AJ462" s="46"/>
      <c r="AK462" s="34" t="e">
        <f>IF(AB462&lt;&gt;"",HLOOKUP(VALUE(TEXT(AH462,"h:mm:ss")),IF($C$6="Laboral",[1]Input!$A$4:$Y$227,IF($C$6="Sábado",[1]Input!$A$231:$Y$452,[1]Input!$A$456:$Y$656)),VLOOKUP($C$4,[1]Input!$AG$2:$AI$99,3,0)+IF(AD$5="Ida",0,1),1),"")</f>
        <v>#N/A</v>
      </c>
      <c r="AL462" s="34" t="str">
        <f>IF(AB463&lt;&gt;AB462,AVERAGEIF(AB$9:AB462,AB462,AK$9:AK462),"")</f>
        <v/>
      </c>
      <c r="AM462" s="35" t="str">
        <f>IFERROR(IF(AB463&lt;&gt;AB462,AVERAGEIF(AB$9:AB462,AB462,AT$9:AT462),""),"")</f>
        <v/>
      </c>
      <c r="AN462" s="35" t="str">
        <f>IFERROR(IF(AB463&lt;&gt;AB462,AVERAGEIF(AB$9:AB462,AB462,AU$9:AU462),""),"")</f>
        <v/>
      </c>
      <c r="AO462" s="35" t="str" cm="1">
        <f t="array" ref="AO462">IFERROR(IF(AB463&lt;&gt;AB462,_xlfn.STDEV.P(IF(AB$9:AB462=AB462,AU$9:AU462)),""),"")</f>
        <v/>
      </c>
      <c r="AP462" s="35" t="str" cm="1">
        <f t="array" ref="AP462">IFERROR(IF(AB463&lt;&gt;AB462,_xlfn.STDEV.P(IF(AB$9:AB462=AB462,AT$9:AT462)),""),"")</f>
        <v/>
      </c>
      <c r="AQ462" s="36" t="str">
        <f t="shared" si="113"/>
        <v/>
      </c>
      <c r="AR462" s="36" t="str">
        <f t="shared" si="114"/>
        <v/>
      </c>
      <c r="AS462" s="36" t="str">
        <f t="shared" ref="AS462:AS525" si="123">IF(AR462&lt;&gt;"",MAX(AQ462,AR462),"")</f>
        <v/>
      </c>
      <c r="AT462" s="37" t="str">
        <f t="shared" si="115"/>
        <v/>
      </c>
      <c r="AU462" s="37" t="str">
        <f t="shared" si="116"/>
        <v/>
      </c>
      <c r="AV462" s="54"/>
      <c r="AW462" s="46"/>
      <c r="AX462" s="39" t="str" cm="1">
        <f t="array" ref="AX462">IF(AH462&lt;&gt;"",IF(AND(AX460:AX461&lt;&gt;"IE",AQ462&lt;&gt;0,AS462&lt;&gt;""),IF(IFERROR((AQ462/AS462),0) &lt;=1,IFERROR(AQ462/AS462,""),1),""),"")</f>
        <v/>
      </c>
      <c r="AY462" s="46"/>
      <c r="AZ462" s="57"/>
    </row>
    <row r="463" spans="1:52" ht="15.5" x14ac:dyDescent="0.35">
      <c r="A463" s="51">
        <f t="shared" ref="A463:A526" si="124">HOUR(G463)+1</f>
        <v>1</v>
      </c>
      <c r="B463" s="52"/>
      <c r="C463" s="52"/>
      <c r="D463" s="29" t="str">
        <f>IFERROR(
IF(AND(OR(Planilla!B463="C",Planilla!B463="c"), VLOOKUP(E463,[1]Diccionario!B:N,13,0)="C"), "OK",IF(AND(OR(Planilla!B463="C",Planilla!B463="c"), OR(VLOOKUP(E463,[1]Diccionario!B:N,13,0)="B", VLOOKUP(E463,[1]Diccionario!B:N,13,0)="A")), "DEFICIT",IF(
AND(OR(Planilla!B463="B", Planilla!B463="BPAL"), VLOOKUP(E463,[1]Diccionario!B:N,13,0)="B"), "OK",IF(AND(OR(Planilla!B463="B", Planilla!B463="BPAL"), VLOOKUP(E463,[1]Diccionario!B:N,13,0)="A"), "DEFICIT",IF(AND(OR(Planilla!B463="B", Planilla!B463="BPAL"), VLOOKUP(E463,[1]Diccionario!B:N,13,0)="C"), "SOBREOFERTA",IF(AND(Planilla!B463="A", VLOOKUP(E463,[1]Diccionario!B:N,13,0)="A"), "OK",IF(
AND(Planilla!B463="A", OR(VLOOKUP(E463,[1]Diccionario!B:N,13,0)="B", VLOOKUP(E463,[1]Diccionario!B:N,13,0)="C")), "SOBREOFERTA",""
))))))),"")</f>
        <v/>
      </c>
      <c r="E463" s="48"/>
      <c r="F463" s="53"/>
      <c r="G463" s="54"/>
      <c r="H463" s="55" t="str">
        <f t="shared" si="117"/>
        <v/>
      </c>
      <c r="I463" s="35"/>
      <c r="J463" s="34" t="e">
        <f>IF(A463&lt;&gt;"",HLOOKUP(VALUE(TEXT(G463,"h:mm:ss")),IF($C$6="Laboral",[1]Input!$A$4:$Y$227,IF($C$6="Sábado",[1]Input!$A$231:$Y$452,[1]Input!$A$456:$Y$656)),VLOOKUP($C$4,[1]Input!$AG$2:$AI$99,3,0)+IF(C$5="Ida",0,1),1),"")</f>
        <v>#N/A</v>
      </c>
      <c r="K463" s="34" t="str">
        <f>IF(A464&lt;&gt;A463,AVERAGEIF(A$9:A463,A463,J$13:J463),"")</f>
        <v/>
      </c>
      <c r="L463" s="35" t="str">
        <f>IFERROR(IF(A464&lt;&gt;A463,AVERAGEIF(A$9:A463,A463,S$13:S463),""),"")</f>
        <v/>
      </c>
      <c r="M463" s="35" t="str">
        <f>IFERROR(IF(A464&lt;&gt;A463,AVERAGEIF(A$9:A463,A463,T$8:T463),""),"")</f>
        <v/>
      </c>
      <c r="N463" s="35" t="str" cm="1">
        <f t="array" ref="N463">IFERROR(IF(A464&lt;&gt;A463,_xlfn.STDEV.P(IF(A$9:A463=A463,T$7:T463)),""),"")</f>
        <v/>
      </c>
      <c r="O463" s="35" t="str" cm="1">
        <f t="array" ref="O463">IFERROR(IF(A464&lt;&gt;A463,_xlfn.STDEV.P(IF(A$9:A463=A463,S$7:S463)),""),"")</f>
        <v/>
      </c>
      <c r="P463" s="36" t="str">
        <f t="shared" si="110"/>
        <v/>
      </c>
      <c r="Q463" s="36" t="str">
        <f t="shared" si="111"/>
        <v/>
      </c>
      <c r="R463" s="36" t="str">
        <f t="shared" si="118"/>
        <v/>
      </c>
      <c r="S463" s="37" t="str">
        <f t="shared" si="119"/>
        <v/>
      </c>
      <c r="T463" s="37" t="str">
        <f t="shared" si="112"/>
        <v/>
      </c>
      <c r="U463" s="54"/>
      <c r="V463" s="46"/>
      <c r="W463" s="39" t="str">
        <f t="shared" si="120"/>
        <v/>
      </c>
      <c r="X463" s="38"/>
      <c r="Y463" s="48"/>
      <c r="AB463" s="56">
        <f t="shared" si="121"/>
        <v>1</v>
      </c>
      <c r="AC463" s="52"/>
      <c r="AD463" s="52"/>
      <c r="AE463" s="29" t="str">
        <f>IFERROR(
IF(AND(OR(AC463="C",AC463="c"), VLOOKUP(AF463,[1]Diccionario!B:N,13,0)="C"), "OK",IF(AND(OR(AC463="C",AC463="c"), OR(VLOOKUP(AF463,[1]Diccionario!B:N,13,0)="B", VLOOKUP(AF463,[1]Diccionario!B:N,13,0)="A")), "DEFICIT",IF(
AND(OR(AC463="B", AC463="BPAL"), VLOOKUP(AF463,[1]Diccionario!B:N,13,0)="B"), "OK",IF(AND(OR(AC463="B", AC463="BPAL"), VLOOKUP(AF463,[1]Diccionario!B:N,13,0)="A"), "DEFICIT",IF(AND(OR(AC463="B", AC463="BPAL"), VLOOKUP(AF463,[1]Diccionario!B:N,13,0)="C"), "SOBREOFERTA",IF(AND(AC463="A", VLOOKUP(AF463,[1]Diccionario!B:N,13,0)="A"), "OK",IF(
AND(AC463="A", OR(VLOOKUP(AF463,[1]Diccionario!B:N,13,0)="B", VLOOKUP(AF463,[1]Diccionario!B:N,13,0)="C")), "SOBREOFERTA",""
))))))),"")</f>
        <v/>
      </c>
      <c r="AF463" s="48"/>
      <c r="AG463" s="53"/>
      <c r="AH463" s="54"/>
      <c r="AI463" s="55" t="str">
        <f t="shared" si="122"/>
        <v/>
      </c>
      <c r="AJ463" s="46"/>
      <c r="AK463" s="34" t="e">
        <f>IF(AB463&lt;&gt;"",HLOOKUP(VALUE(TEXT(AH463,"h:mm:ss")),IF($C$6="Laboral",[1]Input!$A$4:$Y$227,IF($C$6="Sábado",[1]Input!$A$231:$Y$452,[1]Input!$A$456:$Y$656)),VLOOKUP($C$4,[1]Input!$AG$2:$AI$99,3,0)+IF(AD$5="Ida",0,1),1),"")</f>
        <v>#N/A</v>
      </c>
      <c r="AL463" s="34" t="str">
        <f>IF(AB464&lt;&gt;AB463,AVERAGEIF(AB$9:AB463,AB463,AK$9:AK463),"")</f>
        <v/>
      </c>
      <c r="AM463" s="35" t="str">
        <f>IFERROR(IF(AB464&lt;&gt;AB463,AVERAGEIF(AB$9:AB463,AB463,AT$9:AT463),""),"")</f>
        <v/>
      </c>
      <c r="AN463" s="35" t="str">
        <f>IFERROR(IF(AB464&lt;&gt;AB463,AVERAGEIF(AB$9:AB463,AB463,AU$9:AU463),""),"")</f>
        <v/>
      </c>
      <c r="AO463" s="35" t="str" cm="1">
        <f t="array" ref="AO463">IFERROR(IF(AB464&lt;&gt;AB463,_xlfn.STDEV.P(IF(AB$9:AB463=AB463,AU$9:AU463)),""),"")</f>
        <v/>
      </c>
      <c r="AP463" s="35" t="str" cm="1">
        <f t="array" ref="AP463">IFERROR(IF(AB464&lt;&gt;AB463,_xlfn.STDEV.P(IF(AB$9:AB463=AB463,AT$9:AT463)),""),"")</f>
        <v/>
      </c>
      <c r="AQ463" s="36" t="str">
        <f t="shared" si="113"/>
        <v/>
      </c>
      <c r="AR463" s="36" t="str">
        <f t="shared" si="114"/>
        <v/>
      </c>
      <c r="AS463" s="36" t="str">
        <f t="shared" si="123"/>
        <v/>
      </c>
      <c r="AT463" s="37" t="str">
        <f t="shared" si="115"/>
        <v/>
      </c>
      <c r="AU463" s="37" t="str">
        <f t="shared" si="116"/>
        <v/>
      </c>
      <c r="AV463" s="54"/>
      <c r="AW463" s="46"/>
      <c r="AX463" s="39" t="str" cm="1">
        <f t="array" ref="AX463">IF(AH463&lt;&gt;"",IF(AND(AX461:AX462&lt;&gt;"IE",AQ463&lt;&gt;0,AS463&lt;&gt;""),IF(IFERROR((AQ463/AS463),0) &lt;=1,IFERROR(AQ463/AS463,""),1),""),"")</f>
        <v/>
      </c>
      <c r="AY463" s="46"/>
      <c r="AZ463" s="57"/>
    </row>
    <row r="464" spans="1:52" ht="15.5" x14ac:dyDescent="0.35">
      <c r="A464" s="51">
        <f t="shared" si="124"/>
        <v>1</v>
      </c>
      <c r="B464" s="52"/>
      <c r="C464" s="52"/>
      <c r="D464" s="29" t="str">
        <f>IFERROR(
IF(AND(OR(Planilla!B464="C",Planilla!B464="c"), VLOOKUP(E464,[1]Diccionario!B:N,13,0)="C"), "OK",IF(AND(OR(Planilla!B464="C",Planilla!B464="c"), OR(VLOOKUP(E464,[1]Diccionario!B:N,13,0)="B", VLOOKUP(E464,[1]Diccionario!B:N,13,0)="A")), "DEFICIT",IF(
AND(OR(Planilla!B464="B", Planilla!B464="BPAL"), VLOOKUP(E464,[1]Diccionario!B:N,13,0)="B"), "OK",IF(AND(OR(Planilla!B464="B", Planilla!B464="BPAL"), VLOOKUP(E464,[1]Diccionario!B:N,13,0)="A"), "DEFICIT",IF(AND(OR(Planilla!B464="B", Planilla!B464="BPAL"), VLOOKUP(E464,[1]Diccionario!B:N,13,0)="C"), "SOBREOFERTA",IF(AND(Planilla!B464="A", VLOOKUP(E464,[1]Diccionario!B:N,13,0)="A"), "OK",IF(
AND(Planilla!B464="A", OR(VLOOKUP(E464,[1]Diccionario!B:N,13,0)="B", VLOOKUP(E464,[1]Diccionario!B:N,13,0)="C")), "SOBREOFERTA",""
))))))),"")</f>
        <v/>
      </c>
      <c r="E464" s="48"/>
      <c r="F464" s="53"/>
      <c r="G464" s="54"/>
      <c r="H464" s="55" t="str">
        <f t="shared" si="117"/>
        <v/>
      </c>
      <c r="I464" s="35"/>
      <c r="J464" s="34" t="e">
        <f>IF(A464&lt;&gt;"",HLOOKUP(VALUE(TEXT(G464,"h:mm:ss")),IF($C$6="Laboral",[1]Input!$A$4:$Y$227,IF($C$6="Sábado",[1]Input!$A$231:$Y$452,[1]Input!$A$456:$Y$656)),VLOOKUP($C$4,[1]Input!$AG$2:$AI$99,3,0)+IF(C$5="Ida",0,1),1),"")</f>
        <v>#N/A</v>
      </c>
      <c r="K464" s="34" t="str">
        <f>IF(A465&lt;&gt;A464,AVERAGEIF(A$9:A464,A464,J$13:J464),"")</f>
        <v/>
      </c>
      <c r="L464" s="35" t="str">
        <f>IFERROR(IF(A465&lt;&gt;A464,AVERAGEIF(A$9:A464,A464,S$13:S464),""),"")</f>
        <v/>
      </c>
      <c r="M464" s="35" t="str">
        <f>IFERROR(IF(A465&lt;&gt;A464,AVERAGEIF(A$9:A464,A464,T$8:T464),""),"")</f>
        <v/>
      </c>
      <c r="N464" s="35" t="str" cm="1">
        <f t="array" ref="N464">IFERROR(IF(A465&lt;&gt;A464,_xlfn.STDEV.P(IF(A$9:A464=A464,T$7:T464)),""),"")</f>
        <v/>
      </c>
      <c r="O464" s="35" t="str" cm="1">
        <f t="array" ref="O464">IFERROR(IF(A465&lt;&gt;A464,_xlfn.STDEV.P(IF(A$9:A464=A464,S$7:S464)),""),"")</f>
        <v/>
      </c>
      <c r="P464" s="36" t="str">
        <f t="shared" si="110"/>
        <v/>
      </c>
      <c r="Q464" s="36" t="str">
        <f t="shared" si="111"/>
        <v/>
      </c>
      <c r="R464" s="36" t="str">
        <f t="shared" si="118"/>
        <v/>
      </c>
      <c r="S464" s="37" t="str">
        <f t="shared" si="119"/>
        <v/>
      </c>
      <c r="T464" s="37" t="str">
        <f t="shared" si="112"/>
        <v/>
      </c>
      <c r="U464" s="54"/>
      <c r="V464" s="46"/>
      <c r="W464" s="39" t="str">
        <f t="shared" si="120"/>
        <v/>
      </c>
      <c r="X464" s="38"/>
      <c r="Y464" s="48"/>
      <c r="AB464" s="56">
        <f t="shared" si="121"/>
        <v>1</v>
      </c>
      <c r="AC464" s="52"/>
      <c r="AD464" s="52"/>
      <c r="AE464" s="29" t="str">
        <f>IFERROR(
IF(AND(OR(AC464="C",AC464="c"), VLOOKUP(AF464,[1]Diccionario!B:N,13,0)="C"), "OK",IF(AND(OR(AC464="C",AC464="c"), OR(VLOOKUP(AF464,[1]Diccionario!B:N,13,0)="B", VLOOKUP(AF464,[1]Diccionario!B:N,13,0)="A")), "DEFICIT",IF(
AND(OR(AC464="B", AC464="BPAL"), VLOOKUP(AF464,[1]Diccionario!B:N,13,0)="B"), "OK",IF(AND(OR(AC464="B", AC464="BPAL"), VLOOKUP(AF464,[1]Diccionario!B:N,13,0)="A"), "DEFICIT",IF(AND(OR(AC464="B", AC464="BPAL"), VLOOKUP(AF464,[1]Diccionario!B:N,13,0)="C"), "SOBREOFERTA",IF(AND(AC464="A", VLOOKUP(AF464,[1]Diccionario!B:N,13,0)="A"), "OK",IF(
AND(AC464="A", OR(VLOOKUP(AF464,[1]Diccionario!B:N,13,0)="B", VLOOKUP(AF464,[1]Diccionario!B:N,13,0)="C")), "SOBREOFERTA",""
))))))),"")</f>
        <v/>
      </c>
      <c r="AF464" s="48"/>
      <c r="AG464" s="53"/>
      <c r="AH464" s="54"/>
      <c r="AI464" s="55" t="str">
        <f t="shared" si="122"/>
        <v/>
      </c>
      <c r="AJ464" s="46"/>
      <c r="AK464" s="34" t="e">
        <f>IF(AB464&lt;&gt;"",HLOOKUP(VALUE(TEXT(AH464,"h:mm:ss")),IF($C$6="Laboral",[1]Input!$A$4:$Y$227,IF($C$6="Sábado",[1]Input!$A$231:$Y$452,[1]Input!$A$456:$Y$656)),VLOOKUP($C$4,[1]Input!$AG$2:$AI$99,3,0)+IF(AD$5="Ida",0,1),1),"")</f>
        <v>#N/A</v>
      </c>
      <c r="AL464" s="34" t="str">
        <f>IF(AB465&lt;&gt;AB464,AVERAGEIF(AB$9:AB464,AB464,AK$9:AK464),"")</f>
        <v/>
      </c>
      <c r="AM464" s="35" t="str">
        <f>IFERROR(IF(AB465&lt;&gt;AB464,AVERAGEIF(AB$9:AB464,AB464,AT$9:AT464),""),"")</f>
        <v/>
      </c>
      <c r="AN464" s="35" t="str">
        <f>IFERROR(IF(AB465&lt;&gt;AB464,AVERAGEIF(AB$9:AB464,AB464,AU$9:AU464),""),"")</f>
        <v/>
      </c>
      <c r="AO464" s="35" t="str" cm="1">
        <f t="array" ref="AO464">IFERROR(IF(AB465&lt;&gt;AB464,_xlfn.STDEV.P(IF(AB$9:AB464=AB464,AU$9:AU464)),""),"")</f>
        <v/>
      </c>
      <c r="AP464" s="35" t="str" cm="1">
        <f t="array" ref="AP464">IFERROR(IF(AB465&lt;&gt;AB464,_xlfn.STDEV.P(IF(AB$9:AB464=AB464,AT$9:AT464)),""),"")</f>
        <v/>
      </c>
      <c r="AQ464" s="36" t="str">
        <f t="shared" si="113"/>
        <v/>
      </c>
      <c r="AR464" s="36" t="str">
        <f t="shared" si="114"/>
        <v/>
      </c>
      <c r="AS464" s="36" t="str">
        <f t="shared" si="123"/>
        <v/>
      </c>
      <c r="AT464" s="37" t="str">
        <f t="shared" si="115"/>
        <v/>
      </c>
      <c r="AU464" s="37" t="str">
        <f t="shared" si="116"/>
        <v/>
      </c>
      <c r="AV464" s="54"/>
      <c r="AW464" s="46"/>
      <c r="AX464" s="39" t="str" cm="1">
        <f t="array" ref="AX464">IF(AH464&lt;&gt;"",IF(AND(AX462:AX463&lt;&gt;"IE",AQ464&lt;&gt;0,AS464&lt;&gt;""),IF(IFERROR((AQ464/AS464),0) &lt;=1,IFERROR(AQ464/AS464,""),1),""),"")</f>
        <v/>
      </c>
      <c r="AY464" s="46"/>
      <c r="AZ464" s="57"/>
    </row>
    <row r="465" spans="1:52" ht="15.5" x14ac:dyDescent="0.35">
      <c r="A465" s="51">
        <f t="shared" si="124"/>
        <v>1</v>
      </c>
      <c r="B465" s="52"/>
      <c r="C465" s="52"/>
      <c r="D465" s="29" t="str">
        <f>IFERROR(
IF(AND(OR(Planilla!B465="C",Planilla!B465="c"), VLOOKUP(E465,[1]Diccionario!B:N,13,0)="C"), "OK",IF(AND(OR(Planilla!B465="C",Planilla!B465="c"), OR(VLOOKUP(E465,[1]Diccionario!B:N,13,0)="B", VLOOKUP(E465,[1]Diccionario!B:N,13,0)="A")), "DEFICIT",IF(
AND(OR(Planilla!B465="B", Planilla!B465="BPAL"), VLOOKUP(E465,[1]Diccionario!B:N,13,0)="B"), "OK",IF(AND(OR(Planilla!B465="B", Planilla!B465="BPAL"), VLOOKUP(E465,[1]Diccionario!B:N,13,0)="A"), "DEFICIT",IF(AND(OR(Planilla!B465="B", Planilla!B465="BPAL"), VLOOKUP(E465,[1]Diccionario!B:N,13,0)="C"), "SOBREOFERTA",IF(AND(Planilla!B465="A", VLOOKUP(E465,[1]Diccionario!B:N,13,0)="A"), "OK",IF(
AND(Planilla!B465="A", OR(VLOOKUP(E465,[1]Diccionario!B:N,13,0)="B", VLOOKUP(E465,[1]Diccionario!B:N,13,0)="C")), "SOBREOFERTA",""
))))))),"")</f>
        <v/>
      </c>
      <c r="E465" s="48"/>
      <c r="F465" s="53"/>
      <c r="G465" s="54"/>
      <c r="H465" s="55" t="str">
        <f t="shared" si="117"/>
        <v/>
      </c>
      <c r="I465" s="35"/>
      <c r="J465" s="34" t="e">
        <f>IF(A465&lt;&gt;"",HLOOKUP(VALUE(TEXT(G465,"h:mm:ss")),IF($C$6="Laboral",[1]Input!$A$4:$Y$227,IF($C$6="Sábado",[1]Input!$A$231:$Y$452,[1]Input!$A$456:$Y$656)),VLOOKUP($C$4,[1]Input!$AG$2:$AI$99,3,0)+IF(C$5="Ida",0,1),1),"")</f>
        <v>#N/A</v>
      </c>
      <c r="K465" s="34" t="str">
        <f>IF(A466&lt;&gt;A465,AVERAGEIF(A$9:A465,A465,J$13:J465),"")</f>
        <v/>
      </c>
      <c r="L465" s="35" t="str">
        <f>IFERROR(IF(A466&lt;&gt;A465,AVERAGEIF(A$9:A465,A465,S$13:S465),""),"")</f>
        <v/>
      </c>
      <c r="M465" s="35" t="str">
        <f>IFERROR(IF(A466&lt;&gt;A465,AVERAGEIF(A$9:A465,A465,T$8:T465),""),"")</f>
        <v/>
      </c>
      <c r="N465" s="35" t="str" cm="1">
        <f t="array" ref="N465">IFERROR(IF(A466&lt;&gt;A465,_xlfn.STDEV.P(IF(A$9:A465=A465,T$7:T465)),""),"")</f>
        <v/>
      </c>
      <c r="O465" s="35" t="str" cm="1">
        <f t="array" ref="O465">IFERROR(IF(A466&lt;&gt;A465,_xlfn.STDEV.P(IF(A$9:A465=A465,S$7:S465)),""),"")</f>
        <v/>
      </c>
      <c r="P465" s="36" t="str">
        <f t="shared" si="110"/>
        <v/>
      </c>
      <c r="Q465" s="36" t="str">
        <f t="shared" si="111"/>
        <v/>
      </c>
      <c r="R465" s="36" t="str">
        <f t="shared" si="118"/>
        <v/>
      </c>
      <c r="S465" s="37" t="str">
        <f t="shared" si="119"/>
        <v/>
      </c>
      <c r="T465" s="37" t="str">
        <f t="shared" si="112"/>
        <v/>
      </c>
      <c r="U465" s="54"/>
      <c r="V465" s="46"/>
      <c r="W465" s="39" t="str">
        <f t="shared" si="120"/>
        <v/>
      </c>
      <c r="X465" s="38"/>
      <c r="Y465" s="48"/>
      <c r="AB465" s="56">
        <f t="shared" si="121"/>
        <v>1</v>
      </c>
      <c r="AC465" s="52"/>
      <c r="AD465" s="52"/>
      <c r="AE465" s="29" t="str">
        <f>IFERROR(
IF(AND(OR(AC465="C",AC465="c"), VLOOKUP(AF465,[1]Diccionario!B:N,13,0)="C"), "OK",IF(AND(OR(AC465="C",AC465="c"), OR(VLOOKUP(AF465,[1]Diccionario!B:N,13,0)="B", VLOOKUP(AF465,[1]Diccionario!B:N,13,0)="A")), "DEFICIT",IF(
AND(OR(AC465="B", AC465="BPAL"), VLOOKUP(AF465,[1]Diccionario!B:N,13,0)="B"), "OK",IF(AND(OR(AC465="B", AC465="BPAL"), VLOOKUP(AF465,[1]Diccionario!B:N,13,0)="A"), "DEFICIT",IF(AND(OR(AC465="B", AC465="BPAL"), VLOOKUP(AF465,[1]Diccionario!B:N,13,0)="C"), "SOBREOFERTA",IF(AND(AC465="A", VLOOKUP(AF465,[1]Diccionario!B:N,13,0)="A"), "OK",IF(
AND(AC465="A", OR(VLOOKUP(AF465,[1]Diccionario!B:N,13,0)="B", VLOOKUP(AF465,[1]Diccionario!B:N,13,0)="C")), "SOBREOFERTA",""
))))))),"")</f>
        <v/>
      </c>
      <c r="AF465" s="48"/>
      <c r="AG465" s="53"/>
      <c r="AH465" s="54"/>
      <c r="AI465" s="55" t="str">
        <f t="shared" si="122"/>
        <v/>
      </c>
      <c r="AJ465" s="46"/>
      <c r="AK465" s="34" t="e">
        <f>IF(AB465&lt;&gt;"",HLOOKUP(VALUE(TEXT(AH465,"h:mm:ss")),IF($C$6="Laboral",[1]Input!$A$4:$Y$227,IF($C$6="Sábado",[1]Input!$A$231:$Y$452,[1]Input!$A$456:$Y$656)),VLOOKUP($C$4,[1]Input!$AG$2:$AI$99,3,0)+IF(AD$5="Ida",0,1),1),"")</f>
        <v>#N/A</v>
      </c>
      <c r="AL465" s="34" t="str">
        <f>IF(AB466&lt;&gt;AB465,AVERAGEIF(AB$9:AB465,AB465,AK$9:AK465),"")</f>
        <v/>
      </c>
      <c r="AM465" s="35" t="str">
        <f>IFERROR(IF(AB466&lt;&gt;AB465,AVERAGEIF(AB$9:AB465,AB465,AT$9:AT465),""),"")</f>
        <v/>
      </c>
      <c r="AN465" s="35" t="str">
        <f>IFERROR(IF(AB466&lt;&gt;AB465,AVERAGEIF(AB$9:AB465,AB465,AU$9:AU465),""),"")</f>
        <v/>
      </c>
      <c r="AO465" s="35" t="str" cm="1">
        <f t="array" ref="AO465">IFERROR(IF(AB466&lt;&gt;AB465,_xlfn.STDEV.P(IF(AB$9:AB465=AB465,AU$9:AU465)),""),"")</f>
        <v/>
      </c>
      <c r="AP465" s="35" t="str" cm="1">
        <f t="array" ref="AP465">IFERROR(IF(AB466&lt;&gt;AB465,_xlfn.STDEV.P(IF(AB$9:AB465=AB465,AT$9:AT465)),""),"")</f>
        <v/>
      </c>
      <c r="AQ465" s="36" t="str">
        <f t="shared" si="113"/>
        <v/>
      </c>
      <c r="AR465" s="36" t="str">
        <f t="shared" si="114"/>
        <v/>
      </c>
      <c r="AS465" s="36" t="str">
        <f t="shared" si="123"/>
        <v/>
      </c>
      <c r="AT465" s="37" t="str">
        <f t="shared" si="115"/>
        <v/>
      </c>
      <c r="AU465" s="37" t="str">
        <f t="shared" si="116"/>
        <v/>
      </c>
      <c r="AV465" s="54"/>
      <c r="AW465" s="46"/>
      <c r="AX465" s="39" t="str" cm="1">
        <f t="array" ref="AX465">IF(AH465&lt;&gt;"",IF(AND(AX463:AX464&lt;&gt;"IE",AQ465&lt;&gt;0,AS465&lt;&gt;""),IF(IFERROR((AQ465/AS465),0) &lt;=1,IFERROR(AQ465/AS465,""),1),""),"")</f>
        <v/>
      </c>
      <c r="AY465" s="46"/>
      <c r="AZ465" s="57"/>
    </row>
    <row r="466" spans="1:52" ht="15.5" x14ac:dyDescent="0.35">
      <c r="A466" s="51">
        <f t="shared" si="124"/>
        <v>1</v>
      </c>
      <c r="B466" s="52"/>
      <c r="C466" s="52"/>
      <c r="D466" s="29" t="str">
        <f>IFERROR(
IF(AND(OR(Planilla!B466="C",Planilla!B466="c"), VLOOKUP(E466,[1]Diccionario!B:N,13,0)="C"), "OK",IF(AND(OR(Planilla!B466="C",Planilla!B466="c"), OR(VLOOKUP(E466,[1]Diccionario!B:N,13,0)="B", VLOOKUP(E466,[1]Diccionario!B:N,13,0)="A")), "DEFICIT",IF(
AND(OR(Planilla!B466="B", Planilla!B466="BPAL"), VLOOKUP(E466,[1]Diccionario!B:N,13,0)="B"), "OK",IF(AND(OR(Planilla!B466="B", Planilla!B466="BPAL"), VLOOKUP(E466,[1]Diccionario!B:N,13,0)="A"), "DEFICIT",IF(AND(OR(Planilla!B466="B", Planilla!B466="BPAL"), VLOOKUP(E466,[1]Diccionario!B:N,13,0)="C"), "SOBREOFERTA",IF(AND(Planilla!B466="A", VLOOKUP(E466,[1]Diccionario!B:N,13,0)="A"), "OK",IF(
AND(Planilla!B466="A", OR(VLOOKUP(E466,[1]Diccionario!B:N,13,0)="B", VLOOKUP(E466,[1]Diccionario!B:N,13,0)="C")), "SOBREOFERTA",""
))))))),"")</f>
        <v/>
      </c>
      <c r="E466" s="48"/>
      <c r="F466" s="53"/>
      <c r="G466" s="54"/>
      <c r="H466" s="55" t="str">
        <f t="shared" si="117"/>
        <v/>
      </c>
      <c r="I466" s="35"/>
      <c r="J466" s="34" t="e">
        <f>IF(A466&lt;&gt;"",HLOOKUP(VALUE(TEXT(G466,"h:mm:ss")),IF($C$6="Laboral",[1]Input!$A$4:$Y$227,IF($C$6="Sábado",[1]Input!$A$231:$Y$452,[1]Input!$A$456:$Y$656)),VLOOKUP($C$4,[1]Input!$AG$2:$AI$99,3,0)+IF(C$5="Ida",0,1),1),"")</f>
        <v>#N/A</v>
      </c>
      <c r="K466" s="34" t="str">
        <f>IF(A467&lt;&gt;A466,AVERAGEIF(A$9:A466,A466,J$13:J466),"")</f>
        <v/>
      </c>
      <c r="L466" s="35" t="str">
        <f>IFERROR(IF(A467&lt;&gt;A466,AVERAGEIF(A$9:A466,A466,S$13:S466),""),"")</f>
        <v/>
      </c>
      <c r="M466" s="35" t="str">
        <f>IFERROR(IF(A467&lt;&gt;A466,AVERAGEIF(A$9:A466,A466,T$8:T466),""),"")</f>
        <v/>
      </c>
      <c r="N466" s="35" t="str" cm="1">
        <f t="array" ref="N466">IFERROR(IF(A467&lt;&gt;A466,_xlfn.STDEV.P(IF(A$9:A466=A466,T$7:T466)),""),"")</f>
        <v/>
      </c>
      <c r="O466" s="35" t="str" cm="1">
        <f t="array" ref="O466">IFERROR(IF(A467&lt;&gt;A466,_xlfn.STDEV.P(IF(A$9:A466=A466,S$7:S466)),""),"")</f>
        <v/>
      </c>
      <c r="P466" s="36" t="str">
        <f t="shared" si="110"/>
        <v/>
      </c>
      <c r="Q466" s="36" t="str">
        <f t="shared" si="111"/>
        <v/>
      </c>
      <c r="R466" s="36" t="str">
        <f t="shared" si="118"/>
        <v/>
      </c>
      <c r="S466" s="37" t="str">
        <f t="shared" si="119"/>
        <v/>
      </c>
      <c r="T466" s="37" t="str">
        <f t="shared" si="112"/>
        <v/>
      </c>
      <c r="U466" s="54"/>
      <c r="V466" s="46"/>
      <c r="W466" s="39" t="str">
        <f t="shared" si="120"/>
        <v/>
      </c>
      <c r="X466" s="38"/>
      <c r="Y466" s="48"/>
      <c r="AB466" s="56">
        <f t="shared" si="121"/>
        <v>1</v>
      </c>
      <c r="AC466" s="52"/>
      <c r="AD466" s="52"/>
      <c r="AE466" s="29" t="str">
        <f>IFERROR(
IF(AND(OR(AC466="C",AC466="c"), VLOOKUP(AF466,[1]Diccionario!B:N,13,0)="C"), "OK",IF(AND(OR(AC466="C",AC466="c"), OR(VLOOKUP(AF466,[1]Diccionario!B:N,13,0)="B", VLOOKUP(AF466,[1]Diccionario!B:N,13,0)="A")), "DEFICIT",IF(
AND(OR(AC466="B", AC466="BPAL"), VLOOKUP(AF466,[1]Diccionario!B:N,13,0)="B"), "OK",IF(AND(OR(AC466="B", AC466="BPAL"), VLOOKUP(AF466,[1]Diccionario!B:N,13,0)="A"), "DEFICIT",IF(AND(OR(AC466="B", AC466="BPAL"), VLOOKUP(AF466,[1]Diccionario!B:N,13,0)="C"), "SOBREOFERTA",IF(AND(AC466="A", VLOOKUP(AF466,[1]Diccionario!B:N,13,0)="A"), "OK",IF(
AND(AC466="A", OR(VLOOKUP(AF466,[1]Diccionario!B:N,13,0)="B", VLOOKUP(AF466,[1]Diccionario!B:N,13,0)="C")), "SOBREOFERTA",""
))))))),"")</f>
        <v/>
      </c>
      <c r="AF466" s="48"/>
      <c r="AG466" s="53"/>
      <c r="AH466" s="54"/>
      <c r="AI466" s="55" t="str">
        <f t="shared" si="122"/>
        <v/>
      </c>
      <c r="AJ466" s="46"/>
      <c r="AK466" s="34" t="e">
        <f>IF(AB466&lt;&gt;"",HLOOKUP(VALUE(TEXT(AH466,"h:mm:ss")),IF($C$6="Laboral",[1]Input!$A$4:$Y$227,IF($C$6="Sábado",[1]Input!$A$231:$Y$452,[1]Input!$A$456:$Y$656)),VLOOKUP($C$4,[1]Input!$AG$2:$AI$99,3,0)+IF(AD$5="Ida",0,1),1),"")</f>
        <v>#N/A</v>
      </c>
      <c r="AL466" s="34" t="str">
        <f>IF(AB467&lt;&gt;AB466,AVERAGEIF(AB$9:AB466,AB466,AK$9:AK466),"")</f>
        <v/>
      </c>
      <c r="AM466" s="35" t="str">
        <f>IFERROR(IF(AB467&lt;&gt;AB466,AVERAGEIF(AB$9:AB466,AB466,AT$9:AT466),""),"")</f>
        <v/>
      </c>
      <c r="AN466" s="35" t="str">
        <f>IFERROR(IF(AB467&lt;&gt;AB466,AVERAGEIF(AB$9:AB466,AB466,AU$9:AU466),""),"")</f>
        <v/>
      </c>
      <c r="AO466" s="35" t="str" cm="1">
        <f t="array" ref="AO466">IFERROR(IF(AB467&lt;&gt;AB466,_xlfn.STDEV.P(IF(AB$9:AB466=AB466,AU$9:AU466)),""),"")</f>
        <v/>
      </c>
      <c r="AP466" s="35" t="str" cm="1">
        <f t="array" ref="AP466">IFERROR(IF(AB467&lt;&gt;AB466,_xlfn.STDEV.P(IF(AB$9:AB466=AB466,AT$9:AT466)),""),"")</f>
        <v/>
      </c>
      <c r="AQ466" s="36" t="str">
        <f t="shared" si="113"/>
        <v/>
      </c>
      <c r="AR466" s="36" t="str">
        <f t="shared" si="114"/>
        <v/>
      </c>
      <c r="AS466" s="36" t="str">
        <f t="shared" si="123"/>
        <v/>
      </c>
      <c r="AT466" s="37" t="str">
        <f t="shared" si="115"/>
        <v/>
      </c>
      <c r="AU466" s="37" t="str">
        <f t="shared" si="116"/>
        <v/>
      </c>
      <c r="AV466" s="54"/>
      <c r="AW466" s="46"/>
      <c r="AX466" s="39" t="str" cm="1">
        <f t="array" ref="AX466">IF(AH466&lt;&gt;"",IF(AND(AX464:AX465&lt;&gt;"IE",AQ466&lt;&gt;0,AS466&lt;&gt;""),IF(IFERROR((AQ466/AS466),0) &lt;=1,IFERROR(AQ466/AS466,""),1),""),"")</f>
        <v/>
      </c>
      <c r="AY466" s="46"/>
      <c r="AZ466" s="57"/>
    </row>
    <row r="467" spans="1:52" ht="15.5" x14ac:dyDescent="0.35">
      <c r="A467" s="51">
        <f t="shared" si="124"/>
        <v>1</v>
      </c>
      <c r="B467" s="52"/>
      <c r="C467" s="52"/>
      <c r="D467" s="29" t="str">
        <f>IFERROR(
IF(AND(OR(Planilla!B467="C",Planilla!B467="c"), VLOOKUP(E467,[1]Diccionario!B:N,13,0)="C"), "OK",IF(AND(OR(Planilla!B467="C",Planilla!B467="c"), OR(VLOOKUP(E467,[1]Diccionario!B:N,13,0)="B", VLOOKUP(E467,[1]Diccionario!B:N,13,0)="A")), "DEFICIT",IF(
AND(OR(Planilla!B467="B", Planilla!B467="BPAL"), VLOOKUP(E467,[1]Diccionario!B:N,13,0)="B"), "OK",IF(AND(OR(Planilla!B467="B", Planilla!B467="BPAL"), VLOOKUP(E467,[1]Diccionario!B:N,13,0)="A"), "DEFICIT",IF(AND(OR(Planilla!B467="B", Planilla!B467="BPAL"), VLOOKUP(E467,[1]Diccionario!B:N,13,0)="C"), "SOBREOFERTA",IF(AND(Planilla!B467="A", VLOOKUP(E467,[1]Diccionario!B:N,13,0)="A"), "OK",IF(
AND(Planilla!B467="A", OR(VLOOKUP(E467,[1]Diccionario!B:N,13,0)="B", VLOOKUP(E467,[1]Diccionario!B:N,13,0)="C")), "SOBREOFERTA",""
))))))),"")</f>
        <v/>
      </c>
      <c r="E467" s="48"/>
      <c r="F467" s="53"/>
      <c r="G467" s="54"/>
      <c r="H467" s="55" t="str">
        <f t="shared" si="117"/>
        <v/>
      </c>
      <c r="I467" s="35"/>
      <c r="J467" s="34" t="e">
        <f>IF(A467&lt;&gt;"",HLOOKUP(VALUE(TEXT(G467,"h:mm:ss")),IF($C$6="Laboral",[1]Input!$A$4:$Y$227,IF($C$6="Sábado",[1]Input!$A$231:$Y$452,[1]Input!$A$456:$Y$656)),VLOOKUP($C$4,[1]Input!$AG$2:$AI$99,3,0)+IF(C$5="Ida",0,1),1),"")</f>
        <v>#N/A</v>
      </c>
      <c r="K467" s="34" t="str">
        <f>IF(A468&lt;&gt;A467,AVERAGEIF(A$9:A467,A467,J$13:J467),"")</f>
        <v/>
      </c>
      <c r="L467" s="35" t="str">
        <f>IFERROR(IF(A468&lt;&gt;A467,AVERAGEIF(A$9:A467,A467,S$13:S467),""),"")</f>
        <v/>
      </c>
      <c r="M467" s="35" t="str">
        <f>IFERROR(IF(A468&lt;&gt;A467,AVERAGEIF(A$9:A467,A467,T$8:T467),""),"")</f>
        <v/>
      </c>
      <c r="N467" s="35" t="str" cm="1">
        <f t="array" ref="N467">IFERROR(IF(A468&lt;&gt;A467,_xlfn.STDEV.P(IF(A$9:A467=A467,T$7:T467)),""),"")</f>
        <v/>
      </c>
      <c r="O467" s="35" t="str" cm="1">
        <f t="array" ref="O467">IFERROR(IF(A468&lt;&gt;A467,_xlfn.STDEV.P(IF(A$9:A467=A467,S$7:S467)),""),"")</f>
        <v/>
      </c>
      <c r="P467" s="36" t="str">
        <f t="shared" si="110"/>
        <v/>
      </c>
      <c r="Q467" s="36" t="str">
        <f t="shared" si="111"/>
        <v/>
      </c>
      <c r="R467" s="36" t="str">
        <f t="shared" si="118"/>
        <v/>
      </c>
      <c r="S467" s="37" t="str">
        <f t="shared" si="119"/>
        <v/>
      </c>
      <c r="T467" s="37" t="str">
        <f t="shared" si="112"/>
        <v/>
      </c>
      <c r="U467" s="54"/>
      <c r="V467" s="46"/>
      <c r="W467" s="39" t="str">
        <f t="shared" si="120"/>
        <v/>
      </c>
      <c r="X467" s="38"/>
      <c r="Y467" s="48"/>
      <c r="AB467" s="56">
        <f t="shared" si="121"/>
        <v>1</v>
      </c>
      <c r="AC467" s="52"/>
      <c r="AD467" s="52"/>
      <c r="AE467" s="29" t="str">
        <f>IFERROR(
IF(AND(OR(AC467="C",AC467="c"), VLOOKUP(AF467,[1]Diccionario!B:N,13,0)="C"), "OK",IF(AND(OR(AC467="C",AC467="c"), OR(VLOOKUP(AF467,[1]Diccionario!B:N,13,0)="B", VLOOKUP(AF467,[1]Diccionario!B:N,13,0)="A")), "DEFICIT",IF(
AND(OR(AC467="B", AC467="BPAL"), VLOOKUP(AF467,[1]Diccionario!B:N,13,0)="B"), "OK",IF(AND(OR(AC467="B", AC467="BPAL"), VLOOKUP(AF467,[1]Diccionario!B:N,13,0)="A"), "DEFICIT",IF(AND(OR(AC467="B", AC467="BPAL"), VLOOKUP(AF467,[1]Diccionario!B:N,13,0)="C"), "SOBREOFERTA",IF(AND(AC467="A", VLOOKUP(AF467,[1]Diccionario!B:N,13,0)="A"), "OK",IF(
AND(AC467="A", OR(VLOOKUP(AF467,[1]Diccionario!B:N,13,0)="B", VLOOKUP(AF467,[1]Diccionario!B:N,13,0)="C")), "SOBREOFERTA",""
))))))),"")</f>
        <v/>
      </c>
      <c r="AF467" s="48"/>
      <c r="AG467" s="53"/>
      <c r="AH467" s="54"/>
      <c r="AI467" s="55" t="str">
        <f t="shared" si="122"/>
        <v/>
      </c>
      <c r="AJ467" s="46"/>
      <c r="AK467" s="34" t="e">
        <f>IF(AB467&lt;&gt;"",HLOOKUP(VALUE(TEXT(AH467,"h:mm:ss")),IF($C$6="Laboral",[1]Input!$A$4:$Y$227,IF($C$6="Sábado",[1]Input!$A$231:$Y$452,[1]Input!$A$456:$Y$656)),VLOOKUP($C$4,[1]Input!$AG$2:$AI$99,3,0)+IF(AD$5="Ida",0,1),1),"")</f>
        <v>#N/A</v>
      </c>
      <c r="AL467" s="34" t="str">
        <f>IF(AB468&lt;&gt;AB467,AVERAGEIF(AB$9:AB467,AB467,AK$9:AK467),"")</f>
        <v/>
      </c>
      <c r="AM467" s="35" t="str">
        <f>IFERROR(IF(AB468&lt;&gt;AB467,AVERAGEIF(AB$9:AB467,AB467,AT$9:AT467),""),"")</f>
        <v/>
      </c>
      <c r="AN467" s="35" t="str">
        <f>IFERROR(IF(AB468&lt;&gt;AB467,AVERAGEIF(AB$9:AB467,AB467,AU$9:AU467),""),"")</f>
        <v/>
      </c>
      <c r="AO467" s="35" t="str" cm="1">
        <f t="array" ref="AO467">IFERROR(IF(AB468&lt;&gt;AB467,_xlfn.STDEV.P(IF(AB$9:AB467=AB467,AU$9:AU467)),""),"")</f>
        <v/>
      </c>
      <c r="AP467" s="35" t="str" cm="1">
        <f t="array" ref="AP467">IFERROR(IF(AB468&lt;&gt;AB467,_xlfn.STDEV.P(IF(AB$9:AB467=AB467,AT$9:AT467)),""),"")</f>
        <v/>
      </c>
      <c r="AQ467" s="36" t="str">
        <f t="shared" si="113"/>
        <v/>
      </c>
      <c r="AR467" s="36" t="str">
        <f t="shared" si="114"/>
        <v/>
      </c>
      <c r="AS467" s="36" t="str">
        <f t="shared" si="123"/>
        <v/>
      </c>
      <c r="AT467" s="37" t="str">
        <f t="shared" si="115"/>
        <v/>
      </c>
      <c r="AU467" s="37" t="str">
        <f t="shared" si="116"/>
        <v/>
      </c>
      <c r="AV467" s="54"/>
      <c r="AW467" s="46"/>
      <c r="AX467" s="39" t="str" cm="1">
        <f t="array" ref="AX467">IF(AH467&lt;&gt;"",IF(AND(AX465:AX466&lt;&gt;"IE",AQ467&lt;&gt;0,AS467&lt;&gt;""),IF(IFERROR((AQ467/AS467),0) &lt;=1,IFERROR(AQ467/AS467,""),1),""),"")</f>
        <v/>
      </c>
      <c r="AY467" s="46"/>
      <c r="AZ467" s="57"/>
    </row>
    <row r="468" spans="1:52" ht="15.5" x14ac:dyDescent="0.35">
      <c r="A468" s="51">
        <f t="shared" si="124"/>
        <v>1</v>
      </c>
      <c r="B468" s="52"/>
      <c r="C468" s="52"/>
      <c r="D468" s="29" t="str">
        <f>IFERROR(
IF(AND(OR(Planilla!B468="C",Planilla!B468="c"), VLOOKUP(E468,[1]Diccionario!B:N,13,0)="C"), "OK",IF(AND(OR(Planilla!B468="C",Planilla!B468="c"), OR(VLOOKUP(E468,[1]Diccionario!B:N,13,0)="B", VLOOKUP(E468,[1]Diccionario!B:N,13,0)="A")), "DEFICIT",IF(
AND(OR(Planilla!B468="B", Planilla!B468="BPAL"), VLOOKUP(E468,[1]Diccionario!B:N,13,0)="B"), "OK",IF(AND(OR(Planilla!B468="B", Planilla!B468="BPAL"), VLOOKUP(E468,[1]Diccionario!B:N,13,0)="A"), "DEFICIT",IF(AND(OR(Planilla!B468="B", Planilla!B468="BPAL"), VLOOKUP(E468,[1]Diccionario!B:N,13,0)="C"), "SOBREOFERTA",IF(AND(Planilla!B468="A", VLOOKUP(E468,[1]Diccionario!B:N,13,0)="A"), "OK",IF(
AND(Planilla!B468="A", OR(VLOOKUP(E468,[1]Diccionario!B:N,13,0)="B", VLOOKUP(E468,[1]Diccionario!B:N,13,0)="C")), "SOBREOFERTA",""
))))))),"")</f>
        <v/>
      </c>
      <c r="E468" s="48"/>
      <c r="F468" s="53"/>
      <c r="G468" s="54"/>
      <c r="H468" s="55" t="str">
        <f t="shared" si="117"/>
        <v/>
      </c>
      <c r="I468" s="35"/>
      <c r="J468" s="34" t="e">
        <f>IF(A468&lt;&gt;"",HLOOKUP(VALUE(TEXT(G468,"h:mm:ss")),IF($C$6="Laboral",[1]Input!$A$4:$Y$227,IF($C$6="Sábado",[1]Input!$A$231:$Y$452,[1]Input!$A$456:$Y$656)),VLOOKUP($C$4,[1]Input!$AG$2:$AI$99,3,0)+IF(C$5="Ida",0,1),1),"")</f>
        <v>#N/A</v>
      </c>
      <c r="K468" s="34" t="str">
        <f>IF(A469&lt;&gt;A468,AVERAGEIF(A$9:A468,A468,J$13:J468),"")</f>
        <v/>
      </c>
      <c r="L468" s="35" t="str">
        <f>IFERROR(IF(A469&lt;&gt;A468,AVERAGEIF(A$9:A468,A468,S$13:S468),""),"")</f>
        <v/>
      </c>
      <c r="M468" s="35" t="str">
        <f>IFERROR(IF(A469&lt;&gt;A468,AVERAGEIF(A$9:A468,A468,T$8:T468),""),"")</f>
        <v/>
      </c>
      <c r="N468" s="35" t="str" cm="1">
        <f t="array" ref="N468">IFERROR(IF(A469&lt;&gt;A468,_xlfn.STDEV.P(IF(A$9:A468=A468,T$7:T468)),""),"")</f>
        <v/>
      </c>
      <c r="O468" s="35" t="str" cm="1">
        <f t="array" ref="O468">IFERROR(IF(A469&lt;&gt;A468,_xlfn.STDEV.P(IF(A$9:A468=A468,S$7:S468)),""),"")</f>
        <v/>
      </c>
      <c r="P468" s="36" t="str">
        <f t="shared" si="110"/>
        <v/>
      </c>
      <c r="Q468" s="36" t="str">
        <f t="shared" si="111"/>
        <v/>
      </c>
      <c r="R468" s="36" t="str">
        <f t="shared" si="118"/>
        <v/>
      </c>
      <c r="S468" s="37" t="str">
        <f t="shared" si="119"/>
        <v/>
      </c>
      <c r="T468" s="37" t="str">
        <f t="shared" si="112"/>
        <v/>
      </c>
      <c r="U468" s="54"/>
      <c r="V468" s="46"/>
      <c r="W468" s="39" t="str">
        <f t="shared" si="120"/>
        <v/>
      </c>
      <c r="X468" s="38"/>
      <c r="Y468" s="48"/>
      <c r="AB468" s="56">
        <f t="shared" si="121"/>
        <v>1</v>
      </c>
      <c r="AC468" s="52"/>
      <c r="AD468" s="52"/>
      <c r="AE468" s="29" t="str">
        <f>IFERROR(
IF(AND(OR(AC468="C",AC468="c"), VLOOKUP(AF468,[1]Diccionario!B:N,13,0)="C"), "OK",IF(AND(OR(AC468="C",AC468="c"), OR(VLOOKUP(AF468,[1]Diccionario!B:N,13,0)="B", VLOOKUP(AF468,[1]Diccionario!B:N,13,0)="A")), "DEFICIT",IF(
AND(OR(AC468="B", AC468="BPAL"), VLOOKUP(AF468,[1]Diccionario!B:N,13,0)="B"), "OK",IF(AND(OR(AC468="B", AC468="BPAL"), VLOOKUP(AF468,[1]Diccionario!B:N,13,0)="A"), "DEFICIT",IF(AND(OR(AC468="B", AC468="BPAL"), VLOOKUP(AF468,[1]Diccionario!B:N,13,0)="C"), "SOBREOFERTA",IF(AND(AC468="A", VLOOKUP(AF468,[1]Diccionario!B:N,13,0)="A"), "OK",IF(
AND(AC468="A", OR(VLOOKUP(AF468,[1]Diccionario!B:N,13,0)="B", VLOOKUP(AF468,[1]Diccionario!B:N,13,0)="C")), "SOBREOFERTA",""
))))))),"")</f>
        <v/>
      </c>
      <c r="AF468" s="48"/>
      <c r="AG468" s="53"/>
      <c r="AH468" s="54"/>
      <c r="AI468" s="55" t="str">
        <f t="shared" si="122"/>
        <v/>
      </c>
      <c r="AJ468" s="46"/>
      <c r="AK468" s="34" t="e">
        <f>IF(AB468&lt;&gt;"",HLOOKUP(VALUE(TEXT(AH468,"h:mm:ss")),IF($C$6="Laboral",[1]Input!$A$4:$Y$227,IF($C$6="Sábado",[1]Input!$A$231:$Y$452,[1]Input!$A$456:$Y$656)),VLOOKUP($C$4,[1]Input!$AG$2:$AI$99,3,0)+IF(AD$5="Ida",0,1),1),"")</f>
        <v>#N/A</v>
      </c>
      <c r="AL468" s="34" t="str">
        <f>IF(AB469&lt;&gt;AB468,AVERAGEIF(AB$9:AB468,AB468,AK$9:AK468),"")</f>
        <v/>
      </c>
      <c r="AM468" s="35" t="str">
        <f>IFERROR(IF(AB469&lt;&gt;AB468,AVERAGEIF(AB$9:AB468,AB468,AT$9:AT468),""),"")</f>
        <v/>
      </c>
      <c r="AN468" s="35" t="str">
        <f>IFERROR(IF(AB469&lt;&gt;AB468,AVERAGEIF(AB$9:AB468,AB468,AU$9:AU468),""),"")</f>
        <v/>
      </c>
      <c r="AO468" s="35" t="str" cm="1">
        <f t="array" ref="AO468">IFERROR(IF(AB469&lt;&gt;AB468,_xlfn.STDEV.P(IF(AB$9:AB468=AB468,AU$9:AU468)),""),"")</f>
        <v/>
      </c>
      <c r="AP468" s="35" t="str" cm="1">
        <f t="array" ref="AP468">IFERROR(IF(AB469&lt;&gt;AB468,_xlfn.STDEV.P(IF(AB$9:AB468=AB468,AT$9:AT468)),""),"")</f>
        <v/>
      </c>
      <c r="AQ468" s="36" t="str">
        <f t="shared" si="113"/>
        <v/>
      </c>
      <c r="AR468" s="36" t="str">
        <f t="shared" si="114"/>
        <v/>
      </c>
      <c r="AS468" s="36" t="str">
        <f t="shared" si="123"/>
        <v/>
      </c>
      <c r="AT468" s="37" t="str">
        <f t="shared" si="115"/>
        <v/>
      </c>
      <c r="AU468" s="37" t="str">
        <f t="shared" si="116"/>
        <v/>
      </c>
      <c r="AV468" s="54"/>
      <c r="AW468" s="46"/>
      <c r="AX468" s="39" t="str" cm="1">
        <f t="array" ref="AX468">IF(AH468&lt;&gt;"",IF(AND(AX466:AX467&lt;&gt;"IE",AQ468&lt;&gt;0,AS468&lt;&gt;""),IF(IFERROR((AQ468/AS468),0) &lt;=1,IFERROR(AQ468/AS468,""),1),""),"")</f>
        <v/>
      </c>
      <c r="AY468" s="46"/>
      <c r="AZ468" s="57"/>
    </row>
    <row r="469" spans="1:52" ht="15.5" x14ac:dyDescent="0.35">
      <c r="A469" s="51">
        <f t="shared" si="124"/>
        <v>1</v>
      </c>
      <c r="B469" s="52"/>
      <c r="C469" s="52"/>
      <c r="D469" s="29" t="str">
        <f>IFERROR(
IF(AND(OR(Planilla!B469="C",Planilla!B469="c"), VLOOKUP(E469,[1]Diccionario!B:N,13,0)="C"), "OK",IF(AND(OR(Planilla!B469="C",Planilla!B469="c"), OR(VLOOKUP(E469,[1]Diccionario!B:N,13,0)="B", VLOOKUP(E469,[1]Diccionario!B:N,13,0)="A")), "DEFICIT",IF(
AND(OR(Planilla!B469="B", Planilla!B469="BPAL"), VLOOKUP(E469,[1]Diccionario!B:N,13,0)="B"), "OK",IF(AND(OR(Planilla!B469="B", Planilla!B469="BPAL"), VLOOKUP(E469,[1]Diccionario!B:N,13,0)="A"), "DEFICIT",IF(AND(OR(Planilla!B469="B", Planilla!B469="BPAL"), VLOOKUP(E469,[1]Diccionario!B:N,13,0)="C"), "SOBREOFERTA",IF(AND(Planilla!B469="A", VLOOKUP(E469,[1]Diccionario!B:N,13,0)="A"), "OK",IF(
AND(Planilla!B469="A", OR(VLOOKUP(E469,[1]Diccionario!B:N,13,0)="B", VLOOKUP(E469,[1]Diccionario!B:N,13,0)="C")), "SOBREOFERTA",""
))))))),"")</f>
        <v/>
      </c>
      <c r="E469" s="48"/>
      <c r="F469" s="53"/>
      <c r="G469" s="54"/>
      <c r="H469" s="55" t="str">
        <f t="shared" si="117"/>
        <v/>
      </c>
      <c r="I469" s="35"/>
      <c r="J469" s="34" t="e">
        <f>IF(A469&lt;&gt;"",HLOOKUP(VALUE(TEXT(G469,"h:mm:ss")),IF($C$6="Laboral",[1]Input!$A$4:$Y$227,IF($C$6="Sábado",[1]Input!$A$231:$Y$452,[1]Input!$A$456:$Y$656)),VLOOKUP($C$4,[1]Input!$AG$2:$AI$99,3,0)+IF(C$5="Ida",0,1),1),"")</f>
        <v>#N/A</v>
      </c>
      <c r="K469" s="34" t="str">
        <f>IF(A470&lt;&gt;A469,AVERAGEIF(A$9:A469,A469,J$13:J469),"")</f>
        <v/>
      </c>
      <c r="L469" s="35" t="str">
        <f>IFERROR(IF(A470&lt;&gt;A469,AVERAGEIF(A$9:A469,A469,S$13:S469),""),"")</f>
        <v/>
      </c>
      <c r="M469" s="35" t="str">
        <f>IFERROR(IF(A470&lt;&gt;A469,AVERAGEIF(A$9:A469,A469,T$8:T469),""),"")</f>
        <v/>
      </c>
      <c r="N469" s="35" t="str" cm="1">
        <f t="array" ref="N469">IFERROR(IF(A470&lt;&gt;A469,_xlfn.STDEV.P(IF(A$9:A469=A469,T$7:T469)),""),"")</f>
        <v/>
      </c>
      <c r="O469" s="35" t="str" cm="1">
        <f t="array" ref="O469">IFERROR(IF(A470&lt;&gt;A469,_xlfn.STDEV.P(IF(A$9:A469=A469,S$7:S469)),""),"")</f>
        <v/>
      </c>
      <c r="P469" s="36" t="str">
        <f t="shared" si="110"/>
        <v/>
      </c>
      <c r="Q469" s="36" t="str">
        <f t="shared" si="111"/>
        <v/>
      </c>
      <c r="R469" s="36" t="str">
        <f t="shared" si="118"/>
        <v/>
      </c>
      <c r="S469" s="37" t="str">
        <f t="shared" si="119"/>
        <v/>
      </c>
      <c r="T469" s="37" t="str">
        <f t="shared" si="112"/>
        <v/>
      </c>
      <c r="U469" s="54"/>
      <c r="V469" s="46"/>
      <c r="W469" s="39" t="str">
        <f t="shared" si="120"/>
        <v/>
      </c>
      <c r="X469" s="38"/>
      <c r="Y469" s="48"/>
      <c r="AB469" s="56">
        <f t="shared" si="121"/>
        <v>1</v>
      </c>
      <c r="AC469" s="52"/>
      <c r="AD469" s="52"/>
      <c r="AE469" s="29" t="str">
        <f>IFERROR(
IF(AND(OR(AC469="C",AC469="c"), VLOOKUP(AF469,[1]Diccionario!B:N,13,0)="C"), "OK",IF(AND(OR(AC469="C",AC469="c"), OR(VLOOKUP(AF469,[1]Diccionario!B:N,13,0)="B", VLOOKUP(AF469,[1]Diccionario!B:N,13,0)="A")), "DEFICIT",IF(
AND(OR(AC469="B", AC469="BPAL"), VLOOKUP(AF469,[1]Diccionario!B:N,13,0)="B"), "OK",IF(AND(OR(AC469="B", AC469="BPAL"), VLOOKUP(AF469,[1]Diccionario!B:N,13,0)="A"), "DEFICIT",IF(AND(OR(AC469="B", AC469="BPAL"), VLOOKUP(AF469,[1]Diccionario!B:N,13,0)="C"), "SOBREOFERTA",IF(AND(AC469="A", VLOOKUP(AF469,[1]Diccionario!B:N,13,0)="A"), "OK",IF(
AND(AC469="A", OR(VLOOKUP(AF469,[1]Diccionario!B:N,13,0)="B", VLOOKUP(AF469,[1]Diccionario!B:N,13,0)="C")), "SOBREOFERTA",""
))))))),"")</f>
        <v/>
      </c>
      <c r="AF469" s="48"/>
      <c r="AG469" s="53"/>
      <c r="AH469" s="54"/>
      <c r="AI469" s="55" t="str">
        <f t="shared" si="122"/>
        <v/>
      </c>
      <c r="AJ469" s="46"/>
      <c r="AK469" s="34" t="e">
        <f>IF(AB469&lt;&gt;"",HLOOKUP(VALUE(TEXT(AH469,"h:mm:ss")),IF($C$6="Laboral",[1]Input!$A$4:$Y$227,IF($C$6="Sábado",[1]Input!$A$231:$Y$452,[1]Input!$A$456:$Y$656)),VLOOKUP($C$4,[1]Input!$AG$2:$AI$99,3,0)+IF(AD$5="Ida",0,1),1),"")</f>
        <v>#N/A</v>
      </c>
      <c r="AL469" s="34" t="str">
        <f>IF(AB470&lt;&gt;AB469,AVERAGEIF(AB$9:AB469,AB469,AK$9:AK469),"")</f>
        <v/>
      </c>
      <c r="AM469" s="35" t="str">
        <f>IFERROR(IF(AB470&lt;&gt;AB469,AVERAGEIF(AB$9:AB469,AB469,AT$9:AT469),""),"")</f>
        <v/>
      </c>
      <c r="AN469" s="35" t="str">
        <f>IFERROR(IF(AB470&lt;&gt;AB469,AVERAGEIF(AB$9:AB469,AB469,AU$9:AU469),""),"")</f>
        <v/>
      </c>
      <c r="AO469" s="35" t="str" cm="1">
        <f t="array" ref="AO469">IFERROR(IF(AB470&lt;&gt;AB469,_xlfn.STDEV.P(IF(AB$9:AB469=AB469,AU$9:AU469)),""),"")</f>
        <v/>
      </c>
      <c r="AP469" s="35" t="str" cm="1">
        <f t="array" ref="AP469">IFERROR(IF(AB470&lt;&gt;AB469,_xlfn.STDEV.P(IF(AB$9:AB469=AB469,AT$9:AT469)),""),"")</f>
        <v/>
      </c>
      <c r="AQ469" s="36" t="str">
        <f t="shared" si="113"/>
        <v/>
      </c>
      <c r="AR469" s="36" t="str">
        <f t="shared" si="114"/>
        <v/>
      </c>
      <c r="AS469" s="36" t="str">
        <f t="shared" si="123"/>
        <v/>
      </c>
      <c r="AT469" s="37" t="str">
        <f t="shared" si="115"/>
        <v/>
      </c>
      <c r="AU469" s="37" t="str">
        <f t="shared" si="116"/>
        <v/>
      </c>
      <c r="AV469" s="54"/>
      <c r="AW469" s="46"/>
      <c r="AX469" s="39" t="str" cm="1">
        <f t="array" ref="AX469">IF(AH469&lt;&gt;"",IF(AND(AX467:AX468&lt;&gt;"IE",AQ469&lt;&gt;0,AS469&lt;&gt;""),IF(IFERROR((AQ469/AS469),0) &lt;=1,IFERROR(AQ469/AS469,""),1),""),"")</f>
        <v/>
      </c>
      <c r="AY469" s="46"/>
      <c r="AZ469" s="57"/>
    </row>
    <row r="470" spans="1:52" ht="15.5" x14ac:dyDescent="0.35">
      <c r="A470" s="51">
        <f t="shared" si="124"/>
        <v>1</v>
      </c>
      <c r="B470" s="52"/>
      <c r="C470" s="52"/>
      <c r="D470" s="29" t="str">
        <f>IFERROR(
IF(AND(OR(Planilla!B470="C",Planilla!B470="c"), VLOOKUP(E470,[1]Diccionario!B:N,13,0)="C"), "OK",IF(AND(OR(Planilla!B470="C",Planilla!B470="c"), OR(VLOOKUP(E470,[1]Diccionario!B:N,13,0)="B", VLOOKUP(E470,[1]Diccionario!B:N,13,0)="A")), "DEFICIT",IF(
AND(OR(Planilla!B470="B", Planilla!B470="BPAL"), VLOOKUP(E470,[1]Diccionario!B:N,13,0)="B"), "OK",IF(AND(OR(Planilla!B470="B", Planilla!B470="BPAL"), VLOOKUP(E470,[1]Diccionario!B:N,13,0)="A"), "DEFICIT",IF(AND(OR(Planilla!B470="B", Planilla!B470="BPAL"), VLOOKUP(E470,[1]Diccionario!B:N,13,0)="C"), "SOBREOFERTA",IF(AND(Planilla!B470="A", VLOOKUP(E470,[1]Diccionario!B:N,13,0)="A"), "OK",IF(
AND(Planilla!B470="A", OR(VLOOKUP(E470,[1]Diccionario!B:N,13,0)="B", VLOOKUP(E470,[1]Diccionario!B:N,13,0)="C")), "SOBREOFERTA",""
))))))),"")</f>
        <v/>
      </c>
      <c r="E470" s="48"/>
      <c r="F470" s="53"/>
      <c r="G470" s="54"/>
      <c r="H470" s="55" t="str">
        <f t="shared" si="117"/>
        <v/>
      </c>
      <c r="I470" s="35"/>
      <c r="J470" s="34" t="e">
        <f>IF(A470&lt;&gt;"",HLOOKUP(VALUE(TEXT(G470,"h:mm:ss")),IF($C$6="Laboral",[1]Input!$A$4:$Y$227,IF($C$6="Sábado",[1]Input!$A$231:$Y$452,[1]Input!$A$456:$Y$656)),VLOOKUP($C$4,[1]Input!$AG$2:$AI$99,3,0)+IF(C$5="Ida",0,1),1),"")</f>
        <v>#N/A</v>
      </c>
      <c r="K470" s="34" t="str">
        <f>IF(A471&lt;&gt;A470,AVERAGEIF(A$9:A470,A470,J$13:J470),"")</f>
        <v/>
      </c>
      <c r="L470" s="35" t="str">
        <f>IFERROR(IF(A471&lt;&gt;A470,AVERAGEIF(A$9:A470,A470,S$13:S470),""),"")</f>
        <v/>
      </c>
      <c r="M470" s="35" t="str">
        <f>IFERROR(IF(A471&lt;&gt;A470,AVERAGEIF(A$9:A470,A470,T$8:T470),""),"")</f>
        <v/>
      </c>
      <c r="N470" s="35" t="str" cm="1">
        <f t="array" ref="N470">IFERROR(IF(A471&lt;&gt;A470,_xlfn.STDEV.P(IF(A$9:A470=A470,T$7:T470)),""),"")</f>
        <v/>
      </c>
      <c r="O470" s="35" t="str" cm="1">
        <f t="array" ref="O470">IFERROR(IF(A471&lt;&gt;A470,_xlfn.STDEV.P(IF(A$9:A470=A470,S$7:S470)),""),"")</f>
        <v/>
      </c>
      <c r="P470" s="36" t="str">
        <f t="shared" si="110"/>
        <v/>
      </c>
      <c r="Q470" s="36" t="str">
        <f t="shared" si="111"/>
        <v/>
      </c>
      <c r="R470" s="36" t="str">
        <f t="shared" si="118"/>
        <v/>
      </c>
      <c r="S470" s="37" t="str">
        <f t="shared" si="119"/>
        <v/>
      </c>
      <c r="T470" s="37" t="str">
        <f t="shared" si="112"/>
        <v/>
      </c>
      <c r="U470" s="54"/>
      <c r="V470" s="46"/>
      <c r="W470" s="39" t="str">
        <f t="shared" si="120"/>
        <v/>
      </c>
      <c r="X470" s="38"/>
      <c r="Y470" s="48"/>
      <c r="AB470" s="56">
        <f t="shared" si="121"/>
        <v>1</v>
      </c>
      <c r="AC470" s="52"/>
      <c r="AD470" s="52"/>
      <c r="AE470" s="29" t="str">
        <f>IFERROR(
IF(AND(OR(AC470="C",AC470="c"), VLOOKUP(AF470,[1]Diccionario!B:N,13,0)="C"), "OK",IF(AND(OR(AC470="C",AC470="c"), OR(VLOOKUP(AF470,[1]Diccionario!B:N,13,0)="B", VLOOKUP(AF470,[1]Diccionario!B:N,13,0)="A")), "DEFICIT",IF(
AND(OR(AC470="B", AC470="BPAL"), VLOOKUP(AF470,[1]Diccionario!B:N,13,0)="B"), "OK",IF(AND(OR(AC470="B", AC470="BPAL"), VLOOKUP(AF470,[1]Diccionario!B:N,13,0)="A"), "DEFICIT",IF(AND(OR(AC470="B", AC470="BPAL"), VLOOKUP(AF470,[1]Diccionario!B:N,13,0)="C"), "SOBREOFERTA",IF(AND(AC470="A", VLOOKUP(AF470,[1]Diccionario!B:N,13,0)="A"), "OK",IF(
AND(AC470="A", OR(VLOOKUP(AF470,[1]Diccionario!B:N,13,0)="B", VLOOKUP(AF470,[1]Diccionario!B:N,13,0)="C")), "SOBREOFERTA",""
))))))),"")</f>
        <v/>
      </c>
      <c r="AF470" s="48"/>
      <c r="AG470" s="53"/>
      <c r="AH470" s="54"/>
      <c r="AI470" s="55" t="str">
        <f t="shared" si="122"/>
        <v/>
      </c>
      <c r="AJ470" s="46"/>
      <c r="AK470" s="34" t="e">
        <f>IF(AB470&lt;&gt;"",HLOOKUP(VALUE(TEXT(AH470,"h:mm:ss")),IF($C$6="Laboral",[1]Input!$A$4:$Y$227,IF($C$6="Sábado",[1]Input!$A$231:$Y$452,[1]Input!$A$456:$Y$656)),VLOOKUP($C$4,[1]Input!$AG$2:$AI$99,3,0)+IF(AD$5="Ida",0,1),1),"")</f>
        <v>#N/A</v>
      </c>
      <c r="AL470" s="34" t="str">
        <f>IF(AB471&lt;&gt;AB470,AVERAGEIF(AB$9:AB470,AB470,AK$9:AK470),"")</f>
        <v/>
      </c>
      <c r="AM470" s="35" t="str">
        <f>IFERROR(IF(AB471&lt;&gt;AB470,AVERAGEIF(AB$9:AB470,AB470,AT$9:AT470),""),"")</f>
        <v/>
      </c>
      <c r="AN470" s="35" t="str">
        <f>IFERROR(IF(AB471&lt;&gt;AB470,AVERAGEIF(AB$9:AB470,AB470,AU$9:AU470),""),"")</f>
        <v/>
      </c>
      <c r="AO470" s="35" t="str" cm="1">
        <f t="array" ref="AO470">IFERROR(IF(AB471&lt;&gt;AB470,_xlfn.STDEV.P(IF(AB$9:AB470=AB470,AU$9:AU470)),""),"")</f>
        <v/>
      </c>
      <c r="AP470" s="35" t="str" cm="1">
        <f t="array" ref="AP470">IFERROR(IF(AB471&lt;&gt;AB470,_xlfn.STDEV.P(IF(AB$9:AB470=AB470,AT$9:AT470)),""),"")</f>
        <v/>
      </c>
      <c r="AQ470" s="36" t="str">
        <f t="shared" si="113"/>
        <v/>
      </c>
      <c r="AR470" s="36" t="str">
        <f t="shared" si="114"/>
        <v/>
      </c>
      <c r="AS470" s="36" t="str">
        <f t="shared" si="123"/>
        <v/>
      </c>
      <c r="AT470" s="37" t="str">
        <f t="shared" si="115"/>
        <v/>
      </c>
      <c r="AU470" s="37" t="str">
        <f t="shared" si="116"/>
        <v/>
      </c>
      <c r="AV470" s="54"/>
      <c r="AW470" s="46"/>
      <c r="AX470" s="39" t="str" cm="1">
        <f t="array" ref="AX470">IF(AH470&lt;&gt;"",IF(AND(AX468:AX469&lt;&gt;"IE",AQ470&lt;&gt;0,AS470&lt;&gt;""),IF(IFERROR((AQ470/AS470),0) &lt;=1,IFERROR(AQ470/AS470,""),1),""),"")</f>
        <v/>
      </c>
      <c r="AY470" s="46"/>
      <c r="AZ470" s="57"/>
    </row>
    <row r="471" spans="1:52" ht="15.5" x14ac:dyDescent="0.35">
      <c r="A471" s="51">
        <f t="shared" si="124"/>
        <v>1</v>
      </c>
      <c r="B471" s="52"/>
      <c r="C471" s="52"/>
      <c r="D471" s="29" t="str">
        <f>IFERROR(
IF(AND(OR(Planilla!B471="C",Planilla!B471="c"), VLOOKUP(E471,[1]Diccionario!B:N,13,0)="C"), "OK",IF(AND(OR(Planilla!B471="C",Planilla!B471="c"), OR(VLOOKUP(E471,[1]Diccionario!B:N,13,0)="B", VLOOKUP(E471,[1]Diccionario!B:N,13,0)="A")), "DEFICIT",IF(
AND(OR(Planilla!B471="B", Planilla!B471="BPAL"), VLOOKUP(E471,[1]Diccionario!B:N,13,0)="B"), "OK",IF(AND(OR(Planilla!B471="B", Planilla!B471="BPAL"), VLOOKUP(E471,[1]Diccionario!B:N,13,0)="A"), "DEFICIT",IF(AND(OR(Planilla!B471="B", Planilla!B471="BPAL"), VLOOKUP(E471,[1]Diccionario!B:N,13,0)="C"), "SOBREOFERTA",IF(AND(Planilla!B471="A", VLOOKUP(E471,[1]Diccionario!B:N,13,0)="A"), "OK",IF(
AND(Planilla!B471="A", OR(VLOOKUP(E471,[1]Diccionario!B:N,13,0)="B", VLOOKUP(E471,[1]Diccionario!B:N,13,0)="C")), "SOBREOFERTA",""
))))))),"")</f>
        <v/>
      </c>
      <c r="E471" s="48"/>
      <c r="F471" s="53"/>
      <c r="G471" s="54"/>
      <c r="H471" s="55" t="str">
        <f t="shared" si="117"/>
        <v/>
      </c>
      <c r="I471" s="35"/>
      <c r="J471" s="34" t="e">
        <f>IF(A471&lt;&gt;"",HLOOKUP(VALUE(TEXT(G471,"h:mm:ss")),IF($C$6="Laboral",[1]Input!$A$4:$Y$227,IF($C$6="Sábado",[1]Input!$A$231:$Y$452,[1]Input!$A$456:$Y$656)),VLOOKUP($C$4,[1]Input!$AG$2:$AI$99,3,0)+IF(C$5="Ida",0,1),1),"")</f>
        <v>#N/A</v>
      </c>
      <c r="K471" s="34" t="str">
        <f>IF(A472&lt;&gt;A471,AVERAGEIF(A$9:A471,A471,J$13:J471),"")</f>
        <v/>
      </c>
      <c r="L471" s="35" t="str">
        <f>IFERROR(IF(A472&lt;&gt;A471,AVERAGEIF(A$9:A471,A471,S$13:S471),""),"")</f>
        <v/>
      </c>
      <c r="M471" s="35" t="str">
        <f>IFERROR(IF(A472&lt;&gt;A471,AVERAGEIF(A$9:A471,A471,T$8:T471),""),"")</f>
        <v/>
      </c>
      <c r="N471" s="35" t="str" cm="1">
        <f t="array" ref="N471">IFERROR(IF(A472&lt;&gt;A471,_xlfn.STDEV.P(IF(A$9:A471=A471,T$7:T471)),""),"")</f>
        <v/>
      </c>
      <c r="O471" s="35" t="str" cm="1">
        <f t="array" ref="O471">IFERROR(IF(A472&lt;&gt;A471,_xlfn.STDEV.P(IF(A$9:A471=A471,S$7:S471)),""),"")</f>
        <v/>
      </c>
      <c r="P471" s="36" t="str">
        <f t="shared" si="110"/>
        <v/>
      </c>
      <c r="Q471" s="36" t="str">
        <f t="shared" si="111"/>
        <v/>
      </c>
      <c r="R471" s="36" t="str">
        <f t="shared" si="118"/>
        <v/>
      </c>
      <c r="S471" s="37" t="str">
        <f t="shared" si="119"/>
        <v/>
      </c>
      <c r="T471" s="37" t="str">
        <f t="shared" si="112"/>
        <v/>
      </c>
      <c r="U471" s="54"/>
      <c r="V471" s="46"/>
      <c r="W471" s="39" t="str">
        <f t="shared" si="120"/>
        <v/>
      </c>
      <c r="X471" s="38"/>
      <c r="Y471" s="48"/>
      <c r="AB471" s="56">
        <f t="shared" si="121"/>
        <v>1</v>
      </c>
      <c r="AC471" s="52"/>
      <c r="AD471" s="52"/>
      <c r="AE471" s="29" t="str">
        <f>IFERROR(
IF(AND(OR(AC471="C",AC471="c"), VLOOKUP(AF471,[1]Diccionario!B:N,13,0)="C"), "OK",IF(AND(OR(AC471="C",AC471="c"), OR(VLOOKUP(AF471,[1]Diccionario!B:N,13,0)="B", VLOOKUP(AF471,[1]Diccionario!B:N,13,0)="A")), "DEFICIT",IF(
AND(OR(AC471="B", AC471="BPAL"), VLOOKUP(AF471,[1]Diccionario!B:N,13,0)="B"), "OK",IF(AND(OR(AC471="B", AC471="BPAL"), VLOOKUP(AF471,[1]Diccionario!B:N,13,0)="A"), "DEFICIT",IF(AND(OR(AC471="B", AC471="BPAL"), VLOOKUP(AF471,[1]Diccionario!B:N,13,0)="C"), "SOBREOFERTA",IF(AND(AC471="A", VLOOKUP(AF471,[1]Diccionario!B:N,13,0)="A"), "OK",IF(
AND(AC471="A", OR(VLOOKUP(AF471,[1]Diccionario!B:N,13,0)="B", VLOOKUP(AF471,[1]Diccionario!B:N,13,0)="C")), "SOBREOFERTA",""
))))))),"")</f>
        <v/>
      </c>
      <c r="AF471" s="48"/>
      <c r="AG471" s="53"/>
      <c r="AH471" s="54"/>
      <c r="AI471" s="55" t="str">
        <f t="shared" si="122"/>
        <v/>
      </c>
      <c r="AJ471" s="46"/>
      <c r="AK471" s="34" t="e">
        <f>IF(AB471&lt;&gt;"",HLOOKUP(VALUE(TEXT(AH471,"h:mm:ss")),IF($C$6="Laboral",[1]Input!$A$4:$Y$227,IF($C$6="Sábado",[1]Input!$A$231:$Y$452,[1]Input!$A$456:$Y$656)),VLOOKUP($C$4,[1]Input!$AG$2:$AI$99,3,0)+IF(AD$5="Ida",0,1),1),"")</f>
        <v>#N/A</v>
      </c>
      <c r="AL471" s="34" t="str">
        <f>IF(AB472&lt;&gt;AB471,AVERAGEIF(AB$9:AB471,AB471,AK$9:AK471),"")</f>
        <v/>
      </c>
      <c r="AM471" s="35" t="str">
        <f>IFERROR(IF(AB472&lt;&gt;AB471,AVERAGEIF(AB$9:AB471,AB471,AT$9:AT471),""),"")</f>
        <v/>
      </c>
      <c r="AN471" s="35" t="str">
        <f>IFERROR(IF(AB472&lt;&gt;AB471,AVERAGEIF(AB$9:AB471,AB471,AU$9:AU471),""),"")</f>
        <v/>
      </c>
      <c r="AO471" s="35" t="str" cm="1">
        <f t="array" ref="AO471">IFERROR(IF(AB472&lt;&gt;AB471,_xlfn.STDEV.P(IF(AB$9:AB471=AB471,AU$9:AU471)),""),"")</f>
        <v/>
      </c>
      <c r="AP471" s="35" t="str" cm="1">
        <f t="array" ref="AP471">IFERROR(IF(AB472&lt;&gt;AB471,_xlfn.STDEV.P(IF(AB$9:AB471=AB471,AT$9:AT471)),""),"")</f>
        <v/>
      </c>
      <c r="AQ471" s="36" t="str">
        <f t="shared" si="113"/>
        <v/>
      </c>
      <c r="AR471" s="36" t="str">
        <f t="shared" si="114"/>
        <v/>
      </c>
      <c r="AS471" s="36" t="str">
        <f t="shared" si="123"/>
        <v/>
      </c>
      <c r="AT471" s="37" t="str">
        <f t="shared" si="115"/>
        <v/>
      </c>
      <c r="AU471" s="37" t="str">
        <f t="shared" si="116"/>
        <v/>
      </c>
      <c r="AV471" s="54"/>
      <c r="AW471" s="46"/>
      <c r="AX471" s="39" t="str" cm="1">
        <f t="array" ref="AX471">IF(AH471&lt;&gt;"",IF(AND(AX469:AX470&lt;&gt;"IE",AQ471&lt;&gt;0,AS471&lt;&gt;""),IF(IFERROR((AQ471/AS471),0) &lt;=1,IFERROR(AQ471/AS471,""),1),""),"")</f>
        <v/>
      </c>
      <c r="AY471" s="46"/>
      <c r="AZ471" s="57"/>
    </row>
    <row r="472" spans="1:52" ht="15.5" x14ac:dyDescent="0.35">
      <c r="A472" s="51">
        <f t="shared" si="124"/>
        <v>1</v>
      </c>
      <c r="B472" s="52"/>
      <c r="C472" s="52"/>
      <c r="D472" s="29" t="str">
        <f>IFERROR(
IF(AND(OR(Planilla!B472="C",Planilla!B472="c"), VLOOKUP(E472,[1]Diccionario!B:N,13,0)="C"), "OK",IF(AND(OR(Planilla!B472="C",Planilla!B472="c"), OR(VLOOKUP(E472,[1]Diccionario!B:N,13,0)="B", VLOOKUP(E472,[1]Diccionario!B:N,13,0)="A")), "DEFICIT",IF(
AND(OR(Planilla!B472="B", Planilla!B472="BPAL"), VLOOKUP(E472,[1]Diccionario!B:N,13,0)="B"), "OK",IF(AND(OR(Planilla!B472="B", Planilla!B472="BPAL"), VLOOKUP(E472,[1]Diccionario!B:N,13,0)="A"), "DEFICIT",IF(AND(OR(Planilla!B472="B", Planilla!B472="BPAL"), VLOOKUP(E472,[1]Diccionario!B:N,13,0)="C"), "SOBREOFERTA",IF(AND(Planilla!B472="A", VLOOKUP(E472,[1]Diccionario!B:N,13,0)="A"), "OK",IF(
AND(Planilla!B472="A", OR(VLOOKUP(E472,[1]Diccionario!B:N,13,0)="B", VLOOKUP(E472,[1]Diccionario!B:N,13,0)="C")), "SOBREOFERTA",""
))))))),"")</f>
        <v/>
      </c>
      <c r="E472" s="48"/>
      <c r="F472" s="53"/>
      <c r="G472" s="54"/>
      <c r="H472" s="55" t="str">
        <f t="shared" si="117"/>
        <v/>
      </c>
      <c r="I472" s="35"/>
      <c r="J472" s="34" t="e">
        <f>IF(A472&lt;&gt;"",HLOOKUP(VALUE(TEXT(G472,"h:mm:ss")),IF($C$6="Laboral",[1]Input!$A$4:$Y$227,IF($C$6="Sábado",[1]Input!$A$231:$Y$452,[1]Input!$A$456:$Y$656)),VLOOKUP($C$4,[1]Input!$AG$2:$AI$99,3,0)+IF(C$5="Ida",0,1),1),"")</f>
        <v>#N/A</v>
      </c>
      <c r="K472" s="34" t="str">
        <f>IF(A473&lt;&gt;A472,AVERAGEIF(A$9:A472,A472,J$13:J472),"")</f>
        <v/>
      </c>
      <c r="L472" s="35" t="str">
        <f>IFERROR(IF(A473&lt;&gt;A472,AVERAGEIF(A$9:A472,A472,S$13:S472),""),"")</f>
        <v/>
      </c>
      <c r="M472" s="35" t="str">
        <f>IFERROR(IF(A473&lt;&gt;A472,AVERAGEIF(A$9:A472,A472,T$8:T472),""),"")</f>
        <v/>
      </c>
      <c r="N472" s="35" t="str" cm="1">
        <f t="array" ref="N472">IFERROR(IF(A473&lt;&gt;A472,_xlfn.STDEV.P(IF(A$9:A472=A472,T$7:T472)),""),"")</f>
        <v/>
      </c>
      <c r="O472" s="35" t="str" cm="1">
        <f t="array" ref="O472">IFERROR(IF(A473&lt;&gt;A472,_xlfn.STDEV.P(IF(A$9:A472=A472,S$7:S472)),""),"")</f>
        <v/>
      </c>
      <c r="P472" s="36" t="str">
        <f t="shared" si="110"/>
        <v/>
      </c>
      <c r="Q472" s="36" t="str">
        <f t="shared" si="111"/>
        <v/>
      </c>
      <c r="R472" s="36" t="str">
        <f t="shared" si="118"/>
        <v/>
      </c>
      <c r="S472" s="37" t="str">
        <f t="shared" si="119"/>
        <v/>
      </c>
      <c r="T472" s="37" t="str">
        <f t="shared" si="112"/>
        <v/>
      </c>
      <c r="U472" s="54"/>
      <c r="V472" s="46"/>
      <c r="W472" s="39" t="str">
        <f t="shared" si="120"/>
        <v/>
      </c>
      <c r="X472" s="38"/>
      <c r="Y472" s="48"/>
      <c r="AB472" s="56">
        <f t="shared" si="121"/>
        <v>1</v>
      </c>
      <c r="AC472" s="52"/>
      <c r="AD472" s="52"/>
      <c r="AE472" s="29" t="str">
        <f>IFERROR(
IF(AND(OR(AC472="C",AC472="c"), VLOOKUP(AF472,[1]Diccionario!B:N,13,0)="C"), "OK",IF(AND(OR(AC472="C",AC472="c"), OR(VLOOKUP(AF472,[1]Diccionario!B:N,13,0)="B", VLOOKUP(AF472,[1]Diccionario!B:N,13,0)="A")), "DEFICIT",IF(
AND(OR(AC472="B", AC472="BPAL"), VLOOKUP(AF472,[1]Diccionario!B:N,13,0)="B"), "OK",IF(AND(OR(AC472="B", AC472="BPAL"), VLOOKUP(AF472,[1]Diccionario!B:N,13,0)="A"), "DEFICIT",IF(AND(OR(AC472="B", AC472="BPAL"), VLOOKUP(AF472,[1]Diccionario!B:N,13,0)="C"), "SOBREOFERTA",IF(AND(AC472="A", VLOOKUP(AF472,[1]Diccionario!B:N,13,0)="A"), "OK",IF(
AND(AC472="A", OR(VLOOKUP(AF472,[1]Diccionario!B:N,13,0)="B", VLOOKUP(AF472,[1]Diccionario!B:N,13,0)="C")), "SOBREOFERTA",""
))))))),"")</f>
        <v/>
      </c>
      <c r="AF472" s="48"/>
      <c r="AG472" s="53"/>
      <c r="AH472" s="54"/>
      <c r="AI472" s="55" t="str">
        <f t="shared" si="122"/>
        <v/>
      </c>
      <c r="AJ472" s="46"/>
      <c r="AK472" s="34" t="e">
        <f>IF(AB472&lt;&gt;"",HLOOKUP(VALUE(TEXT(AH472,"h:mm:ss")),IF($C$6="Laboral",[1]Input!$A$4:$Y$227,IF($C$6="Sábado",[1]Input!$A$231:$Y$452,[1]Input!$A$456:$Y$656)),VLOOKUP($C$4,[1]Input!$AG$2:$AI$99,3,0)+IF(AD$5="Ida",0,1),1),"")</f>
        <v>#N/A</v>
      </c>
      <c r="AL472" s="34" t="str">
        <f>IF(AB473&lt;&gt;AB472,AVERAGEIF(AB$9:AB472,AB472,AK$9:AK472),"")</f>
        <v/>
      </c>
      <c r="AM472" s="35" t="str">
        <f>IFERROR(IF(AB473&lt;&gt;AB472,AVERAGEIF(AB$9:AB472,AB472,AT$9:AT472),""),"")</f>
        <v/>
      </c>
      <c r="AN472" s="35" t="str">
        <f>IFERROR(IF(AB473&lt;&gt;AB472,AVERAGEIF(AB$9:AB472,AB472,AU$9:AU472),""),"")</f>
        <v/>
      </c>
      <c r="AO472" s="35" t="str" cm="1">
        <f t="array" ref="AO472">IFERROR(IF(AB473&lt;&gt;AB472,_xlfn.STDEV.P(IF(AB$9:AB472=AB472,AU$9:AU472)),""),"")</f>
        <v/>
      </c>
      <c r="AP472" s="35" t="str" cm="1">
        <f t="array" ref="AP472">IFERROR(IF(AB473&lt;&gt;AB472,_xlfn.STDEV.P(IF(AB$9:AB472=AB472,AT$9:AT472)),""),"")</f>
        <v/>
      </c>
      <c r="AQ472" s="36" t="str">
        <f t="shared" si="113"/>
        <v/>
      </c>
      <c r="AR472" s="36" t="str">
        <f t="shared" si="114"/>
        <v/>
      </c>
      <c r="AS472" s="36" t="str">
        <f t="shared" si="123"/>
        <v/>
      </c>
      <c r="AT472" s="37" t="str">
        <f t="shared" si="115"/>
        <v/>
      </c>
      <c r="AU472" s="37" t="str">
        <f t="shared" si="116"/>
        <v/>
      </c>
      <c r="AV472" s="54"/>
      <c r="AW472" s="46"/>
      <c r="AX472" s="39" t="str" cm="1">
        <f t="array" ref="AX472">IF(AH472&lt;&gt;"",IF(AND(AX470:AX471&lt;&gt;"IE",AQ472&lt;&gt;0,AS472&lt;&gt;""),IF(IFERROR((AQ472/AS472),0) &lt;=1,IFERROR(AQ472/AS472,""),1),""),"")</f>
        <v/>
      </c>
      <c r="AY472" s="46"/>
      <c r="AZ472" s="57"/>
    </row>
    <row r="473" spans="1:52" ht="15.5" x14ac:dyDescent="0.35">
      <c r="A473" s="51">
        <f t="shared" si="124"/>
        <v>1</v>
      </c>
      <c r="B473" s="52"/>
      <c r="C473" s="52"/>
      <c r="D473" s="29" t="str">
        <f>IFERROR(
IF(AND(OR(Planilla!B473="C",Planilla!B473="c"), VLOOKUP(E473,[1]Diccionario!B:N,13,0)="C"), "OK",IF(AND(OR(Planilla!B473="C",Planilla!B473="c"), OR(VLOOKUP(E473,[1]Diccionario!B:N,13,0)="B", VLOOKUP(E473,[1]Diccionario!B:N,13,0)="A")), "DEFICIT",IF(
AND(OR(Planilla!B473="B", Planilla!B473="BPAL"), VLOOKUP(E473,[1]Diccionario!B:N,13,0)="B"), "OK",IF(AND(OR(Planilla!B473="B", Planilla!B473="BPAL"), VLOOKUP(E473,[1]Diccionario!B:N,13,0)="A"), "DEFICIT",IF(AND(OR(Planilla!B473="B", Planilla!B473="BPAL"), VLOOKUP(E473,[1]Diccionario!B:N,13,0)="C"), "SOBREOFERTA",IF(AND(Planilla!B473="A", VLOOKUP(E473,[1]Diccionario!B:N,13,0)="A"), "OK",IF(
AND(Planilla!B473="A", OR(VLOOKUP(E473,[1]Diccionario!B:N,13,0)="B", VLOOKUP(E473,[1]Diccionario!B:N,13,0)="C")), "SOBREOFERTA",""
))))))),"")</f>
        <v/>
      </c>
      <c r="E473" s="48"/>
      <c r="F473" s="53"/>
      <c r="G473" s="54"/>
      <c r="H473" s="55" t="str">
        <f t="shared" si="117"/>
        <v/>
      </c>
      <c r="I473" s="35"/>
      <c r="J473" s="34" t="e">
        <f>IF(A473&lt;&gt;"",HLOOKUP(VALUE(TEXT(G473,"h:mm:ss")),IF($C$6="Laboral",[1]Input!$A$4:$Y$227,IF($C$6="Sábado",[1]Input!$A$231:$Y$452,[1]Input!$A$456:$Y$656)),VLOOKUP($C$4,[1]Input!$AG$2:$AI$99,3,0)+IF(C$5="Ida",0,1),1),"")</f>
        <v>#N/A</v>
      </c>
      <c r="K473" s="34" t="str">
        <f>IF(A474&lt;&gt;A473,AVERAGEIF(A$9:A473,A473,J$13:J473),"")</f>
        <v/>
      </c>
      <c r="L473" s="35" t="str">
        <f>IFERROR(IF(A474&lt;&gt;A473,AVERAGEIF(A$9:A473,A473,S$13:S473),""),"")</f>
        <v/>
      </c>
      <c r="M473" s="35" t="str">
        <f>IFERROR(IF(A474&lt;&gt;A473,AVERAGEIF(A$9:A473,A473,T$8:T473),""),"")</f>
        <v/>
      </c>
      <c r="N473" s="35" t="str" cm="1">
        <f t="array" ref="N473">IFERROR(IF(A474&lt;&gt;A473,_xlfn.STDEV.P(IF(A$9:A473=A473,T$7:T473)),""),"")</f>
        <v/>
      </c>
      <c r="O473" s="35" t="str" cm="1">
        <f t="array" ref="O473">IFERROR(IF(A474&lt;&gt;A473,_xlfn.STDEV.P(IF(A$9:A473=A473,S$7:S473)),""),"")</f>
        <v/>
      </c>
      <c r="P473" s="36" t="str">
        <f t="shared" si="110"/>
        <v/>
      </c>
      <c r="Q473" s="36" t="str">
        <f t="shared" si="111"/>
        <v/>
      </c>
      <c r="R473" s="36" t="str">
        <f t="shared" si="118"/>
        <v/>
      </c>
      <c r="S473" s="37" t="str">
        <f t="shared" si="119"/>
        <v/>
      </c>
      <c r="T473" s="37" t="str">
        <f t="shared" si="112"/>
        <v/>
      </c>
      <c r="U473" s="54"/>
      <c r="V473" s="46"/>
      <c r="W473" s="39" t="str">
        <f t="shared" si="120"/>
        <v/>
      </c>
      <c r="X473" s="38"/>
      <c r="Y473" s="48"/>
      <c r="AB473" s="56">
        <f t="shared" si="121"/>
        <v>1</v>
      </c>
      <c r="AC473" s="52"/>
      <c r="AD473" s="52"/>
      <c r="AE473" s="29" t="str">
        <f>IFERROR(
IF(AND(OR(AC473="C",AC473="c"), VLOOKUP(AF473,[1]Diccionario!B:N,13,0)="C"), "OK",IF(AND(OR(AC473="C",AC473="c"), OR(VLOOKUP(AF473,[1]Diccionario!B:N,13,0)="B", VLOOKUP(AF473,[1]Diccionario!B:N,13,0)="A")), "DEFICIT",IF(
AND(OR(AC473="B", AC473="BPAL"), VLOOKUP(AF473,[1]Diccionario!B:N,13,0)="B"), "OK",IF(AND(OR(AC473="B", AC473="BPAL"), VLOOKUP(AF473,[1]Diccionario!B:N,13,0)="A"), "DEFICIT",IF(AND(OR(AC473="B", AC473="BPAL"), VLOOKUP(AF473,[1]Diccionario!B:N,13,0)="C"), "SOBREOFERTA",IF(AND(AC473="A", VLOOKUP(AF473,[1]Diccionario!B:N,13,0)="A"), "OK",IF(
AND(AC473="A", OR(VLOOKUP(AF473,[1]Diccionario!B:N,13,0)="B", VLOOKUP(AF473,[1]Diccionario!B:N,13,0)="C")), "SOBREOFERTA",""
))))))),"")</f>
        <v/>
      </c>
      <c r="AF473" s="48"/>
      <c r="AG473" s="53"/>
      <c r="AH473" s="54"/>
      <c r="AI473" s="55" t="str">
        <f t="shared" si="122"/>
        <v/>
      </c>
      <c r="AJ473" s="46"/>
      <c r="AK473" s="34" t="e">
        <f>IF(AB473&lt;&gt;"",HLOOKUP(VALUE(TEXT(AH473,"h:mm:ss")),IF($C$6="Laboral",[1]Input!$A$4:$Y$227,IF($C$6="Sábado",[1]Input!$A$231:$Y$452,[1]Input!$A$456:$Y$656)),VLOOKUP($C$4,[1]Input!$AG$2:$AI$99,3,0)+IF(AD$5="Ida",0,1),1),"")</f>
        <v>#N/A</v>
      </c>
      <c r="AL473" s="34" t="str">
        <f>IF(AB474&lt;&gt;AB473,AVERAGEIF(AB$9:AB473,AB473,AK$9:AK473),"")</f>
        <v/>
      </c>
      <c r="AM473" s="35" t="str">
        <f>IFERROR(IF(AB474&lt;&gt;AB473,AVERAGEIF(AB$9:AB473,AB473,AT$9:AT473),""),"")</f>
        <v/>
      </c>
      <c r="AN473" s="35" t="str">
        <f>IFERROR(IF(AB474&lt;&gt;AB473,AVERAGEIF(AB$9:AB473,AB473,AU$9:AU473),""),"")</f>
        <v/>
      </c>
      <c r="AO473" s="35" t="str" cm="1">
        <f t="array" ref="AO473">IFERROR(IF(AB474&lt;&gt;AB473,_xlfn.STDEV.P(IF(AB$9:AB473=AB473,AU$9:AU473)),""),"")</f>
        <v/>
      </c>
      <c r="AP473" s="35" t="str" cm="1">
        <f t="array" ref="AP473">IFERROR(IF(AB474&lt;&gt;AB473,_xlfn.STDEV.P(IF(AB$9:AB473=AB473,AT$9:AT473)),""),"")</f>
        <v/>
      </c>
      <c r="AQ473" s="36" t="str">
        <f t="shared" si="113"/>
        <v/>
      </c>
      <c r="AR473" s="36" t="str">
        <f t="shared" si="114"/>
        <v/>
      </c>
      <c r="AS473" s="36" t="str">
        <f t="shared" si="123"/>
        <v/>
      </c>
      <c r="AT473" s="37" t="str">
        <f t="shared" si="115"/>
        <v/>
      </c>
      <c r="AU473" s="37" t="str">
        <f t="shared" si="116"/>
        <v/>
      </c>
      <c r="AV473" s="54"/>
      <c r="AW473" s="46"/>
      <c r="AX473" s="39" t="str" cm="1">
        <f t="array" ref="AX473">IF(AH473&lt;&gt;"",IF(AND(AX471:AX472&lt;&gt;"IE",AQ473&lt;&gt;0,AS473&lt;&gt;""),IF(IFERROR((AQ473/AS473),0) &lt;=1,IFERROR(AQ473/AS473,""),1),""),"")</f>
        <v/>
      </c>
      <c r="AY473" s="46"/>
      <c r="AZ473" s="57"/>
    </row>
    <row r="474" spans="1:52" ht="15.5" x14ac:dyDescent="0.35">
      <c r="A474" s="51">
        <f t="shared" si="124"/>
        <v>1</v>
      </c>
      <c r="B474" s="52"/>
      <c r="C474" s="52"/>
      <c r="D474" s="29" t="str">
        <f>IFERROR(
IF(AND(OR(Planilla!B474="C",Planilla!B474="c"), VLOOKUP(E474,[1]Diccionario!B:N,13,0)="C"), "OK",IF(AND(OR(Planilla!B474="C",Planilla!B474="c"), OR(VLOOKUP(E474,[1]Diccionario!B:N,13,0)="B", VLOOKUP(E474,[1]Diccionario!B:N,13,0)="A")), "DEFICIT",IF(
AND(OR(Planilla!B474="B", Planilla!B474="BPAL"), VLOOKUP(E474,[1]Diccionario!B:N,13,0)="B"), "OK",IF(AND(OR(Planilla!B474="B", Planilla!B474="BPAL"), VLOOKUP(E474,[1]Diccionario!B:N,13,0)="A"), "DEFICIT",IF(AND(OR(Planilla!B474="B", Planilla!B474="BPAL"), VLOOKUP(E474,[1]Diccionario!B:N,13,0)="C"), "SOBREOFERTA",IF(AND(Planilla!B474="A", VLOOKUP(E474,[1]Diccionario!B:N,13,0)="A"), "OK",IF(
AND(Planilla!B474="A", OR(VLOOKUP(E474,[1]Diccionario!B:N,13,0)="B", VLOOKUP(E474,[1]Diccionario!B:N,13,0)="C")), "SOBREOFERTA",""
))))))),"")</f>
        <v/>
      </c>
      <c r="E474" s="48"/>
      <c r="F474" s="53"/>
      <c r="G474" s="54"/>
      <c r="H474" s="55" t="str">
        <f t="shared" si="117"/>
        <v/>
      </c>
      <c r="I474" s="35"/>
      <c r="J474" s="34" t="e">
        <f>IF(A474&lt;&gt;"",HLOOKUP(VALUE(TEXT(G474,"h:mm:ss")),IF($C$6="Laboral",[1]Input!$A$4:$Y$227,IF($C$6="Sábado",[1]Input!$A$231:$Y$452,[1]Input!$A$456:$Y$656)),VLOOKUP($C$4,[1]Input!$AG$2:$AI$99,3,0)+IF(C$5="Ida",0,1),1),"")</f>
        <v>#N/A</v>
      </c>
      <c r="K474" s="34" t="str">
        <f>IF(A475&lt;&gt;A474,AVERAGEIF(A$9:A474,A474,J$13:J474),"")</f>
        <v/>
      </c>
      <c r="L474" s="35" t="str">
        <f>IFERROR(IF(A475&lt;&gt;A474,AVERAGEIF(A$9:A474,A474,S$13:S474),""),"")</f>
        <v/>
      </c>
      <c r="M474" s="35" t="str">
        <f>IFERROR(IF(A475&lt;&gt;A474,AVERAGEIF(A$9:A474,A474,T$8:T474),""),"")</f>
        <v/>
      </c>
      <c r="N474" s="35" t="str" cm="1">
        <f t="array" ref="N474">IFERROR(IF(A475&lt;&gt;A474,_xlfn.STDEV.P(IF(A$9:A474=A474,T$7:T474)),""),"")</f>
        <v/>
      </c>
      <c r="O474" s="35" t="str" cm="1">
        <f t="array" ref="O474">IFERROR(IF(A475&lt;&gt;A474,_xlfn.STDEV.P(IF(A$9:A474=A474,S$7:S474)),""),"")</f>
        <v/>
      </c>
      <c r="P474" s="36" t="str">
        <f t="shared" si="110"/>
        <v/>
      </c>
      <c r="Q474" s="36" t="str">
        <f t="shared" si="111"/>
        <v/>
      </c>
      <c r="R474" s="36" t="str">
        <f t="shared" si="118"/>
        <v/>
      </c>
      <c r="S474" s="37" t="str">
        <f t="shared" si="119"/>
        <v/>
      </c>
      <c r="T474" s="37" t="str">
        <f t="shared" si="112"/>
        <v/>
      </c>
      <c r="U474" s="54"/>
      <c r="V474" s="46"/>
      <c r="W474" s="39" t="str">
        <f t="shared" si="120"/>
        <v/>
      </c>
      <c r="X474" s="38"/>
      <c r="Y474" s="48"/>
      <c r="AB474" s="56">
        <f t="shared" si="121"/>
        <v>1</v>
      </c>
      <c r="AC474" s="52"/>
      <c r="AD474" s="52"/>
      <c r="AE474" s="29" t="str">
        <f>IFERROR(
IF(AND(OR(AC474="C",AC474="c"), VLOOKUP(AF474,[1]Diccionario!B:N,13,0)="C"), "OK",IF(AND(OR(AC474="C",AC474="c"), OR(VLOOKUP(AF474,[1]Diccionario!B:N,13,0)="B", VLOOKUP(AF474,[1]Diccionario!B:N,13,0)="A")), "DEFICIT",IF(
AND(OR(AC474="B", AC474="BPAL"), VLOOKUP(AF474,[1]Diccionario!B:N,13,0)="B"), "OK",IF(AND(OR(AC474="B", AC474="BPAL"), VLOOKUP(AF474,[1]Diccionario!B:N,13,0)="A"), "DEFICIT",IF(AND(OR(AC474="B", AC474="BPAL"), VLOOKUP(AF474,[1]Diccionario!B:N,13,0)="C"), "SOBREOFERTA",IF(AND(AC474="A", VLOOKUP(AF474,[1]Diccionario!B:N,13,0)="A"), "OK",IF(
AND(AC474="A", OR(VLOOKUP(AF474,[1]Diccionario!B:N,13,0)="B", VLOOKUP(AF474,[1]Diccionario!B:N,13,0)="C")), "SOBREOFERTA",""
))))))),"")</f>
        <v/>
      </c>
      <c r="AF474" s="48"/>
      <c r="AG474" s="53"/>
      <c r="AH474" s="54"/>
      <c r="AI474" s="55" t="str">
        <f t="shared" si="122"/>
        <v/>
      </c>
      <c r="AJ474" s="46"/>
      <c r="AK474" s="34" t="e">
        <f>IF(AB474&lt;&gt;"",HLOOKUP(VALUE(TEXT(AH474,"h:mm:ss")),IF($C$6="Laboral",[1]Input!$A$4:$Y$227,IF($C$6="Sábado",[1]Input!$A$231:$Y$452,[1]Input!$A$456:$Y$656)),VLOOKUP($C$4,[1]Input!$AG$2:$AI$99,3,0)+IF(AD$5="Ida",0,1),1),"")</f>
        <v>#N/A</v>
      </c>
      <c r="AL474" s="34" t="str">
        <f>IF(AB475&lt;&gt;AB474,AVERAGEIF(AB$9:AB474,AB474,AK$9:AK474),"")</f>
        <v/>
      </c>
      <c r="AM474" s="35" t="str">
        <f>IFERROR(IF(AB475&lt;&gt;AB474,AVERAGEIF(AB$9:AB474,AB474,AT$9:AT474),""),"")</f>
        <v/>
      </c>
      <c r="AN474" s="35" t="str">
        <f>IFERROR(IF(AB475&lt;&gt;AB474,AVERAGEIF(AB$9:AB474,AB474,AU$9:AU474),""),"")</f>
        <v/>
      </c>
      <c r="AO474" s="35" t="str" cm="1">
        <f t="array" ref="AO474">IFERROR(IF(AB475&lt;&gt;AB474,_xlfn.STDEV.P(IF(AB$9:AB474=AB474,AU$9:AU474)),""),"")</f>
        <v/>
      </c>
      <c r="AP474" s="35" t="str" cm="1">
        <f t="array" ref="AP474">IFERROR(IF(AB475&lt;&gt;AB474,_xlfn.STDEV.P(IF(AB$9:AB474=AB474,AT$9:AT474)),""),"")</f>
        <v/>
      </c>
      <c r="AQ474" s="36" t="str">
        <f t="shared" si="113"/>
        <v/>
      </c>
      <c r="AR474" s="36" t="str">
        <f t="shared" si="114"/>
        <v/>
      </c>
      <c r="AS474" s="36" t="str">
        <f t="shared" si="123"/>
        <v/>
      </c>
      <c r="AT474" s="37" t="str">
        <f t="shared" si="115"/>
        <v/>
      </c>
      <c r="AU474" s="37" t="str">
        <f t="shared" si="116"/>
        <v/>
      </c>
      <c r="AV474" s="54"/>
      <c r="AW474" s="46"/>
      <c r="AX474" s="39" t="str" cm="1">
        <f t="array" ref="AX474">IF(AH474&lt;&gt;"",IF(AND(AX472:AX473&lt;&gt;"IE",AQ474&lt;&gt;0,AS474&lt;&gt;""),IF(IFERROR((AQ474/AS474),0) &lt;=1,IFERROR(AQ474/AS474,""),1),""),"")</f>
        <v/>
      </c>
      <c r="AY474" s="46"/>
      <c r="AZ474" s="57"/>
    </row>
    <row r="475" spans="1:52" ht="15.5" x14ac:dyDescent="0.35">
      <c r="A475" s="51">
        <f t="shared" si="124"/>
        <v>1</v>
      </c>
      <c r="B475" s="52"/>
      <c r="C475" s="52"/>
      <c r="D475" s="29" t="str">
        <f>IFERROR(
IF(AND(OR(Planilla!B475="C",Planilla!B475="c"), VLOOKUP(E475,[1]Diccionario!B:N,13,0)="C"), "OK",IF(AND(OR(Planilla!B475="C",Planilla!B475="c"), OR(VLOOKUP(E475,[1]Diccionario!B:N,13,0)="B", VLOOKUP(E475,[1]Diccionario!B:N,13,0)="A")), "DEFICIT",IF(
AND(OR(Planilla!B475="B", Planilla!B475="BPAL"), VLOOKUP(E475,[1]Diccionario!B:N,13,0)="B"), "OK",IF(AND(OR(Planilla!B475="B", Planilla!B475="BPAL"), VLOOKUP(E475,[1]Diccionario!B:N,13,0)="A"), "DEFICIT",IF(AND(OR(Planilla!B475="B", Planilla!B475="BPAL"), VLOOKUP(E475,[1]Diccionario!B:N,13,0)="C"), "SOBREOFERTA",IF(AND(Planilla!B475="A", VLOOKUP(E475,[1]Diccionario!B:N,13,0)="A"), "OK",IF(
AND(Planilla!B475="A", OR(VLOOKUP(E475,[1]Diccionario!B:N,13,0)="B", VLOOKUP(E475,[1]Diccionario!B:N,13,0)="C")), "SOBREOFERTA",""
))))))),"")</f>
        <v/>
      </c>
      <c r="E475" s="48"/>
      <c r="F475" s="53"/>
      <c r="G475" s="54"/>
      <c r="H475" s="55" t="str">
        <f t="shared" si="117"/>
        <v/>
      </c>
      <c r="I475" s="35"/>
      <c r="J475" s="34" t="e">
        <f>IF(A475&lt;&gt;"",HLOOKUP(VALUE(TEXT(G475,"h:mm:ss")),IF($C$6="Laboral",[1]Input!$A$4:$Y$227,IF($C$6="Sábado",[1]Input!$A$231:$Y$452,[1]Input!$A$456:$Y$656)),VLOOKUP($C$4,[1]Input!$AG$2:$AI$99,3,0)+IF(C$5="Ida",0,1),1),"")</f>
        <v>#N/A</v>
      </c>
      <c r="K475" s="34" t="str">
        <f>IF(A476&lt;&gt;A475,AVERAGEIF(A$9:A475,A475,J$13:J475),"")</f>
        <v/>
      </c>
      <c r="L475" s="35" t="str">
        <f>IFERROR(IF(A476&lt;&gt;A475,AVERAGEIF(A$9:A475,A475,S$13:S475),""),"")</f>
        <v/>
      </c>
      <c r="M475" s="35" t="str">
        <f>IFERROR(IF(A476&lt;&gt;A475,AVERAGEIF(A$9:A475,A475,T$8:T475),""),"")</f>
        <v/>
      </c>
      <c r="N475" s="35" t="str" cm="1">
        <f t="array" ref="N475">IFERROR(IF(A476&lt;&gt;A475,_xlfn.STDEV.P(IF(A$9:A475=A475,T$7:T475)),""),"")</f>
        <v/>
      </c>
      <c r="O475" s="35" t="str" cm="1">
        <f t="array" ref="O475">IFERROR(IF(A476&lt;&gt;A475,_xlfn.STDEV.P(IF(A$9:A475=A475,S$7:S475)),""),"")</f>
        <v/>
      </c>
      <c r="P475" s="36" t="str">
        <f t="shared" si="110"/>
        <v/>
      </c>
      <c r="Q475" s="36" t="str">
        <f t="shared" si="111"/>
        <v/>
      </c>
      <c r="R475" s="36" t="str">
        <f t="shared" si="118"/>
        <v/>
      </c>
      <c r="S475" s="37" t="str">
        <f t="shared" si="119"/>
        <v/>
      </c>
      <c r="T475" s="37" t="str">
        <f t="shared" si="112"/>
        <v/>
      </c>
      <c r="U475" s="54"/>
      <c r="V475" s="46"/>
      <c r="W475" s="39" t="str">
        <f t="shared" si="120"/>
        <v/>
      </c>
      <c r="X475" s="38"/>
      <c r="Y475" s="48"/>
      <c r="AB475" s="56">
        <f t="shared" si="121"/>
        <v>1</v>
      </c>
      <c r="AC475" s="52"/>
      <c r="AD475" s="52"/>
      <c r="AE475" s="29" t="str">
        <f>IFERROR(
IF(AND(OR(AC475="C",AC475="c"), VLOOKUP(AF475,[1]Diccionario!B:N,13,0)="C"), "OK",IF(AND(OR(AC475="C",AC475="c"), OR(VLOOKUP(AF475,[1]Diccionario!B:N,13,0)="B", VLOOKUP(AF475,[1]Diccionario!B:N,13,0)="A")), "DEFICIT",IF(
AND(OR(AC475="B", AC475="BPAL"), VLOOKUP(AF475,[1]Diccionario!B:N,13,0)="B"), "OK",IF(AND(OR(AC475="B", AC475="BPAL"), VLOOKUP(AF475,[1]Diccionario!B:N,13,0)="A"), "DEFICIT",IF(AND(OR(AC475="B", AC475="BPAL"), VLOOKUP(AF475,[1]Diccionario!B:N,13,0)="C"), "SOBREOFERTA",IF(AND(AC475="A", VLOOKUP(AF475,[1]Diccionario!B:N,13,0)="A"), "OK",IF(
AND(AC475="A", OR(VLOOKUP(AF475,[1]Diccionario!B:N,13,0)="B", VLOOKUP(AF475,[1]Diccionario!B:N,13,0)="C")), "SOBREOFERTA",""
))))))),"")</f>
        <v/>
      </c>
      <c r="AF475" s="48"/>
      <c r="AG475" s="53"/>
      <c r="AH475" s="54"/>
      <c r="AI475" s="55" t="str">
        <f t="shared" si="122"/>
        <v/>
      </c>
      <c r="AJ475" s="46"/>
      <c r="AK475" s="34" t="e">
        <f>IF(AB475&lt;&gt;"",HLOOKUP(VALUE(TEXT(AH475,"h:mm:ss")),IF($C$6="Laboral",[1]Input!$A$4:$Y$227,IF($C$6="Sábado",[1]Input!$A$231:$Y$452,[1]Input!$A$456:$Y$656)),VLOOKUP($C$4,[1]Input!$AG$2:$AI$99,3,0)+IF(AD$5="Ida",0,1),1),"")</f>
        <v>#N/A</v>
      </c>
      <c r="AL475" s="34" t="str">
        <f>IF(AB476&lt;&gt;AB475,AVERAGEIF(AB$9:AB475,AB475,AK$9:AK475),"")</f>
        <v/>
      </c>
      <c r="AM475" s="35" t="str">
        <f>IFERROR(IF(AB476&lt;&gt;AB475,AVERAGEIF(AB$9:AB475,AB475,AT$9:AT475),""),"")</f>
        <v/>
      </c>
      <c r="AN475" s="35" t="str">
        <f>IFERROR(IF(AB476&lt;&gt;AB475,AVERAGEIF(AB$9:AB475,AB475,AU$9:AU475),""),"")</f>
        <v/>
      </c>
      <c r="AO475" s="35" t="str" cm="1">
        <f t="array" ref="AO475">IFERROR(IF(AB476&lt;&gt;AB475,_xlfn.STDEV.P(IF(AB$9:AB475=AB475,AU$9:AU475)),""),"")</f>
        <v/>
      </c>
      <c r="AP475" s="35" t="str" cm="1">
        <f t="array" ref="AP475">IFERROR(IF(AB476&lt;&gt;AB475,_xlfn.STDEV.P(IF(AB$9:AB475=AB475,AT$9:AT475)),""),"")</f>
        <v/>
      </c>
      <c r="AQ475" s="36" t="str">
        <f t="shared" si="113"/>
        <v/>
      </c>
      <c r="AR475" s="36" t="str">
        <f t="shared" si="114"/>
        <v/>
      </c>
      <c r="AS475" s="36" t="str">
        <f t="shared" si="123"/>
        <v/>
      </c>
      <c r="AT475" s="37" t="str">
        <f t="shared" si="115"/>
        <v/>
      </c>
      <c r="AU475" s="37" t="str">
        <f t="shared" si="116"/>
        <v/>
      </c>
      <c r="AV475" s="54"/>
      <c r="AW475" s="46"/>
      <c r="AX475" s="39" t="str" cm="1">
        <f t="array" ref="AX475">IF(AH475&lt;&gt;"",IF(AND(AX473:AX474&lt;&gt;"IE",AQ475&lt;&gt;0,AS475&lt;&gt;""),IF(IFERROR((AQ475/AS475),0) &lt;=1,IFERROR(AQ475/AS475,""),1),""),"")</f>
        <v/>
      </c>
      <c r="AY475" s="46"/>
      <c r="AZ475" s="57"/>
    </row>
    <row r="476" spans="1:52" ht="15.5" x14ac:dyDescent="0.35">
      <c r="A476" s="51">
        <f t="shared" si="124"/>
        <v>1</v>
      </c>
      <c r="B476" s="52"/>
      <c r="C476" s="52"/>
      <c r="D476" s="29" t="str">
        <f>IFERROR(
IF(AND(OR(Planilla!B476="C",Planilla!B476="c"), VLOOKUP(E476,[1]Diccionario!B:N,13,0)="C"), "OK",IF(AND(OR(Planilla!B476="C",Planilla!B476="c"), OR(VLOOKUP(E476,[1]Diccionario!B:N,13,0)="B", VLOOKUP(E476,[1]Diccionario!B:N,13,0)="A")), "DEFICIT",IF(
AND(OR(Planilla!B476="B", Planilla!B476="BPAL"), VLOOKUP(E476,[1]Diccionario!B:N,13,0)="B"), "OK",IF(AND(OR(Planilla!B476="B", Planilla!B476="BPAL"), VLOOKUP(E476,[1]Diccionario!B:N,13,0)="A"), "DEFICIT",IF(AND(OR(Planilla!B476="B", Planilla!B476="BPAL"), VLOOKUP(E476,[1]Diccionario!B:N,13,0)="C"), "SOBREOFERTA",IF(AND(Planilla!B476="A", VLOOKUP(E476,[1]Diccionario!B:N,13,0)="A"), "OK",IF(
AND(Planilla!B476="A", OR(VLOOKUP(E476,[1]Diccionario!B:N,13,0)="B", VLOOKUP(E476,[1]Diccionario!B:N,13,0)="C")), "SOBREOFERTA",""
))))))),"")</f>
        <v/>
      </c>
      <c r="E476" s="48"/>
      <c r="F476" s="53"/>
      <c r="G476" s="54"/>
      <c r="H476" s="55" t="str">
        <f t="shared" si="117"/>
        <v/>
      </c>
      <c r="I476" s="35"/>
      <c r="J476" s="34" t="e">
        <f>IF(A476&lt;&gt;"",HLOOKUP(VALUE(TEXT(G476,"h:mm:ss")),IF($C$6="Laboral",[1]Input!$A$4:$Y$227,IF($C$6="Sábado",[1]Input!$A$231:$Y$452,[1]Input!$A$456:$Y$656)),VLOOKUP($C$4,[1]Input!$AG$2:$AI$99,3,0)+IF(C$5="Ida",0,1),1),"")</f>
        <v>#N/A</v>
      </c>
      <c r="K476" s="34" t="str">
        <f>IF(A477&lt;&gt;A476,AVERAGEIF(A$9:A476,A476,J$13:J476),"")</f>
        <v/>
      </c>
      <c r="L476" s="35" t="str">
        <f>IFERROR(IF(A477&lt;&gt;A476,AVERAGEIF(A$9:A476,A476,S$13:S476),""),"")</f>
        <v/>
      </c>
      <c r="M476" s="35" t="str">
        <f>IFERROR(IF(A477&lt;&gt;A476,AVERAGEIF(A$9:A476,A476,T$8:T476),""),"")</f>
        <v/>
      </c>
      <c r="N476" s="35" t="str" cm="1">
        <f t="array" ref="N476">IFERROR(IF(A477&lt;&gt;A476,_xlfn.STDEV.P(IF(A$9:A476=A476,T$7:T476)),""),"")</f>
        <v/>
      </c>
      <c r="O476" s="35" t="str" cm="1">
        <f t="array" ref="O476">IFERROR(IF(A477&lt;&gt;A476,_xlfn.STDEV.P(IF(A$9:A476=A476,S$7:S476)),""),"")</f>
        <v/>
      </c>
      <c r="P476" s="36" t="str">
        <f t="shared" si="110"/>
        <v/>
      </c>
      <c r="Q476" s="36" t="str">
        <f t="shared" si="111"/>
        <v/>
      </c>
      <c r="R476" s="36" t="str">
        <f t="shared" si="118"/>
        <v/>
      </c>
      <c r="S476" s="37" t="str">
        <f t="shared" si="119"/>
        <v/>
      </c>
      <c r="T476" s="37" t="str">
        <f t="shared" si="112"/>
        <v/>
      </c>
      <c r="U476" s="54"/>
      <c r="V476" s="46"/>
      <c r="W476" s="39" t="str">
        <f t="shared" si="120"/>
        <v/>
      </c>
      <c r="X476" s="38"/>
      <c r="Y476" s="48"/>
      <c r="AB476" s="56">
        <f t="shared" si="121"/>
        <v>1</v>
      </c>
      <c r="AC476" s="52"/>
      <c r="AD476" s="52"/>
      <c r="AE476" s="29" t="str">
        <f>IFERROR(
IF(AND(OR(AC476="C",AC476="c"), VLOOKUP(AF476,[1]Diccionario!B:N,13,0)="C"), "OK",IF(AND(OR(AC476="C",AC476="c"), OR(VLOOKUP(AF476,[1]Diccionario!B:N,13,0)="B", VLOOKUP(AF476,[1]Diccionario!B:N,13,0)="A")), "DEFICIT",IF(
AND(OR(AC476="B", AC476="BPAL"), VLOOKUP(AF476,[1]Diccionario!B:N,13,0)="B"), "OK",IF(AND(OR(AC476="B", AC476="BPAL"), VLOOKUP(AF476,[1]Diccionario!B:N,13,0)="A"), "DEFICIT",IF(AND(OR(AC476="B", AC476="BPAL"), VLOOKUP(AF476,[1]Diccionario!B:N,13,0)="C"), "SOBREOFERTA",IF(AND(AC476="A", VLOOKUP(AF476,[1]Diccionario!B:N,13,0)="A"), "OK",IF(
AND(AC476="A", OR(VLOOKUP(AF476,[1]Diccionario!B:N,13,0)="B", VLOOKUP(AF476,[1]Diccionario!B:N,13,0)="C")), "SOBREOFERTA",""
))))))),"")</f>
        <v/>
      </c>
      <c r="AF476" s="48"/>
      <c r="AG476" s="53"/>
      <c r="AH476" s="54"/>
      <c r="AI476" s="55" t="str">
        <f t="shared" si="122"/>
        <v/>
      </c>
      <c r="AJ476" s="46"/>
      <c r="AK476" s="34" t="e">
        <f>IF(AB476&lt;&gt;"",HLOOKUP(VALUE(TEXT(AH476,"h:mm:ss")),IF($C$6="Laboral",[1]Input!$A$4:$Y$227,IF($C$6="Sábado",[1]Input!$A$231:$Y$452,[1]Input!$A$456:$Y$656)),VLOOKUP($C$4,[1]Input!$AG$2:$AI$99,3,0)+IF(AD$5="Ida",0,1),1),"")</f>
        <v>#N/A</v>
      </c>
      <c r="AL476" s="34" t="str">
        <f>IF(AB477&lt;&gt;AB476,AVERAGEIF(AB$9:AB476,AB476,AK$9:AK476),"")</f>
        <v/>
      </c>
      <c r="AM476" s="35" t="str">
        <f>IFERROR(IF(AB477&lt;&gt;AB476,AVERAGEIF(AB$9:AB476,AB476,AT$9:AT476),""),"")</f>
        <v/>
      </c>
      <c r="AN476" s="35" t="str">
        <f>IFERROR(IF(AB477&lt;&gt;AB476,AVERAGEIF(AB$9:AB476,AB476,AU$9:AU476),""),"")</f>
        <v/>
      </c>
      <c r="AO476" s="35" t="str" cm="1">
        <f t="array" ref="AO476">IFERROR(IF(AB477&lt;&gt;AB476,_xlfn.STDEV.P(IF(AB$9:AB476=AB476,AU$9:AU476)),""),"")</f>
        <v/>
      </c>
      <c r="AP476" s="35" t="str" cm="1">
        <f t="array" ref="AP476">IFERROR(IF(AB477&lt;&gt;AB476,_xlfn.STDEV.P(IF(AB$9:AB476=AB476,AT$9:AT476)),""),"")</f>
        <v/>
      </c>
      <c r="AQ476" s="36" t="str">
        <f t="shared" si="113"/>
        <v/>
      </c>
      <c r="AR476" s="36" t="str">
        <f t="shared" si="114"/>
        <v/>
      </c>
      <c r="AS476" s="36" t="str">
        <f t="shared" si="123"/>
        <v/>
      </c>
      <c r="AT476" s="37" t="str">
        <f t="shared" si="115"/>
        <v/>
      </c>
      <c r="AU476" s="37" t="str">
        <f t="shared" si="116"/>
        <v/>
      </c>
      <c r="AV476" s="54"/>
      <c r="AW476" s="46"/>
      <c r="AX476" s="39" t="str" cm="1">
        <f t="array" ref="AX476">IF(AH476&lt;&gt;"",IF(AND(AX474:AX475&lt;&gt;"IE",AQ476&lt;&gt;0,AS476&lt;&gt;""),IF(IFERROR((AQ476/AS476),0) &lt;=1,IFERROR(AQ476/AS476,""),1),""),"")</f>
        <v/>
      </c>
      <c r="AY476" s="46"/>
      <c r="AZ476" s="57"/>
    </row>
    <row r="477" spans="1:52" ht="15.5" x14ac:dyDescent="0.35">
      <c r="A477" s="51">
        <f t="shared" si="124"/>
        <v>1</v>
      </c>
      <c r="B477" s="52"/>
      <c r="C477" s="52"/>
      <c r="D477" s="29" t="str">
        <f>IFERROR(
IF(AND(OR(Planilla!B477="C",Planilla!B477="c"), VLOOKUP(E477,[1]Diccionario!B:N,13,0)="C"), "OK",IF(AND(OR(Planilla!B477="C",Planilla!B477="c"), OR(VLOOKUP(E477,[1]Diccionario!B:N,13,0)="B", VLOOKUP(E477,[1]Diccionario!B:N,13,0)="A")), "DEFICIT",IF(
AND(OR(Planilla!B477="B", Planilla!B477="BPAL"), VLOOKUP(E477,[1]Diccionario!B:N,13,0)="B"), "OK",IF(AND(OR(Planilla!B477="B", Planilla!B477="BPAL"), VLOOKUP(E477,[1]Diccionario!B:N,13,0)="A"), "DEFICIT",IF(AND(OR(Planilla!B477="B", Planilla!B477="BPAL"), VLOOKUP(E477,[1]Diccionario!B:N,13,0)="C"), "SOBREOFERTA",IF(AND(Planilla!B477="A", VLOOKUP(E477,[1]Diccionario!B:N,13,0)="A"), "OK",IF(
AND(Planilla!B477="A", OR(VLOOKUP(E477,[1]Diccionario!B:N,13,0)="B", VLOOKUP(E477,[1]Diccionario!B:N,13,0)="C")), "SOBREOFERTA",""
))))))),"")</f>
        <v/>
      </c>
      <c r="E477" s="48"/>
      <c r="F477" s="53"/>
      <c r="G477" s="54"/>
      <c r="H477" s="55" t="str">
        <f t="shared" si="117"/>
        <v/>
      </c>
      <c r="I477" s="35"/>
      <c r="J477" s="34" t="e">
        <f>IF(A477&lt;&gt;"",HLOOKUP(VALUE(TEXT(G477,"h:mm:ss")),IF($C$6="Laboral",[1]Input!$A$4:$Y$227,IF($C$6="Sábado",[1]Input!$A$231:$Y$452,[1]Input!$A$456:$Y$656)),VLOOKUP($C$4,[1]Input!$AG$2:$AI$99,3,0)+IF(C$5="Ida",0,1),1),"")</f>
        <v>#N/A</v>
      </c>
      <c r="K477" s="34" t="str">
        <f>IF(A478&lt;&gt;A477,AVERAGEIF(A$9:A477,A477,J$13:J477),"")</f>
        <v/>
      </c>
      <c r="L477" s="35" t="str">
        <f>IFERROR(IF(A478&lt;&gt;A477,AVERAGEIF(A$9:A477,A477,S$13:S477),""),"")</f>
        <v/>
      </c>
      <c r="M477" s="35" t="str">
        <f>IFERROR(IF(A478&lt;&gt;A477,AVERAGEIF(A$9:A477,A477,T$8:T477),""),"")</f>
        <v/>
      </c>
      <c r="N477" s="35" t="str" cm="1">
        <f t="array" ref="N477">IFERROR(IF(A478&lt;&gt;A477,_xlfn.STDEV.P(IF(A$9:A477=A477,T$7:T477)),""),"")</f>
        <v/>
      </c>
      <c r="O477" s="35" t="str" cm="1">
        <f t="array" ref="O477">IFERROR(IF(A478&lt;&gt;A477,_xlfn.STDEV.P(IF(A$9:A477=A477,S$7:S477)),""),"")</f>
        <v/>
      </c>
      <c r="P477" s="36" t="str">
        <f t="shared" si="110"/>
        <v/>
      </c>
      <c r="Q477" s="36" t="str">
        <f t="shared" si="111"/>
        <v/>
      </c>
      <c r="R477" s="36" t="str">
        <f t="shared" si="118"/>
        <v/>
      </c>
      <c r="S477" s="37" t="str">
        <f t="shared" si="119"/>
        <v/>
      </c>
      <c r="T477" s="37" t="str">
        <f t="shared" si="112"/>
        <v/>
      </c>
      <c r="U477" s="54"/>
      <c r="V477" s="46"/>
      <c r="W477" s="39" t="str">
        <f t="shared" si="120"/>
        <v/>
      </c>
      <c r="X477" s="38"/>
      <c r="Y477" s="48"/>
      <c r="AB477" s="56">
        <f t="shared" si="121"/>
        <v>1</v>
      </c>
      <c r="AC477" s="52"/>
      <c r="AD477" s="52"/>
      <c r="AE477" s="29" t="str">
        <f>IFERROR(
IF(AND(OR(AC477="C",AC477="c"), VLOOKUP(AF477,[1]Diccionario!B:N,13,0)="C"), "OK",IF(AND(OR(AC477="C",AC477="c"), OR(VLOOKUP(AF477,[1]Diccionario!B:N,13,0)="B", VLOOKUP(AF477,[1]Diccionario!B:N,13,0)="A")), "DEFICIT",IF(
AND(OR(AC477="B", AC477="BPAL"), VLOOKUP(AF477,[1]Diccionario!B:N,13,0)="B"), "OK",IF(AND(OR(AC477="B", AC477="BPAL"), VLOOKUP(AF477,[1]Diccionario!B:N,13,0)="A"), "DEFICIT",IF(AND(OR(AC477="B", AC477="BPAL"), VLOOKUP(AF477,[1]Diccionario!B:N,13,0)="C"), "SOBREOFERTA",IF(AND(AC477="A", VLOOKUP(AF477,[1]Diccionario!B:N,13,0)="A"), "OK",IF(
AND(AC477="A", OR(VLOOKUP(AF477,[1]Diccionario!B:N,13,0)="B", VLOOKUP(AF477,[1]Diccionario!B:N,13,0)="C")), "SOBREOFERTA",""
))))))),"")</f>
        <v/>
      </c>
      <c r="AF477" s="48"/>
      <c r="AG477" s="53"/>
      <c r="AH477" s="54"/>
      <c r="AI477" s="55" t="str">
        <f t="shared" si="122"/>
        <v/>
      </c>
      <c r="AJ477" s="46"/>
      <c r="AK477" s="34" t="e">
        <f>IF(AB477&lt;&gt;"",HLOOKUP(VALUE(TEXT(AH477,"h:mm:ss")),IF($C$6="Laboral",[1]Input!$A$4:$Y$227,IF($C$6="Sábado",[1]Input!$A$231:$Y$452,[1]Input!$A$456:$Y$656)),VLOOKUP($C$4,[1]Input!$AG$2:$AI$99,3,0)+IF(AD$5="Ida",0,1),1),"")</f>
        <v>#N/A</v>
      </c>
      <c r="AL477" s="34" t="str">
        <f>IF(AB478&lt;&gt;AB477,AVERAGEIF(AB$9:AB477,AB477,AK$9:AK477),"")</f>
        <v/>
      </c>
      <c r="AM477" s="35" t="str">
        <f>IFERROR(IF(AB478&lt;&gt;AB477,AVERAGEIF(AB$9:AB477,AB477,AT$9:AT477),""),"")</f>
        <v/>
      </c>
      <c r="AN477" s="35" t="str">
        <f>IFERROR(IF(AB478&lt;&gt;AB477,AVERAGEIF(AB$9:AB477,AB477,AU$9:AU477),""),"")</f>
        <v/>
      </c>
      <c r="AO477" s="35" t="str" cm="1">
        <f t="array" ref="AO477">IFERROR(IF(AB478&lt;&gt;AB477,_xlfn.STDEV.P(IF(AB$9:AB477=AB477,AU$9:AU477)),""),"")</f>
        <v/>
      </c>
      <c r="AP477" s="35" t="str" cm="1">
        <f t="array" ref="AP477">IFERROR(IF(AB478&lt;&gt;AB477,_xlfn.STDEV.P(IF(AB$9:AB477=AB477,AT$9:AT477)),""),"")</f>
        <v/>
      </c>
      <c r="AQ477" s="36" t="str">
        <f t="shared" si="113"/>
        <v/>
      </c>
      <c r="AR477" s="36" t="str">
        <f t="shared" si="114"/>
        <v/>
      </c>
      <c r="AS477" s="36" t="str">
        <f t="shared" si="123"/>
        <v/>
      </c>
      <c r="AT477" s="37" t="str">
        <f t="shared" si="115"/>
        <v/>
      </c>
      <c r="AU477" s="37" t="str">
        <f t="shared" si="116"/>
        <v/>
      </c>
      <c r="AV477" s="54"/>
      <c r="AW477" s="46"/>
      <c r="AX477" s="39" t="str" cm="1">
        <f t="array" ref="AX477">IF(AH477&lt;&gt;"",IF(AND(AX475:AX476&lt;&gt;"IE",AQ477&lt;&gt;0,AS477&lt;&gt;""),IF(IFERROR((AQ477/AS477),0) &lt;=1,IFERROR(AQ477/AS477,""),1),""),"")</f>
        <v/>
      </c>
      <c r="AY477" s="46"/>
      <c r="AZ477" s="57"/>
    </row>
    <row r="478" spans="1:52" ht="15.5" x14ac:dyDescent="0.35">
      <c r="A478" s="51">
        <f t="shared" si="124"/>
        <v>1</v>
      </c>
      <c r="B478" s="52"/>
      <c r="C478" s="52"/>
      <c r="D478" s="29" t="str">
        <f>IFERROR(
IF(AND(OR(Planilla!B478="C",Planilla!B478="c"), VLOOKUP(E478,[1]Diccionario!B:N,13,0)="C"), "OK",IF(AND(OR(Planilla!B478="C",Planilla!B478="c"), OR(VLOOKUP(E478,[1]Diccionario!B:N,13,0)="B", VLOOKUP(E478,[1]Diccionario!B:N,13,0)="A")), "DEFICIT",IF(
AND(OR(Planilla!B478="B", Planilla!B478="BPAL"), VLOOKUP(E478,[1]Diccionario!B:N,13,0)="B"), "OK",IF(AND(OR(Planilla!B478="B", Planilla!B478="BPAL"), VLOOKUP(E478,[1]Diccionario!B:N,13,0)="A"), "DEFICIT",IF(AND(OR(Planilla!B478="B", Planilla!B478="BPAL"), VLOOKUP(E478,[1]Diccionario!B:N,13,0)="C"), "SOBREOFERTA",IF(AND(Planilla!B478="A", VLOOKUP(E478,[1]Diccionario!B:N,13,0)="A"), "OK",IF(
AND(Planilla!B478="A", OR(VLOOKUP(E478,[1]Diccionario!B:N,13,0)="B", VLOOKUP(E478,[1]Diccionario!B:N,13,0)="C")), "SOBREOFERTA",""
))))))),"")</f>
        <v/>
      </c>
      <c r="E478" s="48"/>
      <c r="F478" s="53"/>
      <c r="G478" s="54"/>
      <c r="H478" s="55" t="str">
        <f t="shared" si="117"/>
        <v/>
      </c>
      <c r="I478" s="35"/>
      <c r="J478" s="34" t="e">
        <f>IF(A478&lt;&gt;"",HLOOKUP(VALUE(TEXT(G478,"h:mm:ss")),IF($C$6="Laboral",[1]Input!$A$4:$Y$227,IF($C$6="Sábado",[1]Input!$A$231:$Y$452,[1]Input!$A$456:$Y$656)),VLOOKUP($C$4,[1]Input!$AG$2:$AI$99,3,0)+IF(C$5="Ida",0,1),1),"")</f>
        <v>#N/A</v>
      </c>
      <c r="K478" s="34" t="str">
        <f>IF(A479&lt;&gt;A478,AVERAGEIF(A$9:A478,A478,J$13:J478),"")</f>
        <v/>
      </c>
      <c r="L478" s="35" t="str">
        <f>IFERROR(IF(A479&lt;&gt;A478,AVERAGEIF(A$9:A478,A478,S$13:S478),""),"")</f>
        <v/>
      </c>
      <c r="M478" s="35" t="str">
        <f>IFERROR(IF(A479&lt;&gt;A478,AVERAGEIF(A$9:A478,A478,T$8:T478),""),"")</f>
        <v/>
      </c>
      <c r="N478" s="35" t="str" cm="1">
        <f t="array" ref="N478">IFERROR(IF(A479&lt;&gt;A478,_xlfn.STDEV.P(IF(A$9:A478=A478,T$7:T478)),""),"")</f>
        <v/>
      </c>
      <c r="O478" s="35" t="str" cm="1">
        <f t="array" ref="O478">IFERROR(IF(A479&lt;&gt;A478,_xlfn.STDEV.P(IF(A$9:A478=A478,S$7:S478)),""),"")</f>
        <v/>
      </c>
      <c r="P478" s="36" t="str">
        <f t="shared" si="110"/>
        <v/>
      </c>
      <c r="Q478" s="36" t="str">
        <f t="shared" si="111"/>
        <v/>
      </c>
      <c r="R478" s="36" t="str">
        <f t="shared" si="118"/>
        <v/>
      </c>
      <c r="S478" s="37" t="str">
        <f t="shared" si="119"/>
        <v/>
      </c>
      <c r="T478" s="37" t="str">
        <f t="shared" si="112"/>
        <v/>
      </c>
      <c r="U478" s="54"/>
      <c r="V478" s="46"/>
      <c r="W478" s="39" t="str">
        <f t="shared" si="120"/>
        <v/>
      </c>
      <c r="X478" s="38"/>
      <c r="Y478" s="48"/>
      <c r="AB478" s="56">
        <f t="shared" si="121"/>
        <v>1</v>
      </c>
      <c r="AC478" s="52"/>
      <c r="AD478" s="52"/>
      <c r="AE478" s="29" t="str">
        <f>IFERROR(
IF(AND(OR(AC478="C",AC478="c"), VLOOKUP(AF478,[1]Diccionario!B:N,13,0)="C"), "OK",IF(AND(OR(AC478="C",AC478="c"), OR(VLOOKUP(AF478,[1]Diccionario!B:N,13,0)="B", VLOOKUP(AF478,[1]Diccionario!B:N,13,0)="A")), "DEFICIT",IF(
AND(OR(AC478="B", AC478="BPAL"), VLOOKUP(AF478,[1]Diccionario!B:N,13,0)="B"), "OK",IF(AND(OR(AC478="B", AC478="BPAL"), VLOOKUP(AF478,[1]Diccionario!B:N,13,0)="A"), "DEFICIT",IF(AND(OR(AC478="B", AC478="BPAL"), VLOOKUP(AF478,[1]Diccionario!B:N,13,0)="C"), "SOBREOFERTA",IF(AND(AC478="A", VLOOKUP(AF478,[1]Diccionario!B:N,13,0)="A"), "OK",IF(
AND(AC478="A", OR(VLOOKUP(AF478,[1]Diccionario!B:N,13,0)="B", VLOOKUP(AF478,[1]Diccionario!B:N,13,0)="C")), "SOBREOFERTA",""
))))))),"")</f>
        <v/>
      </c>
      <c r="AF478" s="48"/>
      <c r="AG478" s="53"/>
      <c r="AH478" s="54"/>
      <c r="AI478" s="55" t="str">
        <f t="shared" si="122"/>
        <v/>
      </c>
      <c r="AJ478" s="46"/>
      <c r="AK478" s="34" t="e">
        <f>IF(AB478&lt;&gt;"",HLOOKUP(VALUE(TEXT(AH478,"h:mm:ss")),IF($C$6="Laboral",[1]Input!$A$4:$Y$227,IF($C$6="Sábado",[1]Input!$A$231:$Y$452,[1]Input!$A$456:$Y$656)),VLOOKUP($C$4,[1]Input!$AG$2:$AI$99,3,0)+IF(AD$5="Ida",0,1),1),"")</f>
        <v>#N/A</v>
      </c>
      <c r="AL478" s="34" t="str">
        <f>IF(AB479&lt;&gt;AB478,AVERAGEIF(AB$9:AB478,AB478,AK$9:AK478),"")</f>
        <v/>
      </c>
      <c r="AM478" s="35" t="str">
        <f>IFERROR(IF(AB479&lt;&gt;AB478,AVERAGEIF(AB$9:AB478,AB478,AT$9:AT478),""),"")</f>
        <v/>
      </c>
      <c r="AN478" s="35" t="str">
        <f>IFERROR(IF(AB479&lt;&gt;AB478,AVERAGEIF(AB$9:AB478,AB478,AU$9:AU478),""),"")</f>
        <v/>
      </c>
      <c r="AO478" s="35" t="str" cm="1">
        <f t="array" ref="AO478">IFERROR(IF(AB479&lt;&gt;AB478,_xlfn.STDEV.P(IF(AB$9:AB478=AB478,AU$9:AU478)),""),"")</f>
        <v/>
      </c>
      <c r="AP478" s="35" t="str" cm="1">
        <f t="array" ref="AP478">IFERROR(IF(AB479&lt;&gt;AB478,_xlfn.STDEV.P(IF(AB$9:AB478=AB478,AT$9:AT478)),""),"")</f>
        <v/>
      </c>
      <c r="AQ478" s="36" t="str">
        <f t="shared" si="113"/>
        <v/>
      </c>
      <c r="AR478" s="36" t="str">
        <f t="shared" si="114"/>
        <v/>
      </c>
      <c r="AS478" s="36" t="str">
        <f t="shared" si="123"/>
        <v/>
      </c>
      <c r="AT478" s="37" t="str">
        <f t="shared" si="115"/>
        <v/>
      </c>
      <c r="AU478" s="37" t="str">
        <f t="shared" si="116"/>
        <v/>
      </c>
      <c r="AV478" s="54"/>
      <c r="AW478" s="46"/>
      <c r="AX478" s="39" t="str" cm="1">
        <f t="array" ref="AX478">IF(AH478&lt;&gt;"",IF(AND(AX476:AX477&lt;&gt;"IE",AQ478&lt;&gt;0,AS478&lt;&gt;""),IF(IFERROR((AQ478/AS478),0) &lt;=1,IFERROR(AQ478/AS478,""),1),""),"")</f>
        <v/>
      </c>
      <c r="AY478" s="46"/>
      <c r="AZ478" s="57"/>
    </row>
    <row r="479" spans="1:52" ht="15.5" x14ac:dyDescent="0.35">
      <c r="A479" s="51">
        <f t="shared" si="124"/>
        <v>1</v>
      </c>
      <c r="B479" s="52"/>
      <c r="C479" s="52"/>
      <c r="D479" s="29" t="str">
        <f>IFERROR(
IF(AND(OR(Planilla!B479="C",Planilla!B479="c"), VLOOKUP(E479,[1]Diccionario!B:N,13,0)="C"), "OK",IF(AND(OR(Planilla!B479="C",Planilla!B479="c"), OR(VLOOKUP(E479,[1]Diccionario!B:N,13,0)="B", VLOOKUP(E479,[1]Diccionario!B:N,13,0)="A")), "DEFICIT",IF(
AND(OR(Planilla!B479="B", Planilla!B479="BPAL"), VLOOKUP(E479,[1]Diccionario!B:N,13,0)="B"), "OK",IF(AND(OR(Planilla!B479="B", Planilla!B479="BPAL"), VLOOKUP(E479,[1]Diccionario!B:N,13,0)="A"), "DEFICIT",IF(AND(OR(Planilla!B479="B", Planilla!B479="BPAL"), VLOOKUP(E479,[1]Diccionario!B:N,13,0)="C"), "SOBREOFERTA",IF(AND(Planilla!B479="A", VLOOKUP(E479,[1]Diccionario!B:N,13,0)="A"), "OK",IF(
AND(Planilla!B479="A", OR(VLOOKUP(E479,[1]Diccionario!B:N,13,0)="B", VLOOKUP(E479,[1]Diccionario!B:N,13,0)="C")), "SOBREOFERTA",""
))))))),"")</f>
        <v/>
      </c>
      <c r="E479" s="48"/>
      <c r="F479" s="53"/>
      <c r="G479" s="54"/>
      <c r="H479" s="55" t="str">
        <f t="shared" si="117"/>
        <v/>
      </c>
      <c r="I479" s="35"/>
      <c r="J479" s="34" t="e">
        <f>IF(A479&lt;&gt;"",HLOOKUP(VALUE(TEXT(G479,"h:mm:ss")),IF($C$6="Laboral",[1]Input!$A$4:$Y$227,IF($C$6="Sábado",[1]Input!$A$231:$Y$452,[1]Input!$A$456:$Y$656)),VLOOKUP($C$4,[1]Input!$AG$2:$AI$99,3,0)+IF(C$5="Ida",0,1),1),"")</f>
        <v>#N/A</v>
      </c>
      <c r="K479" s="34" t="str">
        <f>IF(A480&lt;&gt;A479,AVERAGEIF(A$9:A479,A479,J$13:J479),"")</f>
        <v/>
      </c>
      <c r="L479" s="35" t="str">
        <f>IFERROR(IF(A480&lt;&gt;A479,AVERAGEIF(A$9:A479,A479,S$13:S479),""),"")</f>
        <v/>
      </c>
      <c r="M479" s="35" t="str">
        <f>IFERROR(IF(A480&lt;&gt;A479,AVERAGEIF(A$9:A479,A479,T$8:T479),""),"")</f>
        <v/>
      </c>
      <c r="N479" s="35" t="str" cm="1">
        <f t="array" ref="N479">IFERROR(IF(A480&lt;&gt;A479,_xlfn.STDEV.P(IF(A$9:A479=A479,T$7:T479)),""),"")</f>
        <v/>
      </c>
      <c r="O479" s="35" t="str" cm="1">
        <f t="array" ref="O479">IFERROR(IF(A480&lt;&gt;A479,_xlfn.STDEV.P(IF(A$9:A479=A479,S$7:S479)),""),"")</f>
        <v/>
      </c>
      <c r="P479" s="36" t="str">
        <f t="shared" si="110"/>
        <v/>
      </c>
      <c r="Q479" s="36" t="str">
        <f t="shared" si="111"/>
        <v/>
      </c>
      <c r="R479" s="36" t="str">
        <f t="shared" si="118"/>
        <v/>
      </c>
      <c r="S479" s="37" t="str">
        <f t="shared" si="119"/>
        <v/>
      </c>
      <c r="T479" s="37" t="str">
        <f t="shared" si="112"/>
        <v/>
      </c>
      <c r="U479" s="54"/>
      <c r="V479" s="46"/>
      <c r="W479" s="39" t="str">
        <f t="shared" si="120"/>
        <v/>
      </c>
      <c r="X479" s="38"/>
      <c r="Y479" s="48"/>
      <c r="AB479" s="56">
        <f t="shared" si="121"/>
        <v>1</v>
      </c>
      <c r="AC479" s="52"/>
      <c r="AD479" s="52"/>
      <c r="AE479" s="29" t="str">
        <f>IFERROR(
IF(AND(OR(AC479="C",AC479="c"), VLOOKUP(AF479,[1]Diccionario!B:N,13,0)="C"), "OK",IF(AND(OR(AC479="C",AC479="c"), OR(VLOOKUP(AF479,[1]Diccionario!B:N,13,0)="B", VLOOKUP(AF479,[1]Diccionario!B:N,13,0)="A")), "DEFICIT",IF(
AND(OR(AC479="B", AC479="BPAL"), VLOOKUP(AF479,[1]Diccionario!B:N,13,0)="B"), "OK",IF(AND(OR(AC479="B", AC479="BPAL"), VLOOKUP(AF479,[1]Diccionario!B:N,13,0)="A"), "DEFICIT",IF(AND(OR(AC479="B", AC479="BPAL"), VLOOKUP(AF479,[1]Diccionario!B:N,13,0)="C"), "SOBREOFERTA",IF(AND(AC479="A", VLOOKUP(AF479,[1]Diccionario!B:N,13,0)="A"), "OK",IF(
AND(AC479="A", OR(VLOOKUP(AF479,[1]Diccionario!B:N,13,0)="B", VLOOKUP(AF479,[1]Diccionario!B:N,13,0)="C")), "SOBREOFERTA",""
))))))),"")</f>
        <v/>
      </c>
      <c r="AF479" s="48"/>
      <c r="AG479" s="53"/>
      <c r="AH479" s="54"/>
      <c r="AI479" s="55" t="str">
        <f t="shared" si="122"/>
        <v/>
      </c>
      <c r="AJ479" s="46"/>
      <c r="AK479" s="34" t="e">
        <f>IF(AB479&lt;&gt;"",HLOOKUP(VALUE(TEXT(AH479,"h:mm:ss")),IF($C$6="Laboral",[1]Input!$A$4:$Y$227,IF($C$6="Sábado",[1]Input!$A$231:$Y$452,[1]Input!$A$456:$Y$656)),VLOOKUP($C$4,[1]Input!$AG$2:$AI$99,3,0)+IF(AD$5="Ida",0,1),1),"")</f>
        <v>#N/A</v>
      </c>
      <c r="AL479" s="34" t="str">
        <f>IF(AB480&lt;&gt;AB479,AVERAGEIF(AB$9:AB479,AB479,AK$9:AK479),"")</f>
        <v/>
      </c>
      <c r="AM479" s="35" t="str">
        <f>IFERROR(IF(AB480&lt;&gt;AB479,AVERAGEIF(AB$9:AB479,AB479,AT$9:AT479),""),"")</f>
        <v/>
      </c>
      <c r="AN479" s="35" t="str">
        <f>IFERROR(IF(AB480&lt;&gt;AB479,AVERAGEIF(AB$9:AB479,AB479,AU$9:AU479),""),"")</f>
        <v/>
      </c>
      <c r="AO479" s="35" t="str" cm="1">
        <f t="array" ref="AO479">IFERROR(IF(AB480&lt;&gt;AB479,_xlfn.STDEV.P(IF(AB$9:AB479=AB479,AU$9:AU479)),""),"")</f>
        <v/>
      </c>
      <c r="AP479" s="35" t="str" cm="1">
        <f t="array" ref="AP479">IFERROR(IF(AB480&lt;&gt;AB479,_xlfn.STDEV.P(IF(AB$9:AB479=AB479,AT$9:AT479)),""),"")</f>
        <v/>
      </c>
      <c r="AQ479" s="36" t="str">
        <f t="shared" si="113"/>
        <v/>
      </c>
      <c r="AR479" s="36" t="str">
        <f t="shared" si="114"/>
        <v/>
      </c>
      <c r="AS479" s="36" t="str">
        <f t="shared" si="123"/>
        <v/>
      </c>
      <c r="AT479" s="37" t="str">
        <f t="shared" si="115"/>
        <v/>
      </c>
      <c r="AU479" s="37" t="str">
        <f t="shared" si="116"/>
        <v/>
      </c>
      <c r="AV479" s="54"/>
      <c r="AW479" s="46"/>
      <c r="AX479" s="39" t="str" cm="1">
        <f t="array" ref="AX479">IF(AH479&lt;&gt;"",IF(AND(AX477:AX478&lt;&gt;"IE",AQ479&lt;&gt;0,AS479&lt;&gt;""),IF(IFERROR((AQ479/AS479),0) &lt;=1,IFERROR(AQ479/AS479,""),1),""),"")</f>
        <v/>
      </c>
      <c r="AY479" s="46"/>
      <c r="AZ479" s="57"/>
    </row>
    <row r="480" spans="1:52" ht="15.5" x14ac:dyDescent="0.35">
      <c r="A480" s="51">
        <f t="shared" si="124"/>
        <v>1</v>
      </c>
      <c r="B480" s="52"/>
      <c r="C480" s="52"/>
      <c r="D480" s="29" t="str">
        <f>IFERROR(
IF(AND(OR(Planilla!B480="C",Planilla!B480="c"), VLOOKUP(E480,[1]Diccionario!B:N,13,0)="C"), "OK",IF(AND(OR(Planilla!B480="C",Planilla!B480="c"), OR(VLOOKUP(E480,[1]Diccionario!B:N,13,0)="B", VLOOKUP(E480,[1]Diccionario!B:N,13,0)="A")), "DEFICIT",IF(
AND(OR(Planilla!B480="B", Planilla!B480="BPAL"), VLOOKUP(E480,[1]Diccionario!B:N,13,0)="B"), "OK",IF(AND(OR(Planilla!B480="B", Planilla!B480="BPAL"), VLOOKUP(E480,[1]Diccionario!B:N,13,0)="A"), "DEFICIT",IF(AND(OR(Planilla!B480="B", Planilla!B480="BPAL"), VLOOKUP(E480,[1]Diccionario!B:N,13,0)="C"), "SOBREOFERTA",IF(AND(Planilla!B480="A", VLOOKUP(E480,[1]Diccionario!B:N,13,0)="A"), "OK",IF(
AND(Planilla!B480="A", OR(VLOOKUP(E480,[1]Diccionario!B:N,13,0)="B", VLOOKUP(E480,[1]Diccionario!B:N,13,0)="C")), "SOBREOFERTA",""
))))))),"")</f>
        <v/>
      </c>
      <c r="E480" s="48"/>
      <c r="F480" s="53"/>
      <c r="G480" s="54"/>
      <c r="H480" s="55" t="str">
        <f t="shared" si="117"/>
        <v/>
      </c>
      <c r="I480" s="35"/>
      <c r="J480" s="34" t="e">
        <f>IF(A480&lt;&gt;"",HLOOKUP(VALUE(TEXT(G480,"h:mm:ss")),IF($C$6="Laboral",[1]Input!$A$4:$Y$227,IF($C$6="Sábado",[1]Input!$A$231:$Y$452,[1]Input!$A$456:$Y$656)),VLOOKUP($C$4,[1]Input!$AG$2:$AI$99,3,0)+IF(C$5="Ida",0,1),1),"")</f>
        <v>#N/A</v>
      </c>
      <c r="K480" s="34" t="str">
        <f>IF(A481&lt;&gt;A480,AVERAGEIF(A$9:A480,A480,J$13:J480),"")</f>
        <v/>
      </c>
      <c r="L480" s="35" t="str">
        <f>IFERROR(IF(A481&lt;&gt;A480,AVERAGEIF(A$9:A480,A480,S$13:S480),""),"")</f>
        <v/>
      </c>
      <c r="M480" s="35" t="str">
        <f>IFERROR(IF(A481&lt;&gt;A480,AVERAGEIF(A$9:A480,A480,T$8:T480),""),"")</f>
        <v/>
      </c>
      <c r="N480" s="35" t="str" cm="1">
        <f t="array" ref="N480">IFERROR(IF(A481&lt;&gt;A480,_xlfn.STDEV.P(IF(A$9:A480=A480,T$7:T480)),""),"")</f>
        <v/>
      </c>
      <c r="O480" s="35" t="str" cm="1">
        <f t="array" ref="O480">IFERROR(IF(A481&lt;&gt;A480,_xlfn.STDEV.P(IF(A$9:A480=A480,S$7:S480)),""),"")</f>
        <v/>
      </c>
      <c r="P480" s="36" t="str">
        <f t="shared" si="110"/>
        <v/>
      </c>
      <c r="Q480" s="36" t="str">
        <f t="shared" si="111"/>
        <v/>
      </c>
      <c r="R480" s="36" t="str">
        <f t="shared" si="118"/>
        <v/>
      </c>
      <c r="S480" s="37" t="str">
        <f t="shared" si="119"/>
        <v/>
      </c>
      <c r="T480" s="37" t="str">
        <f t="shared" si="112"/>
        <v/>
      </c>
      <c r="U480" s="54"/>
      <c r="V480" s="46"/>
      <c r="W480" s="39" t="str">
        <f t="shared" si="120"/>
        <v/>
      </c>
      <c r="X480" s="38"/>
      <c r="Y480" s="48"/>
      <c r="AB480" s="56">
        <f t="shared" si="121"/>
        <v>1</v>
      </c>
      <c r="AC480" s="52"/>
      <c r="AD480" s="52"/>
      <c r="AE480" s="29" t="str">
        <f>IFERROR(
IF(AND(OR(AC480="C",AC480="c"), VLOOKUP(AF480,[1]Diccionario!B:N,13,0)="C"), "OK",IF(AND(OR(AC480="C",AC480="c"), OR(VLOOKUP(AF480,[1]Diccionario!B:N,13,0)="B", VLOOKUP(AF480,[1]Diccionario!B:N,13,0)="A")), "DEFICIT",IF(
AND(OR(AC480="B", AC480="BPAL"), VLOOKUP(AF480,[1]Diccionario!B:N,13,0)="B"), "OK",IF(AND(OR(AC480="B", AC480="BPAL"), VLOOKUP(AF480,[1]Diccionario!B:N,13,0)="A"), "DEFICIT",IF(AND(OR(AC480="B", AC480="BPAL"), VLOOKUP(AF480,[1]Diccionario!B:N,13,0)="C"), "SOBREOFERTA",IF(AND(AC480="A", VLOOKUP(AF480,[1]Diccionario!B:N,13,0)="A"), "OK",IF(
AND(AC480="A", OR(VLOOKUP(AF480,[1]Diccionario!B:N,13,0)="B", VLOOKUP(AF480,[1]Diccionario!B:N,13,0)="C")), "SOBREOFERTA",""
))))))),"")</f>
        <v/>
      </c>
      <c r="AF480" s="48"/>
      <c r="AG480" s="53"/>
      <c r="AH480" s="54"/>
      <c r="AI480" s="55" t="str">
        <f t="shared" si="122"/>
        <v/>
      </c>
      <c r="AJ480" s="46"/>
      <c r="AK480" s="34" t="e">
        <f>IF(AB480&lt;&gt;"",HLOOKUP(VALUE(TEXT(AH480,"h:mm:ss")),IF($C$6="Laboral",[1]Input!$A$4:$Y$227,IF($C$6="Sábado",[1]Input!$A$231:$Y$452,[1]Input!$A$456:$Y$656)),VLOOKUP($C$4,[1]Input!$AG$2:$AI$99,3,0)+IF(AD$5="Ida",0,1),1),"")</f>
        <v>#N/A</v>
      </c>
      <c r="AL480" s="34" t="str">
        <f>IF(AB481&lt;&gt;AB480,AVERAGEIF(AB$9:AB480,AB480,AK$9:AK480),"")</f>
        <v/>
      </c>
      <c r="AM480" s="35" t="str">
        <f>IFERROR(IF(AB481&lt;&gt;AB480,AVERAGEIF(AB$9:AB480,AB480,AT$9:AT480),""),"")</f>
        <v/>
      </c>
      <c r="AN480" s="35" t="str">
        <f>IFERROR(IF(AB481&lt;&gt;AB480,AVERAGEIF(AB$9:AB480,AB480,AU$9:AU480),""),"")</f>
        <v/>
      </c>
      <c r="AO480" s="35" t="str" cm="1">
        <f t="array" ref="AO480">IFERROR(IF(AB481&lt;&gt;AB480,_xlfn.STDEV.P(IF(AB$9:AB480=AB480,AU$9:AU480)),""),"")</f>
        <v/>
      </c>
      <c r="AP480" s="35" t="str" cm="1">
        <f t="array" ref="AP480">IFERROR(IF(AB481&lt;&gt;AB480,_xlfn.STDEV.P(IF(AB$9:AB480=AB480,AT$9:AT480)),""),"")</f>
        <v/>
      </c>
      <c r="AQ480" s="36" t="str">
        <f t="shared" si="113"/>
        <v/>
      </c>
      <c r="AR480" s="36" t="str">
        <f t="shared" si="114"/>
        <v/>
      </c>
      <c r="AS480" s="36" t="str">
        <f t="shared" si="123"/>
        <v/>
      </c>
      <c r="AT480" s="37" t="str">
        <f t="shared" si="115"/>
        <v/>
      </c>
      <c r="AU480" s="37" t="str">
        <f t="shared" si="116"/>
        <v/>
      </c>
      <c r="AV480" s="54"/>
      <c r="AW480" s="46"/>
      <c r="AX480" s="39" t="str" cm="1">
        <f t="array" ref="AX480">IF(AH480&lt;&gt;"",IF(AND(AX478:AX479&lt;&gt;"IE",AQ480&lt;&gt;0,AS480&lt;&gt;""),IF(IFERROR((AQ480/AS480),0) &lt;=1,IFERROR(AQ480/AS480,""),1),""),"")</f>
        <v/>
      </c>
      <c r="AY480" s="46"/>
      <c r="AZ480" s="57"/>
    </row>
    <row r="481" spans="1:52" ht="15.5" x14ac:dyDescent="0.35">
      <c r="A481" s="51">
        <f t="shared" si="124"/>
        <v>1</v>
      </c>
      <c r="B481" s="52"/>
      <c r="C481" s="52"/>
      <c r="D481" s="29" t="str">
        <f>IFERROR(
IF(AND(OR(Planilla!B481="C",Planilla!B481="c"), VLOOKUP(E481,[1]Diccionario!B:N,13,0)="C"), "OK",IF(AND(OR(Planilla!B481="C",Planilla!B481="c"), OR(VLOOKUP(E481,[1]Diccionario!B:N,13,0)="B", VLOOKUP(E481,[1]Diccionario!B:N,13,0)="A")), "DEFICIT",IF(
AND(OR(Planilla!B481="B", Planilla!B481="BPAL"), VLOOKUP(E481,[1]Diccionario!B:N,13,0)="B"), "OK",IF(AND(OR(Planilla!B481="B", Planilla!B481="BPAL"), VLOOKUP(E481,[1]Diccionario!B:N,13,0)="A"), "DEFICIT",IF(AND(OR(Planilla!B481="B", Planilla!B481="BPAL"), VLOOKUP(E481,[1]Diccionario!B:N,13,0)="C"), "SOBREOFERTA",IF(AND(Planilla!B481="A", VLOOKUP(E481,[1]Diccionario!B:N,13,0)="A"), "OK",IF(
AND(Planilla!B481="A", OR(VLOOKUP(E481,[1]Diccionario!B:N,13,0)="B", VLOOKUP(E481,[1]Diccionario!B:N,13,0)="C")), "SOBREOFERTA",""
))))))),"")</f>
        <v/>
      </c>
      <c r="E481" s="48"/>
      <c r="F481" s="53"/>
      <c r="G481" s="54"/>
      <c r="H481" s="55" t="str">
        <f t="shared" si="117"/>
        <v/>
      </c>
      <c r="I481" s="35"/>
      <c r="J481" s="34" t="e">
        <f>IF(A481&lt;&gt;"",HLOOKUP(VALUE(TEXT(G481,"h:mm:ss")),IF($C$6="Laboral",[1]Input!$A$4:$Y$227,IF($C$6="Sábado",[1]Input!$A$231:$Y$452,[1]Input!$A$456:$Y$656)),VLOOKUP($C$4,[1]Input!$AG$2:$AI$99,3,0)+IF(C$5="Ida",0,1),1),"")</f>
        <v>#N/A</v>
      </c>
      <c r="K481" s="34" t="str">
        <f>IF(A482&lt;&gt;A481,AVERAGEIF(A$9:A481,A481,J$13:J481),"")</f>
        <v/>
      </c>
      <c r="L481" s="35" t="str">
        <f>IFERROR(IF(A482&lt;&gt;A481,AVERAGEIF(A$9:A481,A481,S$13:S481),""),"")</f>
        <v/>
      </c>
      <c r="M481" s="35" t="str">
        <f>IFERROR(IF(A482&lt;&gt;A481,AVERAGEIF(A$9:A481,A481,T$8:T481),""),"")</f>
        <v/>
      </c>
      <c r="N481" s="35" t="str" cm="1">
        <f t="array" ref="N481">IFERROR(IF(A482&lt;&gt;A481,_xlfn.STDEV.P(IF(A$9:A481=A481,T$7:T481)),""),"")</f>
        <v/>
      </c>
      <c r="O481" s="35" t="str" cm="1">
        <f t="array" ref="O481">IFERROR(IF(A482&lt;&gt;A481,_xlfn.STDEV.P(IF(A$9:A481=A481,S$7:S481)),""),"")</f>
        <v/>
      </c>
      <c r="P481" s="36" t="str">
        <f t="shared" si="110"/>
        <v/>
      </c>
      <c r="Q481" s="36" t="str">
        <f t="shared" si="111"/>
        <v/>
      </c>
      <c r="R481" s="36" t="str">
        <f t="shared" si="118"/>
        <v/>
      </c>
      <c r="S481" s="37" t="str">
        <f t="shared" si="119"/>
        <v/>
      </c>
      <c r="T481" s="37" t="str">
        <f t="shared" si="112"/>
        <v/>
      </c>
      <c r="U481" s="54"/>
      <c r="V481" s="46"/>
      <c r="W481" s="39" t="str">
        <f t="shared" si="120"/>
        <v/>
      </c>
      <c r="X481" s="38"/>
      <c r="Y481" s="48"/>
      <c r="AB481" s="56">
        <f t="shared" si="121"/>
        <v>1</v>
      </c>
      <c r="AC481" s="52"/>
      <c r="AD481" s="52"/>
      <c r="AE481" s="29" t="str">
        <f>IFERROR(
IF(AND(OR(AC481="C",AC481="c"), VLOOKUP(AF481,[1]Diccionario!B:N,13,0)="C"), "OK",IF(AND(OR(AC481="C",AC481="c"), OR(VLOOKUP(AF481,[1]Diccionario!B:N,13,0)="B", VLOOKUP(AF481,[1]Diccionario!B:N,13,0)="A")), "DEFICIT",IF(
AND(OR(AC481="B", AC481="BPAL"), VLOOKUP(AF481,[1]Diccionario!B:N,13,0)="B"), "OK",IF(AND(OR(AC481="B", AC481="BPAL"), VLOOKUP(AF481,[1]Diccionario!B:N,13,0)="A"), "DEFICIT",IF(AND(OR(AC481="B", AC481="BPAL"), VLOOKUP(AF481,[1]Diccionario!B:N,13,0)="C"), "SOBREOFERTA",IF(AND(AC481="A", VLOOKUP(AF481,[1]Diccionario!B:N,13,0)="A"), "OK",IF(
AND(AC481="A", OR(VLOOKUP(AF481,[1]Diccionario!B:N,13,0)="B", VLOOKUP(AF481,[1]Diccionario!B:N,13,0)="C")), "SOBREOFERTA",""
))))))),"")</f>
        <v/>
      </c>
      <c r="AF481" s="48"/>
      <c r="AG481" s="53"/>
      <c r="AH481" s="54"/>
      <c r="AI481" s="55" t="str">
        <f t="shared" si="122"/>
        <v/>
      </c>
      <c r="AJ481" s="46"/>
      <c r="AK481" s="34" t="e">
        <f>IF(AB481&lt;&gt;"",HLOOKUP(VALUE(TEXT(AH481,"h:mm:ss")),IF($C$6="Laboral",[1]Input!$A$4:$Y$227,IF($C$6="Sábado",[1]Input!$A$231:$Y$452,[1]Input!$A$456:$Y$656)),VLOOKUP($C$4,[1]Input!$AG$2:$AI$99,3,0)+IF(AD$5="Ida",0,1),1),"")</f>
        <v>#N/A</v>
      </c>
      <c r="AL481" s="34" t="str">
        <f>IF(AB482&lt;&gt;AB481,AVERAGEIF(AB$9:AB481,AB481,AK$9:AK481),"")</f>
        <v/>
      </c>
      <c r="AM481" s="35" t="str">
        <f>IFERROR(IF(AB482&lt;&gt;AB481,AVERAGEIF(AB$9:AB481,AB481,AT$9:AT481),""),"")</f>
        <v/>
      </c>
      <c r="AN481" s="35" t="str">
        <f>IFERROR(IF(AB482&lt;&gt;AB481,AVERAGEIF(AB$9:AB481,AB481,AU$9:AU481),""),"")</f>
        <v/>
      </c>
      <c r="AO481" s="35" t="str" cm="1">
        <f t="array" ref="AO481">IFERROR(IF(AB482&lt;&gt;AB481,_xlfn.STDEV.P(IF(AB$9:AB481=AB481,AU$9:AU481)),""),"")</f>
        <v/>
      </c>
      <c r="AP481" s="35" t="str" cm="1">
        <f t="array" ref="AP481">IFERROR(IF(AB482&lt;&gt;AB481,_xlfn.STDEV.P(IF(AB$9:AB481=AB481,AT$9:AT481)),""),"")</f>
        <v/>
      </c>
      <c r="AQ481" s="36" t="str">
        <f t="shared" si="113"/>
        <v/>
      </c>
      <c r="AR481" s="36" t="str">
        <f t="shared" si="114"/>
        <v/>
      </c>
      <c r="AS481" s="36" t="str">
        <f t="shared" si="123"/>
        <v/>
      </c>
      <c r="AT481" s="37" t="str">
        <f t="shared" si="115"/>
        <v/>
      </c>
      <c r="AU481" s="37" t="str">
        <f t="shared" si="116"/>
        <v/>
      </c>
      <c r="AV481" s="54"/>
      <c r="AW481" s="46"/>
      <c r="AX481" s="39" t="str" cm="1">
        <f t="array" ref="AX481">IF(AH481&lt;&gt;"",IF(AND(AX479:AX480&lt;&gt;"IE",AQ481&lt;&gt;0,AS481&lt;&gt;""),IF(IFERROR((AQ481/AS481),0) &lt;=1,IFERROR(AQ481/AS481,""),1),""),"")</f>
        <v/>
      </c>
      <c r="AY481" s="46"/>
      <c r="AZ481" s="57"/>
    </row>
    <row r="482" spans="1:52" ht="15.5" x14ac:dyDescent="0.35">
      <c r="A482" s="51">
        <f t="shared" si="124"/>
        <v>1</v>
      </c>
      <c r="B482" s="52"/>
      <c r="C482" s="52"/>
      <c r="D482" s="29" t="str">
        <f>IFERROR(
IF(AND(OR(Planilla!B482="C",Planilla!B482="c"), VLOOKUP(E482,[1]Diccionario!B:N,13,0)="C"), "OK",IF(AND(OR(Planilla!B482="C",Planilla!B482="c"), OR(VLOOKUP(E482,[1]Diccionario!B:N,13,0)="B", VLOOKUP(E482,[1]Diccionario!B:N,13,0)="A")), "DEFICIT",IF(
AND(OR(Planilla!B482="B", Planilla!B482="BPAL"), VLOOKUP(E482,[1]Diccionario!B:N,13,0)="B"), "OK",IF(AND(OR(Planilla!B482="B", Planilla!B482="BPAL"), VLOOKUP(E482,[1]Diccionario!B:N,13,0)="A"), "DEFICIT",IF(AND(OR(Planilla!B482="B", Planilla!B482="BPAL"), VLOOKUP(E482,[1]Diccionario!B:N,13,0)="C"), "SOBREOFERTA",IF(AND(Planilla!B482="A", VLOOKUP(E482,[1]Diccionario!B:N,13,0)="A"), "OK",IF(
AND(Planilla!B482="A", OR(VLOOKUP(E482,[1]Diccionario!B:N,13,0)="B", VLOOKUP(E482,[1]Diccionario!B:N,13,0)="C")), "SOBREOFERTA",""
))))))),"")</f>
        <v/>
      </c>
      <c r="E482" s="48"/>
      <c r="F482" s="53"/>
      <c r="G482" s="54"/>
      <c r="H482" s="55" t="str">
        <f t="shared" si="117"/>
        <v/>
      </c>
      <c r="I482" s="35"/>
      <c r="J482" s="34" t="e">
        <f>IF(A482&lt;&gt;"",HLOOKUP(VALUE(TEXT(G482,"h:mm:ss")),IF($C$6="Laboral",[1]Input!$A$4:$Y$227,IF($C$6="Sábado",[1]Input!$A$231:$Y$452,[1]Input!$A$456:$Y$656)),VLOOKUP($C$4,[1]Input!$AG$2:$AI$99,3,0)+IF(C$5="Ida",0,1),1),"")</f>
        <v>#N/A</v>
      </c>
      <c r="K482" s="34" t="str">
        <f>IF(A483&lt;&gt;A482,AVERAGEIF(A$9:A482,A482,J$13:J482),"")</f>
        <v/>
      </c>
      <c r="L482" s="35" t="str">
        <f>IFERROR(IF(A483&lt;&gt;A482,AVERAGEIF(A$9:A482,A482,S$13:S482),""),"")</f>
        <v/>
      </c>
      <c r="M482" s="35" t="str">
        <f>IFERROR(IF(A483&lt;&gt;A482,AVERAGEIF(A$9:A482,A482,T$8:T482),""),"")</f>
        <v/>
      </c>
      <c r="N482" s="35" t="str" cm="1">
        <f t="array" ref="N482">IFERROR(IF(A483&lt;&gt;A482,_xlfn.STDEV.P(IF(A$9:A482=A482,T$7:T482)),""),"")</f>
        <v/>
      </c>
      <c r="O482" s="35" t="str" cm="1">
        <f t="array" ref="O482">IFERROR(IF(A483&lt;&gt;A482,_xlfn.STDEV.P(IF(A$9:A482=A482,S$7:S482)),""),"")</f>
        <v/>
      </c>
      <c r="P482" s="36" t="str">
        <f t="shared" si="110"/>
        <v/>
      </c>
      <c r="Q482" s="36" t="str">
        <f t="shared" si="111"/>
        <v/>
      </c>
      <c r="R482" s="36" t="str">
        <f t="shared" si="118"/>
        <v/>
      </c>
      <c r="S482" s="37" t="str">
        <f t="shared" si="119"/>
        <v/>
      </c>
      <c r="T482" s="37" t="str">
        <f t="shared" si="112"/>
        <v/>
      </c>
      <c r="U482" s="54"/>
      <c r="V482" s="46"/>
      <c r="W482" s="39" t="str">
        <f t="shared" si="120"/>
        <v/>
      </c>
      <c r="X482" s="38"/>
      <c r="Y482" s="48"/>
      <c r="AB482" s="56">
        <f t="shared" si="121"/>
        <v>1</v>
      </c>
      <c r="AC482" s="52"/>
      <c r="AD482" s="52"/>
      <c r="AE482" s="29" t="str">
        <f>IFERROR(
IF(AND(OR(AC482="C",AC482="c"), VLOOKUP(AF482,[1]Diccionario!B:N,13,0)="C"), "OK",IF(AND(OR(AC482="C",AC482="c"), OR(VLOOKUP(AF482,[1]Diccionario!B:N,13,0)="B", VLOOKUP(AF482,[1]Diccionario!B:N,13,0)="A")), "DEFICIT",IF(
AND(OR(AC482="B", AC482="BPAL"), VLOOKUP(AF482,[1]Diccionario!B:N,13,0)="B"), "OK",IF(AND(OR(AC482="B", AC482="BPAL"), VLOOKUP(AF482,[1]Diccionario!B:N,13,0)="A"), "DEFICIT",IF(AND(OR(AC482="B", AC482="BPAL"), VLOOKUP(AF482,[1]Diccionario!B:N,13,0)="C"), "SOBREOFERTA",IF(AND(AC482="A", VLOOKUP(AF482,[1]Diccionario!B:N,13,0)="A"), "OK",IF(
AND(AC482="A", OR(VLOOKUP(AF482,[1]Diccionario!B:N,13,0)="B", VLOOKUP(AF482,[1]Diccionario!B:N,13,0)="C")), "SOBREOFERTA",""
))))))),"")</f>
        <v/>
      </c>
      <c r="AF482" s="48"/>
      <c r="AG482" s="53"/>
      <c r="AH482" s="54"/>
      <c r="AI482" s="55" t="str">
        <f t="shared" si="122"/>
        <v/>
      </c>
      <c r="AJ482" s="46"/>
      <c r="AK482" s="34" t="e">
        <f>IF(AB482&lt;&gt;"",HLOOKUP(VALUE(TEXT(AH482,"h:mm:ss")),IF($C$6="Laboral",[1]Input!$A$4:$Y$227,IF($C$6="Sábado",[1]Input!$A$231:$Y$452,[1]Input!$A$456:$Y$656)),VLOOKUP($C$4,[1]Input!$AG$2:$AI$99,3,0)+IF(AD$5="Ida",0,1),1),"")</f>
        <v>#N/A</v>
      </c>
      <c r="AL482" s="34" t="str">
        <f>IF(AB483&lt;&gt;AB482,AVERAGEIF(AB$9:AB482,AB482,AK$9:AK482),"")</f>
        <v/>
      </c>
      <c r="AM482" s="35" t="str">
        <f>IFERROR(IF(AB483&lt;&gt;AB482,AVERAGEIF(AB$9:AB482,AB482,AT$9:AT482),""),"")</f>
        <v/>
      </c>
      <c r="AN482" s="35" t="str">
        <f>IFERROR(IF(AB483&lt;&gt;AB482,AVERAGEIF(AB$9:AB482,AB482,AU$9:AU482),""),"")</f>
        <v/>
      </c>
      <c r="AO482" s="35" t="str" cm="1">
        <f t="array" ref="AO482">IFERROR(IF(AB483&lt;&gt;AB482,_xlfn.STDEV.P(IF(AB$9:AB482=AB482,AU$9:AU482)),""),"")</f>
        <v/>
      </c>
      <c r="AP482" s="35" t="str" cm="1">
        <f t="array" ref="AP482">IFERROR(IF(AB483&lt;&gt;AB482,_xlfn.STDEV.P(IF(AB$9:AB482=AB482,AT$9:AT482)),""),"")</f>
        <v/>
      </c>
      <c r="AQ482" s="36" t="str">
        <f t="shared" si="113"/>
        <v/>
      </c>
      <c r="AR482" s="36" t="str">
        <f t="shared" si="114"/>
        <v/>
      </c>
      <c r="AS482" s="36" t="str">
        <f t="shared" si="123"/>
        <v/>
      </c>
      <c r="AT482" s="37" t="str">
        <f t="shared" si="115"/>
        <v/>
      </c>
      <c r="AU482" s="37" t="str">
        <f t="shared" si="116"/>
        <v/>
      </c>
      <c r="AV482" s="54"/>
      <c r="AW482" s="46"/>
      <c r="AX482" s="39" t="str" cm="1">
        <f t="array" ref="AX482">IF(AH482&lt;&gt;"",IF(AND(AX480:AX481&lt;&gt;"IE",AQ482&lt;&gt;0,AS482&lt;&gt;""),IF(IFERROR((AQ482/AS482),0) &lt;=1,IFERROR(AQ482/AS482,""),1),""),"")</f>
        <v/>
      </c>
      <c r="AY482" s="46"/>
      <c r="AZ482" s="57"/>
    </row>
    <row r="483" spans="1:52" ht="15.5" x14ac:dyDescent="0.35">
      <c r="A483" s="51">
        <f t="shared" si="124"/>
        <v>1</v>
      </c>
      <c r="B483" s="52"/>
      <c r="C483" s="52"/>
      <c r="D483" s="29" t="str">
        <f>IFERROR(
IF(AND(OR(Planilla!B483="C",Planilla!B483="c"), VLOOKUP(E483,[1]Diccionario!B:N,13,0)="C"), "OK",IF(AND(OR(Planilla!B483="C",Planilla!B483="c"), OR(VLOOKUP(E483,[1]Diccionario!B:N,13,0)="B", VLOOKUP(E483,[1]Diccionario!B:N,13,0)="A")), "DEFICIT",IF(
AND(OR(Planilla!B483="B", Planilla!B483="BPAL"), VLOOKUP(E483,[1]Diccionario!B:N,13,0)="B"), "OK",IF(AND(OR(Planilla!B483="B", Planilla!B483="BPAL"), VLOOKUP(E483,[1]Diccionario!B:N,13,0)="A"), "DEFICIT",IF(AND(OR(Planilla!B483="B", Planilla!B483="BPAL"), VLOOKUP(E483,[1]Diccionario!B:N,13,0)="C"), "SOBREOFERTA",IF(AND(Planilla!B483="A", VLOOKUP(E483,[1]Diccionario!B:N,13,0)="A"), "OK",IF(
AND(Planilla!B483="A", OR(VLOOKUP(E483,[1]Diccionario!B:N,13,0)="B", VLOOKUP(E483,[1]Diccionario!B:N,13,0)="C")), "SOBREOFERTA",""
))))))),"")</f>
        <v/>
      </c>
      <c r="E483" s="48"/>
      <c r="F483" s="53"/>
      <c r="G483" s="54"/>
      <c r="H483" s="55" t="str">
        <f t="shared" si="117"/>
        <v/>
      </c>
      <c r="I483" s="35"/>
      <c r="J483" s="34" t="e">
        <f>IF(A483&lt;&gt;"",HLOOKUP(VALUE(TEXT(G483,"h:mm:ss")),IF($C$6="Laboral",[1]Input!$A$4:$Y$227,IF($C$6="Sábado",[1]Input!$A$231:$Y$452,[1]Input!$A$456:$Y$656)),VLOOKUP($C$4,[1]Input!$AG$2:$AI$99,3,0)+IF(C$5="Ida",0,1),1),"")</f>
        <v>#N/A</v>
      </c>
      <c r="K483" s="34" t="str">
        <f>IF(A484&lt;&gt;A483,AVERAGEIF(A$9:A483,A483,J$13:J483),"")</f>
        <v/>
      </c>
      <c r="L483" s="35" t="str">
        <f>IFERROR(IF(A484&lt;&gt;A483,AVERAGEIF(A$9:A483,A483,S$13:S483),""),"")</f>
        <v/>
      </c>
      <c r="M483" s="35" t="str">
        <f>IFERROR(IF(A484&lt;&gt;A483,AVERAGEIF(A$9:A483,A483,T$8:T483),""),"")</f>
        <v/>
      </c>
      <c r="N483" s="35" t="str" cm="1">
        <f t="array" ref="N483">IFERROR(IF(A484&lt;&gt;A483,_xlfn.STDEV.P(IF(A$9:A483=A483,T$7:T483)),""),"")</f>
        <v/>
      </c>
      <c r="O483" s="35" t="str" cm="1">
        <f t="array" ref="O483">IFERROR(IF(A484&lt;&gt;A483,_xlfn.STDEV.P(IF(A$9:A483=A483,S$7:S483)),""),"")</f>
        <v/>
      </c>
      <c r="P483" s="36" t="str">
        <f t="shared" si="110"/>
        <v/>
      </c>
      <c r="Q483" s="36" t="str">
        <f t="shared" si="111"/>
        <v/>
      </c>
      <c r="R483" s="36" t="str">
        <f t="shared" si="118"/>
        <v/>
      </c>
      <c r="S483" s="37" t="str">
        <f t="shared" si="119"/>
        <v/>
      </c>
      <c r="T483" s="37" t="str">
        <f t="shared" si="112"/>
        <v/>
      </c>
      <c r="U483" s="54"/>
      <c r="V483" s="46"/>
      <c r="W483" s="39" t="str">
        <f t="shared" si="120"/>
        <v/>
      </c>
      <c r="X483" s="38"/>
      <c r="Y483" s="48"/>
      <c r="AB483" s="56">
        <f t="shared" si="121"/>
        <v>1</v>
      </c>
      <c r="AC483" s="52"/>
      <c r="AD483" s="52"/>
      <c r="AE483" s="29" t="str">
        <f>IFERROR(
IF(AND(OR(AC483="C",AC483="c"), VLOOKUP(AF483,[1]Diccionario!B:N,13,0)="C"), "OK",IF(AND(OR(AC483="C",AC483="c"), OR(VLOOKUP(AF483,[1]Diccionario!B:N,13,0)="B", VLOOKUP(AF483,[1]Diccionario!B:N,13,0)="A")), "DEFICIT",IF(
AND(OR(AC483="B", AC483="BPAL"), VLOOKUP(AF483,[1]Diccionario!B:N,13,0)="B"), "OK",IF(AND(OR(AC483="B", AC483="BPAL"), VLOOKUP(AF483,[1]Diccionario!B:N,13,0)="A"), "DEFICIT",IF(AND(OR(AC483="B", AC483="BPAL"), VLOOKUP(AF483,[1]Diccionario!B:N,13,0)="C"), "SOBREOFERTA",IF(AND(AC483="A", VLOOKUP(AF483,[1]Diccionario!B:N,13,0)="A"), "OK",IF(
AND(AC483="A", OR(VLOOKUP(AF483,[1]Diccionario!B:N,13,0)="B", VLOOKUP(AF483,[1]Diccionario!B:N,13,0)="C")), "SOBREOFERTA",""
))))))),"")</f>
        <v/>
      </c>
      <c r="AF483" s="48"/>
      <c r="AG483" s="53"/>
      <c r="AH483" s="54"/>
      <c r="AI483" s="55" t="str">
        <f t="shared" si="122"/>
        <v/>
      </c>
      <c r="AJ483" s="46"/>
      <c r="AK483" s="34" t="e">
        <f>IF(AB483&lt;&gt;"",HLOOKUP(VALUE(TEXT(AH483,"h:mm:ss")),IF($C$6="Laboral",[1]Input!$A$4:$Y$227,IF($C$6="Sábado",[1]Input!$A$231:$Y$452,[1]Input!$A$456:$Y$656)),VLOOKUP($C$4,[1]Input!$AG$2:$AI$99,3,0)+IF(AD$5="Ida",0,1),1),"")</f>
        <v>#N/A</v>
      </c>
      <c r="AL483" s="34" t="str">
        <f>IF(AB484&lt;&gt;AB483,AVERAGEIF(AB$9:AB483,AB483,AK$9:AK483),"")</f>
        <v/>
      </c>
      <c r="AM483" s="35" t="str">
        <f>IFERROR(IF(AB484&lt;&gt;AB483,AVERAGEIF(AB$9:AB483,AB483,AT$9:AT483),""),"")</f>
        <v/>
      </c>
      <c r="AN483" s="35" t="str">
        <f>IFERROR(IF(AB484&lt;&gt;AB483,AVERAGEIF(AB$9:AB483,AB483,AU$9:AU483),""),"")</f>
        <v/>
      </c>
      <c r="AO483" s="35" t="str" cm="1">
        <f t="array" ref="AO483">IFERROR(IF(AB484&lt;&gt;AB483,_xlfn.STDEV.P(IF(AB$9:AB483=AB483,AU$9:AU483)),""),"")</f>
        <v/>
      </c>
      <c r="AP483" s="35" t="str" cm="1">
        <f t="array" ref="AP483">IFERROR(IF(AB484&lt;&gt;AB483,_xlfn.STDEV.P(IF(AB$9:AB483=AB483,AT$9:AT483)),""),"")</f>
        <v/>
      </c>
      <c r="AQ483" s="36" t="str">
        <f t="shared" si="113"/>
        <v/>
      </c>
      <c r="AR483" s="36" t="str">
        <f t="shared" si="114"/>
        <v/>
      </c>
      <c r="AS483" s="36" t="str">
        <f t="shared" si="123"/>
        <v/>
      </c>
      <c r="AT483" s="37" t="str">
        <f t="shared" si="115"/>
        <v/>
      </c>
      <c r="AU483" s="37" t="str">
        <f t="shared" si="116"/>
        <v/>
      </c>
      <c r="AV483" s="54"/>
      <c r="AW483" s="46"/>
      <c r="AX483" s="39" t="str" cm="1">
        <f t="array" ref="AX483">IF(AH483&lt;&gt;"",IF(AND(AX481:AX482&lt;&gt;"IE",AQ483&lt;&gt;0,AS483&lt;&gt;""),IF(IFERROR((AQ483/AS483),0) &lt;=1,IFERROR(AQ483/AS483,""),1),""),"")</f>
        <v/>
      </c>
      <c r="AY483" s="46"/>
      <c r="AZ483" s="57"/>
    </row>
    <row r="484" spans="1:52" ht="15.5" x14ac:dyDescent="0.35">
      <c r="A484" s="51">
        <f t="shared" si="124"/>
        <v>1</v>
      </c>
      <c r="B484" s="52"/>
      <c r="C484" s="52"/>
      <c r="D484" s="29" t="str">
        <f>IFERROR(
IF(AND(OR(Planilla!B484="C",Planilla!B484="c"), VLOOKUP(E484,[1]Diccionario!B:N,13,0)="C"), "OK",IF(AND(OR(Planilla!B484="C",Planilla!B484="c"), OR(VLOOKUP(E484,[1]Diccionario!B:N,13,0)="B", VLOOKUP(E484,[1]Diccionario!B:N,13,0)="A")), "DEFICIT",IF(
AND(OR(Planilla!B484="B", Planilla!B484="BPAL"), VLOOKUP(E484,[1]Diccionario!B:N,13,0)="B"), "OK",IF(AND(OR(Planilla!B484="B", Planilla!B484="BPAL"), VLOOKUP(E484,[1]Diccionario!B:N,13,0)="A"), "DEFICIT",IF(AND(OR(Planilla!B484="B", Planilla!B484="BPAL"), VLOOKUP(E484,[1]Diccionario!B:N,13,0)="C"), "SOBREOFERTA",IF(AND(Planilla!B484="A", VLOOKUP(E484,[1]Diccionario!B:N,13,0)="A"), "OK",IF(
AND(Planilla!B484="A", OR(VLOOKUP(E484,[1]Diccionario!B:N,13,0)="B", VLOOKUP(E484,[1]Diccionario!B:N,13,0)="C")), "SOBREOFERTA",""
))))))),"")</f>
        <v/>
      </c>
      <c r="E484" s="48"/>
      <c r="F484" s="53"/>
      <c r="G484" s="54"/>
      <c r="H484" s="55" t="str">
        <f t="shared" si="117"/>
        <v/>
      </c>
      <c r="I484" s="35"/>
      <c r="J484" s="34" t="e">
        <f>IF(A484&lt;&gt;"",HLOOKUP(VALUE(TEXT(G484,"h:mm:ss")),IF($C$6="Laboral",[1]Input!$A$4:$Y$227,IF($C$6="Sábado",[1]Input!$A$231:$Y$452,[1]Input!$A$456:$Y$656)),VLOOKUP($C$4,[1]Input!$AG$2:$AI$99,3,0)+IF(C$5="Ida",0,1),1),"")</f>
        <v>#N/A</v>
      </c>
      <c r="K484" s="34" t="str">
        <f>IF(A485&lt;&gt;A484,AVERAGEIF(A$9:A484,A484,J$13:J484),"")</f>
        <v/>
      </c>
      <c r="L484" s="35" t="str">
        <f>IFERROR(IF(A485&lt;&gt;A484,AVERAGEIF(A$9:A484,A484,S$13:S484),""),"")</f>
        <v/>
      </c>
      <c r="M484" s="35" t="str">
        <f>IFERROR(IF(A485&lt;&gt;A484,AVERAGEIF(A$9:A484,A484,T$8:T484),""),"")</f>
        <v/>
      </c>
      <c r="N484" s="35" t="str" cm="1">
        <f t="array" ref="N484">IFERROR(IF(A485&lt;&gt;A484,_xlfn.STDEV.P(IF(A$9:A484=A484,T$7:T484)),""),"")</f>
        <v/>
      </c>
      <c r="O484" s="35" t="str" cm="1">
        <f t="array" ref="O484">IFERROR(IF(A485&lt;&gt;A484,_xlfn.STDEV.P(IF(A$9:A484=A484,S$7:S484)),""),"")</f>
        <v/>
      </c>
      <c r="P484" s="36" t="str">
        <f t="shared" si="110"/>
        <v/>
      </c>
      <c r="Q484" s="36" t="str">
        <f t="shared" si="111"/>
        <v/>
      </c>
      <c r="R484" s="36" t="str">
        <f t="shared" si="118"/>
        <v/>
      </c>
      <c r="S484" s="37" t="str">
        <f t="shared" si="119"/>
        <v/>
      </c>
      <c r="T484" s="37" t="str">
        <f t="shared" si="112"/>
        <v/>
      </c>
      <c r="U484" s="54"/>
      <c r="V484" s="46"/>
      <c r="W484" s="39" t="str">
        <f t="shared" si="120"/>
        <v/>
      </c>
      <c r="X484" s="38"/>
      <c r="Y484" s="48"/>
      <c r="AB484" s="56">
        <f t="shared" si="121"/>
        <v>1</v>
      </c>
      <c r="AC484" s="52"/>
      <c r="AD484" s="52"/>
      <c r="AE484" s="29" t="str">
        <f>IFERROR(
IF(AND(OR(AC484="C",AC484="c"), VLOOKUP(AF484,[1]Diccionario!B:N,13,0)="C"), "OK",IF(AND(OR(AC484="C",AC484="c"), OR(VLOOKUP(AF484,[1]Diccionario!B:N,13,0)="B", VLOOKUP(AF484,[1]Diccionario!B:N,13,0)="A")), "DEFICIT",IF(
AND(OR(AC484="B", AC484="BPAL"), VLOOKUP(AF484,[1]Diccionario!B:N,13,0)="B"), "OK",IF(AND(OR(AC484="B", AC484="BPAL"), VLOOKUP(AF484,[1]Diccionario!B:N,13,0)="A"), "DEFICIT",IF(AND(OR(AC484="B", AC484="BPAL"), VLOOKUP(AF484,[1]Diccionario!B:N,13,0)="C"), "SOBREOFERTA",IF(AND(AC484="A", VLOOKUP(AF484,[1]Diccionario!B:N,13,0)="A"), "OK",IF(
AND(AC484="A", OR(VLOOKUP(AF484,[1]Diccionario!B:N,13,0)="B", VLOOKUP(AF484,[1]Diccionario!B:N,13,0)="C")), "SOBREOFERTA",""
))))))),"")</f>
        <v/>
      </c>
      <c r="AF484" s="48"/>
      <c r="AG484" s="53"/>
      <c r="AH484" s="54"/>
      <c r="AI484" s="55" t="str">
        <f t="shared" si="122"/>
        <v/>
      </c>
      <c r="AJ484" s="46"/>
      <c r="AK484" s="34" t="e">
        <f>IF(AB484&lt;&gt;"",HLOOKUP(VALUE(TEXT(AH484,"h:mm:ss")),IF($C$6="Laboral",[1]Input!$A$4:$Y$227,IF($C$6="Sábado",[1]Input!$A$231:$Y$452,[1]Input!$A$456:$Y$656)),VLOOKUP($C$4,[1]Input!$AG$2:$AI$99,3,0)+IF(AD$5="Ida",0,1),1),"")</f>
        <v>#N/A</v>
      </c>
      <c r="AL484" s="34" t="str">
        <f>IF(AB485&lt;&gt;AB484,AVERAGEIF(AB$9:AB484,AB484,AK$9:AK484),"")</f>
        <v/>
      </c>
      <c r="AM484" s="35" t="str">
        <f>IFERROR(IF(AB485&lt;&gt;AB484,AVERAGEIF(AB$9:AB484,AB484,AT$9:AT484),""),"")</f>
        <v/>
      </c>
      <c r="AN484" s="35" t="str">
        <f>IFERROR(IF(AB485&lt;&gt;AB484,AVERAGEIF(AB$9:AB484,AB484,AU$9:AU484),""),"")</f>
        <v/>
      </c>
      <c r="AO484" s="35" t="str" cm="1">
        <f t="array" ref="AO484">IFERROR(IF(AB485&lt;&gt;AB484,_xlfn.STDEV.P(IF(AB$9:AB484=AB484,AU$9:AU484)),""),"")</f>
        <v/>
      </c>
      <c r="AP484" s="35" t="str" cm="1">
        <f t="array" ref="AP484">IFERROR(IF(AB485&lt;&gt;AB484,_xlfn.STDEV.P(IF(AB$9:AB484=AB484,AT$9:AT484)),""),"")</f>
        <v/>
      </c>
      <c r="AQ484" s="36" t="str">
        <f t="shared" si="113"/>
        <v/>
      </c>
      <c r="AR484" s="36" t="str">
        <f t="shared" si="114"/>
        <v/>
      </c>
      <c r="AS484" s="36" t="str">
        <f t="shared" si="123"/>
        <v/>
      </c>
      <c r="AT484" s="37" t="str">
        <f t="shared" si="115"/>
        <v/>
      </c>
      <c r="AU484" s="37" t="str">
        <f t="shared" si="116"/>
        <v/>
      </c>
      <c r="AV484" s="54"/>
      <c r="AW484" s="46"/>
      <c r="AX484" s="39" t="str" cm="1">
        <f t="array" ref="AX484">IF(AH484&lt;&gt;"",IF(AND(AX482:AX483&lt;&gt;"IE",AQ484&lt;&gt;0,AS484&lt;&gt;""),IF(IFERROR((AQ484/AS484),0) &lt;=1,IFERROR(AQ484/AS484,""),1),""),"")</f>
        <v/>
      </c>
      <c r="AY484" s="46"/>
      <c r="AZ484" s="57"/>
    </row>
    <row r="485" spans="1:52" ht="15.5" x14ac:dyDescent="0.35">
      <c r="A485" s="51">
        <f t="shared" si="124"/>
        <v>1</v>
      </c>
      <c r="B485" s="52"/>
      <c r="C485" s="52"/>
      <c r="D485" s="29" t="str">
        <f>IFERROR(
IF(AND(OR(Planilla!B485="C",Planilla!B485="c"), VLOOKUP(E485,[1]Diccionario!B:N,13,0)="C"), "OK",IF(AND(OR(Planilla!B485="C",Planilla!B485="c"), OR(VLOOKUP(E485,[1]Diccionario!B:N,13,0)="B", VLOOKUP(E485,[1]Diccionario!B:N,13,0)="A")), "DEFICIT",IF(
AND(OR(Planilla!B485="B", Planilla!B485="BPAL"), VLOOKUP(E485,[1]Diccionario!B:N,13,0)="B"), "OK",IF(AND(OR(Planilla!B485="B", Planilla!B485="BPAL"), VLOOKUP(E485,[1]Diccionario!B:N,13,0)="A"), "DEFICIT",IF(AND(OR(Planilla!B485="B", Planilla!B485="BPAL"), VLOOKUP(E485,[1]Diccionario!B:N,13,0)="C"), "SOBREOFERTA",IF(AND(Planilla!B485="A", VLOOKUP(E485,[1]Diccionario!B:N,13,0)="A"), "OK",IF(
AND(Planilla!B485="A", OR(VLOOKUP(E485,[1]Diccionario!B:N,13,0)="B", VLOOKUP(E485,[1]Diccionario!B:N,13,0)="C")), "SOBREOFERTA",""
))))))),"")</f>
        <v/>
      </c>
      <c r="E485" s="48"/>
      <c r="F485" s="53"/>
      <c r="G485" s="54"/>
      <c r="H485" s="55" t="str">
        <f t="shared" si="117"/>
        <v/>
      </c>
      <c r="I485" s="35"/>
      <c r="J485" s="34" t="e">
        <f>IF(A485&lt;&gt;"",HLOOKUP(VALUE(TEXT(G485,"h:mm:ss")),IF($C$6="Laboral",[1]Input!$A$4:$Y$227,IF($C$6="Sábado",[1]Input!$A$231:$Y$452,[1]Input!$A$456:$Y$656)),VLOOKUP($C$4,[1]Input!$AG$2:$AI$99,3,0)+IF(C$5="Ida",0,1),1),"")</f>
        <v>#N/A</v>
      </c>
      <c r="K485" s="34" t="str">
        <f>IF(A486&lt;&gt;A485,AVERAGEIF(A$9:A485,A485,J$13:J485),"")</f>
        <v/>
      </c>
      <c r="L485" s="35" t="str">
        <f>IFERROR(IF(A486&lt;&gt;A485,AVERAGEIF(A$9:A485,A485,S$13:S485),""),"")</f>
        <v/>
      </c>
      <c r="M485" s="35" t="str">
        <f>IFERROR(IF(A486&lt;&gt;A485,AVERAGEIF(A$9:A485,A485,T$8:T485),""),"")</f>
        <v/>
      </c>
      <c r="N485" s="35" t="str" cm="1">
        <f t="array" ref="N485">IFERROR(IF(A486&lt;&gt;A485,_xlfn.STDEV.P(IF(A$9:A485=A485,T$7:T485)),""),"")</f>
        <v/>
      </c>
      <c r="O485" s="35" t="str" cm="1">
        <f t="array" ref="O485">IFERROR(IF(A486&lt;&gt;A485,_xlfn.STDEV.P(IF(A$9:A485=A485,S$7:S485)),""),"")</f>
        <v/>
      </c>
      <c r="P485" s="36" t="str">
        <f t="shared" si="110"/>
        <v/>
      </c>
      <c r="Q485" s="36" t="str">
        <f t="shared" si="111"/>
        <v/>
      </c>
      <c r="R485" s="36" t="str">
        <f t="shared" si="118"/>
        <v/>
      </c>
      <c r="S485" s="37" t="str">
        <f t="shared" si="119"/>
        <v/>
      </c>
      <c r="T485" s="37" t="str">
        <f t="shared" si="112"/>
        <v/>
      </c>
      <c r="U485" s="54"/>
      <c r="V485" s="46"/>
      <c r="W485" s="39" t="str">
        <f t="shared" si="120"/>
        <v/>
      </c>
      <c r="X485" s="38"/>
      <c r="Y485" s="48"/>
      <c r="AB485" s="56">
        <f t="shared" si="121"/>
        <v>1</v>
      </c>
      <c r="AC485" s="52"/>
      <c r="AD485" s="52"/>
      <c r="AE485" s="29" t="str">
        <f>IFERROR(
IF(AND(OR(AC485="C",AC485="c"), VLOOKUP(AF485,[1]Diccionario!B:N,13,0)="C"), "OK",IF(AND(OR(AC485="C",AC485="c"), OR(VLOOKUP(AF485,[1]Diccionario!B:N,13,0)="B", VLOOKUP(AF485,[1]Diccionario!B:N,13,0)="A")), "DEFICIT",IF(
AND(OR(AC485="B", AC485="BPAL"), VLOOKUP(AF485,[1]Diccionario!B:N,13,0)="B"), "OK",IF(AND(OR(AC485="B", AC485="BPAL"), VLOOKUP(AF485,[1]Diccionario!B:N,13,0)="A"), "DEFICIT",IF(AND(OR(AC485="B", AC485="BPAL"), VLOOKUP(AF485,[1]Diccionario!B:N,13,0)="C"), "SOBREOFERTA",IF(AND(AC485="A", VLOOKUP(AF485,[1]Diccionario!B:N,13,0)="A"), "OK",IF(
AND(AC485="A", OR(VLOOKUP(AF485,[1]Diccionario!B:N,13,0)="B", VLOOKUP(AF485,[1]Diccionario!B:N,13,0)="C")), "SOBREOFERTA",""
))))))),"")</f>
        <v/>
      </c>
      <c r="AF485" s="48"/>
      <c r="AG485" s="53"/>
      <c r="AH485" s="54"/>
      <c r="AI485" s="55" t="str">
        <f t="shared" si="122"/>
        <v/>
      </c>
      <c r="AJ485" s="46"/>
      <c r="AK485" s="34" t="e">
        <f>IF(AB485&lt;&gt;"",HLOOKUP(VALUE(TEXT(AH485,"h:mm:ss")),IF($C$6="Laboral",[1]Input!$A$4:$Y$227,IF($C$6="Sábado",[1]Input!$A$231:$Y$452,[1]Input!$A$456:$Y$656)),VLOOKUP($C$4,[1]Input!$AG$2:$AI$99,3,0)+IF(AD$5="Ida",0,1),1),"")</f>
        <v>#N/A</v>
      </c>
      <c r="AL485" s="34" t="str">
        <f>IF(AB486&lt;&gt;AB485,AVERAGEIF(AB$9:AB485,AB485,AK$9:AK485),"")</f>
        <v/>
      </c>
      <c r="AM485" s="35" t="str">
        <f>IFERROR(IF(AB486&lt;&gt;AB485,AVERAGEIF(AB$9:AB485,AB485,AT$9:AT485),""),"")</f>
        <v/>
      </c>
      <c r="AN485" s="35" t="str">
        <f>IFERROR(IF(AB486&lt;&gt;AB485,AVERAGEIF(AB$9:AB485,AB485,AU$9:AU485),""),"")</f>
        <v/>
      </c>
      <c r="AO485" s="35" t="str" cm="1">
        <f t="array" ref="AO485">IFERROR(IF(AB486&lt;&gt;AB485,_xlfn.STDEV.P(IF(AB$9:AB485=AB485,AU$9:AU485)),""),"")</f>
        <v/>
      </c>
      <c r="AP485" s="35" t="str" cm="1">
        <f t="array" ref="AP485">IFERROR(IF(AB486&lt;&gt;AB485,_xlfn.STDEV.P(IF(AB$9:AB485=AB485,AT$9:AT485)),""),"")</f>
        <v/>
      </c>
      <c r="AQ485" s="36" t="str">
        <f t="shared" si="113"/>
        <v/>
      </c>
      <c r="AR485" s="36" t="str">
        <f t="shared" si="114"/>
        <v/>
      </c>
      <c r="AS485" s="36" t="str">
        <f t="shared" si="123"/>
        <v/>
      </c>
      <c r="AT485" s="37" t="str">
        <f t="shared" si="115"/>
        <v/>
      </c>
      <c r="AU485" s="37" t="str">
        <f t="shared" si="116"/>
        <v/>
      </c>
      <c r="AV485" s="54"/>
      <c r="AW485" s="46"/>
      <c r="AX485" s="39" t="str" cm="1">
        <f t="array" ref="AX485">IF(AH485&lt;&gt;"",IF(AND(AX483:AX484&lt;&gt;"IE",AQ485&lt;&gt;0,AS485&lt;&gt;""),IF(IFERROR((AQ485/AS485),0) &lt;=1,IFERROR(AQ485/AS485,""),1),""),"")</f>
        <v/>
      </c>
      <c r="AY485" s="46"/>
      <c r="AZ485" s="57"/>
    </row>
    <row r="486" spans="1:52" ht="15.5" x14ac:dyDescent="0.35">
      <c r="A486" s="51">
        <f t="shared" si="124"/>
        <v>1</v>
      </c>
      <c r="B486" s="52"/>
      <c r="C486" s="52"/>
      <c r="D486" s="29" t="str">
        <f>IFERROR(
IF(AND(OR(Planilla!B486="C",Planilla!B486="c"), VLOOKUP(E486,[1]Diccionario!B:N,13,0)="C"), "OK",IF(AND(OR(Planilla!B486="C",Planilla!B486="c"), OR(VLOOKUP(E486,[1]Diccionario!B:N,13,0)="B", VLOOKUP(E486,[1]Diccionario!B:N,13,0)="A")), "DEFICIT",IF(
AND(OR(Planilla!B486="B", Planilla!B486="BPAL"), VLOOKUP(E486,[1]Diccionario!B:N,13,0)="B"), "OK",IF(AND(OR(Planilla!B486="B", Planilla!B486="BPAL"), VLOOKUP(E486,[1]Diccionario!B:N,13,0)="A"), "DEFICIT",IF(AND(OR(Planilla!B486="B", Planilla!B486="BPAL"), VLOOKUP(E486,[1]Diccionario!B:N,13,0)="C"), "SOBREOFERTA",IF(AND(Planilla!B486="A", VLOOKUP(E486,[1]Diccionario!B:N,13,0)="A"), "OK",IF(
AND(Planilla!B486="A", OR(VLOOKUP(E486,[1]Diccionario!B:N,13,0)="B", VLOOKUP(E486,[1]Diccionario!B:N,13,0)="C")), "SOBREOFERTA",""
))))))),"")</f>
        <v/>
      </c>
      <c r="E486" s="48"/>
      <c r="F486" s="53"/>
      <c r="G486" s="54"/>
      <c r="H486" s="55" t="str">
        <f t="shared" si="117"/>
        <v/>
      </c>
      <c r="I486" s="35"/>
      <c r="J486" s="34" t="e">
        <f>IF(A486&lt;&gt;"",HLOOKUP(VALUE(TEXT(G486,"h:mm:ss")),IF($C$6="Laboral",[1]Input!$A$4:$Y$227,IF($C$6="Sábado",[1]Input!$A$231:$Y$452,[1]Input!$A$456:$Y$656)),VLOOKUP($C$4,[1]Input!$AG$2:$AI$99,3,0)+IF(C$5="Ida",0,1),1),"")</f>
        <v>#N/A</v>
      </c>
      <c r="K486" s="34" t="str">
        <f>IF(A487&lt;&gt;A486,AVERAGEIF(A$9:A486,A486,J$13:J486),"")</f>
        <v/>
      </c>
      <c r="L486" s="35" t="str">
        <f>IFERROR(IF(A487&lt;&gt;A486,AVERAGEIF(A$9:A486,A486,S$13:S486),""),"")</f>
        <v/>
      </c>
      <c r="M486" s="35" t="str">
        <f>IFERROR(IF(A487&lt;&gt;A486,AVERAGEIF(A$9:A486,A486,T$8:T486),""),"")</f>
        <v/>
      </c>
      <c r="N486" s="35" t="str" cm="1">
        <f t="array" ref="N486">IFERROR(IF(A487&lt;&gt;A486,_xlfn.STDEV.P(IF(A$9:A486=A486,T$7:T486)),""),"")</f>
        <v/>
      </c>
      <c r="O486" s="35" t="str" cm="1">
        <f t="array" ref="O486">IFERROR(IF(A487&lt;&gt;A486,_xlfn.STDEV.P(IF(A$9:A486=A486,S$7:S486)),""),"")</f>
        <v/>
      </c>
      <c r="P486" s="36" t="str">
        <f t="shared" si="110"/>
        <v/>
      </c>
      <c r="Q486" s="36" t="str">
        <f t="shared" si="111"/>
        <v/>
      </c>
      <c r="R486" s="36" t="str">
        <f t="shared" si="118"/>
        <v/>
      </c>
      <c r="S486" s="37" t="str">
        <f t="shared" si="119"/>
        <v/>
      </c>
      <c r="T486" s="37" t="str">
        <f t="shared" si="112"/>
        <v/>
      </c>
      <c r="U486" s="54"/>
      <c r="V486" s="46"/>
      <c r="W486" s="39" t="str">
        <f t="shared" si="120"/>
        <v/>
      </c>
      <c r="X486" s="38"/>
      <c r="Y486" s="48"/>
      <c r="AB486" s="56">
        <f t="shared" si="121"/>
        <v>1</v>
      </c>
      <c r="AC486" s="52"/>
      <c r="AD486" s="52"/>
      <c r="AE486" s="29" t="str">
        <f>IFERROR(
IF(AND(OR(AC486="C",AC486="c"), VLOOKUP(AF486,[1]Diccionario!B:N,13,0)="C"), "OK",IF(AND(OR(AC486="C",AC486="c"), OR(VLOOKUP(AF486,[1]Diccionario!B:N,13,0)="B", VLOOKUP(AF486,[1]Diccionario!B:N,13,0)="A")), "DEFICIT",IF(
AND(OR(AC486="B", AC486="BPAL"), VLOOKUP(AF486,[1]Diccionario!B:N,13,0)="B"), "OK",IF(AND(OR(AC486="B", AC486="BPAL"), VLOOKUP(AF486,[1]Diccionario!B:N,13,0)="A"), "DEFICIT",IF(AND(OR(AC486="B", AC486="BPAL"), VLOOKUP(AF486,[1]Diccionario!B:N,13,0)="C"), "SOBREOFERTA",IF(AND(AC486="A", VLOOKUP(AF486,[1]Diccionario!B:N,13,0)="A"), "OK",IF(
AND(AC486="A", OR(VLOOKUP(AF486,[1]Diccionario!B:N,13,0)="B", VLOOKUP(AF486,[1]Diccionario!B:N,13,0)="C")), "SOBREOFERTA",""
))))))),"")</f>
        <v/>
      </c>
      <c r="AF486" s="48"/>
      <c r="AG486" s="53"/>
      <c r="AH486" s="54"/>
      <c r="AI486" s="55" t="str">
        <f t="shared" si="122"/>
        <v/>
      </c>
      <c r="AJ486" s="46"/>
      <c r="AK486" s="34" t="e">
        <f>IF(AB486&lt;&gt;"",HLOOKUP(VALUE(TEXT(AH486,"h:mm:ss")),IF($C$6="Laboral",[1]Input!$A$4:$Y$227,IF($C$6="Sábado",[1]Input!$A$231:$Y$452,[1]Input!$A$456:$Y$656)),VLOOKUP($C$4,[1]Input!$AG$2:$AI$99,3,0)+IF(AD$5="Ida",0,1),1),"")</f>
        <v>#N/A</v>
      </c>
      <c r="AL486" s="34" t="str">
        <f>IF(AB487&lt;&gt;AB486,AVERAGEIF(AB$9:AB486,AB486,AK$9:AK486),"")</f>
        <v/>
      </c>
      <c r="AM486" s="35" t="str">
        <f>IFERROR(IF(AB487&lt;&gt;AB486,AVERAGEIF(AB$9:AB486,AB486,AT$9:AT486),""),"")</f>
        <v/>
      </c>
      <c r="AN486" s="35" t="str">
        <f>IFERROR(IF(AB487&lt;&gt;AB486,AVERAGEIF(AB$9:AB486,AB486,AU$9:AU486),""),"")</f>
        <v/>
      </c>
      <c r="AO486" s="35" t="str" cm="1">
        <f t="array" ref="AO486">IFERROR(IF(AB487&lt;&gt;AB486,_xlfn.STDEV.P(IF(AB$9:AB486=AB486,AU$9:AU486)),""),"")</f>
        <v/>
      </c>
      <c r="AP486" s="35" t="str" cm="1">
        <f t="array" ref="AP486">IFERROR(IF(AB487&lt;&gt;AB486,_xlfn.STDEV.P(IF(AB$9:AB486=AB486,AT$9:AT486)),""),"")</f>
        <v/>
      </c>
      <c r="AQ486" s="36" t="str">
        <f t="shared" si="113"/>
        <v/>
      </c>
      <c r="AR486" s="36" t="str">
        <f t="shared" si="114"/>
        <v/>
      </c>
      <c r="AS486" s="36" t="str">
        <f t="shared" si="123"/>
        <v/>
      </c>
      <c r="AT486" s="37" t="str">
        <f t="shared" si="115"/>
        <v/>
      </c>
      <c r="AU486" s="37" t="str">
        <f t="shared" si="116"/>
        <v/>
      </c>
      <c r="AV486" s="54"/>
      <c r="AW486" s="46"/>
      <c r="AX486" s="39" t="str" cm="1">
        <f t="array" ref="AX486">IF(AH486&lt;&gt;"",IF(AND(AX484:AX485&lt;&gt;"IE",AQ486&lt;&gt;0,AS486&lt;&gt;""),IF(IFERROR((AQ486/AS486),0) &lt;=1,IFERROR(AQ486/AS486,""),1),""),"")</f>
        <v/>
      </c>
      <c r="AY486" s="46"/>
      <c r="AZ486" s="57"/>
    </row>
    <row r="487" spans="1:52" ht="15.5" x14ac:dyDescent="0.35">
      <c r="A487" s="51">
        <f t="shared" si="124"/>
        <v>1</v>
      </c>
      <c r="B487" s="52"/>
      <c r="C487" s="52"/>
      <c r="D487" s="29" t="str">
        <f>IFERROR(
IF(AND(OR(Planilla!B487="C",Planilla!B487="c"), VLOOKUP(E487,[1]Diccionario!B:N,13,0)="C"), "OK",IF(AND(OR(Planilla!B487="C",Planilla!B487="c"), OR(VLOOKUP(E487,[1]Diccionario!B:N,13,0)="B", VLOOKUP(E487,[1]Diccionario!B:N,13,0)="A")), "DEFICIT",IF(
AND(OR(Planilla!B487="B", Planilla!B487="BPAL"), VLOOKUP(E487,[1]Diccionario!B:N,13,0)="B"), "OK",IF(AND(OR(Planilla!B487="B", Planilla!B487="BPAL"), VLOOKUP(E487,[1]Diccionario!B:N,13,0)="A"), "DEFICIT",IF(AND(OR(Planilla!B487="B", Planilla!B487="BPAL"), VLOOKUP(E487,[1]Diccionario!B:N,13,0)="C"), "SOBREOFERTA",IF(AND(Planilla!B487="A", VLOOKUP(E487,[1]Diccionario!B:N,13,0)="A"), "OK",IF(
AND(Planilla!B487="A", OR(VLOOKUP(E487,[1]Diccionario!B:N,13,0)="B", VLOOKUP(E487,[1]Diccionario!B:N,13,0)="C")), "SOBREOFERTA",""
))))))),"")</f>
        <v/>
      </c>
      <c r="E487" s="48"/>
      <c r="F487" s="53"/>
      <c r="G487" s="54"/>
      <c r="H487" s="55" t="str">
        <f t="shared" si="117"/>
        <v/>
      </c>
      <c r="I487" s="35"/>
      <c r="J487" s="34" t="e">
        <f>IF(A487&lt;&gt;"",HLOOKUP(VALUE(TEXT(G487,"h:mm:ss")),IF($C$6="Laboral",[1]Input!$A$4:$Y$227,IF($C$6="Sábado",[1]Input!$A$231:$Y$452,[1]Input!$A$456:$Y$656)),VLOOKUP($C$4,[1]Input!$AG$2:$AI$99,3,0)+IF(C$5="Ida",0,1),1),"")</f>
        <v>#N/A</v>
      </c>
      <c r="K487" s="34" t="str">
        <f>IF(A488&lt;&gt;A487,AVERAGEIF(A$9:A487,A487,J$13:J487),"")</f>
        <v/>
      </c>
      <c r="L487" s="35" t="str">
        <f>IFERROR(IF(A488&lt;&gt;A487,AVERAGEIF(A$9:A487,A487,S$13:S487),""),"")</f>
        <v/>
      </c>
      <c r="M487" s="35" t="str">
        <f>IFERROR(IF(A488&lt;&gt;A487,AVERAGEIF(A$9:A487,A487,T$8:T487),""),"")</f>
        <v/>
      </c>
      <c r="N487" s="35" t="str" cm="1">
        <f t="array" ref="N487">IFERROR(IF(A488&lt;&gt;A487,_xlfn.STDEV.P(IF(A$9:A487=A487,T$7:T487)),""),"")</f>
        <v/>
      </c>
      <c r="O487" s="35" t="str" cm="1">
        <f t="array" ref="O487">IFERROR(IF(A488&lt;&gt;A487,_xlfn.STDEV.P(IF(A$9:A487=A487,S$7:S487)),""),"")</f>
        <v/>
      </c>
      <c r="P487" s="36" t="str">
        <f t="shared" si="110"/>
        <v/>
      </c>
      <c r="Q487" s="36" t="str">
        <f t="shared" si="111"/>
        <v/>
      </c>
      <c r="R487" s="36" t="str">
        <f t="shared" si="118"/>
        <v/>
      </c>
      <c r="S487" s="37" t="str">
        <f t="shared" si="119"/>
        <v/>
      </c>
      <c r="T487" s="37" t="str">
        <f t="shared" si="112"/>
        <v/>
      </c>
      <c r="U487" s="54"/>
      <c r="V487" s="46"/>
      <c r="W487" s="39" t="str">
        <f t="shared" si="120"/>
        <v/>
      </c>
      <c r="X487" s="38"/>
      <c r="Y487" s="48"/>
      <c r="AB487" s="56">
        <f t="shared" si="121"/>
        <v>1</v>
      </c>
      <c r="AC487" s="52"/>
      <c r="AD487" s="52"/>
      <c r="AE487" s="29" t="str">
        <f>IFERROR(
IF(AND(OR(AC487="C",AC487="c"), VLOOKUP(AF487,[1]Diccionario!B:N,13,0)="C"), "OK",IF(AND(OR(AC487="C",AC487="c"), OR(VLOOKUP(AF487,[1]Diccionario!B:N,13,0)="B", VLOOKUP(AF487,[1]Diccionario!B:N,13,0)="A")), "DEFICIT",IF(
AND(OR(AC487="B", AC487="BPAL"), VLOOKUP(AF487,[1]Diccionario!B:N,13,0)="B"), "OK",IF(AND(OR(AC487="B", AC487="BPAL"), VLOOKUP(AF487,[1]Diccionario!B:N,13,0)="A"), "DEFICIT",IF(AND(OR(AC487="B", AC487="BPAL"), VLOOKUP(AF487,[1]Diccionario!B:N,13,0)="C"), "SOBREOFERTA",IF(AND(AC487="A", VLOOKUP(AF487,[1]Diccionario!B:N,13,0)="A"), "OK",IF(
AND(AC487="A", OR(VLOOKUP(AF487,[1]Diccionario!B:N,13,0)="B", VLOOKUP(AF487,[1]Diccionario!B:N,13,0)="C")), "SOBREOFERTA",""
))))))),"")</f>
        <v/>
      </c>
      <c r="AF487" s="48"/>
      <c r="AG487" s="53"/>
      <c r="AH487" s="54"/>
      <c r="AI487" s="55" t="str">
        <f t="shared" si="122"/>
        <v/>
      </c>
      <c r="AJ487" s="46"/>
      <c r="AK487" s="34" t="e">
        <f>IF(AB487&lt;&gt;"",HLOOKUP(VALUE(TEXT(AH487,"h:mm:ss")),IF($C$6="Laboral",[1]Input!$A$4:$Y$227,IF($C$6="Sábado",[1]Input!$A$231:$Y$452,[1]Input!$A$456:$Y$656)),VLOOKUP($C$4,[1]Input!$AG$2:$AI$99,3,0)+IF(AD$5="Ida",0,1),1),"")</f>
        <v>#N/A</v>
      </c>
      <c r="AL487" s="34" t="str">
        <f>IF(AB488&lt;&gt;AB487,AVERAGEIF(AB$9:AB487,AB487,AK$9:AK487),"")</f>
        <v/>
      </c>
      <c r="AM487" s="35" t="str">
        <f>IFERROR(IF(AB488&lt;&gt;AB487,AVERAGEIF(AB$9:AB487,AB487,AT$9:AT487),""),"")</f>
        <v/>
      </c>
      <c r="AN487" s="35" t="str">
        <f>IFERROR(IF(AB488&lt;&gt;AB487,AVERAGEIF(AB$9:AB487,AB487,AU$9:AU487),""),"")</f>
        <v/>
      </c>
      <c r="AO487" s="35" t="str" cm="1">
        <f t="array" ref="AO487">IFERROR(IF(AB488&lt;&gt;AB487,_xlfn.STDEV.P(IF(AB$9:AB487=AB487,AU$9:AU487)),""),"")</f>
        <v/>
      </c>
      <c r="AP487" s="35" t="str" cm="1">
        <f t="array" ref="AP487">IFERROR(IF(AB488&lt;&gt;AB487,_xlfn.STDEV.P(IF(AB$9:AB487=AB487,AT$9:AT487)),""),"")</f>
        <v/>
      </c>
      <c r="AQ487" s="36" t="str">
        <f t="shared" si="113"/>
        <v/>
      </c>
      <c r="AR487" s="36" t="str">
        <f t="shared" si="114"/>
        <v/>
      </c>
      <c r="AS487" s="36" t="str">
        <f t="shared" si="123"/>
        <v/>
      </c>
      <c r="AT487" s="37" t="str">
        <f t="shared" si="115"/>
        <v/>
      </c>
      <c r="AU487" s="37" t="str">
        <f t="shared" si="116"/>
        <v/>
      </c>
      <c r="AV487" s="54"/>
      <c r="AW487" s="46"/>
      <c r="AX487" s="39" t="str" cm="1">
        <f t="array" ref="AX487">IF(AH487&lt;&gt;"",IF(AND(AX485:AX486&lt;&gt;"IE",AQ487&lt;&gt;0,AS487&lt;&gt;""),IF(IFERROR((AQ487/AS487),0) &lt;=1,IFERROR(AQ487/AS487,""),1),""),"")</f>
        <v/>
      </c>
      <c r="AY487" s="46"/>
      <c r="AZ487" s="57"/>
    </row>
    <row r="488" spans="1:52" ht="15.5" x14ac:dyDescent="0.35">
      <c r="A488" s="51">
        <f t="shared" si="124"/>
        <v>1</v>
      </c>
      <c r="B488" s="52"/>
      <c r="C488" s="52"/>
      <c r="D488" s="29" t="str">
        <f>IFERROR(
IF(AND(OR(Planilla!B488="C",Planilla!B488="c"), VLOOKUP(E488,[1]Diccionario!B:N,13,0)="C"), "OK",IF(AND(OR(Planilla!B488="C",Planilla!B488="c"), OR(VLOOKUP(E488,[1]Diccionario!B:N,13,0)="B", VLOOKUP(E488,[1]Diccionario!B:N,13,0)="A")), "DEFICIT",IF(
AND(OR(Planilla!B488="B", Planilla!B488="BPAL"), VLOOKUP(E488,[1]Diccionario!B:N,13,0)="B"), "OK",IF(AND(OR(Planilla!B488="B", Planilla!B488="BPAL"), VLOOKUP(E488,[1]Diccionario!B:N,13,0)="A"), "DEFICIT",IF(AND(OR(Planilla!B488="B", Planilla!B488="BPAL"), VLOOKUP(E488,[1]Diccionario!B:N,13,0)="C"), "SOBREOFERTA",IF(AND(Planilla!B488="A", VLOOKUP(E488,[1]Diccionario!B:N,13,0)="A"), "OK",IF(
AND(Planilla!B488="A", OR(VLOOKUP(E488,[1]Diccionario!B:N,13,0)="B", VLOOKUP(E488,[1]Diccionario!B:N,13,0)="C")), "SOBREOFERTA",""
))))))),"")</f>
        <v/>
      </c>
      <c r="E488" s="48"/>
      <c r="F488" s="53"/>
      <c r="G488" s="54"/>
      <c r="H488" s="55" t="str">
        <f t="shared" si="117"/>
        <v/>
      </c>
      <c r="I488" s="35"/>
      <c r="J488" s="34" t="e">
        <f>IF(A488&lt;&gt;"",HLOOKUP(VALUE(TEXT(G488,"h:mm:ss")),IF($C$6="Laboral",[1]Input!$A$4:$Y$227,IF($C$6="Sábado",[1]Input!$A$231:$Y$452,[1]Input!$A$456:$Y$656)),VLOOKUP($C$4,[1]Input!$AG$2:$AI$99,3,0)+IF(C$5="Ida",0,1),1),"")</f>
        <v>#N/A</v>
      </c>
      <c r="K488" s="34" t="str">
        <f>IF(A489&lt;&gt;A488,AVERAGEIF(A$9:A488,A488,J$13:J488),"")</f>
        <v/>
      </c>
      <c r="L488" s="35" t="str">
        <f>IFERROR(IF(A489&lt;&gt;A488,AVERAGEIF(A$9:A488,A488,S$13:S488),""),"")</f>
        <v/>
      </c>
      <c r="M488" s="35" t="str">
        <f>IFERROR(IF(A489&lt;&gt;A488,AVERAGEIF(A$9:A488,A488,T$8:T488),""),"")</f>
        <v/>
      </c>
      <c r="N488" s="35" t="str" cm="1">
        <f t="array" ref="N488">IFERROR(IF(A489&lt;&gt;A488,_xlfn.STDEV.P(IF(A$9:A488=A488,T$7:T488)),""),"")</f>
        <v/>
      </c>
      <c r="O488" s="35" t="str" cm="1">
        <f t="array" ref="O488">IFERROR(IF(A489&lt;&gt;A488,_xlfn.STDEV.P(IF(A$9:A488=A488,S$7:S488)),""),"")</f>
        <v/>
      </c>
      <c r="P488" s="36" t="str">
        <f t="shared" si="110"/>
        <v/>
      </c>
      <c r="Q488" s="36" t="str">
        <f t="shared" si="111"/>
        <v/>
      </c>
      <c r="R488" s="36" t="str">
        <f t="shared" si="118"/>
        <v/>
      </c>
      <c r="S488" s="37" t="str">
        <f t="shared" si="119"/>
        <v/>
      </c>
      <c r="T488" s="37" t="str">
        <f t="shared" si="112"/>
        <v/>
      </c>
      <c r="U488" s="54"/>
      <c r="V488" s="46"/>
      <c r="W488" s="39" t="str">
        <f t="shared" si="120"/>
        <v/>
      </c>
      <c r="X488" s="38"/>
      <c r="Y488" s="48"/>
      <c r="AB488" s="56">
        <f t="shared" si="121"/>
        <v>1</v>
      </c>
      <c r="AC488" s="52"/>
      <c r="AD488" s="52"/>
      <c r="AE488" s="29" t="str">
        <f>IFERROR(
IF(AND(OR(AC488="C",AC488="c"), VLOOKUP(AF488,[1]Diccionario!B:N,13,0)="C"), "OK",IF(AND(OR(AC488="C",AC488="c"), OR(VLOOKUP(AF488,[1]Diccionario!B:N,13,0)="B", VLOOKUP(AF488,[1]Diccionario!B:N,13,0)="A")), "DEFICIT",IF(
AND(OR(AC488="B", AC488="BPAL"), VLOOKUP(AF488,[1]Diccionario!B:N,13,0)="B"), "OK",IF(AND(OR(AC488="B", AC488="BPAL"), VLOOKUP(AF488,[1]Diccionario!B:N,13,0)="A"), "DEFICIT",IF(AND(OR(AC488="B", AC488="BPAL"), VLOOKUP(AF488,[1]Diccionario!B:N,13,0)="C"), "SOBREOFERTA",IF(AND(AC488="A", VLOOKUP(AF488,[1]Diccionario!B:N,13,0)="A"), "OK",IF(
AND(AC488="A", OR(VLOOKUP(AF488,[1]Diccionario!B:N,13,0)="B", VLOOKUP(AF488,[1]Diccionario!B:N,13,0)="C")), "SOBREOFERTA",""
))))))),"")</f>
        <v/>
      </c>
      <c r="AF488" s="48"/>
      <c r="AG488" s="53"/>
      <c r="AH488" s="54"/>
      <c r="AI488" s="55" t="str">
        <f t="shared" si="122"/>
        <v/>
      </c>
      <c r="AJ488" s="46"/>
      <c r="AK488" s="34" t="e">
        <f>IF(AB488&lt;&gt;"",HLOOKUP(VALUE(TEXT(AH488,"h:mm:ss")),IF($C$6="Laboral",[1]Input!$A$4:$Y$227,IF($C$6="Sábado",[1]Input!$A$231:$Y$452,[1]Input!$A$456:$Y$656)),VLOOKUP($C$4,[1]Input!$AG$2:$AI$99,3,0)+IF(AD$5="Ida",0,1),1),"")</f>
        <v>#N/A</v>
      </c>
      <c r="AL488" s="34" t="str">
        <f>IF(AB489&lt;&gt;AB488,AVERAGEIF(AB$9:AB488,AB488,AK$9:AK488),"")</f>
        <v/>
      </c>
      <c r="AM488" s="35" t="str">
        <f>IFERROR(IF(AB489&lt;&gt;AB488,AVERAGEIF(AB$9:AB488,AB488,AT$9:AT488),""),"")</f>
        <v/>
      </c>
      <c r="AN488" s="35" t="str">
        <f>IFERROR(IF(AB489&lt;&gt;AB488,AVERAGEIF(AB$9:AB488,AB488,AU$9:AU488),""),"")</f>
        <v/>
      </c>
      <c r="AO488" s="35" t="str" cm="1">
        <f t="array" ref="AO488">IFERROR(IF(AB489&lt;&gt;AB488,_xlfn.STDEV.P(IF(AB$9:AB488=AB488,AU$9:AU488)),""),"")</f>
        <v/>
      </c>
      <c r="AP488" s="35" t="str" cm="1">
        <f t="array" ref="AP488">IFERROR(IF(AB489&lt;&gt;AB488,_xlfn.STDEV.P(IF(AB$9:AB488=AB488,AT$9:AT488)),""),"")</f>
        <v/>
      </c>
      <c r="AQ488" s="36" t="str">
        <f t="shared" si="113"/>
        <v/>
      </c>
      <c r="AR488" s="36" t="str">
        <f t="shared" si="114"/>
        <v/>
      </c>
      <c r="AS488" s="36" t="str">
        <f t="shared" si="123"/>
        <v/>
      </c>
      <c r="AT488" s="37" t="str">
        <f t="shared" si="115"/>
        <v/>
      </c>
      <c r="AU488" s="37" t="str">
        <f t="shared" si="116"/>
        <v/>
      </c>
      <c r="AV488" s="54"/>
      <c r="AW488" s="46"/>
      <c r="AX488" s="39" t="str" cm="1">
        <f t="array" ref="AX488">IF(AH488&lt;&gt;"",IF(AND(AX486:AX487&lt;&gt;"IE",AQ488&lt;&gt;0,AS488&lt;&gt;""),IF(IFERROR((AQ488/AS488),0) &lt;=1,IFERROR(AQ488/AS488,""),1),""),"")</f>
        <v/>
      </c>
      <c r="AY488" s="46"/>
      <c r="AZ488" s="57"/>
    </row>
    <row r="489" spans="1:52" ht="15.5" x14ac:dyDescent="0.35">
      <c r="A489" s="51">
        <f t="shared" si="124"/>
        <v>1</v>
      </c>
      <c r="B489" s="52"/>
      <c r="C489" s="52"/>
      <c r="D489" s="29" t="str">
        <f>IFERROR(
IF(AND(OR(Planilla!B489="C",Planilla!B489="c"), VLOOKUP(E489,[1]Diccionario!B:N,13,0)="C"), "OK",IF(AND(OR(Planilla!B489="C",Planilla!B489="c"), OR(VLOOKUP(E489,[1]Diccionario!B:N,13,0)="B", VLOOKUP(E489,[1]Diccionario!B:N,13,0)="A")), "DEFICIT",IF(
AND(OR(Planilla!B489="B", Planilla!B489="BPAL"), VLOOKUP(E489,[1]Diccionario!B:N,13,0)="B"), "OK",IF(AND(OR(Planilla!B489="B", Planilla!B489="BPAL"), VLOOKUP(E489,[1]Diccionario!B:N,13,0)="A"), "DEFICIT",IF(AND(OR(Planilla!B489="B", Planilla!B489="BPAL"), VLOOKUP(E489,[1]Diccionario!B:N,13,0)="C"), "SOBREOFERTA",IF(AND(Planilla!B489="A", VLOOKUP(E489,[1]Diccionario!B:N,13,0)="A"), "OK",IF(
AND(Planilla!B489="A", OR(VLOOKUP(E489,[1]Diccionario!B:N,13,0)="B", VLOOKUP(E489,[1]Diccionario!B:N,13,0)="C")), "SOBREOFERTA",""
))))))),"")</f>
        <v/>
      </c>
      <c r="E489" s="48"/>
      <c r="F489" s="53"/>
      <c r="G489" s="54"/>
      <c r="H489" s="55" t="str">
        <f t="shared" si="117"/>
        <v/>
      </c>
      <c r="I489" s="35"/>
      <c r="J489" s="34" t="e">
        <f>IF(A489&lt;&gt;"",HLOOKUP(VALUE(TEXT(G489,"h:mm:ss")),IF($C$6="Laboral",[1]Input!$A$4:$Y$227,IF($C$6="Sábado",[1]Input!$A$231:$Y$452,[1]Input!$A$456:$Y$656)),VLOOKUP($C$4,[1]Input!$AG$2:$AI$99,3,0)+IF(C$5="Ida",0,1),1),"")</f>
        <v>#N/A</v>
      </c>
      <c r="K489" s="34" t="str">
        <f>IF(A490&lt;&gt;A489,AVERAGEIF(A$9:A489,A489,J$13:J489),"")</f>
        <v/>
      </c>
      <c r="L489" s="35" t="str">
        <f>IFERROR(IF(A490&lt;&gt;A489,AVERAGEIF(A$9:A489,A489,S$13:S489),""),"")</f>
        <v/>
      </c>
      <c r="M489" s="35" t="str">
        <f>IFERROR(IF(A490&lt;&gt;A489,AVERAGEIF(A$9:A489,A489,T$8:T489),""),"")</f>
        <v/>
      </c>
      <c r="N489" s="35" t="str" cm="1">
        <f t="array" ref="N489">IFERROR(IF(A490&lt;&gt;A489,_xlfn.STDEV.P(IF(A$9:A489=A489,T$7:T489)),""),"")</f>
        <v/>
      </c>
      <c r="O489" s="35" t="str" cm="1">
        <f t="array" ref="O489">IFERROR(IF(A490&lt;&gt;A489,_xlfn.STDEV.P(IF(A$9:A489=A489,S$7:S489)),""),"")</f>
        <v/>
      </c>
      <c r="P489" s="36" t="str">
        <f t="shared" si="110"/>
        <v/>
      </c>
      <c r="Q489" s="36" t="str">
        <f t="shared" si="111"/>
        <v/>
      </c>
      <c r="R489" s="36" t="str">
        <f t="shared" si="118"/>
        <v/>
      </c>
      <c r="S489" s="37" t="str">
        <f t="shared" si="119"/>
        <v/>
      </c>
      <c r="T489" s="37" t="str">
        <f t="shared" si="112"/>
        <v/>
      </c>
      <c r="U489" s="54"/>
      <c r="V489" s="46"/>
      <c r="W489" s="39" t="str">
        <f t="shared" si="120"/>
        <v/>
      </c>
      <c r="X489" s="38"/>
      <c r="Y489" s="48"/>
      <c r="AB489" s="56">
        <f t="shared" si="121"/>
        <v>1</v>
      </c>
      <c r="AC489" s="52"/>
      <c r="AD489" s="52"/>
      <c r="AE489" s="29" t="str">
        <f>IFERROR(
IF(AND(OR(AC489="C",AC489="c"), VLOOKUP(AF489,[1]Diccionario!B:N,13,0)="C"), "OK",IF(AND(OR(AC489="C",AC489="c"), OR(VLOOKUP(AF489,[1]Diccionario!B:N,13,0)="B", VLOOKUP(AF489,[1]Diccionario!B:N,13,0)="A")), "DEFICIT",IF(
AND(OR(AC489="B", AC489="BPAL"), VLOOKUP(AF489,[1]Diccionario!B:N,13,0)="B"), "OK",IF(AND(OR(AC489="B", AC489="BPAL"), VLOOKUP(AF489,[1]Diccionario!B:N,13,0)="A"), "DEFICIT",IF(AND(OR(AC489="B", AC489="BPAL"), VLOOKUP(AF489,[1]Diccionario!B:N,13,0)="C"), "SOBREOFERTA",IF(AND(AC489="A", VLOOKUP(AF489,[1]Diccionario!B:N,13,0)="A"), "OK",IF(
AND(AC489="A", OR(VLOOKUP(AF489,[1]Diccionario!B:N,13,0)="B", VLOOKUP(AF489,[1]Diccionario!B:N,13,0)="C")), "SOBREOFERTA",""
))))))),"")</f>
        <v/>
      </c>
      <c r="AF489" s="48"/>
      <c r="AG489" s="53"/>
      <c r="AH489" s="54"/>
      <c r="AI489" s="55" t="str">
        <f t="shared" si="122"/>
        <v/>
      </c>
      <c r="AJ489" s="46"/>
      <c r="AK489" s="34" t="e">
        <f>IF(AB489&lt;&gt;"",HLOOKUP(VALUE(TEXT(AH489,"h:mm:ss")),IF($C$6="Laboral",[1]Input!$A$4:$Y$227,IF($C$6="Sábado",[1]Input!$A$231:$Y$452,[1]Input!$A$456:$Y$656)),VLOOKUP($C$4,[1]Input!$AG$2:$AI$99,3,0)+IF(AD$5="Ida",0,1),1),"")</f>
        <v>#N/A</v>
      </c>
      <c r="AL489" s="34" t="str">
        <f>IF(AB490&lt;&gt;AB489,AVERAGEIF(AB$9:AB489,AB489,AK$9:AK489),"")</f>
        <v/>
      </c>
      <c r="AM489" s="35" t="str">
        <f>IFERROR(IF(AB490&lt;&gt;AB489,AVERAGEIF(AB$9:AB489,AB489,AT$9:AT489),""),"")</f>
        <v/>
      </c>
      <c r="AN489" s="35" t="str">
        <f>IFERROR(IF(AB490&lt;&gt;AB489,AVERAGEIF(AB$9:AB489,AB489,AU$9:AU489),""),"")</f>
        <v/>
      </c>
      <c r="AO489" s="35" t="str" cm="1">
        <f t="array" ref="AO489">IFERROR(IF(AB490&lt;&gt;AB489,_xlfn.STDEV.P(IF(AB$9:AB489=AB489,AU$9:AU489)),""),"")</f>
        <v/>
      </c>
      <c r="AP489" s="35" t="str" cm="1">
        <f t="array" ref="AP489">IFERROR(IF(AB490&lt;&gt;AB489,_xlfn.STDEV.P(IF(AB$9:AB489=AB489,AT$9:AT489)),""),"")</f>
        <v/>
      </c>
      <c r="AQ489" s="36" t="str">
        <f t="shared" si="113"/>
        <v/>
      </c>
      <c r="AR489" s="36" t="str">
        <f t="shared" si="114"/>
        <v/>
      </c>
      <c r="AS489" s="36" t="str">
        <f t="shared" si="123"/>
        <v/>
      </c>
      <c r="AT489" s="37" t="str">
        <f t="shared" si="115"/>
        <v/>
      </c>
      <c r="AU489" s="37" t="str">
        <f t="shared" si="116"/>
        <v/>
      </c>
      <c r="AV489" s="54"/>
      <c r="AW489" s="46"/>
      <c r="AX489" s="39" t="str" cm="1">
        <f t="array" ref="AX489">IF(AH489&lt;&gt;"",IF(AND(AX487:AX488&lt;&gt;"IE",AQ489&lt;&gt;0,AS489&lt;&gt;""),IF(IFERROR((AQ489/AS489),0) &lt;=1,IFERROR(AQ489/AS489,""),1),""),"")</f>
        <v/>
      </c>
      <c r="AY489" s="46"/>
      <c r="AZ489" s="57"/>
    </row>
    <row r="490" spans="1:52" ht="15.5" x14ac:dyDescent="0.35">
      <c r="A490" s="51">
        <f t="shared" si="124"/>
        <v>1</v>
      </c>
      <c r="B490" s="52"/>
      <c r="C490" s="52"/>
      <c r="D490" s="29" t="str">
        <f>IFERROR(
IF(AND(OR(Planilla!B490="C",Planilla!B490="c"), VLOOKUP(E490,[1]Diccionario!B:N,13,0)="C"), "OK",IF(AND(OR(Planilla!B490="C",Planilla!B490="c"), OR(VLOOKUP(E490,[1]Diccionario!B:N,13,0)="B", VLOOKUP(E490,[1]Diccionario!B:N,13,0)="A")), "DEFICIT",IF(
AND(OR(Planilla!B490="B", Planilla!B490="BPAL"), VLOOKUP(E490,[1]Diccionario!B:N,13,0)="B"), "OK",IF(AND(OR(Planilla!B490="B", Planilla!B490="BPAL"), VLOOKUP(E490,[1]Diccionario!B:N,13,0)="A"), "DEFICIT",IF(AND(OR(Planilla!B490="B", Planilla!B490="BPAL"), VLOOKUP(E490,[1]Diccionario!B:N,13,0)="C"), "SOBREOFERTA",IF(AND(Planilla!B490="A", VLOOKUP(E490,[1]Diccionario!B:N,13,0)="A"), "OK",IF(
AND(Planilla!B490="A", OR(VLOOKUP(E490,[1]Diccionario!B:N,13,0)="B", VLOOKUP(E490,[1]Diccionario!B:N,13,0)="C")), "SOBREOFERTA",""
))))))),"")</f>
        <v/>
      </c>
      <c r="E490" s="48"/>
      <c r="F490" s="53"/>
      <c r="G490" s="54"/>
      <c r="H490" s="55" t="str">
        <f t="shared" si="117"/>
        <v/>
      </c>
      <c r="I490" s="35"/>
      <c r="J490" s="34" t="e">
        <f>IF(A490&lt;&gt;"",HLOOKUP(VALUE(TEXT(G490,"h:mm:ss")),IF($C$6="Laboral",[1]Input!$A$4:$Y$227,IF($C$6="Sábado",[1]Input!$A$231:$Y$452,[1]Input!$A$456:$Y$656)),VLOOKUP($C$4,[1]Input!$AG$2:$AI$99,3,0)+IF(C$5="Ida",0,1),1),"")</f>
        <v>#N/A</v>
      </c>
      <c r="K490" s="34" t="str">
        <f>IF(A491&lt;&gt;A490,AVERAGEIF(A$9:A490,A490,J$13:J490),"")</f>
        <v/>
      </c>
      <c r="L490" s="35" t="str">
        <f>IFERROR(IF(A491&lt;&gt;A490,AVERAGEIF(A$9:A490,A490,S$13:S490),""),"")</f>
        <v/>
      </c>
      <c r="M490" s="35" t="str">
        <f>IFERROR(IF(A491&lt;&gt;A490,AVERAGEIF(A$9:A490,A490,T$8:T490),""),"")</f>
        <v/>
      </c>
      <c r="N490" s="35" t="str" cm="1">
        <f t="array" ref="N490">IFERROR(IF(A491&lt;&gt;A490,_xlfn.STDEV.P(IF(A$9:A490=A490,T$7:T490)),""),"")</f>
        <v/>
      </c>
      <c r="O490" s="35" t="str" cm="1">
        <f t="array" ref="O490">IFERROR(IF(A491&lt;&gt;A490,_xlfn.STDEV.P(IF(A$9:A490=A490,S$7:S490)),""),"")</f>
        <v/>
      </c>
      <c r="P490" s="36" t="str">
        <f t="shared" si="110"/>
        <v/>
      </c>
      <c r="Q490" s="36" t="str">
        <f t="shared" si="111"/>
        <v/>
      </c>
      <c r="R490" s="36" t="str">
        <f t="shared" si="118"/>
        <v/>
      </c>
      <c r="S490" s="37" t="str">
        <f t="shared" si="119"/>
        <v/>
      </c>
      <c r="T490" s="37" t="str">
        <f t="shared" si="112"/>
        <v/>
      </c>
      <c r="U490" s="54"/>
      <c r="V490" s="46"/>
      <c r="W490" s="39" t="str">
        <f t="shared" si="120"/>
        <v/>
      </c>
      <c r="X490" s="38"/>
      <c r="Y490" s="48"/>
      <c r="AB490" s="56">
        <f t="shared" si="121"/>
        <v>1</v>
      </c>
      <c r="AC490" s="52"/>
      <c r="AD490" s="52"/>
      <c r="AE490" s="29" t="str">
        <f>IFERROR(
IF(AND(OR(AC490="C",AC490="c"), VLOOKUP(AF490,[1]Diccionario!B:N,13,0)="C"), "OK",IF(AND(OR(AC490="C",AC490="c"), OR(VLOOKUP(AF490,[1]Diccionario!B:N,13,0)="B", VLOOKUP(AF490,[1]Diccionario!B:N,13,0)="A")), "DEFICIT",IF(
AND(OR(AC490="B", AC490="BPAL"), VLOOKUP(AF490,[1]Diccionario!B:N,13,0)="B"), "OK",IF(AND(OR(AC490="B", AC490="BPAL"), VLOOKUP(AF490,[1]Diccionario!B:N,13,0)="A"), "DEFICIT",IF(AND(OR(AC490="B", AC490="BPAL"), VLOOKUP(AF490,[1]Diccionario!B:N,13,0)="C"), "SOBREOFERTA",IF(AND(AC490="A", VLOOKUP(AF490,[1]Diccionario!B:N,13,0)="A"), "OK",IF(
AND(AC490="A", OR(VLOOKUP(AF490,[1]Diccionario!B:N,13,0)="B", VLOOKUP(AF490,[1]Diccionario!B:N,13,0)="C")), "SOBREOFERTA",""
))))))),"")</f>
        <v/>
      </c>
      <c r="AF490" s="48"/>
      <c r="AG490" s="53"/>
      <c r="AH490" s="54"/>
      <c r="AI490" s="55" t="str">
        <f t="shared" si="122"/>
        <v/>
      </c>
      <c r="AJ490" s="46"/>
      <c r="AK490" s="34" t="e">
        <f>IF(AB490&lt;&gt;"",HLOOKUP(VALUE(TEXT(AH490,"h:mm:ss")),IF($C$6="Laboral",[1]Input!$A$4:$Y$227,IF($C$6="Sábado",[1]Input!$A$231:$Y$452,[1]Input!$A$456:$Y$656)),VLOOKUP($C$4,[1]Input!$AG$2:$AI$99,3,0)+IF(AD$5="Ida",0,1),1),"")</f>
        <v>#N/A</v>
      </c>
      <c r="AL490" s="34" t="str">
        <f>IF(AB491&lt;&gt;AB490,AVERAGEIF(AB$9:AB490,AB490,AK$9:AK490),"")</f>
        <v/>
      </c>
      <c r="AM490" s="35" t="str">
        <f>IFERROR(IF(AB491&lt;&gt;AB490,AVERAGEIF(AB$9:AB490,AB490,AT$9:AT490),""),"")</f>
        <v/>
      </c>
      <c r="AN490" s="35" t="str">
        <f>IFERROR(IF(AB491&lt;&gt;AB490,AVERAGEIF(AB$9:AB490,AB490,AU$9:AU490),""),"")</f>
        <v/>
      </c>
      <c r="AO490" s="35" t="str" cm="1">
        <f t="array" ref="AO490">IFERROR(IF(AB491&lt;&gt;AB490,_xlfn.STDEV.P(IF(AB$9:AB490=AB490,AU$9:AU490)),""),"")</f>
        <v/>
      </c>
      <c r="AP490" s="35" t="str" cm="1">
        <f t="array" ref="AP490">IFERROR(IF(AB491&lt;&gt;AB490,_xlfn.STDEV.P(IF(AB$9:AB490=AB490,AT$9:AT490)),""),"")</f>
        <v/>
      </c>
      <c r="AQ490" s="36" t="str">
        <f t="shared" si="113"/>
        <v/>
      </c>
      <c r="AR490" s="36" t="str">
        <f t="shared" si="114"/>
        <v/>
      </c>
      <c r="AS490" s="36" t="str">
        <f t="shared" si="123"/>
        <v/>
      </c>
      <c r="AT490" s="37" t="str">
        <f t="shared" si="115"/>
        <v/>
      </c>
      <c r="AU490" s="37" t="str">
        <f t="shared" si="116"/>
        <v/>
      </c>
      <c r="AV490" s="54"/>
      <c r="AW490" s="46"/>
      <c r="AX490" s="39" t="str" cm="1">
        <f t="array" ref="AX490">IF(AH490&lt;&gt;"",IF(AND(AX488:AX489&lt;&gt;"IE",AQ490&lt;&gt;0,AS490&lt;&gt;""),IF(IFERROR((AQ490/AS490),0) &lt;=1,IFERROR(AQ490/AS490,""),1),""),"")</f>
        <v/>
      </c>
      <c r="AY490" s="46"/>
      <c r="AZ490" s="57"/>
    </row>
    <row r="491" spans="1:52" ht="15.5" x14ac:dyDescent="0.35">
      <c r="A491" s="51">
        <f t="shared" si="124"/>
        <v>1</v>
      </c>
      <c r="B491" s="52"/>
      <c r="C491" s="52"/>
      <c r="D491" s="29" t="str">
        <f>IFERROR(
IF(AND(OR(Planilla!B491="C",Planilla!B491="c"), VLOOKUP(E491,[1]Diccionario!B:N,13,0)="C"), "OK",IF(AND(OR(Planilla!B491="C",Planilla!B491="c"), OR(VLOOKUP(E491,[1]Diccionario!B:N,13,0)="B", VLOOKUP(E491,[1]Diccionario!B:N,13,0)="A")), "DEFICIT",IF(
AND(OR(Planilla!B491="B", Planilla!B491="BPAL"), VLOOKUP(E491,[1]Diccionario!B:N,13,0)="B"), "OK",IF(AND(OR(Planilla!B491="B", Planilla!B491="BPAL"), VLOOKUP(E491,[1]Diccionario!B:N,13,0)="A"), "DEFICIT",IF(AND(OR(Planilla!B491="B", Planilla!B491="BPAL"), VLOOKUP(E491,[1]Diccionario!B:N,13,0)="C"), "SOBREOFERTA",IF(AND(Planilla!B491="A", VLOOKUP(E491,[1]Diccionario!B:N,13,0)="A"), "OK",IF(
AND(Planilla!B491="A", OR(VLOOKUP(E491,[1]Diccionario!B:N,13,0)="B", VLOOKUP(E491,[1]Diccionario!B:N,13,0)="C")), "SOBREOFERTA",""
))))))),"")</f>
        <v/>
      </c>
      <c r="E491" s="48"/>
      <c r="F491" s="53"/>
      <c r="G491" s="54"/>
      <c r="H491" s="55" t="str">
        <f t="shared" si="117"/>
        <v/>
      </c>
      <c r="I491" s="35"/>
      <c r="J491" s="34" t="e">
        <f>IF(A491&lt;&gt;"",HLOOKUP(VALUE(TEXT(G491,"h:mm:ss")),IF($C$6="Laboral",[1]Input!$A$4:$Y$227,IF($C$6="Sábado",[1]Input!$A$231:$Y$452,[1]Input!$A$456:$Y$656)),VLOOKUP($C$4,[1]Input!$AG$2:$AI$99,3,0)+IF(C$5="Ida",0,1),1),"")</f>
        <v>#N/A</v>
      </c>
      <c r="K491" s="34" t="str">
        <f>IF(A492&lt;&gt;A491,AVERAGEIF(A$9:A491,A491,J$13:J491),"")</f>
        <v/>
      </c>
      <c r="L491" s="35" t="str">
        <f>IFERROR(IF(A492&lt;&gt;A491,AVERAGEIF(A$9:A491,A491,S$13:S491),""),"")</f>
        <v/>
      </c>
      <c r="M491" s="35" t="str">
        <f>IFERROR(IF(A492&lt;&gt;A491,AVERAGEIF(A$9:A491,A491,T$8:T491),""),"")</f>
        <v/>
      </c>
      <c r="N491" s="35" t="str" cm="1">
        <f t="array" ref="N491">IFERROR(IF(A492&lt;&gt;A491,_xlfn.STDEV.P(IF(A$9:A491=A491,T$7:T491)),""),"")</f>
        <v/>
      </c>
      <c r="O491" s="35" t="str" cm="1">
        <f t="array" ref="O491">IFERROR(IF(A492&lt;&gt;A491,_xlfn.STDEV.P(IF(A$9:A491=A491,S$7:S491)),""),"")</f>
        <v/>
      </c>
      <c r="P491" s="36" t="str">
        <f t="shared" si="110"/>
        <v/>
      </c>
      <c r="Q491" s="36" t="str">
        <f t="shared" si="111"/>
        <v/>
      </c>
      <c r="R491" s="36" t="str">
        <f t="shared" si="118"/>
        <v/>
      </c>
      <c r="S491" s="37" t="str">
        <f t="shared" si="119"/>
        <v/>
      </c>
      <c r="T491" s="37" t="str">
        <f t="shared" si="112"/>
        <v/>
      </c>
      <c r="U491" s="54"/>
      <c r="V491" s="46"/>
      <c r="W491" s="39" t="str">
        <f t="shared" si="120"/>
        <v/>
      </c>
      <c r="X491" s="38"/>
      <c r="Y491" s="48"/>
      <c r="AB491" s="56">
        <f t="shared" si="121"/>
        <v>1</v>
      </c>
      <c r="AC491" s="52"/>
      <c r="AD491" s="52"/>
      <c r="AE491" s="29" t="str">
        <f>IFERROR(
IF(AND(OR(AC491="C",AC491="c"), VLOOKUP(AF491,[1]Diccionario!B:N,13,0)="C"), "OK",IF(AND(OR(AC491="C",AC491="c"), OR(VLOOKUP(AF491,[1]Diccionario!B:N,13,0)="B", VLOOKUP(AF491,[1]Diccionario!B:N,13,0)="A")), "DEFICIT",IF(
AND(OR(AC491="B", AC491="BPAL"), VLOOKUP(AF491,[1]Diccionario!B:N,13,0)="B"), "OK",IF(AND(OR(AC491="B", AC491="BPAL"), VLOOKUP(AF491,[1]Diccionario!B:N,13,0)="A"), "DEFICIT",IF(AND(OR(AC491="B", AC491="BPAL"), VLOOKUP(AF491,[1]Diccionario!B:N,13,0)="C"), "SOBREOFERTA",IF(AND(AC491="A", VLOOKUP(AF491,[1]Diccionario!B:N,13,0)="A"), "OK",IF(
AND(AC491="A", OR(VLOOKUP(AF491,[1]Diccionario!B:N,13,0)="B", VLOOKUP(AF491,[1]Diccionario!B:N,13,0)="C")), "SOBREOFERTA",""
))))))),"")</f>
        <v/>
      </c>
      <c r="AF491" s="48"/>
      <c r="AG491" s="53"/>
      <c r="AH491" s="54"/>
      <c r="AI491" s="55" t="str">
        <f t="shared" si="122"/>
        <v/>
      </c>
      <c r="AJ491" s="46"/>
      <c r="AK491" s="34" t="e">
        <f>IF(AB491&lt;&gt;"",HLOOKUP(VALUE(TEXT(AH491,"h:mm:ss")),IF($C$6="Laboral",[1]Input!$A$4:$Y$227,IF($C$6="Sábado",[1]Input!$A$231:$Y$452,[1]Input!$A$456:$Y$656)),VLOOKUP($C$4,[1]Input!$AG$2:$AI$99,3,0)+IF(AD$5="Ida",0,1),1),"")</f>
        <v>#N/A</v>
      </c>
      <c r="AL491" s="34" t="str">
        <f>IF(AB492&lt;&gt;AB491,AVERAGEIF(AB$9:AB491,AB491,AK$9:AK491),"")</f>
        <v/>
      </c>
      <c r="AM491" s="35" t="str">
        <f>IFERROR(IF(AB492&lt;&gt;AB491,AVERAGEIF(AB$9:AB491,AB491,AT$9:AT491),""),"")</f>
        <v/>
      </c>
      <c r="AN491" s="35" t="str">
        <f>IFERROR(IF(AB492&lt;&gt;AB491,AVERAGEIF(AB$9:AB491,AB491,AU$9:AU491),""),"")</f>
        <v/>
      </c>
      <c r="AO491" s="35" t="str" cm="1">
        <f t="array" ref="AO491">IFERROR(IF(AB492&lt;&gt;AB491,_xlfn.STDEV.P(IF(AB$9:AB491=AB491,AU$9:AU491)),""),"")</f>
        <v/>
      </c>
      <c r="AP491" s="35" t="str" cm="1">
        <f t="array" ref="AP491">IFERROR(IF(AB492&lt;&gt;AB491,_xlfn.STDEV.P(IF(AB$9:AB491=AB491,AT$9:AT491)),""),"")</f>
        <v/>
      </c>
      <c r="AQ491" s="36" t="str">
        <f t="shared" si="113"/>
        <v/>
      </c>
      <c r="AR491" s="36" t="str">
        <f t="shared" si="114"/>
        <v/>
      </c>
      <c r="AS491" s="36" t="str">
        <f t="shared" si="123"/>
        <v/>
      </c>
      <c r="AT491" s="37" t="str">
        <f t="shared" si="115"/>
        <v/>
      </c>
      <c r="AU491" s="37" t="str">
        <f t="shared" si="116"/>
        <v/>
      </c>
      <c r="AV491" s="54"/>
      <c r="AW491" s="46"/>
      <c r="AX491" s="39" t="str" cm="1">
        <f t="array" ref="AX491">IF(AH491&lt;&gt;"",IF(AND(AX489:AX490&lt;&gt;"IE",AQ491&lt;&gt;0,AS491&lt;&gt;""),IF(IFERROR((AQ491/AS491),0) &lt;=1,IFERROR(AQ491/AS491,""),1),""),"")</f>
        <v/>
      </c>
      <c r="AY491" s="46"/>
      <c r="AZ491" s="57"/>
    </row>
    <row r="492" spans="1:52" ht="15.5" x14ac:dyDescent="0.35">
      <c r="A492" s="51">
        <f t="shared" si="124"/>
        <v>1</v>
      </c>
      <c r="B492" s="52"/>
      <c r="C492" s="52"/>
      <c r="D492" s="29" t="str">
        <f>IFERROR(
IF(AND(OR(Planilla!B492="C",Planilla!B492="c"), VLOOKUP(E492,[1]Diccionario!B:N,13,0)="C"), "OK",IF(AND(OR(Planilla!B492="C",Planilla!B492="c"), OR(VLOOKUP(E492,[1]Diccionario!B:N,13,0)="B", VLOOKUP(E492,[1]Diccionario!B:N,13,0)="A")), "DEFICIT",IF(
AND(OR(Planilla!B492="B", Planilla!B492="BPAL"), VLOOKUP(E492,[1]Diccionario!B:N,13,0)="B"), "OK",IF(AND(OR(Planilla!B492="B", Planilla!B492="BPAL"), VLOOKUP(E492,[1]Diccionario!B:N,13,0)="A"), "DEFICIT",IF(AND(OR(Planilla!B492="B", Planilla!B492="BPAL"), VLOOKUP(E492,[1]Diccionario!B:N,13,0)="C"), "SOBREOFERTA",IF(AND(Planilla!B492="A", VLOOKUP(E492,[1]Diccionario!B:N,13,0)="A"), "OK",IF(
AND(Planilla!B492="A", OR(VLOOKUP(E492,[1]Diccionario!B:N,13,0)="B", VLOOKUP(E492,[1]Diccionario!B:N,13,0)="C")), "SOBREOFERTA",""
))))))),"")</f>
        <v/>
      </c>
      <c r="E492" s="48"/>
      <c r="F492" s="53"/>
      <c r="G492" s="54"/>
      <c r="H492" s="55" t="str">
        <f t="shared" si="117"/>
        <v/>
      </c>
      <c r="I492" s="35"/>
      <c r="J492" s="34" t="e">
        <f>IF(A492&lt;&gt;"",HLOOKUP(VALUE(TEXT(G492,"h:mm:ss")),IF($C$6="Laboral",[1]Input!$A$4:$Y$227,IF($C$6="Sábado",[1]Input!$A$231:$Y$452,[1]Input!$A$456:$Y$656)),VLOOKUP($C$4,[1]Input!$AG$2:$AI$99,3,0)+IF(C$5="Ida",0,1),1),"")</f>
        <v>#N/A</v>
      </c>
      <c r="K492" s="34" t="str">
        <f>IF(A493&lt;&gt;A492,AVERAGEIF(A$9:A492,A492,J$13:J492),"")</f>
        <v/>
      </c>
      <c r="L492" s="35" t="str">
        <f>IFERROR(IF(A493&lt;&gt;A492,AVERAGEIF(A$9:A492,A492,S$13:S492),""),"")</f>
        <v/>
      </c>
      <c r="M492" s="35" t="str">
        <f>IFERROR(IF(A493&lt;&gt;A492,AVERAGEIF(A$9:A492,A492,T$8:T492),""),"")</f>
        <v/>
      </c>
      <c r="N492" s="35" t="str" cm="1">
        <f t="array" ref="N492">IFERROR(IF(A493&lt;&gt;A492,_xlfn.STDEV.P(IF(A$9:A492=A492,T$7:T492)),""),"")</f>
        <v/>
      </c>
      <c r="O492" s="35" t="str" cm="1">
        <f t="array" ref="O492">IFERROR(IF(A493&lt;&gt;A492,_xlfn.STDEV.P(IF(A$9:A492=A492,S$7:S492)),""),"")</f>
        <v/>
      </c>
      <c r="P492" s="36" t="str">
        <f t="shared" si="110"/>
        <v/>
      </c>
      <c r="Q492" s="36" t="str">
        <f t="shared" si="111"/>
        <v/>
      </c>
      <c r="R492" s="36" t="str">
        <f t="shared" si="118"/>
        <v/>
      </c>
      <c r="S492" s="37" t="str">
        <f t="shared" si="119"/>
        <v/>
      </c>
      <c r="T492" s="37" t="str">
        <f t="shared" si="112"/>
        <v/>
      </c>
      <c r="U492" s="54"/>
      <c r="V492" s="46"/>
      <c r="W492" s="39" t="str">
        <f t="shared" si="120"/>
        <v/>
      </c>
      <c r="X492" s="38"/>
      <c r="Y492" s="48"/>
      <c r="AB492" s="56">
        <f t="shared" si="121"/>
        <v>1</v>
      </c>
      <c r="AC492" s="52"/>
      <c r="AD492" s="52"/>
      <c r="AE492" s="29" t="str">
        <f>IFERROR(
IF(AND(OR(AC492="C",AC492="c"), VLOOKUP(AF492,[1]Diccionario!B:N,13,0)="C"), "OK",IF(AND(OR(AC492="C",AC492="c"), OR(VLOOKUP(AF492,[1]Diccionario!B:N,13,0)="B", VLOOKUP(AF492,[1]Diccionario!B:N,13,0)="A")), "DEFICIT",IF(
AND(OR(AC492="B", AC492="BPAL"), VLOOKUP(AF492,[1]Diccionario!B:N,13,0)="B"), "OK",IF(AND(OR(AC492="B", AC492="BPAL"), VLOOKUP(AF492,[1]Diccionario!B:N,13,0)="A"), "DEFICIT",IF(AND(OR(AC492="B", AC492="BPAL"), VLOOKUP(AF492,[1]Diccionario!B:N,13,0)="C"), "SOBREOFERTA",IF(AND(AC492="A", VLOOKUP(AF492,[1]Diccionario!B:N,13,0)="A"), "OK",IF(
AND(AC492="A", OR(VLOOKUP(AF492,[1]Diccionario!B:N,13,0)="B", VLOOKUP(AF492,[1]Diccionario!B:N,13,0)="C")), "SOBREOFERTA",""
))))))),"")</f>
        <v/>
      </c>
      <c r="AF492" s="48"/>
      <c r="AG492" s="53"/>
      <c r="AH492" s="54"/>
      <c r="AI492" s="55" t="str">
        <f t="shared" si="122"/>
        <v/>
      </c>
      <c r="AJ492" s="46"/>
      <c r="AK492" s="34" t="e">
        <f>IF(AB492&lt;&gt;"",HLOOKUP(VALUE(TEXT(AH492,"h:mm:ss")),IF($C$6="Laboral",[1]Input!$A$4:$Y$227,IF($C$6="Sábado",[1]Input!$A$231:$Y$452,[1]Input!$A$456:$Y$656)),VLOOKUP($C$4,[1]Input!$AG$2:$AI$99,3,0)+IF(AD$5="Ida",0,1),1),"")</f>
        <v>#N/A</v>
      </c>
      <c r="AL492" s="34" t="str">
        <f>IF(AB493&lt;&gt;AB492,AVERAGEIF(AB$9:AB492,AB492,AK$9:AK492),"")</f>
        <v/>
      </c>
      <c r="AM492" s="35" t="str">
        <f>IFERROR(IF(AB493&lt;&gt;AB492,AVERAGEIF(AB$9:AB492,AB492,AT$9:AT492),""),"")</f>
        <v/>
      </c>
      <c r="AN492" s="35" t="str">
        <f>IFERROR(IF(AB493&lt;&gt;AB492,AVERAGEIF(AB$9:AB492,AB492,AU$9:AU492),""),"")</f>
        <v/>
      </c>
      <c r="AO492" s="35" t="str" cm="1">
        <f t="array" ref="AO492">IFERROR(IF(AB493&lt;&gt;AB492,_xlfn.STDEV.P(IF(AB$9:AB492=AB492,AU$9:AU492)),""),"")</f>
        <v/>
      </c>
      <c r="AP492" s="35" t="str" cm="1">
        <f t="array" ref="AP492">IFERROR(IF(AB493&lt;&gt;AB492,_xlfn.STDEV.P(IF(AB$9:AB492=AB492,AT$9:AT492)),""),"")</f>
        <v/>
      </c>
      <c r="AQ492" s="36" t="str">
        <f t="shared" si="113"/>
        <v/>
      </c>
      <c r="AR492" s="36" t="str">
        <f t="shared" si="114"/>
        <v/>
      </c>
      <c r="AS492" s="36" t="str">
        <f t="shared" si="123"/>
        <v/>
      </c>
      <c r="AT492" s="37" t="str">
        <f t="shared" si="115"/>
        <v/>
      </c>
      <c r="AU492" s="37" t="str">
        <f t="shared" si="116"/>
        <v/>
      </c>
      <c r="AV492" s="54"/>
      <c r="AW492" s="46"/>
      <c r="AX492" s="39" t="str" cm="1">
        <f t="array" ref="AX492">IF(AH492&lt;&gt;"",IF(AND(AX490:AX491&lt;&gt;"IE",AQ492&lt;&gt;0,AS492&lt;&gt;""),IF(IFERROR((AQ492/AS492),0) &lt;=1,IFERROR(AQ492/AS492,""),1),""),"")</f>
        <v/>
      </c>
      <c r="AY492" s="46"/>
      <c r="AZ492" s="57"/>
    </row>
    <row r="493" spans="1:52" ht="15.5" x14ac:dyDescent="0.35">
      <c r="A493" s="51">
        <f t="shared" si="124"/>
        <v>1</v>
      </c>
      <c r="B493" s="52"/>
      <c r="C493" s="52"/>
      <c r="D493" s="29" t="str">
        <f>IFERROR(
IF(AND(OR(Planilla!B493="C",Planilla!B493="c"), VLOOKUP(E493,[1]Diccionario!B:N,13,0)="C"), "OK",IF(AND(OR(Planilla!B493="C",Planilla!B493="c"), OR(VLOOKUP(E493,[1]Diccionario!B:N,13,0)="B", VLOOKUP(E493,[1]Diccionario!B:N,13,0)="A")), "DEFICIT",IF(
AND(OR(Planilla!B493="B", Planilla!B493="BPAL"), VLOOKUP(E493,[1]Diccionario!B:N,13,0)="B"), "OK",IF(AND(OR(Planilla!B493="B", Planilla!B493="BPAL"), VLOOKUP(E493,[1]Diccionario!B:N,13,0)="A"), "DEFICIT",IF(AND(OR(Planilla!B493="B", Planilla!B493="BPAL"), VLOOKUP(E493,[1]Diccionario!B:N,13,0)="C"), "SOBREOFERTA",IF(AND(Planilla!B493="A", VLOOKUP(E493,[1]Diccionario!B:N,13,0)="A"), "OK",IF(
AND(Planilla!B493="A", OR(VLOOKUP(E493,[1]Diccionario!B:N,13,0)="B", VLOOKUP(E493,[1]Diccionario!B:N,13,0)="C")), "SOBREOFERTA",""
))))))),"")</f>
        <v/>
      </c>
      <c r="E493" s="48"/>
      <c r="F493" s="53"/>
      <c r="G493" s="54"/>
      <c r="H493" s="55" t="str">
        <f t="shared" si="117"/>
        <v/>
      </c>
      <c r="I493" s="35"/>
      <c r="J493" s="34" t="e">
        <f>IF(A493&lt;&gt;"",HLOOKUP(VALUE(TEXT(G493,"h:mm:ss")),IF($C$6="Laboral",[1]Input!$A$4:$Y$227,IF($C$6="Sábado",[1]Input!$A$231:$Y$452,[1]Input!$A$456:$Y$656)),VLOOKUP($C$4,[1]Input!$AG$2:$AI$99,3,0)+IF(C$5="Ida",0,1),1),"")</f>
        <v>#N/A</v>
      </c>
      <c r="K493" s="34" t="str">
        <f>IF(A494&lt;&gt;A493,AVERAGEIF(A$9:A493,A493,J$13:J493),"")</f>
        <v/>
      </c>
      <c r="L493" s="35" t="str">
        <f>IFERROR(IF(A494&lt;&gt;A493,AVERAGEIF(A$9:A493,A493,S$13:S493),""),"")</f>
        <v/>
      </c>
      <c r="M493" s="35" t="str">
        <f>IFERROR(IF(A494&lt;&gt;A493,AVERAGEIF(A$9:A493,A493,T$8:T493),""),"")</f>
        <v/>
      </c>
      <c r="N493" s="35" t="str" cm="1">
        <f t="array" ref="N493">IFERROR(IF(A494&lt;&gt;A493,_xlfn.STDEV.P(IF(A$9:A493=A493,T$7:T493)),""),"")</f>
        <v/>
      </c>
      <c r="O493" s="35" t="str" cm="1">
        <f t="array" ref="O493">IFERROR(IF(A494&lt;&gt;A493,_xlfn.STDEV.P(IF(A$9:A493=A493,S$7:S493)),""),"")</f>
        <v/>
      </c>
      <c r="P493" s="36" t="str">
        <f t="shared" si="110"/>
        <v/>
      </c>
      <c r="Q493" s="36" t="str">
        <f t="shared" si="111"/>
        <v/>
      </c>
      <c r="R493" s="36" t="str">
        <f t="shared" si="118"/>
        <v/>
      </c>
      <c r="S493" s="37" t="str">
        <f t="shared" si="119"/>
        <v/>
      </c>
      <c r="T493" s="37" t="str">
        <f t="shared" si="112"/>
        <v/>
      </c>
      <c r="U493" s="54"/>
      <c r="V493" s="46"/>
      <c r="W493" s="39" t="str">
        <f t="shared" si="120"/>
        <v/>
      </c>
      <c r="X493" s="38"/>
      <c r="Y493" s="48"/>
      <c r="AB493" s="56">
        <f t="shared" si="121"/>
        <v>1</v>
      </c>
      <c r="AC493" s="52"/>
      <c r="AD493" s="52"/>
      <c r="AE493" s="29" t="str">
        <f>IFERROR(
IF(AND(OR(AC493="C",AC493="c"), VLOOKUP(AF493,[1]Diccionario!B:N,13,0)="C"), "OK",IF(AND(OR(AC493="C",AC493="c"), OR(VLOOKUP(AF493,[1]Diccionario!B:N,13,0)="B", VLOOKUP(AF493,[1]Diccionario!B:N,13,0)="A")), "DEFICIT",IF(
AND(OR(AC493="B", AC493="BPAL"), VLOOKUP(AF493,[1]Diccionario!B:N,13,0)="B"), "OK",IF(AND(OR(AC493="B", AC493="BPAL"), VLOOKUP(AF493,[1]Diccionario!B:N,13,0)="A"), "DEFICIT",IF(AND(OR(AC493="B", AC493="BPAL"), VLOOKUP(AF493,[1]Diccionario!B:N,13,0)="C"), "SOBREOFERTA",IF(AND(AC493="A", VLOOKUP(AF493,[1]Diccionario!B:N,13,0)="A"), "OK",IF(
AND(AC493="A", OR(VLOOKUP(AF493,[1]Diccionario!B:N,13,0)="B", VLOOKUP(AF493,[1]Diccionario!B:N,13,0)="C")), "SOBREOFERTA",""
))))))),"")</f>
        <v/>
      </c>
      <c r="AF493" s="48"/>
      <c r="AG493" s="53"/>
      <c r="AH493" s="54"/>
      <c r="AI493" s="55" t="str">
        <f t="shared" si="122"/>
        <v/>
      </c>
      <c r="AJ493" s="46"/>
      <c r="AK493" s="34" t="e">
        <f>IF(AB493&lt;&gt;"",HLOOKUP(VALUE(TEXT(AH493,"h:mm:ss")),IF($C$6="Laboral",[1]Input!$A$4:$Y$227,IF($C$6="Sábado",[1]Input!$A$231:$Y$452,[1]Input!$A$456:$Y$656)),VLOOKUP($C$4,[1]Input!$AG$2:$AI$99,3,0)+IF(AD$5="Ida",0,1),1),"")</f>
        <v>#N/A</v>
      </c>
      <c r="AL493" s="34" t="str">
        <f>IF(AB494&lt;&gt;AB493,AVERAGEIF(AB$9:AB493,AB493,AK$9:AK493),"")</f>
        <v/>
      </c>
      <c r="AM493" s="35" t="str">
        <f>IFERROR(IF(AB494&lt;&gt;AB493,AVERAGEIF(AB$9:AB493,AB493,AT$9:AT493),""),"")</f>
        <v/>
      </c>
      <c r="AN493" s="35" t="str">
        <f>IFERROR(IF(AB494&lt;&gt;AB493,AVERAGEIF(AB$9:AB493,AB493,AU$9:AU493),""),"")</f>
        <v/>
      </c>
      <c r="AO493" s="35" t="str" cm="1">
        <f t="array" ref="AO493">IFERROR(IF(AB494&lt;&gt;AB493,_xlfn.STDEV.P(IF(AB$9:AB493=AB493,AU$9:AU493)),""),"")</f>
        <v/>
      </c>
      <c r="AP493" s="35" t="str" cm="1">
        <f t="array" ref="AP493">IFERROR(IF(AB494&lt;&gt;AB493,_xlfn.STDEV.P(IF(AB$9:AB493=AB493,AT$9:AT493)),""),"")</f>
        <v/>
      </c>
      <c r="AQ493" s="36" t="str">
        <f t="shared" si="113"/>
        <v/>
      </c>
      <c r="AR493" s="36" t="str">
        <f t="shared" si="114"/>
        <v/>
      </c>
      <c r="AS493" s="36" t="str">
        <f t="shared" si="123"/>
        <v/>
      </c>
      <c r="AT493" s="37" t="str">
        <f t="shared" si="115"/>
        <v/>
      </c>
      <c r="AU493" s="37" t="str">
        <f t="shared" si="116"/>
        <v/>
      </c>
      <c r="AV493" s="54"/>
      <c r="AW493" s="46"/>
      <c r="AX493" s="39" t="str" cm="1">
        <f t="array" ref="AX493">IF(AH493&lt;&gt;"",IF(AND(AX491:AX492&lt;&gt;"IE",AQ493&lt;&gt;0,AS493&lt;&gt;""),IF(IFERROR((AQ493/AS493),0) &lt;=1,IFERROR(AQ493/AS493,""),1),""),"")</f>
        <v/>
      </c>
      <c r="AY493" s="46"/>
      <c r="AZ493" s="57"/>
    </row>
    <row r="494" spans="1:52" ht="15.5" x14ac:dyDescent="0.35">
      <c r="A494" s="51">
        <f t="shared" si="124"/>
        <v>1</v>
      </c>
      <c r="B494" s="52"/>
      <c r="C494" s="52"/>
      <c r="D494" s="29" t="str">
        <f>IFERROR(
IF(AND(OR(Planilla!B494="C",Planilla!B494="c"), VLOOKUP(E494,[1]Diccionario!B:N,13,0)="C"), "OK",IF(AND(OR(Planilla!B494="C",Planilla!B494="c"), OR(VLOOKUP(E494,[1]Diccionario!B:N,13,0)="B", VLOOKUP(E494,[1]Diccionario!B:N,13,0)="A")), "DEFICIT",IF(
AND(OR(Planilla!B494="B", Planilla!B494="BPAL"), VLOOKUP(E494,[1]Diccionario!B:N,13,0)="B"), "OK",IF(AND(OR(Planilla!B494="B", Planilla!B494="BPAL"), VLOOKUP(E494,[1]Diccionario!B:N,13,0)="A"), "DEFICIT",IF(AND(OR(Planilla!B494="B", Planilla!B494="BPAL"), VLOOKUP(E494,[1]Diccionario!B:N,13,0)="C"), "SOBREOFERTA",IF(AND(Planilla!B494="A", VLOOKUP(E494,[1]Diccionario!B:N,13,0)="A"), "OK",IF(
AND(Planilla!B494="A", OR(VLOOKUP(E494,[1]Diccionario!B:N,13,0)="B", VLOOKUP(E494,[1]Diccionario!B:N,13,0)="C")), "SOBREOFERTA",""
))))))),"")</f>
        <v/>
      </c>
      <c r="E494" s="48"/>
      <c r="F494" s="53"/>
      <c r="G494" s="54"/>
      <c r="H494" s="55" t="str">
        <f t="shared" si="117"/>
        <v/>
      </c>
      <c r="I494" s="35"/>
      <c r="J494" s="34" t="e">
        <f>IF(A494&lt;&gt;"",HLOOKUP(VALUE(TEXT(G494,"h:mm:ss")),IF($C$6="Laboral",[1]Input!$A$4:$Y$227,IF($C$6="Sábado",[1]Input!$A$231:$Y$452,[1]Input!$A$456:$Y$656)),VLOOKUP($C$4,[1]Input!$AG$2:$AI$99,3,0)+IF(C$5="Ida",0,1),1),"")</f>
        <v>#N/A</v>
      </c>
      <c r="K494" s="34" t="str">
        <f>IF(A495&lt;&gt;A494,AVERAGEIF(A$9:A494,A494,J$13:J494),"")</f>
        <v/>
      </c>
      <c r="L494" s="35" t="str">
        <f>IFERROR(IF(A495&lt;&gt;A494,AVERAGEIF(A$9:A494,A494,S$13:S494),""),"")</f>
        <v/>
      </c>
      <c r="M494" s="35" t="str">
        <f>IFERROR(IF(A495&lt;&gt;A494,AVERAGEIF(A$9:A494,A494,T$8:T494),""),"")</f>
        <v/>
      </c>
      <c r="N494" s="35" t="str" cm="1">
        <f t="array" ref="N494">IFERROR(IF(A495&lt;&gt;A494,_xlfn.STDEV.P(IF(A$9:A494=A494,T$7:T494)),""),"")</f>
        <v/>
      </c>
      <c r="O494" s="35" t="str" cm="1">
        <f t="array" ref="O494">IFERROR(IF(A495&lt;&gt;A494,_xlfn.STDEV.P(IF(A$9:A494=A494,S$7:S494)),""),"")</f>
        <v/>
      </c>
      <c r="P494" s="36" t="str">
        <f t="shared" si="110"/>
        <v/>
      </c>
      <c r="Q494" s="36" t="str">
        <f t="shared" si="111"/>
        <v/>
      </c>
      <c r="R494" s="36" t="str">
        <f t="shared" si="118"/>
        <v/>
      </c>
      <c r="S494" s="37" t="str">
        <f t="shared" si="119"/>
        <v/>
      </c>
      <c r="T494" s="37" t="str">
        <f t="shared" si="112"/>
        <v/>
      </c>
      <c r="U494" s="54"/>
      <c r="V494" s="46"/>
      <c r="W494" s="39" t="str">
        <f t="shared" si="120"/>
        <v/>
      </c>
      <c r="X494" s="38"/>
      <c r="Y494" s="48"/>
      <c r="AB494" s="56">
        <f t="shared" si="121"/>
        <v>1</v>
      </c>
      <c r="AC494" s="52"/>
      <c r="AD494" s="52"/>
      <c r="AE494" s="29" t="str">
        <f>IFERROR(
IF(AND(OR(AC494="C",AC494="c"), VLOOKUP(AF494,[1]Diccionario!B:N,13,0)="C"), "OK",IF(AND(OR(AC494="C",AC494="c"), OR(VLOOKUP(AF494,[1]Diccionario!B:N,13,0)="B", VLOOKUP(AF494,[1]Diccionario!B:N,13,0)="A")), "DEFICIT",IF(
AND(OR(AC494="B", AC494="BPAL"), VLOOKUP(AF494,[1]Diccionario!B:N,13,0)="B"), "OK",IF(AND(OR(AC494="B", AC494="BPAL"), VLOOKUP(AF494,[1]Diccionario!B:N,13,0)="A"), "DEFICIT",IF(AND(OR(AC494="B", AC494="BPAL"), VLOOKUP(AF494,[1]Diccionario!B:N,13,0)="C"), "SOBREOFERTA",IF(AND(AC494="A", VLOOKUP(AF494,[1]Diccionario!B:N,13,0)="A"), "OK",IF(
AND(AC494="A", OR(VLOOKUP(AF494,[1]Diccionario!B:N,13,0)="B", VLOOKUP(AF494,[1]Diccionario!B:N,13,0)="C")), "SOBREOFERTA",""
))))))),"")</f>
        <v/>
      </c>
      <c r="AF494" s="48"/>
      <c r="AG494" s="53"/>
      <c r="AH494" s="54"/>
      <c r="AI494" s="55" t="str">
        <f t="shared" si="122"/>
        <v/>
      </c>
      <c r="AJ494" s="46"/>
      <c r="AK494" s="34" t="e">
        <f>IF(AB494&lt;&gt;"",HLOOKUP(VALUE(TEXT(AH494,"h:mm:ss")),IF($C$6="Laboral",[1]Input!$A$4:$Y$227,IF($C$6="Sábado",[1]Input!$A$231:$Y$452,[1]Input!$A$456:$Y$656)),VLOOKUP($C$4,[1]Input!$AG$2:$AI$99,3,0)+IF(AD$5="Ida",0,1),1),"")</f>
        <v>#N/A</v>
      </c>
      <c r="AL494" s="34" t="str">
        <f>IF(AB495&lt;&gt;AB494,AVERAGEIF(AB$9:AB494,AB494,AK$9:AK494),"")</f>
        <v/>
      </c>
      <c r="AM494" s="35" t="str">
        <f>IFERROR(IF(AB495&lt;&gt;AB494,AVERAGEIF(AB$9:AB494,AB494,AT$9:AT494),""),"")</f>
        <v/>
      </c>
      <c r="AN494" s="35" t="str">
        <f>IFERROR(IF(AB495&lt;&gt;AB494,AVERAGEIF(AB$9:AB494,AB494,AU$9:AU494),""),"")</f>
        <v/>
      </c>
      <c r="AO494" s="35" t="str" cm="1">
        <f t="array" ref="AO494">IFERROR(IF(AB495&lt;&gt;AB494,_xlfn.STDEV.P(IF(AB$9:AB494=AB494,AU$9:AU494)),""),"")</f>
        <v/>
      </c>
      <c r="AP494" s="35" t="str" cm="1">
        <f t="array" ref="AP494">IFERROR(IF(AB495&lt;&gt;AB494,_xlfn.STDEV.P(IF(AB$9:AB494=AB494,AT$9:AT494)),""),"")</f>
        <v/>
      </c>
      <c r="AQ494" s="36" t="str">
        <f t="shared" si="113"/>
        <v/>
      </c>
      <c r="AR494" s="36" t="str">
        <f t="shared" si="114"/>
        <v/>
      </c>
      <c r="AS494" s="36" t="str">
        <f t="shared" si="123"/>
        <v/>
      </c>
      <c r="AT494" s="37" t="str">
        <f t="shared" si="115"/>
        <v/>
      </c>
      <c r="AU494" s="37" t="str">
        <f t="shared" si="116"/>
        <v/>
      </c>
      <c r="AV494" s="54"/>
      <c r="AW494" s="46"/>
      <c r="AX494" s="39" t="str" cm="1">
        <f t="array" ref="AX494">IF(AH494&lt;&gt;"",IF(AND(AX492:AX493&lt;&gt;"IE",AQ494&lt;&gt;0,AS494&lt;&gt;""),IF(IFERROR((AQ494/AS494),0) &lt;=1,IFERROR(AQ494/AS494,""),1),""),"")</f>
        <v/>
      </c>
      <c r="AY494" s="46"/>
      <c r="AZ494" s="57"/>
    </row>
    <row r="495" spans="1:52" ht="15.5" x14ac:dyDescent="0.35">
      <c r="A495" s="51">
        <f t="shared" si="124"/>
        <v>1</v>
      </c>
      <c r="B495" s="52"/>
      <c r="C495" s="52"/>
      <c r="D495" s="29" t="str">
        <f>IFERROR(
IF(AND(OR(Planilla!B495="C",Planilla!B495="c"), VLOOKUP(E495,[1]Diccionario!B:N,13,0)="C"), "OK",IF(AND(OR(Planilla!B495="C",Planilla!B495="c"), OR(VLOOKUP(E495,[1]Diccionario!B:N,13,0)="B", VLOOKUP(E495,[1]Diccionario!B:N,13,0)="A")), "DEFICIT",IF(
AND(OR(Planilla!B495="B", Planilla!B495="BPAL"), VLOOKUP(E495,[1]Diccionario!B:N,13,0)="B"), "OK",IF(AND(OR(Planilla!B495="B", Planilla!B495="BPAL"), VLOOKUP(E495,[1]Diccionario!B:N,13,0)="A"), "DEFICIT",IF(AND(OR(Planilla!B495="B", Planilla!B495="BPAL"), VLOOKUP(E495,[1]Diccionario!B:N,13,0)="C"), "SOBREOFERTA",IF(AND(Planilla!B495="A", VLOOKUP(E495,[1]Diccionario!B:N,13,0)="A"), "OK",IF(
AND(Planilla!B495="A", OR(VLOOKUP(E495,[1]Diccionario!B:N,13,0)="B", VLOOKUP(E495,[1]Diccionario!B:N,13,0)="C")), "SOBREOFERTA",""
))))))),"")</f>
        <v/>
      </c>
      <c r="E495" s="48"/>
      <c r="F495" s="53"/>
      <c r="G495" s="54"/>
      <c r="H495" s="55" t="str">
        <f t="shared" si="117"/>
        <v/>
      </c>
      <c r="I495" s="35"/>
      <c r="J495" s="34" t="e">
        <f>IF(A495&lt;&gt;"",HLOOKUP(VALUE(TEXT(G495,"h:mm:ss")),IF($C$6="Laboral",[1]Input!$A$4:$Y$227,IF($C$6="Sábado",[1]Input!$A$231:$Y$452,[1]Input!$A$456:$Y$656)),VLOOKUP($C$4,[1]Input!$AG$2:$AI$99,3,0)+IF(C$5="Ida",0,1),1),"")</f>
        <v>#N/A</v>
      </c>
      <c r="K495" s="34" t="str">
        <f>IF(A496&lt;&gt;A495,AVERAGEIF(A$9:A495,A495,J$13:J495),"")</f>
        <v/>
      </c>
      <c r="L495" s="35" t="str">
        <f>IFERROR(IF(A496&lt;&gt;A495,AVERAGEIF(A$9:A495,A495,S$13:S495),""),"")</f>
        <v/>
      </c>
      <c r="M495" s="35" t="str">
        <f>IFERROR(IF(A496&lt;&gt;A495,AVERAGEIF(A$9:A495,A495,T$8:T495),""),"")</f>
        <v/>
      </c>
      <c r="N495" s="35" t="str" cm="1">
        <f t="array" ref="N495">IFERROR(IF(A496&lt;&gt;A495,_xlfn.STDEV.P(IF(A$9:A495=A495,T$7:T495)),""),"")</f>
        <v/>
      </c>
      <c r="O495" s="35" t="str" cm="1">
        <f t="array" ref="O495">IFERROR(IF(A496&lt;&gt;A495,_xlfn.STDEV.P(IF(A$9:A495=A495,S$7:S495)),""),"")</f>
        <v/>
      </c>
      <c r="P495" s="36" t="str">
        <f t="shared" si="110"/>
        <v/>
      </c>
      <c r="Q495" s="36" t="str">
        <f t="shared" si="111"/>
        <v/>
      </c>
      <c r="R495" s="36" t="str">
        <f t="shared" si="118"/>
        <v/>
      </c>
      <c r="S495" s="37" t="str">
        <f t="shared" si="119"/>
        <v/>
      </c>
      <c r="T495" s="37" t="str">
        <f t="shared" si="112"/>
        <v/>
      </c>
      <c r="U495" s="54"/>
      <c r="V495" s="46"/>
      <c r="W495" s="39" t="str">
        <f t="shared" si="120"/>
        <v/>
      </c>
      <c r="X495" s="38"/>
      <c r="Y495" s="48"/>
      <c r="AB495" s="56">
        <f t="shared" si="121"/>
        <v>1</v>
      </c>
      <c r="AC495" s="52"/>
      <c r="AD495" s="52"/>
      <c r="AE495" s="29" t="str">
        <f>IFERROR(
IF(AND(OR(AC495="C",AC495="c"), VLOOKUP(AF495,[1]Diccionario!B:N,13,0)="C"), "OK",IF(AND(OR(AC495="C",AC495="c"), OR(VLOOKUP(AF495,[1]Diccionario!B:N,13,0)="B", VLOOKUP(AF495,[1]Diccionario!B:N,13,0)="A")), "DEFICIT",IF(
AND(OR(AC495="B", AC495="BPAL"), VLOOKUP(AF495,[1]Diccionario!B:N,13,0)="B"), "OK",IF(AND(OR(AC495="B", AC495="BPAL"), VLOOKUP(AF495,[1]Diccionario!B:N,13,0)="A"), "DEFICIT",IF(AND(OR(AC495="B", AC495="BPAL"), VLOOKUP(AF495,[1]Diccionario!B:N,13,0)="C"), "SOBREOFERTA",IF(AND(AC495="A", VLOOKUP(AF495,[1]Diccionario!B:N,13,0)="A"), "OK",IF(
AND(AC495="A", OR(VLOOKUP(AF495,[1]Diccionario!B:N,13,0)="B", VLOOKUP(AF495,[1]Diccionario!B:N,13,0)="C")), "SOBREOFERTA",""
))))))),"")</f>
        <v/>
      </c>
      <c r="AF495" s="48"/>
      <c r="AG495" s="53"/>
      <c r="AH495" s="54"/>
      <c r="AI495" s="55" t="str">
        <f t="shared" si="122"/>
        <v/>
      </c>
      <c r="AJ495" s="46"/>
      <c r="AK495" s="34" t="e">
        <f>IF(AB495&lt;&gt;"",HLOOKUP(VALUE(TEXT(AH495,"h:mm:ss")),IF($C$6="Laboral",[1]Input!$A$4:$Y$227,IF($C$6="Sábado",[1]Input!$A$231:$Y$452,[1]Input!$A$456:$Y$656)),VLOOKUP($C$4,[1]Input!$AG$2:$AI$99,3,0)+IF(AD$5="Ida",0,1),1),"")</f>
        <v>#N/A</v>
      </c>
      <c r="AL495" s="34" t="str">
        <f>IF(AB496&lt;&gt;AB495,AVERAGEIF(AB$9:AB495,AB495,AK$9:AK495),"")</f>
        <v/>
      </c>
      <c r="AM495" s="35" t="str">
        <f>IFERROR(IF(AB496&lt;&gt;AB495,AVERAGEIF(AB$9:AB495,AB495,AT$9:AT495),""),"")</f>
        <v/>
      </c>
      <c r="AN495" s="35" t="str">
        <f>IFERROR(IF(AB496&lt;&gt;AB495,AVERAGEIF(AB$9:AB495,AB495,AU$9:AU495),""),"")</f>
        <v/>
      </c>
      <c r="AO495" s="35" t="str" cm="1">
        <f t="array" ref="AO495">IFERROR(IF(AB496&lt;&gt;AB495,_xlfn.STDEV.P(IF(AB$9:AB495=AB495,AU$9:AU495)),""),"")</f>
        <v/>
      </c>
      <c r="AP495" s="35" t="str" cm="1">
        <f t="array" ref="AP495">IFERROR(IF(AB496&lt;&gt;AB495,_xlfn.STDEV.P(IF(AB$9:AB495=AB495,AT$9:AT495)),""),"")</f>
        <v/>
      </c>
      <c r="AQ495" s="36" t="str">
        <f t="shared" si="113"/>
        <v/>
      </c>
      <c r="AR495" s="36" t="str">
        <f t="shared" si="114"/>
        <v/>
      </c>
      <c r="AS495" s="36" t="str">
        <f t="shared" si="123"/>
        <v/>
      </c>
      <c r="AT495" s="37" t="str">
        <f t="shared" si="115"/>
        <v/>
      </c>
      <c r="AU495" s="37" t="str">
        <f t="shared" si="116"/>
        <v/>
      </c>
      <c r="AV495" s="54"/>
      <c r="AW495" s="46"/>
      <c r="AX495" s="39" t="str" cm="1">
        <f t="array" ref="AX495">IF(AH495&lt;&gt;"",IF(AND(AX493:AX494&lt;&gt;"IE",AQ495&lt;&gt;0,AS495&lt;&gt;""),IF(IFERROR((AQ495/AS495),0) &lt;=1,IFERROR(AQ495/AS495,""),1),""),"")</f>
        <v/>
      </c>
      <c r="AY495" s="46"/>
      <c r="AZ495" s="57"/>
    </row>
    <row r="496" spans="1:52" ht="15.5" x14ac:dyDescent="0.35">
      <c r="A496" s="51">
        <f t="shared" si="124"/>
        <v>1</v>
      </c>
      <c r="B496" s="52"/>
      <c r="C496" s="52"/>
      <c r="D496" s="29" t="str">
        <f>IFERROR(
IF(AND(OR(Planilla!B496="C",Planilla!B496="c"), VLOOKUP(E496,[1]Diccionario!B:N,13,0)="C"), "OK",IF(AND(OR(Planilla!B496="C",Planilla!B496="c"), OR(VLOOKUP(E496,[1]Diccionario!B:N,13,0)="B", VLOOKUP(E496,[1]Diccionario!B:N,13,0)="A")), "DEFICIT",IF(
AND(OR(Planilla!B496="B", Planilla!B496="BPAL"), VLOOKUP(E496,[1]Diccionario!B:N,13,0)="B"), "OK",IF(AND(OR(Planilla!B496="B", Planilla!B496="BPAL"), VLOOKUP(E496,[1]Diccionario!B:N,13,0)="A"), "DEFICIT",IF(AND(OR(Planilla!B496="B", Planilla!B496="BPAL"), VLOOKUP(E496,[1]Diccionario!B:N,13,0)="C"), "SOBREOFERTA",IF(AND(Planilla!B496="A", VLOOKUP(E496,[1]Diccionario!B:N,13,0)="A"), "OK",IF(
AND(Planilla!B496="A", OR(VLOOKUP(E496,[1]Diccionario!B:N,13,0)="B", VLOOKUP(E496,[1]Diccionario!B:N,13,0)="C")), "SOBREOFERTA",""
))))))),"")</f>
        <v/>
      </c>
      <c r="E496" s="48"/>
      <c r="F496" s="53"/>
      <c r="G496" s="54"/>
      <c r="H496" s="55" t="str">
        <f t="shared" si="117"/>
        <v/>
      </c>
      <c r="I496" s="35"/>
      <c r="J496" s="34" t="e">
        <f>IF(A496&lt;&gt;"",HLOOKUP(VALUE(TEXT(G496,"h:mm:ss")),IF($C$6="Laboral",[1]Input!$A$4:$Y$227,IF($C$6="Sábado",[1]Input!$A$231:$Y$452,[1]Input!$A$456:$Y$656)),VLOOKUP($C$4,[1]Input!$AG$2:$AI$99,3,0)+IF(C$5="Ida",0,1),1),"")</f>
        <v>#N/A</v>
      </c>
      <c r="K496" s="34" t="str">
        <f>IF(A497&lt;&gt;A496,AVERAGEIF(A$9:A496,A496,J$13:J496),"")</f>
        <v/>
      </c>
      <c r="L496" s="35" t="str">
        <f>IFERROR(IF(A497&lt;&gt;A496,AVERAGEIF(A$9:A496,A496,S$13:S496),""),"")</f>
        <v/>
      </c>
      <c r="M496" s="35" t="str">
        <f>IFERROR(IF(A497&lt;&gt;A496,AVERAGEIF(A$9:A496,A496,T$8:T496),""),"")</f>
        <v/>
      </c>
      <c r="N496" s="35" t="str" cm="1">
        <f t="array" ref="N496">IFERROR(IF(A497&lt;&gt;A496,_xlfn.STDEV.P(IF(A$9:A496=A496,T$7:T496)),""),"")</f>
        <v/>
      </c>
      <c r="O496" s="35" t="str" cm="1">
        <f t="array" ref="O496">IFERROR(IF(A497&lt;&gt;A496,_xlfn.STDEV.P(IF(A$9:A496=A496,S$7:S496)),""),"")</f>
        <v/>
      </c>
      <c r="P496" s="36" t="str">
        <f t="shared" si="110"/>
        <v/>
      </c>
      <c r="Q496" s="36" t="str">
        <f t="shared" si="111"/>
        <v/>
      </c>
      <c r="R496" s="36" t="str">
        <f t="shared" si="118"/>
        <v/>
      </c>
      <c r="S496" s="37" t="str">
        <f t="shared" si="119"/>
        <v/>
      </c>
      <c r="T496" s="37" t="str">
        <f t="shared" si="112"/>
        <v/>
      </c>
      <c r="U496" s="54"/>
      <c r="V496" s="46"/>
      <c r="W496" s="39" t="str">
        <f t="shared" si="120"/>
        <v/>
      </c>
      <c r="X496" s="38"/>
      <c r="Y496" s="48"/>
      <c r="AB496" s="56">
        <f t="shared" si="121"/>
        <v>1</v>
      </c>
      <c r="AC496" s="52"/>
      <c r="AD496" s="52"/>
      <c r="AE496" s="29" t="str">
        <f>IFERROR(
IF(AND(OR(AC496="C",AC496="c"), VLOOKUP(AF496,[1]Diccionario!B:N,13,0)="C"), "OK",IF(AND(OR(AC496="C",AC496="c"), OR(VLOOKUP(AF496,[1]Diccionario!B:N,13,0)="B", VLOOKUP(AF496,[1]Diccionario!B:N,13,0)="A")), "DEFICIT",IF(
AND(OR(AC496="B", AC496="BPAL"), VLOOKUP(AF496,[1]Diccionario!B:N,13,0)="B"), "OK",IF(AND(OR(AC496="B", AC496="BPAL"), VLOOKUP(AF496,[1]Diccionario!B:N,13,0)="A"), "DEFICIT",IF(AND(OR(AC496="B", AC496="BPAL"), VLOOKUP(AF496,[1]Diccionario!B:N,13,0)="C"), "SOBREOFERTA",IF(AND(AC496="A", VLOOKUP(AF496,[1]Diccionario!B:N,13,0)="A"), "OK",IF(
AND(AC496="A", OR(VLOOKUP(AF496,[1]Diccionario!B:N,13,0)="B", VLOOKUP(AF496,[1]Diccionario!B:N,13,0)="C")), "SOBREOFERTA",""
))))))),"")</f>
        <v/>
      </c>
      <c r="AF496" s="48"/>
      <c r="AG496" s="53"/>
      <c r="AH496" s="54"/>
      <c r="AI496" s="55" t="str">
        <f t="shared" si="122"/>
        <v/>
      </c>
      <c r="AJ496" s="46"/>
      <c r="AK496" s="34" t="e">
        <f>IF(AB496&lt;&gt;"",HLOOKUP(VALUE(TEXT(AH496,"h:mm:ss")),IF($C$6="Laboral",[1]Input!$A$4:$Y$227,IF($C$6="Sábado",[1]Input!$A$231:$Y$452,[1]Input!$A$456:$Y$656)),VLOOKUP($C$4,[1]Input!$AG$2:$AI$99,3,0)+IF(AD$5="Ida",0,1),1),"")</f>
        <v>#N/A</v>
      </c>
      <c r="AL496" s="34" t="str">
        <f>IF(AB497&lt;&gt;AB496,AVERAGEIF(AB$9:AB496,AB496,AK$9:AK496),"")</f>
        <v/>
      </c>
      <c r="AM496" s="35" t="str">
        <f>IFERROR(IF(AB497&lt;&gt;AB496,AVERAGEIF(AB$9:AB496,AB496,AT$9:AT496),""),"")</f>
        <v/>
      </c>
      <c r="AN496" s="35" t="str">
        <f>IFERROR(IF(AB497&lt;&gt;AB496,AVERAGEIF(AB$9:AB496,AB496,AU$9:AU496),""),"")</f>
        <v/>
      </c>
      <c r="AO496" s="35" t="str" cm="1">
        <f t="array" ref="AO496">IFERROR(IF(AB497&lt;&gt;AB496,_xlfn.STDEV.P(IF(AB$9:AB496=AB496,AU$9:AU496)),""),"")</f>
        <v/>
      </c>
      <c r="AP496" s="35" t="str" cm="1">
        <f t="array" ref="AP496">IFERROR(IF(AB497&lt;&gt;AB496,_xlfn.STDEV.P(IF(AB$9:AB496=AB496,AT$9:AT496)),""),"")</f>
        <v/>
      </c>
      <c r="AQ496" s="36" t="str">
        <f t="shared" si="113"/>
        <v/>
      </c>
      <c r="AR496" s="36" t="str">
        <f t="shared" si="114"/>
        <v/>
      </c>
      <c r="AS496" s="36" t="str">
        <f t="shared" si="123"/>
        <v/>
      </c>
      <c r="AT496" s="37" t="str">
        <f t="shared" si="115"/>
        <v/>
      </c>
      <c r="AU496" s="37" t="str">
        <f t="shared" si="116"/>
        <v/>
      </c>
      <c r="AV496" s="54"/>
      <c r="AW496" s="46"/>
      <c r="AX496" s="39" t="str" cm="1">
        <f t="array" ref="AX496">IF(AH496&lt;&gt;"",IF(AND(AX494:AX495&lt;&gt;"IE",AQ496&lt;&gt;0,AS496&lt;&gt;""),IF(IFERROR((AQ496/AS496),0) &lt;=1,IFERROR(AQ496/AS496,""),1),""),"")</f>
        <v/>
      </c>
      <c r="AY496" s="46"/>
      <c r="AZ496" s="57"/>
    </row>
    <row r="497" spans="1:52" ht="15.5" x14ac:dyDescent="0.35">
      <c r="A497" s="51">
        <f t="shared" si="124"/>
        <v>1</v>
      </c>
      <c r="B497" s="52"/>
      <c r="C497" s="52"/>
      <c r="D497" s="29" t="str">
        <f>IFERROR(
IF(AND(OR(Planilla!B497="C",Planilla!B497="c"), VLOOKUP(E497,[1]Diccionario!B:N,13,0)="C"), "OK",IF(AND(OR(Planilla!B497="C",Planilla!B497="c"), OR(VLOOKUP(E497,[1]Diccionario!B:N,13,0)="B", VLOOKUP(E497,[1]Diccionario!B:N,13,0)="A")), "DEFICIT",IF(
AND(OR(Planilla!B497="B", Planilla!B497="BPAL"), VLOOKUP(E497,[1]Diccionario!B:N,13,0)="B"), "OK",IF(AND(OR(Planilla!B497="B", Planilla!B497="BPAL"), VLOOKUP(E497,[1]Diccionario!B:N,13,0)="A"), "DEFICIT",IF(AND(OR(Planilla!B497="B", Planilla!B497="BPAL"), VLOOKUP(E497,[1]Diccionario!B:N,13,0)="C"), "SOBREOFERTA",IF(AND(Planilla!B497="A", VLOOKUP(E497,[1]Diccionario!B:N,13,0)="A"), "OK",IF(
AND(Planilla!B497="A", OR(VLOOKUP(E497,[1]Diccionario!B:N,13,0)="B", VLOOKUP(E497,[1]Diccionario!B:N,13,0)="C")), "SOBREOFERTA",""
))))))),"")</f>
        <v/>
      </c>
      <c r="E497" s="48"/>
      <c r="F497" s="53"/>
      <c r="G497" s="54"/>
      <c r="H497" s="55" t="str">
        <f t="shared" si="117"/>
        <v/>
      </c>
      <c r="I497" s="35"/>
      <c r="J497" s="34" t="e">
        <f>IF(A497&lt;&gt;"",HLOOKUP(VALUE(TEXT(G497,"h:mm:ss")),IF($C$6="Laboral",[1]Input!$A$4:$Y$227,IF($C$6="Sábado",[1]Input!$A$231:$Y$452,[1]Input!$A$456:$Y$656)),VLOOKUP($C$4,[1]Input!$AG$2:$AI$99,3,0)+IF(C$5="Ida",0,1),1),"")</f>
        <v>#N/A</v>
      </c>
      <c r="K497" s="34" t="str">
        <f>IF(A498&lt;&gt;A497,AVERAGEIF(A$9:A497,A497,J$13:J497),"")</f>
        <v/>
      </c>
      <c r="L497" s="35" t="str">
        <f>IFERROR(IF(A498&lt;&gt;A497,AVERAGEIF(A$9:A497,A497,S$13:S497),""),"")</f>
        <v/>
      </c>
      <c r="M497" s="35" t="str">
        <f>IFERROR(IF(A498&lt;&gt;A497,AVERAGEIF(A$9:A497,A497,T$8:T497),""),"")</f>
        <v/>
      </c>
      <c r="N497" s="35" t="str" cm="1">
        <f t="array" ref="N497">IFERROR(IF(A498&lt;&gt;A497,_xlfn.STDEV.P(IF(A$9:A497=A497,T$7:T497)),""),"")</f>
        <v/>
      </c>
      <c r="O497" s="35" t="str" cm="1">
        <f t="array" ref="O497">IFERROR(IF(A498&lt;&gt;A497,_xlfn.STDEV.P(IF(A$9:A497=A497,S$7:S497)),""),"")</f>
        <v/>
      </c>
      <c r="P497" s="36" t="str">
        <f t="shared" si="110"/>
        <v/>
      </c>
      <c r="Q497" s="36" t="str">
        <f t="shared" si="111"/>
        <v/>
      </c>
      <c r="R497" s="36" t="str">
        <f t="shared" si="118"/>
        <v/>
      </c>
      <c r="S497" s="37" t="str">
        <f t="shared" si="119"/>
        <v/>
      </c>
      <c r="T497" s="37" t="str">
        <f t="shared" si="112"/>
        <v/>
      </c>
      <c r="U497" s="54"/>
      <c r="V497" s="46"/>
      <c r="W497" s="39" t="str">
        <f t="shared" si="120"/>
        <v/>
      </c>
      <c r="X497" s="38"/>
      <c r="Y497" s="48"/>
      <c r="AB497" s="56">
        <f t="shared" si="121"/>
        <v>1</v>
      </c>
      <c r="AC497" s="52"/>
      <c r="AD497" s="52"/>
      <c r="AE497" s="29" t="str">
        <f>IFERROR(
IF(AND(OR(AC497="C",AC497="c"), VLOOKUP(AF497,[1]Diccionario!B:N,13,0)="C"), "OK",IF(AND(OR(AC497="C",AC497="c"), OR(VLOOKUP(AF497,[1]Diccionario!B:N,13,0)="B", VLOOKUP(AF497,[1]Diccionario!B:N,13,0)="A")), "DEFICIT",IF(
AND(OR(AC497="B", AC497="BPAL"), VLOOKUP(AF497,[1]Diccionario!B:N,13,0)="B"), "OK",IF(AND(OR(AC497="B", AC497="BPAL"), VLOOKUP(AF497,[1]Diccionario!B:N,13,0)="A"), "DEFICIT",IF(AND(OR(AC497="B", AC497="BPAL"), VLOOKUP(AF497,[1]Diccionario!B:N,13,0)="C"), "SOBREOFERTA",IF(AND(AC497="A", VLOOKUP(AF497,[1]Diccionario!B:N,13,0)="A"), "OK",IF(
AND(AC497="A", OR(VLOOKUP(AF497,[1]Diccionario!B:N,13,0)="B", VLOOKUP(AF497,[1]Diccionario!B:N,13,0)="C")), "SOBREOFERTA",""
))))))),"")</f>
        <v/>
      </c>
      <c r="AF497" s="48"/>
      <c r="AG497" s="53"/>
      <c r="AH497" s="54"/>
      <c r="AI497" s="55" t="str">
        <f t="shared" si="122"/>
        <v/>
      </c>
      <c r="AJ497" s="46"/>
      <c r="AK497" s="34" t="e">
        <f>IF(AB497&lt;&gt;"",HLOOKUP(VALUE(TEXT(AH497,"h:mm:ss")),IF($C$6="Laboral",[1]Input!$A$4:$Y$227,IF($C$6="Sábado",[1]Input!$A$231:$Y$452,[1]Input!$A$456:$Y$656)),VLOOKUP($C$4,[1]Input!$AG$2:$AI$99,3,0)+IF(AD$5="Ida",0,1),1),"")</f>
        <v>#N/A</v>
      </c>
      <c r="AL497" s="34" t="str">
        <f>IF(AB498&lt;&gt;AB497,AVERAGEIF(AB$9:AB497,AB497,AK$9:AK497),"")</f>
        <v/>
      </c>
      <c r="AM497" s="35" t="str">
        <f>IFERROR(IF(AB498&lt;&gt;AB497,AVERAGEIF(AB$9:AB497,AB497,AT$9:AT497),""),"")</f>
        <v/>
      </c>
      <c r="AN497" s="35" t="str">
        <f>IFERROR(IF(AB498&lt;&gt;AB497,AVERAGEIF(AB$9:AB497,AB497,AU$9:AU497),""),"")</f>
        <v/>
      </c>
      <c r="AO497" s="35" t="str" cm="1">
        <f t="array" ref="AO497">IFERROR(IF(AB498&lt;&gt;AB497,_xlfn.STDEV.P(IF(AB$9:AB497=AB497,AU$9:AU497)),""),"")</f>
        <v/>
      </c>
      <c r="AP497" s="35" t="str" cm="1">
        <f t="array" ref="AP497">IFERROR(IF(AB498&lt;&gt;AB497,_xlfn.STDEV.P(IF(AB$9:AB497=AB497,AT$9:AT497)),""),"")</f>
        <v/>
      </c>
      <c r="AQ497" s="36" t="str">
        <f t="shared" si="113"/>
        <v/>
      </c>
      <c r="AR497" s="36" t="str">
        <f t="shared" si="114"/>
        <v/>
      </c>
      <c r="AS497" s="36" t="str">
        <f t="shared" si="123"/>
        <v/>
      </c>
      <c r="AT497" s="37" t="str">
        <f t="shared" si="115"/>
        <v/>
      </c>
      <c r="AU497" s="37" t="str">
        <f t="shared" si="116"/>
        <v/>
      </c>
      <c r="AV497" s="54"/>
      <c r="AW497" s="46"/>
      <c r="AX497" s="39" t="str" cm="1">
        <f t="array" ref="AX497">IF(AH497&lt;&gt;"",IF(AND(AX495:AX496&lt;&gt;"IE",AQ497&lt;&gt;0,AS497&lt;&gt;""),IF(IFERROR((AQ497/AS497),0) &lt;=1,IFERROR(AQ497/AS497,""),1),""),"")</f>
        <v/>
      </c>
      <c r="AY497" s="46"/>
      <c r="AZ497" s="57"/>
    </row>
    <row r="498" spans="1:52" ht="15.5" x14ac:dyDescent="0.35">
      <c r="A498" s="51">
        <f t="shared" si="124"/>
        <v>1</v>
      </c>
      <c r="B498" s="52"/>
      <c r="C498" s="52"/>
      <c r="D498" s="29" t="str">
        <f>IFERROR(
IF(AND(OR(Planilla!B498="C",Planilla!B498="c"), VLOOKUP(E498,[1]Diccionario!B:N,13,0)="C"), "OK",IF(AND(OR(Planilla!B498="C",Planilla!B498="c"), OR(VLOOKUP(E498,[1]Diccionario!B:N,13,0)="B", VLOOKUP(E498,[1]Diccionario!B:N,13,0)="A")), "DEFICIT",IF(
AND(OR(Planilla!B498="B", Planilla!B498="BPAL"), VLOOKUP(E498,[1]Diccionario!B:N,13,0)="B"), "OK",IF(AND(OR(Planilla!B498="B", Planilla!B498="BPAL"), VLOOKUP(E498,[1]Diccionario!B:N,13,0)="A"), "DEFICIT",IF(AND(OR(Planilla!B498="B", Planilla!B498="BPAL"), VLOOKUP(E498,[1]Diccionario!B:N,13,0)="C"), "SOBREOFERTA",IF(AND(Planilla!B498="A", VLOOKUP(E498,[1]Diccionario!B:N,13,0)="A"), "OK",IF(
AND(Planilla!B498="A", OR(VLOOKUP(E498,[1]Diccionario!B:N,13,0)="B", VLOOKUP(E498,[1]Diccionario!B:N,13,0)="C")), "SOBREOFERTA",""
))))))),"")</f>
        <v/>
      </c>
      <c r="E498" s="48"/>
      <c r="F498" s="53"/>
      <c r="G498" s="54"/>
      <c r="H498" s="55" t="str">
        <f t="shared" si="117"/>
        <v/>
      </c>
      <c r="I498" s="35"/>
      <c r="J498" s="34" t="e">
        <f>IF(A498&lt;&gt;"",HLOOKUP(VALUE(TEXT(G498,"h:mm:ss")),IF($C$6="Laboral",[1]Input!$A$4:$Y$227,IF($C$6="Sábado",[1]Input!$A$231:$Y$452,[1]Input!$A$456:$Y$656)),VLOOKUP($C$4,[1]Input!$AG$2:$AI$99,3,0)+IF(C$5="Ida",0,1),1),"")</f>
        <v>#N/A</v>
      </c>
      <c r="K498" s="34" t="str">
        <f>IF(A499&lt;&gt;A498,AVERAGEIF(A$9:A498,A498,J$13:J498),"")</f>
        <v/>
      </c>
      <c r="L498" s="35" t="str">
        <f>IFERROR(IF(A499&lt;&gt;A498,AVERAGEIF(A$9:A498,A498,S$13:S498),""),"")</f>
        <v/>
      </c>
      <c r="M498" s="35" t="str">
        <f>IFERROR(IF(A499&lt;&gt;A498,AVERAGEIF(A$9:A498,A498,T$8:T498),""),"")</f>
        <v/>
      </c>
      <c r="N498" s="35" t="str" cm="1">
        <f t="array" ref="N498">IFERROR(IF(A499&lt;&gt;A498,_xlfn.STDEV.P(IF(A$9:A498=A498,T$7:T498)),""),"")</f>
        <v/>
      </c>
      <c r="O498" s="35" t="str" cm="1">
        <f t="array" ref="O498">IFERROR(IF(A499&lt;&gt;A498,_xlfn.STDEV.P(IF(A$9:A498=A498,S$7:S498)),""),"")</f>
        <v/>
      </c>
      <c r="P498" s="36" t="str">
        <f t="shared" si="110"/>
        <v/>
      </c>
      <c r="Q498" s="36" t="str">
        <f t="shared" si="111"/>
        <v/>
      </c>
      <c r="R498" s="36" t="str">
        <f t="shared" si="118"/>
        <v/>
      </c>
      <c r="S498" s="37" t="str">
        <f t="shared" si="119"/>
        <v/>
      </c>
      <c r="T498" s="37" t="str">
        <f t="shared" si="112"/>
        <v/>
      </c>
      <c r="U498" s="54"/>
      <c r="V498" s="46"/>
      <c r="W498" s="39" t="str">
        <f t="shared" si="120"/>
        <v/>
      </c>
      <c r="X498" s="38"/>
      <c r="Y498" s="48"/>
      <c r="AB498" s="56">
        <f t="shared" si="121"/>
        <v>1</v>
      </c>
      <c r="AC498" s="52"/>
      <c r="AD498" s="52"/>
      <c r="AE498" s="29" t="str">
        <f>IFERROR(
IF(AND(OR(AC498="C",AC498="c"), VLOOKUP(AF498,[1]Diccionario!B:N,13,0)="C"), "OK",IF(AND(OR(AC498="C",AC498="c"), OR(VLOOKUP(AF498,[1]Diccionario!B:N,13,0)="B", VLOOKUP(AF498,[1]Diccionario!B:N,13,0)="A")), "DEFICIT",IF(
AND(OR(AC498="B", AC498="BPAL"), VLOOKUP(AF498,[1]Diccionario!B:N,13,0)="B"), "OK",IF(AND(OR(AC498="B", AC498="BPAL"), VLOOKUP(AF498,[1]Diccionario!B:N,13,0)="A"), "DEFICIT",IF(AND(OR(AC498="B", AC498="BPAL"), VLOOKUP(AF498,[1]Diccionario!B:N,13,0)="C"), "SOBREOFERTA",IF(AND(AC498="A", VLOOKUP(AF498,[1]Diccionario!B:N,13,0)="A"), "OK",IF(
AND(AC498="A", OR(VLOOKUP(AF498,[1]Diccionario!B:N,13,0)="B", VLOOKUP(AF498,[1]Diccionario!B:N,13,0)="C")), "SOBREOFERTA",""
))))))),"")</f>
        <v/>
      </c>
      <c r="AF498" s="48"/>
      <c r="AG498" s="53"/>
      <c r="AH498" s="54"/>
      <c r="AI498" s="55" t="str">
        <f t="shared" si="122"/>
        <v/>
      </c>
      <c r="AJ498" s="46"/>
      <c r="AK498" s="34" t="e">
        <f>IF(AB498&lt;&gt;"",HLOOKUP(VALUE(TEXT(AH498,"h:mm:ss")),IF($C$6="Laboral",[1]Input!$A$4:$Y$227,IF($C$6="Sábado",[1]Input!$A$231:$Y$452,[1]Input!$A$456:$Y$656)),VLOOKUP($C$4,[1]Input!$AG$2:$AI$99,3,0)+IF(AD$5="Ida",0,1),1),"")</f>
        <v>#N/A</v>
      </c>
      <c r="AL498" s="34" t="str">
        <f>IF(AB499&lt;&gt;AB498,AVERAGEIF(AB$9:AB498,AB498,AK$9:AK498),"")</f>
        <v/>
      </c>
      <c r="AM498" s="35" t="str">
        <f>IFERROR(IF(AB499&lt;&gt;AB498,AVERAGEIF(AB$9:AB498,AB498,AT$9:AT498),""),"")</f>
        <v/>
      </c>
      <c r="AN498" s="35" t="str">
        <f>IFERROR(IF(AB499&lt;&gt;AB498,AVERAGEIF(AB$9:AB498,AB498,AU$9:AU498),""),"")</f>
        <v/>
      </c>
      <c r="AO498" s="35" t="str" cm="1">
        <f t="array" ref="AO498">IFERROR(IF(AB499&lt;&gt;AB498,_xlfn.STDEV.P(IF(AB$9:AB498=AB498,AU$9:AU498)),""),"")</f>
        <v/>
      </c>
      <c r="AP498" s="35" t="str" cm="1">
        <f t="array" ref="AP498">IFERROR(IF(AB499&lt;&gt;AB498,_xlfn.STDEV.P(IF(AB$9:AB498=AB498,AT$9:AT498)),""),"")</f>
        <v/>
      </c>
      <c r="AQ498" s="36" t="str">
        <f t="shared" si="113"/>
        <v/>
      </c>
      <c r="AR498" s="36" t="str">
        <f t="shared" si="114"/>
        <v/>
      </c>
      <c r="AS498" s="36" t="str">
        <f t="shared" si="123"/>
        <v/>
      </c>
      <c r="AT498" s="37" t="str">
        <f t="shared" si="115"/>
        <v/>
      </c>
      <c r="AU498" s="37" t="str">
        <f t="shared" si="116"/>
        <v/>
      </c>
      <c r="AV498" s="54"/>
      <c r="AW498" s="46"/>
      <c r="AX498" s="39" t="str" cm="1">
        <f t="array" ref="AX498">IF(AH498&lt;&gt;"",IF(AND(AX496:AX497&lt;&gt;"IE",AQ498&lt;&gt;0,AS498&lt;&gt;""),IF(IFERROR((AQ498/AS498),0) &lt;=1,IFERROR(AQ498/AS498,""),1),""),"")</f>
        <v/>
      </c>
      <c r="AY498" s="46"/>
      <c r="AZ498" s="57"/>
    </row>
    <row r="499" spans="1:52" ht="15.5" x14ac:dyDescent="0.35">
      <c r="A499" s="51">
        <f t="shared" si="124"/>
        <v>1</v>
      </c>
      <c r="B499" s="52"/>
      <c r="C499" s="52"/>
      <c r="D499" s="29" t="str">
        <f>IFERROR(
IF(AND(OR(Planilla!B499="C",Planilla!B499="c"), VLOOKUP(E499,[1]Diccionario!B:N,13,0)="C"), "OK",IF(AND(OR(Planilla!B499="C",Planilla!B499="c"), OR(VLOOKUP(E499,[1]Diccionario!B:N,13,0)="B", VLOOKUP(E499,[1]Diccionario!B:N,13,0)="A")), "DEFICIT",IF(
AND(OR(Planilla!B499="B", Planilla!B499="BPAL"), VLOOKUP(E499,[1]Diccionario!B:N,13,0)="B"), "OK",IF(AND(OR(Planilla!B499="B", Planilla!B499="BPAL"), VLOOKUP(E499,[1]Diccionario!B:N,13,0)="A"), "DEFICIT",IF(AND(OR(Planilla!B499="B", Planilla!B499="BPAL"), VLOOKUP(E499,[1]Diccionario!B:N,13,0)="C"), "SOBREOFERTA",IF(AND(Planilla!B499="A", VLOOKUP(E499,[1]Diccionario!B:N,13,0)="A"), "OK",IF(
AND(Planilla!B499="A", OR(VLOOKUP(E499,[1]Diccionario!B:N,13,0)="B", VLOOKUP(E499,[1]Diccionario!B:N,13,0)="C")), "SOBREOFERTA",""
))))))),"")</f>
        <v/>
      </c>
      <c r="E499" s="48"/>
      <c r="F499" s="53"/>
      <c r="G499" s="54"/>
      <c r="H499" s="55" t="str">
        <f t="shared" si="117"/>
        <v/>
      </c>
      <c r="I499" s="35"/>
      <c r="J499" s="34" t="e">
        <f>IF(A499&lt;&gt;"",HLOOKUP(VALUE(TEXT(G499,"h:mm:ss")),IF($C$6="Laboral",[1]Input!$A$4:$Y$227,IF($C$6="Sábado",[1]Input!$A$231:$Y$452,[1]Input!$A$456:$Y$656)),VLOOKUP($C$4,[1]Input!$AG$2:$AI$99,3,0)+IF(C$5="Ida",0,1),1),"")</f>
        <v>#N/A</v>
      </c>
      <c r="K499" s="34" t="str">
        <f>IF(A500&lt;&gt;A499,AVERAGEIF(A$9:A499,A499,J$13:J499),"")</f>
        <v/>
      </c>
      <c r="L499" s="35" t="str">
        <f>IFERROR(IF(A500&lt;&gt;A499,AVERAGEIF(A$9:A499,A499,S$13:S499),""),"")</f>
        <v/>
      </c>
      <c r="M499" s="35" t="str">
        <f>IFERROR(IF(A500&lt;&gt;A499,AVERAGEIF(A$9:A499,A499,T$8:T499),""),"")</f>
        <v/>
      </c>
      <c r="N499" s="35" t="str" cm="1">
        <f t="array" ref="N499">IFERROR(IF(A500&lt;&gt;A499,_xlfn.STDEV.P(IF(A$9:A499=A499,T$7:T499)),""),"")</f>
        <v/>
      </c>
      <c r="O499" s="35" t="str" cm="1">
        <f t="array" ref="O499">IFERROR(IF(A500&lt;&gt;A499,_xlfn.STDEV.P(IF(A$9:A499=A499,S$7:S499)),""),"")</f>
        <v/>
      </c>
      <c r="P499" s="36" t="str">
        <f t="shared" si="110"/>
        <v/>
      </c>
      <c r="Q499" s="36" t="str">
        <f t="shared" si="111"/>
        <v/>
      </c>
      <c r="R499" s="36" t="str">
        <f t="shared" si="118"/>
        <v/>
      </c>
      <c r="S499" s="37" t="str">
        <f t="shared" si="119"/>
        <v/>
      </c>
      <c r="T499" s="37" t="str">
        <f t="shared" si="112"/>
        <v/>
      </c>
      <c r="U499" s="54"/>
      <c r="V499" s="46"/>
      <c r="W499" s="39" t="str">
        <f t="shared" si="120"/>
        <v/>
      </c>
      <c r="X499" s="38"/>
      <c r="Y499" s="48"/>
      <c r="AB499" s="56">
        <f t="shared" si="121"/>
        <v>1</v>
      </c>
      <c r="AC499" s="52"/>
      <c r="AD499" s="52"/>
      <c r="AE499" s="29" t="str">
        <f>IFERROR(
IF(AND(OR(AC499="C",AC499="c"), VLOOKUP(AF499,[1]Diccionario!B:N,13,0)="C"), "OK",IF(AND(OR(AC499="C",AC499="c"), OR(VLOOKUP(AF499,[1]Diccionario!B:N,13,0)="B", VLOOKUP(AF499,[1]Diccionario!B:N,13,0)="A")), "DEFICIT",IF(
AND(OR(AC499="B", AC499="BPAL"), VLOOKUP(AF499,[1]Diccionario!B:N,13,0)="B"), "OK",IF(AND(OR(AC499="B", AC499="BPAL"), VLOOKUP(AF499,[1]Diccionario!B:N,13,0)="A"), "DEFICIT",IF(AND(OR(AC499="B", AC499="BPAL"), VLOOKUP(AF499,[1]Diccionario!B:N,13,0)="C"), "SOBREOFERTA",IF(AND(AC499="A", VLOOKUP(AF499,[1]Diccionario!B:N,13,0)="A"), "OK",IF(
AND(AC499="A", OR(VLOOKUP(AF499,[1]Diccionario!B:N,13,0)="B", VLOOKUP(AF499,[1]Diccionario!B:N,13,0)="C")), "SOBREOFERTA",""
))))))),"")</f>
        <v/>
      </c>
      <c r="AF499" s="48"/>
      <c r="AG499" s="53"/>
      <c r="AH499" s="54"/>
      <c r="AI499" s="55" t="str">
        <f t="shared" si="122"/>
        <v/>
      </c>
      <c r="AJ499" s="46"/>
      <c r="AK499" s="34" t="e">
        <f>IF(AB499&lt;&gt;"",HLOOKUP(VALUE(TEXT(AH499,"h:mm:ss")),IF($C$6="Laboral",[1]Input!$A$4:$Y$227,IF($C$6="Sábado",[1]Input!$A$231:$Y$452,[1]Input!$A$456:$Y$656)),VLOOKUP($C$4,[1]Input!$AG$2:$AI$99,3,0)+IF(AD$5="Ida",0,1),1),"")</f>
        <v>#N/A</v>
      </c>
      <c r="AL499" s="34" t="str">
        <f>IF(AB500&lt;&gt;AB499,AVERAGEIF(AB$9:AB499,AB499,AK$9:AK499),"")</f>
        <v/>
      </c>
      <c r="AM499" s="35" t="str">
        <f>IFERROR(IF(AB500&lt;&gt;AB499,AVERAGEIF(AB$9:AB499,AB499,AT$9:AT499),""),"")</f>
        <v/>
      </c>
      <c r="AN499" s="35" t="str">
        <f>IFERROR(IF(AB500&lt;&gt;AB499,AVERAGEIF(AB$9:AB499,AB499,AU$9:AU499),""),"")</f>
        <v/>
      </c>
      <c r="AO499" s="35" t="str" cm="1">
        <f t="array" ref="AO499">IFERROR(IF(AB500&lt;&gt;AB499,_xlfn.STDEV.P(IF(AB$9:AB499=AB499,AU$9:AU499)),""),"")</f>
        <v/>
      </c>
      <c r="AP499" s="35" t="str" cm="1">
        <f t="array" ref="AP499">IFERROR(IF(AB500&lt;&gt;AB499,_xlfn.STDEV.P(IF(AB$9:AB499=AB499,AT$9:AT499)),""),"")</f>
        <v/>
      </c>
      <c r="AQ499" s="36" t="str">
        <f t="shared" si="113"/>
        <v/>
      </c>
      <c r="AR499" s="36" t="str">
        <f t="shared" si="114"/>
        <v/>
      </c>
      <c r="AS499" s="36" t="str">
        <f t="shared" si="123"/>
        <v/>
      </c>
      <c r="AT499" s="37" t="str">
        <f t="shared" si="115"/>
        <v/>
      </c>
      <c r="AU499" s="37" t="str">
        <f t="shared" si="116"/>
        <v/>
      </c>
      <c r="AV499" s="54"/>
      <c r="AW499" s="46"/>
      <c r="AX499" s="39" t="str" cm="1">
        <f t="array" ref="AX499">IF(AH499&lt;&gt;"",IF(AND(AX497:AX498&lt;&gt;"IE",AQ499&lt;&gt;0,AS499&lt;&gt;""),IF(IFERROR((AQ499/AS499),0) &lt;=1,IFERROR(AQ499/AS499,""),1),""),"")</f>
        <v/>
      </c>
      <c r="AY499" s="46"/>
      <c r="AZ499" s="57"/>
    </row>
    <row r="500" spans="1:52" ht="15.5" x14ac:dyDescent="0.35">
      <c r="A500" s="51">
        <f t="shared" si="124"/>
        <v>1</v>
      </c>
      <c r="B500" s="52"/>
      <c r="C500" s="52"/>
      <c r="D500" s="29" t="str">
        <f>IFERROR(
IF(AND(OR(Planilla!B500="C",Planilla!B500="c"), VLOOKUP(E500,[1]Diccionario!B:N,13,0)="C"), "OK",IF(AND(OR(Planilla!B500="C",Planilla!B500="c"), OR(VLOOKUP(E500,[1]Diccionario!B:N,13,0)="B", VLOOKUP(E500,[1]Diccionario!B:N,13,0)="A")), "DEFICIT",IF(
AND(OR(Planilla!B500="B", Planilla!B500="BPAL"), VLOOKUP(E500,[1]Diccionario!B:N,13,0)="B"), "OK",IF(AND(OR(Planilla!B500="B", Planilla!B500="BPAL"), VLOOKUP(E500,[1]Diccionario!B:N,13,0)="A"), "DEFICIT",IF(AND(OR(Planilla!B500="B", Planilla!B500="BPAL"), VLOOKUP(E500,[1]Diccionario!B:N,13,0)="C"), "SOBREOFERTA",IF(AND(Planilla!B500="A", VLOOKUP(E500,[1]Diccionario!B:N,13,0)="A"), "OK",IF(
AND(Planilla!B500="A", OR(VLOOKUP(E500,[1]Diccionario!B:N,13,0)="B", VLOOKUP(E500,[1]Diccionario!B:N,13,0)="C")), "SOBREOFERTA",""
))))))),"")</f>
        <v/>
      </c>
      <c r="E500" s="48"/>
      <c r="F500" s="53"/>
      <c r="G500" s="54"/>
      <c r="H500" s="55" t="str">
        <f t="shared" si="117"/>
        <v/>
      </c>
      <c r="I500" s="35"/>
      <c r="J500" s="34" t="e">
        <f>IF(A500&lt;&gt;"",HLOOKUP(VALUE(TEXT(G500,"h:mm:ss")),IF($C$6="Laboral",[1]Input!$A$4:$Y$227,IF($C$6="Sábado",[1]Input!$A$231:$Y$452,[1]Input!$A$456:$Y$656)),VLOOKUP($C$4,[1]Input!$AG$2:$AI$99,3,0)+IF(C$5="Ida",0,1),1),"")</f>
        <v>#N/A</v>
      </c>
      <c r="K500" s="34" t="str">
        <f>IF(A501&lt;&gt;A500,AVERAGEIF(A$9:A500,A500,J$13:J500),"")</f>
        <v/>
      </c>
      <c r="L500" s="35" t="str">
        <f>IFERROR(IF(A501&lt;&gt;A500,AVERAGEIF(A$9:A500,A500,S$13:S500),""),"")</f>
        <v/>
      </c>
      <c r="M500" s="35" t="str">
        <f>IFERROR(IF(A501&lt;&gt;A500,AVERAGEIF(A$9:A500,A500,T$8:T500),""),"")</f>
        <v/>
      </c>
      <c r="N500" s="35" t="str" cm="1">
        <f t="array" ref="N500">IFERROR(IF(A501&lt;&gt;A500,_xlfn.STDEV.P(IF(A$9:A500=A500,T$7:T500)),""),"")</f>
        <v/>
      </c>
      <c r="O500" s="35" t="str" cm="1">
        <f t="array" ref="O500">IFERROR(IF(A501&lt;&gt;A500,_xlfn.STDEV.P(IF(A$9:A500=A500,S$7:S500)),""),"")</f>
        <v/>
      </c>
      <c r="P500" s="36" t="str">
        <f t="shared" si="110"/>
        <v/>
      </c>
      <c r="Q500" s="36" t="str">
        <f t="shared" si="111"/>
        <v/>
      </c>
      <c r="R500" s="36" t="str">
        <f t="shared" si="118"/>
        <v/>
      </c>
      <c r="S500" s="37" t="str">
        <f t="shared" si="119"/>
        <v/>
      </c>
      <c r="T500" s="37" t="str">
        <f t="shared" si="112"/>
        <v/>
      </c>
      <c r="U500" s="54"/>
      <c r="V500" s="46"/>
      <c r="W500" s="39" t="str">
        <f t="shared" si="120"/>
        <v/>
      </c>
      <c r="X500" s="38"/>
      <c r="Y500" s="48"/>
      <c r="AB500" s="56">
        <f t="shared" si="121"/>
        <v>1</v>
      </c>
      <c r="AC500" s="52"/>
      <c r="AD500" s="52"/>
      <c r="AE500" s="29" t="str">
        <f>IFERROR(
IF(AND(OR(AC500="C",AC500="c"), VLOOKUP(AF500,[1]Diccionario!B:N,13,0)="C"), "OK",IF(AND(OR(AC500="C",AC500="c"), OR(VLOOKUP(AF500,[1]Diccionario!B:N,13,0)="B", VLOOKUP(AF500,[1]Diccionario!B:N,13,0)="A")), "DEFICIT",IF(
AND(OR(AC500="B", AC500="BPAL"), VLOOKUP(AF500,[1]Diccionario!B:N,13,0)="B"), "OK",IF(AND(OR(AC500="B", AC500="BPAL"), VLOOKUP(AF500,[1]Diccionario!B:N,13,0)="A"), "DEFICIT",IF(AND(OR(AC500="B", AC500="BPAL"), VLOOKUP(AF500,[1]Diccionario!B:N,13,0)="C"), "SOBREOFERTA",IF(AND(AC500="A", VLOOKUP(AF500,[1]Diccionario!B:N,13,0)="A"), "OK",IF(
AND(AC500="A", OR(VLOOKUP(AF500,[1]Diccionario!B:N,13,0)="B", VLOOKUP(AF500,[1]Diccionario!B:N,13,0)="C")), "SOBREOFERTA",""
))))))),"")</f>
        <v/>
      </c>
      <c r="AF500" s="48"/>
      <c r="AG500" s="53"/>
      <c r="AH500" s="54"/>
      <c r="AI500" s="55" t="str">
        <f t="shared" si="122"/>
        <v/>
      </c>
      <c r="AJ500" s="46"/>
      <c r="AK500" s="34" t="e">
        <f>IF(AB500&lt;&gt;"",HLOOKUP(VALUE(TEXT(AH500,"h:mm:ss")),IF($C$6="Laboral",[1]Input!$A$4:$Y$227,IF($C$6="Sábado",[1]Input!$A$231:$Y$452,[1]Input!$A$456:$Y$656)),VLOOKUP($C$4,[1]Input!$AG$2:$AI$99,3,0)+IF(AD$5="Ida",0,1),1),"")</f>
        <v>#N/A</v>
      </c>
      <c r="AL500" s="34" t="str">
        <f>IF(AB501&lt;&gt;AB500,AVERAGEIF(AB$9:AB500,AB500,AK$9:AK500),"")</f>
        <v/>
      </c>
      <c r="AM500" s="35" t="str">
        <f>IFERROR(IF(AB501&lt;&gt;AB500,AVERAGEIF(AB$9:AB500,AB500,AT$9:AT500),""),"")</f>
        <v/>
      </c>
      <c r="AN500" s="35" t="str">
        <f>IFERROR(IF(AB501&lt;&gt;AB500,AVERAGEIF(AB$9:AB500,AB500,AU$9:AU500),""),"")</f>
        <v/>
      </c>
      <c r="AO500" s="35" t="str" cm="1">
        <f t="array" ref="AO500">IFERROR(IF(AB501&lt;&gt;AB500,_xlfn.STDEV.P(IF(AB$9:AB500=AB500,AU$9:AU500)),""),"")</f>
        <v/>
      </c>
      <c r="AP500" s="35" t="str" cm="1">
        <f t="array" ref="AP500">IFERROR(IF(AB501&lt;&gt;AB500,_xlfn.STDEV.P(IF(AB$9:AB500=AB500,AT$9:AT500)),""),"")</f>
        <v/>
      </c>
      <c r="AQ500" s="36" t="str">
        <f t="shared" si="113"/>
        <v/>
      </c>
      <c r="AR500" s="36" t="str">
        <f t="shared" si="114"/>
        <v/>
      </c>
      <c r="AS500" s="36" t="str">
        <f t="shared" si="123"/>
        <v/>
      </c>
      <c r="AT500" s="37" t="str">
        <f t="shared" si="115"/>
        <v/>
      </c>
      <c r="AU500" s="37" t="str">
        <f t="shared" si="116"/>
        <v/>
      </c>
      <c r="AV500" s="54"/>
      <c r="AW500" s="46"/>
      <c r="AX500" s="39" t="str" cm="1">
        <f t="array" ref="AX500">IF(AH500&lt;&gt;"",IF(AND(AX498:AX499&lt;&gt;"IE",AQ500&lt;&gt;0,AS500&lt;&gt;""),IF(IFERROR((AQ500/AS500),0) &lt;=1,IFERROR(AQ500/AS500,""),1),""),"")</f>
        <v/>
      </c>
      <c r="AY500" s="46"/>
      <c r="AZ500" s="57"/>
    </row>
    <row r="501" spans="1:52" ht="15.5" x14ac:dyDescent="0.35">
      <c r="A501" s="51">
        <f t="shared" si="124"/>
        <v>1</v>
      </c>
      <c r="B501" s="52"/>
      <c r="C501" s="52"/>
      <c r="D501" s="29" t="str">
        <f>IFERROR(
IF(AND(OR(Planilla!B501="C",Planilla!B501="c"), VLOOKUP(E501,[1]Diccionario!B:N,13,0)="C"), "OK",IF(AND(OR(Planilla!B501="C",Planilla!B501="c"), OR(VLOOKUP(E501,[1]Diccionario!B:N,13,0)="B", VLOOKUP(E501,[1]Diccionario!B:N,13,0)="A")), "DEFICIT",IF(
AND(OR(Planilla!B501="B", Planilla!B501="BPAL"), VLOOKUP(E501,[1]Diccionario!B:N,13,0)="B"), "OK",IF(AND(OR(Planilla!B501="B", Planilla!B501="BPAL"), VLOOKUP(E501,[1]Diccionario!B:N,13,0)="A"), "DEFICIT",IF(AND(OR(Planilla!B501="B", Planilla!B501="BPAL"), VLOOKUP(E501,[1]Diccionario!B:N,13,0)="C"), "SOBREOFERTA",IF(AND(Planilla!B501="A", VLOOKUP(E501,[1]Diccionario!B:N,13,0)="A"), "OK",IF(
AND(Planilla!B501="A", OR(VLOOKUP(E501,[1]Diccionario!B:N,13,0)="B", VLOOKUP(E501,[1]Diccionario!B:N,13,0)="C")), "SOBREOFERTA",""
))))))),"")</f>
        <v/>
      </c>
      <c r="E501" s="48"/>
      <c r="F501" s="53"/>
      <c r="G501" s="54"/>
      <c r="H501" s="55" t="str">
        <f t="shared" si="117"/>
        <v/>
      </c>
      <c r="I501" s="35"/>
      <c r="J501" s="34" t="e">
        <f>IF(A501&lt;&gt;"",HLOOKUP(VALUE(TEXT(G501,"h:mm:ss")),IF($C$6="Laboral",[1]Input!$A$4:$Y$227,IF($C$6="Sábado",[1]Input!$A$231:$Y$452,[1]Input!$A$456:$Y$656)),VLOOKUP($C$4,[1]Input!$AG$2:$AI$99,3,0)+IF(C$5="Ida",0,1),1),"")</f>
        <v>#N/A</v>
      </c>
      <c r="K501" s="34" t="str">
        <f>IF(A502&lt;&gt;A501,AVERAGEIF(A$9:A501,A501,J$13:J501),"")</f>
        <v/>
      </c>
      <c r="L501" s="35" t="str">
        <f>IFERROR(IF(A502&lt;&gt;A501,AVERAGEIF(A$9:A501,A501,S$13:S501),""),"")</f>
        <v/>
      </c>
      <c r="M501" s="35" t="str">
        <f>IFERROR(IF(A502&lt;&gt;A501,AVERAGEIF(A$9:A501,A501,T$8:T501),""),"")</f>
        <v/>
      </c>
      <c r="N501" s="35" t="str" cm="1">
        <f t="array" ref="N501">IFERROR(IF(A502&lt;&gt;A501,_xlfn.STDEV.P(IF(A$9:A501=A501,T$7:T501)),""),"")</f>
        <v/>
      </c>
      <c r="O501" s="35" t="str" cm="1">
        <f t="array" ref="O501">IFERROR(IF(A502&lt;&gt;A501,_xlfn.STDEV.P(IF(A$9:A501=A501,S$7:S501)),""),"")</f>
        <v/>
      </c>
      <c r="P501" s="36" t="str">
        <f t="shared" si="110"/>
        <v/>
      </c>
      <c r="Q501" s="36" t="str">
        <f t="shared" si="111"/>
        <v/>
      </c>
      <c r="R501" s="36" t="str">
        <f t="shared" si="118"/>
        <v/>
      </c>
      <c r="S501" s="37" t="str">
        <f t="shared" si="119"/>
        <v/>
      </c>
      <c r="T501" s="37" t="str">
        <f t="shared" si="112"/>
        <v/>
      </c>
      <c r="U501" s="54"/>
      <c r="V501" s="46"/>
      <c r="W501" s="39" t="str">
        <f t="shared" si="120"/>
        <v/>
      </c>
      <c r="X501" s="38"/>
      <c r="Y501" s="48"/>
      <c r="AB501" s="56">
        <f t="shared" si="121"/>
        <v>1</v>
      </c>
      <c r="AC501" s="52"/>
      <c r="AD501" s="52"/>
      <c r="AE501" s="29" t="str">
        <f>IFERROR(
IF(AND(OR(AC501="C",AC501="c"), VLOOKUP(AF501,[1]Diccionario!B:N,13,0)="C"), "OK",IF(AND(OR(AC501="C",AC501="c"), OR(VLOOKUP(AF501,[1]Diccionario!B:N,13,0)="B", VLOOKUP(AF501,[1]Diccionario!B:N,13,0)="A")), "DEFICIT",IF(
AND(OR(AC501="B", AC501="BPAL"), VLOOKUP(AF501,[1]Diccionario!B:N,13,0)="B"), "OK",IF(AND(OR(AC501="B", AC501="BPAL"), VLOOKUP(AF501,[1]Diccionario!B:N,13,0)="A"), "DEFICIT",IF(AND(OR(AC501="B", AC501="BPAL"), VLOOKUP(AF501,[1]Diccionario!B:N,13,0)="C"), "SOBREOFERTA",IF(AND(AC501="A", VLOOKUP(AF501,[1]Diccionario!B:N,13,0)="A"), "OK",IF(
AND(AC501="A", OR(VLOOKUP(AF501,[1]Diccionario!B:N,13,0)="B", VLOOKUP(AF501,[1]Diccionario!B:N,13,0)="C")), "SOBREOFERTA",""
))))))),"")</f>
        <v/>
      </c>
      <c r="AF501" s="48"/>
      <c r="AG501" s="53"/>
      <c r="AH501" s="54"/>
      <c r="AI501" s="55" t="str">
        <f t="shared" si="122"/>
        <v/>
      </c>
      <c r="AJ501" s="46"/>
      <c r="AK501" s="34" t="e">
        <f>IF(AB501&lt;&gt;"",HLOOKUP(VALUE(TEXT(AH501,"h:mm:ss")),IF($C$6="Laboral",[1]Input!$A$4:$Y$227,IF($C$6="Sábado",[1]Input!$A$231:$Y$452,[1]Input!$A$456:$Y$656)),VLOOKUP($C$4,[1]Input!$AG$2:$AI$99,3,0)+IF(AD$5="Ida",0,1),1),"")</f>
        <v>#N/A</v>
      </c>
      <c r="AL501" s="34" t="str">
        <f>IF(AB502&lt;&gt;AB501,AVERAGEIF(AB$9:AB501,AB501,AK$9:AK501),"")</f>
        <v/>
      </c>
      <c r="AM501" s="35" t="str">
        <f>IFERROR(IF(AB502&lt;&gt;AB501,AVERAGEIF(AB$9:AB501,AB501,AT$9:AT501),""),"")</f>
        <v/>
      </c>
      <c r="AN501" s="35" t="str">
        <f>IFERROR(IF(AB502&lt;&gt;AB501,AVERAGEIF(AB$9:AB501,AB501,AU$9:AU501),""),"")</f>
        <v/>
      </c>
      <c r="AO501" s="35" t="str" cm="1">
        <f t="array" ref="AO501">IFERROR(IF(AB502&lt;&gt;AB501,_xlfn.STDEV.P(IF(AB$9:AB501=AB501,AU$9:AU501)),""),"")</f>
        <v/>
      </c>
      <c r="AP501" s="35" t="str" cm="1">
        <f t="array" ref="AP501">IFERROR(IF(AB502&lt;&gt;AB501,_xlfn.STDEV.P(IF(AB$9:AB501=AB501,AT$9:AT501)),""),"")</f>
        <v/>
      </c>
      <c r="AQ501" s="36" t="str">
        <f t="shared" si="113"/>
        <v/>
      </c>
      <c r="AR501" s="36" t="str">
        <f t="shared" si="114"/>
        <v/>
      </c>
      <c r="AS501" s="36" t="str">
        <f t="shared" si="123"/>
        <v/>
      </c>
      <c r="AT501" s="37" t="str">
        <f t="shared" si="115"/>
        <v/>
      </c>
      <c r="AU501" s="37" t="str">
        <f t="shared" si="116"/>
        <v/>
      </c>
      <c r="AV501" s="54"/>
      <c r="AW501" s="46"/>
      <c r="AX501" s="39" t="str" cm="1">
        <f t="array" ref="AX501">IF(AH501&lt;&gt;"",IF(AND(AX499:AX500&lt;&gt;"IE",AQ501&lt;&gt;0,AS501&lt;&gt;""),IF(IFERROR((AQ501/AS501),0) &lt;=1,IFERROR(AQ501/AS501,""),1),""),"")</f>
        <v/>
      </c>
      <c r="AY501" s="46"/>
      <c r="AZ501" s="57"/>
    </row>
    <row r="502" spans="1:52" ht="15.5" x14ac:dyDescent="0.35">
      <c r="A502" s="51">
        <f t="shared" si="124"/>
        <v>1</v>
      </c>
      <c r="B502" s="52"/>
      <c r="C502" s="52"/>
      <c r="D502" s="29" t="str">
        <f>IFERROR(
IF(AND(OR(Planilla!B502="C",Planilla!B502="c"), VLOOKUP(E502,[1]Diccionario!B:N,13,0)="C"), "OK",IF(AND(OR(Planilla!B502="C",Planilla!B502="c"), OR(VLOOKUP(E502,[1]Diccionario!B:N,13,0)="B", VLOOKUP(E502,[1]Diccionario!B:N,13,0)="A")), "DEFICIT",IF(
AND(OR(Planilla!B502="B", Planilla!B502="BPAL"), VLOOKUP(E502,[1]Diccionario!B:N,13,0)="B"), "OK",IF(AND(OR(Planilla!B502="B", Planilla!B502="BPAL"), VLOOKUP(E502,[1]Diccionario!B:N,13,0)="A"), "DEFICIT",IF(AND(OR(Planilla!B502="B", Planilla!B502="BPAL"), VLOOKUP(E502,[1]Diccionario!B:N,13,0)="C"), "SOBREOFERTA",IF(AND(Planilla!B502="A", VLOOKUP(E502,[1]Diccionario!B:N,13,0)="A"), "OK",IF(
AND(Planilla!B502="A", OR(VLOOKUP(E502,[1]Diccionario!B:N,13,0)="B", VLOOKUP(E502,[1]Diccionario!B:N,13,0)="C")), "SOBREOFERTA",""
))))))),"")</f>
        <v/>
      </c>
      <c r="E502" s="48"/>
      <c r="F502" s="53"/>
      <c r="G502" s="54"/>
      <c r="H502" s="55" t="str">
        <f t="shared" si="117"/>
        <v/>
      </c>
      <c r="I502" s="35"/>
      <c r="J502" s="34" t="e">
        <f>IF(A502&lt;&gt;"",HLOOKUP(VALUE(TEXT(G502,"h:mm:ss")),IF($C$6="Laboral",[1]Input!$A$4:$Y$227,IF($C$6="Sábado",[1]Input!$A$231:$Y$452,[1]Input!$A$456:$Y$656)),VLOOKUP($C$4,[1]Input!$AG$2:$AI$99,3,0)+IF(C$5="Ida",0,1),1),"")</f>
        <v>#N/A</v>
      </c>
      <c r="K502" s="34" t="str">
        <f>IF(A503&lt;&gt;A502,AVERAGEIF(A$9:A502,A502,J$13:J502),"")</f>
        <v/>
      </c>
      <c r="L502" s="35" t="str">
        <f>IFERROR(IF(A503&lt;&gt;A502,AVERAGEIF(A$9:A502,A502,S$13:S502),""),"")</f>
        <v/>
      </c>
      <c r="M502" s="35" t="str">
        <f>IFERROR(IF(A503&lt;&gt;A502,AVERAGEIF(A$9:A502,A502,T$8:T502),""),"")</f>
        <v/>
      </c>
      <c r="N502" s="35" t="str" cm="1">
        <f t="array" ref="N502">IFERROR(IF(A503&lt;&gt;A502,_xlfn.STDEV.P(IF(A$9:A502=A502,T$7:T502)),""),"")</f>
        <v/>
      </c>
      <c r="O502" s="35" t="str" cm="1">
        <f t="array" ref="O502">IFERROR(IF(A503&lt;&gt;A502,_xlfn.STDEV.P(IF(A$9:A502=A502,S$7:S502)),""),"")</f>
        <v/>
      </c>
      <c r="P502" s="36" t="str">
        <f t="shared" si="110"/>
        <v/>
      </c>
      <c r="Q502" s="36" t="str">
        <f t="shared" si="111"/>
        <v/>
      </c>
      <c r="R502" s="36" t="str">
        <f t="shared" si="118"/>
        <v/>
      </c>
      <c r="S502" s="37" t="str">
        <f t="shared" si="119"/>
        <v/>
      </c>
      <c r="T502" s="37" t="str">
        <f t="shared" si="112"/>
        <v/>
      </c>
      <c r="U502" s="54"/>
      <c r="V502" s="46"/>
      <c r="W502" s="39" t="str">
        <f t="shared" si="120"/>
        <v/>
      </c>
      <c r="X502" s="38"/>
      <c r="Y502" s="48"/>
      <c r="AB502" s="56">
        <f t="shared" si="121"/>
        <v>1</v>
      </c>
      <c r="AC502" s="52"/>
      <c r="AD502" s="52"/>
      <c r="AE502" s="29" t="str">
        <f>IFERROR(
IF(AND(OR(AC502="C",AC502="c"), VLOOKUP(AF502,[1]Diccionario!B:N,13,0)="C"), "OK",IF(AND(OR(AC502="C",AC502="c"), OR(VLOOKUP(AF502,[1]Diccionario!B:N,13,0)="B", VLOOKUP(AF502,[1]Diccionario!B:N,13,0)="A")), "DEFICIT",IF(
AND(OR(AC502="B", AC502="BPAL"), VLOOKUP(AF502,[1]Diccionario!B:N,13,0)="B"), "OK",IF(AND(OR(AC502="B", AC502="BPAL"), VLOOKUP(AF502,[1]Diccionario!B:N,13,0)="A"), "DEFICIT",IF(AND(OR(AC502="B", AC502="BPAL"), VLOOKUP(AF502,[1]Diccionario!B:N,13,0)="C"), "SOBREOFERTA",IF(AND(AC502="A", VLOOKUP(AF502,[1]Diccionario!B:N,13,0)="A"), "OK",IF(
AND(AC502="A", OR(VLOOKUP(AF502,[1]Diccionario!B:N,13,0)="B", VLOOKUP(AF502,[1]Diccionario!B:N,13,0)="C")), "SOBREOFERTA",""
))))))),"")</f>
        <v/>
      </c>
      <c r="AF502" s="48"/>
      <c r="AG502" s="53"/>
      <c r="AH502" s="54"/>
      <c r="AI502" s="55" t="str">
        <f t="shared" si="122"/>
        <v/>
      </c>
      <c r="AJ502" s="46"/>
      <c r="AK502" s="34" t="e">
        <f>IF(AB502&lt;&gt;"",HLOOKUP(VALUE(TEXT(AH502,"h:mm:ss")),IF($C$6="Laboral",[1]Input!$A$4:$Y$227,IF($C$6="Sábado",[1]Input!$A$231:$Y$452,[1]Input!$A$456:$Y$656)),VLOOKUP($C$4,[1]Input!$AG$2:$AI$99,3,0)+IF(AD$5="Ida",0,1),1),"")</f>
        <v>#N/A</v>
      </c>
      <c r="AL502" s="34" t="str">
        <f>IF(AB503&lt;&gt;AB502,AVERAGEIF(AB$9:AB502,AB502,AK$9:AK502),"")</f>
        <v/>
      </c>
      <c r="AM502" s="35" t="str">
        <f>IFERROR(IF(AB503&lt;&gt;AB502,AVERAGEIF(AB$9:AB502,AB502,AT$9:AT502),""),"")</f>
        <v/>
      </c>
      <c r="AN502" s="35" t="str">
        <f>IFERROR(IF(AB503&lt;&gt;AB502,AVERAGEIF(AB$9:AB502,AB502,AU$9:AU502),""),"")</f>
        <v/>
      </c>
      <c r="AO502" s="35" t="str" cm="1">
        <f t="array" ref="AO502">IFERROR(IF(AB503&lt;&gt;AB502,_xlfn.STDEV.P(IF(AB$9:AB502=AB502,AU$9:AU502)),""),"")</f>
        <v/>
      </c>
      <c r="AP502" s="35" t="str" cm="1">
        <f t="array" ref="AP502">IFERROR(IF(AB503&lt;&gt;AB502,_xlfn.STDEV.P(IF(AB$9:AB502=AB502,AT$9:AT502)),""),"")</f>
        <v/>
      </c>
      <c r="AQ502" s="36" t="str">
        <f t="shared" si="113"/>
        <v/>
      </c>
      <c r="AR502" s="36" t="str">
        <f t="shared" si="114"/>
        <v/>
      </c>
      <c r="AS502" s="36" t="str">
        <f t="shared" si="123"/>
        <v/>
      </c>
      <c r="AT502" s="37" t="str">
        <f t="shared" si="115"/>
        <v/>
      </c>
      <c r="AU502" s="37" t="str">
        <f t="shared" si="116"/>
        <v/>
      </c>
      <c r="AV502" s="54"/>
      <c r="AW502" s="46"/>
      <c r="AX502" s="39" t="str" cm="1">
        <f t="array" ref="AX502">IF(AH502&lt;&gt;"",IF(AND(AX500:AX501&lt;&gt;"IE",AQ502&lt;&gt;0,AS502&lt;&gt;""),IF(IFERROR((AQ502/AS502),0) &lt;=1,IFERROR(AQ502/AS502,""),1),""),"")</f>
        <v/>
      </c>
      <c r="AY502" s="46"/>
      <c r="AZ502" s="57"/>
    </row>
    <row r="503" spans="1:52" ht="15.5" x14ac:dyDescent="0.35">
      <c r="A503" s="51">
        <f t="shared" si="124"/>
        <v>1</v>
      </c>
      <c r="B503" s="52"/>
      <c r="C503" s="52"/>
      <c r="D503" s="29" t="str">
        <f>IFERROR(
IF(AND(OR(Planilla!B503="C",Planilla!B503="c"), VLOOKUP(E503,[1]Diccionario!B:N,13,0)="C"), "OK",IF(AND(OR(Planilla!B503="C",Planilla!B503="c"), OR(VLOOKUP(E503,[1]Diccionario!B:N,13,0)="B", VLOOKUP(E503,[1]Diccionario!B:N,13,0)="A")), "DEFICIT",IF(
AND(OR(Planilla!B503="B", Planilla!B503="BPAL"), VLOOKUP(E503,[1]Diccionario!B:N,13,0)="B"), "OK",IF(AND(OR(Planilla!B503="B", Planilla!B503="BPAL"), VLOOKUP(E503,[1]Diccionario!B:N,13,0)="A"), "DEFICIT",IF(AND(OR(Planilla!B503="B", Planilla!B503="BPAL"), VLOOKUP(E503,[1]Diccionario!B:N,13,0)="C"), "SOBREOFERTA",IF(AND(Planilla!B503="A", VLOOKUP(E503,[1]Diccionario!B:N,13,0)="A"), "OK",IF(
AND(Planilla!B503="A", OR(VLOOKUP(E503,[1]Diccionario!B:N,13,0)="B", VLOOKUP(E503,[1]Diccionario!B:N,13,0)="C")), "SOBREOFERTA",""
))))))),"")</f>
        <v/>
      </c>
      <c r="E503" s="48"/>
      <c r="F503" s="53"/>
      <c r="G503" s="54"/>
      <c r="H503" s="55" t="str">
        <f t="shared" si="117"/>
        <v/>
      </c>
      <c r="I503" s="35"/>
      <c r="J503" s="34" t="e">
        <f>IF(A503&lt;&gt;"",HLOOKUP(VALUE(TEXT(G503,"h:mm:ss")),IF($C$6="Laboral",[1]Input!$A$4:$Y$227,IF($C$6="Sábado",[1]Input!$A$231:$Y$452,[1]Input!$A$456:$Y$656)),VLOOKUP($C$4,[1]Input!$AG$2:$AI$99,3,0)+IF(C$5="Ida",0,1),1),"")</f>
        <v>#N/A</v>
      </c>
      <c r="K503" s="34" t="str">
        <f>IF(A504&lt;&gt;A503,AVERAGEIF(A$9:A503,A503,J$13:J503),"")</f>
        <v/>
      </c>
      <c r="L503" s="35" t="str">
        <f>IFERROR(IF(A504&lt;&gt;A503,AVERAGEIF(A$9:A503,A503,S$13:S503),""),"")</f>
        <v/>
      </c>
      <c r="M503" s="35" t="str">
        <f>IFERROR(IF(A504&lt;&gt;A503,AVERAGEIF(A$9:A503,A503,T$8:T503),""),"")</f>
        <v/>
      </c>
      <c r="N503" s="35" t="str" cm="1">
        <f t="array" ref="N503">IFERROR(IF(A504&lt;&gt;A503,_xlfn.STDEV.P(IF(A$9:A503=A503,T$7:T503)),""),"")</f>
        <v/>
      </c>
      <c r="O503" s="35" t="str" cm="1">
        <f t="array" ref="O503">IFERROR(IF(A504&lt;&gt;A503,_xlfn.STDEV.P(IF(A$9:A503=A503,S$7:S503)),""),"")</f>
        <v/>
      </c>
      <c r="P503" s="36" t="str">
        <f t="shared" si="110"/>
        <v/>
      </c>
      <c r="Q503" s="36" t="str">
        <f t="shared" si="111"/>
        <v/>
      </c>
      <c r="R503" s="36" t="str">
        <f t="shared" si="118"/>
        <v/>
      </c>
      <c r="S503" s="37" t="str">
        <f t="shared" si="119"/>
        <v/>
      </c>
      <c r="T503" s="37" t="str">
        <f t="shared" si="112"/>
        <v/>
      </c>
      <c r="U503" s="54"/>
      <c r="V503" s="46"/>
      <c r="W503" s="39" t="str">
        <f t="shared" si="120"/>
        <v/>
      </c>
      <c r="X503" s="38"/>
      <c r="Y503" s="48"/>
      <c r="AB503" s="56">
        <f t="shared" si="121"/>
        <v>1</v>
      </c>
      <c r="AC503" s="52"/>
      <c r="AD503" s="52"/>
      <c r="AE503" s="29" t="str">
        <f>IFERROR(
IF(AND(OR(AC503="C",AC503="c"), VLOOKUP(AF503,[1]Diccionario!B:N,13,0)="C"), "OK",IF(AND(OR(AC503="C",AC503="c"), OR(VLOOKUP(AF503,[1]Diccionario!B:N,13,0)="B", VLOOKUP(AF503,[1]Diccionario!B:N,13,0)="A")), "DEFICIT",IF(
AND(OR(AC503="B", AC503="BPAL"), VLOOKUP(AF503,[1]Diccionario!B:N,13,0)="B"), "OK",IF(AND(OR(AC503="B", AC503="BPAL"), VLOOKUP(AF503,[1]Diccionario!B:N,13,0)="A"), "DEFICIT",IF(AND(OR(AC503="B", AC503="BPAL"), VLOOKUP(AF503,[1]Diccionario!B:N,13,0)="C"), "SOBREOFERTA",IF(AND(AC503="A", VLOOKUP(AF503,[1]Diccionario!B:N,13,0)="A"), "OK",IF(
AND(AC503="A", OR(VLOOKUP(AF503,[1]Diccionario!B:N,13,0)="B", VLOOKUP(AF503,[1]Diccionario!B:N,13,0)="C")), "SOBREOFERTA",""
))))))),"")</f>
        <v/>
      </c>
      <c r="AF503" s="48"/>
      <c r="AG503" s="53"/>
      <c r="AH503" s="54"/>
      <c r="AI503" s="55" t="str">
        <f t="shared" si="122"/>
        <v/>
      </c>
      <c r="AJ503" s="46"/>
      <c r="AK503" s="34" t="e">
        <f>IF(AB503&lt;&gt;"",HLOOKUP(VALUE(TEXT(AH503,"h:mm:ss")),IF($C$6="Laboral",[1]Input!$A$4:$Y$227,IF($C$6="Sábado",[1]Input!$A$231:$Y$452,[1]Input!$A$456:$Y$656)),VLOOKUP($C$4,[1]Input!$AG$2:$AI$99,3,0)+IF(AD$5="Ida",0,1),1),"")</f>
        <v>#N/A</v>
      </c>
      <c r="AL503" s="34" t="str">
        <f>IF(AB504&lt;&gt;AB503,AVERAGEIF(AB$9:AB503,AB503,AK$9:AK503),"")</f>
        <v/>
      </c>
      <c r="AM503" s="35" t="str">
        <f>IFERROR(IF(AB504&lt;&gt;AB503,AVERAGEIF(AB$9:AB503,AB503,AT$9:AT503),""),"")</f>
        <v/>
      </c>
      <c r="AN503" s="35" t="str">
        <f>IFERROR(IF(AB504&lt;&gt;AB503,AVERAGEIF(AB$9:AB503,AB503,AU$9:AU503),""),"")</f>
        <v/>
      </c>
      <c r="AO503" s="35" t="str" cm="1">
        <f t="array" ref="AO503">IFERROR(IF(AB504&lt;&gt;AB503,_xlfn.STDEV.P(IF(AB$9:AB503=AB503,AU$9:AU503)),""),"")</f>
        <v/>
      </c>
      <c r="AP503" s="35" t="str" cm="1">
        <f t="array" ref="AP503">IFERROR(IF(AB504&lt;&gt;AB503,_xlfn.STDEV.P(IF(AB$9:AB503=AB503,AT$9:AT503)),""),"")</f>
        <v/>
      </c>
      <c r="AQ503" s="36" t="str">
        <f t="shared" si="113"/>
        <v/>
      </c>
      <c r="AR503" s="36" t="str">
        <f t="shared" si="114"/>
        <v/>
      </c>
      <c r="AS503" s="36" t="str">
        <f t="shared" si="123"/>
        <v/>
      </c>
      <c r="AT503" s="37" t="str">
        <f t="shared" si="115"/>
        <v/>
      </c>
      <c r="AU503" s="37" t="str">
        <f t="shared" si="116"/>
        <v/>
      </c>
      <c r="AV503" s="54"/>
      <c r="AW503" s="46"/>
      <c r="AX503" s="39" t="str" cm="1">
        <f t="array" ref="AX503">IF(AH503&lt;&gt;"",IF(AND(AX501:AX502&lt;&gt;"IE",AQ503&lt;&gt;0,AS503&lt;&gt;""),IF(IFERROR((AQ503/AS503),0) &lt;=1,IFERROR(AQ503/AS503,""),1),""),"")</f>
        <v/>
      </c>
      <c r="AY503" s="46"/>
      <c r="AZ503" s="57"/>
    </row>
    <row r="504" spans="1:52" ht="15.5" x14ac:dyDescent="0.35">
      <c r="A504" s="51">
        <f t="shared" si="124"/>
        <v>1</v>
      </c>
      <c r="B504" s="52"/>
      <c r="C504" s="52"/>
      <c r="D504" s="29" t="str">
        <f>IFERROR(
IF(AND(OR(Planilla!B504="C",Planilla!B504="c"), VLOOKUP(E504,[1]Diccionario!B:N,13,0)="C"), "OK",IF(AND(OR(Planilla!B504="C",Planilla!B504="c"), OR(VLOOKUP(E504,[1]Diccionario!B:N,13,0)="B", VLOOKUP(E504,[1]Diccionario!B:N,13,0)="A")), "DEFICIT",IF(
AND(OR(Planilla!B504="B", Planilla!B504="BPAL"), VLOOKUP(E504,[1]Diccionario!B:N,13,0)="B"), "OK",IF(AND(OR(Planilla!B504="B", Planilla!B504="BPAL"), VLOOKUP(E504,[1]Diccionario!B:N,13,0)="A"), "DEFICIT",IF(AND(OR(Planilla!B504="B", Planilla!B504="BPAL"), VLOOKUP(E504,[1]Diccionario!B:N,13,0)="C"), "SOBREOFERTA",IF(AND(Planilla!B504="A", VLOOKUP(E504,[1]Diccionario!B:N,13,0)="A"), "OK",IF(
AND(Planilla!B504="A", OR(VLOOKUP(E504,[1]Diccionario!B:N,13,0)="B", VLOOKUP(E504,[1]Diccionario!B:N,13,0)="C")), "SOBREOFERTA",""
))))))),"")</f>
        <v/>
      </c>
      <c r="E504" s="48"/>
      <c r="F504" s="53"/>
      <c r="G504" s="54"/>
      <c r="H504" s="55" t="str">
        <f t="shared" si="117"/>
        <v/>
      </c>
      <c r="I504" s="35"/>
      <c r="J504" s="34" t="e">
        <f>IF(A504&lt;&gt;"",HLOOKUP(VALUE(TEXT(G504,"h:mm:ss")),IF($C$6="Laboral",[1]Input!$A$4:$Y$227,IF($C$6="Sábado",[1]Input!$A$231:$Y$452,[1]Input!$A$456:$Y$656)),VLOOKUP($C$4,[1]Input!$AG$2:$AI$99,3,0)+IF(C$5="Ida",0,1),1),"")</f>
        <v>#N/A</v>
      </c>
      <c r="K504" s="34" t="str">
        <f>IF(A505&lt;&gt;A504,AVERAGEIF(A$9:A504,A504,J$13:J504),"")</f>
        <v/>
      </c>
      <c r="L504" s="35" t="str">
        <f>IFERROR(IF(A505&lt;&gt;A504,AVERAGEIF(A$9:A504,A504,S$13:S504),""),"")</f>
        <v/>
      </c>
      <c r="M504" s="35" t="str">
        <f>IFERROR(IF(A505&lt;&gt;A504,AVERAGEIF(A$9:A504,A504,T$8:T504),""),"")</f>
        <v/>
      </c>
      <c r="N504" s="35" t="str" cm="1">
        <f t="array" ref="N504">IFERROR(IF(A505&lt;&gt;A504,_xlfn.STDEV.P(IF(A$9:A504=A504,T$7:T504)),""),"")</f>
        <v/>
      </c>
      <c r="O504" s="35" t="str" cm="1">
        <f t="array" ref="O504">IFERROR(IF(A505&lt;&gt;A504,_xlfn.STDEV.P(IF(A$9:A504=A504,S$7:S504)),""),"")</f>
        <v/>
      </c>
      <c r="P504" s="36" t="str">
        <f t="shared" si="110"/>
        <v/>
      </c>
      <c r="Q504" s="36" t="str">
        <f t="shared" si="111"/>
        <v/>
      </c>
      <c r="R504" s="36" t="str">
        <f t="shared" si="118"/>
        <v/>
      </c>
      <c r="S504" s="37" t="str">
        <f t="shared" si="119"/>
        <v/>
      </c>
      <c r="T504" s="37" t="str">
        <f t="shared" si="112"/>
        <v/>
      </c>
      <c r="U504" s="54"/>
      <c r="V504" s="46"/>
      <c r="W504" s="39" t="str">
        <f t="shared" si="120"/>
        <v/>
      </c>
      <c r="X504" s="38"/>
      <c r="Y504" s="48"/>
      <c r="AB504" s="56">
        <f t="shared" si="121"/>
        <v>1</v>
      </c>
      <c r="AC504" s="52"/>
      <c r="AD504" s="52"/>
      <c r="AE504" s="29" t="str">
        <f>IFERROR(
IF(AND(OR(AC504="C",AC504="c"), VLOOKUP(AF504,[1]Diccionario!B:N,13,0)="C"), "OK",IF(AND(OR(AC504="C",AC504="c"), OR(VLOOKUP(AF504,[1]Diccionario!B:N,13,0)="B", VLOOKUP(AF504,[1]Diccionario!B:N,13,0)="A")), "DEFICIT",IF(
AND(OR(AC504="B", AC504="BPAL"), VLOOKUP(AF504,[1]Diccionario!B:N,13,0)="B"), "OK",IF(AND(OR(AC504="B", AC504="BPAL"), VLOOKUP(AF504,[1]Diccionario!B:N,13,0)="A"), "DEFICIT",IF(AND(OR(AC504="B", AC504="BPAL"), VLOOKUP(AF504,[1]Diccionario!B:N,13,0)="C"), "SOBREOFERTA",IF(AND(AC504="A", VLOOKUP(AF504,[1]Diccionario!B:N,13,0)="A"), "OK",IF(
AND(AC504="A", OR(VLOOKUP(AF504,[1]Diccionario!B:N,13,0)="B", VLOOKUP(AF504,[1]Diccionario!B:N,13,0)="C")), "SOBREOFERTA",""
))))))),"")</f>
        <v/>
      </c>
      <c r="AF504" s="48"/>
      <c r="AG504" s="53"/>
      <c r="AH504" s="54"/>
      <c r="AI504" s="55" t="str">
        <f t="shared" si="122"/>
        <v/>
      </c>
      <c r="AJ504" s="46"/>
      <c r="AK504" s="34" t="e">
        <f>IF(AB504&lt;&gt;"",HLOOKUP(VALUE(TEXT(AH504,"h:mm:ss")),IF($C$6="Laboral",[1]Input!$A$4:$Y$227,IF($C$6="Sábado",[1]Input!$A$231:$Y$452,[1]Input!$A$456:$Y$656)),VLOOKUP($C$4,[1]Input!$AG$2:$AI$99,3,0)+IF(AD$5="Ida",0,1),1),"")</f>
        <v>#N/A</v>
      </c>
      <c r="AL504" s="34" t="str">
        <f>IF(AB505&lt;&gt;AB504,AVERAGEIF(AB$9:AB504,AB504,AK$9:AK504),"")</f>
        <v/>
      </c>
      <c r="AM504" s="35" t="str">
        <f>IFERROR(IF(AB505&lt;&gt;AB504,AVERAGEIF(AB$9:AB504,AB504,AT$9:AT504),""),"")</f>
        <v/>
      </c>
      <c r="AN504" s="35" t="str">
        <f>IFERROR(IF(AB505&lt;&gt;AB504,AVERAGEIF(AB$9:AB504,AB504,AU$9:AU504),""),"")</f>
        <v/>
      </c>
      <c r="AO504" s="35" t="str" cm="1">
        <f t="array" ref="AO504">IFERROR(IF(AB505&lt;&gt;AB504,_xlfn.STDEV.P(IF(AB$9:AB504=AB504,AU$9:AU504)),""),"")</f>
        <v/>
      </c>
      <c r="AP504" s="35" t="str" cm="1">
        <f t="array" ref="AP504">IFERROR(IF(AB505&lt;&gt;AB504,_xlfn.STDEV.P(IF(AB$9:AB504=AB504,AT$9:AT504)),""),"")</f>
        <v/>
      </c>
      <c r="AQ504" s="36" t="str">
        <f t="shared" si="113"/>
        <v/>
      </c>
      <c r="AR504" s="36" t="str">
        <f t="shared" si="114"/>
        <v/>
      </c>
      <c r="AS504" s="36" t="str">
        <f t="shared" si="123"/>
        <v/>
      </c>
      <c r="AT504" s="37" t="str">
        <f t="shared" si="115"/>
        <v/>
      </c>
      <c r="AU504" s="37" t="str">
        <f t="shared" si="116"/>
        <v/>
      </c>
      <c r="AV504" s="54"/>
      <c r="AW504" s="46"/>
      <c r="AX504" s="39" t="str" cm="1">
        <f t="array" ref="AX504">IF(AH504&lt;&gt;"",IF(AND(AX502:AX503&lt;&gt;"IE",AQ504&lt;&gt;0,AS504&lt;&gt;""),IF(IFERROR((AQ504/AS504),0) &lt;=1,IFERROR(AQ504/AS504,""),1),""),"")</f>
        <v/>
      </c>
      <c r="AY504" s="46"/>
      <c r="AZ504" s="57"/>
    </row>
    <row r="505" spans="1:52" ht="15.5" x14ac:dyDescent="0.35">
      <c r="A505" s="51">
        <f t="shared" si="124"/>
        <v>1</v>
      </c>
      <c r="B505" s="52"/>
      <c r="C505" s="52"/>
      <c r="D505" s="29" t="str">
        <f>IFERROR(
IF(AND(OR(Planilla!B505="C",Planilla!B505="c"), VLOOKUP(E505,[1]Diccionario!B:N,13,0)="C"), "OK",IF(AND(OR(Planilla!B505="C",Planilla!B505="c"), OR(VLOOKUP(E505,[1]Diccionario!B:N,13,0)="B", VLOOKUP(E505,[1]Diccionario!B:N,13,0)="A")), "DEFICIT",IF(
AND(OR(Planilla!B505="B", Planilla!B505="BPAL"), VLOOKUP(E505,[1]Diccionario!B:N,13,0)="B"), "OK",IF(AND(OR(Planilla!B505="B", Planilla!B505="BPAL"), VLOOKUP(E505,[1]Diccionario!B:N,13,0)="A"), "DEFICIT",IF(AND(OR(Planilla!B505="B", Planilla!B505="BPAL"), VLOOKUP(E505,[1]Diccionario!B:N,13,0)="C"), "SOBREOFERTA",IF(AND(Planilla!B505="A", VLOOKUP(E505,[1]Diccionario!B:N,13,0)="A"), "OK",IF(
AND(Planilla!B505="A", OR(VLOOKUP(E505,[1]Diccionario!B:N,13,0)="B", VLOOKUP(E505,[1]Diccionario!B:N,13,0)="C")), "SOBREOFERTA",""
))))))),"")</f>
        <v/>
      </c>
      <c r="E505" s="48"/>
      <c r="F505" s="53"/>
      <c r="G505" s="54"/>
      <c r="H505" s="55" t="str">
        <f t="shared" si="117"/>
        <v/>
      </c>
      <c r="I505" s="35"/>
      <c r="J505" s="34" t="e">
        <f>IF(A505&lt;&gt;"",HLOOKUP(VALUE(TEXT(G505,"h:mm:ss")),IF($C$6="Laboral",[1]Input!$A$4:$Y$227,IF($C$6="Sábado",[1]Input!$A$231:$Y$452,[1]Input!$A$456:$Y$656)),VLOOKUP($C$4,[1]Input!$AG$2:$AI$99,3,0)+IF(C$5="Ida",0,1),1),"")</f>
        <v>#N/A</v>
      </c>
      <c r="K505" s="34" t="str">
        <f>IF(A506&lt;&gt;A505,AVERAGEIF(A$9:A505,A505,J$13:J505),"")</f>
        <v/>
      </c>
      <c r="L505" s="35" t="str">
        <f>IFERROR(IF(A506&lt;&gt;A505,AVERAGEIF(A$9:A505,A505,S$13:S505),""),"")</f>
        <v/>
      </c>
      <c r="M505" s="35" t="str">
        <f>IFERROR(IF(A506&lt;&gt;A505,AVERAGEIF(A$9:A505,A505,T$8:T505),""),"")</f>
        <v/>
      </c>
      <c r="N505" s="35" t="str" cm="1">
        <f t="array" ref="N505">IFERROR(IF(A506&lt;&gt;A505,_xlfn.STDEV.P(IF(A$9:A505=A505,T$7:T505)),""),"")</f>
        <v/>
      </c>
      <c r="O505" s="35" t="str" cm="1">
        <f t="array" ref="O505">IFERROR(IF(A506&lt;&gt;A505,_xlfn.STDEV.P(IF(A$9:A505=A505,S$7:S505)),""),"")</f>
        <v/>
      </c>
      <c r="P505" s="36" t="str">
        <f t="shared" si="110"/>
        <v/>
      </c>
      <c r="Q505" s="36" t="str">
        <f t="shared" si="111"/>
        <v/>
      </c>
      <c r="R505" s="36" t="str">
        <f t="shared" si="118"/>
        <v/>
      </c>
      <c r="S505" s="37" t="str">
        <f t="shared" si="119"/>
        <v/>
      </c>
      <c r="T505" s="37" t="str">
        <f t="shared" si="112"/>
        <v/>
      </c>
      <c r="U505" s="54"/>
      <c r="V505" s="46"/>
      <c r="W505" s="39" t="str">
        <f t="shared" si="120"/>
        <v/>
      </c>
      <c r="X505" s="38"/>
      <c r="Y505" s="48"/>
      <c r="AB505" s="56">
        <f t="shared" si="121"/>
        <v>1</v>
      </c>
      <c r="AC505" s="52"/>
      <c r="AD505" s="52"/>
      <c r="AE505" s="29" t="str">
        <f>IFERROR(
IF(AND(OR(AC505="C",AC505="c"), VLOOKUP(AF505,[1]Diccionario!B:N,13,0)="C"), "OK",IF(AND(OR(AC505="C",AC505="c"), OR(VLOOKUP(AF505,[1]Diccionario!B:N,13,0)="B", VLOOKUP(AF505,[1]Diccionario!B:N,13,0)="A")), "DEFICIT",IF(
AND(OR(AC505="B", AC505="BPAL"), VLOOKUP(AF505,[1]Diccionario!B:N,13,0)="B"), "OK",IF(AND(OR(AC505="B", AC505="BPAL"), VLOOKUP(AF505,[1]Diccionario!B:N,13,0)="A"), "DEFICIT",IF(AND(OR(AC505="B", AC505="BPAL"), VLOOKUP(AF505,[1]Diccionario!B:N,13,0)="C"), "SOBREOFERTA",IF(AND(AC505="A", VLOOKUP(AF505,[1]Diccionario!B:N,13,0)="A"), "OK",IF(
AND(AC505="A", OR(VLOOKUP(AF505,[1]Diccionario!B:N,13,0)="B", VLOOKUP(AF505,[1]Diccionario!B:N,13,0)="C")), "SOBREOFERTA",""
))))))),"")</f>
        <v/>
      </c>
      <c r="AF505" s="48"/>
      <c r="AG505" s="53"/>
      <c r="AH505" s="54"/>
      <c r="AI505" s="55" t="str">
        <f t="shared" si="122"/>
        <v/>
      </c>
      <c r="AJ505" s="46"/>
      <c r="AK505" s="34" t="e">
        <f>IF(AB505&lt;&gt;"",HLOOKUP(VALUE(TEXT(AH505,"h:mm:ss")),IF($C$6="Laboral",[1]Input!$A$4:$Y$227,IF($C$6="Sábado",[1]Input!$A$231:$Y$452,[1]Input!$A$456:$Y$656)),VLOOKUP($C$4,[1]Input!$AG$2:$AI$99,3,0)+IF(AD$5="Ida",0,1),1),"")</f>
        <v>#N/A</v>
      </c>
      <c r="AL505" s="34" t="str">
        <f>IF(AB506&lt;&gt;AB505,AVERAGEIF(AB$9:AB505,AB505,AK$9:AK505),"")</f>
        <v/>
      </c>
      <c r="AM505" s="35" t="str">
        <f>IFERROR(IF(AB506&lt;&gt;AB505,AVERAGEIF(AB$9:AB505,AB505,AT$9:AT505),""),"")</f>
        <v/>
      </c>
      <c r="AN505" s="35" t="str">
        <f>IFERROR(IF(AB506&lt;&gt;AB505,AVERAGEIF(AB$9:AB505,AB505,AU$9:AU505),""),"")</f>
        <v/>
      </c>
      <c r="AO505" s="35" t="str" cm="1">
        <f t="array" ref="AO505">IFERROR(IF(AB506&lt;&gt;AB505,_xlfn.STDEV.P(IF(AB$9:AB505=AB505,AU$9:AU505)),""),"")</f>
        <v/>
      </c>
      <c r="AP505" s="35" t="str" cm="1">
        <f t="array" ref="AP505">IFERROR(IF(AB506&lt;&gt;AB505,_xlfn.STDEV.P(IF(AB$9:AB505=AB505,AT$9:AT505)),""),"")</f>
        <v/>
      </c>
      <c r="AQ505" s="36" t="str">
        <f t="shared" si="113"/>
        <v/>
      </c>
      <c r="AR505" s="36" t="str">
        <f t="shared" si="114"/>
        <v/>
      </c>
      <c r="AS505" s="36" t="str">
        <f t="shared" si="123"/>
        <v/>
      </c>
      <c r="AT505" s="37" t="str">
        <f t="shared" si="115"/>
        <v/>
      </c>
      <c r="AU505" s="37" t="str">
        <f t="shared" si="116"/>
        <v/>
      </c>
      <c r="AV505" s="54"/>
      <c r="AW505" s="46"/>
      <c r="AX505" s="39" t="str" cm="1">
        <f t="array" ref="AX505">IF(AH505&lt;&gt;"",IF(AND(AX503:AX504&lt;&gt;"IE",AQ505&lt;&gt;0,AS505&lt;&gt;""),IF(IFERROR((AQ505/AS505),0) &lt;=1,IFERROR(AQ505/AS505,""),1),""),"")</f>
        <v/>
      </c>
      <c r="AY505" s="46"/>
      <c r="AZ505" s="57"/>
    </row>
    <row r="506" spans="1:52" ht="15.5" x14ac:dyDescent="0.35">
      <c r="A506" s="51">
        <f t="shared" si="124"/>
        <v>1</v>
      </c>
      <c r="B506" s="52"/>
      <c r="C506" s="52"/>
      <c r="D506" s="29" t="str">
        <f>IFERROR(
IF(AND(OR(Planilla!B506="C",Planilla!B506="c"), VLOOKUP(E506,[1]Diccionario!B:N,13,0)="C"), "OK",IF(AND(OR(Planilla!B506="C",Planilla!B506="c"), OR(VLOOKUP(E506,[1]Diccionario!B:N,13,0)="B", VLOOKUP(E506,[1]Diccionario!B:N,13,0)="A")), "DEFICIT",IF(
AND(OR(Planilla!B506="B", Planilla!B506="BPAL"), VLOOKUP(E506,[1]Diccionario!B:N,13,0)="B"), "OK",IF(AND(OR(Planilla!B506="B", Planilla!B506="BPAL"), VLOOKUP(E506,[1]Diccionario!B:N,13,0)="A"), "DEFICIT",IF(AND(OR(Planilla!B506="B", Planilla!B506="BPAL"), VLOOKUP(E506,[1]Diccionario!B:N,13,0)="C"), "SOBREOFERTA",IF(AND(Planilla!B506="A", VLOOKUP(E506,[1]Diccionario!B:N,13,0)="A"), "OK",IF(
AND(Planilla!B506="A", OR(VLOOKUP(E506,[1]Diccionario!B:N,13,0)="B", VLOOKUP(E506,[1]Diccionario!B:N,13,0)="C")), "SOBREOFERTA",""
))))))),"")</f>
        <v/>
      </c>
      <c r="E506" s="48"/>
      <c r="F506" s="53"/>
      <c r="G506" s="54"/>
      <c r="H506" s="55" t="str">
        <f t="shared" si="117"/>
        <v/>
      </c>
      <c r="I506" s="35"/>
      <c r="J506" s="34" t="e">
        <f>IF(A506&lt;&gt;"",HLOOKUP(VALUE(TEXT(G506,"h:mm:ss")),IF($C$6="Laboral",[1]Input!$A$4:$Y$227,IF($C$6="Sábado",[1]Input!$A$231:$Y$452,[1]Input!$A$456:$Y$656)),VLOOKUP($C$4,[1]Input!$AG$2:$AI$99,3,0)+IF(C$5="Ida",0,1),1),"")</f>
        <v>#N/A</v>
      </c>
      <c r="K506" s="34" t="str">
        <f>IF(A507&lt;&gt;A506,AVERAGEIF(A$9:A506,A506,J$13:J506),"")</f>
        <v/>
      </c>
      <c r="L506" s="35" t="str">
        <f>IFERROR(IF(A507&lt;&gt;A506,AVERAGEIF(A$9:A506,A506,S$13:S506),""),"")</f>
        <v/>
      </c>
      <c r="M506" s="35" t="str">
        <f>IFERROR(IF(A507&lt;&gt;A506,AVERAGEIF(A$9:A506,A506,T$8:T506),""),"")</f>
        <v/>
      </c>
      <c r="N506" s="35" t="str" cm="1">
        <f t="array" ref="N506">IFERROR(IF(A507&lt;&gt;A506,_xlfn.STDEV.P(IF(A$9:A506=A506,T$7:T506)),""),"")</f>
        <v/>
      </c>
      <c r="O506" s="35" t="str" cm="1">
        <f t="array" ref="O506">IFERROR(IF(A507&lt;&gt;A506,_xlfn.STDEV.P(IF(A$9:A506=A506,S$7:S506)),""),"")</f>
        <v/>
      </c>
      <c r="P506" s="36" t="str">
        <f t="shared" si="110"/>
        <v/>
      </c>
      <c r="Q506" s="36" t="str">
        <f t="shared" si="111"/>
        <v/>
      </c>
      <c r="R506" s="36" t="str">
        <f t="shared" si="118"/>
        <v/>
      </c>
      <c r="S506" s="37" t="str">
        <f t="shared" si="119"/>
        <v/>
      </c>
      <c r="T506" s="37" t="str">
        <f t="shared" si="112"/>
        <v/>
      </c>
      <c r="U506" s="54"/>
      <c r="V506" s="46"/>
      <c r="W506" s="39" t="str">
        <f t="shared" si="120"/>
        <v/>
      </c>
      <c r="X506" s="38"/>
      <c r="Y506" s="48"/>
      <c r="AB506" s="56">
        <f t="shared" si="121"/>
        <v>1</v>
      </c>
      <c r="AC506" s="52"/>
      <c r="AD506" s="52"/>
      <c r="AE506" s="29" t="str">
        <f>IFERROR(
IF(AND(OR(AC506="C",AC506="c"), VLOOKUP(AF506,[1]Diccionario!B:N,13,0)="C"), "OK",IF(AND(OR(AC506="C",AC506="c"), OR(VLOOKUP(AF506,[1]Diccionario!B:N,13,0)="B", VLOOKUP(AF506,[1]Diccionario!B:N,13,0)="A")), "DEFICIT",IF(
AND(OR(AC506="B", AC506="BPAL"), VLOOKUP(AF506,[1]Diccionario!B:N,13,0)="B"), "OK",IF(AND(OR(AC506="B", AC506="BPAL"), VLOOKUP(AF506,[1]Diccionario!B:N,13,0)="A"), "DEFICIT",IF(AND(OR(AC506="B", AC506="BPAL"), VLOOKUP(AF506,[1]Diccionario!B:N,13,0)="C"), "SOBREOFERTA",IF(AND(AC506="A", VLOOKUP(AF506,[1]Diccionario!B:N,13,0)="A"), "OK",IF(
AND(AC506="A", OR(VLOOKUP(AF506,[1]Diccionario!B:N,13,0)="B", VLOOKUP(AF506,[1]Diccionario!B:N,13,0)="C")), "SOBREOFERTA",""
))))))),"")</f>
        <v/>
      </c>
      <c r="AF506" s="48"/>
      <c r="AG506" s="53"/>
      <c r="AH506" s="54"/>
      <c r="AI506" s="55" t="str">
        <f t="shared" si="122"/>
        <v/>
      </c>
      <c r="AJ506" s="46"/>
      <c r="AK506" s="34" t="e">
        <f>IF(AB506&lt;&gt;"",HLOOKUP(VALUE(TEXT(AH506,"h:mm:ss")),IF($C$6="Laboral",[1]Input!$A$4:$Y$227,IF($C$6="Sábado",[1]Input!$A$231:$Y$452,[1]Input!$A$456:$Y$656)),VLOOKUP($C$4,[1]Input!$AG$2:$AI$99,3,0)+IF(AD$5="Ida",0,1),1),"")</f>
        <v>#N/A</v>
      </c>
      <c r="AL506" s="34" t="str">
        <f>IF(AB507&lt;&gt;AB506,AVERAGEIF(AB$9:AB506,AB506,AK$9:AK506),"")</f>
        <v/>
      </c>
      <c r="AM506" s="35" t="str">
        <f>IFERROR(IF(AB507&lt;&gt;AB506,AVERAGEIF(AB$9:AB506,AB506,AT$9:AT506),""),"")</f>
        <v/>
      </c>
      <c r="AN506" s="35" t="str">
        <f>IFERROR(IF(AB507&lt;&gt;AB506,AVERAGEIF(AB$9:AB506,AB506,AU$9:AU506),""),"")</f>
        <v/>
      </c>
      <c r="AO506" s="35" t="str" cm="1">
        <f t="array" ref="AO506">IFERROR(IF(AB507&lt;&gt;AB506,_xlfn.STDEV.P(IF(AB$9:AB506=AB506,AU$9:AU506)),""),"")</f>
        <v/>
      </c>
      <c r="AP506" s="35" t="str" cm="1">
        <f t="array" ref="AP506">IFERROR(IF(AB507&lt;&gt;AB506,_xlfn.STDEV.P(IF(AB$9:AB506=AB506,AT$9:AT506)),""),"")</f>
        <v/>
      </c>
      <c r="AQ506" s="36" t="str">
        <f t="shared" si="113"/>
        <v/>
      </c>
      <c r="AR506" s="36" t="str">
        <f t="shared" si="114"/>
        <v/>
      </c>
      <c r="AS506" s="36" t="str">
        <f t="shared" si="123"/>
        <v/>
      </c>
      <c r="AT506" s="37" t="str">
        <f t="shared" si="115"/>
        <v/>
      </c>
      <c r="AU506" s="37" t="str">
        <f t="shared" si="116"/>
        <v/>
      </c>
      <c r="AV506" s="54"/>
      <c r="AW506" s="46"/>
      <c r="AX506" s="39" t="str" cm="1">
        <f t="array" ref="AX506">IF(AH506&lt;&gt;"",IF(AND(AX504:AX505&lt;&gt;"IE",AQ506&lt;&gt;0,AS506&lt;&gt;""),IF(IFERROR((AQ506/AS506),0) &lt;=1,IFERROR(AQ506/AS506,""),1),""),"")</f>
        <v/>
      </c>
      <c r="AY506" s="46"/>
      <c r="AZ506" s="57"/>
    </row>
    <row r="507" spans="1:52" ht="15.5" x14ac:dyDescent="0.35">
      <c r="A507" s="51">
        <f t="shared" si="124"/>
        <v>1</v>
      </c>
      <c r="B507" s="52"/>
      <c r="C507" s="52"/>
      <c r="D507" s="29" t="str">
        <f>IFERROR(
IF(AND(OR(Planilla!B507="C",Planilla!B507="c"), VLOOKUP(E507,[1]Diccionario!B:N,13,0)="C"), "OK",IF(AND(OR(Planilla!B507="C",Planilla!B507="c"), OR(VLOOKUP(E507,[1]Diccionario!B:N,13,0)="B", VLOOKUP(E507,[1]Diccionario!B:N,13,0)="A")), "DEFICIT",IF(
AND(OR(Planilla!B507="B", Planilla!B507="BPAL"), VLOOKUP(E507,[1]Diccionario!B:N,13,0)="B"), "OK",IF(AND(OR(Planilla!B507="B", Planilla!B507="BPAL"), VLOOKUP(E507,[1]Diccionario!B:N,13,0)="A"), "DEFICIT",IF(AND(OR(Planilla!B507="B", Planilla!B507="BPAL"), VLOOKUP(E507,[1]Diccionario!B:N,13,0)="C"), "SOBREOFERTA",IF(AND(Planilla!B507="A", VLOOKUP(E507,[1]Diccionario!B:N,13,0)="A"), "OK",IF(
AND(Planilla!B507="A", OR(VLOOKUP(E507,[1]Diccionario!B:N,13,0)="B", VLOOKUP(E507,[1]Diccionario!B:N,13,0)="C")), "SOBREOFERTA",""
))))))),"")</f>
        <v/>
      </c>
      <c r="E507" s="48"/>
      <c r="F507" s="53"/>
      <c r="G507" s="54"/>
      <c r="H507" s="55" t="str">
        <f t="shared" si="117"/>
        <v/>
      </c>
      <c r="I507" s="35"/>
      <c r="J507" s="34" t="e">
        <f>IF(A507&lt;&gt;"",HLOOKUP(VALUE(TEXT(G507,"h:mm:ss")),IF($C$6="Laboral",[1]Input!$A$4:$Y$227,IF($C$6="Sábado",[1]Input!$A$231:$Y$452,[1]Input!$A$456:$Y$656)),VLOOKUP($C$4,[1]Input!$AG$2:$AI$99,3,0)+IF(C$5="Ida",0,1),1),"")</f>
        <v>#N/A</v>
      </c>
      <c r="K507" s="34" t="str">
        <f>IF(A508&lt;&gt;A507,AVERAGEIF(A$9:A507,A507,J$13:J507),"")</f>
        <v/>
      </c>
      <c r="L507" s="35" t="str">
        <f>IFERROR(IF(A508&lt;&gt;A507,AVERAGEIF(A$9:A507,A507,S$13:S507),""),"")</f>
        <v/>
      </c>
      <c r="M507" s="35" t="str">
        <f>IFERROR(IF(A508&lt;&gt;A507,AVERAGEIF(A$9:A507,A507,T$8:T507),""),"")</f>
        <v/>
      </c>
      <c r="N507" s="35" t="str" cm="1">
        <f t="array" ref="N507">IFERROR(IF(A508&lt;&gt;A507,_xlfn.STDEV.P(IF(A$9:A507=A507,T$7:T507)),""),"")</f>
        <v/>
      </c>
      <c r="O507" s="35" t="str" cm="1">
        <f t="array" ref="O507">IFERROR(IF(A508&lt;&gt;A507,_xlfn.STDEV.P(IF(A$9:A507=A507,S$7:S507)),""),"")</f>
        <v/>
      </c>
      <c r="P507" s="36" t="str">
        <f t="shared" si="110"/>
        <v/>
      </c>
      <c r="Q507" s="36" t="str">
        <f t="shared" si="111"/>
        <v/>
      </c>
      <c r="R507" s="36" t="str">
        <f t="shared" si="118"/>
        <v/>
      </c>
      <c r="S507" s="37" t="str">
        <f t="shared" si="119"/>
        <v/>
      </c>
      <c r="T507" s="37" t="str">
        <f t="shared" si="112"/>
        <v/>
      </c>
      <c r="U507" s="54"/>
      <c r="V507" s="46"/>
      <c r="W507" s="39" t="str">
        <f t="shared" si="120"/>
        <v/>
      </c>
      <c r="X507" s="38"/>
      <c r="Y507" s="48"/>
      <c r="AB507" s="56">
        <f t="shared" si="121"/>
        <v>1</v>
      </c>
      <c r="AC507" s="52"/>
      <c r="AD507" s="52"/>
      <c r="AE507" s="29" t="str">
        <f>IFERROR(
IF(AND(OR(AC507="C",AC507="c"), VLOOKUP(AF507,[1]Diccionario!B:N,13,0)="C"), "OK",IF(AND(OR(AC507="C",AC507="c"), OR(VLOOKUP(AF507,[1]Diccionario!B:N,13,0)="B", VLOOKUP(AF507,[1]Diccionario!B:N,13,0)="A")), "DEFICIT",IF(
AND(OR(AC507="B", AC507="BPAL"), VLOOKUP(AF507,[1]Diccionario!B:N,13,0)="B"), "OK",IF(AND(OR(AC507="B", AC507="BPAL"), VLOOKUP(AF507,[1]Diccionario!B:N,13,0)="A"), "DEFICIT",IF(AND(OR(AC507="B", AC507="BPAL"), VLOOKUP(AF507,[1]Diccionario!B:N,13,0)="C"), "SOBREOFERTA",IF(AND(AC507="A", VLOOKUP(AF507,[1]Diccionario!B:N,13,0)="A"), "OK",IF(
AND(AC507="A", OR(VLOOKUP(AF507,[1]Diccionario!B:N,13,0)="B", VLOOKUP(AF507,[1]Diccionario!B:N,13,0)="C")), "SOBREOFERTA",""
))))))),"")</f>
        <v/>
      </c>
      <c r="AF507" s="48"/>
      <c r="AG507" s="53"/>
      <c r="AH507" s="54"/>
      <c r="AI507" s="55" t="str">
        <f t="shared" si="122"/>
        <v/>
      </c>
      <c r="AJ507" s="46"/>
      <c r="AK507" s="34" t="e">
        <f>IF(AB507&lt;&gt;"",HLOOKUP(VALUE(TEXT(AH507,"h:mm:ss")),IF($C$6="Laboral",[1]Input!$A$4:$Y$227,IF($C$6="Sábado",[1]Input!$A$231:$Y$452,[1]Input!$A$456:$Y$656)),VLOOKUP($C$4,[1]Input!$AG$2:$AI$99,3,0)+IF(AD$5="Ida",0,1),1),"")</f>
        <v>#N/A</v>
      </c>
      <c r="AL507" s="34" t="str">
        <f>IF(AB508&lt;&gt;AB507,AVERAGEIF(AB$9:AB507,AB507,AK$9:AK507),"")</f>
        <v/>
      </c>
      <c r="AM507" s="35" t="str">
        <f>IFERROR(IF(AB508&lt;&gt;AB507,AVERAGEIF(AB$9:AB507,AB507,AT$9:AT507),""),"")</f>
        <v/>
      </c>
      <c r="AN507" s="35" t="str">
        <f>IFERROR(IF(AB508&lt;&gt;AB507,AVERAGEIF(AB$9:AB507,AB507,AU$9:AU507),""),"")</f>
        <v/>
      </c>
      <c r="AO507" s="35" t="str" cm="1">
        <f t="array" ref="AO507">IFERROR(IF(AB508&lt;&gt;AB507,_xlfn.STDEV.P(IF(AB$9:AB507=AB507,AU$9:AU507)),""),"")</f>
        <v/>
      </c>
      <c r="AP507" s="35" t="str" cm="1">
        <f t="array" ref="AP507">IFERROR(IF(AB508&lt;&gt;AB507,_xlfn.STDEV.P(IF(AB$9:AB507=AB507,AT$9:AT507)),""),"")</f>
        <v/>
      </c>
      <c r="AQ507" s="36" t="str">
        <f t="shared" si="113"/>
        <v/>
      </c>
      <c r="AR507" s="36" t="str">
        <f t="shared" si="114"/>
        <v/>
      </c>
      <c r="AS507" s="36" t="str">
        <f t="shared" si="123"/>
        <v/>
      </c>
      <c r="AT507" s="37" t="str">
        <f t="shared" si="115"/>
        <v/>
      </c>
      <c r="AU507" s="37" t="str">
        <f t="shared" si="116"/>
        <v/>
      </c>
      <c r="AV507" s="54"/>
      <c r="AW507" s="46"/>
      <c r="AX507" s="39" t="str" cm="1">
        <f t="array" ref="AX507">IF(AH507&lt;&gt;"",IF(AND(AX505:AX506&lt;&gt;"IE",AQ507&lt;&gt;0,AS507&lt;&gt;""),IF(IFERROR((AQ507/AS507),0) &lt;=1,IFERROR(AQ507/AS507,""),1),""),"")</f>
        <v/>
      </c>
      <c r="AY507" s="46"/>
      <c r="AZ507" s="57"/>
    </row>
    <row r="508" spans="1:52" ht="15.5" x14ac:dyDescent="0.35">
      <c r="A508" s="51">
        <f t="shared" si="124"/>
        <v>1</v>
      </c>
      <c r="B508" s="52"/>
      <c r="C508" s="52"/>
      <c r="D508" s="29" t="str">
        <f>IFERROR(
IF(AND(OR(Planilla!B508="C",Planilla!B508="c"), VLOOKUP(E508,[1]Diccionario!B:N,13,0)="C"), "OK",IF(AND(OR(Planilla!B508="C",Planilla!B508="c"), OR(VLOOKUP(E508,[1]Diccionario!B:N,13,0)="B", VLOOKUP(E508,[1]Diccionario!B:N,13,0)="A")), "DEFICIT",IF(
AND(OR(Planilla!B508="B", Planilla!B508="BPAL"), VLOOKUP(E508,[1]Diccionario!B:N,13,0)="B"), "OK",IF(AND(OR(Planilla!B508="B", Planilla!B508="BPAL"), VLOOKUP(E508,[1]Diccionario!B:N,13,0)="A"), "DEFICIT",IF(AND(OR(Planilla!B508="B", Planilla!B508="BPAL"), VLOOKUP(E508,[1]Diccionario!B:N,13,0)="C"), "SOBREOFERTA",IF(AND(Planilla!B508="A", VLOOKUP(E508,[1]Diccionario!B:N,13,0)="A"), "OK",IF(
AND(Planilla!B508="A", OR(VLOOKUP(E508,[1]Diccionario!B:N,13,0)="B", VLOOKUP(E508,[1]Diccionario!B:N,13,0)="C")), "SOBREOFERTA",""
))))))),"")</f>
        <v/>
      </c>
      <c r="E508" s="48"/>
      <c r="F508" s="53"/>
      <c r="G508" s="54"/>
      <c r="H508" s="55" t="str">
        <f t="shared" si="117"/>
        <v/>
      </c>
      <c r="I508" s="35"/>
      <c r="J508" s="34" t="e">
        <f>IF(A508&lt;&gt;"",HLOOKUP(VALUE(TEXT(G508,"h:mm:ss")),IF($C$6="Laboral",[1]Input!$A$4:$Y$227,IF($C$6="Sábado",[1]Input!$A$231:$Y$452,[1]Input!$A$456:$Y$656)),VLOOKUP($C$4,[1]Input!$AG$2:$AI$99,3,0)+IF(C$5="Ida",0,1),1),"")</f>
        <v>#N/A</v>
      </c>
      <c r="K508" s="34" t="str">
        <f>IF(A509&lt;&gt;A508,AVERAGEIF(A$9:A508,A508,J$13:J508),"")</f>
        <v/>
      </c>
      <c r="L508" s="35" t="str">
        <f>IFERROR(IF(A509&lt;&gt;A508,AVERAGEIF(A$9:A508,A508,S$13:S508),""),"")</f>
        <v/>
      </c>
      <c r="M508" s="35" t="str">
        <f>IFERROR(IF(A509&lt;&gt;A508,AVERAGEIF(A$9:A508,A508,T$8:T508),""),"")</f>
        <v/>
      </c>
      <c r="N508" s="35" t="str" cm="1">
        <f t="array" ref="N508">IFERROR(IF(A509&lt;&gt;A508,_xlfn.STDEV.P(IF(A$9:A508=A508,T$7:T508)),""),"")</f>
        <v/>
      </c>
      <c r="O508" s="35" t="str" cm="1">
        <f t="array" ref="O508">IFERROR(IF(A509&lt;&gt;A508,_xlfn.STDEV.P(IF(A$9:A508=A508,S$7:S508)),""),"")</f>
        <v/>
      </c>
      <c r="P508" s="36" t="str">
        <f t="shared" si="110"/>
        <v/>
      </c>
      <c r="Q508" s="36" t="str">
        <f t="shared" si="111"/>
        <v/>
      </c>
      <c r="R508" s="36" t="str">
        <f t="shared" si="118"/>
        <v/>
      </c>
      <c r="S508" s="37" t="str">
        <f t="shared" si="119"/>
        <v/>
      </c>
      <c r="T508" s="37" t="str">
        <f t="shared" si="112"/>
        <v/>
      </c>
      <c r="U508" s="54"/>
      <c r="V508" s="46"/>
      <c r="W508" s="39" t="str">
        <f t="shared" si="120"/>
        <v/>
      </c>
      <c r="X508" s="38"/>
      <c r="Y508" s="48"/>
      <c r="AB508" s="56">
        <f t="shared" si="121"/>
        <v>1</v>
      </c>
      <c r="AC508" s="52"/>
      <c r="AD508" s="52"/>
      <c r="AE508" s="29" t="str">
        <f>IFERROR(
IF(AND(OR(AC508="C",AC508="c"), VLOOKUP(AF508,[1]Diccionario!B:N,13,0)="C"), "OK",IF(AND(OR(AC508="C",AC508="c"), OR(VLOOKUP(AF508,[1]Diccionario!B:N,13,0)="B", VLOOKUP(AF508,[1]Diccionario!B:N,13,0)="A")), "DEFICIT",IF(
AND(OR(AC508="B", AC508="BPAL"), VLOOKUP(AF508,[1]Diccionario!B:N,13,0)="B"), "OK",IF(AND(OR(AC508="B", AC508="BPAL"), VLOOKUP(AF508,[1]Diccionario!B:N,13,0)="A"), "DEFICIT",IF(AND(OR(AC508="B", AC508="BPAL"), VLOOKUP(AF508,[1]Diccionario!B:N,13,0)="C"), "SOBREOFERTA",IF(AND(AC508="A", VLOOKUP(AF508,[1]Diccionario!B:N,13,0)="A"), "OK",IF(
AND(AC508="A", OR(VLOOKUP(AF508,[1]Diccionario!B:N,13,0)="B", VLOOKUP(AF508,[1]Diccionario!B:N,13,0)="C")), "SOBREOFERTA",""
))))))),"")</f>
        <v/>
      </c>
      <c r="AF508" s="48"/>
      <c r="AG508" s="53"/>
      <c r="AH508" s="54"/>
      <c r="AI508" s="55" t="str">
        <f t="shared" si="122"/>
        <v/>
      </c>
      <c r="AJ508" s="46"/>
      <c r="AK508" s="34" t="e">
        <f>IF(AB508&lt;&gt;"",HLOOKUP(VALUE(TEXT(AH508,"h:mm:ss")),IF($C$6="Laboral",[1]Input!$A$4:$Y$227,IF($C$6="Sábado",[1]Input!$A$231:$Y$452,[1]Input!$A$456:$Y$656)),VLOOKUP($C$4,[1]Input!$AG$2:$AI$99,3,0)+IF(AD$5="Ida",0,1),1),"")</f>
        <v>#N/A</v>
      </c>
      <c r="AL508" s="34" t="str">
        <f>IF(AB509&lt;&gt;AB508,AVERAGEIF(AB$9:AB508,AB508,AK$9:AK508),"")</f>
        <v/>
      </c>
      <c r="AM508" s="35" t="str">
        <f>IFERROR(IF(AB509&lt;&gt;AB508,AVERAGEIF(AB$9:AB508,AB508,AT$9:AT508),""),"")</f>
        <v/>
      </c>
      <c r="AN508" s="35" t="str">
        <f>IFERROR(IF(AB509&lt;&gt;AB508,AVERAGEIF(AB$9:AB508,AB508,AU$9:AU508),""),"")</f>
        <v/>
      </c>
      <c r="AO508" s="35" t="str" cm="1">
        <f t="array" ref="AO508">IFERROR(IF(AB509&lt;&gt;AB508,_xlfn.STDEV.P(IF(AB$9:AB508=AB508,AU$9:AU508)),""),"")</f>
        <v/>
      </c>
      <c r="AP508" s="35" t="str" cm="1">
        <f t="array" ref="AP508">IFERROR(IF(AB509&lt;&gt;AB508,_xlfn.STDEV.P(IF(AB$9:AB508=AB508,AT$9:AT508)),""),"")</f>
        <v/>
      </c>
      <c r="AQ508" s="36" t="str">
        <f t="shared" si="113"/>
        <v/>
      </c>
      <c r="AR508" s="36" t="str">
        <f t="shared" si="114"/>
        <v/>
      </c>
      <c r="AS508" s="36" t="str">
        <f t="shared" si="123"/>
        <v/>
      </c>
      <c r="AT508" s="37" t="str">
        <f t="shared" si="115"/>
        <v/>
      </c>
      <c r="AU508" s="37" t="str">
        <f t="shared" si="116"/>
        <v/>
      </c>
      <c r="AV508" s="54"/>
      <c r="AW508" s="46"/>
      <c r="AX508" s="39" t="str" cm="1">
        <f t="array" ref="AX508">IF(AH508&lt;&gt;"",IF(AND(AX506:AX507&lt;&gt;"IE",AQ508&lt;&gt;0,AS508&lt;&gt;""),IF(IFERROR((AQ508/AS508),0) &lt;=1,IFERROR(AQ508/AS508,""),1),""),"")</f>
        <v/>
      </c>
      <c r="AY508" s="46"/>
      <c r="AZ508" s="57"/>
    </row>
    <row r="509" spans="1:52" ht="15.5" x14ac:dyDescent="0.35">
      <c r="A509" s="51">
        <f t="shared" si="124"/>
        <v>1</v>
      </c>
      <c r="B509" s="52"/>
      <c r="C509" s="52"/>
      <c r="D509" s="29" t="str">
        <f>IFERROR(
IF(AND(OR(Planilla!B509="C",Planilla!B509="c"), VLOOKUP(E509,[1]Diccionario!B:N,13,0)="C"), "OK",IF(AND(OR(Planilla!B509="C",Planilla!B509="c"), OR(VLOOKUP(E509,[1]Diccionario!B:N,13,0)="B", VLOOKUP(E509,[1]Diccionario!B:N,13,0)="A")), "DEFICIT",IF(
AND(OR(Planilla!B509="B", Planilla!B509="BPAL"), VLOOKUP(E509,[1]Diccionario!B:N,13,0)="B"), "OK",IF(AND(OR(Planilla!B509="B", Planilla!B509="BPAL"), VLOOKUP(E509,[1]Diccionario!B:N,13,0)="A"), "DEFICIT",IF(AND(OR(Planilla!B509="B", Planilla!B509="BPAL"), VLOOKUP(E509,[1]Diccionario!B:N,13,0)="C"), "SOBREOFERTA",IF(AND(Planilla!B509="A", VLOOKUP(E509,[1]Diccionario!B:N,13,0)="A"), "OK",IF(
AND(Planilla!B509="A", OR(VLOOKUP(E509,[1]Diccionario!B:N,13,0)="B", VLOOKUP(E509,[1]Diccionario!B:N,13,0)="C")), "SOBREOFERTA",""
))))))),"")</f>
        <v/>
      </c>
      <c r="E509" s="48"/>
      <c r="F509" s="53"/>
      <c r="G509" s="54"/>
      <c r="H509" s="55" t="str">
        <f t="shared" si="117"/>
        <v/>
      </c>
      <c r="I509" s="35"/>
      <c r="J509" s="34" t="e">
        <f>IF(A509&lt;&gt;"",HLOOKUP(VALUE(TEXT(G509,"h:mm:ss")),IF($C$6="Laboral",[1]Input!$A$4:$Y$227,IF($C$6="Sábado",[1]Input!$A$231:$Y$452,[1]Input!$A$456:$Y$656)),VLOOKUP($C$4,[1]Input!$AG$2:$AI$99,3,0)+IF(C$5="Ida",0,1),1),"")</f>
        <v>#N/A</v>
      </c>
      <c r="K509" s="34" t="str">
        <f>IF(A510&lt;&gt;A509,AVERAGEIF(A$9:A509,A509,J$13:J509),"")</f>
        <v/>
      </c>
      <c r="L509" s="35" t="str">
        <f>IFERROR(IF(A510&lt;&gt;A509,AVERAGEIF(A$9:A509,A509,S$13:S509),""),"")</f>
        <v/>
      </c>
      <c r="M509" s="35" t="str">
        <f>IFERROR(IF(A510&lt;&gt;A509,AVERAGEIF(A$9:A509,A509,T$8:T509),""),"")</f>
        <v/>
      </c>
      <c r="N509" s="35" t="str" cm="1">
        <f t="array" ref="N509">IFERROR(IF(A510&lt;&gt;A509,_xlfn.STDEV.P(IF(A$9:A509=A509,T$7:T509)),""),"")</f>
        <v/>
      </c>
      <c r="O509" s="35" t="str" cm="1">
        <f t="array" ref="O509">IFERROR(IF(A510&lt;&gt;A509,_xlfn.STDEV.P(IF(A$9:A509=A509,S$7:S509)),""),"")</f>
        <v/>
      </c>
      <c r="P509" s="36" t="str">
        <f t="shared" si="110"/>
        <v/>
      </c>
      <c r="Q509" s="36" t="str">
        <f t="shared" si="111"/>
        <v/>
      </c>
      <c r="R509" s="36" t="str">
        <f t="shared" si="118"/>
        <v/>
      </c>
      <c r="S509" s="37" t="str">
        <f t="shared" si="119"/>
        <v/>
      </c>
      <c r="T509" s="37" t="str">
        <f t="shared" si="112"/>
        <v/>
      </c>
      <c r="U509" s="54"/>
      <c r="V509" s="46"/>
      <c r="W509" s="39" t="str">
        <f t="shared" si="120"/>
        <v/>
      </c>
      <c r="X509" s="38"/>
      <c r="Y509" s="48"/>
      <c r="AB509" s="56">
        <f t="shared" si="121"/>
        <v>1</v>
      </c>
      <c r="AC509" s="52"/>
      <c r="AD509" s="52"/>
      <c r="AE509" s="29" t="str">
        <f>IFERROR(
IF(AND(OR(AC509="C",AC509="c"), VLOOKUP(AF509,[1]Diccionario!B:N,13,0)="C"), "OK",IF(AND(OR(AC509="C",AC509="c"), OR(VLOOKUP(AF509,[1]Diccionario!B:N,13,0)="B", VLOOKUP(AF509,[1]Diccionario!B:N,13,0)="A")), "DEFICIT",IF(
AND(OR(AC509="B", AC509="BPAL"), VLOOKUP(AF509,[1]Diccionario!B:N,13,0)="B"), "OK",IF(AND(OR(AC509="B", AC509="BPAL"), VLOOKUP(AF509,[1]Diccionario!B:N,13,0)="A"), "DEFICIT",IF(AND(OR(AC509="B", AC509="BPAL"), VLOOKUP(AF509,[1]Diccionario!B:N,13,0)="C"), "SOBREOFERTA",IF(AND(AC509="A", VLOOKUP(AF509,[1]Diccionario!B:N,13,0)="A"), "OK",IF(
AND(AC509="A", OR(VLOOKUP(AF509,[1]Diccionario!B:N,13,0)="B", VLOOKUP(AF509,[1]Diccionario!B:N,13,0)="C")), "SOBREOFERTA",""
))))))),"")</f>
        <v/>
      </c>
      <c r="AF509" s="48"/>
      <c r="AG509" s="53"/>
      <c r="AH509" s="54"/>
      <c r="AI509" s="55" t="str">
        <f t="shared" si="122"/>
        <v/>
      </c>
      <c r="AJ509" s="46"/>
      <c r="AK509" s="34" t="e">
        <f>IF(AB509&lt;&gt;"",HLOOKUP(VALUE(TEXT(AH509,"h:mm:ss")),IF($C$6="Laboral",[1]Input!$A$4:$Y$227,IF($C$6="Sábado",[1]Input!$A$231:$Y$452,[1]Input!$A$456:$Y$656)),VLOOKUP($C$4,[1]Input!$AG$2:$AI$99,3,0)+IF(AD$5="Ida",0,1),1),"")</f>
        <v>#N/A</v>
      </c>
      <c r="AL509" s="34" t="str">
        <f>IF(AB510&lt;&gt;AB509,AVERAGEIF(AB$9:AB509,AB509,AK$9:AK509),"")</f>
        <v/>
      </c>
      <c r="AM509" s="35" t="str">
        <f>IFERROR(IF(AB510&lt;&gt;AB509,AVERAGEIF(AB$9:AB509,AB509,AT$9:AT509),""),"")</f>
        <v/>
      </c>
      <c r="AN509" s="35" t="str">
        <f>IFERROR(IF(AB510&lt;&gt;AB509,AVERAGEIF(AB$9:AB509,AB509,AU$9:AU509),""),"")</f>
        <v/>
      </c>
      <c r="AO509" s="35" t="str" cm="1">
        <f t="array" ref="AO509">IFERROR(IF(AB510&lt;&gt;AB509,_xlfn.STDEV.P(IF(AB$9:AB509=AB509,AU$9:AU509)),""),"")</f>
        <v/>
      </c>
      <c r="AP509" s="35" t="str" cm="1">
        <f t="array" ref="AP509">IFERROR(IF(AB510&lt;&gt;AB509,_xlfn.STDEV.P(IF(AB$9:AB509=AB509,AT$9:AT509)),""),"")</f>
        <v/>
      </c>
      <c r="AQ509" s="36" t="str">
        <f t="shared" si="113"/>
        <v/>
      </c>
      <c r="AR509" s="36" t="str">
        <f t="shared" si="114"/>
        <v/>
      </c>
      <c r="AS509" s="36" t="str">
        <f t="shared" si="123"/>
        <v/>
      </c>
      <c r="AT509" s="37" t="str">
        <f t="shared" si="115"/>
        <v/>
      </c>
      <c r="AU509" s="37" t="str">
        <f t="shared" si="116"/>
        <v/>
      </c>
      <c r="AV509" s="54"/>
      <c r="AW509" s="46"/>
      <c r="AX509" s="39" t="str" cm="1">
        <f t="array" ref="AX509">IF(AH509&lt;&gt;"",IF(AND(AX507:AX508&lt;&gt;"IE",AQ509&lt;&gt;0,AS509&lt;&gt;""),IF(IFERROR((AQ509/AS509),0) &lt;=1,IFERROR(AQ509/AS509,""),1),""),"")</f>
        <v/>
      </c>
      <c r="AY509" s="46"/>
      <c r="AZ509" s="57"/>
    </row>
    <row r="510" spans="1:52" ht="15.5" x14ac:dyDescent="0.35">
      <c r="A510" s="51">
        <f t="shared" si="124"/>
        <v>1</v>
      </c>
      <c r="B510" s="52"/>
      <c r="C510" s="52"/>
      <c r="D510" s="29" t="str">
        <f>IFERROR(
IF(AND(OR(Planilla!B510="C",Planilla!B510="c"), VLOOKUP(E510,[1]Diccionario!B:N,13,0)="C"), "OK",IF(AND(OR(Planilla!B510="C",Planilla!B510="c"), OR(VLOOKUP(E510,[1]Diccionario!B:N,13,0)="B", VLOOKUP(E510,[1]Diccionario!B:N,13,0)="A")), "DEFICIT",IF(
AND(OR(Planilla!B510="B", Planilla!B510="BPAL"), VLOOKUP(E510,[1]Diccionario!B:N,13,0)="B"), "OK",IF(AND(OR(Planilla!B510="B", Planilla!B510="BPAL"), VLOOKUP(E510,[1]Diccionario!B:N,13,0)="A"), "DEFICIT",IF(AND(OR(Planilla!B510="B", Planilla!B510="BPAL"), VLOOKUP(E510,[1]Diccionario!B:N,13,0)="C"), "SOBREOFERTA",IF(AND(Planilla!B510="A", VLOOKUP(E510,[1]Diccionario!B:N,13,0)="A"), "OK",IF(
AND(Planilla!B510="A", OR(VLOOKUP(E510,[1]Diccionario!B:N,13,0)="B", VLOOKUP(E510,[1]Diccionario!B:N,13,0)="C")), "SOBREOFERTA",""
))))))),"")</f>
        <v/>
      </c>
      <c r="E510" s="48"/>
      <c r="F510" s="53"/>
      <c r="G510" s="54"/>
      <c r="H510" s="55" t="str">
        <f t="shared" si="117"/>
        <v/>
      </c>
      <c r="I510" s="35"/>
      <c r="J510" s="34" t="e">
        <f>IF(A510&lt;&gt;"",HLOOKUP(VALUE(TEXT(G510,"h:mm:ss")),IF($C$6="Laboral",[1]Input!$A$4:$Y$227,IF($C$6="Sábado",[1]Input!$A$231:$Y$452,[1]Input!$A$456:$Y$656)),VLOOKUP($C$4,[1]Input!$AG$2:$AI$99,3,0)+IF(C$5="Ida",0,1),1),"")</f>
        <v>#N/A</v>
      </c>
      <c r="K510" s="34" t="str">
        <f>IF(A511&lt;&gt;A510,AVERAGEIF(A$9:A510,A510,J$13:J510),"")</f>
        <v/>
      </c>
      <c r="L510" s="35" t="str">
        <f>IFERROR(IF(A511&lt;&gt;A510,AVERAGEIF(A$9:A510,A510,S$13:S510),""),"")</f>
        <v/>
      </c>
      <c r="M510" s="35" t="str">
        <f>IFERROR(IF(A511&lt;&gt;A510,AVERAGEIF(A$9:A510,A510,T$8:T510),""),"")</f>
        <v/>
      </c>
      <c r="N510" s="35" t="str" cm="1">
        <f t="array" ref="N510">IFERROR(IF(A511&lt;&gt;A510,_xlfn.STDEV.P(IF(A$9:A510=A510,T$7:T510)),""),"")</f>
        <v/>
      </c>
      <c r="O510" s="35" t="str" cm="1">
        <f t="array" ref="O510">IFERROR(IF(A511&lt;&gt;A510,_xlfn.STDEV.P(IF(A$9:A510=A510,S$7:S510)),""),"")</f>
        <v/>
      </c>
      <c r="P510" s="36" t="str">
        <f t="shared" si="110"/>
        <v/>
      </c>
      <c r="Q510" s="36" t="str">
        <f t="shared" si="111"/>
        <v/>
      </c>
      <c r="R510" s="36" t="str">
        <f t="shared" si="118"/>
        <v/>
      </c>
      <c r="S510" s="37" t="str">
        <f t="shared" si="119"/>
        <v/>
      </c>
      <c r="T510" s="37" t="str">
        <f t="shared" si="112"/>
        <v/>
      </c>
      <c r="U510" s="54"/>
      <c r="V510" s="46"/>
      <c r="W510" s="39" t="str">
        <f t="shared" si="120"/>
        <v/>
      </c>
      <c r="X510" s="38"/>
      <c r="Y510" s="48"/>
      <c r="AB510" s="56">
        <f t="shared" si="121"/>
        <v>1</v>
      </c>
      <c r="AC510" s="52"/>
      <c r="AD510" s="52"/>
      <c r="AE510" s="29" t="str">
        <f>IFERROR(
IF(AND(OR(AC510="C",AC510="c"), VLOOKUP(AF510,[1]Diccionario!B:N,13,0)="C"), "OK",IF(AND(OR(AC510="C",AC510="c"), OR(VLOOKUP(AF510,[1]Diccionario!B:N,13,0)="B", VLOOKUP(AF510,[1]Diccionario!B:N,13,0)="A")), "DEFICIT",IF(
AND(OR(AC510="B", AC510="BPAL"), VLOOKUP(AF510,[1]Diccionario!B:N,13,0)="B"), "OK",IF(AND(OR(AC510="B", AC510="BPAL"), VLOOKUP(AF510,[1]Diccionario!B:N,13,0)="A"), "DEFICIT",IF(AND(OR(AC510="B", AC510="BPAL"), VLOOKUP(AF510,[1]Diccionario!B:N,13,0)="C"), "SOBREOFERTA",IF(AND(AC510="A", VLOOKUP(AF510,[1]Diccionario!B:N,13,0)="A"), "OK",IF(
AND(AC510="A", OR(VLOOKUP(AF510,[1]Diccionario!B:N,13,0)="B", VLOOKUP(AF510,[1]Diccionario!B:N,13,0)="C")), "SOBREOFERTA",""
))))))),"")</f>
        <v/>
      </c>
      <c r="AF510" s="48"/>
      <c r="AG510" s="53"/>
      <c r="AH510" s="54"/>
      <c r="AI510" s="55" t="str">
        <f t="shared" si="122"/>
        <v/>
      </c>
      <c r="AJ510" s="46"/>
      <c r="AK510" s="34" t="e">
        <f>IF(AB510&lt;&gt;"",HLOOKUP(VALUE(TEXT(AH510,"h:mm:ss")),IF($C$6="Laboral",[1]Input!$A$4:$Y$227,IF($C$6="Sábado",[1]Input!$A$231:$Y$452,[1]Input!$A$456:$Y$656)),VLOOKUP($C$4,[1]Input!$AG$2:$AI$99,3,0)+IF(AD$5="Ida",0,1),1),"")</f>
        <v>#N/A</v>
      </c>
      <c r="AL510" s="34" t="str">
        <f>IF(AB511&lt;&gt;AB510,AVERAGEIF(AB$9:AB510,AB510,AK$9:AK510),"")</f>
        <v/>
      </c>
      <c r="AM510" s="35" t="str">
        <f>IFERROR(IF(AB511&lt;&gt;AB510,AVERAGEIF(AB$9:AB510,AB510,AT$9:AT510),""),"")</f>
        <v/>
      </c>
      <c r="AN510" s="35" t="str">
        <f>IFERROR(IF(AB511&lt;&gt;AB510,AVERAGEIF(AB$9:AB510,AB510,AU$9:AU510),""),"")</f>
        <v/>
      </c>
      <c r="AO510" s="35" t="str" cm="1">
        <f t="array" ref="AO510">IFERROR(IF(AB511&lt;&gt;AB510,_xlfn.STDEV.P(IF(AB$9:AB510=AB510,AU$9:AU510)),""),"")</f>
        <v/>
      </c>
      <c r="AP510" s="35" t="str" cm="1">
        <f t="array" ref="AP510">IFERROR(IF(AB511&lt;&gt;AB510,_xlfn.STDEV.P(IF(AB$9:AB510=AB510,AT$9:AT510)),""),"")</f>
        <v/>
      </c>
      <c r="AQ510" s="36" t="str">
        <f t="shared" si="113"/>
        <v/>
      </c>
      <c r="AR510" s="36" t="str">
        <f t="shared" si="114"/>
        <v/>
      </c>
      <c r="AS510" s="36" t="str">
        <f t="shared" si="123"/>
        <v/>
      </c>
      <c r="AT510" s="37" t="str">
        <f t="shared" si="115"/>
        <v/>
      </c>
      <c r="AU510" s="37" t="str">
        <f t="shared" si="116"/>
        <v/>
      </c>
      <c r="AV510" s="54"/>
      <c r="AW510" s="46"/>
      <c r="AX510" s="39" t="str" cm="1">
        <f t="array" ref="AX510">IF(AH510&lt;&gt;"",IF(AND(AX508:AX509&lt;&gt;"IE",AQ510&lt;&gt;0,AS510&lt;&gt;""),IF(IFERROR((AQ510/AS510),0) &lt;=1,IFERROR(AQ510/AS510,""),1),""),"")</f>
        <v/>
      </c>
      <c r="AY510" s="46"/>
      <c r="AZ510" s="57"/>
    </row>
    <row r="511" spans="1:52" ht="15.5" x14ac:dyDescent="0.35">
      <c r="A511" s="51">
        <f t="shared" si="124"/>
        <v>1</v>
      </c>
      <c r="B511" s="52"/>
      <c r="C511" s="52"/>
      <c r="D511" s="29" t="str">
        <f>IFERROR(
IF(AND(OR(Planilla!B511="C",Planilla!B511="c"), VLOOKUP(E511,[1]Diccionario!B:N,13,0)="C"), "OK",IF(AND(OR(Planilla!B511="C",Planilla!B511="c"), OR(VLOOKUP(E511,[1]Diccionario!B:N,13,0)="B", VLOOKUP(E511,[1]Diccionario!B:N,13,0)="A")), "DEFICIT",IF(
AND(OR(Planilla!B511="B", Planilla!B511="BPAL"), VLOOKUP(E511,[1]Diccionario!B:N,13,0)="B"), "OK",IF(AND(OR(Planilla!B511="B", Planilla!B511="BPAL"), VLOOKUP(E511,[1]Diccionario!B:N,13,0)="A"), "DEFICIT",IF(AND(OR(Planilla!B511="B", Planilla!B511="BPAL"), VLOOKUP(E511,[1]Diccionario!B:N,13,0)="C"), "SOBREOFERTA",IF(AND(Planilla!B511="A", VLOOKUP(E511,[1]Diccionario!B:N,13,0)="A"), "OK",IF(
AND(Planilla!B511="A", OR(VLOOKUP(E511,[1]Diccionario!B:N,13,0)="B", VLOOKUP(E511,[1]Diccionario!B:N,13,0)="C")), "SOBREOFERTA",""
))))))),"")</f>
        <v/>
      </c>
      <c r="E511" s="48"/>
      <c r="F511" s="53"/>
      <c r="G511" s="54"/>
      <c r="H511" s="55" t="str">
        <f t="shared" si="117"/>
        <v/>
      </c>
      <c r="I511" s="35"/>
      <c r="J511" s="34" t="e">
        <f>IF(A511&lt;&gt;"",HLOOKUP(VALUE(TEXT(G511,"h:mm:ss")),IF($C$6="Laboral",[1]Input!$A$4:$Y$227,IF($C$6="Sábado",[1]Input!$A$231:$Y$452,[1]Input!$A$456:$Y$656)),VLOOKUP($C$4,[1]Input!$AG$2:$AI$99,3,0)+IF(C$5="Ida",0,1),1),"")</f>
        <v>#N/A</v>
      </c>
      <c r="K511" s="34" t="str">
        <f>IF(A512&lt;&gt;A511,AVERAGEIF(A$9:A511,A511,J$13:J511),"")</f>
        <v/>
      </c>
      <c r="L511" s="35" t="str">
        <f>IFERROR(IF(A512&lt;&gt;A511,AVERAGEIF(A$9:A511,A511,S$13:S511),""),"")</f>
        <v/>
      </c>
      <c r="M511" s="35" t="str">
        <f>IFERROR(IF(A512&lt;&gt;A511,AVERAGEIF(A$9:A511,A511,T$8:T511),""),"")</f>
        <v/>
      </c>
      <c r="N511" s="35" t="str" cm="1">
        <f t="array" ref="N511">IFERROR(IF(A512&lt;&gt;A511,_xlfn.STDEV.P(IF(A$9:A511=A511,T$7:T511)),""),"")</f>
        <v/>
      </c>
      <c r="O511" s="35" t="str" cm="1">
        <f t="array" ref="O511">IFERROR(IF(A512&lt;&gt;A511,_xlfn.STDEV.P(IF(A$9:A511=A511,S$7:S511)),""),"")</f>
        <v/>
      </c>
      <c r="P511" s="36" t="str">
        <f t="shared" si="110"/>
        <v/>
      </c>
      <c r="Q511" s="36" t="str">
        <f t="shared" si="111"/>
        <v/>
      </c>
      <c r="R511" s="36" t="str">
        <f t="shared" si="118"/>
        <v/>
      </c>
      <c r="S511" s="37" t="str">
        <f t="shared" si="119"/>
        <v/>
      </c>
      <c r="T511" s="37" t="str">
        <f t="shared" si="112"/>
        <v/>
      </c>
      <c r="U511" s="54"/>
      <c r="V511" s="46"/>
      <c r="W511" s="39" t="str">
        <f t="shared" si="120"/>
        <v/>
      </c>
      <c r="X511" s="38"/>
      <c r="Y511" s="48"/>
      <c r="AB511" s="56">
        <f t="shared" si="121"/>
        <v>1</v>
      </c>
      <c r="AC511" s="52"/>
      <c r="AD511" s="52"/>
      <c r="AE511" s="29" t="str">
        <f>IFERROR(
IF(AND(OR(AC511="C",AC511="c"), VLOOKUP(AF511,[1]Diccionario!B:N,13,0)="C"), "OK",IF(AND(OR(AC511="C",AC511="c"), OR(VLOOKUP(AF511,[1]Diccionario!B:N,13,0)="B", VLOOKUP(AF511,[1]Diccionario!B:N,13,0)="A")), "DEFICIT",IF(
AND(OR(AC511="B", AC511="BPAL"), VLOOKUP(AF511,[1]Diccionario!B:N,13,0)="B"), "OK",IF(AND(OR(AC511="B", AC511="BPAL"), VLOOKUP(AF511,[1]Diccionario!B:N,13,0)="A"), "DEFICIT",IF(AND(OR(AC511="B", AC511="BPAL"), VLOOKUP(AF511,[1]Diccionario!B:N,13,0)="C"), "SOBREOFERTA",IF(AND(AC511="A", VLOOKUP(AF511,[1]Diccionario!B:N,13,0)="A"), "OK",IF(
AND(AC511="A", OR(VLOOKUP(AF511,[1]Diccionario!B:N,13,0)="B", VLOOKUP(AF511,[1]Diccionario!B:N,13,0)="C")), "SOBREOFERTA",""
))))))),"")</f>
        <v/>
      </c>
      <c r="AF511" s="48"/>
      <c r="AG511" s="53"/>
      <c r="AH511" s="54"/>
      <c r="AI511" s="55" t="str">
        <f t="shared" si="122"/>
        <v/>
      </c>
      <c r="AJ511" s="46"/>
      <c r="AK511" s="34" t="e">
        <f>IF(AB511&lt;&gt;"",HLOOKUP(VALUE(TEXT(AH511,"h:mm:ss")),IF($C$6="Laboral",[1]Input!$A$4:$Y$227,IF($C$6="Sábado",[1]Input!$A$231:$Y$452,[1]Input!$A$456:$Y$656)),VLOOKUP($C$4,[1]Input!$AG$2:$AI$99,3,0)+IF(AD$5="Ida",0,1),1),"")</f>
        <v>#N/A</v>
      </c>
      <c r="AL511" s="34" t="str">
        <f>IF(AB512&lt;&gt;AB511,AVERAGEIF(AB$9:AB511,AB511,AK$9:AK511),"")</f>
        <v/>
      </c>
      <c r="AM511" s="35" t="str">
        <f>IFERROR(IF(AB512&lt;&gt;AB511,AVERAGEIF(AB$9:AB511,AB511,AT$9:AT511),""),"")</f>
        <v/>
      </c>
      <c r="AN511" s="35" t="str">
        <f>IFERROR(IF(AB512&lt;&gt;AB511,AVERAGEIF(AB$9:AB511,AB511,AU$9:AU511),""),"")</f>
        <v/>
      </c>
      <c r="AO511" s="35" t="str" cm="1">
        <f t="array" ref="AO511">IFERROR(IF(AB512&lt;&gt;AB511,_xlfn.STDEV.P(IF(AB$9:AB511=AB511,AU$9:AU511)),""),"")</f>
        <v/>
      </c>
      <c r="AP511" s="35" t="str" cm="1">
        <f t="array" ref="AP511">IFERROR(IF(AB512&lt;&gt;AB511,_xlfn.STDEV.P(IF(AB$9:AB511=AB511,AT$9:AT511)),""),"")</f>
        <v/>
      </c>
      <c r="AQ511" s="36" t="str">
        <f t="shared" si="113"/>
        <v/>
      </c>
      <c r="AR511" s="36" t="str">
        <f t="shared" si="114"/>
        <v/>
      </c>
      <c r="AS511" s="36" t="str">
        <f t="shared" si="123"/>
        <v/>
      </c>
      <c r="AT511" s="37" t="str">
        <f t="shared" si="115"/>
        <v/>
      </c>
      <c r="AU511" s="37" t="str">
        <f t="shared" si="116"/>
        <v/>
      </c>
      <c r="AV511" s="54"/>
      <c r="AW511" s="46"/>
      <c r="AX511" s="39" t="str" cm="1">
        <f t="array" ref="AX511">IF(AH511&lt;&gt;"",IF(AND(AX509:AX510&lt;&gt;"IE",AQ511&lt;&gt;0,AS511&lt;&gt;""),IF(IFERROR((AQ511/AS511),0) &lt;=1,IFERROR(AQ511/AS511,""),1),""),"")</f>
        <v/>
      </c>
      <c r="AY511" s="46"/>
      <c r="AZ511" s="57"/>
    </row>
    <row r="512" spans="1:52" ht="15.5" x14ac:dyDescent="0.35">
      <c r="A512" s="51">
        <f t="shared" si="124"/>
        <v>1</v>
      </c>
      <c r="B512" s="52"/>
      <c r="C512" s="52"/>
      <c r="D512" s="29" t="str">
        <f>IFERROR(
IF(AND(OR(Planilla!B512="C",Planilla!B512="c"), VLOOKUP(E512,[1]Diccionario!B:N,13,0)="C"), "OK",IF(AND(OR(Planilla!B512="C",Planilla!B512="c"), OR(VLOOKUP(E512,[1]Diccionario!B:N,13,0)="B", VLOOKUP(E512,[1]Diccionario!B:N,13,0)="A")), "DEFICIT",IF(
AND(OR(Planilla!B512="B", Planilla!B512="BPAL"), VLOOKUP(E512,[1]Diccionario!B:N,13,0)="B"), "OK",IF(AND(OR(Planilla!B512="B", Planilla!B512="BPAL"), VLOOKUP(E512,[1]Diccionario!B:N,13,0)="A"), "DEFICIT",IF(AND(OR(Planilla!B512="B", Planilla!B512="BPAL"), VLOOKUP(E512,[1]Diccionario!B:N,13,0)="C"), "SOBREOFERTA",IF(AND(Planilla!B512="A", VLOOKUP(E512,[1]Diccionario!B:N,13,0)="A"), "OK",IF(
AND(Planilla!B512="A", OR(VLOOKUP(E512,[1]Diccionario!B:N,13,0)="B", VLOOKUP(E512,[1]Diccionario!B:N,13,0)="C")), "SOBREOFERTA",""
))))))),"")</f>
        <v/>
      </c>
      <c r="E512" s="48"/>
      <c r="F512" s="53"/>
      <c r="G512" s="54"/>
      <c r="H512" s="55" t="str">
        <f t="shared" si="117"/>
        <v/>
      </c>
      <c r="I512" s="35"/>
      <c r="J512" s="34" t="e">
        <f>IF(A512&lt;&gt;"",HLOOKUP(VALUE(TEXT(G512,"h:mm:ss")),IF($C$6="Laboral",[1]Input!$A$4:$Y$227,IF($C$6="Sábado",[1]Input!$A$231:$Y$452,[1]Input!$A$456:$Y$656)),VLOOKUP($C$4,[1]Input!$AG$2:$AI$99,3,0)+IF(C$5="Ida",0,1),1),"")</f>
        <v>#N/A</v>
      </c>
      <c r="K512" s="34" t="str">
        <f>IF(A513&lt;&gt;A512,AVERAGEIF(A$9:A512,A512,J$13:J512),"")</f>
        <v/>
      </c>
      <c r="L512" s="35" t="str">
        <f>IFERROR(IF(A513&lt;&gt;A512,AVERAGEIF(A$9:A512,A512,S$13:S512),""),"")</f>
        <v/>
      </c>
      <c r="M512" s="35" t="str">
        <f>IFERROR(IF(A513&lt;&gt;A512,AVERAGEIF(A$9:A512,A512,T$8:T512),""),"")</f>
        <v/>
      </c>
      <c r="N512" s="35" t="str" cm="1">
        <f t="array" ref="N512">IFERROR(IF(A513&lt;&gt;A512,_xlfn.STDEV.P(IF(A$9:A512=A512,T$7:T512)),""),"")</f>
        <v/>
      </c>
      <c r="O512" s="35" t="str" cm="1">
        <f t="array" ref="O512">IFERROR(IF(A513&lt;&gt;A512,_xlfn.STDEV.P(IF(A$9:A512=A512,S$7:S512)),""),"")</f>
        <v/>
      </c>
      <c r="P512" s="36" t="str">
        <f t="shared" si="110"/>
        <v/>
      </c>
      <c r="Q512" s="36" t="str">
        <f t="shared" si="111"/>
        <v/>
      </c>
      <c r="R512" s="36" t="str">
        <f t="shared" si="118"/>
        <v/>
      </c>
      <c r="S512" s="37" t="str">
        <f t="shared" si="119"/>
        <v/>
      </c>
      <c r="T512" s="37" t="str">
        <f t="shared" si="112"/>
        <v/>
      </c>
      <c r="U512" s="54"/>
      <c r="V512" s="46"/>
      <c r="W512" s="39" t="str">
        <f t="shared" si="120"/>
        <v/>
      </c>
      <c r="X512" s="38"/>
      <c r="Y512" s="48"/>
      <c r="AB512" s="56">
        <f t="shared" si="121"/>
        <v>1</v>
      </c>
      <c r="AC512" s="52"/>
      <c r="AD512" s="52"/>
      <c r="AE512" s="29" t="str">
        <f>IFERROR(
IF(AND(OR(AC512="C",AC512="c"), VLOOKUP(AF512,[1]Diccionario!B:N,13,0)="C"), "OK",IF(AND(OR(AC512="C",AC512="c"), OR(VLOOKUP(AF512,[1]Diccionario!B:N,13,0)="B", VLOOKUP(AF512,[1]Diccionario!B:N,13,0)="A")), "DEFICIT",IF(
AND(OR(AC512="B", AC512="BPAL"), VLOOKUP(AF512,[1]Diccionario!B:N,13,0)="B"), "OK",IF(AND(OR(AC512="B", AC512="BPAL"), VLOOKUP(AF512,[1]Diccionario!B:N,13,0)="A"), "DEFICIT",IF(AND(OR(AC512="B", AC512="BPAL"), VLOOKUP(AF512,[1]Diccionario!B:N,13,0)="C"), "SOBREOFERTA",IF(AND(AC512="A", VLOOKUP(AF512,[1]Diccionario!B:N,13,0)="A"), "OK",IF(
AND(AC512="A", OR(VLOOKUP(AF512,[1]Diccionario!B:N,13,0)="B", VLOOKUP(AF512,[1]Diccionario!B:N,13,0)="C")), "SOBREOFERTA",""
))))))),"")</f>
        <v/>
      </c>
      <c r="AF512" s="48"/>
      <c r="AG512" s="53"/>
      <c r="AH512" s="54"/>
      <c r="AI512" s="55" t="str">
        <f t="shared" si="122"/>
        <v/>
      </c>
      <c r="AJ512" s="46"/>
      <c r="AK512" s="34" t="e">
        <f>IF(AB512&lt;&gt;"",HLOOKUP(VALUE(TEXT(AH512,"h:mm:ss")),IF($C$6="Laboral",[1]Input!$A$4:$Y$227,IF($C$6="Sábado",[1]Input!$A$231:$Y$452,[1]Input!$A$456:$Y$656)),VLOOKUP($C$4,[1]Input!$AG$2:$AI$99,3,0)+IF(AD$5="Ida",0,1),1),"")</f>
        <v>#N/A</v>
      </c>
      <c r="AL512" s="34" t="str">
        <f>IF(AB513&lt;&gt;AB512,AVERAGEIF(AB$9:AB512,AB512,AK$9:AK512),"")</f>
        <v/>
      </c>
      <c r="AM512" s="35" t="str">
        <f>IFERROR(IF(AB513&lt;&gt;AB512,AVERAGEIF(AB$9:AB512,AB512,AT$9:AT512),""),"")</f>
        <v/>
      </c>
      <c r="AN512" s="35" t="str">
        <f>IFERROR(IF(AB513&lt;&gt;AB512,AVERAGEIF(AB$9:AB512,AB512,AU$9:AU512),""),"")</f>
        <v/>
      </c>
      <c r="AO512" s="35" t="str" cm="1">
        <f t="array" ref="AO512">IFERROR(IF(AB513&lt;&gt;AB512,_xlfn.STDEV.P(IF(AB$9:AB512=AB512,AU$9:AU512)),""),"")</f>
        <v/>
      </c>
      <c r="AP512" s="35" t="str" cm="1">
        <f t="array" ref="AP512">IFERROR(IF(AB513&lt;&gt;AB512,_xlfn.STDEV.P(IF(AB$9:AB512=AB512,AT$9:AT512)),""),"")</f>
        <v/>
      </c>
      <c r="AQ512" s="36" t="str">
        <f t="shared" si="113"/>
        <v/>
      </c>
      <c r="AR512" s="36" t="str">
        <f t="shared" si="114"/>
        <v/>
      </c>
      <c r="AS512" s="36" t="str">
        <f t="shared" si="123"/>
        <v/>
      </c>
      <c r="AT512" s="37" t="str">
        <f t="shared" si="115"/>
        <v/>
      </c>
      <c r="AU512" s="37" t="str">
        <f t="shared" si="116"/>
        <v/>
      </c>
      <c r="AV512" s="54"/>
      <c r="AW512" s="46"/>
      <c r="AX512" s="39" t="str" cm="1">
        <f t="array" ref="AX512">IF(AH512&lt;&gt;"",IF(AND(AX510:AX511&lt;&gt;"IE",AQ512&lt;&gt;0,AS512&lt;&gt;""),IF(IFERROR((AQ512/AS512),0) &lt;=1,IFERROR(AQ512/AS512,""),1),""),"")</f>
        <v/>
      </c>
      <c r="AY512" s="46"/>
      <c r="AZ512" s="57"/>
    </row>
    <row r="513" spans="1:52" ht="15.5" x14ac:dyDescent="0.35">
      <c r="A513" s="51">
        <f t="shared" si="124"/>
        <v>1</v>
      </c>
      <c r="B513" s="52"/>
      <c r="C513" s="52"/>
      <c r="D513" s="29" t="str">
        <f>IFERROR(
IF(AND(OR(Planilla!B513="C",Planilla!B513="c"), VLOOKUP(E513,[1]Diccionario!B:N,13,0)="C"), "OK",IF(AND(OR(Planilla!B513="C",Planilla!B513="c"), OR(VLOOKUP(E513,[1]Diccionario!B:N,13,0)="B", VLOOKUP(E513,[1]Diccionario!B:N,13,0)="A")), "DEFICIT",IF(
AND(OR(Planilla!B513="B", Planilla!B513="BPAL"), VLOOKUP(E513,[1]Diccionario!B:N,13,0)="B"), "OK",IF(AND(OR(Planilla!B513="B", Planilla!B513="BPAL"), VLOOKUP(E513,[1]Diccionario!B:N,13,0)="A"), "DEFICIT",IF(AND(OR(Planilla!B513="B", Planilla!B513="BPAL"), VLOOKUP(E513,[1]Diccionario!B:N,13,0)="C"), "SOBREOFERTA",IF(AND(Planilla!B513="A", VLOOKUP(E513,[1]Diccionario!B:N,13,0)="A"), "OK",IF(
AND(Planilla!B513="A", OR(VLOOKUP(E513,[1]Diccionario!B:N,13,0)="B", VLOOKUP(E513,[1]Diccionario!B:N,13,0)="C")), "SOBREOFERTA",""
))))))),"")</f>
        <v/>
      </c>
      <c r="E513" s="48"/>
      <c r="F513" s="53"/>
      <c r="G513" s="54"/>
      <c r="H513" s="55" t="str">
        <f t="shared" si="117"/>
        <v/>
      </c>
      <c r="I513" s="35"/>
      <c r="J513" s="34" t="e">
        <f>IF(A513&lt;&gt;"",HLOOKUP(VALUE(TEXT(G513,"h:mm:ss")),IF($C$6="Laboral",[1]Input!$A$4:$Y$227,IF($C$6="Sábado",[1]Input!$A$231:$Y$452,[1]Input!$A$456:$Y$656)),VLOOKUP($C$4,[1]Input!$AG$2:$AI$99,3,0)+IF(C$5="Ida",0,1),1),"")</f>
        <v>#N/A</v>
      </c>
      <c r="K513" s="34" t="str">
        <f>IF(A514&lt;&gt;A513,AVERAGEIF(A$9:A513,A513,J$13:J513),"")</f>
        <v/>
      </c>
      <c r="L513" s="35" t="str">
        <f>IFERROR(IF(A514&lt;&gt;A513,AVERAGEIF(A$9:A513,A513,S$13:S513),""),"")</f>
        <v/>
      </c>
      <c r="M513" s="35" t="str">
        <f>IFERROR(IF(A514&lt;&gt;A513,AVERAGEIF(A$9:A513,A513,T$8:T513),""),"")</f>
        <v/>
      </c>
      <c r="N513" s="35" t="str" cm="1">
        <f t="array" ref="N513">IFERROR(IF(A514&lt;&gt;A513,_xlfn.STDEV.P(IF(A$9:A513=A513,T$7:T513)),""),"")</f>
        <v/>
      </c>
      <c r="O513" s="35" t="str" cm="1">
        <f t="array" ref="O513">IFERROR(IF(A514&lt;&gt;A513,_xlfn.STDEV.P(IF(A$9:A513=A513,S$7:S513)),""),"")</f>
        <v/>
      </c>
      <c r="P513" s="36" t="str">
        <f t="shared" si="110"/>
        <v/>
      </c>
      <c r="Q513" s="36" t="str">
        <f t="shared" si="111"/>
        <v/>
      </c>
      <c r="R513" s="36" t="str">
        <f t="shared" si="118"/>
        <v/>
      </c>
      <c r="S513" s="37" t="str">
        <f t="shared" si="119"/>
        <v/>
      </c>
      <c r="T513" s="37" t="str">
        <f t="shared" si="112"/>
        <v/>
      </c>
      <c r="U513" s="54"/>
      <c r="V513" s="46"/>
      <c r="W513" s="39" t="str">
        <f t="shared" si="120"/>
        <v/>
      </c>
      <c r="X513" s="38"/>
      <c r="Y513" s="48"/>
      <c r="AB513" s="56">
        <f t="shared" si="121"/>
        <v>1</v>
      </c>
      <c r="AC513" s="52"/>
      <c r="AD513" s="52"/>
      <c r="AE513" s="29" t="str">
        <f>IFERROR(
IF(AND(OR(AC513="C",AC513="c"), VLOOKUP(AF513,[1]Diccionario!B:N,13,0)="C"), "OK",IF(AND(OR(AC513="C",AC513="c"), OR(VLOOKUP(AF513,[1]Diccionario!B:N,13,0)="B", VLOOKUP(AF513,[1]Diccionario!B:N,13,0)="A")), "DEFICIT",IF(
AND(OR(AC513="B", AC513="BPAL"), VLOOKUP(AF513,[1]Diccionario!B:N,13,0)="B"), "OK",IF(AND(OR(AC513="B", AC513="BPAL"), VLOOKUP(AF513,[1]Diccionario!B:N,13,0)="A"), "DEFICIT",IF(AND(OR(AC513="B", AC513="BPAL"), VLOOKUP(AF513,[1]Diccionario!B:N,13,0)="C"), "SOBREOFERTA",IF(AND(AC513="A", VLOOKUP(AF513,[1]Diccionario!B:N,13,0)="A"), "OK",IF(
AND(AC513="A", OR(VLOOKUP(AF513,[1]Diccionario!B:N,13,0)="B", VLOOKUP(AF513,[1]Diccionario!B:N,13,0)="C")), "SOBREOFERTA",""
))))))),"")</f>
        <v/>
      </c>
      <c r="AF513" s="48"/>
      <c r="AG513" s="53"/>
      <c r="AH513" s="54"/>
      <c r="AI513" s="55" t="str">
        <f t="shared" si="122"/>
        <v/>
      </c>
      <c r="AJ513" s="46"/>
      <c r="AK513" s="34" t="e">
        <f>IF(AB513&lt;&gt;"",HLOOKUP(VALUE(TEXT(AH513,"h:mm:ss")),IF($C$6="Laboral",[1]Input!$A$4:$Y$227,IF($C$6="Sábado",[1]Input!$A$231:$Y$452,[1]Input!$A$456:$Y$656)),VLOOKUP($C$4,[1]Input!$AG$2:$AI$99,3,0)+IF(AD$5="Ida",0,1),1),"")</f>
        <v>#N/A</v>
      </c>
      <c r="AL513" s="34" t="str">
        <f>IF(AB514&lt;&gt;AB513,AVERAGEIF(AB$9:AB513,AB513,AK$9:AK513),"")</f>
        <v/>
      </c>
      <c r="AM513" s="35" t="str">
        <f>IFERROR(IF(AB514&lt;&gt;AB513,AVERAGEIF(AB$9:AB513,AB513,AT$9:AT513),""),"")</f>
        <v/>
      </c>
      <c r="AN513" s="35" t="str">
        <f>IFERROR(IF(AB514&lt;&gt;AB513,AVERAGEIF(AB$9:AB513,AB513,AU$9:AU513),""),"")</f>
        <v/>
      </c>
      <c r="AO513" s="35" t="str" cm="1">
        <f t="array" ref="AO513">IFERROR(IF(AB514&lt;&gt;AB513,_xlfn.STDEV.P(IF(AB$9:AB513=AB513,AU$9:AU513)),""),"")</f>
        <v/>
      </c>
      <c r="AP513" s="35" t="str" cm="1">
        <f t="array" ref="AP513">IFERROR(IF(AB514&lt;&gt;AB513,_xlfn.STDEV.P(IF(AB$9:AB513=AB513,AT$9:AT513)),""),"")</f>
        <v/>
      </c>
      <c r="AQ513" s="36" t="str">
        <f t="shared" si="113"/>
        <v/>
      </c>
      <c r="AR513" s="36" t="str">
        <f t="shared" si="114"/>
        <v/>
      </c>
      <c r="AS513" s="36" t="str">
        <f t="shared" si="123"/>
        <v/>
      </c>
      <c r="AT513" s="37" t="str">
        <f t="shared" si="115"/>
        <v/>
      </c>
      <c r="AU513" s="37" t="str">
        <f t="shared" si="116"/>
        <v/>
      </c>
      <c r="AV513" s="54"/>
      <c r="AW513" s="46"/>
      <c r="AX513" s="39" t="str" cm="1">
        <f t="array" ref="AX513">IF(AH513&lt;&gt;"",IF(AND(AX511:AX512&lt;&gt;"IE",AQ513&lt;&gt;0,AS513&lt;&gt;""),IF(IFERROR((AQ513/AS513),0) &lt;=1,IFERROR(AQ513/AS513,""),1),""),"")</f>
        <v/>
      </c>
      <c r="AY513" s="46"/>
      <c r="AZ513" s="57"/>
    </row>
    <row r="514" spans="1:52" ht="15.5" x14ac:dyDescent="0.35">
      <c r="A514" s="51">
        <f t="shared" si="124"/>
        <v>1</v>
      </c>
      <c r="B514" s="52"/>
      <c r="C514" s="52"/>
      <c r="D514" s="29" t="str">
        <f>IFERROR(
IF(AND(OR(Planilla!B514="C",Planilla!B514="c"), VLOOKUP(E514,[1]Diccionario!B:N,13,0)="C"), "OK",IF(AND(OR(Planilla!B514="C",Planilla!B514="c"), OR(VLOOKUP(E514,[1]Diccionario!B:N,13,0)="B", VLOOKUP(E514,[1]Diccionario!B:N,13,0)="A")), "DEFICIT",IF(
AND(OR(Planilla!B514="B", Planilla!B514="BPAL"), VLOOKUP(E514,[1]Diccionario!B:N,13,0)="B"), "OK",IF(AND(OR(Planilla!B514="B", Planilla!B514="BPAL"), VLOOKUP(E514,[1]Diccionario!B:N,13,0)="A"), "DEFICIT",IF(AND(OR(Planilla!B514="B", Planilla!B514="BPAL"), VLOOKUP(E514,[1]Diccionario!B:N,13,0)="C"), "SOBREOFERTA",IF(AND(Planilla!B514="A", VLOOKUP(E514,[1]Diccionario!B:N,13,0)="A"), "OK",IF(
AND(Planilla!B514="A", OR(VLOOKUP(E514,[1]Diccionario!B:N,13,0)="B", VLOOKUP(E514,[1]Diccionario!B:N,13,0)="C")), "SOBREOFERTA",""
))))))),"")</f>
        <v/>
      </c>
      <c r="E514" s="48"/>
      <c r="F514" s="53"/>
      <c r="G514" s="54"/>
      <c r="H514" s="55" t="str">
        <f t="shared" si="117"/>
        <v/>
      </c>
      <c r="I514" s="35"/>
      <c r="J514" s="34" t="e">
        <f>IF(A514&lt;&gt;"",HLOOKUP(VALUE(TEXT(G514,"h:mm:ss")),IF($C$6="Laboral",[1]Input!$A$4:$Y$227,IF($C$6="Sábado",[1]Input!$A$231:$Y$452,[1]Input!$A$456:$Y$656)),VLOOKUP($C$4,[1]Input!$AG$2:$AI$99,3,0)+IF(C$5="Ida",0,1),1),"")</f>
        <v>#N/A</v>
      </c>
      <c r="K514" s="34" t="str">
        <f>IF(A515&lt;&gt;A514,AVERAGEIF(A$9:A514,A514,J$13:J514),"")</f>
        <v/>
      </c>
      <c r="L514" s="35" t="str">
        <f>IFERROR(IF(A515&lt;&gt;A514,AVERAGEIF(A$9:A514,A514,S$13:S514),""),"")</f>
        <v/>
      </c>
      <c r="M514" s="35" t="str">
        <f>IFERROR(IF(A515&lt;&gt;A514,AVERAGEIF(A$9:A514,A514,T$8:T514),""),"")</f>
        <v/>
      </c>
      <c r="N514" s="35" t="str" cm="1">
        <f t="array" ref="N514">IFERROR(IF(A515&lt;&gt;A514,_xlfn.STDEV.P(IF(A$9:A514=A514,T$7:T514)),""),"")</f>
        <v/>
      </c>
      <c r="O514" s="35" t="str" cm="1">
        <f t="array" ref="O514">IFERROR(IF(A515&lt;&gt;A514,_xlfn.STDEV.P(IF(A$9:A514=A514,S$7:S514)),""),"")</f>
        <v/>
      </c>
      <c r="P514" s="36" t="str">
        <f t="shared" si="110"/>
        <v/>
      </c>
      <c r="Q514" s="36" t="str">
        <f t="shared" si="111"/>
        <v/>
      </c>
      <c r="R514" s="36" t="str">
        <f t="shared" si="118"/>
        <v/>
      </c>
      <c r="S514" s="37" t="str">
        <f t="shared" si="119"/>
        <v/>
      </c>
      <c r="T514" s="37" t="str">
        <f t="shared" si="112"/>
        <v/>
      </c>
      <c r="U514" s="54"/>
      <c r="V514" s="46"/>
      <c r="W514" s="39" t="str">
        <f t="shared" si="120"/>
        <v/>
      </c>
      <c r="X514" s="38"/>
      <c r="Y514" s="48"/>
      <c r="AB514" s="56">
        <f t="shared" si="121"/>
        <v>1</v>
      </c>
      <c r="AC514" s="52"/>
      <c r="AD514" s="52"/>
      <c r="AE514" s="29" t="str">
        <f>IFERROR(
IF(AND(OR(AC514="C",AC514="c"), VLOOKUP(AF514,[1]Diccionario!B:N,13,0)="C"), "OK",IF(AND(OR(AC514="C",AC514="c"), OR(VLOOKUP(AF514,[1]Diccionario!B:N,13,0)="B", VLOOKUP(AF514,[1]Diccionario!B:N,13,0)="A")), "DEFICIT",IF(
AND(OR(AC514="B", AC514="BPAL"), VLOOKUP(AF514,[1]Diccionario!B:N,13,0)="B"), "OK",IF(AND(OR(AC514="B", AC514="BPAL"), VLOOKUP(AF514,[1]Diccionario!B:N,13,0)="A"), "DEFICIT",IF(AND(OR(AC514="B", AC514="BPAL"), VLOOKUP(AF514,[1]Diccionario!B:N,13,0)="C"), "SOBREOFERTA",IF(AND(AC514="A", VLOOKUP(AF514,[1]Diccionario!B:N,13,0)="A"), "OK",IF(
AND(AC514="A", OR(VLOOKUP(AF514,[1]Diccionario!B:N,13,0)="B", VLOOKUP(AF514,[1]Diccionario!B:N,13,0)="C")), "SOBREOFERTA",""
))))))),"")</f>
        <v/>
      </c>
      <c r="AF514" s="48"/>
      <c r="AG514" s="53"/>
      <c r="AH514" s="54"/>
      <c r="AI514" s="55" t="str">
        <f t="shared" si="122"/>
        <v/>
      </c>
      <c r="AJ514" s="46"/>
      <c r="AK514" s="34" t="e">
        <f>IF(AB514&lt;&gt;"",HLOOKUP(VALUE(TEXT(AH514,"h:mm:ss")),IF($C$6="Laboral",[1]Input!$A$4:$Y$227,IF($C$6="Sábado",[1]Input!$A$231:$Y$452,[1]Input!$A$456:$Y$656)),VLOOKUP($C$4,[1]Input!$AG$2:$AI$99,3,0)+IF(AD$5="Ida",0,1),1),"")</f>
        <v>#N/A</v>
      </c>
      <c r="AL514" s="34" t="str">
        <f>IF(AB515&lt;&gt;AB514,AVERAGEIF(AB$9:AB514,AB514,AK$9:AK514),"")</f>
        <v/>
      </c>
      <c r="AM514" s="35" t="str">
        <f>IFERROR(IF(AB515&lt;&gt;AB514,AVERAGEIF(AB$9:AB514,AB514,AT$9:AT514),""),"")</f>
        <v/>
      </c>
      <c r="AN514" s="35" t="str">
        <f>IFERROR(IF(AB515&lt;&gt;AB514,AVERAGEIF(AB$9:AB514,AB514,AU$9:AU514),""),"")</f>
        <v/>
      </c>
      <c r="AO514" s="35" t="str" cm="1">
        <f t="array" ref="AO514">IFERROR(IF(AB515&lt;&gt;AB514,_xlfn.STDEV.P(IF(AB$9:AB514=AB514,AU$9:AU514)),""),"")</f>
        <v/>
      </c>
      <c r="AP514" s="35" t="str" cm="1">
        <f t="array" ref="AP514">IFERROR(IF(AB515&lt;&gt;AB514,_xlfn.STDEV.P(IF(AB$9:AB514=AB514,AT$9:AT514)),""),"")</f>
        <v/>
      </c>
      <c r="AQ514" s="36" t="str">
        <f t="shared" si="113"/>
        <v/>
      </c>
      <c r="AR514" s="36" t="str">
        <f t="shared" si="114"/>
        <v/>
      </c>
      <c r="AS514" s="36" t="str">
        <f t="shared" si="123"/>
        <v/>
      </c>
      <c r="AT514" s="37" t="str">
        <f t="shared" si="115"/>
        <v/>
      </c>
      <c r="AU514" s="37" t="str">
        <f t="shared" si="116"/>
        <v/>
      </c>
      <c r="AV514" s="54"/>
      <c r="AW514" s="46"/>
      <c r="AX514" s="39" t="str" cm="1">
        <f t="array" ref="AX514">IF(AH514&lt;&gt;"",IF(AND(AX512:AX513&lt;&gt;"IE",AQ514&lt;&gt;0,AS514&lt;&gt;""),IF(IFERROR((AQ514/AS514),0) &lt;=1,IFERROR(AQ514/AS514,""),1),""),"")</f>
        <v/>
      </c>
      <c r="AY514" s="46"/>
      <c r="AZ514" s="57"/>
    </row>
    <row r="515" spans="1:52" ht="15.5" x14ac:dyDescent="0.35">
      <c r="A515" s="51">
        <f t="shared" si="124"/>
        <v>1</v>
      </c>
      <c r="B515" s="52"/>
      <c r="C515" s="52"/>
      <c r="D515" s="29" t="str">
        <f>IFERROR(
IF(AND(OR(Planilla!B515="C",Planilla!B515="c"), VLOOKUP(E515,[1]Diccionario!B:N,13,0)="C"), "OK",IF(AND(OR(Planilla!B515="C",Planilla!B515="c"), OR(VLOOKUP(E515,[1]Diccionario!B:N,13,0)="B", VLOOKUP(E515,[1]Diccionario!B:N,13,0)="A")), "DEFICIT",IF(
AND(OR(Planilla!B515="B", Planilla!B515="BPAL"), VLOOKUP(E515,[1]Diccionario!B:N,13,0)="B"), "OK",IF(AND(OR(Planilla!B515="B", Planilla!B515="BPAL"), VLOOKUP(E515,[1]Diccionario!B:N,13,0)="A"), "DEFICIT",IF(AND(OR(Planilla!B515="B", Planilla!B515="BPAL"), VLOOKUP(E515,[1]Diccionario!B:N,13,0)="C"), "SOBREOFERTA",IF(AND(Planilla!B515="A", VLOOKUP(E515,[1]Diccionario!B:N,13,0)="A"), "OK",IF(
AND(Planilla!B515="A", OR(VLOOKUP(E515,[1]Diccionario!B:N,13,0)="B", VLOOKUP(E515,[1]Diccionario!B:N,13,0)="C")), "SOBREOFERTA",""
))))))),"")</f>
        <v/>
      </c>
      <c r="E515" s="48"/>
      <c r="F515" s="53"/>
      <c r="G515" s="54"/>
      <c r="H515" s="55" t="str">
        <f t="shared" si="117"/>
        <v/>
      </c>
      <c r="I515" s="35"/>
      <c r="J515" s="34" t="e">
        <f>IF(A515&lt;&gt;"",HLOOKUP(VALUE(TEXT(G515,"h:mm:ss")),IF($C$6="Laboral",[1]Input!$A$4:$Y$227,IF($C$6="Sábado",[1]Input!$A$231:$Y$452,[1]Input!$A$456:$Y$656)),VLOOKUP($C$4,[1]Input!$AG$2:$AI$99,3,0)+IF(C$5="Ida",0,1),1),"")</f>
        <v>#N/A</v>
      </c>
      <c r="K515" s="34" t="str">
        <f>IF(A516&lt;&gt;A515,AVERAGEIF(A$9:A515,A515,J$13:J515),"")</f>
        <v/>
      </c>
      <c r="L515" s="35" t="str">
        <f>IFERROR(IF(A516&lt;&gt;A515,AVERAGEIF(A$9:A515,A515,S$13:S515),""),"")</f>
        <v/>
      </c>
      <c r="M515" s="35" t="str">
        <f>IFERROR(IF(A516&lt;&gt;A515,AVERAGEIF(A$9:A515,A515,T$8:T515),""),"")</f>
        <v/>
      </c>
      <c r="N515" s="35" t="str" cm="1">
        <f t="array" ref="N515">IFERROR(IF(A516&lt;&gt;A515,_xlfn.STDEV.P(IF(A$9:A515=A515,T$7:T515)),""),"")</f>
        <v/>
      </c>
      <c r="O515" s="35" t="str" cm="1">
        <f t="array" ref="O515">IFERROR(IF(A516&lt;&gt;A515,_xlfn.STDEV.P(IF(A$9:A515=A515,S$7:S515)),""),"")</f>
        <v/>
      </c>
      <c r="P515" s="36" t="str">
        <f t="shared" si="110"/>
        <v/>
      </c>
      <c r="Q515" s="36" t="str">
        <f t="shared" si="111"/>
        <v/>
      </c>
      <c r="R515" s="36" t="str">
        <f t="shared" si="118"/>
        <v/>
      </c>
      <c r="S515" s="37" t="str">
        <f t="shared" si="119"/>
        <v/>
      </c>
      <c r="T515" s="37" t="str">
        <f t="shared" si="112"/>
        <v/>
      </c>
      <c r="U515" s="54"/>
      <c r="V515" s="46"/>
      <c r="W515" s="39" t="str">
        <f t="shared" si="120"/>
        <v/>
      </c>
      <c r="X515" s="38"/>
      <c r="Y515" s="48"/>
      <c r="AB515" s="56">
        <f t="shared" si="121"/>
        <v>1</v>
      </c>
      <c r="AC515" s="52"/>
      <c r="AD515" s="52"/>
      <c r="AE515" s="29" t="str">
        <f>IFERROR(
IF(AND(OR(AC515="C",AC515="c"), VLOOKUP(AF515,[1]Diccionario!B:N,13,0)="C"), "OK",IF(AND(OR(AC515="C",AC515="c"), OR(VLOOKUP(AF515,[1]Diccionario!B:N,13,0)="B", VLOOKUP(AF515,[1]Diccionario!B:N,13,0)="A")), "DEFICIT",IF(
AND(OR(AC515="B", AC515="BPAL"), VLOOKUP(AF515,[1]Diccionario!B:N,13,0)="B"), "OK",IF(AND(OR(AC515="B", AC515="BPAL"), VLOOKUP(AF515,[1]Diccionario!B:N,13,0)="A"), "DEFICIT",IF(AND(OR(AC515="B", AC515="BPAL"), VLOOKUP(AF515,[1]Diccionario!B:N,13,0)="C"), "SOBREOFERTA",IF(AND(AC515="A", VLOOKUP(AF515,[1]Diccionario!B:N,13,0)="A"), "OK",IF(
AND(AC515="A", OR(VLOOKUP(AF515,[1]Diccionario!B:N,13,0)="B", VLOOKUP(AF515,[1]Diccionario!B:N,13,0)="C")), "SOBREOFERTA",""
))))))),"")</f>
        <v/>
      </c>
      <c r="AF515" s="48"/>
      <c r="AG515" s="53"/>
      <c r="AH515" s="54"/>
      <c r="AI515" s="55" t="str">
        <f t="shared" si="122"/>
        <v/>
      </c>
      <c r="AJ515" s="46"/>
      <c r="AK515" s="34" t="e">
        <f>IF(AB515&lt;&gt;"",HLOOKUP(VALUE(TEXT(AH515,"h:mm:ss")),IF($C$6="Laboral",[1]Input!$A$4:$Y$227,IF($C$6="Sábado",[1]Input!$A$231:$Y$452,[1]Input!$A$456:$Y$656)),VLOOKUP($C$4,[1]Input!$AG$2:$AI$99,3,0)+IF(AD$5="Ida",0,1),1),"")</f>
        <v>#N/A</v>
      </c>
      <c r="AL515" s="34" t="str">
        <f>IF(AB516&lt;&gt;AB515,AVERAGEIF(AB$9:AB515,AB515,AK$9:AK515),"")</f>
        <v/>
      </c>
      <c r="AM515" s="35" t="str">
        <f>IFERROR(IF(AB516&lt;&gt;AB515,AVERAGEIF(AB$9:AB515,AB515,AT$9:AT515),""),"")</f>
        <v/>
      </c>
      <c r="AN515" s="35" t="str">
        <f>IFERROR(IF(AB516&lt;&gt;AB515,AVERAGEIF(AB$9:AB515,AB515,AU$9:AU515),""),"")</f>
        <v/>
      </c>
      <c r="AO515" s="35" t="str" cm="1">
        <f t="array" ref="AO515">IFERROR(IF(AB516&lt;&gt;AB515,_xlfn.STDEV.P(IF(AB$9:AB515=AB515,AU$9:AU515)),""),"")</f>
        <v/>
      </c>
      <c r="AP515" s="35" t="str" cm="1">
        <f t="array" ref="AP515">IFERROR(IF(AB516&lt;&gt;AB515,_xlfn.STDEV.P(IF(AB$9:AB515=AB515,AT$9:AT515)),""),"")</f>
        <v/>
      </c>
      <c r="AQ515" s="36" t="str">
        <f t="shared" si="113"/>
        <v/>
      </c>
      <c r="AR515" s="36" t="str">
        <f t="shared" si="114"/>
        <v/>
      </c>
      <c r="AS515" s="36" t="str">
        <f t="shared" si="123"/>
        <v/>
      </c>
      <c r="AT515" s="37" t="str">
        <f t="shared" si="115"/>
        <v/>
      </c>
      <c r="AU515" s="37" t="str">
        <f t="shared" si="116"/>
        <v/>
      </c>
      <c r="AV515" s="54"/>
      <c r="AW515" s="46"/>
      <c r="AX515" s="39" t="str" cm="1">
        <f t="array" ref="AX515">IF(AH515&lt;&gt;"",IF(AND(AX513:AX514&lt;&gt;"IE",AQ515&lt;&gt;0,AS515&lt;&gt;""),IF(IFERROR((AQ515/AS515),0) &lt;=1,IFERROR(AQ515/AS515,""),1),""),"")</f>
        <v/>
      </c>
      <c r="AY515" s="46"/>
      <c r="AZ515" s="57"/>
    </row>
    <row r="516" spans="1:52" ht="15.5" x14ac:dyDescent="0.35">
      <c r="A516" s="51">
        <f t="shared" si="124"/>
        <v>1</v>
      </c>
      <c r="B516" s="52"/>
      <c r="C516" s="52"/>
      <c r="D516" s="29" t="str">
        <f>IFERROR(
IF(AND(OR(Planilla!B516="C",Planilla!B516="c"), VLOOKUP(E516,[1]Diccionario!B:N,13,0)="C"), "OK",IF(AND(OR(Planilla!B516="C",Planilla!B516="c"), OR(VLOOKUP(E516,[1]Diccionario!B:N,13,0)="B", VLOOKUP(E516,[1]Diccionario!B:N,13,0)="A")), "DEFICIT",IF(
AND(OR(Planilla!B516="B", Planilla!B516="BPAL"), VLOOKUP(E516,[1]Diccionario!B:N,13,0)="B"), "OK",IF(AND(OR(Planilla!B516="B", Planilla!B516="BPAL"), VLOOKUP(E516,[1]Diccionario!B:N,13,0)="A"), "DEFICIT",IF(AND(OR(Planilla!B516="B", Planilla!B516="BPAL"), VLOOKUP(E516,[1]Diccionario!B:N,13,0)="C"), "SOBREOFERTA",IF(AND(Planilla!B516="A", VLOOKUP(E516,[1]Diccionario!B:N,13,0)="A"), "OK",IF(
AND(Planilla!B516="A", OR(VLOOKUP(E516,[1]Diccionario!B:N,13,0)="B", VLOOKUP(E516,[1]Diccionario!B:N,13,0)="C")), "SOBREOFERTA",""
))))))),"")</f>
        <v/>
      </c>
      <c r="E516" s="48"/>
      <c r="F516" s="53"/>
      <c r="G516" s="54"/>
      <c r="H516" s="55" t="str">
        <f t="shared" si="117"/>
        <v/>
      </c>
      <c r="I516" s="35"/>
      <c r="J516" s="34" t="e">
        <f>IF(A516&lt;&gt;"",HLOOKUP(VALUE(TEXT(G516,"h:mm:ss")),IF($C$6="Laboral",[1]Input!$A$4:$Y$227,IF($C$6="Sábado",[1]Input!$A$231:$Y$452,[1]Input!$A$456:$Y$656)),VLOOKUP($C$4,[1]Input!$AG$2:$AI$99,3,0)+IF(C$5="Ida",0,1),1),"")</f>
        <v>#N/A</v>
      </c>
      <c r="K516" s="34" t="str">
        <f>IF(A517&lt;&gt;A516,AVERAGEIF(A$9:A516,A516,J$13:J516),"")</f>
        <v/>
      </c>
      <c r="L516" s="35" t="str">
        <f>IFERROR(IF(A517&lt;&gt;A516,AVERAGEIF(A$9:A516,A516,S$13:S516),""),"")</f>
        <v/>
      </c>
      <c r="M516" s="35" t="str">
        <f>IFERROR(IF(A517&lt;&gt;A516,AVERAGEIF(A$9:A516,A516,T$8:T516),""),"")</f>
        <v/>
      </c>
      <c r="N516" s="35" t="str" cm="1">
        <f t="array" ref="N516">IFERROR(IF(A517&lt;&gt;A516,_xlfn.STDEV.P(IF(A$9:A516=A516,T$7:T516)),""),"")</f>
        <v/>
      </c>
      <c r="O516" s="35" t="str" cm="1">
        <f t="array" ref="O516">IFERROR(IF(A517&lt;&gt;A516,_xlfn.STDEV.P(IF(A$9:A516=A516,S$7:S516)),""),"")</f>
        <v/>
      </c>
      <c r="P516" s="36" t="str">
        <f t="shared" si="110"/>
        <v/>
      </c>
      <c r="Q516" s="36" t="str">
        <f t="shared" si="111"/>
        <v/>
      </c>
      <c r="R516" s="36" t="str">
        <f t="shared" si="118"/>
        <v/>
      </c>
      <c r="S516" s="37" t="str">
        <f t="shared" si="119"/>
        <v/>
      </c>
      <c r="T516" s="37" t="str">
        <f t="shared" si="112"/>
        <v/>
      </c>
      <c r="U516" s="54"/>
      <c r="V516" s="46"/>
      <c r="W516" s="39" t="str">
        <f t="shared" si="120"/>
        <v/>
      </c>
      <c r="X516" s="38"/>
      <c r="Y516" s="48"/>
      <c r="AB516" s="56">
        <f t="shared" si="121"/>
        <v>1</v>
      </c>
      <c r="AC516" s="52"/>
      <c r="AD516" s="52"/>
      <c r="AE516" s="29" t="str">
        <f>IFERROR(
IF(AND(OR(AC516="C",AC516="c"), VLOOKUP(AF516,[1]Diccionario!B:N,13,0)="C"), "OK",IF(AND(OR(AC516="C",AC516="c"), OR(VLOOKUP(AF516,[1]Diccionario!B:N,13,0)="B", VLOOKUP(AF516,[1]Diccionario!B:N,13,0)="A")), "DEFICIT",IF(
AND(OR(AC516="B", AC516="BPAL"), VLOOKUP(AF516,[1]Diccionario!B:N,13,0)="B"), "OK",IF(AND(OR(AC516="B", AC516="BPAL"), VLOOKUP(AF516,[1]Diccionario!B:N,13,0)="A"), "DEFICIT",IF(AND(OR(AC516="B", AC516="BPAL"), VLOOKUP(AF516,[1]Diccionario!B:N,13,0)="C"), "SOBREOFERTA",IF(AND(AC516="A", VLOOKUP(AF516,[1]Diccionario!B:N,13,0)="A"), "OK",IF(
AND(AC516="A", OR(VLOOKUP(AF516,[1]Diccionario!B:N,13,0)="B", VLOOKUP(AF516,[1]Diccionario!B:N,13,0)="C")), "SOBREOFERTA",""
))))))),"")</f>
        <v/>
      </c>
      <c r="AF516" s="48"/>
      <c r="AG516" s="53"/>
      <c r="AH516" s="54"/>
      <c r="AI516" s="55" t="str">
        <f t="shared" si="122"/>
        <v/>
      </c>
      <c r="AJ516" s="46"/>
      <c r="AK516" s="34" t="e">
        <f>IF(AB516&lt;&gt;"",HLOOKUP(VALUE(TEXT(AH516,"h:mm:ss")),IF($C$6="Laboral",[1]Input!$A$4:$Y$227,IF($C$6="Sábado",[1]Input!$A$231:$Y$452,[1]Input!$A$456:$Y$656)),VLOOKUP($C$4,[1]Input!$AG$2:$AI$99,3,0)+IF(AD$5="Ida",0,1),1),"")</f>
        <v>#N/A</v>
      </c>
      <c r="AL516" s="34" t="str">
        <f>IF(AB517&lt;&gt;AB516,AVERAGEIF(AB$9:AB516,AB516,AK$9:AK516),"")</f>
        <v/>
      </c>
      <c r="AM516" s="35" t="str">
        <f>IFERROR(IF(AB517&lt;&gt;AB516,AVERAGEIF(AB$9:AB516,AB516,AT$9:AT516),""),"")</f>
        <v/>
      </c>
      <c r="AN516" s="35" t="str">
        <f>IFERROR(IF(AB517&lt;&gt;AB516,AVERAGEIF(AB$9:AB516,AB516,AU$9:AU516),""),"")</f>
        <v/>
      </c>
      <c r="AO516" s="35" t="str" cm="1">
        <f t="array" ref="AO516">IFERROR(IF(AB517&lt;&gt;AB516,_xlfn.STDEV.P(IF(AB$9:AB516=AB516,AU$9:AU516)),""),"")</f>
        <v/>
      </c>
      <c r="AP516" s="35" t="str" cm="1">
        <f t="array" ref="AP516">IFERROR(IF(AB517&lt;&gt;AB516,_xlfn.STDEV.P(IF(AB$9:AB516=AB516,AT$9:AT516)),""),"")</f>
        <v/>
      </c>
      <c r="AQ516" s="36" t="str">
        <f t="shared" si="113"/>
        <v/>
      </c>
      <c r="AR516" s="36" t="str">
        <f t="shared" si="114"/>
        <v/>
      </c>
      <c r="AS516" s="36" t="str">
        <f t="shared" si="123"/>
        <v/>
      </c>
      <c r="AT516" s="37" t="str">
        <f t="shared" si="115"/>
        <v/>
      </c>
      <c r="AU516" s="37" t="str">
        <f t="shared" si="116"/>
        <v/>
      </c>
      <c r="AV516" s="54"/>
      <c r="AW516" s="46"/>
      <c r="AX516" s="39" t="str" cm="1">
        <f t="array" ref="AX516">IF(AH516&lt;&gt;"",IF(AND(AX514:AX515&lt;&gt;"IE",AQ516&lt;&gt;0,AS516&lt;&gt;""),IF(IFERROR((AQ516/AS516),0) &lt;=1,IFERROR(AQ516/AS516,""),1),""),"")</f>
        <v/>
      </c>
      <c r="AY516" s="46"/>
      <c r="AZ516" s="57"/>
    </row>
    <row r="517" spans="1:52" ht="15.5" x14ac:dyDescent="0.35">
      <c r="A517" s="51">
        <f t="shared" si="124"/>
        <v>1</v>
      </c>
      <c r="B517" s="52"/>
      <c r="C517" s="52"/>
      <c r="D517" s="29" t="str">
        <f>IFERROR(
IF(AND(OR(Planilla!B517="C",Planilla!B517="c"), VLOOKUP(E517,[1]Diccionario!B:N,13,0)="C"), "OK",IF(AND(OR(Planilla!B517="C",Planilla!B517="c"), OR(VLOOKUP(E517,[1]Diccionario!B:N,13,0)="B", VLOOKUP(E517,[1]Diccionario!B:N,13,0)="A")), "DEFICIT",IF(
AND(OR(Planilla!B517="B", Planilla!B517="BPAL"), VLOOKUP(E517,[1]Diccionario!B:N,13,0)="B"), "OK",IF(AND(OR(Planilla!B517="B", Planilla!B517="BPAL"), VLOOKUP(E517,[1]Diccionario!B:N,13,0)="A"), "DEFICIT",IF(AND(OR(Planilla!B517="B", Planilla!B517="BPAL"), VLOOKUP(E517,[1]Diccionario!B:N,13,0)="C"), "SOBREOFERTA",IF(AND(Planilla!B517="A", VLOOKUP(E517,[1]Diccionario!B:N,13,0)="A"), "OK",IF(
AND(Planilla!B517="A", OR(VLOOKUP(E517,[1]Diccionario!B:N,13,0)="B", VLOOKUP(E517,[1]Diccionario!B:N,13,0)="C")), "SOBREOFERTA",""
))))))),"")</f>
        <v/>
      </c>
      <c r="E517" s="48"/>
      <c r="F517" s="53"/>
      <c r="G517" s="54"/>
      <c r="H517" s="55" t="str">
        <f t="shared" si="117"/>
        <v/>
      </c>
      <c r="I517" s="35"/>
      <c r="J517" s="34" t="e">
        <f>IF(A517&lt;&gt;"",HLOOKUP(VALUE(TEXT(G517,"h:mm:ss")),IF($C$6="Laboral",[1]Input!$A$4:$Y$227,IF($C$6="Sábado",[1]Input!$A$231:$Y$452,[1]Input!$A$456:$Y$656)),VLOOKUP($C$4,[1]Input!$AG$2:$AI$99,3,0)+IF(C$5="Ida",0,1),1),"")</f>
        <v>#N/A</v>
      </c>
      <c r="K517" s="34" t="str">
        <f>IF(A518&lt;&gt;A517,AVERAGEIF(A$9:A517,A517,J$13:J517),"")</f>
        <v/>
      </c>
      <c r="L517" s="35" t="str">
        <f>IFERROR(IF(A518&lt;&gt;A517,AVERAGEIF(A$9:A517,A517,S$13:S517),""),"")</f>
        <v/>
      </c>
      <c r="M517" s="35" t="str">
        <f>IFERROR(IF(A518&lt;&gt;A517,AVERAGEIF(A$9:A517,A517,T$8:T517),""),"")</f>
        <v/>
      </c>
      <c r="N517" s="35" t="str" cm="1">
        <f t="array" ref="N517">IFERROR(IF(A518&lt;&gt;A517,_xlfn.STDEV.P(IF(A$9:A517=A517,T$7:T517)),""),"")</f>
        <v/>
      </c>
      <c r="O517" s="35" t="str" cm="1">
        <f t="array" ref="O517">IFERROR(IF(A518&lt;&gt;A517,_xlfn.STDEV.P(IF(A$9:A517=A517,S$7:S517)),""),"")</f>
        <v/>
      </c>
      <c r="P517" s="36" t="str">
        <f t="shared" si="110"/>
        <v/>
      </c>
      <c r="Q517" s="36" t="str">
        <f t="shared" si="111"/>
        <v/>
      </c>
      <c r="R517" s="36" t="str">
        <f t="shared" si="118"/>
        <v/>
      </c>
      <c r="S517" s="37" t="str">
        <f t="shared" si="119"/>
        <v/>
      </c>
      <c r="T517" s="37" t="str">
        <f t="shared" si="112"/>
        <v/>
      </c>
      <c r="U517" s="54"/>
      <c r="V517" s="46"/>
      <c r="W517" s="39" t="str">
        <f t="shared" si="120"/>
        <v/>
      </c>
      <c r="X517" s="38"/>
      <c r="Y517" s="48"/>
      <c r="AB517" s="56">
        <f t="shared" si="121"/>
        <v>1</v>
      </c>
      <c r="AC517" s="52"/>
      <c r="AD517" s="52"/>
      <c r="AE517" s="29" t="str">
        <f>IFERROR(
IF(AND(OR(AC517="C",AC517="c"), VLOOKUP(AF517,[1]Diccionario!B:N,13,0)="C"), "OK",IF(AND(OR(AC517="C",AC517="c"), OR(VLOOKUP(AF517,[1]Diccionario!B:N,13,0)="B", VLOOKUP(AF517,[1]Diccionario!B:N,13,0)="A")), "DEFICIT",IF(
AND(OR(AC517="B", AC517="BPAL"), VLOOKUP(AF517,[1]Diccionario!B:N,13,0)="B"), "OK",IF(AND(OR(AC517="B", AC517="BPAL"), VLOOKUP(AF517,[1]Diccionario!B:N,13,0)="A"), "DEFICIT",IF(AND(OR(AC517="B", AC517="BPAL"), VLOOKUP(AF517,[1]Diccionario!B:N,13,0)="C"), "SOBREOFERTA",IF(AND(AC517="A", VLOOKUP(AF517,[1]Diccionario!B:N,13,0)="A"), "OK",IF(
AND(AC517="A", OR(VLOOKUP(AF517,[1]Diccionario!B:N,13,0)="B", VLOOKUP(AF517,[1]Diccionario!B:N,13,0)="C")), "SOBREOFERTA",""
))))))),"")</f>
        <v/>
      </c>
      <c r="AF517" s="48"/>
      <c r="AG517" s="53"/>
      <c r="AH517" s="54"/>
      <c r="AI517" s="55" t="str">
        <f t="shared" si="122"/>
        <v/>
      </c>
      <c r="AJ517" s="46"/>
      <c r="AK517" s="34" t="e">
        <f>IF(AB517&lt;&gt;"",HLOOKUP(VALUE(TEXT(AH517,"h:mm:ss")),IF($C$6="Laboral",[1]Input!$A$4:$Y$227,IF($C$6="Sábado",[1]Input!$A$231:$Y$452,[1]Input!$A$456:$Y$656)),VLOOKUP($C$4,[1]Input!$AG$2:$AI$99,3,0)+IF(AD$5="Ida",0,1),1),"")</f>
        <v>#N/A</v>
      </c>
      <c r="AL517" s="34" t="str">
        <f>IF(AB518&lt;&gt;AB517,AVERAGEIF(AB$9:AB517,AB517,AK$9:AK517),"")</f>
        <v/>
      </c>
      <c r="AM517" s="35" t="str">
        <f>IFERROR(IF(AB518&lt;&gt;AB517,AVERAGEIF(AB$9:AB517,AB517,AT$9:AT517),""),"")</f>
        <v/>
      </c>
      <c r="AN517" s="35" t="str">
        <f>IFERROR(IF(AB518&lt;&gt;AB517,AVERAGEIF(AB$9:AB517,AB517,AU$9:AU517),""),"")</f>
        <v/>
      </c>
      <c r="AO517" s="35" t="str" cm="1">
        <f t="array" ref="AO517">IFERROR(IF(AB518&lt;&gt;AB517,_xlfn.STDEV.P(IF(AB$9:AB517=AB517,AU$9:AU517)),""),"")</f>
        <v/>
      </c>
      <c r="AP517" s="35" t="str" cm="1">
        <f t="array" ref="AP517">IFERROR(IF(AB518&lt;&gt;AB517,_xlfn.STDEV.P(IF(AB$9:AB517=AB517,AT$9:AT517)),""),"")</f>
        <v/>
      </c>
      <c r="AQ517" s="36" t="str">
        <f t="shared" si="113"/>
        <v/>
      </c>
      <c r="AR517" s="36" t="str">
        <f t="shared" si="114"/>
        <v/>
      </c>
      <c r="AS517" s="36" t="str">
        <f t="shared" si="123"/>
        <v/>
      </c>
      <c r="AT517" s="37" t="str">
        <f t="shared" si="115"/>
        <v/>
      </c>
      <c r="AU517" s="37" t="str">
        <f t="shared" si="116"/>
        <v/>
      </c>
      <c r="AV517" s="54"/>
      <c r="AW517" s="46"/>
      <c r="AX517" s="39" t="str" cm="1">
        <f t="array" ref="AX517">IF(AH517&lt;&gt;"",IF(AND(AX515:AX516&lt;&gt;"IE",AQ517&lt;&gt;0,AS517&lt;&gt;""),IF(IFERROR((AQ517/AS517),0) &lt;=1,IFERROR(AQ517/AS517,""),1),""),"")</f>
        <v/>
      </c>
      <c r="AY517" s="46"/>
      <c r="AZ517" s="57"/>
    </row>
    <row r="518" spans="1:52" ht="15.5" x14ac:dyDescent="0.35">
      <c r="A518" s="51">
        <f t="shared" si="124"/>
        <v>1</v>
      </c>
      <c r="B518" s="52"/>
      <c r="C518" s="52"/>
      <c r="D518" s="29" t="str">
        <f>IFERROR(
IF(AND(OR(Planilla!B518="C",Planilla!B518="c"), VLOOKUP(E518,[1]Diccionario!B:N,13,0)="C"), "OK",IF(AND(OR(Planilla!B518="C",Planilla!B518="c"), OR(VLOOKUP(E518,[1]Diccionario!B:N,13,0)="B", VLOOKUP(E518,[1]Diccionario!B:N,13,0)="A")), "DEFICIT",IF(
AND(OR(Planilla!B518="B", Planilla!B518="BPAL"), VLOOKUP(E518,[1]Diccionario!B:N,13,0)="B"), "OK",IF(AND(OR(Planilla!B518="B", Planilla!B518="BPAL"), VLOOKUP(E518,[1]Diccionario!B:N,13,0)="A"), "DEFICIT",IF(AND(OR(Planilla!B518="B", Planilla!B518="BPAL"), VLOOKUP(E518,[1]Diccionario!B:N,13,0)="C"), "SOBREOFERTA",IF(AND(Planilla!B518="A", VLOOKUP(E518,[1]Diccionario!B:N,13,0)="A"), "OK",IF(
AND(Planilla!B518="A", OR(VLOOKUP(E518,[1]Diccionario!B:N,13,0)="B", VLOOKUP(E518,[1]Diccionario!B:N,13,0)="C")), "SOBREOFERTA",""
))))))),"")</f>
        <v/>
      </c>
      <c r="E518" s="48"/>
      <c r="F518" s="53"/>
      <c r="G518" s="54"/>
      <c r="H518" s="55" t="str">
        <f t="shared" si="117"/>
        <v/>
      </c>
      <c r="I518" s="35"/>
      <c r="J518" s="34" t="e">
        <f>IF(A518&lt;&gt;"",HLOOKUP(VALUE(TEXT(G518,"h:mm:ss")),IF($C$6="Laboral",[1]Input!$A$4:$Y$227,IF($C$6="Sábado",[1]Input!$A$231:$Y$452,[1]Input!$A$456:$Y$656)),VLOOKUP($C$4,[1]Input!$AG$2:$AI$99,3,0)+IF(C$5="Ida",0,1),1),"")</f>
        <v>#N/A</v>
      </c>
      <c r="K518" s="34" t="str">
        <f>IF(A519&lt;&gt;A518,AVERAGEIF(A$9:A518,A518,J$13:J518),"")</f>
        <v/>
      </c>
      <c r="L518" s="35" t="str">
        <f>IFERROR(IF(A519&lt;&gt;A518,AVERAGEIF(A$9:A518,A518,S$13:S518),""),"")</f>
        <v/>
      </c>
      <c r="M518" s="35" t="str">
        <f>IFERROR(IF(A519&lt;&gt;A518,AVERAGEIF(A$9:A518,A518,T$8:T518),""),"")</f>
        <v/>
      </c>
      <c r="N518" s="35" t="str" cm="1">
        <f t="array" ref="N518">IFERROR(IF(A519&lt;&gt;A518,_xlfn.STDEV.P(IF(A$9:A518=A518,T$7:T518)),""),"")</f>
        <v/>
      </c>
      <c r="O518" s="35" t="str" cm="1">
        <f t="array" ref="O518">IFERROR(IF(A519&lt;&gt;A518,_xlfn.STDEV.P(IF(A$9:A518=A518,S$7:S518)),""),"")</f>
        <v/>
      </c>
      <c r="P518" s="36" t="str">
        <f t="shared" si="110"/>
        <v/>
      </c>
      <c r="Q518" s="36" t="str">
        <f t="shared" si="111"/>
        <v/>
      </c>
      <c r="R518" s="36" t="str">
        <f t="shared" si="118"/>
        <v/>
      </c>
      <c r="S518" s="37" t="str">
        <f t="shared" si="119"/>
        <v/>
      </c>
      <c r="T518" s="37" t="str">
        <f t="shared" si="112"/>
        <v/>
      </c>
      <c r="U518" s="54"/>
      <c r="V518" s="46"/>
      <c r="W518" s="39" t="str">
        <f t="shared" si="120"/>
        <v/>
      </c>
      <c r="X518" s="38"/>
      <c r="Y518" s="48"/>
      <c r="AB518" s="56">
        <f t="shared" si="121"/>
        <v>1</v>
      </c>
      <c r="AC518" s="52"/>
      <c r="AD518" s="52"/>
      <c r="AE518" s="29" t="str">
        <f>IFERROR(
IF(AND(OR(AC518="C",AC518="c"), VLOOKUP(AF518,[1]Diccionario!B:N,13,0)="C"), "OK",IF(AND(OR(AC518="C",AC518="c"), OR(VLOOKUP(AF518,[1]Diccionario!B:N,13,0)="B", VLOOKUP(AF518,[1]Diccionario!B:N,13,0)="A")), "DEFICIT",IF(
AND(OR(AC518="B", AC518="BPAL"), VLOOKUP(AF518,[1]Diccionario!B:N,13,0)="B"), "OK",IF(AND(OR(AC518="B", AC518="BPAL"), VLOOKUP(AF518,[1]Diccionario!B:N,13,0)="A"), "DEFICIT",IF(AND(OR(AC518="B", AC518="BPAL"), VLOOKUP(AF518,[1]Diccionario!B:N,13,0)="C"), "SOBREOFERTA",IF(AND(AC518="A", VLOOKUP(AF518,[1]Diccionario!B:N,13,0)="A"), "OK",IF(
AND(AC518="A", OR(VLOOKUP(AF518,[1]Diccionario!B:N,13,0)="B", VLOOKUP(AF518,[1]Diccionario!B:N,13,0)="C")), "SOBREOFERTA",""
))))))),"")</f>
        <v/>
      </c>
      <c r="AF518" s="48"/>
      <c r="AG518" s="53"/>
      <c r="AH518" s="54"/>
      <c r="AI518" s="55" t="str">
        <f t="shared" si="122"/>
        <v/>
      </c>
      <c r="AJ518" s="46"/>
      <c r="AK518" s="34" t="e">
        <f>IF(AB518&lt;&gt;"",HLOOKUP(VALUE(TEXT(AH518,"h:mm:ss")),IF($C$6="Laboral",[1]Input!$A$4:$Y$227,IF($C$6="Sábado",[1]Input!$A$231:$Y$452,[1]Input!$A$456:$Y$656)),VLOOKUP($C$4,[1]Input!$AG$2:$AI$99,3,0)+IF(AD$5="Ida",0,1),1),"")</f>
        <v>#N/A</v>
      </c>
      <c r="AL518" s="34" t="str">
        <f>IF(AB519&lt;&gt;AB518,AVERAGEIF(AB$9:AB518,AB518,AK$9:AK518),"")</f>
        <v/>
      </c>
      <c r="AM518" s="35" t="str">
        <f>IFERROR(IF(AB519&lt;&gt;AB518,AVERAGEIF(AB$9:AB518,AB518,AT$9:AT518),""),"")</f>
        <v/>
      </c>
      <c r="AN518" s="35" t="str">
        <f>IFERROR(IF(AB519&lt;&gt;AB518,AVERAGEIF(AB$9:AB518,AB518,AU$9:AU518),""),"")</f>
        <v/>
      </c>
      <c r="AO518" s="35" t="str" cm="1">
        <f t="array" ref="AO518">IFERROR(IF(AB519&lt;&gt;AB518,_xlfn.STDEV.P(IF(AB$9:AB518=AB518,AU$9:AU518)),""),"")</f>
        <v/>
      </c>
      <c r="AP518" s="35" t="str" cm="1">
        <f t="array" ref="AP518">IFERROR(IF(AB519&lt;&gt;AB518,_xlfn.STDEV.P(IF(AB$9:AB518=AB518,AT$9:AT518)),""),"")</f>
        <v/>
      </c>
      <c r="AQ518" s="36" t="str">
        <f t="shared" si="113"/>
        <v/>
      </c>
      <c r="AR518" s="36" t="str">
        <f t="shared" si="114"/>
        <v/>
      </c>
      <c r="AS518" s="36" t="str">
        <f t="shared" si="123"/>
        <v/>
      </c>
      <c r="AT518" s="37" t="str">
        <f t="shared" si="115"/>
        <v/>
      </c>
      <c r="AU518" s="37" t="str">
        <f t="shared" si="116"/>
        <v/>
      </c>
      <c r="AV518" s="54"/>
      <c r="AW518" s="46"/>
      <c r="AX518" s="39" t="str" cm="1">
        <f t="array" ref="AX518">IF(AH518&lt;&gt;"",IF(AND(AX516:AX517&lt;&gt;"IE",AQ518&lt;&gt;0,AS518&lt;&gt;""),IF(IFERROR((AQ518/AS518),0) &lt;=1,IFERROR(AQ518/AS518,""),1),""),"")</f>
        <v/>
      </c>
      <c r="AY518" s="46"/>
      <c r="AZ518" s="57"/>
    </row>
    <row r="519" spans="1:52" ht="15.5" x14ac:dyDescent="0.35">
      <c r="A519" s="51">
        <f t="shared" si="124"/>
        <v>1</v>
      </c>
      <c r="B519" s="52"/>
      <c r="C519" s="52"/>
      <c r="D519" s="29" t="str">
        <f>IFERROR(
IF(AND(OR(Planilla!B519="C",Planilla!B519="c"), VLOOKUP(E519,[1]Diccionario!B:N,13,0)="C"), "OK",IF(AND(OR(Planilla!B519="C",Planilla!B519="c"), OR(VLOOKUP(E519,[1]Diccionario!B:N,13,0)="B", VLOOKUP(E519,[1]Diccionario!B:N,13,0)="A")), "DEFICIT",IF(
AND(OR(Planilla!B519="B", Planilla!B519="BPAL"), VLOOKUP(E519,[1]Diccionario!B:N,13,0)="B"), "OK",IF(AND(OR(Planilla!B519="B", Planilla!B519="BPAL"), VLOOKUP(E519,[1]Diccionario!B:N,13,0)="A"), "DEFICIT",IF(AND(OR(Planilla!B519="B", Planilla!B519="BPAL"), VLOOKUP(E519,[1]Diccionario!B:N,13,0)="C"), "SOBREOFERTA",IF(AND(Planilla!B519="A", VLOOKUP(E519,[1]Diccionario!B:N,13,0)="A"), "OK",IF(
AND(Planilla!B519="A", OR(VLOOKUP(E519,[1]Diccionario!B:N,13,0)="B", VLOOKUP(E519,[1]Diccionario!B:N,13,0)="C")), "SOBREOFERTA",""
))))))),"")</f>
        <v/>
      </c>
      <c r="E519" s="48"/>
      <c r="F519" s="53"/>
      <c r="G519" s="54"/>
      <c r="H519" s="55" t="str">
        <f t="shared" si="117"/>
        <v/>
      </c>
      <c r="I519" s="35"/>
      <c r="J519" s="34" t="e">
        <f>IF(A519&lt;&gt;"",HLOOKUP(VALUE(TEXT(G519,"h:mm:ss")),IF($C$6="Laboral",[1]Input!$A$4:$Y$227,IF($C$6="Sábado",[1]Input!$A$231:$Y$452,[1]Input!$A$456:$Y$656)),VLOOKUP($C$4,[1]Input!$AG$2:$AI$99,3,0)+IF(C$5="Ida",0,1),1),"")</f>
        <v>#N/A</v>
      </c>
      <c r="K519" s="34" t="str">
        <f>IF(A520&lt;&gt;A519,AVERAGEIF(A$9:A519,A519,J$13:J519),"")</f>
        <v/>
      </c>
      <c r="L519" s="35" t="str">
        <f>IFERROR(IF(A520&lt;&gt;A519,AVERAGEIF(A$9:A519,A519,S$13:S519),""),"")</f>
        <v/>
      </c>
      <c r="M519" s="35" t="str">
        <f>IFERROR(IF(A520&lt;&gt;A519,AVERAGEIF(A$9:A519,A519,T$8:T519),""),"")</f>
        <v/>
      </c>
      <c r="N519" s="35" t="str" cm="1">
        <f t="array" ref="N519">IFERROR(IF(A520&lt;&gt;A519,_xlfn.STDEV.P(IF(A$9:A519=A519,T$7:T519)),""),"")</f>
        <v/>
      </c>
      <c r="O519" s="35" t="str" cm="1">
        <f t="array" ref="O519">IFERROR(IF(A520&lt;&gt;A519,_xlfn.STDEV.P(IF(A$9:A519=A519,S$7:S519)),""),"")</f>
        <v/>
      </c>
      <c r="P519" s="36" t="str">
        <f t="shared" si="110"/>
        <v/>
      </c>
      <c r="Q519" s="36" t="str">
        <f t="shared" si="111"/>
        <v/>
      </c>
      <c r="R519" s="36" t="str">
        <f t="shared" si="118"/>
        <v/>
      </c>
      <c r="S519" s="37" t="str">
        <f t="shared" si="119"/>
        <v/>
      </c>
      <c r="T519" s="37" t="str">
        <f t="shared" si="112"/>
        <v/>
      </c>
      <c r="U519" s="54"/>
      <c r="V519" s="46"/>
      <c r="W519" s="39" t="str">
        <f t="shared" si="120"/>
        <v/>
      </c>
      <c r="X519" s="38"/>
      <c r="Y519" s="48"/>
      <c r="AB519" s="56">
        <f t="shared" si="121"/>
        <v>1</v>
      </c>
      <c r="AC519" s="52"/>
      <c r="AD519" s="52"/>
      <c r="AE519" s="29" t="str">
        <f>IFERROR(
IF(AND(OR(AC519="C",AC519="c"), VLOOKUP(AF519,[1]Diccionario!B:N,13,0)="C"), "OK",IF(AND(OR(AC519="C",AC519="c"), OR(VLOOKUP(AF519,[1]Diccionario!B:N,13,0)="B", VLOOKUP(AF519,[1]Diccionario!B:N,13,0)="A")), "DEFICIT",IF(
AND(OR(AC519="B", AC519="BPAL"), VLOOKUP(AF519,[1]Diccionario!B:N,13,0)="B"), "OK",IF(AND(OR(AC519="B", AC519="BPAL"), VLOOKUP(AF519,[1]Diccionario!B:N,13,0)="A"), "DEFICIT",IF(AND(OR(AC519="B", AC519="BPAL"), VLOOKUP(AF519,[1]Diccionario!B:N,13,0)="C"), "SOBREOFERTA",IF(AND(AC519="A", VLOOKUP(AF519,[1]Diccionario!B:N,13,0)="A"), "OK",IF(
AND(AC519="A", OR(VLOOKUP(AF519,[1]Diccionario!B:N,13,0)="B", VLOOKUP(AF519,[1]Diccionario!B:N,13,0)="C")), "SOBREOFERTA",""
))))))),"")</f>
        <v/>
      </c>
      <c r="AF519" s="48"/>
      <c r="AG519" s="53"/>
      <c r="AH519" s="54"/>
      <c r="AI519" s="55" t="str">
        <f t="shared" si="122"/>
        <v/>
      </c>
      <c r="AJ519" s="46"/>
      <c r="AK519" s="34" t="e">
        <f>IF(AB519&lt;&gt;"",HLOOKUP(VALUE(TEXT(AH519,"h:mm:ss")),IF($C$6="Laboral",[1]Input!$A$4:$Y$227,IF($C$6="Sábado",[1]Input!$A$231:$Y$452,[1]Input!$A$456:$Y$656)),VLOOKUP($C$4,[1]Input!$AG$2:$AI$99,3,0)+IF(AD$5="Ida",0,1),1),"")</f>
        <v>#N/A</v>
      </c>
      <c r="AL519" s="34" t="str">
        <f>IF(AB520&lt;&gt;AB519,AVERAGEIF(AB$9:AB519,AB519,AK$9:AK519),"")</f>
        <v/>
      </c>
      <c r="AM519" s="35" t="str">
        <f>IFERROR(IF(AB520&lt;&gt;AB519,AVERAGEIF(AB$9:AB519,AB519,AT$9:AT519),""),"")</f>
        <v/>
      </c>
      <c r="AN519" s="35" t="str">
        <f>IFERROR(IF(AB520&lt;&gt;AB519,AVERAGEIF(AB$9:AB519,AB519,AU$9:AU519),""),"")</f>
        <v/>
      </c>
      <c r="AO519" s="35" t="str" cm="1">
        <f t="array" ref="AO519">IFERROR(IF(AB520&lt;&gt;AB519,_xlfn.STDEV.P(IF(AB$9:AB519=AB519,AU$9:AU519)),""),"")</f>
        <v/>
      </c>
      <c r="AP519" s="35" t="str" cm="1">
        <f t="array" ref="AP519">IFERROR(IF(AB520&lt;&gt;AB519,_xlfn.STDEV.P(IF(AB$9:AB519=AB519,AT$9:AT519)),""),"")</f>
        <v/>
      </c>
      <c r="AQ519" s="36" t="str">
        <f t="shared" si="113"/>
        <v/>
      </c>
      <c r="AR519" s="36" t="str">
        <f t="shared" si="114"/>
        <v/>
      </c>
      <c r="AS519" s="36" t="str">
        <f t="shared" si="123"/>
        <v/>
      </c>
      <c r="AT519" s="37" t="str">
        <f t="shared" si="115"/>
        <v/>
      </c>
      <c r="AU519" s="37" t="str">
        <f t="shared" si="116"/>
        <v/>
      </c>
      <c r="AV519" s="54"/>
      <c r="AW519" s="46"/>
      <c r="AX519" s="39" t="str" cm="1">
        <f t="array" ref="AX519">IF(AH519&lt;&gt;"",IF(AND(AX517:AX518&lt;&gt;"IE",AQ519&lt;&gt;0,AS519&lt;&gt;""),IF(IFERROR((AQ519/AS519),0) &lt;=1,IFERROR(AQ519/AS519,""),1),""),"")</f>
        <v/>
      </c>
      <c r="AY519" s="46"/>
      <c r="AZ519" s="57"/>
    </row>
    <row r="520" spans="1:52" ht="15.5" x14ac:dyDescent="0.35">
      <c r="A520" s="51">
        <f t="shared" si="124"/>
        <v>1</v>
      </c>
      <c r="B520" s="52"/>
      <c r="C520" s="52"/>
      <c r="D520" s="29" t="str">
        <f>IFERROR(
IF(AND(OR(Planilla!B520="C",Planilla!B520="c"), VLOOKUP(E520,[1]Diccionario!B:N,13,0)="C"), "OK",IF(AND(OR(Planilla!B520="C",Planilla!B520="c"), OR(VLOOKUP(E520,[1]Diccionario!B:N,13,0)="B", VLOOKUP(E520,[1]Diccionario!B:N,13,0)="A")), "DEFICIT",IF(
AND(OR(Planilla!B520="B", Planilla!B520="BPAL"), VLOOKUP(E520,[1]Diccionario!B:N,13,0)="B"), "OK",IF(AND(OR(Planilla!B520="B", Planilla!B520="BPAL"), VLOOKUP(E520,[1]Diccionario!B:N,13,0)="A"), "DEFICIT",IF(AND(OR(Planilla!B520="B", Planilla!B520="BPAL"), VLOOKUP(E520,[1]Diccionario!B:N,13,0)="C"), "SOBREOFERTA",IF(AND(Planilla!B520="A", VLOOKUP(E520,[1]Diccionario!B:N,13,0)="A"), "OK",IF(
AND(Planilla!B520="A", OR(VLOOKUP(E520,[1]Diccionario!B:N,13,0)="B", VLOOKUP(E520,[1]Diccionario!B:N,13,0)="C")), "SOBREOFERTA",""
))))))),"")</f>
        <v/>
      </c>
      <c r="E520" s="48"/>
      <c r="F520" s="53"/>
      <c r="G520" s="54"/>
      <c r="H520" s="55" t="str">
        <f t="shared" si="117"/>
        <v/>
      </c>
      <c r="I520" s="35"/>
      <c r="J520" s="34" t="e">
        <f>IF(A520&lt;&gt;"",HLOOKUP(VALUE(TEXT(G520,"h:mm:ss")),IF($C$6="Laboral",[1]Input!$A$4:$Y$227,IF($C$6="Sábado",[1]Input!$A$231:$Y$452,[1]Input!$A$456:$Y$656)),VLOOKUP($C$4,[1]Input!$AG$2:$AI$99,3,0)+IF(C$5="Ida",0,1),1),"")</f>
        <v>#N/A</v>
      </c>
      <c r="K520" s="34" t="str">
        <f>IF(A521&lt;&gt;A520,AVERAGEIF(A$9:A520,A520,J$13:J520),"")</f>
        <v/>
      </c>
      <c r="L520" s="35" t="str">
        <f>IFERROR(IF(A521&lt;&gt;A520,AVERAGEIF(A$9:A520,A520,S$13:S520),""),"")</f>
        <v/>
      </c>
      <c r="M520" s="35" t="str">
        <f>IFERROR(IF(A521&lt;&gt;A520,AVERAGEIF(A$9:A520,A520,T$8:T520),""),"")</f>
        <v/>
      </c>
      <c r="N520" s="35" t="str" cm="1">
        <f t="array" ref="N520">IFERROR(IF(A521&lt;&gt;A520,_xlfn.STDEV.P(IF(A$9:A520=A520,T$7:T520)),""),"")</f>
        <v/>
      </c>
      <c r="O520" s="35" t="str" cm="1">
        <f t="array" ref="O520">IFERROR(IF(A521&lt;&gt;A520,_xlfn.STDEV.P(IF(A$9:A520=A520,S$7:S520)),""),"")</f>
        <v/>
      </c>
      <c r="P520" s="36" t="str">
        <f t="shared" si="110"/>
        <v/>
      </c>
      <c r="Q520" s="36" t="str">
        <f t="shared" si="111"/>
        <v/>
      </c>
      <c r="R520" s="36" t="str">
        <f t="shared" si="118"/>
        <v/>
      </c>
      <c r="S520" s="37" t="str">
        <f t="shared" si="119"/>
        <v/>
      </c>
      <c r="T520" s="37" t="str">
        <f t="shared" si="112"/>
        <v/>
      </c>
      <c r="U520" s="54"/>
      <c r="V520" s="46"/>
      <c r="W520" s="39" t="str">
        <f t="shared" si="120"/>
        <v/>
      </c>
      <c r="X520" s="38"/>
      <c r="Y520" s="48"/>
      <c r="AB520" s="56">
        <f t="shared" si="121"/>
        <v>1</v>
      </c>
      <c r="AC520" s="52"/>
      <c r="AD520" s="52"/>
      <c r="AE520" s="29" t="str">
        <f>IFERROR(
IF(AND(OR(AC520="C",AC520="c"), VLOOKUP(AF520,[1]Diccionario!B:N,13,0)="C"), "OK",IF(AND(OR(AC520="C",AC520="c"), OR(VLOOKUP(AF520,[1]Diccionario!B:N,13,0)="B", VLOOKUP(AF520,[1]Diccionario!B:N,13,0)="A")), "DEFICIT",IF(
AND(OR(AC520="B", AC520="BPAL"), VLOOKUP(AF520,[1]Diccionario!B:N,13,0)="B"), "OK",IF(AND(OR(AC520="B", AC520="BPAL"), VLOOKUP(AF520,[1]Diccionario!B:N,13,0)="A"), "DEFICIT",IF(AND(OR(AC520="B", AC520="BPAL"), VLOOKUP(AF520,[1]Diccionario!B:N,13,0)="C"), "SOBREOFERTA",IF(AND(AC520="A", VLOOKUP(AF520,[1]Diccionario!B:N,13,0)="A"), "OK",IF(
AND(AC520="A", OR(VLOOKUP(AF520,[1]Diccionario!B:N,13,0)="B", VLOOKUP(AF520,[1]Diccionario!B:N,13,0)="C")), "SOBREOFERTA",""
))))))),"")</f>
        <v/>
      </c>
      <c r="AF520" s="48"/>
      <c r="AG520" s="53"/>
      <c r="AH520" s="54"/>
      <c r="AI520" s="55" t="str">
        <f t="shared" si="122"/>
        <v/>
      </c>
      <c r="AJ520" s="46"/>
      <c r="AK520" s="34" t="e">
        <f>IF(AB520&lt;&gt;"",HLOOKUP(VALUE(TEXT(AH520,"h:mm:ss")),IF($C$6="Laboral",[1]Input!$A$4:$Y$227,IF($C$6="Sábado",[1]Input!$A$231:$Y$452,[1]Input!$A$456:$Y$656)),VLOOKUP($C$4,[1]Input!$AG$2:$AI$99,3,0)+IF(AD$5="Ida",0,1),1),"")</f>
        <v>#N/A</v>
      </c>
      <c r="AL520" s="34" t="str">
        <f>IF(AB521&lt;&gt;AB520,AVERAGEIF(AB$9:AB520,AB520,AK$9:AK520),"")</f>
        <v/>
      </c>
      <c r="AM520" s="35" t="str">
        <f>IFERROR(IF(AB521&lt;&gt;AB520,AVERAGEIF(AB$9:AB520,AB520,AT$9:AT520),""),"")</f>
        <v/>
      </c>
      <c r="AN520" s="35" t="str">
        <f>IFERROR(IF(AB521&lt;&gt;AB520,AVERAGEIF(AB$9:AB520,AB520,AU$9:AU520),""),"")</f>
        <v/>
      </c>
      <c r="AO520" s="35" t="str" cm="1">
        <f t="array" ref="AO520">IFERROR(IF(AB521&lt;&gt;AB520,_xlfn.STDEV.P(IF(AB$9:AB520=AB520,AU$9:AU520)),""),"")</f>
        <v/>
      </c>
      <c r="AP520" s="35" t="str" cm="1">
        <f t="array" ref="AP520">IFERROR(IF(AB521&lt;&gt;AB520,_xlfn.STDEV.P(IF(AB$9:AB520=AB520,AT$9:AT520)),""),"")</f>
        <v/>
      </c>
      <c r="AQ520" s="36" t="str">
        <f t="shared" si="113"/>
        <v/>
      </c>
      <c r="AR520" s="36" t="str">
        <f t="shared" si="114"/>
        <v/>
      </c>
      <c r="AS520" s="36" t="str">
        <f t="shared" si="123"/>
        <v/>
      </c>
      <c r="AT520" s="37" t="str">
        <f t="shared" si="115"/>
        <v/>
      </c>
      <c r="AU520" s="37" t="str">
        <f t="shared" si="116"/>
        <v/>
      </c>
      <c r="AV520" s="54"/>
      <c r="AW520" s="46"/>
      <c r="AX520" s="39" t="str" cm="1">
        <f t="array" ref="AX520">IF(AH520&lt;&gt;"",IF(AND(AX518:AX519&lt;&gt;"IE",AQ520&lt;&gt;0,AS520&lt;&gt;""),IF(IFERROR((AQ520/AS520),0) &lt;=1,IFERROR(AQ520/AS520,""),1),""),"")</f>
        <v/>
      </c>
      <c r="AY520" s="46"/>
      <c r="AZ520" s="57"/>
    </row>
    <row r="521" spans="1:52" ht="15.5" x14ac:dyDescent="0.35">
      <c r="A521" s="51">
        <f t="shared" si="124"/>
        <v>1</v>
      </c>
      <c r="B521" s="52"/>
      <c r="C521" s="52"/>
      <c r="D521" s="29" t="str">
        <f>IFERROR(
IF(AND(OR(Planilla!B521="C",Planilla!B521="c"), VLOOKUP(E521,[1]Diccionario!B:N,13,0)="C"), "OK",IF(AND(OR(Planilla!B521="C",Planilla!B521="c"), OR(VLOOKUP(E521,[1]Diccionario!B:N,13,0)="B", VLOOKUP(E521,[1]Diccionario!B:N,13,0)="A")), "DEFICIT",IF(
AND(OR(Planilla!B521="B", Planilla!B521="BPAL"), VLOOKUP(E521,[1]Diccionario!B:N,13,0)="B"), "OK",IF(AND(OR(Planilla!B521="B", Planilla!B521="BPAL"), VLOOKUP(E521,[1]Diccionario!B:N,13,0)="A"), "DEFICIT",IF(AND(OR(Planilla!B521="B", Planilla!B521="BPAL"), VLOOKUP(E521,[1]Diccionario!B:N,13,0)="C"), "SOBREOFERTA",IF(AND(Planilla!B521="A", VLOOKUP(E521,[1]Diccionario!B:N,13,0)="A"), "OK",IF(
AND(Planilla!B521="A", OR(VLOOKUP(E521,[1]Diccionario!B:N,13,0)="B", VLOOKUP(E521,[1]Diccionario!B:N,13,0)="C")), "SOBREOFERTA",""
))))))),"")</f>
        <v/>
      </c>
      <c r="E521" s="48"/>
      <c r="F521" s="53"/>
      <c r="G521" s="54"/>
      <c r="H521" s="55" t="str">
        <f t="shared" si="117"/>
        <v/>
      </c>
      <c r="I521" s="35"/>
      <c r="J521" s="34" t="e">
        <f>IF(A521&lt;&gt;"",HLOOKUP(VALUE(TEXT(G521,"h:mm:ss")),IF($C$6="Laboral",[1]Input!$A$4:$Y$227,IF($C$6="Sábado",[1]Input!$A$231:$Y$452,[1]Input!$A$456:$Y$656)),VLOOKUP($C$4,[1]Input!$AG$2:$AI$99,3,0)+IF(C$5="Ida",0,1),1),"")</f>
        <v>#N/A</v>
      </c>
      <c r="K521" s="34" t="str">
        <f>IF(A522&lt;&gt;A521,AVERAGEIF(A$9:A521,A521,J$13:J521),"")</f>
        <v/>
      </c>
      <c r="L521" s="35" t="str">
        <f>IFERROR(IF(A522&lt;&gt;A521,AVERAGEIF(A$9:A521,A521,S$13:S521),""),"")</f>
        <v/>
      </c>
      <c r="M521" s="35" t="str">
        <f>IFERROR(IF(A522&lt;&gt;A521,AVERAGEIF(A$9:A521,A521,T$8:T521),""),"")</f>
        <v/>
      </c>
      <c r="N521" s="35" t="str" cm="1">
        <f t="array" ref="N521">IFERROR(IF(A522&lt;&gt;A521,_xlfn.STDEV.P(IF(A$9:A521=A521,T$7:T521)),""),"")</f>
        <v/>
      </c>
      <c r="O521" s="35" t="str" cm="1">
        <f t="array" ref="O521">IFERROR(IF(A522&lt;&gt;A521,_xlfn.STDEV.P(IF(A$9:A521=A521,S$7:S521)),""),"")</f>
        <v/>
      </c>
      <c r="P521" s="36" t="str">
        <f t="shared" si="110"/>
        <v/>
      </c>
      <c r="Q521" s="36" t="str">
        <f t="shared" si="111"/>
        <v/>
      </c>
      <c r="R521" s="36" t="str">
        <f t="shared" si="118"/>
        <v/>
      </c>
      <c r="S521" s="37" t="str">
        <f t="shared" si="119"/>
        <v/>
      </c>
      <c r="T521" s="37" t="str">
        <f t="shared" si="112"/>
        <v/>
      </c>
      <c r="U521" s="54"/>
      <c r="V521" s="46"/>
      <c r="W521" s="39" t="str">
        <f t="shared" si="120"/>
        <v/>
      </c>
      <c r="X521" s="38"/>
      <c r="Y521" s="48"/>
      <c r="AB521" s="56">
        <f t="shared" si="121"/>
        <v>1</v>
      </c>
      <c r="AC521" s="52"/>
      <c r="AD521" s="52"/>
      <c r="AE521" s="29" t="str">
        <f>IFERROR(
IF(AND(OR(AC521="C",AC521="c"), VLOOKUP(AF521,[1]Diccionario!B:N,13,0)="C"), "OK",IF(AND(OR(AC521="C",AC521="c"), OR(VLOOKUP(AF521,[1]Diccionario!B:N,13,0)="B", VLOOKUP(AF521,[1]Diccionario!B:N,13,0)="A")), "DEFICIT",IF(
AND(OR(AC521="B", AC521="BPAL"), VLOOKUP(AF521,[1]Diccionario!B:N,13,0)="B"), "OK",IF(AND(OR(AC521="B", AC521="BPAL"), VLOOKUP(AF521,[1]Diccionario!B:N,13,0)="A"), "DEFICIT",IF(AND(OR(AC521="B", AC521="BPAL"), VLOOKUP(AF521,[1]Diccionario!B:N,13,0)="C"), "SOBREOFERTA",IF(AND(AC521="A", VLOOKUP(AF521,[1]Diccionario!B:N,13,0)="A"), "OK",IF(
AND(AC521="A", OR(VLOOKUP(AF521,[1]Diccionario!B:N,13,0)="B", VLOOKUP(AF521,[1]Diccionario!B:N,13,0)="C")), "SOBREOFERTA",""
))))))),"")</f>
        <v/>
      </c>
      <c r="AF521" s="48"/>
      <c r="AG521" s="53"/>
      <c r="AH521" s="54"/>
      <c r="AI521" s="55" t="str">
        <f t="shared" si="122"/>
        <v/>
      </c>
      <c r="AJ521" s="46"/>
      <c r="AK521" s="34" t="e">
        <f>IF(AB521&lt;&gt;"",HLOOKUP(VALUE(TEXT(AH521,"h:mm:ss")),IF($C$6="Laboral",[1]Input!$A$4:$Y$227,IF($C$6="Sábado",[1]Input!$A$231:$Y$452,[1]Input!$A$456:$Y$656)),VLOOKUP($C$4,[1]Input!$AG$2:$AI$99,3,0)+IF(AD$5="Ida",0,1),1),"")</f>
        <v>#N/A</v>
      </c>
      <c r="AL521" s="34" t="str">
        <f>IF(AB522&lt;&gt;AB521,AVERAGEIF(AB$9:AB521,AB521,AK$9:AK521),"")</f>
        <v/>
      </c>
      <c r="AM521" s="35" t="str">
        <f>IFERROR(IF(AB522&lt;&gt;AB521,AVERAGEIF(AB$9:AB521,AB521,AT$9:AT521),""),"")</f>
        <v/>
      </c>
      <c r="AN521" s="35" t="str">
        <f>IFERROR(IF(AB522&lt;&gt;AB521,AVERAGEIF(AB$9:AB521,AB521,AU$9:AU521),""),"")</f>
        <v/>
      </c>
      <c r="AO521" s="35" t="str" cm="1">
        <f t="array" ref="AO521">IFERROR(IF(AB522&lt;&gt;AB521,_xlfn.STDEV.P(IF(AB$9:AB521=AB521,AU$9:AU521)),""),"")</f>
        <v/>
      </c>
      <c r="AP521" s="35" t="str" cm="1">
        <f t="array" ref="AP521">IFERROR(IF(AB522&lt;&gt;AB521,_xlfn.STDEV.P(IF(AB$9:AB521=AB521,AT$9:AT521)),""),"")</f>
        <v/>
      </c>
      <c r="AQ521" s="36" t="str">
        <f t="shared" si="113"/>
        <v/>
      </c>
      <c r="AR521" s="36" t="str">
        <f t="shared" si="114"/>
        <v/>
      </c>
      <c r="AS521" s="36" t="str">
        <f t="shared" si="123"/>
        <v/>
      </c>
      <c r="AT521" s="37" t="str">
        <f t="shared" si="115"/>
        <v/>
      </c>
      <c r="AU521" s="37" t="str">
        <f t="shared" si="116"/>
        <v/>
      </c>
      <c r="AV521" s="54"/>
      <c r="AW521" s="46"/>
      <c r="AX521" s="39" t="str" cm="1">
        <f t="array" ref="AX521">IF(AH521&lt;&gt;"",IF(AND(AX519:AX520&lt;&gt;"IE",AQ521&lt;&gt;0,AS521&lt;&gt;""),IF(IFERROR((AQ521/AS521),0) &lt;=1,IFERROR(AQ521/AS521,""),1),""),"")</f>
        <v/>
      </c>
      <c r="AY521" s="46"/>
      <c r="AZ521" s="57"/>
    </row>
    <row r="522" spans="1:52" ht="15.5" x14ac:dyDescent="0.35">
      <c r="A522" s="51">
        <f t="shared" si="124"/>
        <v>1</v>
      </c>
      <c r="B522" s="52"/>
      <c r="C522" s="52"/>
      <c r="D522" s="29" t="str">
        <f>IFERROR(
IF(AND(OR(Planilla!B522="C",Planilla!B522="c"), VLOOKUP(E522,[1]Diccionario!B:N,13,0)="C"), "OK",IF(AND(OR(Planilla!B522="C",Planilla!B522="c"), OR(VLOOKUP(E522,[1]Diccionario!B:N,13,0)="B", VLOOKUP(E522,[1]Diccionario!B:N,13,0)="A")), "DEFICIT",IF(
AND(OR(Planilla!B522="B", Planilla!B522="BPAL"), VLOOKUP(E522,[1]Diccionario!B:N,13,0)="B"), "OK",IF(AND(OR(Planilla!B522="B", Planilla!B522="BPAL"), VLOOKUP(E522,[1]Diccionario!B:N,13,0)="A"), "DEFICIT",IF(AND(OR(Planilla!B522="B", Planilla!B522="BPAL"), VLOOKUP(E522,[1]Diccionario!B:N,13,0)="C"), "SOBREOFERTA",IF(AND(Planilla!B522="A", VLOOKUP(E522,[1]Diccionario!B:N,13,0)="A"), "OK",IF(
AND(Planilla!B522="A", OR(VLOOKUP(E522,[1]Diccionario!B:N,13,0)="B", VLOOKUP(E522,[1]Diccionario!B:N,13,0)="C")), "SOBREOFERTA",""
))))))),"")</f>
        <v/>
      </c>
      <c r="E522" s="48"/>
      <c r="F522" s="53"/>
      <c r="G522" s="54"/>
      <c r="H522" s="55" t="str">
        <f t="shared" si="117"/>
        <v/>
      </c>
      <c r="I522" s="35"/>
      <c r="J522" s="34" t="e">
        <f>IF(A522&lt;&gt;"",HLOOKUP(VALUE(TEXT(G522,"h:mm:ss")),IF($C$6="Laboral",[1]Input!$A$4:$Y$227,IF($C$6="Sábado",[1]Input!$A$231:$Y$452,[1]Input!$A$456:$Y$656)),VLOOKUP($C$4,[1]Input!$AG$2:$AI$99,3,0)+IF(C$5="Ida",0,1),1),"")</f>
        <v>#N/A</v>
      </c>
      <c r="K522" s="34" t="str">
        <f>IF(A523&lt;&gt;A522,AVERAGEIF(A$9:A522,A522,J$13:J522),"")</f>
        <v/>
      </c>
      <c r="L522" s="35" t="str">
        <f>IFERROR(IF(A523&lt;&gt;A522,AVERAGEIF(A$9:A522,A522,S$13:S522),""),"")</f>
        <v/>
      </c>
      <c r="M522" s="35" t="str">
        <f>IFERROR(IF(A523&lt;&gt;A522,AVERAGEIF(A$9:A522,A522,T$8:T522),""),"")</f>
        <v/>
      </c>
      <c r="N522" s="35" t="str" cm="1">
        <f t="array" ref="N522">IFERROR(IF(A523&lt;&gt;A522,_xlfn.STDEV.P(IF(A$9:A522=A522,T$7:T522)),""),"")</f>
        <v/>
      </c>
      <c r="O522" s="35" t="str" cm="1">
        <f t="array" ref="O522">IFERROR(IF(A523&lt;&gt;A522,_xlfn.STDEV.P(IF(A$9:A522=A522,S$7:S522)),""),"")</f>
        <v/>
      </c>
      <c r="P522" s="36" t="str">
        <f t="shared" si="110"/>
        <v/>
      </c>
      <c r="Q522" s="36" t="str">
        <f t="shared" si="111"/>
        <v/>
      </c>
      <c r="R522" s="36" t="str">
        <f t="shared" si="118"/>
        <v/>
      </c>
      <c r="S522" s="37" t="str">
        <f t="shared" si="119"/>
        <v/>
      </c>
      <c r="T522" s="37" t="str">
        <f t="shared" si="112"/>
        <v/>
      </c>
      <c r="U522" s="54"/>
      <c r="V522" s="46"/>
      <c r="W522" s="39" t="str">
        <f t="shared" si="120"/>
        <v/>
      </c>
      <c r="X522" s="38"/>
      <c r="Y522" s="48"/>
      <c r="AB522" s="56">
        <f t="shared" si="121"/>
        <v>1</v>
      </c>
      <c r="AC522" s="52"/>
      <c r="AD522" s="52"/>
      <c r="AE522" s="29" t="str">
        <f>IFERROR(
IF(AND(OR(AC522="C",AC522="c"), VLOOKUP(AF522,[1]Diccionario!B:N,13,0)="C"), "OK",IF(AND(OR(AC522="C",AC522="c"), OR(VLOOKUP(AF522,[1]Diccionario!B:N,13,0)="B", VLOOKUP(AF522,[1]Diccionario!B:N,13,0)="A")), "DEFICIT",IF(
AND(OR(AC522="B", AC522="BPAL"), VLOOKUP(AF522,[1]Diccionario!B:N,13,0)="B"), "OK",IF(AND(OR(AC522="B", AC522="BPAL"), VLOOKUP(AF522,[1]Diccionario!B:N,13,0)="A"), "DEFICIT",IF(AND(OR(AC522="B", AC522="BPAL"), VLOOKUP(AF522,[1]Diccionario!B:N,13,0)="C"), "SOBREOFERTA",IF(AND(AC522="A", VLOOKUP(AF522,[1]Diccionario!B:N,13,0)="A"), "OK",IF(
AND(AC522="A", OR(VLOOKUP(AF522,[1]Diccionario!B:N,13,0)="B", VLOOKUP(AF522,[1]Diccionario!B:N,13,0)="C")), "SOBREOFERTA",""
))))))),"")</f>
        <v/>
      </c>
      <c r="AF522" s="48"/>
      <c r="AG522" s="53"/>
      <c r="AH522" s="54"/>
      <c r="AI522" s="55" t="str">
        <f t="shared" si="122"/>
        <v/>
      </c>
      <c r="AJ522" s="46"/>
      <c r="AK522" s="34" t="e">
        <f>IF(AB522&lt;&gt;"",HLOOKUP(VALUE(TEXT(AH522,"h:mm:ss")),IF($C$6="Laboral",[1]Input!$A$4:$Y$227,IF($C$6="Sábado",[1]Input!$A$231:$Y$452,[1]Input!$A$456:$Y$656)),VLOOKUP($C$4,[1]Input!$AG$2:$AI$99,3,0)+IF(AD$5="Ida",0,1),1),"")</f>
        <v>#N/A</v>
      </c>
      <c r="AL522" s="34" t="str">
        <f>IF(AB523&lt;&gt;AB522,AVERAGEIF(AB$9:AB522,AB522,AK$9:AK522),"")</f>
        <v/>
      </c>
      <c r="AM522" s="35" t="str">
        <f>IFERROR(IF(AB523&lt;&gt;AB522,AVERAGEIF(AB$9:AB522,AB522,AT$9:AT522),""),"")</f>
        <v/>
      </c>
      <c r="AN522" s="35" t="str">
        <f>IFERROR(IF(AB523&lt;&gt;AB522,AVERAGEIF(AB$9:AB522,AB522,AU$9:AU522),""),"")</f>
        <v/>
      </c>
      <c r="AO522" s="35" t="str" cm="1">
        <f t="array" ref="AO522">IFERROR(IF(AB523&lt;&gt;AB522,_xlfn.STDEV.P(IF(AB$9:AB522=AB522,AU$9:AU522)),""),"")</f>
        <v/>
      </c>
      <c r="AP522" s="35" t="str" cm="1">
        <f t="array" ref="AP522">IFERROR(IF(AB523&lt;&gt;AB522,_xlfn.STDEV.P(IF(AB$9:AB522=AB522,AT$9:AT522)),""),"")</f>
        <v/>
      </c>
      <c r="AQ522" s="36" t="str">
        <f t="shared" si="113"/>
        <v/>
      </c>
      <c r="AR522" s="36" t="str">
        <f t="shared" si="114"/>
        <v/>
      </c>
      <c r="AS522" s="36" t="str">
        <f t="shared" si="123"/>
        <v/>
      </c>
      <c r="AT522" s="37" t="str">
        <f t="shared" si="115"/>
        <v/>
      </c>
      <c r="AU522" s="37" t="str">
        <f t="shared" si="116"/>
        <v/>
      </c>
      <c r="AV522" s="54"/>
      <c r="AW522" s="46"/>
      <c r="AX522" s="39" t="str" cm="1">
        <f t="array" ref="AX522">IF(AH522&lt;&gt;"",IF(AND(AX520:AX521&lt;&gt;"IE",AQ522&lt;&gt;0,AS522&lt;&gt;""),IF(IFERROR((AQ522/AS522),0) &lt;=1,IFERROR(AQ522/AS522,""),1),""),"")</f>
        <v/>
      </c>
      <c r="AY522" s="46"/>
      <c r="AZ522" s="57"/>
    </row>
    <row r="523" spans="1:52" ht="15.5" x14ac:dyDescent="0.35">
      <c r="A523" s="51">
        <f t="shared" si="124"/>
        <v>1</v>
      </c>
      <c r="B523" s="52"/>
      <c r="C523" s="52"/>
      <c r="D523" s="29" t="str">
        <f>IFERROR(
IF(AND(OR(Planilla!B523="C",Planilla!B523="c"), VLOOKUP(E523,[1]Diccionario!B:N,13,0)="C"), "OK",IF(AND(OR(Planilla!B523="C",Planilla!B523="c"), OR(VLOOKUP(E523,[1]Diccionario!B:N,13,0)="B", VLOOKUP(E523,[1]Diccionario!B:N,13,0)="A")), "DEFICIT",IF(
AND(OR(Planilla!B523="B", Planilla!B523="BPAL"), VLOOKUP(E523,[1]Diccionario!B:N,13,0)="B"), "OK",IF(AND(OR(Planilla!B523="B", Planilla!B523="BPAL"), VLOOKUP(E523,[1]Diccionario!B:N,13,0)="A"), "DEFICIT",IF(AND(OR(Planilla!B523="B", Planilla!B523="BPAL"), VLOOKUP(E523,[1]Diccionario!B:N,13,0)="C"), "SOBREOFERTA",IF(AND(Planilla!B523="A", VLOOKUP(E523,[1]Diccionario!B:N,13,0)="A"), "OK",IF(
AND(Planilla!B523="A", OR(VLOOKUP(E523,[1]Diccionario!B:N,13,0)="B", VLOOKUP(E523,[1]Diccionario!B:N,13,0)="C")), "SOBREOFERTA",""
))))))),"")</f>
        <v/>
      </c>
      <c r="E523" s="48"/>
      <c r="F523" s="53"/>
      <c r="G523" s="54"/>
      <c r="H523" s="55" t="str">
        <f t="shared" si="117"/>
        <v/>
      </c>
      <c r="I523" s="35"/>
      <c r="J523" s="34" t="e">
        <f>IF(A523&lt;&gt;"",HLOOKUP(VALUE(TEXT(G523,"h:mm:ss")),IF($C$6="Laboral",[1]Input!$A$4:$Y$227,IF($C$6="Sábado",[1]Input!$A$231:$Y$452,[1]Input!$A$456:$Y$656)),VLOOKUP($C$4,[1]Input!$AG$2:$AI$99,3,0)+IF(C$5="Ida",0,1),1),"")</f>
        <v>#N/A</v>
      </c>
      <c r="K523" s="34" t="str">
        <f>IF(A524&lt;&gt;A523,AVERAGEIF(A$9:A523,A523,J$13:J523),"")</f>
        <v/>
      </c>
      <c r="L523" s="35" t="str">
        <f>IFERROR(IF(A524&lt;&gt;A523,AVERAGEIF(A$9:A523,A523,S$13:S523),""),"")</f>
        <v/>
      </c>
      <c r="M523" s="35" t="str">
        <f>IFERROR(IF(A524&lt;&gt;A523,AVERAGEIF(A$9:A523,A523,T$8:T523),""),"")</f>
        <v/>
      </c>
      <c r="N523" s="35" t="str" cm="1">
        <f t="array" ref="N523">IFERROR(IF(A524&lt;&gt;A523,_xlfn.STDEV.P(IF(A$9:A523=A523,T$7:T523)),""),"")</f>
        <v/>
      </c>
      <c r="O523" s="35" t="str" cm="1">
        <f t="array" ref="O523">IFERROR(IF(A524&lt;&gt;A523,_xlfn.STDEV.P(IF(A$9:A523=A523,S$7:S523)),""),"")</f>
        <v/>
      </c>
      <c r="P523" s="36" t="str">
        <f t="shared" si="110"/>
        <v/>
      </c>
      <c r="Q523" s="36" t="str">
        <f t="shared" si="111"/>
        <v/>
      </c>
      <c r="R523" s="36" t="str">
        <f t="shared" si="118"/>
        <v/>
      </c>
      <c r="S523" s="37" t="str">
        <f t="shared" si="119"/>
        <v/>
      </c>
      <c r="T523" s="37" t="str">
        <f t="shared" si="112"/>
        <v/>
      </c>
      <c r="U523" s="54"/>
      <c r="V523" s="46"/>
      <c r="W523" s="39" t="str">
        <f t="shared" si="120"/>
        <v/>
      </c>
      <c r="X523" s="38"/>
      <c r="Y523" s="48"/>
      <c r="AB523" s="56">
        <f t="shared" si="121"/>
        <v>1</v>
      </c>
      <c r="AC523" s="52"/>
      <c r="AD523" s="52"/>
      <c r="AE523" s="29" t="str">
        <f>IFERROR(
IF(AND(OR(AC523="C",AC523="c"), VLOOKUP(AF523,[1]Diccionario!B:N,13,0)="C"), "OK",IF(AND(OR(AC523="C",AC523="c"), OR(VLOOKUP(AF523,[1]Diccionario!B:N,13,0)="B", VLOOKUP(AF523,[1]Diccionario!B:N,13,0)="A")), "DEFICIT",IF(
AND(OR(AC523="B", AC523="BPAL"), VLOOKUP(AF523,[1]Diccionario!B:N,13,0)="B"), "OK",IF(AND(OR(AC523="B", AC523="BPAL"), VLOOKUP(AF523,[1]Diccionario!B:N,13,0)="A"), "DEFICIT",IF(AND(OR(AC523="B", AC523="BPAL"), VLOOKUP(AF523,[1]Diccionario!B:N,13,0)="C"), "SOBREOFERTA",IF(AND(AC523="A", VLOOKUP(AF523,[1]Diccionario!B:N,13,0)="A"), "OK",IF(
AND(AC523="A", OR(VLOOKUP(AF523,[1]Diccionario!B:N,13,0)="B", VLOOKUP(AF523,[1]Diccionario!B:N,13,0)="C")), "SOBREOFERTA",""
))))))),"")</f>
        <v/>
      </c>
      <c r="AF523" s="48"/>
      <c r="AG523" s="53"/>
      <c r="AH523" s="54"/>
      <c r="AI523" s="55" t="str">
        <f t="shared" si="122"/>
        <v/>
      </c>
      <c r="AJ523" s="46"/>
      <c r="AK523" s="34" t="e">
        <f>IF(AB523&lt;&gt;"",HLOOKUP(VALUE(TEXT(AH523,"h:mm:ss")),IF($C$6="Laboral",[1]Input!$A$4:$Y$227,IF($C$6="Sábado",[1]Input!$A$231:$Y$452,[1]Input!$A$456:$Y$656)),VLOOKUP($C$4,[1]Input!$AG$2:$AI$99,3,0)+IF(AD$5="Ida",0,1),1),"")</f>
        <v>#N/A</v>
      </c>
      <c r="AL523" s="34" t="str">
        <f>IF(AB524&lt;&gt;AB523,AVERAGEIF(AB$9:AB523,AB523,AK$9:AK523),"")</f>
        <v/>
      </c>
      <c r="AM523" s="35" t="str">
        <f>IFERROR(IF(AB524&lt;&gt;AB523,AVERAGEIF(AB$9:AB523,AB523,AT$9:AT523),""),"")</f>
        <v/>
      </c>
      <c r="AN523" s="35" t="str">
        <f>IFERROR(IF(AB524&lt;&gt;AB523,AVERAGEIF(AB$9:AB523,AB523,AU$9:AU523),""),"")</f>
        <v/>
      </c>
      <c r="AO523" s="35" t="str" cm="1">
        <f t="array" ref="AO523">IFERROR(IF(AB524&lt;&gt;AB523,_xlfn.STDEV.P(IF(AB$9:AB523=AB523,AU$9:AU523)),""),"")</f>
        <v/>
      </c>
      <c r="AP523" s="35" t="str" cm="1">
        <f t="array" ref="AP523">IFERROR(IF(AB524&lt;&gt;AB523,_xlfn.STDEV.P(IF(AB$9:AB523=AB523,AT$9:AT523)),""),"")</f>
        <v/>
      </c>
      <c r="AQ523" s="36" t="str">
        <f t="shared" si="113"/>
        <v/>
      </c>
      <c r="AR523" s="36" t="str">
        <f t="shared" si="114"/>
        <v/>
      </c>
      <c r="AS523" s="36" t="str">
        <f t="shared" si="123"/>
        <v/>
      </c>
      <c r="AT523" s="37" t="str">
        <f t="shared" si="115"/>
        <v/>
      </c>
      <c r="AU523" s="37" t="str">
        <f t="shared" si="116"/>
        <v/>
      </c>
      <c r="AV523" s="54"/>
      <c r="AW523" s="46"/>
      <c r="AX523" s="39" t="str" cm="1">
        <f t="array" ref="AX523">IF(AH523&lt;&gt;"",IF(AND(AX521:AX522&lt;&gt;"IE",AQ523&lt;&gt;0,AS523&lt;&gt;""),IF(IFERROR((AQ523/AS523),0) &lt;=1,IFERROR(AQ523/AS523,""),1),""),"")</f>
        <v/>
      </c>
      <c r="AY523" s="46"/>
      <c r="AZ523" s="57"/>
    </row>
    <row r="524" spans="1:52" ht="15.5" x14ac:dyDescent="0.35">
      <c r="A524" s="51">
        <f t="shared" si="124"/>
        <v>1</v>
      </c>
      <c r="B524" s="52"/>
      <c r="C524" s="52"/>
      <c r="D524" s="29" t="str">
        <f>IFERROR(
IF(AND(OR(Planilla!B524="C",Planilla!B524="c"), VLOOKUP(E524,[1]Diccionario!B:N,13,0)="C"), "OK",IF(AND(OR(Planilla!B524="C",Planilla!B524="c"), OR(VLOOKUP(E524,[1]Diccionario!B:N,13,0)="B", VLOOKUP(E524,[1]Diccionario!B:N,13,0)="A")), "DEFICIT",IF(
AND(OR(Planilla!B524="B", Planilla!B524="BPAL"), VLOOKUP(E524,[1]Diccionario!B:N,13,0)="B"), "OK",IF(AND(OR(Planilla!B524="B", Planilla!B524="BPAL"), VLOOKUP(E524,[1]Diccionario!B:N,13,0)="A"), "DEFICIT",IF(AND(OR(Planilla!B524="B", Planilla!B524="BPAL"), VLOOKUP(E524,[1]Diccionario!B:N,13,0)="C"), "SOBREOFERTA",IF(AND(Planilla!B524="A", VLOOKUP(E524,[1]Diccionario!B:N,13,0)="A"), "OK",IF(
AND(Planilla!B524="A", OR(VLOOKUP(E524,[1]Diccionario!B:N,13,0)="B", VLOOKUP(E524,[1]Diccionario!B:N,13,0)="C")), "SOBREOFERTA",""
))))))),"")</f>
        <v/>
      </c>
      <c r="E524" s="48"/>
      <c r="F524" s="53"/>
      <c r="G524" s="54"/>
      <c r="H524" s="55" t="str">
        <f t="shared" si="117"/>
        <v/>
      </c>
      <c r="I524" s="35"/>
      <c r="J524" s="34" t="e">
        <f>IF(A524&lt;&gt;"",HLOOKUP(VALUE(TEXT(G524,"h:mm:ss")),IF($C$6="Laboral",[1]Input!$A$4:$Y$227,IF($C$6="Sábado",[1]Input!$A$231:$Y$452,[1]Input!$A$456:$Y$656)),VLOOKUP($C$4,[1]Input!$AG$2:$AI$99,3,0)+IF(C$5="Ida",0,1),1),"")</f>
        <v>#N/A</v>
      </c>
      <c r="K524" s="34" t="str">
        <f>IF(A525&lt;&gt;A524,AVERAGEIF(A$9:A524,A524,J$13:J524),"")</f>
        <v/>
      </c>
      <c r="L524" s="35" t="str">
        <f>IFERROR(IF(A525&lt;&gt;A524,AVERAGEIF(A$9:A524,A524,S$13:S524),""),"")</f>
        <v/>
      </c>
      <c r="M524" s="35" t="str">
        <f>IFERROR(IF(A525&lt;&gt;A524,AVERAGEIF(A$9:A524,A524,T$8:T524),""),"")</f>
        <v/>
      </c>
      <c r="N524" s="35" t="str" cm="1">
        <f t="array" ref="N524">IFERROR(IF(A525&lt;&gt;A524,_xlfn.STDEV.P(IF(A$9:A524=A524,T$7:T524)),""),"")</f>
        <v/>
      </c>
      <c r="O524" s="35" t="str" cm="1">
        <f t="array" ref="O524">IFERROR(IF(A525&lt;&gt;A524,_xlfn.STDEV.P(IF(A$9:A524=A524,S$7:S524)),""),"")</f>
        <v/>
      </c>
      <c r="P524" s="36" t="str">
        <f t="shared" si="110"/>
        <v/>
      </c>
      <c r="Q524" s="36" t="str">
        <f t="shared" si="111"/>
        <v/>
      </c>
      <c r="R524" s="36" t="str">
        <f t="shared" si="118"/>
        <v/>
      </c>
      <c r="S524" s="37" t="str">
        <f t="shared" si="119"/>
        <v/>
      </c>
      <c r="T524" s="37" t="str">
        <f t="shared" si="112"/>
        <v/>
      </c>
      <c r="U524" s="54"/>
      <c r="V524" s="46"/>
      <c r="W524" s="39" t="str">
        <f t="shared" si="120"/>
        <v/>
      </c>
      <c r="X524" s="38"/>
      <c r="Y524" s="48"/>
      <c r="AB524" s="56">
        <f t="shared" si="121"/>
        <v>1</v>
      </c>
      <c r="AC524" s="52"/>
      <c r="AD524" s="52"/>
      <c r="AE524" s="29" t="str">
        <f>IFERROR(
IF(AND(OR(AC524="C",AC524="c"), VLOOKUP(AF524,[1]Diccionario!B:N,13,0)="C"), "OK",IF(AND(OR(AC524="C",AC524="c"), OR(VLOOKUP(AF524,[1]Diccionario!B:N,13,0)="B", VLOOKUP(AF524,[1]Diccionario!B:N,13,0)="A")), "DEFICIT",IF(
AND(OR(AC524="B", AC524="BPAL"), VLOOKUP(AF524,[1]Diccionario!B:N,13,0)="B"), "OK",IF(AND(OR(AC524="B", AC524="BPAL"), VLOOKUP(AF524,[1]Diccionario!B:N,13,0)="A"), "DEFICIT",IF(AND(OR(AC524="B", AC524="BPAL"), VLOOKUP(AF524,[1]Diccionario!B:N,13,0)="C"), "SOBREOFERTA",IF(AND(AC524="A", VLOOKUP(AF524,[1]Diccionario!B:N,13,0)="A"), "OK",IF(
AND(AC524="A", OR(VLOOKUP(AF524,[1]Diccionario!B:N,13,0)="B", VLOOKUP(AF524,[1]Diccionario!B:N,13,0)="C")), "SOBREOFERTA",""
))))))),"")</f>
        <v/>
      </c>
      <c r="AF524" s="48"/>
      <c r="AG524" s="53"/>
      <c r="AH524" s="54"/>
      <c r="AI524" s="55" t="str">
        <f t="shared" si="122"/>
        <v/>
      </c>
      <c r="AJ524" s="46"/>
      <c r="AK524" s="34" t="e">
        <f>IF(AB524&lt;&gt;"",HLOOKUP(VALUE(TEXT(AH524,"h:mm:ss")),IF($C$6="Laboral",[1]Input!$A$4:$Y$227,IF($C$6="Sábado",[1]Input!$A$231:$Y$452,[1]Input!$A$456:$Y$656)),VLOOKUP($C$4,[1]Input!$AG$2:$AI$99,3,0)+IF(AD$5="Ida",0,1),1),"")</f>
        <v>#N/A</v>
      </c>
      <c r="AL524" s="34" t="str">
        <f>IF(AB525&lt;&gt;AB524,AVERAGEIF(AB$9:AB524,AB524,AK$9:AK524),"")</f>
        <v/>
      </c>
      <c r="AM524" s="35" t="str">
        <f>IFERROR(IF(AB525&lt;&gt;AB524,AVERAGEIF(AB$9:AB524,AB524,AT$9:AT524),""),"")</f>
        <v/>
      </c>
      <c r="AN524" s="35" t="str">
        <f>IFERROR(IF(AB525&lt;&gt;AB524,AVERAGEIF(AB$9:AB524,AB524,AU$9:AU524),""),"")</f>
        <v/>
      </c>
      <c r="AO524" s="35" t="str" cm="1">
        <f t="array" ref="AO524">IFERROR(IF(AB525&lt;&gt;AB524,_xlfn.STDEV.P(IF(AB$9:AB524=AB524,AU$9:AU524)),""),"")</f>
        <v/>
      </c>
      <c r="AP524" s="35" t="str" cm="1">
        <f t="array" ref="AP524">IFERROR(IF(AB525&lt;&gt;AB524,_xlfn.STDEV.P(IF(AB$9:AB524=AB524,AT$9:AT524)),""),"")</f>
        <v/>
      </c>
      <c r="AQ524" s="36" t="str">
        <f t="shared" si="113"/>
        <v/>
      </c>
      <c r="AR524" s="36" t="str">
        <f t="shared" si="114"/>
        <v/>
      </c>
      <c r="AS524" s="36" t="str">
        <f t="shared" si="123"/>
        <v/>
      </c>
      <c r="AT524" s="37" t="str">
        <f t="shared" si="115"/>
        <v/>
      </c>
      <c r="AU524" s="37" t="str">
        <f t="shared" si="116"/>
        <v/>
      </c>
      <c r="AV524" s="54"/>
      <c r="AW524" s="46"/>
      <c r="AX524" s="39" t="str" cm="1">
        <f t="array" ref="AX524">IF(AH524&lt;&gt;"",IF(AND(AX522:AX523&lt;&gt;"IE",AQ524&lt;&gt;0,AS524&lt;&gt;""),IF(IFERROR((AQ524/AS524),0) &lt;=1,IFERROR(AQ524/AS524,""),1),""),"")</f>
        <v/>
      </c>
      <c r="AY524" s="46"/>
      <c r="AZ524" s="57"/>
    </row>
    <row r="525" spans="1:52" ht="15.5" x14ac:dyDescent="0.35">
      <c r="A525" s="51">
        <f t="shared" si="124"/>
        <v>1</v>
      </c>
      <c r="B525" s="52"/>
      <c r="C525" s="52"/>
      <c r="D525" s="29" t="str">
        <f>IFERROR(
IF(AND(OR(Planilla!B525="C",Planilla!B525="c"), VLOOKUP(E525,[1]Diccionario!B:N,13,0)="C"), "OK",IF(AND(OR(Planilla!B525="C",Planilla!B525="c"), OR(VLOOKUP(E525,[1]Diccionario!B:N,13,0)="B", VLOOKUP(E525,[1]Diccionario!B:N,13,0)="A")), "DEFICIT",IF(
AND(OR(Planilla!B525="B", Planilla!B525="BPAL"), VLOOKUP(E525,[1]Diccionario!B:N,13,0)="B"), "OK",IF(AND(OR(Planilla!B525="B", Planilla!B525="BPAL"), VLOOKUP(E525,[1]Diccionario!B:N,13,0)="A"), "DEFICIT",IF(AND(OR(Planilla!B525="B", Planilla!B525="BPAL"), VLOOKUP(E525,[1]Diccionario!B:N,13,0)="C"), "SOBREOFERTA",IF(AND(Planilla!B525="A", VLOOKUP(E525,[1]Diccionario!B:N,13,0)="A"), "OK",IF(
AND(Planilla!B525="A", OR(VLOOKUP(E525,[1]Diccionario!B:N,13,0)="B", VLOOKUP(E525,[1]Diccionario!B:N,13,0)="C")), "SOBREOFERTA",""
))))))),"")</f>
        <v/>
      </c>
      <c r="E525" s="48"/>
      <c r="F525" s="53"/>
      <c r="G525" s="54"/>
      <c r="H525" s="55" t="str">
        <f t="shared" si="117"/>
        <v/>
      </c>
      <c r="I525" s="35"/>
      <c r="J525" s="34" t="e">
        <f>IF(A525&lt;&gt;"",HLOOKUP(VALUE(TEXT(G525,"h:mm:ss")),IF($C$6="Laboral",[1]Input!$A$4:$Y$227,IF($C$6="Sábado",[1]Input!$A$231:$Y$452,[1]Input!$A$456:$Y$656)),VLOOKUP($C$4,[1]Input!$AG$2:$AI$99,3,0)+IF(C$5="Ida",0,1),1),"")</f>
        <v>#N/A</v>
      </c>
      <c r="K525" s="34" t="str">
        <f>IF(A526&lt;&gt;A525,AVERAGEIF(A$9:A525,A525,J$13:J525),"")</f>
        <v/>
      </c>
      <c r="L525" s="35" t="str">
        <f>IFERROR(IF(A526&lt;&gt;A525,AVERAGEIF(A$9:A525,A525,S$13:S525),""),"")</f>
        <v/>
      </c>
      <c r="M525" s="35" t="str">
        <f>IFERROR(IF(A526&lt;&gt;A525,AVERAGEIF(A$9:A525,A525,T$8:T525),""),"")</f>
        <v/>
      </c>
      <c r="N525" s="35" t="str" cm="1">
        <f t="array" ref="N525">IFERROR(IF(A526&lt;&gt;A525,_xlfn.STDEV.P(IF(A$9:A525=A525,T$7:T525)),""),"")</f>
        <v/>
      </c>
      <c r="O525" s="35" t="str" cm="1">
        <f t="array" ref="O525">IFERROR(IF(A526&lt;&gt;A525,_xlfn.STDEV.P(IF(A$9:A525=A525,S$7:S525)),""),"")</f>
        <v/>
      </c>
      <c r="P525" s="36" t="str">
        <f t="shared" ref="P525:P546" si="125">IFERROR(IF(A525&lt;&gt;A526,MAX((((M525*24*60)/2)*(1+POWER((((N525*24*60) / (M525*24*60) )),2))) + ((M525*24*60 )*-0.1 + (K525*0.015)) +1,(((M525*24*60)/2)*(1+POWER((((N525*24*60) / (M525*24*60 ))),2)))),""),"")</f>
        <v/>
      </c>
      <c r="Q525" s="36" t="str">
        <f t="shared" ref="Q525:Q546" si="126">IF(AND(O525&lt;&gt;"",L525&lt;&gt;""),IF(A525&lt;&gt;A526,((L525*24*60) / 2 ) * (1 + POWER(((O525*24*60) / (L525*24*60)),2)),""),"")</f>
        <v/>
      </c>
      <c r="R525" s="36" t="str">
        <f t="shared" si="118"/>
        <v/>
      </c>
      <c r="S525" s="37" t="str">
        <f t="shared" si="119"/>
        <v/>
      </c>
      <c r="T525" s="37" t="str">
        <f t="shared" ref="T525:T546" si="127">IF(G525&lt;&gt;"H. Sale Real",IF(AND(G526&lt;&gt;"",LEFT(C526,2)&lt;&gt;"NC"),IF(AND(G525&lt;&gt;"",LEFT(C525,2)&lt;&gt;"NC",G525&lt;&gt;"H. Sale Real"),IF(G526-G525&lt;0.208333333333333,G526-G525,""),IF(AND(G524&lt;&gt;"",LEFT(C524,2)&lt;&gt;"NC",G524&lt;&gt;"H. Sale Real"),IF(G526-G524&lt;0.208333333333333,G526-G524,""),IF(AND(G523&lt;&gt;"",LEFT(C523,2)&lt;&gt;"NC",G523&lt;&gt;"H. Sale Real"),IF(G526-G523&lt;0.208333333333333,G526-G523,""),IF(AND(G522&lt;&gt;"",LEFT(C522,2)&lt;&gt;"NC",G522&lt;&gt;"H. Sale Real"),IF(G526-G522&lt;0.208333333333333,G526-G522,""),IF(AND(G521&lt;&gt;"",LEFT(C521,2)&lt;&gt;"NC",G521&lt;&gt;"H. Sale Real"),IF(G526-G521&lt;0.208333333333333,G526-G521,""),""))))),""),"")</f>
        <v/>
      </c>
      <c r="U525" s="54"/>
      <c r="V525" s="46"/>
      <c r="W525" s="39" t="str">
        <f t="shared" si="120"/>
        <v/>
      </c>
      <c r="X525" s="38"/>
      <c r="Y525" s="48"/>
      <c r="AB525" s="56">
        <f t="shared" si="121"/>
        <v>1</v>
      </c>
      <c r="AC525" s="52"/>
      <c r="AD525" s="52"/>
      <c r="AE525" s="29" t="str">
        <f>IFERROR(
IF(AND(OR(AC525="C",AC525="c"), VLOOKUP(AF525,[1]Diccionario!B:N,13,0)="C"), "OK",IF(AND(OR(AC525="C",AC525="c"), OR(VLOOKUP(AF525,[1]Diccionario!B:N,13,0)="B", VLOOKUP(AF525,[1]Diccionario!B:N,13,0)="A")), "DEFICIT",IF(
AND(OR(AC525="B", AC525="BPAL"), VLOOKUP(AF525,[1]Diccionario!B:N,13,0)="B"), "OK",IF(AND(OR(AC525="B", AC525="BPAL"), VLOOKUP(AF525,[1]Diccionario!B:N,13,0)="A"), "DEFICIT",IF(AND(OR(AC525="B", AC525="BPAL"), VLOOKUP(AF525,[1]Diccionario!B:N,13,0)="C"), "SOBREOFERTA",IF(AND(AC525="A", VLOOKUP(AF525,[1]Diccionario!B:N,13,0)="A"), "OK",IF(
AND(AC525="A", OR(VLOOKUP(AF525,[1]Diccionario!B:N,13,0)="B", VLOOKUP(AF525,[1]Diccionario!B:N,13,0)="C")), "SOBREOFERTA",""
))))))),"")</f>
        <v/>
      </c>
      <c r="AF525" s="48"/>
      <c r="AG525" s="53"/>
      <c r="AH525" s="54"/>
      <c r="AI525" s="55" t="str">
        <f t="shared" si="122"/>
        <v/>
      </c>
      <c r="AJ525" s="46"/>
      <c r="AK525" s="34" t="e">
        <f>IF(AB525&lt;&gt;"",HLOOKUP(VALUE(TEXT(AH525,"h:mm:ss")),IF($C$6="Laboral",[1]Input!$A$4:$Y$227,IF($C$6="Sábado",[1]Input!$A$231:$Y$452,[1]Input!$A$456:$Y$656)),VLOOKUP($C$4,[1]Input!$AG$2:$AI$99,3,0)+IF(AD$5="Ida",0,1),1),"")</f>
        <v>#N/A</v>
      </c>
      <c r="AL525" s="34" t="str">
        <f>IF(AB526&lt;&gt;AB525,AVERAGEIF(AB$9:AB525,AB525,AK$9:AK525),"")</f>
        <v/>
      </c>
      <c r="AM525" s="35" t="str">
        <f>IFERROR(IF(AB526&lt;&gt;AB525,AVERAGEIF(AB$9:AB525,AB525,AT$9:AT525),""),"")</f>
        <v/>
      </c>
      <c r="AN525" s="35" t="str">
        <f>IFERROR(IF(AB526&lt;&gt;AB525,AVERAGEIF(AB$9:AB525,AB525,AU$9:AU525),""),"")</f>
        <v/>
      </c>
      <c r="AO525" s="35" t="str" cm="1">
        <f t="array" ref="AO525">IFERROR(IF(AB526&lt;&gt;AB525,_xlfn.STDEV.P(IF(AB$9:AB525=AB525,AU$9:AU525)),""),"")</f>
        <v/>
      </c>
      <c r="AP525" s="35" t="str" cm="1">
        <f t="array" ref="AP525">IFERROR(IF(AB526&lt;&gt;AB525,_xlfn.STDEV.P(IF(AB$9:AB525=AB525,AT$9:AT525)),""),"")</f>
        <v/>
      </c>
      <c r="AQ525" s="36" t="str">
        <f t="shared" ref="AQ525:AQ546" si="128">IFERROR(IF(AB525&lt;&gt;AB526,MAX((((AN525*24*60)/2)*(1+POWER((((AO525*24*60) / (AN525*24*60) )),2))) + ((AN525*24*60 )*-0.1 + (AL525*0.015)) +1,(((AN525*24*60)/2)*(1+POWER((((AO525*24*60) / (AN525*24*60 ))),2)))),""),"")</f>
        <v/>
      </c>
      <c r="AR525" s="36" t="str">
        <f t="shared" ref="AR525:AR546" si="129">IF(AND(AP525&lt;&gt;"",AM525&lt;&gt;""),IF(AB525&lt;&gt;AB526,((AM525*24*60) / 2 ) * (1 + POWER(((AP525*24*60) / (AM525*24*60)),2)),""),"")</f>
        <v/>
      </c>
      <c r="AS525" s="36" t="str">
        <f t="shared" si="123"/>
        <v/>
      </c>
      <c r="AT525" s="37" t="str">
        <f t="shared" ref="AT525:AT546" si="130">IF(AJ525&lt;&gt;"H. Sale Real",IF(AND(AJ526&lt;&gt;"",LEFT(AD526,2)&lt;&gt;"NC"),IF(AND(AJ525&lt;&gt;"",LEFT(AD525,2)&lt;&gt;"NC",AJ525&lt;&gt;"H. Sale Real"),IF(AJ526-AJ525&lt;0.208333333333333,AJ526-AJ525,""),IF(AND(AJ524&lt;&gt;"",LEFT(AD524,2)&lt;&gt;"NC",AJ524&lt;&gt;"H. Sale Real"),IF(AJ526-AJ524&lt;0.208333333333333,AJ526-AJ524,""),IF(AND(AJ523&lt;&gt;"",LEFT(AD523,2)&lt;&gt;"NC",AJ523&lt;&gt;"H. Sale Real"),IF(AJ526-AJ523&lt;0.208333333333333,AJ526-AJ523,""),IF(AND(AJ522&lt;&gt;"",LEFT(AD522,2)&lt;&gt;"NC",AJ522&lt;&gt;"H. Sale Real"),IF(AJ526-AJ522&lt;0.208333333333333,AJ526-AJ522,""),IF(AND(AJ521&lt;&gt;"",LEFT(AD521,2)&lt;&gt;"NC",AJ521&lt;&gt;"H. Sale Real"),IF(AJ526-AJ521&lt;0.208333333333333,AJ526-AJ521,""),""))))),""),"")</f>
        <v/>
      </c>
      <c r="AU525" s="37" t="str">
        <f t="shared" ref="AU525:AU546" si="131">IF(AH525&lt;&gt;"H. Sale Real",IF(AND(AH526&lt;&gt;"",LEFT(AD526,2)&lt;&gt;"NC"),IF(AND(AH525&lt;&gt;"",LEFT(AD525,2)&lt;&gt;"NC",AH525&lt;&gt;"H. Sale Real"),IF(AH526-AH525&lt;0.208333333333333,AH526-AH525,""),IF(AND(AH524&lt;&gt;"",LEFT(AD524,2)&lt;&gt;"NC",AH524&lt;&gt;"H. Sale Real"),IF(AH526-AH524&lt;0.208333333333333,AH526-AH524,""),IF(AND(AH523&lt;&gt;"",LEFT(AD523,2)&lt;&gt;"NC",AH523&lt;&gt;"H. Sale Real"),IF(AH526-AH523&lt;0.208333333333333,AH526-AH523,""),IF(AND(AH522&lt;&gt;"",LEFT(AD522,2)&lt;&gt;"NC",AH522&lt;&gt;"H. Sale Real"),IF(AH526-AH522&lt;0.208333333333333,AH526-AH522,""),IF(AND(AH521&lt;&gt;"",LEFT(AD521,2)&lt;&gt;"NC",AH521&lt;&gt;"H. Sale Real"),IF(AH526-AH521&lt;0.208333333333333,AH526-AH521,""),""))))),""),"")</f>
        <v/>
      </c>
      <c r="AV525" s="54"/>
      <c r="AW525" s="46"/>
      <c r="AX525" s="39" t="str" cm="1">
        <f t="array" ref="AX525">IF(AH525&lt;&gt;"",IF(AND(AX523:AX524&lt;&gt;"IE",AQ525&lt;&gt;0,AS525&lt;&gt;""),IF(IFERROR((AQ525/AS525),0) &lt;=1,IFERROR(AQ525/AS525,""),1),""),"")</f>
        <v/>
      </c>
      <c r="AY525" s="46"/>
      <c r="AZ525" s="57"/>
    </row>
    <row r="526" spans="1:52" ht="15.5" x14ac:dyDescent="0.35">
      <c r="A526" s="51">
        <f t="shared" si="124"/>
        <v>1</v>
      </c>
      <c r="B526" s="52"/>
      <c r="C526" s="52"/>
      <c r="D526" s="29" t="str">
        <f>IFERROR(
IF(AND(OR(Planilla!B526="C",Planilla!B526="c"), VLOOKUP(E526,[1]Diccionario!B:N,13,0)="C"), "OK",IF(AND(OR(Planilla!B526="C",Planilla!B526="c"), OR(VLOOKUP(E526,[1]Diccionario!B:N,13,0)="B", VLOOKUP(E526,[1]Diccionario!B:N,13,0)="A")), "DEFICIT",IF(
AND(OR(Planilla!B526="B", Planilla!B526="BPAL"), VLOOKUP(E526,[1]Diccionario!B:N,13,0)="B"), "OK",IF(AND(OR(Planilla!B526="B", Planilla!B526="BPAL"), VLOOKUP(E526,[1]Diccionario!B:N,13,0)="A"), "DEFICIT",IF(AND(OR(Planilla!B526="B", Planilla!B526="BPAL"), VLOOKUP(E526,[1]Diccionario!B:N,13,0)="C"), "SOBREOFERTA",IF(AND(Planilla!B526="A", VLOOKUP(E526,[1]Diccionario!B:N,13,0)="A"), "OK",IF(
AND(Planilla!B526="A", OR(VLOOKUP(E526,[1]Diccionario!B:N,13,0)="B", VLOOKUP(E526,[1]Diccionario!B:N,13,0)="C")), "SOBREOFERTA",""
))))))),"")</f>
        <v/>
      </c>
      <c r="E526" s="48"/>
      <c r="F526" s="53"/>
      <c r="G526" s="54"/>
      <c r="H526" s="55" t="str">
        <f t="shared" ref="H526:H547" si="132">IF(I526="","",IF(AND((I526-G526)&gt;=TIME(0,0,0),(I526-G526)&lt;TIME(0,3,0)),"OK",IF(AND((I526-G526)&gt;=TIME(0,3,0),(I526-G526)&lt;TIME(0,5,0)),"RETRASO DE 3-5 MIN",IF(AND((I526-G526)&gt;=TIME(0,5,0),(I526-G526)&lt;TIME(0,10,0)),"RETRASO DE 5-10 MIN",IF((I526-G526)&gt;=TIME(0,10,0),"RETRASO &gt;10 MIN",         IF(AND((G526-I526)&gt;=TIME(0,0,0),(G526-I526)&lt;TIME(0,3,0)),"OK",IF((G526-I526)&gt;=TIME(0,3,0),"ADELANTADO")))))))</f>
        <v/>
      </c>
      <c r="I526" s="35"/>
      <c r="J526" s="34" t="e">
        <f>IF(A526&lt;&gt;"",HLOOKUP(VALUE(TEXT(G526,"h:mm:ss")),IF($C$6="Laboral",[1]Input!$A$4:$Y$227,IF($C$6="Sábado",[1]Input!$A$231:$Y$452,[1]Input!$A$456:$Y$656)),VLOOKUP($C$4,[1]Input!$AG$2:$AI$99,3,0)+IF(C$5="Ida",0,1),1),"")</f>
        <v>#N/A</v>
      </c>
      <c r="K526" s="34" t="str">
        <f>IF(A527&lt;&gt;A526,AVERAGEIF(A$9:A526,A526,J$13:J526),"")</f>
        <v/>
      </c>
      <c r="L526" s="35" t="str">
        <f>IFERROR(IF(A527&lt;&gt;A526,AVERAGEIF(A$9:A526,A526,S$13:S526),""),"")</f>
        <v/>
      </c>
      <c r="M526" s="35" t="str">
        <f>IFERROR(IF(A527&lt;&gt;A526,AVERAGEIF(A$9:A526,A526,T$8:T526),""),"")</f>
        <v/>
      </c>
      <c r="N526" s="35" t="str" cm="1">
        <f t="array" ref="N526">IFERROR(IF(A527&lt;&gt;A526,_xlfn.STDEV.P(IF(A$9:A526=A526,T$7:T526)),""),"")</f>
        <v/>
      </c>
      <c r="O526" s="35" t="str" cm="1">
        <f t="array" ref="O526">IFERROR(IF(A527&lt;&gt;A526,_xlfn.STDEV.P(IF(A$9:A526=A526,S$7:S526)),""),"")</f>
        <v/>
      </c>
      <c r="P526" s="36" t="str">
        <f t="shared" si="125"/>
        <v/>
      </c>
      <c r="Q526" s="36" t="str">
        <f t="shared" si="126"/>
        <v/>
      </c>
      <c r="R526" s="36" t="str">
        <f t="shared" ref="R526:R547" si="133">IF(Q526&lt;&gt;"",MAX(P526,Q526),"")</f>
        <v/>
      </c>
      <c r="S526" s="37" t="str">
        <f t="shared" ref="S526:S546" si="134">IF(I526&lt;&gt;"H. Sale Real",IF(AND(I527&lt;&gt;"",LEFT(C527,2)&lt;&gt;"NC"),IF(AND(I526&lt;&gt;"",LEFT(C526,2)&lt;&gt;"NC",I526&lt;&gt;"H. Sale Real"),IF(I527-I526&lt;0.208333333333333,I527-I526,""),IF(AND(I525&lt;&gt;"",LEFT(C525,2)&lt;&gt;"NC",I525&lt;&gt;"H. Sale Real"),IF(I527-I525&lt;0.208333333333333,I527-I525,""),IF(AND(I524&lt;&gt;"",LEFT(C524,2)&lt;&gt;"NC",I524&lt;&gt;"H. Sale Real"),IF(I527-I524&lt;0.208333333333333,I527-I524,""),IF(AND(I523&lt;&gt;"",LEFT(C523,2)&lt;&gt;"NC",I523&lt;&gt;"H. Sale Real"),IF(I527-I523&lt;0.208333333333333,I527-I523,""),IF(AND(I522&lt;&gt;"",LEFT(C522,2)&lt;&gt;"NC",I522&lt;&gt;"H. Sale Real"),IF(I527-I522&lt;0.208333333333333,I527-I522,""),""))))),""),"")</f>
        <v/>
      </c>
      <c r="T526" s="37" t="str">
        <f t="shared" si="127"/>
        <v/>
      </c>
      <c r="U526" s="54"/>
      <c r="V526" s="46"/>
      <c r="W526" s="39" t="str">
        <f t="shared" ref="W526:W547" si="135">IF(G526&lt;&gt;"",IF(AND(W525&lt;&gt;"IE",P526&lt;&gt;0,R526&lt;&gt;""),IF(IFERROR((P526/R526),0) &lt;=1,IFERROR(P526/R526,""),1),""),"")</f>
        <v/>
      </c>
      <c r="X526" s="38"/>
      <c r="Y526" s="48"/>
      <c r="AB526" s="56">
        <f t="shared" ref="AB526:AB547" si="136">HOUR(AH526)+1</f>
        <v>1</v>
      </c>
      <c r="AC526" s="52"/>
      <c r="AD526" s="52"/>
      <c r="AE526" s="29" t="str">
        <f>IFERROR(
IF(AND(OR(AC526="C",AC526="c"), VLOOKUP(AF526,[1]Diccionario!B:N,13,0)="C"), "OK",IF(AND(OR(AC526="C",AC526="c"), OR(VLOOKUP(AF526,[1]Diccionario!B:N,13,0)="B", VLOOKUP(AF526,[1]Diccionario!B:N,13,0)="A")), "DEFICIT",IF(
AND(OR(AC526="B", AC526="BPAL"), VLOOKUP(AF526,[1]Diccionario!B:N,13,0)="B"), "OK",IF(AND(OR(AC526="B", AC526="BPAL"), VLOOKUP(AF526,[1]Diccionario!B:N,13,0)="A"), "DEFICIT",IF(AND(OR(AC526="B", AC526="BPAL"), VLOOKUP(AF526,[1]Diccionario!B:N,13,0)="C"), "SOBREOFERTA",IF(AND(AC526="A", VLOOKUP(AF526,[1]Diccionario!B:N,13,0)="A"), "OK",IF(
AND(AC526="A", OR(VLOOKUP(AF526,[1]Diccionario!B:N,13,0)="B", VLOOKUP(AF526,[1]Diccionario!B:N,13,0)="C")), "SOBREOFERTA",""
))))))),"")</f>
        <v/>
      </c>
      <c r="AF526" s="48"/>
      <c r="AG526" s="53"/>
      <c r="AH526" s="54"/>
      <c r="AI526" s="55" t="str">
        <f t="shared" ref="AI526:AI547" si="137">IF(AJ526="","",IF(AND((AJ526-AH526)&gt;=TIME(0,0,0),(AJ526-AH526)&lt;TIME(0,3,0)),"OK",IF(AND((AJ526-AH526)&gt;=TIME(0,3,0),(AJ526-AH526)&lt;TIME(0,5,0)),"RETRASO DE 3-5 MIN",IF(AND((AJ526-AH526)&gt;=TIME(0,5,0),(AJ526-AH526)&lt;TIME(0,10,0)),"RETRASO DE 5-10 MIN",IF((AJ526-AH526)&gt;=TIME(0,10,0),"RETRASO &gt;10 MIN",         IF(AND((AH526-AJ526)&gt;=TIME(0,0,0),(AH526-AJ526)&lt;TIME(0,3,0)),"OK",IF((AH526-AJ526)&gt;=TIME(0,3,0),"ADELANTADO")))))))</f>
        <v/>
      </c>
      <c r="AJ526" s="46"/>
      <c r="AK526" s="34" t="e">
        <f>IF(AB526&lt;&gt;"",HLOOKUP(VALUE(TEXT(AH526,"h:mm:ss")),IF($C$6="Laboral",[1]Input!$A$4:$Y$227,IF($C$6="Sábado",[1]Input!$A$231:$Y$452,[1]Input!$A$456:$Y$656)),VLOOKUP($C$4,[1]Input!$AG$2:$AI$99,3,0)+IF(AD$5="Ida",0,1),1),"")</f>
        <v>#N/A</v>
      </c>
      <c r="AL526" s="34" t="str">
        <f>IF(AB527&lt;&gt;AB526,AVERAGEIF(AB$9:AB526,AB526,AK$9:AK526),"")</f>
        <v/>
      </c>
      <c r="AM526" s="35" t="str">
        <f>IFERROR(IF(AB527&lt;&gt;AB526,AVERAGEIF(AB$9:AB526,AB526,AT$9:AT526),""),"")</f>
        <v/>
      </c>
      <c r="AN526" s="35" t="str">
        <f>IFERROR(IF(AB527&lt;&gt;AB526,AVERAGEIF(AB$9:AB526,AB526,AU$9:AU526),""),"")</f>
        <v/>
      </c>
      <c r="AO526" s="35" t="str" cm="1">
        <f t="array" ref="AO526">IFERROR(IF(AB527&lt;&gt;AB526,_xlfn.STDEV.P(IF(AB$9:AB526=AB526,AU$9:AU526)),""),"")</f>
        <v/>
      </c>
      <c r="AP526" s="35" t="str" cm="1">
        <f t="array" ref="AP526">IFERROR(IF(AB527&lt;&gt;AB526,_xlfn.STDEV.P(IF(AB$9:AB526=AB526,AT$9:AT526)),""),"")</f>
        <v/>
      </c>
      <c r="AQ526" s="36" t="str">
        <f t="shared" si="128"/>
        <v/>
      </c>
      <c r="AR526" s="36" t="str">
        <f t="shared" si="129"/>
        <v/>
      </c>
      <c r="AS526" s="36" t="str">
        <f t="shared" ref="AS526:AS547" si="138">IF(AR526&lt;&gt;"",MAX(AQ526,AR526),"")</f>
        <v/>
      </c>
      <c r="AT526" s="37" t="str">
        <f t="shared" si="130"/>
        <v/>
      </c>
      <c r="AU526" s="37" t="str">
        <f t="shared" si="131"/>
        <v/>
      </c>
      <c r="AV526" s="54"/>
      <c r="AW526" s="46"/>
      <c r="AX526" s="39" t="str" cm="1">
        <f t="array" ref="AX526">IF(AH526&lt;&gt;"",IF(AND(AX524:AX525&lt;&gt;"IE",AQ526&lt;&gt;0,AS526&lt;&gt;""),IF(IFERROR((AQ526/AS526),0) &lt;=1,IFERROR(AQ526/AS526,""),1),""),"")</f>
        <v/>
      </c>
      <c r="AY526" s="46"/>
      <c r="AZ526" s="57"/>
    </row>
    <row r="527" spans="1:52" ht="15.5" x14ac:dyDescent="0.35">
      <c r="A527" s="51">
        <f t="shared" ref="A527:A547" si="139">HOUR(G527)+1</f>
        <v>1</v>
      </c>
      <c r="B527" s="52"/>
      <c r="C527" s="52"/>
      <c r="D527" s="29" t="str">
        <f>IFERROR(
IF(AND(OR(Planilla!B527="C",Planilla!B527="c"), VLOOKUP(E527,[1]Diccionario!B:N,13,0)="C"), "OK",IF(AND(OR(Planilla!B527="C",Planilla!B527="c"), OR(VLOOKUP(E527,[1]Diccionario!B:N,13,0)="B", VLOOKUP(E527,[1]Diccionario!B:N,13,0)="A")), "DEFICIT",IF(
AND(OR(Planilla!B527="B", Planilla!B527="BPAL"), VLOOKUP(E527,[1]Diccionario!B:N,13,0)="B"), "OK",IF(AND(OR(Planilla!B527="B", Planilla!B527="BPAL"), VLOOKUP(E527,[1]Diccionario!B:N,13,0)="A"), "DEFICIT",IF(AND(OR(Planilla!B527="B", Planilla!B527="BPAL"), VLOOKUP(E527,[1]Diccionario!B:N,13,0)="C"), "SOBREOFERTA",IF(AND(Planilla!B527="A", VLOOKUP(E527,[1]Diccionario!B:N,13,0)="A"), "OK",IF(
AND(Planilla!B527="A", OR(VLOOKUP(E527,[1]Diccionario!B:N,13,0)="B", VLOOKUP(E527,[1]Diccionario!B:N,13,0)="C")), "SOBREOFERTA",""
))))))),"")</f>
        <v/>
      </c>
      <c r="E527" s="48"/>
      <c r="F527" s="53"/>
      <c r="G527" s="54"/>
      <c r="H527" s="55" t="str">
        <f t="shared" si="132"/>
        <v/>
      </c>
      <c r="I527" s="35"/>
      <c r="J527" s="34" t="e">
        <f>IF(A527&lt;&gt;"",HLOOKUP(VALUE(TEXT(G527,"h:mm:ss")),IF($C$6="Laboral",[1]Input!$A$4:$Y$227,IF($C$6="Sábado",[1]Input!$A$231:$Y$452,[1]Input!$A$456:$Y$656)),VLOOKUP($C$4,[1]Input!$AG$2:$AI$99,3,0)+IF(C$5="Ida",0,1),1),"")</f>
        <v>#N/A</v>
      </c>
      <c r="K527" s="34" t="str">
        <f>IF(A528&lt;&gt;A527,AVERAGEIF(A$9:A527,A527,J$13:J527),"")</f>
        <v/>
      </c>
      <c r="L527" s="35" t="str">
        <f>IFERROR(IF(A528&lt;&gt;A527,AVERAGEIF(A$9:A527,A527,S$13:S527),""),"")</f>
        <v/>
      </c>
      <c r="M527" s="35" t="str">
        <f>IFERROR(IF(A528&lt;&gt;A527,AVERAGEIF(A$9:A527,A527,T$8:T527),""),"")</f>
        <v/>
      </c>
      <c r="N527" s="35" t="str" cm="1">
        <f t="array" ref="N527">IFERROR(IF(A528&lt;&gt;A527,_xlfn.STDEV.P(IF(A$9:A527=A527,T$7:T527)),""),"")</f>
        <v/>
      </c>
      <c r="O527" s="35" t="str" cm="1">
        <f t="array" ref="O527">IFERROR(IF(A528&lt;&gt;A527,_xlfn.STDEV.P(IF(A$9:A527=A527,S$7:S527)),""),"")</f>
        <v/>
      </c>
      <c r="P527" s="36" t="str">
        <f t="shared" si="125"/>
        <v/>
      </c>
      <c r="Q527" s="36" t="str">
        <f t="shared" si="126"/>
        <v/>
      </c>
      <c r="R527" s="36" t="str">
        <f t="shared" si="133"/>
        <v/>
      </c>
      <c r="S527" s="37" t="str">
        <f t="shared" si="134"/>
        <v/>
      </c>
      <c r="T527" s="37" t="str">
        <f t="shared" si="127"/>
        <v/>
      </c>
      <c r="U527" s="54"/>
      <c r="V527" s="46"/>
      <c r="W527" s="39" t="str">
        <f t="shared" si="135"/>
        <v/>
      </c>
      <c r="X527" s="38"/>
      <c r="Y527" s="48"/>
      <c r="AB527" s="56">
        <f t="shared" si="136"/>
        <v>1</v>
      </c>
      <c r="AC527" s="52"/>
      <c r="AD527" s="52"/>
      <c r="AE527" s="29" t="str">
        <f>IFERROR(
IF(AND(OR(AC527="C",AC527="c"), VLOOKUP(AF527,[1]Diccionario!B:N,13,0)="C"), "OK",IF(AND(OR(AC527="C",AC527="c"), OR(VLOOKUP(AF527,[1]Diccionario!B:N,13,0)="B", VLOOKUP(AF527,[1]Diccionario!B:N,13,0)="A")), "DEFICIT",IF(
AND(OR(AC527="B", AC527="BPAL"), VLOOKUP(AF527,[1]Diccionario!B:N,13,0)="B"), "OK",IF(AND(OR(AC527="B", AC527="BPAL"), VLOOKUP(AF527,[1]Diccionario!B:N,13,0)="A"), "DEFICIT",IF(AND(OR(AC527="B", AC527="BPAL"), VLOOKUP(AF527,[1]Diccionario!B:N,13,0)="C"), "SOBREOFERTA",IF(AND(AC527="A", VLOOKUP(AF527,[1]Diccionario!B:N,13,0)="A"), "OK",IF(
AND(AC527="A", OR(VLOOKUP(AF527,[1]Diccionario!B:N,13,0)="B", VLOOKUP(AF527,[1]Diccionario!B:N,13,0)="C")), "SOBREOFERTA",""
))))))),"")</f>
        <v/>
      </c>
      <c r="AF527" s="48"/>
      <c r="AG527" s="53"/>
      <c r="AH527" s="54"/>
      <c r="AI527" s="55" t="str">
        <f t="shared" si="137"/>
        <v/>
      </c>
      <c r="AJ527" s="46"/>
      <c r="AK527" s="34" t="e">
        <f>IF(AB527&lt;&gt;"",HLOOKUP(VALUE(TEXT(AH527,"h:mm:ss")),IF($C$6="Laboral",[1]Input!$A$4:$Y$227,IF($C$6="Sábado",[1]Input!$A$231:$Y$452,[1]Input!$A$456:$Y$656)),VLOOKUP($C$4,[1]Input!$AG$2:$AI$99,3,0)+IF(AD$5="Ida",0,1),1),"")</f>
        <v>#N/A</v>
      </c>
      <c r="AL527" s="34" t="str">
        <f>IF(AB528&lt;&gt;AB527,AVERAGEIF(AB$9:AB527,AB527,AK$9:AK527),"")</f>
        <v/>
      </c>
      <c r="AM527" s="35" t="str">
        <f>IFERROR(IF(AB528&lt;&gt;AB527,AVERAGEIF(AB$9:AB527,AB527,AT$9:AT527),""),"")</f>
        <v/>
      </c>
      <c r="AN527" s="35" t="str">
        <f>IFERROR(IF(AB528&lt;&gt;AB527,AVERAGEIF(AB$9:AB527,AB527,AU$9:AU527),""),"")</f>
        <v/>
      </c>
      <c r="AO527" s="35" t="str" cm="1">
        <f t="array" ref="AO527">IFERROR(IF(AB528&lt;&gt;AB527,_xlfn.STDEV.P(IF(AB$9:AB527=AB527,AU$9:AU527)),""),"")</f>
        <v/>
      </c>
      <c r="AP527" s="35" t="str" cm="1">
        <f t="array" ref="AP527">IFERROR(IF(AB528&lt;&gt;AB527,_xlfn.STDEV.P(IF(AB$9:AB527=AB527,AT$9:AT527)),""),"")</f>
        <v/>
      </c>
      <c r="AQ527" s="36" t="str">
        <f t="shared" si="128"/>
        <v/>
      </c>
      <c r="AR527" s="36" t="str">
        <f t="shared" si="129"/>
        <v/>
      </c>
      <c r="AS527" s="36" t="str">
        <f t="shared" si="138"/>
        <v/>
      </c>
      <c r="AT527" s="37" t="str">
        <f t="shared" si="130"/>
        <v/>
      </c>
      <c r="AU527" s="37" t="str">
        <f t="shared" si="131"/>
        <v/>
      </c>
      <c r="AV527" s="54"/>
      <c r="AW527" s="46"/>
      <c r="AX527" s="39" t="str" cm="1">
        <f t="array" ref="AX527">IF(AH527&lt;&gt;"",IF(AND(AX525:AX526&lt;&gt;"IE",AQ527&lt;&gt;0,AS527&lt;&gt;""),IF(IFERROR((AQ527/AS527),0) &lt;=1,IFERROR(AQ527/AS527,""),1),""),"")</f>
        <v/>
      </c>
      <c r="AY527" s="46"/>
      <c r="AZ527" s="57"/>
    </row>
    <row r="528" spans="1:52" ht="15.5" x14ac:dyDescent="0.35">
      <c r="A528" s="51">
        <f t="shared" si="139"/>
        <v>1</v>
      </c>
      <c r="B528" s="52"/>
      <c r="C528" s="52"/>
      <c r="D528" s="29" t="str">
        <f>IFERROR(
IF(AND(OR(Planilla!B528="C",Planilla!B528="c"), VLOOKUP(E528,[1]Diccionario!B:N,13,0)="C"), "OK",IF(AND(OR(Planilla!B528="C",Planilla!B528="c"), OR(VLOOKUP(E528,[1]Diccionario!B:N,13,0)="B", VLOOKUP(E528,[1]Diccionario!B:N,13,0)="A")), "DEFICIT",IF(
AND(OR(Planilla!B528="B", Planilla!B528="BPAL"), VLOOKUP(E528,[1]Diccionario!B:N,13,0)="B"), "OK",IF(AND(OR(Planilla!B528="B", Planilla!B528="BPAL"), VLOOKUP(E528,[1]Diccionario!B:N,13,0)="A"), "DEFICIT",IF(AND(OR(Planilla!B528="B", Planilla!B528="BPAL"), VLOOKUP(E528,[1]Diccionario!B:N,13,0)="C"), "SOBREOFERTA",IF(AND(Planilla!B528="A", VLOOKUP(E528,[1]Diccionario!B:N,13,0)="A"), "OK",IF(
AND(Planilla!B528="A", OR(VLOOKUP(E528,[1]Diccionario!B:N,13,0)="B", VLOOKUP(E528,[1]Diccionario!B:N,13,0)="C")), "SOBREOFERTA",""
))))))),"")</f>
        <v/>
      </c>
      <c r="E528" s="48"/>
      <c r="F528" s="53"/>
      <c r="G528" s="54"/>
      <c r="H528" s="55" t="str">
        <f t="shared" si="132"/>
        <v/>
      </c>
      <c r="I528" s="35"/>
      <c r="J528" s="34" t="e">
        <f>IF(A528&lt;&gt;"",HLOOKUP(VALUE(TEXT(G528,"h:mm:ss")),IF($C$6="Laboral",[1]Input!$A$4:$Y$227,IF($C$6="Sábado",[1]Input!$A$231:$Y$452,[1]Input!$A$456:$Y$656)),VLOOKUP($C$4,[1]Input!$AG$2:$AI$99,3,0)+IF(C$5="Ida",0,1),1),"")</f>
        <v>#N/A</v>
      </c>
      <c r="K528" s="34" t="str">
        <f>IF(A529&lt;&gt;A528,AVERAGEIF(A$9:A528,A528,J$13:J528),"")</f>
        <v/>
      </c>
      <c r="L528" s="35" t="str">
        <f>IFERROR(IF(A529&lt;&gt;A528,AVERAGEIF(A$9:A528,A528,S$13:S528),""),"")</f>
        <v/>
      </c>
      <c r="M528" s="35" t="str">
        <f>IFERROR(IF(A529&lt;&gt;A528,AVERAGEIF(A$9:A528,A528,T$8:T528),""),"")</f>
        <v/>
      </c>
      <c r="N528" s="35" t="str" cm="1">
        <f t="array" ref="N528">IFERROR(IF(A529&lt;&gt;A528,_xlfn.STDEV.P(IF(A$9:A528=A528,T$7:T528)),""),"")</f>
        <v/>
      </c>
      <c r="O528" s="35" t="str" cm="1">
        <f t="array" ref="O528">IFERROR(IF(A529&lt;&gt;A528,_xlfn.STDEV.P(IF(A$9:A528=A528,S$7:S528)),""),"")</f>
        <v/>
      </c>
      <c r="P528" s="36" t="str">
        <f t="shared" si="125"/>
        <v/>
      </c>
      <c r="Q528" s="36" t="str">
        <f t="shared" si="126"/>
        <v/>
      </c>
      <c r="R528" s="36" t="str">
        <f t="shared" si="133"/>
        <v/>
      </c>
      <c r="S528" s="37" t="str">
        <f t="shared" si="134"/>
        <v/>
      </c>
      <c r="T528" s="37" t="str">
        <f t="shared" si="127"/>
        <v/>
      </c>
      <c r="U528" s="54"/>
      <c r="V528" s="46"/>
      <c r="W528" s="39" t="str">
        <f t="shared" si="135"/>
        <v/>
      </c>
      <c r="X528" s="38"/>
      <c r="Y528" s="48"/>
      <c r="AB528" s="56">
        <f t="shared" si="136"/>
        <v>1</v>
      </c>
      <c r="AC528" s="52"/>
      <c r="AD528" s="52"/>
      <c r="AE528" s="29" t="str">
        <f>IFERROR(
IF(AND(OR(AC528="C",AC528="c"), VLOOKUP(AF528,[1]Diccionario!B:N,13,0)="C"), "OK",IF(AND(OR(AC528="C",AC528="c"), OR(VLOOKUP(AF528,[1]Diccionario!B:N,13,0)="B", VLOOKUP(AF528,[1]Diccionario!B:N,13,0)="A")), "DEFICIT",IF(
AND(OR(AC528="B", AC528="BPAL"), VLOOKUP(AF528,[1]Diccionario!B:N,13,0)="B"), "OK",IF(AND(OR(AC528="B", AC528="BPAL"), VLOOKUP(AF528,[1]Diccionario!B:N,13,0)="A"), "DEFICIT",IF(AND(OR(AC528="B", AC528="BPAL"), VLOOKUP(AF528,[1]Diccionario!B:N,13,0)="C"), "SOBREOFERTA",IF(AND(AC528="A", VLOOKUP(AF528,[1]Diccionario!B:N,13,0)="A"), "OK",IF(
AND(AC528="A", OR(VLOOKUP(AF528,[1]Diccionario!B:N,13,0)="B", VLOOKUP(AF528,[1]Diccionario!B:N,13,0)="C")), "SOBREOFERTA",""
))))))),"")</f>
        <v/>
      </c>
      <c r="AF528" s="48"/>
      <c r="AG528" s="53"/>
      <c r="AH528" s="54"/>
      <c r="AI528" s="55" t="str">
        <f t="shared" si="137"/>
        <v/>
      </c>
      <c r="AJ528" s="46"/>
      <c r="AK528" s="34" t="e">
        <f>IF(AB528&lt;&gt;"",HLOOKUP(VALUE(TEXT(AH528,"h:mm:ss")),IF($C$6="Laboral",[1]Input!$A$4:$Y$227,IF($C$6="Sábado",[1]Input!$A$231:$Y$452,[1]Input!$A$456:$Y$656)),VLOOKUP($C$4,[1]Input!$AG$2:$AI$99,3,0)+IF(AD$5="Ida",0,1),1),"")</f>
        <v>#N/A</v>
      </c>
      <c r="AL528" s="34" t="str">
        <f>IF(AB529&lt;&gt;AB528,AVERAGEIF(AB$9:AB528,AB528,AK$9:AK528),"")</f>
        <v/>
      </c>
      <c r="AM528" s="35" t="str">
        <f>IFERROR(IF(AB529&lt;&gt;AB528,AVERAGEIF(AB$9:AB528,AB528,AT$9:AT528),""),"")</f>
        <v/>
      </c>
      <c r="AN528" s="35" t="str">
        <f>IFERROR(IF(AB529&lt;&gt;AB528,AVERAGEIF(AB$9:AB528,AB528,AU$9:AU528),""),"")</f>
        <v/>
      </c>
      <c r="AO528" s="35" t="str" cm="1">
        <f t="array" ref="AO528">IFERROR(IF(AB529&lt;&gt;AB528,_xlfn.STDEV.P(IF(AB$9:AB528=AB528,AU$9:AU528)),""),"")</f>
        <v/>
      </c>
      <c r="AP528" s="35" t="str" cm="1">
        <f t="array" ref="AP528">IFERROR(IF(AB529&lt;&gt;AB528,_xlfn.STDEV.P(IF(AB$9:AB528=AB528,AT$9:AT528)),""),"")</f>
        <v/>
      </c>
      <c r="AQ528" s="36" t="str">
        <f t="shared" si="128"/>
        <v/>
      </c>
      <c r="AR528" s="36" t="str">
        <f t="shared" si="129"/>
        <v/>
      </c>
      <c r="AS528" s="36" t="str">
        <f t="shared" si="138"/>
        <v/>
      </c>
      <c r="AT528" s="37" t="str">
        <f t="shared" si="130"/>
        <v/>
      </c>
      <c r="AU528" s="37" t="str">
        <f t="shared" si="131"/>
        <v/>
      </c>
      <c r="AV528" s="54"/>
      <c r="AW528" s="46"/>
      <c r="AX528" s="39" t="str" cm="1">
        <f t="array" ref="AX528">IF(AH528&lt;&gt;"",IF(AND(AX526:AX527&lt;&gt;"IE",AQ528&lt;&gt;0,AS528&lt;&gt;""),IF(IFERROR((AQ528/AS528),0) &lt;=1,IFERROR(AQ528/AS528,""),1),""),"")</f>
        <v/>
      </c>
      <c r="AY528" s="46"/>
      <c r="AZ528" s="57"/>
    </row>
    <row r="529" spans="1:52" ht="15.5" x14ac:dyDescent="0.35">
      <c r="A529" s="51">
        <f t="shared" si="139"/>
        <v>1</v>
      </c>
      <c r="B529" s="52"/>
      <c r="C529" s="52"/>
      <c r="D529" s="29" t="str">
        <f>IFERROR(
IF(AND(OR(Planilla!B529="C",Planilla!B529="c"), VLOOKUP(E529,[1]Diccionario!B:N,13,0)="C"), "OK",IF(AND(OR(Planilla!B529="C",Planilla!B529="c"), OR(VLOOKUP(E529,[1]Diccionario!B:N,13,0)="B", VLOOKUP(E529,[1]Diccionario!B:N,13,0)="A")), "DEFICIT",IF(
AND(OR(Planilla!B529="B", Planilla!B529="BPAL"), VLOOKUP(E529,[1]Diccionario!B:N,13,0)="B"), "OK",IF(AND(OR(Planilla!B529="B", Planilla!B529="BPAL"), VLOOKUP(E529,[1]Diccionario!B:N,13,0)="A"), "DEFICIT",IF(AND(OR(Planilla!B529="B", Planilla!B529="BPAL"), VLOOKUP(E529,[1]Diccionario!B:N,13,0)="C"), "SOBREOFERTA",IF(AND(Planilla!B529="A", VLOOKUP(E529,[1]Diccionario!B:N,13,0)="A"), "OK",IF(
AND(Planilla!B529="A", OR(VLOOKUP(E529,[1]Diccionario!B:N,13,0)="B", VLOOKUP(E529,[1]Diccionario!B:N,13,0)="C")), "SOBREOFERTA",""
))))))),"")</f>
        <v/>
      </c>
      <c r="E529" s="48"/>
      <c r="F529" s="53"/>
      <c r="G529" s="54"/>
      <c r="H529" s="55" t="str">
        <f t="shared" si="132"/>
        <v/>
      </c>
      <c r="I529" s="35"/>
      <c r="J529" s="34" t="e">
        <f>IF(A529&lt;&gt;"",HLOOKUP(VALUE(TEXT(G529,"h:mm:ss")),IF($C$6="Laboral",[1]Input!$A$4:$Y$227,IF($C$6="Sábado",[1]Input!$A$231:$Y$452,[1]Input!$A$456:$Y$656)),VLOOKUP($C$4,[1]Input!$AG$2:$AI$99,3,0)+IF(C$5="Ida",0,1),1),"")</f>
        <v>#N/A</v>
      </c>
      <c r="K529" s="34" t="str">
        <f>IF(A530&lt;&gt;A529,AVERAGEIF(A$9:A529,A529,J$13:J529),"")</f>
        <v/>
      </c>
      <c r="L529" s="35" t="str">
        <f>IFERROR(IF(A530&lt;&gt;A529,AVERAGEIF(A$9:A529,A529,S$13:S529),""),"")</f>
        <v/>
      </c>
      <c r="M529" s="35" t="str">
        <f>IFERROR(IF(A530&lt;&gt;A529,AVERAGEIF(A$9:A529,A529,T$8:T529),""),"")</f>
        <v/>
      </c>
      <c r="N529" s="35" t="str" cm="1">
        <f t="array" ref="N529">IFERROR(IF(A530&lt;&gt;A529,_xlfn.STDEV.P(IF(A$9:A529=A529,T$7:T529)),""),"")</f>
        <v/>
      </c>
      <c r="O529" s="35" t="str" cm="1">
        <f t="array" ref="O529">IFERROR(IF(A530&lt;&gt;A529,_xlfn.STDEV.P(IF(A$9:A529=A529,S$7:S529)),""),"")</f>
        <v/>
      </c>
      <c r="P529" s="36" t="str">
        <f t="shared" si="125"/>
        <v/>
      </c>
      <c r="Q529" s="36" t="str">
        <f t="shared" si="126"/>
        <v/>
      </c>
      <c r="R529" s="36" t="str">
        <f t="shared" si="133"/>
        <v/>
      </c>
      <c r="S529" s="37" t="str">
        <f t="shared" si="134"/>
        <v/>
      </c>
      <c r="T529" s="37" t="str">
        <f t="shared" si="127"/>
        <v/>
      </c>
      <c r="U529" s="54"/>
      <c r="V529" s="46"/>
      <c r="W529" s="39" t="str">
        <f t="shared" si="135"/>
        <v/>
      </c>
      <c r="X529" s="38"/>
      <c r="Y529" s="48"/>
      <c r="AB529" s="56">
        <f t="shared" si="136"/>
        <v>1</v>
      </c>
      <c r="AC529" s="52"/>
      <c r="AD529" s="52"/>
      <c r="AE529" s="29" t="str">
        <f>IFERROR(
IF(AND(OR(AC529="C",AC529="c"), VLOOKUP(AF529,[1]Diccionario!B:N,13,0)="C"), "OK",IF(AND(OR(AC529="C",AC529="c"), OR(VLOOKUP(AF529,[1]Diccionario!B:N,13,0)="B", VLOOKUP(AF529,[1]Diccionario!B:N,13,0)="A")), "DEFICIT",IF(
AND(OR(AC529="B", AC529="BPAL"), VLOOKUP(AF529,[1]Diccionario!B:N,13,0)="B"), "OK",IF(AND(OR(AC529="B", AC529="BPAL"), VLOOKUP(AF529,[1]Diccionario!B:N,13,0)="A"), "DEFICIT",IF(AND(OR(AC529="B", AC529="BPAL"), VLOOKUP(AF529,[1]Diccionario!B:N,13,0)="C"), "SOBREOFERTA",IF(AND(AC529="A", VLOOKUP(AF529,[1]Diccionario!B:N,13,0)="A"), "OK",IF(
AND(AC529="A", OR(VLOOKUP(AF529,[1]Diccionario!B:N,13,0)="B", VLOOKUP(AF529,[1]Diccionario!B:N,13,0)="C")), "SOBREOFERTA",""
))))))),"")</f>
        <v/>
      </c>
      <c r="AF529" s="48"/>
      <c r="AG529" s="53"/>
      <c r="AH529" s="54"/>
      <c r="AI529" s="55" t="str">
        <f t="shared" si="137"/>
        <v/>
      </c>
      <c r="AJ529" s="46"/>
      <c r="AK529" s="34" t="e">
        <f>IF(AB529&lt;&gt;"",HLOOKUP(VALUE(TEXT(AH529,"h:mm:ss")),IF($C$6="Laboral",[1]Input!$A$4:$Y$227,IF($C$6="Sábado",[1]Input!$A$231:$Y$452,[1]Input!$A$456:$Y$656)),VLOOKUP($C$4,[1]Input!$AG$2:$AI$99,3,0)+IF(AD$5="Ida",0,1),1),"")</f>
        <v>#N/A</v>
      </c>
      <c r="AL529" s="34" t="str">
        <f>IF(AB530&lt;&gt;AB529,AVERAGEIF(AB$9:AB529,AB529,AK$9:AK529),"")</f>
        <v/>
      </c>
      <c r="AM529" s="35" t="str">
        <f>IFERROR(IF(AB530&lt;&gt;AB529,AVERAGEIF(AB$9:AB529,AB529,AT$9:AT529),""),"")</f>
        <v/>
      </c>
      <c r="AN529" s="35" t="str">
        <f>IFERROR(IF(AB530&lt;&gt;AB529,AVERAGEIF(AB$9:AB529,AB529,AU$9:AU529),""),"")</f>
        <v/>
      </c>
      <c r="AO529" s="35" t="str" cm="1">
        <f t="array" ref="AO529">IFERROR(IF(AB530&lt;&gt;AB529,_xlfn.STDEV.P(IF(AB$9:AB529=AB529,AU$9:AU529)),""),"")</f>
        <v/>
      </c>
      <c r="AP529" s="35" t="str" cm="1">
        <f t="array" ref="AP529">IFERROR(IF(AB530&lt;&gt;AB529,_xlfn.STDEV.P(IF(AB$9:AB529=AB529,AT$9:AT529)),""),"")</f>
        <v/>
      </c>
      <c r="AQ529" s="36" t="str">
        <f t="shared" si="128"/>
        <v/>
      </c>
      <c r="AR529" s="36" t="str">
        <f t="shared" si="129"/>
        <v/>
      </c>
      <c r="AS529" s="36" t="str">
        <f t="shared" si="138"/>
        <v/>
      </c>
      <c r="AT529" s="37" t="str">
        <f t="shared" si="130"/>
        <v/>
      </c>
      <c r="AU529" s="37" t="str">
        <f t="shared" si="131"/>
        <v/>
      </c>
      <c r="AV529" s="54"/>
      <c r="AW529" s="46"/>
      <c r="AX529" s="39" t="str" cm="1">
        <f t="array" ref="AX529">IF(AH529&lt;&gt;"",IF(AND(AX527:AX528&lt;&gt;"IE",AQ529&lt;&gt;0,AS529&lt;&gt;""),IF(IFERROR((AQ529/AS529),0) &lt;=1,IFERROR(AQ529/AS529,""),1),""),"")</f>
        <v/>
      </c>
      <c r="AY529" s="46"/>
      <c r="AZ529" s="57"/>
    </row>
    <row r="530" spans="1:52" ht="15.5" x14ac:dyDescent="0.35">
      <c r="A530" s="51">
        <f t="shared" si="139"/>
        <v>1</v>
      </c>
      <c r="B530" s="52"/>
      <c r="C530" s="52"/>
      <c r="D530" s="29" t="str">
        <f>IFERROR(
IF(AND(OR(Planilla!B530="C",Planilla!B530="c"), VLOOKUP(E530,[1]Diccionario!B:N,13,0)="C"), "OK",IF(AND(OR(Planilla!B530="C",Planilla!B530="c"), OR(VLOOKUP(E530,[1]Diccionario!B:N,13,0)="B", VLOOKUP(E530,[1]Diccionario!B:N,13,0)="A")), "DEFICIT",IF(
AND(OR(Planilla!B530="B", Planilla!B530="BPAL"), VLOOKUP(E530,[1]Diccionario!B:N,13,0)="B"), "OK",IF(AND(OR(Planilla!B530="B", Planilla!B530="BPAL"), VLOOKUP(E530,[1]Diccionario!B:N,13,0)="A"), "DEFICIT",IF(AND(OR(Planilla!B530="B", Planilla!B530="BPAL"), VLOOKUP(E530,[1]Diccionario!B:N,13,0)="C"), "SOBREOFERTA",IF(AND(Planilla!B530="A", VLOOKUP(E530,[1]Diccionario!B:N,13,0)="A"), "OK",IF(
AND(Planilla!B530="A", OR(VLOOKUP(E530,[1]Diccionario!B:N,13,0)="B", VLOOKUP(E530,[1]Diccionario!B:N,13,0)="C")), "SOBREOFERTA",""
))))))),"")</f>
        <v/>
      </c>
      <c r="E530" s="48"/>
      <c r="F530" s="53"/>
      <c r="G530" s="54"/>
      <c r="H530" s="55" t="str">
        <f t="shared" si="132"/>
        <v/>
      </c>
      <c r="I530" s="35"/>
      <c r="J530" s="34" t="e">
        <f>IF(A530&lt;&gt;"",HLOOKUP(VALUE(TEXT(G530,"h:mm:ss")),IF($C$6="Laboral",[1]Input!$A$4:$Y$227,IF($C$6="Sábado",[1]Input!$A$231:$Y$452,[1]Input!$A$456:$Y$656)),VLOOKUP($C$4,[1]Input!$AG$2:$AI$99,3,0)+IF(C$5="Ida",0,1),1),"")</f>
        <v>#N/A</v>
      </c>
      <c r="K530" s="34" t="str">
        <f>IF(A531&lt;&gt;A530,AVERAGEIF(A$9:A530,A530,J$13:J530),"")</f>
        <v/>
      </c>
      <c r="L530" s="35" t="str">
        <f>IFERROR(IF(A531&lt;&gt;A530,AVERAGEIF(A$9:A530,A530,S$13:S530),""),"")</f>
        <v/>
      </c>
      <c r="M530" s="35" t="str">
        <f>IFERROR(IF(A531&lt;&gt;A530,AVERAGEIF(A$9:A530,A530,T$8:T530),""),"")</f>
        <v/>
      </c>
      <c r="N530" s="35" t="str" cm="1">
        <f t="array" ref="N530">IFERROR(IF(A531&lt;&gt;A530,_xlfn.STDEV.P(IF(A$9:A530=A530,T$7:T530)),""),"")</f>
        <v/>
      </c>
      <c r="O530" s="35" t="str" cm="1">
        <f t="array" ref="O530">IFERROR(IF(A531&lt;&gt;A530,_xlfn.STDEV.P(IF(A$9:A530=A530,S$7:S530)),""),"")</f>
        <v/>
      </c>
      <c r="P530" s="36" t="str">
        <f t="shared" si="125"/>
        <v/>
      </c>
      <c r="Q530" s="36" t="str">
        <f t="shared" si="126"/>
        <v/>
      </c>
      <c r="R530" s="36" t="str">
        <f t="shared" si="133"/>
        <v/>
      </c>
      <c r="S530" s="37" t="str">
        <f t="shared" si="134"/>
        <v/>
      </c>
      <c r="T530" s="37" t="str">
        <f t="shared" si="127"/>
        <v/>
      </c>
      <c r="U530" s="54"/>
      <c r="V530" s="46"/>
      <c r="W530" s="39" t="str">
        <f t="shared" si="135"/>
        <v/>
      </c>
      <c r="X530" s="38"/>
      <c r="Y530" s="48"/>
      <c r="AB530" s="56">
        <f t="shared" si="136"/>
        <v>1</v>
      </c>
      <c r="AC530" s="52"/>
      <c r="AD530" s="52"/>
      <c r="AE530" s="29" t="str">
        <f>IFERROR(
IF(AND(OR(AC530="C",AC530="c"), VLOOKUP(AF530,[1]Diccionario!B:N,13,0)="C"), "OK",IF(AND(OR(AC530="C",AC530="c"), OR(VLOOKUP(AF530,[1]Diccionario!B:N,13,0)="B", VLOOKUP(AF530,[1]Diccionario!B:N,13,0)="A")), "DEFICIT",IF(
AND(OR(AC530="B", AC530="BPAL"), VLOOKUP(AF530,[1]Diccionario!B:N,13,0)="B"), "OK",IF(AND(OR(AC530="B", AC530="BPAL"), VLOOKUP(AF530,[1]Diccionario!B:N,13,0)="A"), "DEFICIT",IF(AND(OR(AC530="B", AC530="BPAL"), VLOOKUP(AF530,[1]Diccionario!B:N,13,0)="C"), "SOBREOFERTA",IF(AND(AC530="A", VLOOKUP(AF530,[1]Diccionario!B:N,13,0)="A"), "OK",IF(
AND(AC530="A", OR(VLOOKUP(AF530,[1]Diccionario!B:N,13,0)="B", VLOOKUP(AF530,[1]Diccionario!B:N,13,0)="C")), "SOBREOFERTA",""
))))))),"")</f>
        <v/>
      </c>
      <c r="AF530" s="48"/>
      <c r="AG530" s="53"/>
      <c r="AH530" s="54"/>
      <c r="AI530" s="55" t="str">
        <f t="shared" si="137"/>
        <v/>
      </c>
      <c r="AJ530" s="46"/>
      <c r="AK530" s="34" t="e">
        <f>IF(AB530&lt;&gt;"",HLOOKUP(VALUE(TEXT(AH530,"h:mm:ss")),IF($C$6="Laboral",[1]Input!$A$4:$Y$227,IF($C$6="Sábado",[1]Input!$A$231:$Y$452,[1]Input!$A$456:$Y$656)),VLOOKUP($C$4,[1]Input!$AG$2:$AI$99,3,0)+IF(AD$5="Ida",0,1),1),"")</f>
        <v>#N/A</v>
      </c>
      <c r="AL530" s="34" t="str">
        <f>IF(AB531&lt;&gt;AB530,AVERAGEIF(AB$9:AB530,AB530,AK$9:AK530),"")</f>
        <v/>
      </c>
      <c r="AM530" s="35" t="str">
        <f>IFERROR(IF(AB531&lt;&gt;AB530,AVERAGEIF(AB$9:AB530,AB530,AT$9:AT530),""),"")</f>
        <v/>
      </c>
      <c r="AN530" s="35" t="str">
        <f>IFERROR(IF(AB531&lt;&gt;AB530,AVERAGEIF(AB$9:AB530,AB530,AU$9:AU530),""),"")</f>
        <v/>
      </c>
      <c r="AO530" s="35" t="str" cm="1">
        <f t="array" ref="AO530">IFERROR(IF(AB531&lt;&gt;AB530,_xlfn.STDEV.P(IF(AB$9:AB530=AB530,AU$9:AU530)),""),"")</f>
        <v/>
      </c>
      <c r="AP530" s="35" t="str" cm="1">
        <f t="array" ref="AP530">IFERROR(IF(AB531&lt;&gt;AB530,_xlfn.STDEV.P(IF(AB$9:AB530=AB530,AT$9:AT530)),""),"")</f>
        <v/>
      </c>
      <c r="AQ530" s="36" t="str">
        <f t="shared" si="128"/>
        <v/>
      </c>
      <c r="AR530" s="36" t="str">
        <f t="shared" si="129"/>
        <v/>
      </c>
      <c r="AS530" s="36" t="str">
        <f t="shared" si="138"/>
        <v/>
      </c>
      <c r="AT530" s="37" t="str">
        <f t="shared" si="130"/>
        <v/>
      </c>
      <c r="AU530" s="37" t="str">
        <f t="shared" si="131"/>
        <v/>
      </c>
      <c r="AV530" s="54"/>
      <c r="AW530" s="46"/>
      <c r="AX530" s="39" t="str" cm="1">
        <f t="array" ref="AX530">IF(AH530&lt;&gt;"",IF(AND(AX528:AX529&lt;&gt;"IE",AQ530&lt;&gt;0,AS530&lt;&gt;""),IF(IFERROR((AQ530/AS530),0) &lt;=1,IFERROR(AQ530/AS530,""),1),""),"")</f>
        <v/>
      </c>
      <c r="AY530" s="46"/>
      <c r="AZ530" s="57"/>
    </row>
    <row r="531" spans="1:52" ht="15.5" x14ac:dyDescent="0.35">
      <c r="A531" s="51">
        <f t="shared" si="139"/>
        <v>1</v>
      </c>
      <c r="B531" s="52"/>
      <c r="C531" s="52"/>
      <c r="D531" s="29" t="str">
        <f>IFERROR(
IF(AND(OR(Planilla!B531="C",Planilla!B531="c"), VLOOKUP(E531,[1]Diccionario!B:N,13,0)="C"), "OK",IF(AND(OR(Planilla!B531="C",Planilla!B531="c"), OR(VLOOKUP(E531,[1]Diccionario!B:N,13,0)="B", VLOOKUP(E531,[1]Diccionario!B:N,13,0)="A")), "DEFICIT",IF(
AND(OR(Planilla!B531="B", Planilla!B531="BPAL"), VLOOKUP(E531,[1]Diccionario!B:N,13,0)="B"), "OK",IF(AND(OR(Planilla!B531="B", Planilla!B531="BPAL"), VLOOKUP(E531,[1]Diccionario!B:N,13,0)="A"), "DEFICIT",IF(AND(OR(Planilla!B531="B", Planilla!B531="BPAL"), VLOOKUP(E531,[1]Diccionario!B:N,13,0)="C"), "SOBREOFERTA",IF(AND(Planilla!B531="A", VLOOKUP(E531,[1]Diccionario!B:N,13,0)="A"), "OK",IF(
AND(Planilla!B531="A", OR(VLOOKUP(E531,[1]Diccionario!B:N,13,0)="B", VLOOKUP(E531,[1]Diccionario!B:N,13,0)="C")), "SOBREOFERTA",""
))))))),"")</f>
        <v/>
      </c>
      <c r="E531" s="48"/>
      <c r="F531" s="53"/>
      <c r="G531" s="54"/>
      <c r="H531" s="55" t="str">
        <f t="shared" si="132"/>
        <v/>
      </c>
      <c r="I531" s="35"/>
      <c r="J531" s="34" t="e">
        <f>IF(A531&lt;&gt;"",HLOOKUP(VALUE(TEXT(G531,"h:mm:ss")),IF($C$6="Laboral",[1]Input!$A$4:$Y$227,IF($C$6="Sábado",[1]Input!$A$231:$Y$452,[1]Input!$A$456:$Y$656)),VLOOKUP($C$4,[1]Input!$AG$2:$AI$99,3,0)+IF(C$5="Ida",0,1),1),"")</f>
        <v>#N/A</v>
      </c>
      <c r="K531" s="34" t="str">
        <f>IF(A532&lt;&gt;A531,AVERAGEIF(A$9:A531,A531,J$13:J531),"")</f>
        <v/>
      </c>
      <c r="L531" s="35" t="str">
        <f>IFERROR(IF(A532&lt;&gt;A531,AVERAGEIF(A$9:A531,A531,S$13:S531),""),"")</f>
        <v/>
      </c>
      <c r="M531" s="35" t="str">
        <f>IFERROR(IF(A532&lt;&gt;A531,AVERAGEIF(A$9:A531,A531,T$8:T531),""),"")</f>
        <v/>
      </c>
      <c r="N531" s="35" t="str" cm="1">
        <f t="array" ref="N531">IFERROR(IF(A532&lt;&gt;A531,_xlfn.STDEV.P(IF(A$9:A531=A531,T$7:T531)),""),"")</f>
        <v/>
      </c>
      <c r="O531" s="35" t="str" cm="1">
        <f t="array" ref="O531">IFERROR(IF(A532&lt;&gt;A531,_xlfn.STDEV.P(IF(A$9:A531=A531,S$7:S531)),""),"")</f>
        <v/>
      </c>
      <c r="P531" s="36" t="str">
        <f t="shared" si="125"/>
        <v/>
      </c>
      <c r="Q531" s="36" t="str">
        <f t="shared" si="126"/>
        <v/>
      </c>
      <c r="R531" s="36" t="str">
        <f t="shared" si="133"/>
        <v/>
      </c>
      <c r="S531" s="37" t="str">
        <f t="shared" si="134"/>
        <v/>
      </c>
      <c r="T531" s="37" t="str">
        <f t="shared" si="127"/>
        <v/>
      </c>
      <c r="U531" s="54"/>
      <c r="V531" s="46"/>
      <c r="W531" s="39" t="str">
        <f t="shared" si="135"/>
        <v/>
      </c>
      <c r="X531" s="38"/>
      <c r="Y531" s="48"/>
      <c r="AB531" s="56">
        <f t="shared" si="136"/>
        <v>1</v>
      </c>
      <c r="AC531" s="52"/>
      <c r="AD531" s="52"/>
      <c r="AE531" s="29" t="str">
        <f>IFERROR(
IF(AND(OR(AC531="C",AC531="c"), VLOOKUP(AF531,[1]Diccionario!B:N,13,0)="C"), "OK",IF(AND(OR(AC531="C",AC531="c"), OR(VLOOKUP(AF531,[1]Diccionario!B:N,13,0)="B", VLOOKUP(AF531,[1]Diccionario!B:N,13,0)="A")), "DEFICIT",IF(
AND(OR(AC531="B", AC531="BPAL"), VLOOKUP(AF531,[1]Diccionario!B:N,13,0)="B"), "OK",IF(AND(OR(AC531="B", AC531="BPAL"), VLOOKUP(AF531,[1]Diccionario!B:N,13,0)="A"), "DEFICIT",IF(AND(OR(AC531="B", AC531="BPAL"), VLOOKUP(AF531,[1]Diccionario!B:N,13,0)="C"), "SOBREOFERTA",IF(AND(AC531="A", VLOOKUP(AF531,[1]Diccionario!B:N,13,0)="A"), "OK",IF(
AND(AC531="A", OR(VLOOKUP(AF531,[1]Diccionario!B:N,13,0)="B", VLOOKUP(AF531,[1]Diccionario!B:N,13,0)="C")), "SOBREOFERTA",""
))))))),"")</f>
        <v/>
      </c>
      <c r="AF531" s="48"/>
      <c r="AG531" s="53"/>
      <c r="AH531" s="54"/>
      <c r="AI531" s="55" t="str">
        <f t="shared" si="137"/>
        <v/>
      </c>
      <c r="AJ531" s="46"/>
      <c r="AK531" s="34" t="e">
        <f>IF(AB531&lt;&gt;"",HLOOKUP(VALUE(TEXT(AH531,"h:mm:ss")),IF($C$6="Laboral",[1]Input!$A$4:$Y$227,IF($C$6="Sábado",[1]Input!$A$231:$Y$452,[1]Input!$A$456:$Y$656)),VLOOKUP($C$4,[1]Input!$AG$2:$AI$99,3,0)+IF(AD$5="Ida",0,1),1),"")</f>
        <v>#N/A</v>
      </c>
      <c r="AL531" s="34" t="str">
        <f>IF(AB532&lt;&gt;AB531,AVERAGEIF(AB$9:AB531,AB531,AK$9:AK531),"")</f>
        <v/>
      </c>
      <c r="AM531" s="35" t="str">
        <f>IFERROR(IF(AB532&lt;&gt;AB531,AVERAGEIF(AB$9:AB531,AB531,AT$9:AT531),""),"")</f>
        <v/>
      </c>
      <c r="AN531" s="35" t="str">
        <f>IFERROR(IF(AB532&lt;&gt;AB531,AVERAGEIF(AB$9:AB531,AB531,AU$9:AU531),""),"")</f>
        <v/>
      </c>
      <c r="AO531" s="35" t="str" cm="1">
        <f t="array" ref="AO531">IFERROR(IF(AB532&lt;&gt;AB531,_xlfn.STDEV.P(IF(AB$9:AB531=AB531,AU$9:AU531)),""),"")</f>
        <v/>
      </c>
      <c r="AP531" s="35" t="str" cm="1">
        <f t="array" ref="AP531">IFERROR(IF(AB532&lt;&gt;AB531,_xlfn.STDEV.P(IF(AB$9:AB531=AB531,AT$9:AT531)),""),"")</f>
        <v/>
      </c>
      <c r="AQ531" s="36" t="str">
        <f t="shared" si="128"/>
        <v/>
      </c>
      <c r="AR531" s="36" t="str">
        <f t="shared" si="129"/>
        <v/>
      </c>
      <c r="AS531" s="36" t="str">
        <f t="shared" si="138"/>
        <v/>
      </c>
      <c r="AT531" s="37" t="str">
        <f t="shared" si="130"/>
        <v/>
      </c>
      <c r="AU531" s="37" t="str">
        <f t="shared" si="131"/>
        <v/>
      </c>
      <c r="AV531" s="54"/>
      <c r="AW531" s="46"/>
      <c r="AX531" s="39" t="str" cm="1">
        <f t="array" ref="AX531">IF(AH531&lt;&gt;"",IF(AND(AX529:AX530&lt;&gt;"IE",AQ531&lt;&gt;0,AS531&lt;&gt;""),IF(IFERROR((AQ531/AS531),0) &lt;=1,IFERROR(AQ531/AS531,""),1),""),"")</f>
        <v/>
      </c>
      <c r="AY531" s="46"/>
      <c r="AZ531" s="57"/>
    </row>
    <row r="532" spans="1:52" ht="15.5" x14ac:dyDescent="0.35">
      <c r="A532" s="51">
        <f t="shared" si="139"/>
        <v>1</v>
      </c>
      <c r="B532" s="52"/>
      <c r="C532" s="52"/>
      <c r="D532" s="29" t="str">
        <f>IFERROR(
IF(AND(OR(Planilla!B532="C",Planilla!B532="c"), VLOOKUP(E532,[1]Diccionario!B:N,13,0)="C"), "OK",IF(AND(OR(Planilla!B532="C",Planilla!B532="c"), OR(VLOOKUP(E532,[1]Diccionario!B:N,13,0)="B", VLOOKUP(E532,[1]Diccionario!B:N,13,0)="A")), "DEFICIT",IF(
AND(OR(Planilla!B532="B", Planilla!B532="BPAL"), VLOOKUP(E532,[1]Diccionario!B:N,13,0)="B"), "OK",IF(AND(OR(Planilla!B532="B", Planilla!B532="BPAL"), VLOOKUP(E532,[1]Diccionario!B:N,13,0)="A"), "DEFICIT",IF(AND(OR(Planilla!B532="B", Planilla!B532="BPAL"), VLOOKUP(E532,[1]Diccionario!B:N,13,0)="C"), "SOBREOFERTA",IF(AND(Planilla!B532="A", VLOOKUP(E532,[1]Diccionario!B:N,13,0)="A"), "OK",IF(
AND(Planilla!B532="A", OR(VLOOKUP(E532,[1]Diccionario!B:N,13,0)="B", VLOOKUP(E532,[1]Diccionario!B:N,13,0)="C")), "SOBREOFERTA",""
))))))),"")</f>
        <v/>
      </c>
      <c r="E532" s="48"/>
      <c r="F532" s="53"/>
      <c r="G532" s="54"/>
      <c r="H532" s="55" t="str">
        <f t="shared" si="132"/>
        <v/>
      </c>
      <c r="I532" s="35"/>
      <c r="J532" s="34" t="e">
        <f>IF(A532&lt;&gt;"",HLOOKUP(VALUE(TEXT(G532,"h:mm:ss")),IF($C$6="Laboral",[1]Input!$A$4:$Y$227,IF($C$6="Sábado",[1]Input!$A$231:$Y$452,[1]Input!$A$456:$Y$656)),VLOOKUP($C$4,[1]Input!$AG$2:$AI$99,3,0)+IF(C$5="Ida",0,1),1),"")</f>
        <v>#N/A</v>
      </c>
      <c r="K532" s="34" t="str">
        <f>IF(A533&lt;&gt;A532,AVERAGEIF(A$9:A532,A532,J$13:J532),"")</f>
        <v/>
      </c>
      <c r="L532" s="35" t="str">
        <f>IFERROR(IF(A533&lt;&gt;A532,AVERAGEIF(A$9:A532,A532,S$13:S532),""),"")</f>
        <v/>
      </c>
      <c r="M532" s="35" t="str">
        <f>IFERROR(IF(A533&lt;&gt;A532,AVERAGEIF(A$9:A532,A532,T$8:T532),""),"")</f>
        <v/>
      </c>
      <c r="N532" s="35" t="str" cm="1">
        <f t="array" ref="N532">IFERROR(IF(A533&lt;&gt;A532,_xlfn.STDEV.P(IF(A$9:A532=A532,T$7:T532)),""),"")</f>
        <v/>
      </c>
      <c r="O532" s="35" t="str" cm="1">
        <f t="array" ref="O532">IFERROR(IF(A533&lt;&gt;A532,_xlfn.STDEV.P(IF(A$9:A532=A532,S$7:S532)),""),"")</f>
        <v/>
      </c>
      <c r="P532" s="36" t="str">
        <f t="shared" si="125"/>
        <v/>
      </c>
      <c r="Q532" s="36" t="str">
        <f t="shared" si="126"/>
        <v/>
      </c>
      <c r="R532" s="36" t="str">
        <f t="shared" si="133"/>
        <v/>
      </c>
      <c r="S532" s="37" t="str">
        <f t="shared" si="134"/>
        <v/>
      </c>
      <c r="T532" s="37" t="str">
        <f t="shared" si="127"/>
        <v/>
      </c>
      <c r="U532" s="54"/>
      <c r="V532" s="46"/>
      <c r="W532" s="39" t="str">
        <f t="shared" si="135"/>
        <v/>
      </c>
      <c r="X532" s="38"/>
      <c r="Y532" s="48"/>
      <c r="AB532" s="56">
        <f t="shared" si="136"/>
        <v>1</v>
      </c>
      <c r="AC532" s="52"/>
      <c r="AD532" s="52"/>
      <c r="AE532" s="29" t="str">
        <f>IFERROR(
IF(AND(OR(AC532="C",AC532="c"), VLOOKUP(AF532,[1]Diccionario!B:N,13,0)="C"), "OK",IF(AND(OR(AC532="C",AC532="c"), OR(VLOOKUP(AF532,[1]Diccionario!B:N,13,0)="B", VLOOKUP(AF532,[1]Diccionario!B:N,13,0)="A")), "DEFICIT",IF(
AND(OR(AC532="B", AC532="BPAL"), VLOOKUP(AF532,[1]Diccionario!B:N,13,0)="B"), "OK",IF(AND(OR(AC532="B", AC532="BPAL"), VLOOKUP(AF532,[1]Diccionario!B:N,13,0)="A"), "DEFICIT",IF(AND(OR(AC532="B", AC532="BPAL"), VLOOKUP(AF532,[1]Diccionario!B:N,13,0)="C"), "SOBREOFERTA",IF(AND(AC532="A", VLOOKUP(AF532,[1]Diccionario!B:N,13,0)="A"), "OK",IF(
AND(AC532="A", OR(VLOOKUP(AF532,[1]Diccionario!B:N,13,0)="B", VLOOKUP(AF532,[1]Diccionario!B:N,13,0)="C")), "SOBREOFERTA",""
))))))),"")</f>
        <v/>
      </c>
      <c r="AF532" s="48"/>
      <c r="AG532" s="53"/>
      <c r="AH532" s="54"/>
      <c r="AI532" s="55" t="str">
        <f t="shared" si="137"/>
        <v/>
      </c>
      <c r="AJ532" s="46"/>
      <c r="AK532" s="34" t="e">
        <f>IF(AB532&lt;&gt;"",HLOOKUP(VALUE(TEXT(AH532,"h:mm:ss")),IF($C$6="Laboral",[1]Input!$A$4:$Y$227,IF($C$6="Sábado",[1]Input!$A$231:$Y$452,[1]Input!$A$456:$Y$656)),VLOOKUP($C$4,[1]Input!$AG$2:$AI$99,3,0)+IF(AD$5="Ida",0,1),1),"")</f>
        <v>#N/A</v>
      </c>
      <c r="AL532" s="34" t="str">
        <f>IF(AB533&lt;&gt;AB532,AVERAGEIF(AB$9:AB532,AB532,AK$9:AK532),"")</f>
        <v/>
      </c>
      <c r="AM532" s="35" t="str">
        <f>IFERROR(IF(AB533&lt;&gt;AB532,AVERAGEIF(AB$9:AB532,AB532,AT$9:AT532),""),"")</f>
        <v/>
      </c>
      <c r="AN532" s="35" t="str">
        <f>IFERROR(IF(AB533&lt;&gt;AB532,AVERAGEIF(AB$9:AB532,AB532,AU$9:AU532),""),"")</f>
        <v/>
      </c>
      <c r="AO532" s="35" t="str" cm="1">
        <f t="array" ref="AO532">IFERROR(IF(AB533&lt;&gt;AB532,_xlfn.STDEV.P(IF(AB$9:AB532=AB532,AU$9:AU532)),""),"")</f>
        <v/>
      </c>
      <c r="AP532" s="35" t="str" cm="1">
        <f t="array" ref="AP532">IFERROR(IF(AB533&lt;&gt;AB532,_xlfn.STDEV.P(IF(AB$9:AB532=AB532,AT$9:AT532)),""),"")</f>
        <v/>
      </c>
      <c r="AQ532" s="36" t="str">
        <f t="shared" si="128"/>
        <v/>
      </c>
      <c r="AR532" s="36" t="str">
        <f t="shared" si="129"/>
        <v/>
      </c>
      <c r="AS532" s="36" t="str">
        <f t="shared" si="138"/>
        <v/>
      </c>
      <c r="AT532" s="37" t="str">
        <f t="shared" si="130"/>
        <v/>
      </c>
      <c r="AU532" s="37" t="str">
        <f t="shared" si="131"/>
        <v/>
      </c>
      <c r="AV532" s="54"/>
      <c r="AW532" s="46"/>
      <c r="AX532" s="39" t="str" cm="1">
        <f t="array" ref="AX532">IF(AH532&lt;&gt;"",IF(AND(AX530:AX531&lt;&gt;"IE",AQ532&lt;&gt;0,AS532&lt;&gt;""),IF(IFERROR((AQ532/AS532),0) &lt;=1,IFERROR(AQ532/AS532,""),1),""),"")</f>
        <v/>
      </c>
      <c r="AY532" s="46"/>
      <c r="AZ532" s="57"/>
    </row>
    <row r="533" spans="1:52" ht="15.5" x14ac:dyDescent="0.35">
      <c r="A533" s="51">
        <f t="shared" si="139"/>
        <v>1</v>
      </c>
      <c r="B533" s="52"/>
      <c r="C533" s="52"/>
      <c r="D533" s="29" t="str">
        <f>IFERROR(
IF(AND(OR(Planilla!B533="C",Planilla!B533="c"), VLOOKUP(E533,[1]Diccionario!B:N,13,0)="C"), "OK",IF(AND(OR(Planilla!B533="C",Planilla!B533="c"), OR(VLOOKUP(E533,[1]Diccionario!B:N,13,0)="B", VLOOKUP(E533,[1]Diccionario!B:N,13,0)="A")), "DEFICIT",IF(
AND(OR(Planilla!B533="B", Planilla!B533="BPAL"), VLOOKUP(E533,[1]Diccionario!B:N,13,0)="B"), "OK",IF(AND(OR(Planilla!B533="B", Planilla!B533="BPAL"), VLOOKUP(E533,[1]Diccionario!B:N,13,0)="A"), "DEFICIT",IF(AND(OR(Planilla!B533="B", Planilla!B533="BPAL"), VLOOKUP(E533,[1]Diccionario!B:N,13,0)="C"), "SOBREOFERTA",IF(AND(Planilla!B533="A", VLOOKUP(E533,[1]Diccionario!B:N,13,0)="A"), "OK",IF(
AND(Planilla!B533="A", OR(VLOOKUP(E533,[1]Diccionario!B:N,13,0)="B", VLOOKUP(E533,[1]Diccionario!B:N,13,0)="C")), "SOBREOFERTA",""
))))))),"")</f>
        <v/>
      </c>
      <c r="E533" s="48"/>
      <c r="F533" s="53"/>
      <c r="G533" s="54"/>
      <c r="H533" s="55" t="str">
        <f t="shared" si="132"/>
        <v/>
      </c>
      <c r="I533" s="35"/>
      <c r="J533" s="34" t="e">
        <f>IF(A533&lt;&gt;"",HLOOKUP(VALUE(TEXT(G533,"h:mm:ss")),IF($C$6="Laboral",[1]Input!$A$4:$Y$227,IF($C$6="Sábado",[1]Input!$A$231:$Y$452,[1]Input!$A$456:$Y$656)),VLOOKUP($C$4,[1]Input!$AG$2:$AI$99,3,0)+IF(C$5="Ida",0,1),1),"")</f>
        <v>#N/A</v>
      </c>
      <c r="K533" s="34" t="str">
        <f>IF(A534&lt;&gt;A533,AVERAGEIF(A$9:A533,A533,J$13:J533),"")</f>
        <v/>
      </c>
      <c r="L533" s="35" t="str">
        <f>IFERROR(IF(A534&lt;&gt;A533,AVERAGEIF(A$9:A533,A533,S$13:S533),""),"")</f>
        <v/>
      </c>
      <c r="M533" s="35" t="str">
        <f>IFERROR(IF(A534&lt;&gt;A533,AVERAGEIF(A$9:A533,A533,T$8:T533),""),"")</f>
        <v/>
      </c>
      <c r="N533" s="35" t="str" cm="1">
        <f t="array" ref="N533">IFERROR(IF(A534&lt;&gt;A533,_xlfn.STDEV.P(IF(A$9:A533=A533,T$7:T533)),""),"")</f>
        <v/>
      </c>
      <c r="O533" s="35" t="str" cm="1">
        <f t="array" ref="O533">IFERROR(IF(A534&lt;&gt;A533,_xlfn.STDEV.P(IF(A$9:A533=A533,S$7:S533)),""),"")</f>
        <v/>
      </c>
      <c r="P533" s="36" t="str">
        <f t="shared" si="125"/>
        <v/>
      </c>
      <c r="Q533" s="36" t="str">
        <f t="shared" si="126"/>
        <v/>
      </c>
      <c r="R533" s="36" t="str">
        <f t="shared" si="133"/>
        <v/>
      </c>
      <c r="S533" s="37" t="str">
        <f t="shared" si="134"/>
        <v/>
      </c>
      <c r="T533" s="37" t="str">
        <f t="shared" si="127"/>
        <v/>
      </c>
      <c r="U533" s="54"/>
      <c r="V533" s="46"/>
      <c r="W533" s="39" t="str">
        <f t="shared" si="135"/>
        <v/>
      </c>
      <c r="X533" s="38"/>
      <c r="Y533" s="48"/>
      <c r="AB533" s="56">
        <f t="shared" si="136"/>
        <v>1</v>
      </c>
      <c r="AC533" s="52"/>
      <c r="AD533" s="52"/>
      <c r="AE533" s="29" t="str">
        <f>IFERROR(
IF(AND(OR(AC533="C",AC533="c"), VLOOKUP(AF533,[1]Diccionario!B:N,13,0)="C"), "OK",IF(AND(OR(AC533="C",AC533="c"), OR(VLOOKUP(AF533,[1]Diccionario!B:N,13,0)="B", VLOOKUP(AF533,[1]Diccionario!B:N,13,0)="A")), "DEFICIT",IF(
AND(OR(AC533="B", AC533="BPAL"), VLOOKUP(AF533,[1]Diccionario!B:N,13,0)="B"), "OK",IF(AND(OR(AC533="B", AC533="BPAL"), VLOOKUP(AF533,[1]Diccionario!B:N,13,0)="A"), "DEFICIT",IF(AND(OR(AC533="B", AC533="BPAL"), VLOOKUP(AF533,[1]Diccionario!B:N,13,0)="C"), "SOBREOFERTA",IF(AND(AC533="A", VLOOKUP(AF533,[1]Diccionario!B:N,13,0)="A"), "OK",IF(
AND(AC533="A", OR(VLOOKUP(AF533,[1]Diccionario!B:N,13,0)="B", VLOOKUP(AF533,[1]Diccionario!B:N,13,0)="C")), "SOBREOFERTA",""
))))))),"")</f>
        <v/>
      </c>
      <c r="AF533" s="48"/>
      <c r="AG533" s="53"/>
      <c r="AH533" s="54"/>
      <c r="AI533" s="55" t="str">
        <f t="shared" si="137"/>
        <v/>
      </c>
      <c r="AJ533" s="46"/>
      <c r="AK533" s="34" t="e">
        <f>IF(AB533&lt;&gt;"",HLOOKUP(VALUE(TEXT(AH533,"h:mm:ss")),IF($C$6="Laboral",[1]Input!$A$4:$Y$227,IF($C$6="Sábado",[1]Input!$A$231:$Y$452,[1]Input!$A$456:$Y$656)),VLOOKUP($C$4,[1]Input!$AG$2:$AI$99,3,0)+IF(AD$5="Ida",0,1),1),"")</f>
        <v>#N/A</v>
      </c>
      <c r="AL533" s="34" t="str">
        <f>IF(AB534&lt;&gt;AB533,AVERAGEIF(AB$9:AB533,AB533,AK$9:AK533),"")</f>
        <v/>
      </c>
      <c r="AM533" s="35" t="str">
        <f>IFERROR(IF(AB534&lt;&gt;AB533,AVERAGEIF(AB$9:AB533,AB533,AT$9:AT533),""),"")</f>
        <v/>
      </c>
      <c r="AN533" s="35" t="str">
        <f>IFERROR(IF(AB534&lt;&gt;AB533,AVERAGEIF(AB$9:AB533,AB533,AU$9:AU533),""),"")</f>
        <v/>
      </c>
      <c r="AO533" s="35" t="str" cm="1">
        <f t="array" ref="AO533">IFERROR(IF(AB534&lt;&gt;AB533,_xlfn.STDEV.P(IF(AB$9:AB533=AB533,AU$9:AU533)),""),"")</f>
        <v/>
      </c>
      <c r="AP533" s="35" t="str" cm="1">
        <f t="array" ref="AP533">IFERROR(IF(AB534&lt;&gt;AB533,_xlfn.STDEV.P(IF(AB$9:AB533=AB533,AT$9:AT533)),""),"")</f>
        <v/>
      </c>
      <c r="AQ533" s="36" t="str">
        <f t="shared" si="128"/>
        <v/>
      </c>
      <c r="AR533" s="36" t="str">
        <f t="shared" si="129"/>
        <v/>
      </c>
      <c r="AS533" s="36" t="str">
        <f t="shared" si="138"/>
        <v/>
      </c>
      <c r="AT533" s="37" t="str">
        <f t="shared" si="130"/>
        <v/>
      </c>
      <c r="AU533" s="37" t="str">
        <f t="shared" si="131"/>
        <v/>
      </c>
      <c r="AV533" s="54"/>
      <c r="AW533" s="46"/>
      <c r="AX533" s="39" t="str" cm="1">
        <f t="array" ref="AX533">IF(AH533&lt;&gt;"",IF(AND(AX531:AX532&lt;&gt;"IE",AQ533&lt;&gt;0,AS533&lt;&gt;""),IF(IFERROR((AQ533/AS533),0) &lt;=1,IFERROR(AQ533/AS533,""),1),""),"")</f>
        <v/>
      </c>
      <c r="AY533" s="46"/>
      <c r="AZ533" s="57"/>
    </row>
    <row r="534" spans="1:52" ht="15.5" x14ac:dyDescent="0.35">
      <c r="A534" s="51">
        <f t="shared" si="139"/>
        <v>1</v>
      </c>
      <c r="B534" s="52"/>
      <c r="C534" s="52"/>
      <c r="D534" s="29" t="str">
        <f>IFERROR(
IF(AND(OR(Planilla!B534="C",Planilla!B534="c"), VLOOKUP(E534,[1]Diccionario!B:N,13,0)="C"), "OK",IF(AND(OR(Planilla!B534="C",Planilla!B534="c"), OR(VLOOKUP(E534,[1]Diccionario!B:N,13,0)="B", VLOOKUP(E534,[1]Diccionario!B:N,13,0)="A")), "DEFICIT",IF(
AND(OR(Planilla!B534="B", Planilla!B534="BPAL"), VLOOKUP(E534,[1]Diccionario!B:N,13,0)="B"), "OK",IF(AND(OR(Planilla!B534="B", Planilla!B534="BPAL"), VLOOKUP(E534,[1]Diccionario!B:N,13,0)="A"), "DEFICIT",IF(AND(OR(Planilla!B534="B", Planilla!B534="BPAL"), VLOOKUP(E534,[1]Diccionario!B:N,13,0)="C"), "SOBREOFERTA",IF(AND(Planilla!B534="A", VLOOKUP(E534,[1]Diccionario!B:N,13,0)="A"), "OK",IF(
AND(Planilla!B534="A", OR(VLOOKUP(E534,[1]Diccionario!B:N,13,0)="B", VLOOKUP(E534,[1]Diccionario!B:N,13,0)="C")), "SOBREOFERTA",""
))))))),"")</f>
        <v/>
      </c>
      <c r="E534" s="48"/>
      <c r="F534" s="53"/>
      <c r="G534" s="54"/>
      <c r="H534" s="55" t="str">
        <f t="shared" si="132"/>
        <v/>
      </c>
      <c r="I534" s="35"/>
      <c r="J534" s="34" t="e">
        <f>IF(A534&lt;&gt;"",HLOOKUP(VALUE(TEXT(G534,"h:mm:ss")),IF($C$6="Laboral",[1]Input!$A$4:$Y$227,IF($C$6="Sábado",[1]Input!$A$231:$Y$452,[1]Input!$A$456:$Y$656)),VLOOKUP($C$4,[1]Input!$AG$2:$AI$99,3,0)+IF(C$5="Ida",0,1),1),"")</f>
        <v>#N/A</v>
      </c>
      <c r="K534" s="34" t="str">
        <f>IF(A535&lt;&gt;A534,AVERAGEIF(A$9:A534,A534,J$13:J534),"")</f>
        <v/>
      </c>
      <c r="L534" s="35" t="str">
        <f>IFERROR(IF(A535&lt;&gt;A534,AVERAGEIF(A$9:A534,A534,S$13:S534),""),"")</f>
        <v/>
      </c>
      <c r="M534" s="35" t="str">
        <f>IFERROR(IF(A535&lt;&gt;A534,AVERAGEIF(A$9:A534,A534,T$8:T534),""),"")</f>
        <v/>
      </c>
      <c r="N534" s="35" t="str" cm="1">
        <f t="array" ref="N534">IFERROR(IF(A535&lt;&gt;A534,_xlfn.STDEV.P(IF(A$9:A534=A534,T$7:T534)),""),"")</f>
        <v/>
      </c>
      <c r="O534" s="35" t="str" cm="1">
        <f t="array" ref="O534">IFERROR(IF(A535&lt;&gt;A534,_xlfn.STDEV.P(IF(A$9:A534=A534,S$7:S534)),""),"")</f>
        <v/>
      </c>
      <c r="P534" s="36" t="str">
        <f t="shared" si="125"/>
        <v/>
      </c>
      <c r="Q534" s="36" t="str">
        <f t="shared" si="126"/>
        <v/>
      </c>
      <c r="R534" s="36" t="str">
        <f t="shared" si="133"/>
        <v/>
      </c>
      <c r="S534" s="37" t="str">
        <f t="shared" si="134"/>
        <v/>
      </c>
      <c r="T534" s="37" t="str">
        <f t="shared" si="127"/>
        <v/>
      </c>
      <c r="U534" s="54"/>
      <c r="V534" s="46"/>
      <c r="W534" s="39" t="str">
        <f t="shared" si="135"/>
        <v/>
      </c>
      <c r="X534" s="38"/>
      <c r="Y534" s="48"/>
      <c r="AB534" s="56">
        <f t="shared" si="136"/>
        <v>1</v>
      </c>
      <c r="AC534" s="52"/>
      <c r="AD534" s="52"/>
      <c r="AE534" s="29" t="str">
        <f>IFERROR(
IF(AND(OR(AC534="C",AC534="c"), VLOOKUP(AF534,[1]Diccionario!B:N,13,0)="C"), "OK",IF(AND(OR(AC534="C",AC534="c"), OR(VLOOKUP(AF534,[1]Diccionario!B:N,13,0)="B", VLOOKUP(AF534,[1]Diccionario!B:N,13,0)="A")), "DEFICIT",IF(
AND(OR(AC534="B", AC534="BPAL"), VLOOKUP(AF534,[1]Diccionario!B:N,13,0)="B"), "OK",IF(AND(OR(AC534="B", AC534="BPAL"), VLOOKUP(AF534,[1]Diccionario!B:N,13,0)="A"), "DEFICIT",IF(AND(OR(AC534="B", AC534="BPAL"), VLOOKUP(AF534,[1]Diccionario!B:N,13,0)="C"), "SOBREOFERTA",IF(AND(AC534="A", VLOOKUP(AF534,[1]Diccionario!B:N,13,0)="A"), "OK",IF(
AND(AC534="A", OR(VLOOKUP(AF534,[1]Diccionario!B:N,13,0)="B", VLOOKUP(AF534,[1]Diccionario!B:N,13,0)="C")), "SOBREOFERTA",""
))))))),"")</f>
        <v/>
      </c>
      <c r="AF534" s="48"/>
      <c r="AG534" s="53"/>
      <c r="AH534" s="54"/>
      <c r="AI534" s="55" t="str">
        <f t="shared" si="137"/>
        <v/>
      </c>
      <c r="AJ534" s="46"/>
      <c r="AK534" s="34" t="e">
        <f>IF(AB534&lt;&gt;"",HLOOKUP(VALUE(TEXT(AH534,"h:mm:ss")),IF($C$6="Laboral",[1]Input!$A$4:$Y$227,IF($C$6="Sábado",[1]Input!$A$231:$Y$452,[1]Input!$A$456:$Y$656)),VLOOKUP($C$4,[1]Input!$AG$2:$AI$99,3,0)+IF(AD$5="Ida",0,1),1),"")</f>
        <v>#N/A</v>
      </c>
      <c r="AL534" s="34" t="str">
        <f>IF(AB535&lt;&gt;AB534,AVERAGEIF(AB$9:AB534,AB534,AK$9:AK534),"")</f>
        <v/>
      </c>
      <c r="AM534" s="35" t="str">
        <f>IFERROR(IF(AB535&lt;&gt;AB534,AVERAGEIF(AB$9:AB534,AB534,AT$9:AT534),""),"")</f>
        <v/>
      </c>
      <c r="AN534" s="35" t="str">
        <f>IFERROR(IF(AB535&lt;&gt;AB534,AVERAGEIF(AB$9:AB534,AB534,AU$9:AU534),""),"")</f>
        <v/>
      </c>
      <c r="AO534" s="35" t="str" cm="1">
        <f t="array" ref="AO534">IFERROR(IF(AB535&lt;&gt;AB534,_xlfn.STDEV.P(IF(AB$9:AB534=AB534,AU$9:AU534)),""),"")</f>
        <v/>
      </c>
      <c r="AP534" s="35" t="str" cm="1">
        <f t="array" ref="AP534">IFERROR(IF(AB535&lt;&gt;AB534,_xlfn.STDEV.P(IF(AB$9:AB534=AB534,AT$9:AT534)),""),"")</f>
        <v/>
      </c>
      <c r="AQ534" s="36" t="str">
        <f t="shared" si="128"/>
        <v/>
      </c>
      <c r="AR534" s="36" t="str">
        <f t="shared" si="129"/>
        <v/>
      </c>
      <c r="AS534" s="36" t="str">
        <f t="shared" si="138"/>
        <v/>
      </c>
      <c r="AT534" s="37" t="str">
        <f t="shared" si="130"/>
        <v/>
      </c>
      <c r="AU534" s="37" t="str">
        <f t="shared" si="131"/>
        <v/>
      </c>
      <c r="AV534" s="54"/>
      <c r="AW534" s="46"/>
      <c r="AX534" s="39" t="str" cm="1">
        <f t="array" ref="AX534">IF(AH534&lt;&gt;"",IF(AND(AX532:AX533&lt;&gt;"IE",AQ534&lt;&gt;0,AS534&lt;&gt;""),IF(IFERROR((AQ534/AS534),0) &lt;=1,IFERROR(AQ534/AS534,""),1),""),"")</f>
        <v/>
      </c>
      <c r="AY534" s="46"/>
      <c r="AZ534" s="57"/>
    </row>
    <row r="535" spans="1:52" ht="15.5" x14ac:dyDescent="0.35">
      <c r="A535" s="51">
        <f t="shared" si="139"/>
        <v>1</v>
      </c>
      <c r="B535" s="52"/>
      <c r="C535" s="52"/>
      <c r="D535" s="29" t="str">
        <f>IFERROR(
IF(AND(OR(Planilla!B535="C",Planilla!B535="c"), VLOOKUP(E535,[1]Diccionario!B:N,13,0)="C"), "OK",IF(AND(OR(Planilla!B535="C",Planilla!B535="c"), OR(VLOOKUP(E535,[1]Diccionario!B:N,13,0)="B", VLOOKUP(E535,[1]Diccionario!B:N,13,0)="A")), "DEFICIT",IF(
AND(OR(Planilla!B535="B", Planilla!B535="BPAL"), VLOOKUP(E535,[1]Diccionario!B:N,13,0)="B"), "OK",IF(AND(OR(Planilla!B535="B", Planilla!B535="BPAL"), VLOOKUP(E535,[1]Diccionario!B:N,13,0)="A"), "DEFICIT",IF(AND(OR(Planilla!B535="B", Planilla!B535="BPAL"), VLOOKUP(E535,[1]Diccionario!B:N,13,0)="C"), "SOBREOFERTA",IF(AND(Planilla!B535="A", VLOOKUP(E535,[1]Diccionario!B:N,13,0)="A"), "OK",IF(
AND(Planilla!B535="A", OR(VLOOKUP(E535,[1]Diccionario!B:N,13,0)="B", VLOOKUP(E535,[1]Diccionario!B:N,13,0)="C")), "SOBREOFERTA",""
))))))),"")</f>
        <v/>
      </c>
      <c r="E535" s="48"/>
      <c r="F535" s="53"/>
      <c r="G535" s="54"/>
      <c r="H535" s="55" t="str">
        <f t="shared" si="132"/>
        <v/>
      </c>
      <c r="I535" s="35"/>
      <c r="J535" s="34" t="e">
        <f>IF(A535&lt;&gt;"",HLOOKUP(VALUE(TEXT(G535,"h:mm:ss")),IF($C$6="Laboral",[1]Input!$A$4:$Y$227,IF($C$6="Sábado",[1]Input!$A$231:$Y$452,[1]Input!$A$456:$Y$656)),VLOOKUP($C$4,[1]Input!$AG$2:$AI$99,3,0)+IF(C$5="Ida",0,1),1),"")</f>
        <v>#N/A</v>
      </c>
      <c r="K535" s="34" t="str">
        <f>IF(A536&lt;&gt;A535,AVERAGEIF(A$9:A535,A535,J$13:J535),"")</f>
        <v/>
      </c>
      <c r="L535" s="35" t="str">
        <f>IFERROR(IF(A536&lt;&gt;A535,AVERAGEIF(A$9:A535,A535,S$13:S535),""),"")</f>
        <v/>
      </c>
      <c r="M535" s="35" t="str">
        <f>IFERROR(IF(A536&lt;&gt;A535,AVERAGEIF(A$9:A535,A535,T$8:T535),""),"")</f>
        <v/>
      </c>
      <c r="N535" s="35" t="str" cm="1">
        <f t="array" ref="N535">IFERROR(IF(A536&lt;&gt;A535,_xlfn.STDEV.P(IF(A$9:A535=A535,T$7:T535)),""),"")</f>
        <v/>
      </c>
      <c r="O535" s="35" t="str" cm="1">
        <f t="array" ref="O535">IFERROR(IF(A536&lt;&gt;A535,_xlfn.STDEV.P(IF(A$9:A535=A535,S$7:S535)),""),"")</f>
        <v/>
      </c>
      <c r="P535" s="36" t="str">
        <f t="shared" si="125"/>
        <v/>
      </c>
      <c r="Q535" s="36" t="str">
        <f t="shared" si="126"/>
        <v/>
      </c>
      <c r="R535" s="36" t="str">
        <f t="shared" si="133"/>
        <v/>
      </c>
      <c r="S535" s="37" t="str">
        <f t="shared" si="134"/>
        <v/>
      </c>
      <c r="T535" s="37" t="str">
        <f t="shared" si="127"/>
        <v/>
      </c>
      <c r="U535" s="54"/>
      <c r="V535" s="46"/>
      <c r="W535" s="39" t="str">
        <f t="shared" si="135"/>
        <v/>
      </c>
      <c r="X535" s="38"/>
      <c r="Y535" s="48"/>
      <c r="AB535" s="56">
        <f t="shared" si="136"/>
        <v>1</v>
      </c>
      <c r="AC535" s="52"/>
      <c r="AD535" s="52"/>
      <c r="AE535" s="29" t="str">
        <f>IFERROR(
IF(AND(OR(AC535="C",AC535="c"), VLOOKUP(AF535,[1]Diccionario!B:N,13,0)="C"), "OK",IF(AND(OR(AC535="C",AC535="c"), OR(VLOOKUP(AF535,[1]Diccionario!B:N,13,0)="B", VLOOKUP(AF535,[1]Diccionario!B:N,13,0)="A")), "DEFICIT",IF(
AND(OR(AC535="B", AC535="BPAL"), VLOOKUP(AF535,[1]Diccionario!B:N,13,0)="B"), "OK",IF(AND(OR(AC535="B", AC535="BPAL"), VLOOKUP(AF535,[1]Diccionario!B:N,13,0)="A"), "DEFICIT",IF(AND(OR(AC535="B", AC535="BPAL"), VLOOKUP(AF535,[1]Diccionario!B:N,13,0)="C"), "SOBREOFERTA",IF(AND(AC535="A", VLOOKUP(AF535,[1]Diccionario!B:N,13,0)="A"), "OK",IF(
AND(AC535="A", OR(VLOOKUP(AF535,[1]Diccionario!B:N,13,0)="B", VLOOKUP(AF535,[1]Diccionario!B:N,13,0)="C")), "SOBREOFERTA",""
))))))),"")</f>
        <v/>
      </c>
      <c r="AF535" s="48"/>
      <c r="AG535" s="53"/>
      <c r="AH535" s="54"/>
      <c r="AI535" s="55" t="str">
        <f t="shared" si="137"/>
        <v/>
      </c>
      <c r="AJ535" s="46"/>
      <c r="AK535" s="34" t="e">
        <f>IF(AB535&lt;&gt;"",HLOOKUP(VALUE(TEXT(AH535,"h:mm:ss")),IF($C$6="Laboral",[1]Input!$A$4:$Y$227,IF($C$6="Sábado",[1]Input!$A$231:$Y$452,[1]Input!$A$456:$Y$656)),VLOOKUP($C$4,[1]Input!$AG$2:$AI$99,3,0)+IF(AD$5="Ida",0,1),1),"")</f>
        <v>#N/A</v>
      </c>
      <c r="AL535" s="34" t="str">
        <f>IF(AB536&lt;&gt;AB535,AVERAGEIF(AB$9:AB535,AB535,AK$9:AK535),"")</f>
        <v/>
      </c>
      <c r="AM535" s="35" t="str">
        <f>IFERROR(IF(AB536&lt;&gt;AB535,AVERAGEIF(AB$9:AB535,AB535,AT$9:AT535),""),"")</f>
        <v/>
      </c>
      <c r="AN535" s="35" t="str">
        <f>IFERROR(IF(AB536&lt;&gt;AB535,AVERAGEIF(AB$9:AB535,AB535,AU$9:AU535),""),"")</f>
        <v/>
      </c>
      <c r="AO535" s="35" t="str" cm="1">
        <f t="array" ref="AO535">IFERROR(IF(AB536&lt;&gt;AB535,_xlfn.STDEV.P(IF(AB$9:AB535=AB535,AU$9:AU535)),""),"")</f>
        <v/>
      </c>
      <c r="AP535" s="35" t="str" cm="1">
        <f t="array" ref="AP535">IFERROR(IF(AB536&lt;&gt;AB535,_xlfn.STDEV.P(IF(AB$9:AB535=AB535,AT$9:AT535)),""),"")</f>
        <v/>
      </c>
      <c r="AQ535" s="36" t="str">
        <f t="shared" si="128"/>
        <v/>
      </c>
      <c r="AR535" s="36" t="str">
        <f t="shared" si="129"/>
        <v/>
      </c>
      <c r="AS535" s="36" t="str">
        <f t="shared" si="138"/>
        <v/>
      </c>
      <c r="AT535" s="37" t="str">
        <f t="shared" si="130"/>
        <v/>
      </c>
      <c r="AU535" s="37" t="str">
        <f t="shared" si="131"/>
        <v/>
      </c>
      <c r="AV535" s="54"/>
      <c r="AW535" s="46"/>
      <c r="AX535" s="39" t="str" cm="1">
        <f t="array" ref="AX535">IF(AH535&lt;&gt;"",IF(AND(AX533:AX534&lt;&gt;"IE",AQ535&lt;&gt;0,AS535&lt;&gt;""),IF(IFERROR((AQ535/AS535),0) &lt;=1,IFERROR(AQ535/AS535,""),1),""),"")</f>
        <v/>
      </c>
      <c r="AY535" s="46"/>
      <c r="AZ535" s="57"/>
    </row>
    <row r="536" spans="1:52" ht="15.5" x14ac:dyDescent="0.35">
      <c r="A536" s="51">
        <f t="shared" si="139"/>
        <v>1</v>
      </c>
      <c r="B536" s="52"/>
      <c r="C536" s="52"/>
      <c r="D536" s="29" t="str">
        <f>IFERROR(
IF(AND(OR(Planilla!B536="C",Planilla!B536="c"), VLOOKUP(E536,[1]Diccionario!B:N,13,0)="C"), "OK",IF(AND(OR(Planilla!B536="C",Planilla!B536="c"), OR(VLOOKUP(E536,[1]Diccionario!B:N,13,0)="B", VLOOKUP(E536,[1]Diccionario!B:N,13,0)="A")), "DEFICIT",IF(
AND(OR(Planilla!B536="B", Planilla!B536="BPAL"), VLOOKUP(E536,[1]Diccionario!B:N,13,0)="B"), "OK",IF(AND(OR(Planilla!B536="B", Planilla!B536="BPAL"), VLOOKUP(E536,[1]Diccionario!B:N,13,0)="A"), "DEFICIT",IF(AND(OR(Planilla!B536="B", Planilla!B536="BPAL"), VLOOKUP(E536,[1]Diccionario!B:N,13,0)="C"), "SOBREOFERTA",IF(AND(Planilla!B536="A", VLOOKUP(E536,[1]Diccionario!B:N,13,0)="A"), "OK",IF(
AND(Planilla!B536="A", OR(VLOOKUP(E536,[1]Diccionario!B:N,13,0)="B", VLOOKUP(E536,[1]Diccionario!B:N,13,0)="C")), "SOBREOFERTA",""
))))))),"")</f>
        <v/>
      </c>
      <c r="E536" s="48"/>
      <c r="F536" s="53"/>
      <c r="G536" s="54"/>
      <c r="H536" s="55" t="str">
        <f t="shared" si="132"/>
        <v/>
      </c>
      <c r="I536" s="35"/>
      <c r="J536" s="34" t="e">
        <f>IF(A536&lt;&gt;"",HLOOKUP(VALUE(TEXT(G536,"h:mm:ss")),IF($C$6="Laboral",[1]Input!$A$4:$Y$227,IF($C$6="Sábado",[1]Input!$A$231:$Y$452,[1]Input!$A$456:$Y$656)),VLOOKUP($C$4,[1]Input!$AG$2:$AI$99,3,0)+IF(C$5="Ida",0,1),1),"")</f>
        <v>#N/A</v>
      </c>
      <c r="K536" s="34" t="str">
        <f>IF(A537&lt;&gt;A536,AVERAGEIF(A$9:A536,A536,J$13:J536),"")</f>
        <v/>
      </c>
      <c r="L536" s="35" t="str">
        <f>IFERROR(IF(A537&lt;&gt;A536,AVERAGEIF(A$9:A536,A536,S$13:S536),""),"")</f>
        <v/>
      </c>
      <c r="M536" s="35" t="str">
        <f>IFERROR(IF(A537&lt;&gt;A536,AVERAGEIF(A$9:A536,A536,T$8:T536),""),"")</f>
        <v/>
      </c>
      <c r="N536" s="35" t="str" cm="1">
        <f t="array" ref="N536">IFERROR(IF(A537&lt;&gt;A536,_xlfn.STDEV.P(IF(A$9:A536=A536,T$7:T536)),""),"")</f>
        <v/>
      </c>
      <c r="O536" s="35" t="str" cm="1">
        <f t="array" ref="O536">IFERROR(IF(A537&lt;&gt;A536,_xlfn.STDEV.P(IF(A$9:A536=A536,S$7:S536)),""),"")</f>
        <v/>
      </c>
      <c r="P536" s="36" t="str">
        <f t="shared" si="125"/>
        <v/>
      </c>
      <c r="Q536" s="36" t="str">
        <f t="shared" si="126"/>
        <v/>
      </c>
      <c r="R536" s="36" t="str">
        <f t="shared" si="133"/>
        <v/>
      </c>
      <c r="S536" s="37" t="str">
        <f t="shared" si="134"/>
        <v/>
      </c>
      <c r="T536" s="37" t="str">
        <f t="shared" si="127"/>
        <v/>
      </c>
      <c r="U536" s="54"/>
      <c r="V536" s="46"/>
      <c r="W536" s="39" t="str">
        <f t="shared" si="135"/>
        <v/>
      </c>
      <c r="X536" s="38"/>
      <c r="Y536" s="48"/>
      <c r="AB536" s="56">
        <f t="shared" si="136"/>
        <v>1</v>
      </c>
      <c r="AC536" s="52"/>
      <c r="AD536" s="52"/>
      <c r="AE536" s="29" t="str">
        <f>IFERROR(
IF(AND(OR(AC536="C",AC536="c"), VLOOKUP(AF536,[1]Diccionario!B:N,13,0)="C"), "OK",IF(AND(OR(AC536="C",AC536="c"), OR(VLOOKUP(AF536,[1]Diccionario!B:N,13,0)="B", VLOOKUP(AF536,[1]Diccionario!B:N,13,0)="A")), "DEFICIT",IF(
AND(OR(AC536="B", AC536="BPAL"), VLOOKUP(AF536,[1]Diccionario!B:N,13,0)="B"), "OK",IF(AND(OR(AC536="B", AC536="BPAL"), VLOOKUP(AF536,[1]Diccionario!B:N,13,0)="A"), "DEFICIT",IF(AND(OR(AC536="B", AC536="BPAL"), VLOOKUP(AF536,[1]Diccionario!B:N,13,0)="C"), "SOBREOFERTA",IF(AND(AC536="A", VLOOKUP(AF536,[1]Diccionario!B:N,13,0)="A"), "OK",IF(
AND(AC536="A", OR(VLOOKUP(AF536,[1]Diccionario!B:N,13,0)="B", VLOOKUP(AF536,[1]Diccionario!B:N,13,0)="C")), "SOBREOFERTA",""
))))))),"")</f>
        <v/>
      </c>
      <c r="AF536" s="48"/>
      <c r="AG536" s="53"/>
      <c r="AH536" s="54"/>
      <c r="AI536" s="55" t="str">
        <f t="shared" si="137"/>
        <v/>
      </c>
      <c r="AJ536" s="46"/>
      <c r="AK536" s="34" t="e">
        <f>IF(AB536&lt;&gt;"",HLOOKUP(VALUE(TEXT(AH536,"h:mm:ss")),IF($C$6="Laboral",[1]Input!$A$4:$Y$227,IF($C$6="Sábado",[1]Input!$A$231:$Y$452,[1]Input!$A$456:$Y$656)),VLOOKUP($C$4,[1]Input!$AG$2:$AI$99,3,0)+IF(AD$5="Ida",0,1),1),"")</f>
        <v>#N/A</v>
      </c>
      <c r="AL536" s="34" t="str">
        <f>IF(AB537&lt;&gt;AB536,AVERAGEIF(AB$9:AB536,AB536,AK$9:AK536),"")</f>
        <v/>
      </c>
      <c r="AM536" s="35" t="str">
        <f>IFERROR(IF(AB537&lt;&gt;AB536,AVERAGEIF(AB$9:AB536,AB536,AT$9:AT536),""),"")</f>
        <v/>
      </c>
      <c r="AN536" s="35" t="str">
        <f>IFERROR(IF(AB537&lt;&gt;AB536,AVERAGEIF(AB$9:AB536,AB536,AU$9:AU536),""),"")</f>
        <v/>
      </c>
      <c r="AO536" s="35" t="str" cm="1">
        <f t="array" ref="AO536">IFERROR(IF(AB537&lt;&gt;AB536,_xlfn.STDEV.P(IF(AB$9:AB536=AB536,AU$9:AU536)),""),"")</f>
        <v/>
      </c>
      <c r="AP536" s="35" t="str" cm="1">
        <f t="array" ref="AP536">IFERROR(IF(AB537&lt;&gt;AB536,_xlfn.STDEV.P(IF(AB$9:AB536=AB536,AT$9:AT536)),""),"")</f>
        <v/>
      </c>
      <c r="AQ536" s="36" t="str">
        <f t="shared" si="128"/>
        <v/>
      </c>
      <c r="AR536" s="36" t="str">
        <f t="shared" si="129"/>
        <v/>
      </c>
      <c r="AS536" s="36" t="str">
        <f t="shared" si="138"/>
        <v/>
      </c>
      <c r="AT536" s="37" t="str">
        <f t="shared" si="130"/>
        <v/>
      </c>
      <c r="AU536" s="37" t="str">
        <f t="shared" si="131"/>
        <v/>
      </c>
      <c r="AV536" s="54"/>
      <c r="AW536" s="46"/>
      <c r="AX536" s="39" t="str" cm="1">
        <f t="array" ref="AX536">IF(AH536&lt;&gt;"",IF(AND(AX534:AX535&lt;&gt;"IE",AQ536&lt;&gt;0,AS536&lt;&gt;""),IF(IFERROR((AQ536/AS536),0) &lt;=1,IFERROR(AQ536/AS536,""),1),""),"")</f>
        <v/>
      </c>
      <c r="AY536" s="46"/>
      <c r="AZ536" s="57"/>
    </row>
    <row r="537" spans="1:52" ht="15.5" x14ac:dyDescent="0.35">
      <c r="A537" s="51">
        <f t="shared" si="139"/>
        <v>1</v>
      </c>
      <c r="B537" s="52"/>
      <c r="C537" s="52"/>
      <c r="D537" s="29" t="str">
        <f>IFERROR(
IF(AND(OR(Planilla!B537="C",Planilla!B537="c"), VLOOKUP(E537,[1]Diccionario!B:N,13,0)="C"), "OK",IF(AND(OR(Planilla!B537="C",Planilla!B537="c"), OR(VLOOKUP(E537,[1]Diccionario!B:N,13,0)="B", VLOOKUP(E537,[1]Diccionario!B:N,13,0)="A")), "DEFICIT",IF(
AND(OR(Planilla!B537="B", Planilla!B537="BPAL"), VLOOKUP(E537,[1]Diccionario!B:N,13,0)="B"), "OK",IF(AND(OR(Planilla!B537="B", Planilla!B537="BPAL"), VLOOKUP(E537,[1]Diccionario!B:N,13,0)="A"), "DEFICIT",IF(AND(OR(Planilla!B537="B", Planilla!B537="BPAL"), VLOOKUP(E537,[1]Diccionario!B:N,13,0)="C"), "SOBREOFERTA",IF(AND(Planilla!B537="A", VLOOKUP(E537,[1]Diccionario!B:N,13,0)="A"), "OK",IF(
AND(Planilla!B537="A", OR(VLOOKUP(E537,[1]Diccionario!B:N,13,0)="B", VLOOKUP(E537,[1]Diccionario!B:N,13,0)="C")), "SOBREOFERTA",""
))))))),"")</f>
        <v/>
      </c>
      <c r="E537" s="48"/>
      <c r="F537" s="53"/>
      <c r="G537" s="54"/>
      <c r="H537" s="55" t="str">
        <f t="shared" si="132"/>
        <v/>
      </c>
      <c r="I537" s="35"/>
      <c r="J537" s="34" t="e">
        <f>IF(A537&lt;&gt;"",HLOOKUP(VALUE(TEXT(G537,"h:mm:ss")),IF($C$6="Laboral",[1]Input!$A$4:$Y$227,IF($C$6="Sábado",[1]Input!$A$231:$Y$452,[1]Input!$A$456:$Y$656)),VLOOKUP($C$4,[1]Input!$AG$2:$AI$99,3,0)+IF(C$5="Ida",0,1),1),"")</f>
        <v>#N/A</v>
      </c>
      <c r="K537" s="34" t="str">
        <f>IF(A538&lt;&gt;A537,AVERAGEIF(A$9:A537,A537,J$13:J537),"")</f>
        <v/>
      </c>
      <c r="L537" s="35" t="str">
        <f>IFERROR(IF(A538&lt;&gt;A537,AVERAGEIF(A$9:A537,A537,S$13:S537),""),"")</f>
        <v/>
      </c>
      <c r="M537" s="35" t="str">
        <f>IFERROR(IF(A538&lt;&gt;A537,AVERAGEIF(A$9:A537,A537,T$8:T537),""),"")</f>
        <v/>
      </c>
      <c r="N537" s="35" t="str" cm="1">
        <f t="array" ref="N537">IFERROR(IF(A538&lt;&gt;A537,_xlfn.STDEV.P(IF(A$9:A537=A537,T$7:T537)),""),"")</f>
        <v/>
      </c>
      <c r="O537" s="35" t="str" cm="1">
        <f t="array" ref="O537">IFERROR(IF(A538&lt;&gt;A537,_xlfn.STDEV.P(IF(A$9:A537=A537,S$7:S537)),""),"")</f>
        <v/>
      </c>
      <c r="P537" s="36" t="str">
        <f t="shared" si="125"/>
        <v/>
      </c>
      <c r="Q537" s="36" t="str">
        <f t="shared" si="126"/>
        <v/>
      </c>
      <c r="R537" s="36" t="str">
        <f t="shared" si="133"/>
        <v/>
      </c>
      <c r="S537" s="37" t="str">
        <f t="shared" si="134"/>
        <v/>
      </c>
      <c r="T537" s="37" t="str">
        <f t="shared" si="127"/>
        <v/>
      </c>
      <c r="U537" s="54"/>
      <c r="V537" s="46"/>
      <c r="W537" s="39" t="str">
        <f t="shared" si="135"/>
        <v/>
      </c>
      <c r="X537" s="38"/>
      <c r="Y537" s="48"/>
      <c r="AB537" s="56">
        <f t="shared" si="136"/>
        <v>1</v>
      </c>
      <c r="AC537" s="52"/>
      <c r="AD537" s="52"/>
      <c r="AE537" s="29" t="str">
        <f>IFERROR(
IF(AND(OR(AC537="C",AC537="c"), VLOOKUP(AF537,[1]Diccionario!B:N,13,0)="C"), "OK",IF(AND(OR(AC537="C",AC537="c"), OR(VLOOKUP(AF537,[1]Diccionario!B:N,13,0)="B", VLOOKUP(AF537,[1]Diccionario!B:N,13,0)="A")), "DEFICIT",IF(
AND(OR(AC537="B", AC537="BPAL"), VLOOKUP(AF537,[1]Diccionario!B:N,13,0)="B"), "OK",IF(AND(OR(AC537="B", AC537="BPAL"), VLOOKUP(AF537,[1]Diccionario!B:N,13,0)="A"), "DEFICIT",IF(AND(OR(AC537="B", AC537="BPAL"), VLOOKUP(AF537,[1]Diccionario!B:N,13,0)="C"), "SOBREOFERTA",IF(AND(AC537="A", VLOOKUP(AF537,[1]Diccionario!B:N,13,0)="A"), "OK",IF(
AND(AC537="A", OR(VLOOKUP(AF537,[1]Diccionario!B:N,13,0)="B", VLOOKUP(AF537,[1]Diccionario!B:N,13,0)="C")), "SOBREOFERTA",""
))))))),"")</f>
        <v/>
      </c>
      <c r="AF537" s="48"/>
      <c r="AG537" s="53"/>
      <c r="AH537" s="54"/>
      <c r="AI537" s="55" t="str">
        <f t="shared" si="137"/>
        <v/>
      </c>
      <c r="AJ537" s="46"/>
      <c r="AK537" s="34" t="e">
        <f>IF(AB537&lt;&gt;"",HLOOKUP(VALUE(TEXT(AH537,"h:mm:ss")),IF($C$6="Laboral",[1]Input!$A$4:$Y$227,IF($C$6="Sábado",[1]Input!$A$231:$Y$452,[1]Input!$A$456:$Y$656)),VLOOKUP($C$4,[1]Input!$AG$2:$AI$99,3,0)+IF(AD$5="Ida",0,1),1),"")</f>
        <v>#N/A</v>
      </c>
      <c r="AL537" s="34" t="str">
        <f>IF(AB538&lt;&gt;AB537,AVERAGEIF(AB$9:AB537,AB537,AK$9:AK537),"")</f>
        <v/>
      </c>
      <c r="AM537" s="35" t="str">
        <f>IFERROR(IF(AB538&lt;&gt;AB537,AVERAGEIF(AB$9:AB537,AB537,AT$9:AT537),""),"")</f>
        <v/>
      </c>
      <c r="AN537" s="35" t="str">
        <f>IFERROR(IF(AB538&lt;&gt;AB537,AVERAGEIF(AB$9:AB537,AB537,AU$9:AU537),""),"")</f>
        <v/>
      </c>
      <c r="AO537" s="35" t="str" cm="1">
        <f t="array" ref="AO537">IFERROR(IF(AB538&lt;&gt;AB537,_xlfn.STDEV.P(IF(AB$9:AB537=AB537,AU$9:AU537)),""),"")</f>
        <v/>
      </c>
      <c r="AP537" s="35" t="str" cm="1">
        <f t="array" ref="AP537">IFERROR(IF(AB538&lt;&gt;AB537,_xlfn.STDEV.P(IF(AB$9:AB537=AB537,AT$9:AT537)),""),"")</f>
        <v/>
      </c>
      <c r="AQ537" s="36" t="str">
        <f t="shared" si="128"/>
        <v/>
      </c>
      <c r="AR537" s="36" t="str">
        <f t="shared" si="129"/>
        <v/>
      </c>
      <c r="AS537" s="36" t="str">
        <f t="shared" si="138"/>
        <v/>
      </c>
      <c r="AT537" s="37" t="str">
        <f t="shared" si="130"/>
        <v/>
      </c>
      <c r="AU537" s="37" t="str">
        <f t="shared" si="131"/>
        <v/>
      </c>
      <c r="AV537" s="54"/>
      <c r="AW537" s="46"/>
      <c r="AX537" s="39" t="str" cm="1">
        <f t="array" ref="AX537">IF(AH537&lt;&gt;"",IF(AND(AX535:AX536&lt;&gt;"IE",AQ537&lt;&gt;0,AS537&lt;&gt;""),IF(IFERROR((AQ537/AS537),0) &lt;=1,IFERROR(AQ537/AS537,""),1),""),"")</f>
        <v/>
      </c>
      <c r="AY537" s="46"/>
      <c r="AZ537" s="57"/>
    </row>
    <row r="538" spans="1:52" ht="15.5" x14ac:dyDescent="0.35">
      <c r="A538" s="51">
        <f t="shared" si="139"/>
        <v>1</v>
      </c>
      <c r="B538" s="52"/>
      <c r="C538" s="52"/>
      <c r="D538" s="29" t="str">
        <f>IFERROR(
IF(AND(OR(Planilla!B538="C",Planilla!B538="c"), VLOOKUP(E538,[1]Diccionario!B:N,13,0)="C"), "OK",IF(AND(OR(Planilla!B538="C",Planilla!B538="c"), OR(VLOOKUP(E538,[1]Diccionario!B:N,13,0)="B", VLOOKUP(E538,[1]Diccionario!B:N,13,0)="A")), "DEFICIT",IF(
AND(OR(Planilla!B538="B", Planilla!B538="BPAL"), VLOOKUP(E538,[1]Diccionario!B:N,13,0)="B"), "OK",IF(AND(OR(Planilla!B538="B", Planilla!B538="BPAL"), VLOOKUP(E538,[1]Diccionario!B:N,13,0)="A"), "DEFICIT",IF(AND(OR(Planilla!B538="B", Planilla!B538="BPAL"), VLOOKUP(E538,[1]Diccionario!B:N,13,0)="C"), "SOBREOFERTA",IF(AND(Planilla!B538="A", VLOOKUP(E538,[1]Diccionario!B:N,13,0)="A"), "OK",IF(
AND(Planilla!B538="A", OR(VLOOKUP(E538,[1]Diccionario!B:N,13,0)="B", VLOOKUP(E538,[1]Diccionario!B:N,13,0)="C")), "SOBREOFERTA",""
))))))),"")</f>
        <v/>
      </c>
      <c r="E538" s="48"/>
      <c r="F538" s="53"/>
      <c r="G538" s="54"/>
      <c r="H538" s="55" t="str">
        <f t="shared" si="132"/>
        <v/>
      </c>
      <c r="I538" s="35"/>
      <c r="J538" s="34" t="e">
        <f>IF(A538&lt;&gt;"",HLOOKUP(VALUE(TEXT(G538,"h:mm:ss")),IF($C$6="Laboral",[1]Input!$A$4:$Y$227,IF($C$6="Sábado",[1]Input!$A$231:$Y$452,[1]Input!$A$456:$Y$656)),VLOOKUP($C$4,[1]Input!$AG$2:$AI$99,3,0)+IF(C$5="Ida",0,1),1),"")</f>
        <v>#N/A</v>
      </c>
      <c r="K538" s="34" t="str">
        <f>IF(A539&lt;&gt;A538,AVERAGEIF(A$9:A538,A538,J$13:J538),"")</f>
        <v/>
      </c>
      <c r="L538" s="35" t="str">
        <f>IFERROR(IF(A539&lt;&gt;A538,AVERAGEIF(A$9:A538,A538,S$13:S538),""),"")</f>
        <v/>
      </c>
      <c r="M538" s="35" t="str">
        <f>IFERROR(IF(A539&lt;&gt;A538,AVERAGEIF(A$9:A538,A538,T$8:T538),""),"")</f>
        <v/>
      </c>
      <c r="N538" s="35" t="str" cm="1">
        <f t="array" ref="N538">IFERROR(IF(A539&lt;&gt;A538,_xlfn.STDEV.P(IF(A$9:A538=A538,T$7:T538)),""),"")</f>
        <v/>
      </c>
      <c r="O538" s="35" t="str" cm="1">
        <f t="array" ref="O538">IFERROR(IF(A539&lt;&gt;A538,_xlfn.STDEV.P(IF(A$9:A538=A538,S$7:S538)),""),"")</f>
        <v/>
      </c>
      <c r="P538" s="36" t="str">
        <f t="shared" si="125"/>
        <v/>
      </c>
      <c r="Q538" s="36" t="str">
        <f t="shared" si="126"/>
        <v/>
      </c>
      <c r="R538" s="36" t="str">
        <f t="shared" si="133"/>
        <v/>
      </c>
      <c r="S538" s="37" t="str">
        <f t="shared" si="134"/>
        <v/>
      </c>
      <c r="T538" s="37" t="str">
        <f t="shared" si="127"/>
        <v/>
      </c>
      <c r="U538" s="54"/>
      <c r="V538" s="46"/>
      <c r="W538" s="39" t="str">
        <f t="shared" si="135"/>
        <v/>
      </c>
      <c r="X538" s="38"/>
      <c r="Y538" s="48"/>
      <c r="AB538" s="56">
        <f t="shared" si="136"/>
        <v>1</v>
      </c>
      <c r="AC538" s="52"/>
      <c r="AD538" s="52"/>
      <c r="AE538" s="29" t="str">
        <f>IFERROR(
IF(AND(OR(AC538="C",AC538="c"), VLOOKUP(AF538,[1]Diccionario!B:N,13,0)="C"), "OK",IF(AND(OR(AC538="C",AC538="c"), OR(VLOOKUP(AF538,[1]Diccionario!B:N,13,0)="B", VLOOKUP(AF538,[1]Diccionario!B:N,13,0)="A")), "DEFICIT",IF(
AND(OR(AC538="B", AC538="BPAL"), VLOOKUP(AF538,[1]Diccionario!B:N,13,0)="B"), "OK",IF(AND(OR(AC538="B", AC538="BPAL"), VLOOKUP(AF538,[1]Diccionario!B:N,13,0)="A"), "DEFICIT",IF(AND(OR(AC538="B", AC538="BPAL"), VLOOKUP(AF538,[1]Diccionario!B:N,13,0)="C"), "SOBREOFERTA",IF(AND(AC538="A", VLOOKUP(AF538,[1]Diccionario!B:N,13,0)="A"), "OK",IF(
AND(AC538="A", OR(VLOOKUP(AF538,[1]Diccionario!B:N,13,0)="B", VLOOKUP(AF538,[1]Diccionario!B:N,13,0)="C")), "SOBREOFERTA",""
))))))),"")</f>
        <v/>
      </c>
      <c r="AF538" s="48"/>
      <c r="AG538" s="53"/>
      <c r="AH538" s="54"/>
      <c r="AI538" s="55" t="str">
        <f t="shared" si="137"/>
        <v/>
      </c>
      <c r="AJ538" s="46"/>
      <c r="AK538" s="34" t="e">
        <f>IF(AB538&lt;&gt;"",HLOOKUP(VALUE(TEXT(AH538,"h:mm:ss")),IF($C$6="Laboral",[1]Input!$A$4:$Y$227,IF($C$6="Sábado",[1]Input!$A$231:$Y$452,[1]Input!$A$456:$Y$656)),VLOOKUP($C$4,[1]Input!$AG$2:$AI$99,3,0)+IF(AD$5="Ida",0,1),1),"")</f>
        <v>#N/A</v>
      </c>
      <c r="AL538" s="34" t="str">
        <f>IF(AB539&lt;&gt;AB538,AVERAGEIF(AB$9:AB538,AB538,AK$9:AK538),"")</f>
        <v/>
      </c>
      <c r="AM538" s="35" t="str">
        <f>IFERROR(IF(AB539&lt;&gt;AB538,AVERAGEIF(AB$9:AB538,AB538,AT$9:AT538),""),"")</f>
        <v/>
      </c>
      <c r="AN538" s="35" t="str">
        <f>IFERROR(IF(AB539&lt;&gt;AB538,AVERAGEIF(AB$9:AB538,AB538,AU$9:AU538),""),"")</f>
        <v/>
      </c>
      <c r="AO538" s="35" t="str" cm="1">
        <f t="array" ref="AO538">IFERROR(IF(AB539&lt;&gt;AB538,_xlfn.STDEV.P(IF(AB$9:AB538=AB538,AU$9:AU538)),""),"")</f>
        <v/>
      </c>
      <c r="AP538" s="35" t="str" cm="1">
        <f t="array" ref="AP538">IFERROR(IF(AB539&lt;&gt;AB538,_xlfn.STDEV.P(IF(AB$9:AB538=AB538,AT$9:AT538)),""),"")</f>
        <v/>
      </c>
      <c r="AQ538" s="36" t="str">
        <f t="shared" si="128"/>
        <v/>
      </c>
      <c r="AR538" s="36" t="str">
        <f t="shared" si="129"/>
        <v/>
      </c>
      <c r="AS538" s="36" t="str">
        <f t="shared" si="138"/>
        <v/>
      </c>
      <c r="AT538" s="37" t="str">
        <f t="shared" si="130"/>
        <v/>
      </c>
      <c r="AU538" s="37" t="str">
        <f t="shared" si="131"/>
        <v/>
      </c>
      <c r="AV538" s="54"/>
      <c r="AW538" s="46"/>
      <c r="AX538" s="39" t="str" cm="1">
        <f t="array" ref="AX538">IF(AH538&lt;&gt;"",IF(AND(AX536:AX537&lt;&gt;"IE",AQ538&lt;&gt;0,AS538&lt;&gt;""),IF(IFERROR((AQ538/AS538),0) &lt;=1,IFERROR(AQ538/AS538,""),1),""),"")</f>
        <v/>
      </c>
      <c r="AY538" s="46"/>
      <c r="AZ538" s="57"/>
    </row>
    <row r="539" spans="1:52" ht="15.5" x14ac:dyDescent="0.35">
      <c r="A539" s="51">
        <f t="shared" si="139"/>
        <v>1</v>
      </c>
      <c r="B539" s="52"/>
      <c r="C539" s="52"/>
      <c r="D539" s="29" t="str">
        <f>IFERROR(
IF(AND(OR(Planilla!B539="C",Planilla!B539="c"), VLOOKUP(E539,[1]Diccionario!B:N,13,0)="C"), "OK",IF(AND(OR(Planilla!B539="C",Planilla!B539="c"), OR(VLOOKUP(E539,[1]Diccionario!B:N,13,0)="B", VLOOKUP(E539,[1]Diccionario!B:N,13,0)="A")), "DEFICIT",IF(
AND(OR(Planilla!B539="B", Planilla!B539="BPAL"), VLOOKUP(E539,[1]Diccionario!B:N,13,0)="B"), "OK",IF(AND(OR(Planilla!B539="B", Planilla!B539="BPAL"), VLOOKUP(E539,[1]Diccionario!B:N,13,0)="A"), "DEFICIT",IF(AND(OR(Planilla!B539="B", Planilla!B539="BPAL"), VLOOKUP(E539,[1]Diccionario!B:N,13,0)="C"), "SOBREOFERTA",IF(AND(Planilla!B539="A", VLOOKUP(E539,[1]Diccionario!B:N,13,0)="A"), "OK",IF(
AND(Planilla!B539="A", OR(VLOOKUP(E539,[1]Diccionario!B:N,13,0)="B", VLOOKUP(E539,[1]Diccionario!B:N,13,0)="C")), "SOBREOFERTA",""
))))))),"")</f>
        <v/>
      </c>
      <c r="E539" s="48"/>
      <c r="F539" s="53"/>
      <c r="G539" s="54"/>
      <c r="H539" s="55" t="str">
        <f t="shared" si="132"/>
        <v/>
      </c>
      <c r="I539" s="35"/>
      <c r="J539" s="34" t="e">
        <f>IF(A539&lt;&gt;"",HLOOKUP(VALUE(TEXT(G539,"h:mm:ss")),IF($C$6="Laboral",[1]Input!$A$4:$Y$227,IF($C$6="Sábado",[1]Input!$A$231:$Y$452,[1]Input!$A$456:$Y$656)),VLOOKUP($C$4,[1]Input!$AG$2:$AI$99,3,0)+IF(C$5="Ida",0,1),1),"")</f>
        <v>#N/A</v>
      </c>
      <c r="K539" s="34" t="str">
        <f>IF(A540&lt;&gt;A539,AVERAGEIF(A$9:A539,A539,J$13:J539),"")</f>
        <v/>
      </c>
      <c r="L539" s="35" t="str">
        <f>IFERROR(IF(A540&lt;&gt;A539,AVERAGEIF(A$9:A539,A539,S$13:S539),""),"")</f>
        <v/>
      </c>
      <c r="M539" s="35" t="str">
        <f>IFERROR(IF(A540&lt;&gt;A539,AVERAGEIF(A$9:A539,A539,T$8:T539),""),"")</f>
        <v/>
      </c>
      <c r="N539" s="35" t="str" cm="1">
        <f t="array" ref="N539">IFERROR(IF(A540&lt;&gt;A539,_xlfn.STDEV.P(IF(A$9:A539=A539,T$7:T539)),""),"")</f>
        <v/>
      </c>
      <c r="O539" s="35" t="str" cm="1">
        <f t="array" ref="O539">IFERROR(IF(A540&lt;&gt;A539,_xlfn.STDEV.P(IF(A$9:A539=A539,S$7:S539)),""),"")</f>
        <v/>
      </c>
      <c r="P539" s="36" t="str">
        <f t="shared" si="125"/>
        <v/>
      </c>
      <c r="Q539" s="36" t="str">
        <f t="shared" si="126"/>
        <v/>
      </c>
      <c r="R539" s="36" t="str">
        <f t="shared" si="133"/>
        <v/>
      </c>
      <c r="S539" s="37" t="str">
        <f t="shared" si="134"/>
        <v/>
      </c>
      <c r="T539" s="37" t="str">
        <f t="shared" si="127"/>
        <v/>
      </c>
      <c r="U539" s="54"/>
      <c r="V539" s="46"/>
      <c r="W539" s="39" t="str">
        <f t="shared" si="135"/>
        <v/>
      </c>
      <c r="X539" s="38"/>
      <c r="Y539" s="48"/>
      <c r="AB539" s="56">
        <f t="shared" si="136"/>
        <v>1</v>
      </c>
      <c r="AC539" s="52"/>
      <c r="AD539" s="52"/>
      <c r="AE539" s="29" t="str">
        <f>IFERROR(
IF(AND(OR(AC539="C",AC539="c"), VLOOKUP(AF539,[1]Diccionario!B:N,13,0)="C"), "OK",IF(AND(OR(AC539="C",AC539="c"), OR(VLOOKUP(AF539,[1]Diccionario!B:N,13,0)="B", VLOOKUP(AF539,[1]Diccionario!B:N,13,0)="A")), "DEFICIT",IF(
AND(OR(AC539="B", AC539="BPAL"), VLOOKUP(AF539,[1]Diccionario!B:N,13,0)="B"), "OK",IF(AND(OR(AC539="B", AC539="BPAL"), VLOOKUP(AF539,[1]Diccionario!B:N,13,0)="A"), "DEFICIT",IF(AND(OR(AC539="B", AC539="BPAL"), VLOOKUP(AF539,[1]Diccionario!B:N,13,0)="C"), "SOBREOFERTA",IF(AND(AC539="A", VLOOKUP(AF539,[1]Diccionario!B:N,13,0)="A"), "OK",IF(
AND(AC539="A", OR(VLOOKUP(AF539,[1]Diccionario!B:N,13,0)="B", VLOOKUP(AF539,[1]Diccionario!B:N,13,0)="C")), "SOBREOFERTA",""
))))))),"")</f>
        <v/>
      </c>
      <c r="AF539" s="48"/>
      <c r="AG539" s="53"/>
      <c r="AH539" s="54"/>
      <c r="AI539" s="55" t="str">
        <f t="shared" si="137"/>
        <v/>
      </c>
      <c r="AJ539" s="46"/>
      <c r="AK539" s="34" t="e">
        <f>IF(AB539&lt;&gt;"",HLOOKUP(VALUE(TEXT(AH539,"h:mm:ss")),IF($C$6="Laboral",[1]Input!$A$4:$Y$227,IF($C$6="Sábado",[1]Input!$A$231:$Y$452,[1]Input!$A$456:$Y$656)),VLOOKUP($C$4,[1]Input!$AG$2:$AI$99,3,0)+IF(AD$5="Ida",0,1),1),"")</f>
        <v>#N/A</v>
      </c>
      <c r="AL539" s="34" t="str">
        <f>IF(AB540&lt;&gt;AB539,AVERAGEIF(AB$9:AB539,AB539,AK$9:AK539),"")</f>
        <v/>
      </c>
      <c r="AM539" s="35" t="str">
        <f>IFERROR(IF(AB540&lt;&gt;AB539,AVERAGEIF(AB$9:AB539,AB539,AT$9:AT539),""),"")</f>
        <v/>
      </c>
      <c r="AN539" s="35" t="str">
        <f>IFERROR(IF(AB540&lt;&gt;AB539,AVERAGEIF(AB$9:AB539,AB539,AU$9:AU539),""),"")</f>
        <v/>
      </c>
      <c r="AO539" s="35" t="str" cm="1">
        <f t="array" ref="AO539">IFERROR(IF(AB540&lt;&gt;AB539,_xlfn.STDEV.P(IF(AB$9:AB539=AB539,AU$9:AU539)),""),"")</f>
        <v/>
      </c>
      <c r="AP539" s="35" t="str" cm="1">
        <f t="array" ref="AP539">IFERROR(IF(AB540&lt;&gt;AB539,_xlfn.STDEV.P(IF(AB$9:AB539=AB539,AT$9:AT539)),""),"")</f>
        <v/>
      </c>
      <c r="AQ539" s="36" t="str">
        <f t="shared" si="128"/>
        <v/>
      </c>
      <c r="AR539" s="36" t="str">
        <f t="shared" si="129"/>
        <v/>
      </c>
      <c r="AS539" s="36" t="str">
        <f t="shared" si="138"/>
        <v/>
      </c>
      <c r="AT539" s="37" t="str">
        <f t="shared" si="130"/>
        <v/>
      </c>
      <c r="AU539" s="37" t="str">
        <f t="shared" si="131"/>
        <v/>
      </c>
      <c r="AV539" s="54"/>
      <c r="AW539" s="46"/>
      <c r="AX539" s="39" t="str" cm="1">
        <f t="array" ref="AX539">IF(AH539&lt;&gt;"",IF(AND(AX537:AX538&lt;&gt;"IE",AQ539&lt;&gt;0,AS539&lt;&gt;""),IF(IFERROR((AQ539/AS539),0) &lt;=1,IFERROR(AQ539/AS539,""),1),""),"")</f>
        <v/>
      </c>
      <c r="AY539" s="46"/>
      <c r="AZ539" s="57"/>
    </row>
    <row r="540" spans="1:52" ht="15.5" x14ac:dyDescent="0.35">
      <c r="A540" s="51">
        <f t="shared" si="139"/>
        <v>1</v>
      </c>
      <c r="B540" s="52"/>
      <c r="C540" s="52"/>
      <c r="D540" s="29" t="str">
        <f>IFERROR(
IF(AND(OR(Planilla!B540="C",Planilla!B540="c"), VLOOKUP(E540,[1]Diccionario!B:N,13,0)="C"), "OK",IF(AND(OR(Planilla!B540="C",Planilla!B540="c"), OR(VLOOKUP(E540,[1]Diccionario!B:N,13,0)="B", VLOOKUP(E540,[1]Diccionario!B:N,13,0)="A")), "DEFICIT",IF(
AND(OR(Planilla!B540="B", Planilla!B540="BPAL"), VLOOKUP(E540,[1]Diccionario!B:N,13,0)="B"), "OK",IF(AND(OR(Planilla!B540="B", Planilla!B540="BPAL"), VLOOKUP(E540,[1]Diccionario!B:N,13,0)="A"), "DEFICIT",IF(AND(OR(Planilla!B540="B", Planilla!B540="BPAL"), VLOOKUP(E540,[1]Diccionario!B:N,13,0)="C"), "SOBREOFERTA",IF(AND(Planilla!B540="A", VLOOKUP(E540,[1]Diccionario!B:N,13,0)="A"), "OK",IF(
AND(Planilla!B540="A", OR(VLOOKUP(E540,[1]Diccionario!B:N,13,0)="B", VLOOKUP(E540,[1]Diccionario!B:N,13,0)="C")), "SOBREOFERTA",""
))))))),"")</f>
        <v/>
      </c>
      <c r="E540" s="48"/>
      <c r="F540" s="53"/>
      <c r="G540" s="54"/>
      <c r="H540" s="55" t="str">
        <f t="shared" si="132"/>
        <v/>
      </c>
      <c r="I540" s="35"/>
      <c r="J540" s="34" t="e">
        <f>IF(A540&lt;&gt;"",HLOOKUP(VALUE(TEXT(G540,"h:mm:ss")),IF($C$6="Laboral",[1]Input!$A$4:$Y$227,IF($C$6="Sábado",[1]Input!$A$231:$Y$452,[1]Input!$A$456:$Y$656)),VLOOKUP($C$4,[1]Input!$AG$2:$AI$99,3,0)+IF(C$5="Ida",0,1),1),"")</f>
        <v>#N/A</v>
      </c>
      <c r="K540" s="34" t="str">
        <f>IF(A541&lt;&gt;A540,AVERAGEIF(A$9:A540,A540,J$13:J540),"")</f>
        <v/>
      </c>
      <c r="L540" s="35" t="str">
        <f>IFERROR(IF(A541&lt;&gt;A540,AVERAGEIF(A$9:A540,A540,S$13:S540),""),"")</f>
        <v/>
      </c>
      <c r="M540" s="35" t="str">
        <f>IFERROR(IF(A541&lt;&gt;A540,AVERAGEIF(A$9:A540,A540,T$8:T540),""),"")</f>
        <v/>
      </c>
      <c r="N540" s="35" t="str" cm="1">
        <f t="array" ref="N540">IFERROR(IF(A541&lt;&gt;A540,_xlfn.STDEV.P(IF(A$9:A540=A540,T$7:T540)),""),"")</f>
        <v/>
      </c>
      <c r="O540" s="35" t="str" cm="1">
        <f t="array" ref="O540">IFERROR(IF(A541&lt;&gt;A540,_xlfn.STDEV.P(IF(A$9:A540=A540,S$7:S540)),""),"")</f>
        <v/>
      </c>
      <c r="P540" s="36" t="str">
        <f t="shared" si="125"/>
        <v/>
      </c>
      <c r="Q540" s="36" t="str">
        <f t="shared" si="126"/>
        <v/>
      </c>
      <c r="R540" s="36" t="str">
        <f t="shared" si="133"/>
        <v/>
      </c>
      <c r="S540" s="37" t="str">
        <f t="shared" si="134"/>
        <v/>
      </c>
      <c r="T540" s="37" t="str">
        <f t="shared" si="127"/>
        <v/>
      </c>
      <c r="U540" s="54"/>
      <c r="V540" s="46"/>
      <c r="W540" s="39" t="str">
        <f t="shared" si="135"/>
        <v/>
      </c>
      <c r="X540" s="38"/>
      <c r="Y540" s="48"/>
      <c r="AB540" s="56">
        <f t="shared" si="136"/>
        <v>1</v>
      </c>
      <c r="AC540" s="52"/>
      <c r="AD540" s="52"/>
      <c r="AE540" s="29" t="str">
        <f>IFERROR(
IF(AND(OR(AC540="C",AC540="c"), VLOOKUP(AF540,[1]Diccionario!B:N,13,0)="C"), "OK",IF(AND(OR(AC540="C",AC540="c"), OR(VLOOKUP(AF540,[1]Diccionario!B:N,13,0)="B", VLOOKUP(AF540,[1]Diccionario!B:N,13,0)="A")), "DEFICIT",IF(
AND(OR(AC540="B", AC540="BPAL"), VLOOKUP(AF540,[1]Diccionario!B:N,13,0)="B"), "OK",IF(AND(OR(AC540="B", AC540="BPAL"), VLOOKUP(AF540,[1]Diccionario!B:N,13,0)="A"), "DEFICIT",IF(AND(OR(AC540="B", AC540="BPAL"), VLOOKUP(AF540,[1]Diccionario!B:N,13,0)="C"), "SOBREOFERTA",IF(AND(AC540="A", VLOOKUP(AF540,[1]Diccionario!B:N,13,0)="A"), "OK",IF(
AND(AC540="A", OR(VLOOKUP(AF540,[1]Diccionario!B:N,13,0)="B", VLOOKUP(AF540,[1]Diccionario!B:N,13,0)="C")), "SOBREOFERTA",""
))))))),"")</f>
        <v/>
      </c>
      <c r="AF540" s="48"/>
      <c r="AG540" s="53"/>
      <c r="AH540" s="54"/>
      <c r="AI540" s="55" t="str">
        <f t="shared" si="137"/>
        <v/>
      </c>
      <c r="AJ540" s="46"/>
      <c r="AK540" s="34" t="e">
        <f>IF(AB540&lt;&gt;"",HLOOKUP(VALUE(TEXT(AH540,"h:mm:ss")),IF($C$6="Laboral",[1]Input!$A$4:$Y$227,IF($C$6="Sábado",[1]Input!$A$231:$Y$452,[1]Input!$A$456:$Y$656)),VLOOKUP($C$4,[1]Input!$AG$2:$AI$99,3,0)+IF(AD$5="Ida",0,1),1),"")</f>
        <v>#N/A</v>
      </c>
      <c r="AL540" s="34" t="str">
        <f>IF(AB541&lt;&gt;AB540,AVERAGEIF(AB$9:AB540,AB540,AK$9:AK540),"")</f>
        <v/>
      </c>
      <c r="AM540" s="35" t="str">
        <f>IFERROR(IF(AB541&lt;&gt;AB540,AVERAGEIF(AB$9:AB540,AB540,AT$9:AT540),""),"")</f>
        <v/>
      </c>
      <c r="AN540" s="35" t="str">
        <f>IFERROR(IF(AB541&lt;&gt;AB540,AVERAGEIF(AB$9:AB540,AB540,AU$9:AU540),""),"")</f>
        <v/>
      </c>
      <c r="AO540" s="35" t="str" cm="1">
        <f t="array" ref="AO540">IFERROR(IF(AB541&lt;&gt;AB540,_xlfn.STDEV.P(IF(AB$9:AB540=AB540,AU$9:AU540)),""),"")</f>
        <v/>
      </c>
      <c r="AP540" s="35" t="str" cm="1">
        <f t="array" ref="AP540">IFERROR(IF(AB541&lt;&gt;AB540,_xlfn.STDEV.P(IF(AB$9:AB540=AB540,AT$9:AT540)),""),"")</f>
        <v/>
      </c>
      <c r="AQ540" s="36" t="str">
        <f t="shared" si="128"/>
        <v/>
      </c>
      <c r="AR540" s="36" t="str">
        <f t="shared" si="129"/>
        <v/>
      </c>
      <c r="AS540" s="36" t="str">
        <f t="shared" si="138"/>
        <v/>
      </c>
      <c r="AT540" s="37" t="str">
        <f t="shared" si="130"/>
        <v/>
      </c>
      <c r="AU540" s="37" t="str">
        <f t="shared" si="131"/>
        <v/>
      </c>
      <c r="AV540" s="54"/>
      <c r="AW540" s="46"/>
      <c r="AX540" s="39" t="str" cm="1">
        <f t="array" ref="AX540">IF(AH540&lt;&gt;"",IF(AND(AX538:AX539&lt;&gt;"IE",AQ540&lt;&gt;0,AS540&lt;&gt;""),IF(IFERROR((AQ540/AS540),0) &lt;=1,IFERROR(AQ540/AS540,""),1),""),"")</f>
        <v/>
      </c>
      <c r="AY540" s="46"/>
      <c r="AZ540" s="57"/>
    </row>
    <row r="541" spans="1:52" ht="15.5" x14ac:dyDescent="0.35">
      <c r="A541" s="51">
        <f t="shared" si="139"/>
        <v>1</v>
      </c>
      <c r="B541" s="52"/>
      <c r="C541" s="52"/>
      <c r="D541" s="29" t="str">
        <f>IFERROR(
IF(AND(OR(Planilla!B541="C",Planilla!B541="c"), VLOOKUP(E541,[1]Diccionario!B:N,13,0)="C"), "OK",IF(AND(OR(Planilla!B541="C",Planilla!B541="c"), OR(VLOOKUP(E541,[1]Diccionario!B:N,13,0)="B", VLOOKUP(E541,[1]Diccionario!B:N,13,0)="A")), "DEFICIT",IF(
AND(OR(Planilla!B541="B", Planilla!B541="BPAL"), VLOOKUP(E541,[1]Diccionario!B:N,13,0)="B"), "OK",IF(AND(OR(Planilla!B541="B", Planilla!B541="BPAL"), VLOOKUP(E541,[1]Diccionario!B:N,13,0)="A"), "DEFICIT",IF(AND(OR(Planilla!B541="B", Planilla!B541="BPAL"), VLOOKUP(E541,[1]Diccionario!B:N,13,0)="C"), "SOBREOFERTA",IF(AND(Planilla!B541="A", VLOOKUP(E541,[1]Diccionario!B:N,13,0)="A"), "OK",IF(
AND(Planilla!B541="A", OR(VLOOKUP(E541,[1]Diccionario!B:N,13,0)="B", VLOOKUP(E541,[1]Diccionario!B:N,13,0)="C")), "SOBREOFERTA",""
))))))),"")</f>
        <v/>
      </c>
      <c r="E541" s="48"/>
      <c r="F541" s="53"/>
      <c r="G541" s="54"/>
      <c r="H541" s="55" t="str">
        <f t="shared" si="132"/>
        <v/>
      </c>
      <c r="I541" s="35"/>
      <c r="J541" s="34" t="e">
        <f>IF(A541&lt;&gt;"",HLOOKUP(VALUE(TEXT(G541,"h:mm:ss")),IF($C$6="Laboral",[1]Input!$A$4:$Y$227,IF($C$6="Sábado",[1]Input!$A$231:$Y$452,[1]Input!$A$456:$Y$656)),VLOOKUP($C$4,[1]Input!$AG$2:$AI$99,3,0)+IF(C$5="Ida",0,1),1),"")</f>
        <v>#N/A</v>
      </c>
      <c r="K541" s="34" t="str">
        <f>IF(A542&lt;&gt;A541,AVERAGEIF(A$9:A541,A541,J$13:J541),"")</f>
        <v/>
      </c>
      <c r="L541" s="35" t="str">
        <f>IFERROR(IF(A542&lt;&gt;A541,AVERAGEIF(A$9:A541,A541,S$13:S541),""),"")</f>
        <v/>
      </c>
      <c r="M541" s="35" t="str">
        <f>IFERROR(IF(A542&lt;&gt;A541,AVERAGEIF(A$9:A541,A541,T$8:T541),""),"")</f>
        <v/>
      </c>
      <c r="N541" s="35" t="str" cm="1">
        <f t="array" ref="N541">IFERROR(IF(A542&lt;&gt;A541,_xlfn.STDEV.P(IF(A$9:A541=A541,T$7:T541)),""),"")</f>
        <v/>
      </c>
      <c r="O541" s="35" t="str" cm="1">
        <f t="array" ref="O541">IFERROR(IF(A542&lt;&gt;A541,_xlfn.STDEV.P(IF(A$9:A541=A541,S$7:S541)),""),"")</f>
        <v/>
      </c>
      <c r="P541" s="36" t="str">
        <f t="shared" si="125"/>
        <v/>
      </c>
      <c r="Q541" s="36" t="str">
        <f t="shared" si="126"/>
        <v/>
      </c>
      <c r="R541" s="36" t="str">
        <f t="shared" si="133"/>
        <v/>
      </c>
      <c r="S541" s="37" t="str">
        <f t="shared" si="134"/>
        <v/>
      </c>
      <c r="T541" s="37" t="str">
        <f t="shared" si="127"/>
        <v/>
      </c>
      <c r="U541" s="54"/>
      <c r="V541" s="46"/>
      <c r="W541" s="39" t="str">
        <f t="shared" si="135"/>
        <v/>
      </c>
      <c r="X541" s="38"/>
      <c r="Y541" s="48"/>
      <c r="AB541" s="56">
        <f t="shared" si="136"/>
        <v>1</v>
      </c>
      <c r="AC541" s="52"/>
      <c r="AD541" s="52"/>
      <c r="AE541" s="29" t="str">
        <f>IFERROR(
IF(AND(OR(AC541="C",AC541="c"), VLOOKUP(AF541,[1]Diccionario!B:N,13,0)="C"), "OK",IF(AND(OR(AC541="C",AC541="c"), OR(VLOOKUP(AF541,[1]Diccionario!B:N,13,0)="B", VLOOKUP(AF541,[1]Diccionario!B:N,13,0)="A")), "DEFICIT",IF(
AND(OR(AC541="B", AC541="BPAL"), VLOOKUP(AF541,[1]Diccionario!B:N,13,0)="B"), "OK",IF(AND(OR(AC541="B", AC541="BPAL"), VLOOKUP(AF541,[1]Diccionario!B:N,13,0)="A"), "DEFICIT",IF(AND(OR(AC541="B", AC541="BPAL"), VLOOKUP(AF541,[1]Diccionario!B:N,13,0)="C"), "SOBREOFERTA",IF(AND(AC541="A", VLOOKUP(AF541,[1]Diccionario!B:N,13,0)="A"), "OK",IF(
AND(AC541="A", OR(VLOOKUP(AF541,[1]Diccionario!B:N,13,0)="B", VLOOKUP(AF541,[1]Diccionario!B:N,13,0)="C")), "SOBREOFERTA",""
))))))),"")</f>
        <v/>
      </c>
      <c r="AF541" s="48"/>
      <c r="AG541" s="53"/>
      <c r="AH541" s="54"/>
      <c r="AI541" s="55" t="str">
        <f t="shared" si="137"/>
        <v/>
      </c>
      <c r="AJ541" s="46"/>
      <c r="AK541" s="34" t="e">
        <f>IF(AB541&lt;&gt;"",HLOOKUP(VALUE(TEXT(AH541,"h:mm:ss")),IF($C$6="Laboral",[1]Input!$A$4:$Y$227,IF($C$6="Sábado",[1]Input!$A$231:$Y$452,[1]Input!$A$456:$Y$656)),VLOOKUP($C$4,[1]Input!$AG$2:$AI$99,3,0)+IF(AD$5="Ida",0,1),1),"")</f>
        <v>#N/A</v>
      </c>
      <c r="AL541" s="34" t="str">
        <f>IF(AB542&lt;&gt;AB541,AVERAGEIF(AB$9:AB541,AB541,AK$9:AK541),"")</f>
        <v/>
      </c>
      <c r="AM541" s="35" t="str">
        <f>IFERROR(IF(AB542&lt;&gt;AB541,AVERAGEIF(AB$9:AB541,AB541,AT$9:AT541),""),"")</f>
        <v/>
      </c>
      <c r="AN541" s="35" t="str">
        <f>IFERROR(IF(AB542&lt;&gt;AB541,AVERAGEIF(AB$9:AB541,AB541,AU$9:AU541),""),"")</f>
        <v/>
      </c>
      <c r="AO541" s="35" t="str" cm="1">
        <f t="array" ref="AO541">IFERROR(IF(AB542&lt;&gt;AB541,_xlfn.STDEV.P(IF(AB$9:AB541=AB541,AU$9:AU541)),""),"")</f>
        <v/>
      </c>
      <c r="AP541" s="35" t="str" cm="1">
        <f t="array" ref="AP541">IFERROR(IF(AB542&lt;&gt;AB541,_xlfn.STDEV.P(IF(AB$9:AB541=AB541,AT$9:AT541)),""),"")</f>
        <v/>
      </c>
      <c r="AQ541" s="36" t="str">
        <f t="shared" si="128"/>
        <v/>
      </c>
      <c r="AR541" s="36" t="str">
        <f t="shared" si="129"/>
        <v/>
      </c>
      <c r="AS541" s="36" t="str">
        <f t="shared" si="138"/>
        <v/>
      </c>
      <c r="AT541" s="37" t="str">
        <f t="shared" si="130"/>
        <v/>
      </c>
      <c r="AU541" s="37" t="str">
        <f t="shared" si="131"/>
        <v/>
      </c>
      <c r="AV541" s="54"/>
      <c r="AW541" s="46"/>
      <c r="AX541" s="39" t="str" cm="1">
        <f t="array" ref="AX541">IF(AH541&lt;&gt;"",IF(AND(AX539:AX540&lt;&gt;"IE",AQ541&lt;&gt;0,AS541&lt;&gt;""),IF(IFERROR((AQ541/AS541),0) &lt;=1,IFERROR(AQ541/AS541,""),1),""),"")</f>
        <v/>
      </c>
      <c r="AY541" s="46"/>
      <c r="AZ541" s="57"/>
    </row>
    <row r="542" spans="1:52" ht="15.5" x14ac:dyDescent="0.35">
      <c r="A542" s="51">
        <f t="shared" si="139"/>
        <v>1</v>
      </c>
      <c r="B542" s="52"/>
      <c r="C542" s="52"/>
      <c r="D542" s="29" t="str">
        <f>IFERROR(
IF(AND(OR(Planilla!B542="C",Planilla!B542="c"), VLOOKUP(E542,[1]Diccionario!B:N,13,0)="C"), "OK",IF(AND(OR(Planilla!B542="C",Planilla!B542="c"), OR(VLOOKUP(E542,[1]Diccionario!B:N,13,0)="B", VLOOKUP(E542,[1]Diccionario!B:N,13,0)="A")), "DEFICIT",IF(
AND(OR(Planilla!B542="B", Planilla!B542="BPAL"), VLOOKUP(E542,[1]Diccionario!B:N,13,0)="B"), "OK",IF(AND(OR(Planilla!B542="B", Planilla!B542="BPAL"), VLOOKUP(E542,[1]Diccionario!B:N,13,0)="A"), "DEFICIT",IF(AND(OR(Planilla!B542="B", Planilla!B542="BPAL"), VLOOKUP(E542,[1]Diccionario!B:N,13,0)="C"), "SOBREOFERTA",IF(AND(Planilla!B542="A", VLOOKUP(E542,[1]Diccionario!B:N,13,0)="A"), "OK",IF(
AND(Planilla!B542="A", OR(VLOOKUP(E542,[1]Diccionario!B:N,13,0)="B", VLOOKUP(E542,[1]Diccionario!B:N,13,0)="C")), "SOBREOFERTA",""
))))))),"")</f>
        <v/>
      </c>
      <c r="E542" s="48"/>
      <c r="F542" s="53"/>
      <c r="G542" s="54"/>
      <c r="H542" s="55" t="str">
        <f t="shared" si="132"/>
        <v/>
      </c>
      <c r="I542" s="35"/>
      <c r="J542" s="34" t="e">
        <f>IF(A542&lt;&gt;"",HLOOKUP(VALUE(TEXT(G542,"h:mm:ss")),IF($C$6="Laboral",[1]Input!$A$4:$Y$227,IF($C$6="Sábado",[1]Input!$A$231:$Y$452,[1]Input!$A$456:$Y$656)),VLOOKUP($C$4,[1]Input!$AG$2:$AI$99,3,0)+IF(C$5="Ida",0,1),1),"")</f>
        <v>#N/A</v>
      </c>
      <c r="K542" s="34" t="str">
        <f>IF(A543&lt;&gt;A542,AVERAGEIF(A$9:A542,A542,J$13:J542),"")</f>
        <v/>
      </c>
      <c r="L542" s="35" t="str">
        <f>IFERROR(IF(A543&lt;&gt;A542,AVERAGEIF(A$9:A542,A542,S$13:S542),""),"")</f>
        <v/>
      </c>
      <c r="M542" s="35" t="str">
        <f>IFERROR(IF(A543&lt;&gt;A542,AVERAGEIF(A$9:A542,A542,T$8:T542),""),"")</f>
        <v/>
      </c>
      <c r="N542" s="35" t="str" cm="1">
        <f t="array" ref="N542">IFERROR(IF(A543&lt;&gt;A542,_xlfn.STDEV.P(IF(A$9:A542=A542,T$7:T542)),""),"")</f>
        <v/>
      </c>
      <c r="O542" s="35" t="str" cm="1">
        <f t="array" ref="O542">IFERROR(IF(A543&lt;&gt;A542,_xlfn.STDEV.P(IF(A$9:A542=A542,S$7:S542)),""),"")</f>
        <v/>
      </c>
      <c r="P542" s="36" t="str">
        <f t="shared" si="125"/>
        <v/>
      </c>
      <c r="Q542" s="36" t="str">
        <f t="shared" si="126"/>
        <v/>
      </c>
      <c r="R542" s="36" t="str">
        <f t="shared" si="133"/>
        <v/>
      </c>
      <c r="S542" s="37" t="str">
        <f t="shared" si="134"/>
        <v/>
      </c>
      <c r="T542" s="37" t="str">
        <f t="shared" si="127"/>
        <v/>
      </c>
      <c r="U542" s="54"/>
      <c r="V542" s="46"/>
      <c r="W542" s="39" t="str">
        <f t="shared" si="135"/>
        <v/>
      </c>
      <c r="X542" s="38"/>
      <c r="Y542" s="48"/>
      <c r="AB542" s="56">
        <f t="shared" si="136"/>
        <v>1</v>
      </c>
      <c r="AC542" s="52"/>
      <c r="AD542" s="52"/>
      <c r="AE542" s="29" t="str">
        <f>IFERROR(
IF(AND(OR(AC542="C",AC542="c"), VLOOKUP(AF542,[1]Diccionario!B:N,13,0)="C"), "OK",IF(AND(OR(AC542="C",AC542="c"), OR(VLOOKUP(AF542,[1]Diccionario!B:N,13,0)="B", VLOOKUP(AF542,[1]Diccionario!B:N,13,0)="A")), "DEFICIT",IF(
AND(OR(AC542="B", AC542="BPAL"), VLOOKUP(AF542,[1]Diccionario!B:N,13,0)="B"), "OK",IF(AND(OR(AC542="B", AC542="BPAL"), VLOOKUP(AF542,[1]Diccionario!B:N,13,0)="A"), "DEFICIT",IF(AND(OR(AC542="B", AC542="BPAL"), VLOOKUP(AF542,[1]Diccionario!B:N,13,0)="C"), "SOBREOFERTA",IF(AND(AC542="A", VLOOKUP(AF542,[1]Diccionario!B:N,13,0)="A"), "OK",IF(
AND(AC542="A", OR(VLOOKUP(AF542,[1]Diccionario!B:N,13,0)="B", VLOOKUP(AF542,[1]Diccionario!B:N,13,0)="C")), "SOBREOFERTA",""
))))))),"")</f>
        <v/>
      </c>
      <c r="AF542" s="48"/>
      <c r="AG542" s="53"/>
      <c r="AH542" s="54"/>
      <c r="AI542" s="55" t="str">
        <f t="shared" si="137"/>
        <v/>
      </c>
      <c r="AJ542" s="46"/>
      <c r="AK542" s="34" t="e">
        <f>IF(AB542&lt;&gt;"",HLOOKUP(VALUE(TEXT(AH542,"h:mm:ss")),IF($C$6="Laboral",[1]Input!$A$4:$Y$227,IF($C$6="Sábado",[1]Input!$A$231:$Y$452,[1]Input!$A$456:$Y$656)),VLOOKUP($C$4,[1]Input!$AG$2:$AI$99,3,0)+IF(AD$5="Ida",0,1),1),"")</f>
        <v>#N/A</v>
      </c>
      <c r="AL542" s="34" t="str">
        <f>IF(AB543&lt;&gt;AB542,AVERAGEIF(AB$9:AB542,AB542,AK$9:AK542),"")</f>
        <v/>
      </c>
      <c r="AM542" s="35" t="str">
        <f>IFERROR(IF(AB543&lt;&gt;AB542,AVERAGEIF(AB$9:AB542,AB542,AT$9:AT542),""),"")</f>
        <v/>
      </c>
      <c r="AN542" s="35" t="str">
        <f>IFERROR(IF(AB543&lt;&gt;AB542,AVERAGEIF(AB$9:AB542,AB542,AU$9:AU542),""),"")</f>
        <v/>
      </c>
      <c r="AO542" s="35" t="str" cm="1">
        <f t="array" ref="AO542">IFERROR(IF(AB543&lt;&gt;AB542,_xlfn.STDEV.P(IF(AB$9:AB542=AB542,AU$9:AU542)),""),"")</f>
        <v/>
      </c>
      <c r="AP542" s="35" t="str" cm="1">
        <f t="array" ref="AP542">IFERROR(IF(AB543&lt;&gt;AB542,_xlfn.STDEV.P(IF(AB$9:AB542=AB542,AT$9:AT542)),""),"")</f>
        <v/>
      </c>
      <c r="AQ542" s="36" t="str">
        <f t="shared" si="128"/>
        <v/>
      </c>
      <c r="AR542" s="36" t="str">
        <f t="shared" si="129"/>
        <v/>
      </c>
      <c r="AS542" s="36" t="str">
        <f t="shared" si="138"/>
        <v/>
      </c>
      <c r="AT542" s="37" t="str">
        <f t="shared" si="130"/>
        <v/>
      </c>
      <c r="AU542" s="37" t="str">
        <f t="shared" si="131"/>
        <v/>
      </c>
      <c r="AV542" s="54"/>
      <c r="AW542" s="46"/>
      <c r="AX542" s="39" t="str" cm="1">
        <f t="array" ref="AX542">IF(AH542&lt;&gt;"",IF(AND(AX540:AX541&lt;&gt;"IE",AQ542&lt;&gt;0,AS542&lt;&gt;""),IF(IFERROR((AQ542/AS542),0) &lt;=1,IFERROR(AQ542/AS542,""),1),""),"")</f>
        <v/>
      </c>
      <c r="AY542" s="46"/>
      <c r="AZ542" s="57"/>
    </row>
    <row r="543" spans="1:52" ht="15.5" x14ac:dyDescent="0.35">
      <c r="A543" s="51">
        <f t="shared" si="139"/>
        <v>1</v>
      </c>
      <c r="B543" s="52"/>
      <c r="C543" s="52"/>
      <c r="D543" s="29" t="str">
        <f>IFERROR(
IF(AND(OR(Planilla!B543="C",Planilla!B543="c"), VLOOKUP(E543,[1]Diccionario!B:N,13,0)="C"), "OK",IF(AND(OR(Planilla!B543="C",Planilla!B543="c"), OR(VLOOKUP(E543,[1]Diccionario!B:N,13,0)="B", VLOOKUP(E543,[1]Diccionario!B:N,13,0)="A")), "DEFICIT",IF(
AND(OR(Planilla!B543="B", Planilla!B543="BPAL"), VLOOKUP(E543,[1]Diccionario!B:N,13,0)="B"), "OK",IF(AND(OR(Planilla!B543="B", Planilla!B543="BPAL"), VLOOKUP(E543,[1]Diccionario!B:N,13,0)="A"), "DEFICIT",IF(AND(OR(Planilla!B543="B", Planilla!B543="BPAL"), VLOOKUP(E543,[1]Diccionario!B:N,13,0)="C"), "SOBREOFERTA",IF(AND(Planilla!B543="A", VLOOKUP(E543,[1]Diccionario!B:N,13,0)="A"), "OK",IF(
AND(Planilla!B543="A", OR(VLOOKUP(E543,[1]Diccionario!B:N,13,0)="B", VLOOKUP(E543,[1]Diccionario!B:N,13,0)="C")), "SOBREOFERTA",""
))))))),"")</f>
        <v/>
      </c>
      <c r="E543" s="48"/>
      <c r="F543" s="53"/>
      <c r="G543" s="54"/>
      <c r="H543" s="55" t="str">
        <f t="shared" si="132"/>
        <v/>
      </c>
      <c r="I543" s="35"/>
      <c r="J543" s="34" t="e">
        <f>IF(A543&lt;&gt;"",HLOOKUP(VALUE(TEXT(G543,"h:mm:ss")),IF($C$6="Laboral",[1]Input!$A$4:$Y$227,IF($C$6="Sábado",[1]Input!$A$231:$Y$452,[1]Input!$A$456:$Y$656)),VLOOKUP($C$4,[1]Input!$AG$2:$AI$99,3,0)+IF(C$5="Ida",0,1),1),"")</f>
        <v>#N/A</v>
      </c>
      <c r="K543" s="34" t="str">
        <f>IF(A544&lt;&gt;A543,AVERAGEIF(A$9:A543,A543,J$13:J543),"")</f>
        <v/>
      </c>
      <c r="L543" s="35" t="str">
        <f>IFERROR(IF(A544&lt;&gt;A543,AVERAGEIF(A$9:A543,A543,S$13:S543),""),"")</f>
        <v/>
      </c>
      <c r="M543" s="35" t="str">
        <f>IFERROR(IF(A544&lt;&gt;A543,AVERAGEIF(A$9:A543,A543,T$8:T543),""),"")</f>
        <v/>
      </c>
      <c r="N543" s="35" t="str" cm="1">
        <f t="array" ref="N543">IFERROR(IF(A544&lt;&gt;A543,_xlfn.STDEV.P(IF(A$9:A543=A543,T$7:T543)),""),"")</f>
        <v/>
      </c>
      <c r="O543" s="35" t="str" cm="1">
        <f t="array" ref="O543">IFERROR(IF(A544&lt;&gt;A543,_xlfn.STDEV.P(IF(A$9:A543=A543,S$7:S543)),""),"")</f>
        <v/>
      </c>
      <c r="P543" s="36" t="str">
        <f t="shared" si="125"/>
        <v/>
      </c>
      <c r="Q543" s="36" t="str">
        <f t="shared" si="126"/>
        <v/>
      </c>
      <c r="R543" s="36" t="str">
        <f t="shared" si="133"/>
        <v/>
      </c>
      <c r="S543" s="37" t="str">
        <f t="shared" si="134"/>
        <v/>
      </c>
      <c r="T543" s="37" t="str">
        <f t="shared" si="127"/>
        <v/>
      </c>
      <c r="U543" s="54"/>
      <c r="V543" s="46"/>
      <c r="W543" s="39" t="str">
        <f t="shared" si="135"/>
        <v/>
      </c>
      <c r="X543" s="38"/>
      <c r="Y543" s="48"/>
      <c r="AB543" s="56">
        <f t="shared" si="136"/>
        <v>1</v>
      </c>
      <c r="AC543" s="52"/>
      <c r="AD543" s="52"/>
      <c r="AE543" s="29" t="str">
        <f>IFERROR(
IF(AND(OR(AC543="C",AC543="c"), VLOOKUP(AF543,[1]Diccionario!B:N,13,0)="C"), "OK",IF(AND(OR(AC543="C",AC543="c"), OR(VLOOKUP(AF543,[1]Diccionario!B:N,13,0)="B", VLOOKUP(AF543,[1]Diccionario!B:N,13,0)="A")), "DEFICIT",IF(
AND(OR(AC543="B", AC543="BPAL"), VLOOKUP(AF543,[1]Diccionario!B:N,13,0)="B"), "OK",IF(AND(OR(AC543="B", AC543="BPAL"), VLOOKUP(AF543,[1]Diccionario!B:N,13,0)="A"), "DEFICIT",IF(AND(OR(AC543="B", AC543="BPAL"), VLOOKUP(AF543,[1]Diccionario!B:N,13,0)="C"), "SOBREOFERTA",IF(AND(AC543="A", VLOOKUP(AF543,[1]Diccionario!B:N,13,0)="A"), "OK",IF(
AND(AC543="A", OR(VLOOKUP(AF543,[1]Diccionario!B:N,13,0)="B", VLOOKUP(AF543,[1]Diccionario!B:N,13,0)="C")), "SOBREOFERTA",""
))))))),"")</f>
        <v/>
      </c>
      <c r="AF543" s="48"/>
      <c r="AG543" s="53"/>
      <c r="AH543" s="54"/>
      <c r="AI543" s="55" t="str">
        <f t="shared" si="137"/>
        <v/>
      </c>
      <c r="AJ543" s="46"/>
      <c r="AK543" s="34" t="e">
        <f>IF(AB543&lt;&gt;"",HLOOKUP(VALUE(TEXT(AH543,"h:mm:ss")),IF($C$6="Laboral",[1]Input!$A$4:$Y$227,IF($C$6="Sábado",[1]Input!$A$231:$Y$452,[1]Input!$A$456:$Y$656)),VLOOKUP($C$4,[1]Input!$AG$2:$AI$99,3,0)+IF(AD$5="Ida",0,1),1),"")</f>
        <v>#N/A</v>
      </c>
      <c r="AL543" s="34" t="str">
        <f>IF(AB544&lt;&gt;AB543,AVERAGEIF(AB$9:AB543,AB543,AK$9:AK543),"")</f>
        <v/>
      </c>
      <c r="AM543" s="35" t="str">
        <f>IFERROR(IF(AB544&lt;&gt;AB543,AVERAGEIF(AB$9:AB543,AB543,AT$9:AT543),""),"")</f>
        <v/>
      </c>
      <c r="AN543" s="35" t="str">
        <f>IFERROR(IF(AB544&lt;&gt;AB543,AVERAGEIF(AB$9:AB543,AB543,AU$9:AU543),""),"")</f>
        <v/>
      </c>
      <c r="AO543" s="35" t="str" cm="1">
        <f t="array" ref="AO543">IFERROR(IF(AB544&lt;&gt;AB543,_xlfn.STDEV.P(IF(AB$9:AB543=AB543,AU$9:AU543)),""),"")</f>
        <v/>
      </c>
      <c r="AP543" s="35" t="str" cm="1">
        <f t="array" ref="AP543">IFERROR(IF(AB544&lt;&gt;AB543,_xlfn.STDEV.P(IF(AB$9:AB543=AB543,AT$9:AT543)),""),"")</f>
        <v/>
      </c>
      <c r="AQ543" s="36" t="str">
        <f t="shared" si="128"/>
        <v/>
      </c>
      <c r="AR543" s="36" t="str">
        <f t="shared" si="129"/>
        <v/>
      </c>
      <c r="AS543" s="36" t="str">
        <f t="shared" si="138"/>
        <v/>
      </c>
      <c r="AT543" s="37" t="str">
        <f t="shared" si="130"/>
        <v/>
      </c>
      <c r="AU543" s="37" t="str">
        <f t="shared" si="131"/>
        <v/>
      </c>
      <c r="AV543" s="54"/>
      <c r="AW543" s="46"/>
      <c r="AX543" s="39" t="str" cm="1">
        <f t="array" ref="AX543">IF(AH543&lt;&gt;"",IF(AND(AX541:AX542&lt;&gt;"IE",AQ543&lt;&gt;0,AS543&lt;&gt;""),IF(IFERROR((AQ543/AS543),0) &lt;=1,IFERROR(AQ543/AS543,""),1),""),"")</f>
        <v/>
      </c>
      <c r="AY543" s="46"/>
      <c r="AZ543" s="57"/>
    </row>
    <row r="544" spans="1:52" ht="15.5" x14ac:dyDescent="0.35">
      <c r="A544" s="51">
        <f t="shared" si="139"/>
        <v>1</v>
      </c>
      <c r="B544" s="52"/>
      <c r="C544" s="52"/>
      <c r="D544" s="29" t="str">
        <f>IFERROR(
IF(AND(OR(Planilla!B544="C",Planilla!B544="c"), VLOOKUP(E544,[1]Diccionario!B:N,13,0)="C"), "OK",IF(AND(OR(Planilla!B544="C",Planilla!B544="c"), OR(VLOOKUP(E544,[1]Diccionario!B:N,13,0)="B", VLOOKUP(E544,[1]Diccionario!B:N,13,0)="A")), "DEFICIT",IF(
AND(OR(Planilla!B544="B", Planilla!B544="BPAL"), VLOOKUP(E544,[1]Diccionario!B:N,13,0)="B"), "OK",IF(AND(OR(Planilla!B544="B", Planilla!B544="BPAL"), VLOOKUP(E544,[1]Diccionario!B:N,13,0)="A"), "DEFICIT",IF(AND(OR(Planilla!B544="B", Planilla!B544="BPAL"), VLOOKUP(E544,[1]Diccionario!B:N,13,0)="C"), "SOBREOFERTA",IF(AND(Planilla!B544="A", VLOOKUP(E544,[1]Diccionario!B:N,13,0)="A"), "OK",IF(
AND(Planilla!B544="A", OR(VLOOKUP(E544,[1]Diccionario!B:N,13,0)="B", VLOOKUP(E544,[1]Diccionario!B:N,13,0)="C")), "SOBREOFERTA",""
))))))),"")</f>
        <v/>
      </c>
      <c r="E544" s="48"/>
      <c r="F544" s="53"/>
      <c r="G544" s="54"/>
      <c r="H544" s="55" t="str">
        <f t="shared" si="132"/>
        <v/>
      </c>
      <c r="I544" s="35"/>
      <c r="J544" s="34" t="e">
        <f>IF(A544&lt;&gt;"",HLOOKUP(VALUE(TEXT(G544,"h:mm:ss")),IF($C$6="Laboral",[1]Input!$A$4:$Y$227,IF($C$6="Sábado",[1]Input!$A$231:$Y$452,[1]Input!$A$456:$Y$656)),VLOOKUP($C$4,[1]Input!$AG$2:$AI$99,3,0)+IF(C$5="Ida",0,1),1),"")</f>
        <v>#N/A</v>
      </c>
      <c r="K544" s="34" t="str">
        <f>IF(A545&lt;&gt;A544,AVERAGEIF(A$9:A544,A544,J$13:J544),"")</f>
        <v/>
      </c>
      <c r="L544" s="35" t="str">
        <f>IFERROR(IF(A545&lt;&gt;A544,AVERAGEIF(A$9:A544,A544,S$13:S544),""),"")</f>
        <v/>
      </c>
      <c r="M544" s="35" t="str">
        <f>IFERROR(IF(A545&lt;&gt;A544,AVERAGEIF(A$9:A544,A544,T$8:T544),""),"")</f>
        <v/>
      </c>
      <c r="N544" s="35" t="str" cm="1">
        <f t="array" ref="N544">IFERROR(IF(A545&lt;&gt;A544,_xlfn.STDEV.P(IF(A$9:A544=A544,T$7:T544)),""),"")</f>
        <v/>
      </c>
      <c r="O544" s="35" t="str" cm="1">
        <f t="array" ref="O544">IFERROR(IF(A545&lt;&gt;A544,_xlfn.STDEV.P(IF(A$9:A544=A544,S$7:S544)),""),"")</f>
        <v/>
      </c>
      <c r="P544" s="36" t="str">
        <f t="shared" si="125"/>
        <v/>
      </c>
      <c r="Q544" s="36" t="str">
        <f t="shared" si="126"/>
        <v/>
      </c>
      <c r="R544" s="36" t="str">
        <f t="shared" si="133"/>
        <v/>
      </c>
      <c r="S544" s="37" t="str">
        <f t="shared" si="134"/>
        <v/>
      </c>
      <c r="T544" s="37" t="str">
        <f t="shared" si="127"/>
        <v/>
      </c>
      <c r="U544" s="54"/>
      <c r="V544" s="46"/>
      <c r="W544" s="39" t="str">
        <f t="shared" si="135"/>
        <v/>
      </c>
      <c r="X544" s="38"/>
      <c r="Y544" s="48"/>
      <c r="AB544" s="56">
        <f t="shared" si="136"/>
        <v>1</v>
      </c>
      <c r="AC544" s="52"/>
      <c r="AD544" s="52"/>
      <c r="AE544" s="29" t="str">
        <f>IFERROR(
IF(AND(OR(AC544="C",AC544="c"), VLOOKUP(AF544,[1]Diccionario!B:N,13,0)="C"), "OK",IF(AND(OR(AC544="C",AC544="c"), OR(VLOOKUP(AF544,[1]Diccionario!B:N,13,0)="B", VLOOKUP(AF544,[1]Diccionario!B:N,13,0)="A")), "DEFICIT",IF(
AND(OR(AC544="B", AC544="BPAL"), VLOOKUP(AF544,[1]Diccionario!B:N,13,0)="B"), "OK",IF(AND(OR(AC544="B", AC544="BPAL"), VLOOKUP(AF544,[1]Diccionario!B:N,13,0)="A"), "DEFICIT",IF(AND(OR(AC544="B", AC544="BPAL"), VLOOKUP(AF544,[1]Diccionario!B:N,13,0)="C"), "SOBREOFERTA",IF(AND(AC544="A", VLOOKUP(AF544,[1]Diccionario!B:N,13,0)="A"), "OK",IF(
AND(AC544="A", OR(VLOOKUP(AF544,[1]Diccionario!B:N,13,0)="B", VLOOKUP(AF544,[1]Diccionario!B:N,13,0)="C")), "SOBREOFERTA",""
))))))),"")</f>
        <v/>
      </c>
      <c r="AF544" s="48"/>
      <c r="AG544" s="53"/>
      <c r="AH544" s="54"/>
      <c r="AI544" s="55" t="str">
        <f t="shared" si="137"/>
        <v/>
      </c>
      <c r="AJ544" s="46"/>
      <c r="AK544" s="34" t="e">
        <f>IF(AB544&lt;&gt;"",HLOOKUP(VALUE(TEXT(AH544,"h:mm:ss")),IF($C$6="Laboral",[1]Input!$A$4:$Y$227,IF($C$6="Sábado",[1]Input!$A$231:$Y$452,[1]Input!$A$456:$Y$656)),VLOOKUP($C$4,[1]Input!$AG$2:$AI$99,3,0)+IF(AD$5="Ida",0,1),1),"")</f>
        <v>#N/A</v>
      </c>
      <c r="AL544" s="34" t="str">
        <f>IF(AB545&lt;&gt;AB544,AVERAGEIF(AB$9:AB544,AB544,AK$9:AK544),"")</f>
        <v/>
      </c>
      <c r="AM544" s="35" t="str">
        <f>IFERROR(IF(AB545&lt;&gt;AB544,AVERAGEIF(AB$9:AB544,AB544,AT$9:AT544),""),"")</f>
        <v/>
      </c>
      <c r="AN544" s="35" t="str">
        <f>IFERROR(IF(AB545&lt;&gt;AB544,AVERAGEIF(AB$9:AB544,AB544,AU$9:AU544),""),"")</f>
        <v/>
      </c>
      <c r="AO544" s="35" t="str" cm="1">
        <f t="array" ref="AO544">IFERROR(IF(AB545&lt;&gt;AB544,_xlfn.STDEV.P(IF(AB$9:AB544=AB544,AU$9:AU544)),""),"")</f>
        <v/>
      </c>
      <c r="AP544" s="35" t="str" cm="1">
        <f t="array" ref="AP544">IFERROR(IF(AB545&lt;&gt;AB544,_xlfn.STDEV.P(IF(AB$9:AB544=AB544,AT$9:AT544)),""),"")</f>
        <v/>
      </c>
      <c r="AQ544" s="36" t="str">
        <f t="shared" si="128"/>
        <v/>
      </c>
      <c r="AR544" s="36" t="str">
        <f t="shared" si="129"/>
        <v/>
      </c>
      <c r="AS544" s="36" t="str">
        <f t="shared" si="138"/>
        <v/>
      </c>
      <c r="AT544" s="37" t="str">
        <f t="shared" si="130"/>
        <v/>
      </c>
      <c r="AU544" s="37" t="str">
        <f t="shared" si="131"/>
        <v/>
      </c>
      <c r="AV544" s="54"/>
      <c r="AW544" s="46"/>
      <c r="AX544" s="39" t="str" cm="1">
        <f t="array" ref="AX544">IF(AH544&lt;&gt;"",IF(AND(AX542:AX543&lt;&gt;"IE",AQ544&lt;&gt;0,AS544&lt;&gt;""),IF(IFERROR((AQ544/AS544),0) &lt;=1,IFERROR(AQ544/AS544,""),1),""),"")</f>
        <v/>
      </c>
      <c r="AY544" s="46"/>
      <c r="AZ544" s="57"/>
    </row>
    <row r="545" spans="1:52" ht="15.5" x14ac:dyDescent="0.35">
      <c r="A545" s="51">
        <f t="shared" si="139"/>
        <v>1</v>
      </c>
      <c r="B545" s="52"/>
      <c r="C545" s="52"/>
      <c r="D545" s="29" t="str">
        <f>IFERROR(
IF(AND(OR(Planilla!B545="C",Planilla!B545="c"), VLOOKUP(E545,[1]Diccionario!B:N,13,0)="C"), "OK",IF(AND(OR(Planilla!B545="C",Planilla!B545="c"), OR(VLOOKUP(E545,[1]Diccionario!B:N,13,0)="B", VLOOKUP(E545,[1]Diccionario!B:N,13,0)="A")), "DEFICIT",IF(
AND(OR(Planilla!B545="B", Planilla!B545="BPAL"), VLOOKUP(E545,[1]Diccionario!B:N,13,0)="B"), "OK",IF(AND(OR(Planilla!B545="B", Planilla!B545="BPAL"), VLOOKUP(E545,[1]Diccionario!B:N,13,0)="A"), "DEFICIT",IF(AND(OR(Planilla!B545="B", Planilla!B545="BPAL"), VLOOKUP(E545,[1]Diccionario!B:N,13,0)="C"), "SOBREOFERTA",IF(AND(Planilla!B545="A", VLOOKUP(E545,[1]Diccionario!B:N,13,0)="A"), "OK",IF(
AND(Planilla!B545="A", OR(VLOOKUP(E545,[1]Diccionario!B:N,13,0)="B", VLOOKUP(E545,[1]Diccionario!B:N,13,0)="C")), "SOBREOFERTA",""
))))))),"")</f>
        <v/>
      </c>
      <c r="E545" s="48"/>
      <c r="F545" s="53"/>
      <c r="G545" s="54"/>
      <c r="H545" s="55" t="str">
        <f t="shared" si="132"/>
        <v/>
      </c>
      <c r="I545" s="35"/>
      <c r="J545" s="34" t="e">
        <f>IF(A545&lt;&gt;"",HLOOKUP(VALUE(TEXT(G545,"h:mm:ss")),IF($C$6="Laboral",[1]Input!$A$4:$Y$227,IF($C$6="Sábado",[1]Input!$A$231:$Y$452,[1]Input!$A$456:$Y$656)),VLOOKUP($C$4,[1]Input!$AG$2:$AI$99,3,0)+IF(C$5="Ida",0,1),1),"")</f>
        <v>#N/A</v>
      </c>
      <c r="K545" s="34" t="str">
        <f>IF(A546&lt;&gt;A545,AVERAGEIF(A$9:A545,A545,J$13:J545),"")</f>
        <v/>
      </c>
      <c r="L545" s="35" t="str">
        <f>IFERROR(IF(A546&lt;&gt;A545,AVERAGEIF(A$9:A545,A545,S$13:S545),""),"")</f>
        <v/>
      </c>
      <c r="M545" s="35" t="str">
        <f>IFERROR(IF(A546&lt;&gt;A545,AVERAGEIF(A$9:A545,A545,T$8:T545),""),"")</f>
        <v/>
      </c>
      <c r="N545" s="35" t="str" cm="1">
        <f t="array" ref="N545">IFERROR(IF(A546&lt;&gt;A545,_xlfn.STDEV.P(IF(A$9:A545=A545,T$7:T545)),""),"")</f>
        <v/>
      </c>
      <c r="O545" s="35" t="str" cm="1">
        <f t="array" ref="O545">IFERROR(IF(A546&lt;&gt;A545,_xlfn.STDEV.P(IF(A$9:A545=A545,S$7:S545)),""),"")</f>
        <v/>
      </c>
      <c r="P545" s="36" t="str">
        <f t="shared" si="125"/>
        <v/>
      </c>
      <c r="Q545" s="36" t="str">
        <f t="shared" si="126"/>
        <v/>
      </c>
      <c r="R545" s="36" t="str">
        <f t="shared" si="133"/>
        <v/>
      </c>
      <c r="S545" s="37" t="str">
        <f t="shared" si="134"/>
        <v/>
      </c>
      <c r="T545" s="37" t="str">
        <f t="shared" si="127"/>
        <v/>
      </c>
      <c r="U545" s="54"/>
      <c r="V545" s="46"/>
      <c r="W545" s="39" t="str">
        <f t="shared" si="135"/>
        <v/>
      </c>
      <c r="X545" s="38"/>
      <c r="Y545" s="48"/>
      <c r="AB545" s="56">
        <f t="shared" si="136"/>
        <v>1</v>
      </c>
      <c r="AC545" s="52"/>
      <c r="AD545" s="52"/>
      <c r="AE545" s="29" t="str">
        <f>IFERROR(
IF(AND(OR(AC545="C",AC545="c"), VLOOKUP(AF545,[1]Diccionario!B:N,13,0)="C"), "OK",IF(AND(OR(AC545="C",AC545="c"), OR(VLOOKUP(AF545,[1]Diccionario!B:N,13,0)="B", VLOOKUP(AF545,[1]Diccionario!B:N,13,0)="A")), "DEFICIT",IF(
AND(OR(AC545="B", AC545="BPAL"), VLOOKUP(AF545,[1]Diccionario!B:N,13,0)="B"), "OK",IF(AND(OR(AC545="B", AC545="BPAL"), VLOOKUP(AF545,[1]Diccionario!B:N,13,0)="A"), "DEFICIT",IF(AND(OR(AC545="B", AC545="BPAL"), VLOOKUP(AF545,[1]Diccionario!B:N,13,0)="C"), "SOBREOFERTA",IF(AND(AC545="A", VLOOKUP(AF545,[1]Diccionario!B:N,13,0)="A"), "OK",IF(
AND(AC545="A", OR(VLOOKUP(AF545,[1]Diccionario!B:N,13,0)="B", VLOOKUP(AF545,[1]Diccionario!B:N,13,0)="C")), "SOBREOFERTA",""
))))))),"")</f>
        <v/>
      </c>
      <c r="AF545" s="48"/>
      <c r="AG545" s="53"/>
      <c r="AH545" s="54"/>
      <c r="AI545" s="55" t="str">
        <f t="shared" si="137"/>
        <v/>
      </c>
      <c r="AJ545" s="46"/>
      <c r="AK545" s="34" t="e">
        <f>IF(AB545&lt;&gt;"",HLOOKUP(VALUE(TEXT(AH545,"h:mm:ss")),IF($C$6="Laboral",[1]Input!$A$4:$Y$227,IF($C$6="Sábado",[1]Input!$A$231:$Y$452,[1]Input!$A$456:$Y$656)),VLOOKUP($C$4,[1]Input!$AG$2:$AI$99,3,0)+IF(AD$5="Ida",0,1),1),"")</f>
        <v>#N/A</v>
      </c>
      <c r="AL545" s="34" t="str">
        <f>IF(AB546&lt;&gt;AB545,AVERAGEIF(AB$9:AB545,AB545,AK$9:AK545),"")</f>
        <v/>
      </c>
      <c r="AM545" s="35" t="str">
        <f>IFERROR(IF(AB546&lt;&gt;AB545,AVERAGEIF(AB$9:AB545,AB545,AT$9:AT545),""),"")</f>
        <v/>
      </c>
      <c r="AN545" s="35" t="str">
        <f>IFERROR(IF(AB546&lt;&gt;AB545,AVERAGEIF(AB$9:AB545,AB545,AU$9:AU545),""),"")</f>
        <v/>
      </c>
      <c r="AO545" s="35" t="str" cm="1">
        <f t="array" ref="AO545">IFERROR(IF(AB546&lt;&gt;AB545,_xlfn.STDEV.P(IF(AB$9:AB545=AB545,AU$9:AU545)),""),"")</f>
        <v/>
      </c>
      <c r="AP545" s="35" t="str" cm="1">
        <f t="array" ref="AP545">IFERROR(IF(AB546&lt;&gt;AB545,_xlfn.STDEV.P(IF(AB$9:AB545=AB545,AT$9:AT545)),""),"")</f>
        <v/>
      </c>
      <c r="AQ545" s="36" t="str">
        <f t="shared" si="128"/>
        <v/>
      </c>
      <c r="AR545" s="36" t="str">
        <f t="shared" si="129"/>
        <v/>
      </c>
      <c r="AS545" s="36" t="str">
        <f t="shared" si="138"/>
        <v/>
      </c>
      <c r="AT545" s="37" t="str">
        <f t="shared" si="130"/>
        <v/>
      </c>
      <c r="AU545" s="37" t="str">
        <f t="shared" si="131"/>
        <v/>
      </c>
      <c r="AV545" s="54"/>
      <c r="AW545" s="46"/>
      <c r="AX545" s="39" t="str" cm="1">
        <f t="array" ref="AX545">IF(AH545&lt;&gt;"",IF(AND(AX543:AX544&lt;&gt;"IE",AQ545&lt;&gt;0,AS545&lt;&gt;""),IF(IFERROR((AQ545/AS545),0) &lt;=1,IFERROR(AQ545/AS545,""),1),""),"")</f>
        <v/>
      </c>
      <c r="AY545" s="46"/>
      <c r="AZ545" s="57"/>
    </row>
    <row r="546" spans="1:52" ht="15.5" x14ac:dyDescent="0.35">
      <c r="A546" s="51">
        <f t="shared" si="139"/>
        <v>1</v>
      </c>
      <c r="B546" s="52"/>
      <c r="C546" s="52"/>
      <c r="D546" s="29" t="str">
        <f>IFERROR(
IF(AND(OR(Planilla!B546="C",Planilla!B546="c"), VLOOKUP(E546,[1]Diccionario!B:N,13,0)="C"), "OK",IF(AND(OR(Planilla!B546="C",Planilla!B546="c"), OR(VLOOKUP(E546,[1]Diccionario!B:N,13,0)="B", VLOOKUP(E546,[1]Diccionario!B:N,13,0)="A")), "DEFICIT",IF(
AND(OR(Planilla!B546="B", Planilla!B546="BPAL"), VLOOKUP(E546,[1]Diccionario!B:N,13,0)="B"), "OK",IF(AND(OR(Planilla!B546="B", Planilla!B546="BPAL"), VLOOKUP(E546,[1]Diccionario!B:N,13,0)="A"), "DEFICIT",IF(AND(OR(Planilla!B546="B", Planilla!B546="BPAL"), VLOOKUP(E546,[1]Diccionario!B:N,13,0)="C"), "SOBREOFERTA",IF(AND(Planilla!B546="A", VLOOKUP(E546,[1]Diccionario!B:N,13,0)="A"), "OK",IF(
AND(Planilla!B546="A", OR(VLOOKUP(E546,[1]Diccionario!B:N,13,0)="B", VLOOKUP(E546,[1]Diccionario!B:N,13,0)="C")), "SOBREOFERTA",""
))))))),"")</f>
        <v/>
      </c>
      <c r="E546" s="48"/>
      <c r="F546" s="53"/>
      <c r="G546" s="54"/>
      <c r="H546" s="55" t="str">
        <f t="shared" si="132"/>
        <v/>
      </c>
      <c r="I546" s="35"/>
      <c r="J546" s="34" t="e">
        <f>IF(A546&lt;&gt;"",HLOOKUP(VALUE(TEXT(G546,"h:mm:ss")),IF($C$6="Laboral",[1]Input!$A$4:$Y$227,IF($C$6="Sábado",[1]Input!$A$231:$Y$452,[1]Input!$A$456:$Y$656)),VLOOKUP($C$4,[1]Input!$AG$2:$AI$99,3,0)+IF(C$5="Ida",0,1),1),"")</f>
        <v>#N/A</v>
      </c>
      <c r="K546" s="34" t="str">
        <f>IF(A547&lt;&gt;A546,AVERAGEIF(A$9:A546,A546,J$13:J546),"")</f>
        <v/>
      </c>
      <c r="L546" s="35" t="str">
        <f>IFERROR(IF(A547&lt;&gt;A546,AVERAGEIF(A$9:A546,A546,S$13:S546),""),"")</f>
        <v/>
      </c>
      <c r="M546" s="35" t="str">
        <f>IFERROR(IF(A547&lt;&gt;A546,AVERAGEIF(A$9:A546,A546,T$8:T546),""),"")</f>
        <v/>
      </c>
      <c r="N546" s="35" t="str" cm="1">
        <f t="array" ref="N546">IFERROR(IF(A547&lt;&gt;A546,_xlfn.STDEV.P(IF(A$9:A546=A546,T$7:T546)),""),"")</f>
        <v/>
      </c>
      <c r="O546" s="35" t="str" cm="1">
        <f t="array" ref="O546">IFERROR(IF(A547&lt;&gt;A546,_xlfn.STDEV.P(IF(A$9:A546=A546,S$7:S546)),""),"")</f>
        <v/>
      </c>
      <c r="P546" s="36" t="str">
        <f t="shared" si="125"/>
        <v/>
      </c>
      <c r="Q546" s="36" t="str">
        <f t="shared" si="126"/>
        <v/>
      </c>
      <c r="R546" s="36" t="str">
        <f t="shared" si="133"/>
        <v/>
      </c>
      <c r="S546" s="37" t="str">
        <f t="shared" si="134"/>
        <v/>
      </c>
      <c r="T546" s="37" t="str">
        <f t="shared" si="127"/>
        <v/>
      </c>
      <c r="U546" s="54"/>
      <c r="V546" s="46"/>
      <c r="W546" s="39" t="str">
        <f t="shared" si="135"/>
        <v/>
      </c>
      <c r="X546" s="38"/>
      <c r="Y546" s="48"/>
      <c r="AB546" s="56">
        <f t="shared" si="136"/>
        <v>1</v>
      </c>
      <c r="AC546" s="52"/>
      <c r="AD546" s="52"/>
      <c r="AE546" s="29" t="str">
        <f>IFERROR(
IF(AND(OR(AC546="C",AC546="c"), VLOOKUP(AF546,[1]Diccionario!B:N,13,0)="C"), "OK",IF(AND(OR(AC546="C",AC546="c"), OR(VLOOKUP(AF546,[1]Diccionario!B:N,13,0)="B", VLOOKUP(AF546,[1]Diccionario!B:N,13,0)="A")), "DEFICIT",IF(
AND(OR(AC546="B", AC546="BPAL"), VLOOKUP(AF546,[1]Diccionario!B:N,13,0)="B"), "OK",IF(AND(OR(AC546="B", AC546="BPAL"), VLOOKUP(AF546,[1]Diccionario!B:N,13,0)="A"), "DEFICIT",IF(AND(OR(AC546="B", AC546="BPAL"), VLOOKUP(AF546,[1]Diccionario!B:N,13,0)="C"), "SOBREOFERTA",IF(AND(AC546="A", VLOOKUP(AF546,[1]Diccionario!B:N,13,0)="A"), "OK",IF(
AND(AC546="A", OR(VLOOKUP(AF546,[1]Diccionario!B:N,13,0)="B", VLOOKUP(AF546,[1]Diccionario!B:N,13,0)="C")), "SOBREOFERTA",""
))))))),"")</f>
        <v/>
      </c>
      <c r="AF546" s="48"/>
      <c r="AG546" s="53"/>
      <c r="AH546" s="54"/>
      <c r="AI546" s="55" t="str">
        <f t="shared" si="137"/>
        <v/>
      </c>
      <c r="AJ546" s="46"/>
      <c r="AK546" s="34" t="e">
        <f>IF(AB546&lt;&gt;"",HLOOKUP(VALUE(TEXT(AH546,"h:mm:ss")),IF($C$6="Laboral",[1]Input!$A$4:$Y$227,IF($C$6="Sábado",[1]Input!$A$231:$Y$452,[1]Input!$A$456:$Y$656)),VLOOKUP($C$4,[1]Input!$AG$2:$AI$99,3,0)+IF(AD$5="Ida",0,1),1),"")</f>
        <v>#N/A</v>
      </c>
      <c r="AL546" s="34" t="str">
        <f>IF(AB547&lt;&gt;AB546,AVERAGEIF(AB$9:AB546,AB546,AK$9:AK546),"")</f>
        <v/>
      </c>
      <c r="AM546" s="35" t="str">
        <f>IFERROR(IF(AB547&lt;&gt;AB546,AVERAGEIF(AB$9:AB546,AB546,AT$9:AT546),""),"")</f>
        <v/>
      </c>
      <c r="AN546" s="35" t="str">
        <f>IFERROR(IF(AB547&lt;&gt;AB546,AVERAGEIF(AB$9:AB546,AB546,AU$9:AU546),""),"")</f>
        <v/>
      </c>
      <c r="AO546" s="35" t="str" cm="1">
        <f t="array" ref="AO546">IFERROR(IF(AB547&lt;&gt;AB546,_xlfn.STDEV.P(IF(AB$9:AB546=AB546,AU$9:AU546)),""),"")</f>
        <v/>
      </c>
      <c r="AP546" s="35" t="str" cm="1">
        <f t="array" ref="AP546">IFERROR(IF(AB547&lt;&gt;AB546,_xlfn.STDEV.P(IF(AB$9:AB546=AB546,AT$9:AT546)),""),"")</f>
        <v/>
      </c>
      <c r="AQ546" s="36" t="str">
        <f t="shared" si="128"/>
        <v/>
      </c>
      <c r="AR546" s="36" t="str">
        <f t="shared" si="129"/>
        <v/>
      </c>
      <c r="AS546" s="36" t="str">
        <f t="shared" si="138"/>
        <v/>
      </c>
      <c r="AT546" s="37" t="str">
        <f t="shared" si="130"/>
        <v/>
      </c>
      <c r="AU546" s="37" t="str">
        <f t="shared" si="131"/>
        <v/>
      </c>
      <c r="AV546" s="54"/>
      <c r="AW546" s="46"/>
      <c r="AX546" s="39" t="str" cm="1">
        <f t="array" ref="AX546">IF(AH546&lt;&gt;"",IF(AND(AX544:AX545&lt;&gt;"IE",AQ546&lt;&gt;0,AS546&lt;&gt;""),IF(IFERROR((AQ546/AS546),0) &lt;=1,IFERROR(AQ546/AS546,""),1),""),"")</f>
        <v/>
      </c>
      <c r="AY546" s="46"/>
      <c r="AZ546" s="57"/>
    </row>
    <row r="547" spans="1:52" ht="16" thickBot="1" x14ac:dyDescent="0.4">
      <c r="A547" s="51">
        <f t="shared" si="139"/>
        <v>1</v>
      </c>
      <c r="B547" s="52"/>
      <c r="C547" s="52"/>
      <c r="D547" s="29" t="str">
        <f>IFERROR(
IF(AND(OR(Planilla!B547="C",Planilla!B547="c"), VLOOKUP(E547,[1]Diccionario!B:N,13,0)="C"), "OK",IF(AND(OR(Planilla!B547="C",Planilla!B547="c"), OR(VLOOKUP(E547,[1]Diccionario!B:N,13,0)="B", VLOOKUP(E547,[1]Diccionario!B:N,13,0)="A")), "DEFICIT",IF(
AND(OR(Planilla!B547="B", Planilla!B547="BPAL"), VLOOKUP(E547,[1]Diccionario!B:N,13,0)="B"), "OK",IF(AND(OR(Planilla!B547="B", Planilla!B547="BPAL"), VLOOKUP(E547,[1]Diccionario!B:N,13,0)="A"), "DEFICIT",IF(AND(OR(Planilla!B547="B", Planilla!B547="BPAL"), VLOOKUP(E547,[1]Diccionario!B:N,13,0)="C"), "SOBREOFERTA",IF(AND(Planilla!B547="A", VLOOKUP(E547,[1]Diccionario!B:N,13,0)="A"), "OK",IF(
AND(Planilla!B547="A", OR(VLOOKUP(E547,[1]Diccionario!B:N,13,0)="B", VLOOKUP(E547,[1]Diccionario!B:N,13,0)="C")), "SOBREOFERTA",""
))))))),"")</f>
        <v/>
      </c>
      <c r="E547" s="48"/>
      <c r="F547" s="53"/>
      <c r="G547" s="54"/>
      <c r="H547" s="55" t="str">
        <f t="shared" si="132"/>
        <v/>
      </c>
      <c r="I547" s="35"/>
      <c r="J547" s="34" t="e">
        <f>IF(A547&lt;&gt;"",HLOOKUP(VALUE(TEXT(G547,"h:mm:ss")),IF($C$6="Laboral",[1]Input!$A$4:$Y$227,IF($C$6="Sábado",[1]Input!$A$231:$Y$452,[1]Input!$A$456:$Y$656)),VLOOKUP($C$4,[1]Input!$AG$2:$AI$99,3,0)+IF(C$5="Ida",0,1),1),"")</f>
        <v>#N/A</v>
      </c>
      <c r="K547" s="34" t="e">
        <f>IF(#REF!&lt;&gt;A547,AVERAGEIF(A$9:A547,A547,J$13:J547),"")</f>
        <v>#REF!</v>
      </c>
      <c r="L547" s="35" t="str">
        <f>IFERROR(IF(#REF!&lt;&gt;A547,AVERAGEIF(A$9:A547,A547,S$13:S547),""),"")</f>
        <v/>
      </c>
      <c r="M547" s="35" t="str">
        <f>IFERROR(IF(#REF!&lt;&gt;A547,AVERAGEIF(A$9:A547,A547,T$8:T547),""),"")</f>
        <v/>
      </c>
      <c r="N547" s="35" t="str" cm="1">
        <f t="array" ref="N547">IFERROR(IF(#REF!&lt;&gt;A547,_xlfn.STDEV.P(IF(A$9:A547=A547,T$7:T547)),""),"")</f>
        <v/>
      </c>
      <c r="O547" s="35" t="str" cm="1">
        <f t="array" ref="O547">IFERROR(IF(#REF!&lt;&gt;A547,_xlfn.STDEV.P(IF(A$9:A547=A547,S$7:S547)),""),"")</f>
        <v/>
      </c>
      <c r="P547" s="36" t="str">
        <f>IFERROR(IF(A547&lt;&gt;#REF!,MAX((((M547*24*60)/2)*(1+POWER((((N547*24*60) / (M547*24*60) )),2))) + ((M547*24*60 )*-0.1 + (K547*0.015)) +1,(((M547*24*60)/2)*(1+POWER((((N547*24*60) / (M547*24*60 ))),2)))),""),"")</f>
        <v/>
      </c>
      <c r="Q547" s="36" t="str">
        <f>IF(AND(O547&lt;&gt;"",L547&lt;&gt;""),IF(A547&lt;&gt;#REF!,((L547*24*60) / 2 ) * (1 + POWER(((O547*24*60) / (L547*24*60)),2)),""),"")</f>
        <v/>
      </c>
      <c r="R547" s="36" t="str">
        <f t="shared" si="133"/>
        <v/>
      </c>
      <c r="S547" s="37" t="e">
        <f>IF(I547&lt;&gt;"H. Sale Real",IF(AND(#REF!&lt;&gt;"",LEFT(#REF!,2)&lt;&gt;"NC"),IF(AND(I547&lt;&gt;"",LEFT(C547,2)&lt;&gt;"NC",I547&lt;&gt;"H. Sale Real"),IF(#REF!-I547&lt;0.208333333333333,#REF!-I547,""),IF(AND(I546&lt;&gt;"",LEFT(C546,2)&lt;&gt;"NC",I546&lt;&gt;"H. Sale Real"),IF(#REF!-I546&lt;0.208333333333333,#REF!-I546,""),IF(AND(I545&lt;&gt;"",LEFT(C545,2)&lt;&gt;"NC",I545&lt;&gt;"H. Sale Real"),IF(#REF!-I545&lt;0.208333333333333,#REF!-I545,""),IF(AND(I544&lt;&gt;"",LEFT(C544,2)&lt;&gt;"NC",I544&lt;&gt;"H. Sale Real"),IF(#REF!-I544&lt;0.208333333333333,#REF!-I544,""),IF(AND(I543&lt;&gt;"",LEFT(C543,2)&lt;&gt;"NC",I543&lt;&gt;"H. Sale Real"),IF(#REF!-I543&lt;0.208333333333333,#REF!-I543,""),""))))),""),"")</f>
        <v>#REF!</v>
      </c>
      <c r="T547" s="37" t="e">
        <f>IF(G547&lt;&gt;"H. Sale Real",IF(AND(#REF!&lt;&gt;"",LEFT(#REF!,2)&lt;&gt;"NC"),IF(AND(G547&lt;&gt;"",LEFT(C547,2)&lt;&gt;"NC",G547&lt;&gt;"H. Sale Real"),IF(#REF!-G547&lt;0.208333333333333,#REF!-G547,""),IF(AND(G546&lt;&gt;"",LEFT(C546,2)&lt;&gt;"NC",G546&lt;&gt;"H. Sale Real"),IF(#REF!-G546&lt;0.208333333333333,#REF!-G546,""),IF(AND(G545&lt;&gt;"",LEFT(C545,2)&lt;&gt;"NC",G545&lt;&gt;"H. Sale Real"),IF(#REF!-G545&lt;0.208333333333333,#REF!-G545,""),IF(AND(G544&lt;&gt;"",LEFT(C544,2)&lt;&gt;"NC",G544&lt;&gt;"H. Sale Real"),IF(#REF!-G544&lt;0.208333333333333,#REF!-G544,""),IF(AND(G543&lt;&gt;"",LEFT(C543,2)&lt;&gt;"NC",G543&lt;&gt;"H. Sale Real"),IF(#REF!-G543&lt;0.208333333333333,#REF!-G543,""),""))))),""),"")</f>
        <v>#REF!</v>
      </c>
      <c r="U547" s="54"/>
      <c r="V547" s="46"/>
      <c r="W547" s="39" t="str">
        <f t="shared" si="135"/>
        <v/>
      </c>
      <c r="X547" s="38"/>
      <c r="Y547" s="48"/>
      <c r="AB547" s="60">
        <f t="shared" si="136"/>
        <v>1</v>
      </c>
      <c r="AC547" s="61"/>
      <c r="AD547" s="61"/>
      <c r="AE547" s="29" t="str">
        <f>IFERROR(
IF(AND(OR(AC547="C",AC547="c"), VLOOKUP(AF547,[1]Diccionario!B:N,13,0)="C"), "OK",IF(AND(OR(AC547="C",AC547="c"), OR(VLOOKUP(AF547,[1]Diccionario!B:N,13,0)="B", VLOOKUP(AF547,[1]Diccionario!B:N,13,0)="A")), "DEFICIT",IF(
AND(OR(AC547="B", AC547="BPAL"), VLOOKUP(AF547,[1]Diccionario!B:N,13,0)="B"), "OK",IF(AND(OR(AC547="B", AC547="BPAL"), VLOOKUP(AF547,[1]Diccionario!B:N,13,0)="A"), "DEFICIT",IF(AND(OR(AC547="B", AC547="BPAL"), VLOOKUP(AF547,[1]Diccionario!B:N,13,0)="C"), "SOBREOFERTA",IF(AND(AC547="A", VLOOKUP(AF547,[1]Diccionario!B:N,13,0)="A"), "OK",IF(
AND(AC547="A", OR(VLOOKUP(AF547,[1]Diccionario!B:N,13,0)="B", VLOOKUP(AF547,[1]Diccionario!B:N,13,0)="C")), "SOBREOFERTA",""
))))))),"")</f>
        <v/>
      </c>
      <c r="AF547" s="62"/>
      <c r="AG547" s="63"/>
      <c r="AH547" s="64"/>
      <c r="AI547" s="55" t="str">
        <f t="shared" si="137"/>
        <v/>
      </c>
      <c r="AJ547" s="65"/>
      <c r="AK547" s="34" t="e">
        <f>IF(AB547&lt;&gt;"",HLOOKUP(VALUE(TEXT(AH547,"h:mm:ss")),IF($C$6="Laboral",[1]Input!$A$4:$Y$227,IF($C$6="Sábado",[1]Input!$A$231:$Y$452,[1]Input!$A$456:$Y$656)),VLOOKUP($C$4,[1]Input!$AG$2:$AI$99,3,0)+IF(AD$5="Ida",0,1),1),"")</f>
        <v>#N/A</v>
      </c>
      <c r="AL547" s="34" t="e">
        <f>IF(#REF!&lt;&gt;AB547,AVERAGEIF(AB$9:AB547,AB547,AK$9:AK547),"")</f>
        <v>#REF!</v>
      </c>
      <c r="AM547" s="35" t="str">
        <f>IFERROR(IF(#REF!&lt;&gt;AB547,AVERAGEIF(AB$9:AB547,AB547,AT$9:AT547),""),"")</f>
        <v/>
      </c>
      <c r="AN547" s="35" t="str">
        <f>IFERROR(IF(#REF!&lt;&gt;AB547,AVERAGEIF(AB$9:AB547,AB547,AU$9:AU547),""),"")</f>
        <v/>
      </c>
      <c r="AO547" s="35" t="str" cm="1">
        <f t="array" ref="AO547">IFERROR(IF(#REF!&lt;&gt;AB547,_xlfn.STDEV.P(IF(AB$9:AB547=AB547,AU$9:AU547)),""),"")</f>
        <v/>
      </c>
      <c r="AP547" s="35" t="str" cm="1">
        <f t="array" ref="AP547">IFERROR(IF(#REF!&lt;&gt;AB547,_xlfn.STDEV.P(IF(AB$9:AB547=AB547,AT$9:AT547)),""),"")</f>
        <v/>
      </c>
      <c r="AQ547" s="36" t="str">
        <f>IFERROR(IF(AB547&lt;&gt;#REF!,MAX((((AN547*24*60)/2)*(1+POWER((((AO547*24*60) / (AN547*24*60) )),2))) + ((AN547*24*60 )*-0.1 + (AL547*0.015)) +1,(((AN547*24*60)/2)*(1+POWER((((AO547*24*60) / (AN547*24*60 ))),2)))),""),"")</f>
        <v/>
      </c>
      <c r="AR547" s="36" t="str">
        <f>IF(AND(AP547&lt;&gt;"",AM547&lt;&gt;""),IF(AB547&lt;&gt;#REF!,((AM547*24*60) / 2 ) * (1 + POWER(((AP547*24*60) / (AM547*24*60)),2)),""),"")</f>
        <v/>
      </c>
      <c r="AS547" s="36" t="str">
        <f t="shared" si="138"/>
        <v/>
      </c>
      <c r="AT547" s="37" t="e">
        <f>IF(AJ547&lt;&gt;"H. Sale Real",IF(AND(#REF!&lt;&gt;"",LEFT(#REF!,2)&lt;&gt;"NC"),IF(AND(AJ547&lt;&gt;"",LEFT(AD547,2)&lt;&gt;"NC",AJ547&lt;&gt;"H. Sale Real"),IF(#REF!-AJ547&lt;0.208333333333333,#REF!-AJ547,""),IF(AND(AJ546&lt;&gt;"",LEFT(AD546,2)&lt;&gt;"NC",AJ546&lt;&gt;"H. Sale Real"),IF(#REF!-AJ546&lt;0.208333333333333,#REF!-AJ546,""),IF(AND(AJ545&lt;&gt;"",LEFT(AD545,2)&lt;&gt;"NC",AJ545&lt;&gt;"H. Sale Real"),IF(#REF!-AJ545&lt;0.208333333333333,#REF!-AJ545,""),IF(AND(AJ544&lt;&gt;"",LEFT(AD544,2)&lt;&gt;"NC",AJ544&lt;&gt;"H. Sale Real"),IF(#REF!-AJ544&lt;0.208333333333333,#REF!-AJ544,""),IF(AND(AJ543&lt;&gt;"",LEFT(AD543,2)&lt;&gt;"NC",AJ543&lt;&gt;"H. Sale Real"),IF(#REF!-AJ543&lt;0.208333333333333,#REF!-AJ543,""),""))))),""),"")</f>
        <v>#REF!</v>
      </c>
      <c r="AU547" s="37" t="e">
        <f>IF(AH547&lt;&gt;"H. Sale Real",IF(AND(#REF!&lt;&gt;"",LEFT(#REF!,2)&lt;&gt;"NC"),IF(AND(AH547&lt;&gt;"",LEFT(AD547,2)&lt;&gt;"NC",AH547&lt;&gt;"H. Sale Real"),IF(#REF!-AH547&lt;0.208333333333333,#REF!-AH547,""),IF(AND(AH546&lt;&gt;"",LEFT(AD546,2)&lt;&gt;"NC",AH546&lt;&gt;"H. Sale Real"),IF(#REF!-AH546&lt;0.208333333333333,#REF!-AH546,""),IF(AND(AH545&lt;&gt;"",LEFT(AD545,2)&lt;&gt;"NC",AH545&lt;&gt;"H. Sale Real"),IF(#REF!-AH545&lt;0.208333333333333,#REF!-AH545,""),IF(AND(AH544&lt;&gt;"",LEFT(AD544,2)&lt;&gt;"NC",AH544&lt;&gt;"H. Sale Real"),IF(#REF!-AH544&lt;0.208333333333333,#REF!-AH544,""),IF(AND(AH543&lt;&gt;"",LEFT(AD543,2)&lt;&gt;"NC",AH543&lt;&gt;"H. Sale Real"),IF(#REF!-AH543&lt;0.208333333333333,#REF!-AH543,""),""))))),""),"")</f>
        <v>#REF!</v>
      </c>
      <c r="AV547" s="64"/>
      <c r="AW547" s="65"/>
      <c r="AX547" s="39" t="str" cm="1">
        <f t="array" ref="AX547">IF(AH547&lt;&gt;"",IF(AND(AX545:AX546&lt;&gt;"IE",AQ547&lt;&gt;0,AS547&lt;&gt;""),IF(IFERROR((AQ547/AS547),0) &lt;=1,IFERROR(AQ547/AS547,""),1),""),"")</f>
        <v/>
      </c>
      <c r="AY547" s="46"/>
      <c r="AZ547" s="66"/>
    </row>
  </sheetData>
  <mergeCells count="2">
    <mergeCell ref="BL11:BR11"/>
    <mergeCell ref="BC11:BI11"/>
  </mergeCells>
  <conditionalFormatting sqref="A13:I547 U13:V547 X13:Y547">
    <cfRule type="expression" dxfId="50" priority="59">
      <formula>"si a=1"</formula>
    </cfRule>
  </conditionalFormatting>
  <conditionalFormatting sqref="D1:D1048576">
    <cfRule type="cellIs" dxfId="49" priority="16" operator="equal">
      <formula>"OK"</formula>
    </cfRule>
    <cfRule type="cellIs" dxfId="48" priority="17" operator="equal">
      <formula>"DEFICIT"</formula>
    </cfRule>
    <cfRule type="cellIs" dxfId="47" priority="18" operator="equal">
      <formula>"SOBREOFERTA"</formula>
    </cfRule>
  </conditionalFormatting>
  <conditionalFormatting sqref="H1:H1048576">
    <cfRule type="cellIs" dxfId="46" priority="7" operator="equal">
      <formula>"ADELANTO"</formula>
    </cfRule>
    <cfRule type="cellIs" dxfId="45" priority="8" operator="equal">
      <formula>"RETRASO &gt;10 MIN"</formula>
    </cfRule>
    <cfRule type="cellIs" dxfId="44" priority="9" operator="equal">
      <formula>"RETRASO DE 5-10 MIN"</formula>
    </cfRule>
    <cfRule type="cellIs" dxfId="43" priority="10" operator="equal">
      <formula>"RETRASO DE 3-5 MIN"</formula>
    </cfRule>
    <cfRule type="cellIs" dxfId="42" priority="11" operator="equal">
      <formula>"OK"</formula>
    </cfRule>
  </conditionalFormatting>
  <conditionalFormatting sqref="W13:W547">
    <cfRule type="cellIs" dxfId="41" priority="23" operator="between">
      <formula>0.9</formula>
      <formula>5</formula>
    </cfRule>
    <cfRule type="cellIs" dxfId="40" priority="24" operator="between">
      <formula>0.875</formula>
      <formula>0.9</formula>
    </cfRule>
    <cfRule type="cellIs" dxfId="39" priority="25" operator="between">
      <formula>0.875</formula>
      <formula>0.0000001</formula>
    </cfRule>
    <cfRule type="cellIs" dxfId="38" priority="26" operator="lessThanOrEqual">
      <formula>0</formula>
    </cfRule>
  </conditionalFormatting>
  <conditionalFormatting sqref="AE1:AE1048576">
    <cfRule type="cellIs" dxfId="37" priority="12" operator="equal">
      <formula>"OK"</formula>
    </cfRule>
    <cfRule type="cellIs" dxfId="36" priority="13" operator="equal">
      <formula>"DEFICIT"</formula>
    </cfRule>
    <cfRule type="cellIs" dxfId="35" priority="14" operator="equal">
      <formula>"SOBREOFERTA"</formula>
    </cfRule>
  </conditionalFormatting>
  <conditionalFormatting sqref="AE13:AE547">
    <cfRule type="expression" dxfId="34" priority="15">
      <formula>"si a=1"</formula>
    </cfRule>
  </conditionalFormatting>
  <conditionalFormatting sqref="AI1:AI1048576">
    <cfRule type="cellIs" dxfId="33" priority="1" operator="equal">
      <formula>"ADELANTO"</formula>
    </cfRule>
    <cfRule type="cellIs" dxfId="32" priority="2" operator="equal">
      <formula>"RETRASO &gt;10 MIN"</formula>
    </cfRule>
    <cfRule type="cellIs" dxfId="31" priority="3" operator="equal">
      <formula>"RETRASO DE 5-10 MIN"</formula>
    </cfRule>
    <cfRule type="cellIs" dxfId="30" priority="4" operator="equal">
      <formula>"RETRASO DE 3-5 MIN"</formula>
    </cfRule>
    <cfRule type="cellIs" dxfId="29" priority="5" operator="equal">
      <formula>"OK"</formula>
    </cfRule>
  </conditionalFormatting>
  <conditionalFormatting sqref="AI13:AI547">
    <cfRule type="expression" dxfId="28" priority="6">
      <formula>"si a=1"</formula>
    </cfRule>
  </conditionalFormatting>
  <conditionalFormatting sqref="AX13:AX547">
    <cfRule type="cellIs" dxfId="27" priority="19" operator="between">
      <formula>0.9</formula>
      <formula>5</formula>
    </cfRule>
    <cfRule type="cellIs" dxfId="26" priority="20" operator="between">
      <formula>0.875</formula>
      <formula>0.9</formula>
    </cfRule>
    <cfRule type="cellIs" dxfId="25" priority="21" operator="between">
      <formula>0.875</formula>
      <formula>0.0000001</formula>
    </cfRule>
    <cfRule type="cellIs" dxfId="24" priority="22" operator="lessThanOrEqual">
      <formula>0</formula>
    </cfRule>
  </conditionalFormatting>
  <conditionalFormatting sqref="BF13:BF36">
    <cfRule type="cellIs" dxfId="23" priority="64" operator="between">
      <formula>0</formula>
      <formula>0.75</formula>
    </cfRule>
    <cfRule type="cellIs" dxfId="22" priority="65" operator="between">
      <formula>0.75</formula>
      <formula>0.92</formula>
    </cfRule>
    <cfRule type="cellIs" dxfId="21" priority="66" operator="between">
      <formula>0.92</formula>
      <formula>0.9999</formula>
    </cfRule>
    <cfRule type="cellIs" dxfId="20" priority="67" operator="equal">
      <formula>1</formula>
    </cfRule>
  </conditionalFormatting>
  <conditionalFormatting sqref="BF40:BI40">
    <cfRule type="cellIs" dxfId="19" priority="39" operator="between">
      <formula>0</formula>
      <formula>0.75</formula>
    </cfRule>
    <cfRule type="cellIs" dxfId="18" priority="40" operator="between">
      <formula>0.75</formula>
      <formula>0.92</formula>
    </cfRule>
    <cfRule type="cellIs" dxfId="17" priority="41" operator="between">
      <formula>0.92</formula>
      <formula>0.9999</formula>
    </cfRule>
    <cfRule type="cellIs" dxfId="16" priority="42" operator="equal">
      <formula>1</formula>
    </cfRule>
  </conditionalFormatting>
  <conditionalFormatting sqref="BI13:BI36">
    <cfRule type="cellIs" dxfId="15" priority="55" operator="between">
      <formula>0.9</formula>
      <formula>5</formula>
    </cfRule>
    <cfRule type="cellIs" dxfId="14" priority="56" operator="between">
      <formula>0.875</formula>
      <formula>0.9</formula>
    </cfRule>
    <cfRule type="cellIs" dxfId="13" priority="57" operator="between">
      <formula>0.875</formula>
      <formula>0.0000001</formula>
    </cfRule>
    <cfRule type="cellIs" dxfId="12" priority="58" operator="lessThanOrEqual">
      <formula>0</formula>
    </cfRule>
  </conditionalFormatting>
  <conditionalFormatting sqref="BO13:BO36">
    <cfRule type="cellIs" dxfId="11" priority="60" operator="between">
      <formula>0</formula>
      <formula>0.75</formula>
    </cfRule>
    <cfRule type="cellIs" dxfId="10" priority="61" operator="between">
      <formula>0.75</formula>
      <formula>0.92</formula>
    </cfRule>
    <cfRule type="cellIs" dxfId="9" priority="62" operator="between">
      <formula>0.92</formula>
      <formula>0.9999</formula>
    </cfRule>
    <cfRule type="cellIs" dxfId="8" priority="63" operator="equal">
      <formula>1</formula>
    </cfRule>
  </conditionalFormatting>
  <conditionalFormatting sqref="BO40:BR40">
    <cfRule type="cellIs" dxfId="7" priority="27" operator="between">
      <formula>0</formula>
      <formula>0.75</formula>
    </cfRule>
    <cfRule type="cellIs" dxfId="6" priority="28" operator="between">
      <formula>0.75</formula>
      <formula>0.92</formula>
    </cfRule>
    <cfRule type="cellIs" dxfId="5" priority="29" operator="between">
      <formula>0.92</formula>
      <formula>0.9999</formula>
    </cfRule>
    <cfRule type="cellIs" dxfId="4" priority="30" operator="equal">
      <formula>1</formula>
    </cfRule>
  </conditionalFormatting>
  <conditionalFormatting sqref="BR13:BR36">
    <cfRule type="cellIs" dxfId="3" priority="51" operator="between">
      <formula>0.9</formula>
      <formula>5</formula>
    </cfRule>
    <cfRule type="cellIs" dxfId="2" priority="52" operator="between">
      <formula>0.875</formula>
      <formula>0.9</formula>
    </cfRule>
    <cfRule type="cellIs" dxfId="1" priority="53" operator="between">
      <formula>0.875</formula>
      <formula>0.0000001</formula>
    </cfRule>
    <cfRule type="cellIs" dxfId="0" priority="54" operator="lessThanOrEqual">
      <formula>0</formula>
    </cfRule>
  </conditionalFormatting>
  <dataValidations count="1">
    <dataValidation type="list" allowBlank="1" showInputMessage="1" showErrorMessage="1" sqref="AY13:AY547 X13:X547" xr:uid="{0297704D-5317-40F9-ACE4-50DC57D4382F}">
      <formula1>#REF!</formula1>
    </dataValidation>
  </dataValidations>
  <pageMargins left="0.7" right="0.7" top="0.75" bottom="0.75" header="0.3" footer="0.3"/>
  <pageSetup paperSize="9" orientation="portrait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Andres Garcia Lopez</dc:creator>
  <cp:lastModifiedBy>Juan Andres Garcia Lopez</cp:lastModifiedBy>
  <dcterms:created xsi:type="dcterms:W3CDTF">2026-07-17T23:03:41Z</dcterms:created>
  <dcterms:modified xsi:type="dcterms:W3CDTF">2026-07-26T04:59:12Z</dcterms:modified>
</cp:coreProperties>
</file>